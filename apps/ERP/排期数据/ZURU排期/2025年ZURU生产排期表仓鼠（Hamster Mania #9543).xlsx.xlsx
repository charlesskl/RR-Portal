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86F"/>
  <workbookPr/>
  <bookViews>
    <workbookView windowWidth="23040" windowHeight="9180" tabRatio="594"/>
  </bookViews>
  <sheets>
    <sheet name="9543" sheetId="1" r:id="rId1"/>
    <sheet name="布料MA" sheetId="4" r:id="rId2"/>
    <sheet name="9543包装MA" sheetId="5" r:id="rId3"/>
    <sheet name="9543MA半成品" sheetId="3" r:id="rId4"/>
    <sheet name="取消订单" sheetId="7" r:id="rId5"/>
    <sheet name="询单" sheetId="6" state="hidden" r:id="rId6"/>
  </sheets>
  <definedNames>
    <definedName name="_xlnm._FilterDatabase" localSheetId="0" hidden="1">'9543'!$3:$1327</definedName>
    <definedName name="_xlnm._FilterDatabase" localSheetId="2" hidden="1">'9543包装MA'!$A$3:$AT$263</definedName>
    <definedName name="_xlnm._FilterDatabase" localSheetId="3" hidden="1">'9543MA半成品'!$3:$62</definedName>
    <definedName name="_xlnm._FilterDatabase" localSheetId="4" hidden="1">取消订单!$1:$54</definedName>
    <definedName name="_xlnm.Print_Area" localSheetId="3">'9543MA半成品'!$A$1:$N$12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Unknown User</author>
  </authors>
  <commentList>
    <comment ref="AB4" authorId="0">
      <text>
        <r>
          <rPr>
            <b/>
            <sz val="16"/>
            <rFont val="宋体"/>
            <charset val="134"/>
          </rPr>
          <t>Administrator:</t>
        </r>
        <r>
          <rPr>
            <sz val="16"/>
            <rFont val="宋体"/>
            <charset val="134"/>
          </rPr>
          <t xml:space="preserve">
0000362 7/24 792 pcs华兴三楼B8
</t>
        </r>
      </text>
    </comment>
    <comment ref="AD4" authorId="0">
      <text>
        <r>
          <rPr>
            <b/>
            <sz val="16"/>
            <rFont val="宋体"/>
            <charset val="134"/>
          </rPr>
          <t>Administrator:</t>
        </r>
        <r>
          <rPr>
            <sz val="16"/>
            <rFont val="宋体"/>
            <charset val="134"/>
          </rPr>
          <t xml:space="preserve">
7/15上 进口商贴纸（含EAN条码）贴纸 792 pcs</t>
        </r>
      </text>
    </comment>
    <comment ref="AB5" authorId="0">
      <text>
        <r>
          <rPr>
            <b/>
            <sz val="18"/>
            <rFont val="宋体"/>
            <charset val="134"/>
          </rPr>
          <t>Administrator:</t>
        </r>
        <r>
          <rPr>
            <sz val="18"/>
            <rFont val="宋体"/>
            <charset val="134"/>
          </rPr>
          <t xml:space="preserve">
0001617 11/15 220 pcs 一楼</t>
        </r>
      </text>
    </comment>
    <comment ref="AB6" authorId="0">
      <text>
        <r>
          <rPr>
            <b/>
            <sz val="18"/>
            <rFont val="宋体"/>
            <charset val="134"/>
          </rPr>
          <t>Administrator:</t>
        </r>
        <r>
          <rPr>
            <sz val="18"/>
            <rFont val="宋体"/>
            <charset val="134"/>
          </rPr>
          <t xml:space="preserve">
0001658 11/20 1584 pcs 华兴三楼B14
0001692 11/21 24 pcs B14</t>
        </r>
      </text>
    </comment>
    <comment ref="AD6" authorId="0">
      <text>
        <r>
          <rPr>
            <b/>
            <sz val="16"/>
            <rFont val="宋体"/>
            <charset val="134"/>
          </rPr>
          <t>Administrator:</t>
        </r>
        <r>
          <rPr>
            <sz val="16"/>
            <rFont val="宋体"/>
            <charset val="134"/>
          </rPr>
          <t xml:space="preserve">
9/10上 进口商贴纸 1608 pcs
   EAN条码贴纸 1608 pcs</t>
        </r>
      </text>
    </comment>
    <comment ref="AB7" authorId="0">
      <text>
        <r>
          <rPr>
            <b/>
            <sz val="18"/>
            <rFont val="宋体"/>
            <charset val="134"/>
          </rPr>
          <t>Administrator:</t>
        </r>
        <r>
          <rPr>
            <sz val="18"/>
            <rFont val="宋体"/>
            <charset val="134"/>
          </rPr>
          <t xml:space="preserve">
0001692 11/21 816 pcs 华兴三楼B8</t>
        </r>
      </text>
    </comment>
    <comment ref="AD7" authorId="0">
      <text>
        <r>
          <rPr>
            <b/>
            <sz val="16"/>
            <rFont val="宋体"/>
            <charset val="134"/>
          </rPr>
          <t>Administrator:</t>
        </r>
        <r>
          <rPr>
            <sz val="16"/>
            <rFont val="宋体"/>
            <charset val="134"/>
          </rPr>
          <t xml:space="preserve">
9/10上 进口商贴纸 816 pcs
   EAN条码贴纸 816 pcs</t>
        </r>
      </text>
    </comment>
    <comment ref="AB8" authorId="0">
      <text>
        <r>
          <rPr>
            <b/>
            <sz val="16"/>
            <rFont val="宋体"/>
            <charset val="134"/>
          </rPr>
          <t>Administrator:</t>
        </r>
        <r>
          <rPr>
            <sz val="16"/>
            <rFont val="宋体"/>
            <charset val="134"/>
          </rPr>
          <t xml:space="preserve">
0000454 12/20 96 pcs 华兴三楼A24</t>
        </r>
      </text>
    </comment>
    <comment ref="AD8" authorId="0">
      <text>
        <r>
          <rPr>
            <b/>
            <sz val="16"/>
            <rFont val="宋体"/>
            <charset val="134"/>
          </rPr>
          <t>Administrator:</t>
        </r>
        <r>
          <rPr>
            <sz val="16"/>
            <rFont val="宋体"/>
            <charset val="134"/>
          </rPr>
          <t xml:space="preserve">
12/6上 亚马逊外箱贴纸 4 pcs
12/9 上进口商贴纸96pcs
     UPC贴纸96pcs</t>
        </r>
      </text>
    </comment>
    <comment ref="AB9" authorId="0">
      <text>
        <r>
          <rPr>
            <b/>
            <sz val="16"/>
            <rFont val="宋体"/>
            <charset val="134"/>
          </rPr>
          <t>Administrator:</t>
        </r>
        <r>
          <rPr>
            <sz val="16"/>
            <rFont val="宋体"/>
            <charset val="134"/>
          </rPr>
          <t xml:space="preserve">
0000454 12/20 24 pcs 华兴三楼A24</t>
        </r>
      </text>
    </comment>
    <comment ref="AD9" authorId="0">
      <text>
        <r>
          <rPr>
            <b/>
            <sz val="16"/>
            <rFont val="宋体"/>
            <charset val="134"/>
          </rPr>
          <t>Administrator:</t>
        </r>
        <r>
          <rPr>
            <sz val="16"/>
            <rFont val="宋体"/>
            <charset val="134"/>
          </rPr>
          <t xml:space="preserve">
12/6上 亚马逊外箱贴纸 1 pcs
12/9 上进口商贴纸24pcs
     UPC贴纸24pcs
</t>
        </r>
      </text>
    </comment>
    <comment ref="AB10" authorId="0">
      <text>
        <r>
          <rPr>
            <b/>
            <sz val="16"/>
            <rFont val="宋体"/>
            <charset val="134"/>
          </rPr>
          <t>Administrator:</t>
        </r>
        <r>
          <rPr>
            <sz val="16"/>
            <rFont val="宋体"/>
            <charset val="134"/>
          </rPr>
          <t xml:space="preserve">
0000435 12/20 504 pcs 华兴三楼A32</t>
        </r>
      </text>
    </comment>
    <comment ref="AD10" authorId="0">
      <text>
        <r>
          <rPr>
            <b/>
            <sz val="16"/>
            <rFont val="宋体"/>
            <charset val="134"/>
          </rPr>
          <t>Administrator:</t>
        </r>
        <r>
          <rPr>
            <sz val="16"/>
            <rFont val="宋体"/>
            <charset val="134"/>
          </rPr>
          <t xml:space="preserve">
12/2上 亚马逊外箱贴纸 21 pcs
12/9 上环保标贴纸504pcs
  UPC贴纸504pcs
  邮箱贴纸504pcs
  ES回收标志1号504pcs
</t>
        </r>
      </text>
    </comment>
    <comment ref="AB11" authorId="0">
      <text>
        <r>
          <rPr>
            <b/>
            <sz val="16"/>
            <rFont val="宋体"/>
            <charset val="134"/>
          </rPr>
          <t>Administrator:</t>
        </r>
        <r>
          <rPr>
            <sz val="16"/>
            <rFont val="宋体"/>
            <charset val="134"/>
          </rPr>
          <t xml:space="preserve">
0000435 12/20 504 pcs 华兴三楼A32</t>
        </r>
      </text>
    </comment>
    <comment ref="AD11" authorId="0">
      <text>
        <r>
          <rPr>
            <b/>
            <sz val="16"/>
            <rFont val="宋体"/>
            <charset val="134"/>
          </rPr>
          <t>Administrator:</t>
        </r>
        <r>
          <rPr>
            <sz val="16"/>
            <rFont val="宋体"/>
            <charset val="134"/>
          </rPr>
          <t xml:space="preserve">
11/27上 ES回收标贴纸 504 pcs
  环保标贴纸 504 pcs
  UPC贴纸 504 pcs
12/2上 亚马逊外箱贴纸 21 pcs
  邮箱贴纸 504 pcs</t>
        </r>
      </text>
    </comment>
    <comment ref="AB12" authorId="0">
      <text>
        <r>
          <rPr>
            <b/>
            <sz val="16"/>
            <rFont val="宋体"/>
            <charset val="134"/>
          </rPr>
          <t>Administrator:</t>
        </r>
        <r>
          <rPr>
            <sz val="16"/>
            <rFont val="宋体"/>
            <charset val="134"/>
          </rPr>
          <t xml:space="preserve">
0000454 12/20 504 pcs 华兴三楼A24</t>
        </r>
      </text>
    </comment>
    <comment ref="AD12" authorId="0">
      <text>
        <r>
          <rPr>
            <b/>
            <sz val="16"/>
            <rFont val="宋体"/>
            <charset val="134"/>
          </rPr>
          <t>Administrator:</t>
        </r>
        <r>
          <rPr>
            <sz val="16"/>
            <rFont val="宋体"/>
            <charset val="134"/>
          </rPr>
          <t xml:space="preserve">
12/10上 UPC贴纸 504 pcs
 环保标贴纸 504 pcs
12/13上 亚马逊外箱贴纸 21 pcs</t>
        </r>
      </text>
    </comment>
    <comment ref="AB13" authorId="0">
      <text>
        <r>
          <rPr>
            <b/>
            <sz val="16"/>
            <rFont val="宋体"/>
            <charset val="134"/>
          </rPr>
          <t>Administrator:</t>
        </r>
        <r>
          <rPr>
            <sz val="16"/>
            <rFont val="宋体"/>
            <charset val="134"/>
          </rPr>
          <t xml:space="preserve">
0000454 12/20 72 pcs 华兴三楼A24</t>
        </r>
      </text>
    </comment>
    <comment ref="AD13" authorId="0">
      <text>
        <r>
          <rPr>
            <b/>
            <sz val="18"/>
            <rFont val="宋体"/>
            <charset val="134"/>
          </rPr>
          <t>Administrator:</t>
        </r>
        <r>
          <rPr>
            <sz val="18"/>
            <rFont val="宋体"/>
            <charset val="134"/>
          </rPr>
          <t xml:space="preserve">
12/3上 UPC贴纸 72 pcs
亚马逊外箱贴纸 3 pcs</t>
        </r>
      </text>
    </comment>
    <comment ref="AB14" authorId="0">
      <text>
        <r>
          <rPr>
            <b/>
            <sz val="16"/>
            <rFont val="宋体"/>
            <charset val="134"/>
          </rPr>
          <t>Administrator:</t>
        </r>
        <r>
          <rPr>
            <sz val="16"/>
            <rFont val="宋体"/>
            <charset val="134"/>
          </rPr>
          <t xml:space="preserve">
0000454 12/2024 pcs 华兴三楼A24</t>
        </r>
      </text>
    </comment>
    <comment ref="AD14" authorId="0">
      <text>
        <r>
          <rPr>
            <b/>
            <sz val="18"/>
            <rFont val="宋体"/>
            <charset val="134"/>
          </rPr>
          <t>Administrator:</t>
        </r>
        <r>
          <rPr>
            <sz val="18"/>
            <rFont val="宋体"/>
            <charset val="134"/>
          </rPr>
          <t xml:space="preserve">
12/3上 UPC贴纸 24 pcs
亚马逊外箱贴纸 1 pcs
</t>
        </r>
      </text>
    </comment>
    <comment ref="AB15" authorId="0">
      <text>
        <r>
          <rPr>
            <b/>
            <sz val="16"/>
            <rFont val="宋体"/>
            <charset val="134"/>
          </rPr>
          <t>Administrator:</t>
        </r>
        <r>
          <rPr>
            <sz val="16"/>
            <rFont val="宋体"/>
            <charset val="134"/>
          </rPr>
          <t xml:space="preserve">
0000454 12/20 48 pcs 华兴三楼A24</t>
        </r>
      </text>
    </comment>
    <comment ref="AD15" authorId="0">
      <text>
        <r>
          <rPr>
            <b/>
            <sz val="18"/>
            <rFont val="宋体"/>
            <charset val="134"/>
          </rPr>
          <t>Administrator:</t>
        </r>
        <r>
          <rPr>
            <sz val="18"/>
            <rFont val="宋体"/>
            <charset val="134"/>
          </rPr>
          <t xml:space="preserve">
12/3上 UPC贴纸 48 pcs
亚马逊外箱贴纸 2 pcs
</t>
        </r>
      </text>
    </comment>
    <comment ref="AB16" authorId="0">
      <text>
        <r>
          <rPr>
            <b/>
            <sz val="16"/>
            <rFont val="宋体"/>
            <charset val="134"/>
          </rPr>
          <t>Administrator:</t>
        </r>
        <r>
          <rPr>
            <sz val="16"/>
            <rFont val="宋体"/>
            <charset val="134"/>
          </rPr>
          <t xml:space="preserve">
0000405 12/23 1008 pcs 华兴三楼B12</t>
        </r>
      </text>
    </comment>
    <comment ref="AD16" authorId="0">
      <text>
        <r>
          <rPr>
            <b/>
            <sz val="16"/>
            <rFont val="宋体"/>
            <charset val="134"/>
          </rPr>
          <t>Administrator:</t>
        </r>
        <r>
          <rPr>
            <sz val="16"/>
            <rFont val="宋体"/>
            <charset val="134"/>
          </rPr>
          <t xml:space="preserve">
12/2上 德语callout贴纸 1008 pcs
 黑白WEEE声明说明书纸 1008 pcs
 EAN条码贴纸 1008 pcs</t>
        </r>
      </text>
    </comment>
    <comment ref="AB17" authorId="0">
      <text>
        <r>
          <rPr>
            <b/>
            <sz val="16"/>
            <rFont val="宋体"/>
            <charset val="134"/>
          </rPr>
          <t>Administrator:</t>
        </r>
        <r>
          <rPr>
            <sz val="16"/>
            <rFont val="宋体"/>
            <charset val="134"/>
          </rPr>
          <t xml:space="preserve">
0000583 12/27 3168 pcs 华兴三楼A22   
0000591 12/27 1848 pcs A22</t>
        </r>
      </text>
    </comment>
    <comment ref="AD17" authorId="0">
      <text>
        <r>
          <rPr>
            <b/>
            <sz val="16"/>
            <rFont val="宋体"/>
            <charset val="134"/>
          </rPr>
          <t>Administrator:</t>
        </r>
        <r>
          <rPr>
            <sz val="16"/>
            <rFont val="宋体"/>
            <charset val="134"/>
          </rPr>
          <t xml:space="preserve">
12/10上 进口商贴纸 5016 pcs
  PDQ EAN条码贴纸 228 pcs
12/13上 PDQ EAN条码贴纸 228 pcs</t>
        </r>
      </text>
    </comment>
    <comment ref="AB18" authorId="0">
      <text>
        <r>
          <rPr>
            <b/>
            <sz val="16"/>
            <rFont val="宋体"/>
            <charset val="134"/>
          </rPr>
          <t>Administrator:</t>
        </r>
        <r>
          <rPr>
            <sz val="16"/>
            <rFont val="宋体"/>
            <charset val="134"/>
          </rPr>
          <t xml:space="preserve">
0000621 12/25 616 pcs 华兴三楼B4</t>
        </r>
      </text>
    </comment>
    <comment ref="AD18" authorId="0">
      <text>
        <r>
          <rPr>
            <b/>
            <sz val="18"/>
            <rFont val="宋体"/>
            <charset val="134"/>
          </rPr>
          <t>Administrator:</t>
        </r>
        <r>
          <rPr>
            <sz val="18"/>
            <rFont val="宋体"/>
            <charset val="134"/>
          </rPr>
          <t xml:space="preserve">
11/21上 价格贴纸 647pcs</t>
        </r>
      </text>
    </comment>
    <comment ref="AB19" authorId="0">
      <text>
        <r>
          <rPr>
            <b/>
            <sz val="16"/>
            <rFont val="宋体"/>
            <charset val="134"/>
          </rPr>
          <t>Administrator:</t>
        </r>
        <r>
          <rPr>
            <sz val="16"/>
            <rFont val="宋体"/>
            <charset val="134"/>
          </rPr>
          <t xml:space="preserve">
0000620 12/25 1584 pcs 华兴三楼B15</t>
        </r>
      </text>
    </comment>
    <comment ref="AD19" authorId="0">
      <text>
        <r>
          <rPr>
            <b/>
            <sz val="16"/>
            <rFont val="宋体"/>
            <charset val="134"/>
          </rPr>
          <t>Administrator:</t>
        </r>
        <r>
          <rPr>
            <sz val="16"/>
            <rFont val="宋体"/>
            <charset val="134"/>
          </rPr>
          <t xml:space="preserve">
12/3上 EAN条码贴纸 1584 pcs</t>
        </r>
      </text>
    </comment>
    <comment ref="AB20" authorId="0">
      <text>
        <r>
          <rPr>
            <b/>
            <sz val="16"/>
            <rFont val="宋体"/>
            <charset val="134"/>
          </rPr>
          <t>Administrator:</t>
        </r>
        <r>
          <rPr>
            <sz val="16"/>
            <rFont val="宋体"/>
            <charset val="134"/>
          </rPr>
          <t xml:space="preserve">
0000620 12/25 1584 pcs 华兴三楼B15</t>
        </r>
      </text>
    </comment>
    <comment ref="AD20" authorId="0">
      <text>
        <r>
          <rPr>
            <b/>
            <sz val="16"/>
            <rFont val="宋体"/>
            <charset val="134"/>
          </rPr>
          <t>Administrator:</t>
        </r>
        <r>
          <rPr>
            <sz val="16"/>
            <rFont val="宋体"/>
            <charset val="134"/>
          </rPr>
          <t xml:space="preserve">
12/12上 EAN条码贴纸 1584 pcs</t>
        </r>
      </text>
    </comment>
    <comment ref="AB21" authorId="0">
      <text>
        <r>
          <rPr>
            <b/>
            <sz val="16"/>
            <rFont val="宋体"/>
            <charset val="134"/>
          </rPr>
          <t>Administrator:</t>
        </r>
        <r>
          <rPr>
            <sz val="16"/>
            <rFont val="宋体"/>
            <charset val="134"/>
          </rPr>
          <t xml:space="preserve">
0000593 12/27 1980 pcs华兴三楼B11
</t>
        </r>
      </text>
    </comment>
    <comment ref="AD21" authorId="0">
      <text>
        <r>
          <rPr>
            <b/>
            <sz val="16"/>
            <rFont val="宋体"/>
            <charset val="134"/>
          </rPr>
          <t>Administrator:</t>
        </r>
        <r>
          <rPr>
            <sz val="16"/>
            <rFont val="宋体"/>
            <charset val="134"/>
          </rPr>
          <t xml:space="preserve">
12/17上 进口商贴纸 1980 pcs
  EAN条码贴纸 1980 pcs</t>
        </r>
      </text>
    </comment>
    <comment ref="AB22" authorId="0">
      <text>
        <r>
          <rPr>
            <b/>
            <sz val="16"/>
            <rFont val="宋体"/>
            <charset val="134"/>
          </rPr>
          <t>Administrator:</t>
        </r>
        <r>
          <rPr>
            <sz val="16"/>
            <rFont val="宋体"/>
            <charset val="134"/>
          </rPr>
          <t xml:space="preserve">
0000593 12/27 506 pcs 华兴三楼A16</t>
        </r>
      </text>
    </comment>
    <comment ref="AD22" authorId="0">
      <text>
        <r>
          <rPr>
            <b/>
            <sz val="16"/>
            <rFont val="宋体"/>
            <charset val="134"/>
          </rPr>
          <t>Administrator:</t>
        </r>
        <r>
          <rPr>
            <sz val="16"/>
            <rFont val="宋体"/>
            <charset val="134"/>
          </rPr>
          <t xml:space="preserve">
12/10上 进口商贴纸 506 pcs</t>
        </r>
      </text>
    </comment>
    <comment ref="AB23" authorId="0">
      <text>
        <r>
          <rPr>
            <b/>
            <sz val="16"/>
            <rFont val="宋体"/>
            <charset val="134"/>
          </rPr>
          <t>Administrator:</t>
        </r>
        <r>
          <rPr>
            <sz val="16"/>
            <rFont val="宋体"/>
            <charset val="134"/>
          </rPr>
          <t xml:space="preserve">
0000593 12/27 440 pcs华兴三楼A16
</t>
        </r>
      </text>
    </comment>
    <comment ref="AD23" authorId="0">
      <text>
        <r>
          <rPr>
            <b/>
            <sz val="16"/>
            <rFont val="宋体"/>
            <charset val="134"/>
          </rPr>
          <t>Administrator:</t>
        </r>
        <r>
          <rPr>
            <sz val="16"/>
            <rFont val="宋体"/>
            <charset val="134"/>
          </rPr>
          <t xml:space="preserve">
12/10上 进口商贴纸 440 pcs</t>
        </r>
      </text>
    </comment>
    <comment ref="AB24" authorId="0">
      <text>
        <r>
          <rPr>
            <b/>
            <sz val="16"/>
            <rFont val="宋体"/>
            <charset val="134"/>
          </rPr>
          <t>Administrator:</t>
        </r>
        <r>
          <rPr>
            <sz val="16"/>
            <rFont val="宋体"/>
            <charset val="134"/>
          </rPr>
          <t xml:space="preserve">
0000593 12/27 352 pcs华兴三楼A16
</t>
        </r>
      </text>
    </comment>
    <comment ref="AD24" authorId="0">
      <text>
        <r>
          <rPr>
            <b/>
            <sz val="16"/>
            <rFont val="宋体"/>
            <charset val="134"/>
          </rPr>
          <t>Administrator:</t>
        </r>
        <r>
          <rPr>
            <sz val="16"/>
            <rFont val="宋体"/>
            <charset val="134"/>
          </rPr>
          <t xml:space="preserve">
12/10上 进口商贴纸 352 pcs</t>
        </r>
      </text>
    </comment>
    <comment ref="AB25" authorId="0">
      <text>
        <r>
          <rPr>
            <b/>
            <sz val="16"/>
            <rFont val="宋体"/>
            <charset val="134"/>
          </rPr>
          <t>Administrator:</t>
        </r>
        <r>
          <rPr>
            <sz val="16"/>
            <rFont val="宋体"/>
            <charset val="134"/>
          </rPr>
          <t xml:space="preserve">
0000591 12/27 220 pcs华兴三楼B13
</t>
        </r>
      </text>
    </comment>
    <comment ref="AD25" authorId="0">
      <text>
        <r>
          <rPr>
            <b/>
            <sz val="16"/>
            <rFont val="宋体"/>
            <charset val="134"/>
          </rPr>
          <t>Administrator:</t>
        </r>
        <r>
          <rPr>
            <sz val="16"/>
            <rFont val="宋体"/>
            <charset val="134"/>
          </rPr>
          <t xml:space="preserve">
12/10上 进口商贴纸 220 pcs</t>
        </r>
      </text>
    </comment>
    <comment ref="AB26" authorId="0">
      <text>
        <r>
          <rPr>
            <b/>
            <sz val="16"/>
            <rFont val="宋体"/>
            <charset val="134"/>
          </rPr>
          <t>Administrator:</t>
        </r>
        <r>
          <rPr>
            <sz val="16"/>
            <rFont val="宋体"/>
            <charset val="134"/>
          </rPr>
          <t xml:space="preserve">
0000592 12/27 1144 pcs 华兴三楼A27</t>
        </r>
      </text>
    </comment>
    <comment ref="AB27" authorId="0">
      <text>
        <r>
          <rPr>
            <b/>
            <sz val="16"/>
            <rFont val="宋体"/>
            <charset val="134"/>
          </rPr>
          <t>Administrator:</t>
        </r>
        <r>
          <rPr>
            <sz val="16"/>
            <rFont val="宋体"/>
            <charset val="134"/>
          </rPr>
          <t xml:space="preserve">
0000621 12/25 528 pcs 华兴三楼B4</t>
        </r>
      </text>
    </comment>
    <comment ref="AD27" authorId="0">
      <text>
        <r>
          <rPr>
            <b/>
            <sz val="18"/>
            <rFont val="宋体"/>
            <charset val="134"/>
          </rPr>
          <t>Administrator:</t>
        </r>
        <r>
          <rPr>
            <sz val="18"/>
            <rFont val="宋体"/>
            <charset val="134"/>
          </rPr>
          <t xml:space="preserve">
12/17上 进口商贴纸 528 pcs</t>
        </r>
      </text>
    </comment>
    <comment ref="AB28" authorId="0">
      <text>
        <r>
          <rPr>
            <b/>
            <sz val="16"/>
            <rFont val="宋体"/>
            <charset val="134"/>
          </rPr>
          <t>Administrator:</t>
        </r>
        <r>
          <rPr>
            <sz val="16"/>
            <rFont val="宋体"/>
            <charset val="134"/>
          </rPr>
          <t xml:space="preserve">
0000592 12/27 374 pcs华兴三楼B13
</t>
        </r>
      </text>
    </comment>
    <comment ref="AB29" authorId="0">
      <text>
        <r>
          <rPr>
            <b/>
            <sz val="16"/>
            <rFont val="宋体"/>
            <charset val="134"/>
          </rPr>
          <t>Administrator:</t>
        </r>
        <r>
          <rPr>
            <sz val="16"/>
            <rFont val="宋体"/>
            <charset val="134"/>
          </rPr>
          <t xml:space="preserve">
0000591 12/27 5500 pcs华兴三楼B10</t>
        </r>
      </text>
    </comment>
    <comment ref="AB30" authorId="0">
      <text>
        <r>
          <rPr>
            <b/>
            <sz val="16"/>
            <rFont val="宋体"/>
            <charset val="134"/>
          </rPr>
          <t>Administrator:</t>
        </r>
        <r>
          <rPr>
            <sz val="16"/>
            <rFont val="宋体"/>
            <charset val="134"/>
          </rPr>
          <t xml:space="preserve">
0000592 12/27 506 pcs华兴三楼B8
</t>
        </r>
      </text>
    </comment>
    <comment ref="AD30" authorId="0">
      <text>
        <r>
          <rPr>
            <b/>
            <sz val="18"/>
            <rFont val="宋体"/>
            <charset val="134"/>
          </rPr>
          <t>Administrator:</t>
        </r>
        <r>
          <rPr>
            <sz val="18"/>
            <rFont val="宋体"/>
            <charset val="134"/>
          </rPr>
          <t xml:space="preserve">
12/20上 进口商贴纸 506 pcs</t>
        </r>
      </text>
    </comment>
    <comment ref="AB31" authorId="0">
      <text>
        <r>
          <rPr>
            <b/>
            <sz val="16"/>
            <rFont val="宋体"/>
            <charset val="134"/>
          </rPr>
          <t>Administrator:</t>
        </r>
        <r>
          <rPr>
            <sz val="16"/>
            <rFont val="宋体"/>
            <charset val="134"/>
          </rPr>
          <t xml:space="preserve">
0000529 12/30 946 pcs 华兴三楼B8</t>
        </r>
      </text>
    </comment>
    <comment ref="AD31" authorId="0">
      <text>
        <r>
          <rPr>
            <b/>
            <sz val="16"/>
            <rFont val="宋体"/>
            <charset val="134"/>
          </rPr>
          <t>Administrator:</t>
        </r>
        <r>
          <rPr>
            <sz val="16"/>
            <rFont val="宋体"/>
            <charset val="134"/>
          </rPr>
          <t xml:space="preserve">
12/12上 进口商贴纸 946 pcs</t>
        </r>
      </text>
    </comment>
    <comment ref="AB32" authorId="0">
      <text>
        <r>
          <rPr>
            <b/>
            <sz val="16"/>
            <rFont val="宋体"/>
            <charset val="134"/>
          </rPr>
          <t>Administrator:</t>
        </r>
        <r>
          <rPr>
            <sz val="16"/>
            <rFont val="宋体"/>
            <charset val="134"/>
          </rPr>
          <t xml:space="preserve">
0000529 12/30 3718 pcs 华兴三楼A18</t>
        </r>
      </text>
    </comment>
    <comment ref="AD32" authorId="0">
      <text>
        <r>
          <rPr>
            <b/>
            <sz val="18"/>
            <rFont val="宋体"/>
            <charset val="134"/>
          </rPr>
          <t>Administrator:</t>
        </r>
        <r>
          <rPr>
            <sz val="18"/>
            <rFont val="宋体"/>
            <charset val="134"/>
          </rPr>
          <t xml:space="preserve">
12/10上 价格贴纸 3718 pcs
12/20上 UCC外箱贴纸 338 pcs</t>
        </r>
      </text>
    </comment>
    <comment ref="AB33" authorId="0">
      <text>
        <r>
          <rPr>
            <b/>
            <sz val="16"/>
            <rFont val="宋体"/>
            <charset val="134"/>
          </rPr>
          <t>Administrator:</t>
        </r>
        <r>
          <rPr>
            <sz val="16"/>
            <rFont val="宋体"/>
            <charset val="134"/>
          </rPr>
          <t xml:space="preserve">
0000649 12/31 968 pcs 华兴三楼B7</t>
        </r>
      </text>
    </comment>
    <comment ref="AD33" authorId="0">
      <text>
        <r>
          <rPr>
            <b/>
            <sz val="18"/>
            <rFont val="宋体"/>
            <charset val="134"/>
          </rPr>
          <t>Administrator:</t>
        </r>
        <r>
          <rPr>
            <sz val="18"/>
            <rFont val="宋体"/>
            <charset val="134"/>
          </rPr>
          <t xml:space="preserve">
12/18上 进口商贴纸 968 pcs</t>
        </r>
      </text>
    </comment>
    <comment ref="AB34" authorId="0">
      <text>
        <r>
          <rPr>
            <b/>
            <sz val="16"/>
            <rFont val="宋体"/>
            <charset val="134"/>
          </rPr>
          <t>Administrator:</t>
        </r>
        <r>
          <rPr>
            <sz val="16"/>
            <rFont val="宋体"/>
            <charset val="134"/>
          </rPr>
          <t xml:space="preserve">
0000931 12/31 616 pcs 华兴三楼B14</t>
        </r>
      </text>
    </comment>
    <comment ref="AD34" authorId="0">
      <text>
        <r>
          <rPr>
            <b/>
            <sz val="16"/>
            <rFont val="宋体"/>
            <charset val="134"/>
          </rPr>
          <t>Administrator:</t>
        </r>
        <r>
          <rPr>
            <sz val="16"/>
            <rFont val="宋体"/>
            <charset val="134"/>
          </rPr>
          <t xml:space="preserve">
12/3上 价格贴纸 647 pcs</t>
        </r>
      </text>
    </comment>
    <comment ref="AB35" authorId="0">
      <text>
        <r>
          <rPr>
            <b/>
            <sz val="16"/>
            <rFont val="宋体"/>
            <charset val="134"/>
          </rPr>
          <t>Administrator:</t>
        </r>
        <r>
          <rPr>
            <sz val="16"/>
            <rFont val="宋体"/>
            <charset val="134"/>
          </rPr>
          <t xml:space="preserve">
0000648 12/31 24 pcs 华兴三楼B7</t>
        </r>
      </text>
    </comment>
    <comment ref="AD35" authorId="0">
      <text>
        <r>
          <rPr>
            <b/>
            <sz val="14"/>
            <rFont val="宋体"/>
            <charset val="134"/>
          </rPr>
          <t>Administrator:</t>
        </r>
        <r>
          <rPr>
            <sz val="14"/>
            <rFont val="宋体"/>
            <charset val="134"/>
          </rPr>
          <t xml:space="preserve">
</t>
        </r>
        <r>
          <rPr>
            <sz val="18"/>
            <rFont val="宋体"/>
            <charset val="134"/>
          </rPr>
          <t>12/16 上UPC贴纸 24 pcs
12/23上 客供亚马逊外箱贴纸 1 pcs</t>
        </r>
      </text>
    </comment>
    <comment ref="AB36" authorId="0">
      <text>
        <r>
          <rPr>
            <b/>
            <sz val="16"/>
            <rFont val="宋体"/>
            <charset val="134"/>
          </rPr>
          <t>Administrator:</t>
        </r>
        <r>
          <rPr>
            <sz val="16"/>
            <rFont val="宋体"/>
            <charset val="134"/>
          </rPr>
          <t xml:space="preserve">
0000648 12/31 24 pcs 华兴三楼B7</t>
        </r>
      </text>
    </comment>
    <comment ref="AD36" authorId="0">
      <text>
        <r>
          <rPr>
            <b/>
            <sz val="14"/>
            <rFont val="宋体"/>
            <charset val="134"/>
          </rPr>
          <t>Administrator:</t>
        </r>
        <r>
          <rPr>
            <sz val="14"/>
            <rFont val="宋体"/>
            <charset val="134"/>
          </rPr>
          <t xml:space="preserve">
</t>
        </r>
        <r>
          <rPr>
            <sz val="18"/>
            <rFont val="宋体"/>
            <charset val="134"/>
          </rPr>
          <t>12/16 上UPC贴纸 24 pcs
12/23上 客供亚马逊外箱贴纸 1 pcs</t>
        </r>
      </text>
    </comment>
    <comment ref="AB37" authorId="0">
      <text>
        <r>
          <rPr>
            <b/>
            <sz val="16"/>
            <rFont val="宋体"/>
            <charset val="134"/>
          </rPr>
          <t>Administrator:</t>
        </r>
        <r>
          <rPr>
            <sz val="16"/>
            <rFont val="宋体"/>
            <charset val="134"/>
          </rPr>
          <t xml:space="preserve">
0000648 12/31 24 pcs 华兴三楼B7</t>
        </r>
      </text>
    </comment>
    <comment ref="AD37" authorId="0">
      <text>
        <r>
          <rPr>
            <b/>
            <sz val="14"/>
            <rFont val="宋体"/>
            <charset val="134"/>
          </rPr>
          <t>Administrator:</t>
        </r>
        <r>
          <rPr>
            <sz val="14"/>
            <rFont val="宋体"/>
            <charset val="134"/>
          </rPr>
          <t xml:space="preserve">
</t>
        </r>
        <r>
          <rPr>
            <sz val="18"/>
            <rFont val="宋体"/>
            <charset val="134"/>
          </rPr>
          <t>12/16 上UPC贴纸 24 pcs
12/23上 客供亚马逊外箱贴纸 1 pcs</t>
        </r>
      </text>
    </comment>
    <comment ref="AB38" authorId="0">
      <text>
        <r>
          <rPr>
            <b/>
            <sz val="16"/>
            <rFont val="宋体"/>
            <charset val="134"/>
          </rPr>
          <t>Administrator:</t>
        </r>
        <r>
          <rPr>
            <sz val="16"/>
            <rFont val="宋体"/>
            <charset val="134"/>
          </rPr>
          <t xml:space="preserve">
0000648 12/31 24 pcs 华兴三楼B7</t>
        </r>
      </text>
    </comment>
    <comment ref="AD38" authorId="0">
      <text>
        <r>
          <rPr>
            <b/>
            <sz val="14"/>
            <rFont val="宋体"/>
            <charset val="134"/>
          </rPr>
          <t>Administrator:</t>
        </r>
        <r>
          <rPr>
            <sz val="14"/>
            <rFont val="宋体"/>
            <charset val="134"/>
          </rPr>
          <t xml:space="preserve">
</t>
        </r>
        <r>
          <rPr>
            <sz val="18"/>
            <rFont val="宋体"/>
            <charset val="134"/>
          </rPr>
          <t>12/16 上UPC贴纸 24 pcs
12/23上 客供亚马逊外箱贴纸 1 pcs</t>
        </r>
      </text>
    </comment>
    <comment ref="AB39" authorId="0">
      <text>
        <r>
          <rPr>
            <b/>
            <sz val="16"/>
            <rFont val="宋体"/>
            <charset val="134"/>
          </rPr>
          <t>Administrator:</t>
        </r>
        <r>
          <rPr>
            <sz val="16"/>
            <rFont val="宋体"/>
            <charset val="134"/>
          </rPr>
          <t xml:space="preserve">
0000648 12/31 24 pcs 华兴三楼B7</t>
        </r>
      </text>
    </comment>
    <comment ref="AD39" authorId="0">
      <text>
        <r>
          <rPr>
            <b/>
            <sz val="14"/>
            <rFont val="宋体"/>
            <charset val="134"/>
          </rPr>
          <t>Administrator:</t>
        </r>
        <r>
          <rPr>
            <sz val="14"/>
            <rFont val="宋体"/>
            <charset val="134"/>
          </rPr>
          <t xml:space="preserve">
</t>
        </r>
        <r>
          <rPr>
            <sz val="18"/>
            <rFont val="宋体"/>
            <charset val="134"/>
          </rPr>
          <t>12/16 上UPC贴纸 24 pcs
12/23上 客供亚马逊外箱贴纸 1 pcs</t>
        </r>
      </text>
    </comment>
    <comment ref="AB40" authorId="0">
      <text>
        <r>
          <rPr>
            <b/>
            <sz val="16"/>
            <rFont val="宋体"/>
            <charset val="134"/>
          </rPr>
          <t>Administrator:</t>
        </r>
        <r>
          <rPr>
            <sz val="16"/>
            <rFont val="宋体"/>
            <charset val="134"/>
          </rPr>
          <t xml:space="preserve">
0000648 12/31 24 pcs 华兴三楼B7</t>
        </r>
      </text>
    </comment>
    <comment ref="AD40" authorId="0">
      <text>
        <r>
          <rPr>
            <b/>
            <sz val="14"/>
            <rFont val="宋体"/>
            <charset val="134"/>
          </rPr>
          <t>Administrator:</t>
        </r>
        <r>
          <rPr>
            <sz val="14"/>
            <rFont val="宋体"/>
            <charset val="134"/>
          </rPr>
          <t xml:space="preserve">
</t>
        </r>
        <r>
          <rPr>
            <sz val="18"/>
            <rFont val="宋体"/>
            <charset val="134"/>
          </rPr>
          <t>12/16 上UPC贴纸 24 pcs
12/23上 客供亚马逊外箱贴纸 1 pcs</t>
        </r>
      </text>
    </comment>
    <comment ref="AB41" authorId="0">
      <text>
        <r>
          <rPr>
            <b/>
            <sz val="16"/>
            <rFont val="宋体"/>
            <charset val="134"/>
          </rPr>
          <t>Administrator:</t>
        </r>
        <r>
          <rPr>
            <sz val="16"/>
            <rFont val="宋体"/>
            <charset val="134"/>
          </rPr>
          <t xml:space="preserve">
0000919 1/4 2376 pcs B17    
0000917 1/3 3564 pcs 华兴三楼B17</t>
        </r>
      </text>
    </comment>
    <comment ref="AD41" authorId="0">
      <text>
        <r>
          <rPr>
            <b/>
            <sz val="18"/>
            <rFont val="宋体"/>
            <charset val="134"/>
          </rPr>
          <t>Administrator:</t>
        </r>
        <r>
          <rPr>
            <sz val="18"/>
            <rFont val="宋体"/>
            <charset val="134"/>
          </rPr>
          <t xml:space="preserve">
12/26上 进口商贴纸 5940 pcs</t>
        </r>
      </text>
    </comment>
    <comment ref="AB42" authorId="0">
      <text>
        <r>
          <rPr>
            <b/>
            <sz val="16"/>
            <rFont val="宋体"/>
            <charset val="134"/>
          </rPr>
          <t>Administrator:</t>
        </r>
        <r>
          <rPr>
            <sz val="16"/>
            <rFont val="宋体"/>
            <charset val="134"/>
          </rPr>
          <t xml:space="preserve">
0000919 1/4 1012 pcs 华兴三楼B15
</t>
        </r>
      </text>
    </comment>
    <comment ref="AD42" authorId="0">
      <text>
        <r>
          <rPr>
            <b/>
            <sz val="16"/>
            <rFont val="宋体"/>
            <charset val="134"/>
          </rPr>
          <t>Administrator:</t>
        </r>
        <r>
          <rPr>
            <sz val="16"/>
            <rFont val="宋体"/>
            <charset val="134"/>
          </rPr>
          <t xml:space="preserve">
12/17上 ITEM NO.贴纸 1012 pcs
 进口商贴纸 1012 pcs</t>
        </r>
      </text>
    </comment>
    <comment ref="AB43" authorId="0">
      <text>
        <r>
          <rPr>
            <b/>
            <sz val="16"/>
            <rFont val="宋体"/>
            <charset val="134"/>
          </rPr>
          <t>Administrator:</t>
        </r>
        <r>
          <rPr>
            <sz val="16"/>
            <rFont val="宋体"/>
            <charset val="134"/>
          </rPr>
          <t xml:space="preserve">
0000919 1/4 1760 pcs华兴三楼B15
</t>
        </r>
      </text>
    </comment>
    <comment ref="AB44" authorId="0">
      <text>
        <r>
          <rPr>
            <b/>
            <sz val="16"/>
            <rFont val="宋体"/>
            <charset val="134"/>
          </rPr>
          <t>Administrator:</t>
        </r>
        <r>
          <rPr>
            <sz val="16"/>
            <rFont val="宋体"/>
            <charset val="134"/>
          </rPr>
          <t xml:space="preserve">
0000993 1/8 1210 pcs 华兴三楼B14</t>
        </r>
      </text>
    </comment>
    <comment ref="AD44" authorId="0">
      <text>
        <r>
          <rPr>
            <b/>
            <sz val="18"/>
            <rFont val="宋体"/>
            <charset val="134"/>
          </rPr>
          <t>Administrator:</t>
        </r>
        <r>
          <rPr>
            <sz val="18"/>
            <rFont val="宋体"/>
            <charset val="134"/>
          </rPr>
          <t xml:space="preserve">
12/18上 进口商贴纸 1210 pcs</t>
        </r>
      </text>
    </comment>
    <comment ref="AB45" authorId="0">
      <text>
        <r>
          <rPr>
            <b/>
            <sz val="16"/>
            <rFont val="宋体"/>
            <charset val="134"/>
          </rPr>
          <t>Administrator:</t>
        </r>
        <r>
          <rPr>
            <sz val="16"/>
            <rFont val="宋体"/>
            <charset val="134"/>
          </rPr>
          <t xml:space="preserve">
0000919 1/4 1210 pcs华兴三楼B12
</t>
        </r>
      </text>
    </comment>
    <comment ref="AB46" authorId="0">
      <text>
        <r>
          <rPr>
            <b/>
            <sz val="16"/>
            <rFont val="宋体"/>
            <charset val="134"/>
          </rPr>
          <t>Administrator:</t>
        </r>
        <r>
          <rPr>
            <sz val="16"/>
            <rFont val="宋体"/>
            <charset val="134"/>
          </rPr>
          <t xml:space="preserve">
0000649 12/31 504 pcs 华兴三楼B7</t>
        </r>
      </text>
    </comment>
    <comment ref="AD46" authorId="0">
      <text>
        <r>
          <rPr>
            <b/>
            <sz val="14"/>
            <rFont val="宋体"/>
            <charset val="134"/>
          </rPr>
          <t>Administrator:</t>
        </r>
        <r>
          <rPr>
            <sz val="14"/>
            <rFont val="宋体"/>
            <charset val="134"/>
          </rPr>
          <t xml:space="preserve">
</t>
        </r>
        <r>
          <rPr>
            <sz val="18"/>
            <rFont val="宋体"/>
            <charset val="134"/>
          </rPr>
          <t>12/16 上环保标贴纸 504 pcs
上UPC贴纸 504 pcs
ES回收标贴纸 504 pcs
12/13上 亚马逊外箱贴纸 21 pcs
12/27上 回收标贴纸 -16号订错，订成 邮箱贴纸
UPC贴纸做错补订
1/14上 UPC贴纸 504 pcs</t>
        </r>
      </text>
    </comment>
    <comment ref="AB47" authorId="0">
      <text>
        <r>
          <rPr>
            <b/>
            <sz val="16"/>
            <rFont val="宋体"/>
            <charset val="134"/>
          </rPr>
          <t>Administrator:</t>
        </r>
        <r>
          <rPr>
            <sz val="16"/>
            <rFont val="宋体"/>
            <charset val="134"/>
          </rPr>
          <t xml:space="preserve">
0000649 12/31 504 pcs 华兴三楼B7</t>
        </r>
      </text>
    </comment>
    <comment ref="AD47" authorId="0">
      <text>
        <r>
          <rPr>
            <b/>
            <sz val="14"/>
            <rFont val="宋体"/>
            <charset val="134"/>
          </rPr>
          <t>Administrator:</t>
        </r>
        <r>
          <rPr>
            <sz val="14"/>
            <rFont val="宋体"/>
            <charset val="134"/>
          </rPr>
          <t xml:space="preserve">
</t>
        </r>
        <r>
          <rPr>
            <sz val="18"/>
            <rFont val="宋体"/>
            <charset val="134"/>
          </rPr>
          <t xml:space="preserve">12/16 上环保标贴纸 504 pcs
上UPC贴纸 504 pcs
ES回收标贴纸 504 pcs
12/13上 亚马逊外箱贴纸 21 pcs
12/27上 回收标贴纸 -16号订错，订成 邮箱贴纸
UPC贴纸做错补订
1/14上 UPC贴纸 504 pcs
</t>
        </r>
      </text>
    </comment>
    <comment ref="AB48" authorId="0">
      <text>
        <r>
          <rPr>
            <b/>
            <sz val="16"/>
            <rFont val="宋体"/>
            <charset val="134"/>
          </rPr>
          <t>Administrator:</t>
        </r>
        <r>
          <rPr>
            <sz val="16"/>
            <rFont val="宋体"/>
            <charset val="134"/>
          </rPr>
          <t xml:space="preserve">
0000649 12/31 504 pcs 华兴三楼B7</t>
        </r>
      </text>
    </comment>
    <comment ref="AD48" authorId="0">
      <text>
        <r>
          <rPr>
            <b/>
            <sz val="16"/>
            <rFont val="宋体"/>
            <charset val="134"/>
          </rPr>
          <t>Administrator:</t>
        </r>
        <r>
          <rPr>
            <sz val="16"/>
            <rFont val="宋体"/>
            <charset val="134"/>
          </rPr>
          <t xml:space="preserve">
12/20上 亚马逊外箱贴纸 21 pcs
12/25上 环保标贴纸 504 pcs
 UPC贴纸 504 pcs
 邮箱贴纸 504 pcs
UPC贴纸做错补订
1/14上 UPC贴纸 504 pcs
</t>
        </r>
      </text>
    </comment>
    <comment ref="AB49" authorId="0">
      <text>
        <r>
          <rPr>
            <b/>
            <sz val="16"/>
            <rFont val="宋体"/>
            <charset val="134"/>
          </rPr>
          <t>Administrator:</t>
        </r>
        <r>
          <rPr>
            <sz val="16"/>
            <rFont val="宋体"/>
            <charset val="134"/>
          </rPr>
          <t xml:space="preserve">
0000981 1/9  送胶件
 前壳 600 pcs
 后壳 600 pcs
 底座 600 pcs</t>
        </r>
      </text>
    </comment>
    <comment ref="AB50" authorId="0">
      <text>
        <r>
          <rPr>
            <b/>
            <sz val="16"/>
            <rFont val="宋体"/>
            <charset val="134"/>
          </rPr>
          <t>Administrator:</t>
        </r>
        <r>
          <rPr>
            <sz val="16"/>
            <rFont val="宋体"/>
            <charset val="134"/>
          </rPr>
          <t xml:space="preserve">
0001062 1/13 462 pcs 华兴三楼B13
0001071 1/14 44 pcs</t>
        </r>
      </text>
    </comment>
    <comment ref="AD50" authorId="0">
      <text>
        <r>
          <rPr>
            <b/>
            <sz val="16"/>
            <rFont val="宋体"/>
            <charset val="134"/>
          </rPr>
          <t>Administrator:</t>
        </r>
        <r>
          <rPr>
            <sz val="16"/>
            <rFont val="宋体"/>
            <charset val="134"/>
          </rPr>
          <t xml:space="preserve">
11/29上 客供AsN贴纸 23 pcs
 客供HU贴纸 23 pcs
1/6上 进口商贴纸 506 pcs
 说明书贴纸 506 pcs
 空白贴纸 506 pcs
 价格贴纸 506 pcs</t>
        </r>
      </text>
    </comment>
    <comment ref="AB51" authorId="0">
      <text>
        <r>
          <rPr>
            <b/>
            <sz val="16"/>
            <rFont val="宋体"/>
            <charset val="134"/>
          </rPr>
          <t>Administrator:</t>
        </r>
        <r>
          <rPr>
            <sz val="16"/>
            <rFont val="宋体"/>
            <charset val="134"/>
          </rPr>
          <t xml:space="preserve">
0001071 1/14 616 pcs 华兴三楼B15</t>
        </r>
      </text>
    </comment>
    <comment ref="AD51" authorId="0">
      <text>
        <r>
          <rPr>
            <b/>
            <sz val="18"/>
            <rFont val="宋体"/>
            <charset val="134"/>
          </rPr>
          <t>Administrator:</t>
        </r>
        <r>
          <rPr>
            <sz val="18"/>
            <rFont val="宋体"/>
            <charset val="134"/>
          </rPr>
          <t xml:space="preserve">
12/18上 日语贴纸 616 pcs</t>
        </r>
      </text>
    </comment>
    <comment ref="AB52" authorId="0">
      <text>
        <r>
          <rPr>
            <b/>
            <sz val="16"/>
            <rFont val="宋体"/>
            <charset val="134"/>
          </rPr>
          <t>Administrator:</t>
        </r>
        <r>
          <rPr>
            <sz val="16"/>
            <rFont val="宋体"/>
            <charset val="134"/>
          </rPr>
          <t xml:space="preserve">
0001139 1/18 1498 pcs 华兴三楼A22</t>
        </r>
      </text>
    </comment>
    <comment ref="AB53" authorId="0">
      <text>
        <r>
          <rPr>
            <b/>
            <sz val="16"/>
            <rFont val="宋体"/>
            <charset val="134"/>
          </rPr>
          <t>Administrator:</t>
        </r>
        <r>
          <rPr>
            <sz val="16"/>
            <rFont val="宋体"/>
            <charset val="134"/>
          </rPr>
          <t xml:space="preserve">
0001105 1/16 1008 pcs</t>
        </r>
      </text>
    </comment>
    <comment ref="AD53" authorId="0">
      <text>
        <r>
          <rPr>
            <b/>
            <sz val="16"/>
            <rFont val="宋体"/>
            <charset val="134"/>
          </rPr>
          <t>Administrator:</t>
        </r>
        <r>
          <rPr>
            <sz val="16"/>
            <rFont val="宋体"/>
            <charset val="134"/>
          </rPr>
          <t xml:space="preserve">
12/12上 客人白色Cat.label 1008 pcs</t>
        </r>
      </text>
    </comment>
    <comment ref="AB54" authorId="0">
      <text>
        <r>
          <rPr>
            <b/>
            <sz val="16"/>
            <rFont val="宋体"/>
            <charset val="134"/>
          </rPr>
          <t>Administrator:</t>
        </r>
        <r>
          <rPr>
            <sz val="16"/>
            <rFont val="宋体"/>
            <charset val="134"/>
          </rPr>
          <t xml:space="preserve">
0001105 1/16 616 pcs</t>
        </r>
      </text>
    </comment>
    <comment ref="AD54" authorId="0">
      <text>
        <r>
          <rPr>
            <b/>
            <sz val="16"/>
            <rFont val="宋体"/>
            <charset val="134"/>
          </rPr>
          <t>Administrator:</t>
        </r>
        <r>
          <rPr>
            <sz val="16"/>
            <rFont val="宋体"/>
            <charset val="134"/>
          </rPr>
          <t xml:space="preserve">
1/3上 价格贴纸 647 pcs</t>
        </r>
      </text>
    </comment>
    <comment ref="AB55" authorId="0">
      <text>
        <r>
          <rPr>
            <b/>
            <sz val="16"/>
            <rFont val="宋体"/>
            <charset val="134"/>
          </rPr>
          <t>Administrator:</t>
        </r>
        <r>
          <rPr>
            <sz val="16"/>
            <rFont val="宋体"/>
            <charset val="134"/>
          </rPr>
          <t xml:space="preserve">
0001166 1/22 240 pcs 华兴三楼B5</t>
        </r>
      </text>
    </comment>
    <comment ref="AD55" authorId="0">
      <text>
        <r>
          <rPr>
            <b/>
            <sz val="16"/>
            <rFont val="宋体"/>
            <charset val="134"/>
          </rPr>
          <t>Administrator:</t>
        </r>
        <r>
          <rPr>
            <sz val="16"/>
            <rFont val="宋体"/>
            <charset val="134"/>
          </rPr>
          <t xml:space="preserve">
12/30上 EAN条码贴纸 240 pcs
贴纸做错补订
1/14上 条码贴纸 240 pcs</t>
        </r>
      </text>
    </comment>
    <comment ref="AB56" authorId="0">
      <text>
        <r>
          <rPr>
            <b/>
            <sz val="16"/>
            <rFont val="宋体"/>
            <charset val="134"/>
          </rPr>
          <t>Administrator:</t>
        </r>
        <r>
          <rPr>
            <sz val="16"/>
            <rFont val="宋体"/>
            <charset val="134"/>
          </rPr>
          <t xml:space="preserve">
0001166 1/22 288 pcs 华兴三楼B5</t>
        </r>
      </text>
    </comment>
    <comment ref="AD56" authorId="0">
      <text>
        <r>
          <rPr>
            <b/>
            <sz val="16"/>
            <rFont val="宋体"/>
            <charset val="134"/>
          </rPr>
          <t>Administrator:</t>
        </r>
        <r>
          <rPr>
            <sz val="16"/>
            <rFont val="宋体"/>
            <charset val="134"/>
          </rPr>
          <t xml:space="preserve">
12/30上 EAN条码贴纸 288 pcs
贴纸做错补订
1/14上 条码贴纸 288 pcs</t>
        </r>
      </text>
    </comment>
    <comment ref="AB57" authorId="0">
      <text>
        <r>
          <rPr>
            <b/>
            <sz val="16"/>
            <rFont val="宋体"/>
            <charset val="134"/>
          </rPr>
          <t>Administrator:</t>
        </r>
        <r>
          <rPr>
            <sz val="16"/>
            <rFont val="宋体"/>
            <charset val="134"/>
          </rPr>
          <t xml:space="preserve">
0001166 1/22 288 pcs 华兴三楼B5</t>
        </r>
      </text>
    </comment>
    <comment ref="AD57" authorId="0">
      <text>
        <r>
          <rPr>
            <b/>
            <sz val="16"/>
            <rFont val="宋体"/>
            <charset val="134"/>
          </rPr>
          <t>Administrator:</t>
        </r>
        <r>
          <rPr>
            <sz val="16"/>
            <rFont val="宋体"/>
            <charset val="134"/>
          </rPr>
          <t xml:space="preserve">
12/30上 EAN条码贴纸 288 pcs
贴纸做错补订
1/14上 条码贴纸 288 pcs</t>
        </r>
      </text>
    </comment>
    <comment ref="AB58" authorId="0">
      <text>
        <r>
          <rPr>
            <b/>
            <sz val="16"/>
            <rFont val="宋体"/>
            <charset val="134"/>
          </rPr>
          <t>Administrator:</t>
        </r>
        <r>
          <rPr>
            <sz val="16"/>
            <rFont val="宋体"/>
            <charset val="134"/>
          </rPr>
          <t xml:space="preserve">
0001166 1/22 408 pcs 华兴三楼B5</t>
        </r>
      </text>
    </comment>
    <comment ref="AD58" authorId="0">
      <text>
        <r>
          <rPr>
            <b/>
            <sz val="16"/>
            <rFont val="宋体"/>
            <charset val="134"/>
          </rPr>
          <t>Administrator:</t>
        </r>
        <r>
          <rPr>
            <sz val="16"/>
            <rFont val="宋体"/>
            <charset val="134"/>
          </rPr>
          <t xml:space="preserve">
12/30上 EAN条码贴纸 408 pcs
贴纸做错补订
1/14上 条码贴纸 408 pcs</t>
        </r>
      </text>
    </comment>
    <comment ref="AB59" authorId="0">
      <text>
        <r>
          <rPr>
            <b/>
            <sz val="16"/>
            <rFont val="宋体"/>
            <charset val="134"/>
          </rPr>
          <t>Administrator:</t>
        </r>
        <r>
          <rPr>
            <sz val="16"/>
            <rFont val="宋体"/>
            <charset val="134"/>
          </rPr>
          <t xml:space="preserve">
0001170 2/12 814 pcs华兴三楼B14
</t>
        </r>
      </text>
    </comment>
    <comment ref="AD59" authorId="0">
      <text>
        <r>
          <rPr>
            <b/>
            <sz val="16"/>
            <rFont val="宋体"/>
            <charset val="134"/>
          </rPr>
          <t>Administrator:</t>
        </r>
        <r>
          <rPr>
            <sz val="16"/>
            <rFont val="宋体"/>
            <charset val="134"/>
          </rPr>
          <t xml:space="preserve">
1/3上 EAN条码贴纸 814 pcs
WEEE声明说明书 814 pcs
 PDQ条码贴纸 74 pcs</t>
        </r>
      </text>
    </comment>
    <comment ref="AB60" authorId="0">
      <text>
        <r>
          <rPr>
            <b/>
            <sz val="16"/>
            <rFont val="宋体"/>
            <charset val="134"/>
          </rPr>
          <t>Administrator:</t>
        </r>
        <r>
          <rPr>
            <sz val="16"/>
            <rFont val="宋体"/>
            <charset val="134"/>
          </rPr>
          <t xml:space="preserve">
0001170 2/12 396 pcs 华兴三楼B14</t>
        </r>
      </text>
    </comment>
    <comment ref="AD60" authorId="0">
      <text>
        <r>
          <rPr>
            <sz val="16"/>
            <rFont val="宋体"/>
            <charset val="134"/>
          </rPr>
          <t>Administrator:
12/25上 进口商贴纸 396 pcs</t>
        </r>
      </text>
    </comment>
    <comment ref="AB61" authorId="0">
      <text>
        <r>
          <rPr>
            <b/>
            <sz val="16"/>
            <rFont val="宋体"/>
            <charset val="134"/>
          </rPr>
          <t>Administrator:</t>
        </r>
        <r>
          <rPr>
            <sz val="16"/>
            <rFont val="宋体"/>
            <charset val="134"/>
          </rPr>
          <t xml:space="preserve">
0001170 2/12 504 pcs华兴三楼B13
</t>
        </r>
      </text>
    </comment>
    <comment ref="AD61" authorId="0">
      <text>
        <r>
          <rPr>
            <b/>
            <sz val="16"/>
            <rFont val="宋体"/>
            <charset val="134"/>
          </rPr>
          <t>Administrator:</t>
        </r>
        <r>
          <rPr>
            <sz val="16"/>
            <rFont val="宋体"/>
            <charset val="134"/>
          </rPr>
          <t xml:space="preserve">
1/6上 UPC贴纸 504 pcs
 环保标贴纸 504 pcs
 邮箱贴纸 504 pcs
1/10上 亚马逊外箱贴纸 21 pcs
 ES环保标贴纸 504 pcs
UPC贴纸做错补订
1/14上 UPC贴纸 504 pcs
</t>
        </r>
      </text>
    </comment>
    <comment ref="AB62" authorId="0">
      <text>
        <r>
          <rPr>
            <b/>
            <sz val="18"/>
            <rFont val="宋体"/>
            <charset val="134"/>
          </rPr>
          <t>Administrator:</t>
        </r>
        <r>
          <rPr>
            <sz val="18"/>
            <rFont val="宋体"/>
            <charset val="134"/>
          </rPr>
          <t xml:space="preserve">
0001237 2/18 504 pcs 华兴三楼B8</t>
        </r>
      </text>
    </comment>
    <comment ref="AD62" authorId="0">
      <text>
        <r>
          <rPr>
            <b/>
            <sz val="16"/>
            <rFont val="宋体"/>
            <charset val="134"/>
          </rPr>
          <t>Administrator:</t>
        </r>
        <r>
          <rPr>
            <sz val="16"/>
            <rFont val="宋体"/>
            <charset val="134"/>
          </rPr>
          <t xml:space="preserve">
1/6上 UPC贴纸 504 pcs
 环保标贴纸 504 pcs
 邮箱贴纸 504 pcs
1/10上 亚马逊外箱贴纸 21 pcs
 ES环保标贴纸 504 pcs
UPC贴纸做错补订
1/14上 UPC贴纸 504 pcs
</t>
        </r>
      </text>
    </comment>
    <comment ref="AB63" authorId="0">
      <text>
        <r>
          <rPr>
            <b/>
            <sz val="18"/>
            <rFont val="宋体"/>
            <charset val="134"/>
          </rPr>
          <t>Administrator:</t>
        </r>
        <r>
          <rPr>
            <sz val="18"/>
            <rFont val="宋体"/>
            <charset val="134"/>
          </rPr>
          <t xml:space="preserve">
0001237 2/18 504 pcs 华兴三楼B8</t>
        </r>
      </text>
    </comment>
    <comment ref="AD63" authorId="0">
      <text>
        <r>
          <rPr>
            <b/>
            <sz val="16"/>
            <rFont val="宋体"/>
            <charset val="134"/>
          </rPr>
          <t>Administrator:</t>
        </r>
        <r>
          <rPr>
            <sz val="16"/>
            <rFont val="宋体"/>
            <charset val="134"/>
          </rPr>
          <t xml:space="preserve">
1/6上 UPC贴纸 504 pcs
 环保标贴纸 504 pcs
 邮箱贴纸 504 pcs
1/10上 亚马逊外箱贴纸 21 pcs
 ES环保标贴纸 504 pcs
UPC贴纸做错补订
1/14上 UPC贴纸 504 pcs
</t>
        </r>
      </text>
    </comment>
    <comment ref="AB64" authorId="0">
      <text>
        <r>
          <rPr>
            <b/>
            <sz val="16"/>
            <rFont val="宋体"/>
            <charset val="134"/>
          </rPr>
          <t>Administrator:</t>
        </r>
        <r>
          <rPr>
            <sz val="16"/>
            <rFont val="宋体"/>
            <charset val="134"/>
          </rPr>
          <t xml:space="preserve">
0001210 2/14 72 pcs 华兴三楼B12</t>
        </r>
      </text>
    </comment>
    <comment ref="AD64" authorId="0">
      <text>
        <r>
          <rPr>
            <b/>
            <sz val="16"/>
            <rFont val="宋体"/>
            <charset val="134"/>
          </rPr>
          <t>Administrator:</t>
        </r>
        <r>
          <rPr>
            <sz val="16"/>
            <rFont val="宋体"/>
            <charset val="134"/>
          </rPr>
          <t xml:space="preserve">
12/30上 UPC贴纸 72 pcs
UPC贴纸做错补订
1/14上 UPC贴纸 72 pcs
1/18上 客供亚马逊外箱贴纸 3 pcs</t>
        </r>
      </text>
    </comment>
    <comment ref="AB65" authorId="0">
      <text>
        <r>
          <rPr>
            <b/>
            <sz val="16"/>
            <rFont val="宋体"/>
            <charset val="134"/>
          </rPr>
          <t>Administrator:</t>
        </r>
        <r>
          <rPr>
            <sz val="16"/>
            <rFont val="宋体"/>
            <charset val="134"/>
          </rPr>
          <t xml:space="preserve">
0001170 2/12 1992 pcs华兴三楼B14
</t>
        </r>
      </text>
    </comment>
    <comment ref="AD65" authorId="0">
      <text>
        <r>
          <rPr>
            <b/>
            <sz val="16"/>
            <rFont val="宋体"/>
            <charset val="134"/>
          </rPr>
          <t>Administrator:</t>
        </r>
        <r>
          <rPr>
            <sz val="16"/>
            <rFont val="宋体"/>
            <charset val="134"/>
          </rPr>
          <t xml:space="preserve">
12/30上 UPC贴纸 1992 pcs
1/18上 客供亚马逊外箱贴纸 83 pcs
</t>
        </r>
      </text>
    </comment>
    <comment ref="AB66" authorId="0">
      <text>
        <r>
          <rPr>
            <b/>
            <sz val="16"/>
            <rFont val="宋体"/>
            <charset val="134"/>
          </rPr>
          <t>Administrator:</t>
        </r>
        <r>
          <rPr>
            <sz val="16"/>
            <rFont val="宋体"/>
            <charset val="134"/>
          </rPr>
          <t xml:space="preserve">
0001210 2/14 48 pcs 华兴三楼B12</t>
        </r>
      </text>
    </comment>
    <comment ref="AD66" authorId="0">
      <text>
        <r>
          <rPr>
            <b/>
            <sz val="16"/>
            <rFont val="宋体"/>
            <charset val="134"/>
          </rPr>
          <t>Administrator:</t>
        </r>
        <r>
          <rPr>
            <sz val="16"/>
            <rFont val="宋体"/>
            <charset val="134"/>
          </rPr>
          <t xml:space="preserve">
12/30上 UPC贴纸 48 pcs
UPC贴纸做错补订
1/14上 UPC贴纸 48 pcs
1/18上 客供亚马逊外箱贴纸 2 pcs
</t>
        </r>
      </text>
    </comment>
    <comment ref="AB67" authorId="0">
      <text>
        <r>
          <rPr>
            <b/>
            <sz val="16"/>
            <rFont val="宋体"/>
            <charset val="134"/>
          </rPr>
          <t>Administrator:</t>
        </r>
        <r>
          <rPr>
            <sz val="16"/>
            <rFont val="宋体"/>
            <charset val="134"/>
          </rPr>
          <t xml:space="preserve">
0001237 2/18 528 pcs 华兴三楼B8</t>
        </r>
      </text>
    </comment>
    <comment ref="AD67" authorId="0">
      <text>
        <r>
          <rPr>
            <b/>
            <sz val="16"/>
            <rFont val="宋体"/>
            <charset val="134"/>
          </rPr>
          <t>Administrator:</t>
        </r>
        <r>
          <rPr>
            <sz val="16"/>
            <rFont val="宋体"/>
            <charset val="134"/>
          </rPr>
          <t xml:space="preserve">
12/30上 UPC贴纸 528 pcs1/18上 客供亚马逊外箱贴纸 22 pcs
</t>
        </r>
      </text>
    </comment>
    <comment ref="AB68" authorId="0">
      <text>
        <r>
          <rPr>
            <b/>
            <sz val="16"/>
            <rFont val="宋体"/>
            <charset val="134"/>
          </rPr>
          <t>Administrator:</t>
        </r>
        <r>
          <rPr>
            <sz val="16"/>
            <rFont val="宋体"/>
            <charset val="134"/>
          </rPr>
          <t xml:space="preserve">
0001170 2/12 264 pcs华兴三楼B13
</t>
        </r>
      </text>
    </comment>
    <comment ref="AD68" authorId="0">
      <text>
        <r>
          <rPr>
            <b/>
            <sz val="16"/>
            <rFont val="宋体"/>
            <charset val="134"/>
          </rPr>
          <t>Administrator:</t>
        </r>
        <r>
          <rPr>
            <sz val="16"/>
            <rFont val="宋体"/>
            <charset val="134"/>
          </rPr>
          <t xml:space="preserve">
12/30上 UPC贴纸 264 pcs
1/18上 客供亚马逊外箱贴纸 11 pcs
</t>
        </r>
      </text>
    </comment>
    <comment ref="AB69" authorId="0">
      <text>
        <r>
          <rPr>
            <b/>
            <sz val="16"/>
            <rFont val="宋体"/>
            <charset val="134"/>
          </rPr>
          <t>Administrator:</t>
        </r>
        <r>
          <rPr>
            <sz val="16"/>
            <rFont val="宋体"/>
            <charset val="134"/>
          </rPr>
          <t xml:space="preserve">
0001170 2/12 360 pcs华兴三楼B13
</t>
        </r>
      </text>
    </comment>
    <comment ref="AD69" authorId="0">
      <text>
        <r>
          <rPr>
            <b/>
            <sz val="16"/>
            <rFont val="宋体"/>
            <charset val="134"/>
          </rPr>
          <t>Administrator:</t>
        </r>
        <r>
          <rPr>
            <sz val="16"/>
            <rFont val="宋体"/>
            <charset val="134"/>
          </rPr>
          <t xml:space="preserve">
12/30上 UPC贴纸 36 pcs1/18上 客供亚马逊外箱贴纸 15 pcs
</t>
        </r>
      </text>
    </comment>
    <comment ref="AB70" authorId="0">
      <text>
        <r>
          <rPr>
            <b/>
            <sz val="16"/>
            <rFont val="宋体"/>
            <charset val="134"/>
          </rPr>
          <t>Administrator:</t>
        </r>
        <r>
          <rPr>
            <sz val="16"/>
            <rFont val="宋体"/>
            <charset val="134"/>
          </rPr>
          <t xml:space="preserve">
0001170 2/12 504 pcs华兴三楼B13
</t>
        </r>
      </text>
    </comment>
    <comment ref="AD70" authorId="0">
      <text>
        <r>
          <rPr>
            <b/>
            <sz val="16"/>
            <rFont val="宋体"/>
            <charset val="134"/>
          </rPr>
          <t>Administrator:</t>
        </r>
        <r>
          <rPr>
            <sz val="16"/>
            <rFont val="宋体"/>
            <charset val="134"/>
          </rPr>
          <t xml:space="preserve">
1/6上 亚马逊外箱贴纸  21 pcs
1/10上 UPC贴纸 504 pcs
 ZURU邮箱 504 pcs
 环保标贴纸 504 pcs
1/10上 ES环保标贴纸 504 pcs</t>
        </r>
      </text>
    </comment>
    <comment ref="AB71" authorId="0">
      <text>
        <r>
          <rPr>
            <b/>
            <sz val="18"/>
            <rFont val="宋体"/>
            <charset val="134"/>
          </rPr>
          <t>Administrator:</t>
        </r>
        <r>
          <rPr>
            <sz val="18"/>
            <rFont val="宋体"/>
            <charset val="134"/>
          </rPr>
          <t xml:space="preserve">
0001252 2/19 528 pcs </t>
        </r>
      </text>
    </comment>
    <comment ref="AD71" authorId="0">
      <text>
        <r>
          <rPr>
            <b/>
            <sz val="16"/>
            <rFont val="宋体"/>
            <charset val="134"/>
          </rPr>
          <t>Administrator:</t>
        </r>
        <r>
          <rPr>
            <sz val="16"/>
            <rFont val="宋体"/>
            <charset val="134"/>
          </rPr>
          <t xml:space="preserve">
1/17上 进口商贴纸 528 pcs</t>
        </r>
      </text>
    </comment>
    <comment ref="AB72" authorId="0">
      <text>
        <r>
          <rPr>
            <b/>
            <sz val="16"/>
            <rFont val="宋体"/>
            <charset val="134"/>
          </rPr>
          <t>Administrator:</t>
        </r>
        <r>
          <rPr>
            <sz val="16"/>
            <rFont val="宋体"/>
            <charset val="134"/>
          </rPr>
          <t xml:space="preserve">
0001210 2/14 396 pcs 华兴三楼A27</t>
        </r>
      </text>
    </comment>
    <comment ref="AD72" authorId="0">
      <text>
        <r>
          <rPr>
            <b/>
            <sz val="16"/>
            <rFont val="宋体"/>
            <charset val="134"/>
          </rPr>
          <t>Administrator:</t>
        </r>
        <r>
          <rPr>
            <sz val="16"/>
            <rFont val="宋体"/>
            <charset val="134"/>
          </rPr>
          <t xml:space="preserve">
1/17上 进口商贴纸 396 pcs</t>
        </r>
      </text>
    </comment>
    <comment ref="AB73" authorId="0">
      <text>
        <r>
          <rPr>
            <b/>
            <sz val="16"/>
            <rFont val="宋体"/>
            <charset val="134"/>
          </rPr>
          <t>Administrator:</t>
        </r>
        <r>
          <rPr>
            <sz val="16"/>
            <rFont val="宋体"/>
            <charset val="134"/>
          </rPr>
          <t xml:space="preserve">
0001210 2/14 418 pcs 华兴三楼A27</t>
        </r>
      </text>
    </comment>
    <comment ref="AD73" authorId="0">
      <text>
        <r>
          <rPr>
            <b/>
            <sz val="16"/>
            <rFont val="宋体"/>
            <charset val="134"/>
          </rPr>
          <t>Administrator:</t>
        </r>
        <r>
          <rPr>
            <sz val="16"/>
            <rFont val="宋体"/>
            <charset val="134"/>
          </rPr>
          <t xml:space="preserve">
1/17上 进口商贴纸 418 pcs</t>
        </r>
      </text>
    </comment>
    <comment ref="AB74" authorId="0">
      <text>
        <r>
          <rPr>
            <b/>
            <sz val="16"/>
            <rFont val="宋体"/>
            <charset val="134"/>
          </rPr>
          <t>Administrator:</t>
        </r>
        <r>
          <rPr>
            <sz val="16"/>
            <rFont val="宋体"/>
            <charset val="134"/>
          </rPr>
          <t xml:space="preserve">
0001210 2/14 176 pcs 华兴三楼A27</t>
        </r>
      </text>
    </comment>
    <comment ref="AD74" authorId="0">
      <text>
        <r>
          <rPr>
            <b/>
            <sz val="16"/>
            <rFont val="宋体"/>
            <charset val="134"/>
          </rPr>
          <t>Administrator:</t>
        </r>
        <r>
          <rPr>
            <sz val="16"/>
            <rFont val="宋体"/>
            <charset val="134"/>
          </rPr>
          <t xml:space="preserve">
1/17上 进口商贴纸 176 pcs</t>
        </r>
      </text>
    </comment>
    <comment ref="AB75" authorId="0">
      <text>
        <r>
          <rPr>
            <b/>
            <sz val="18"/>
            <rFont val="宋体"/>
            <charset val="134"/>
          </rPr>
          <t>Administrator:</t>
        </r>
        <r>
          <rPr>
            <sz val="18"/>
            <rFont val="宋体"/>
            <charset val="134"/>
          </rPr>
          <t xml:space="preserve">
0001252 2/19 1008 pcs 华兴三楼B14</t>
        </r>
      </text>
    </comment>
    <comment ref="AD75" authorId="0">
      <text>
        <r>
          <rPr>
            <b/>
            <sz val="16"/>
            <rFont val="宋体"/>
            <charset val="134"/>
          </rPr>
          <t>Administrator:</t>
        </r>
        <r>
          <rPr>
            <sz val="16"/>
            <rFont val="宋体"/>
            <charset val="134"/>
          </rPr>
          <t xml:space="preserve">
12/26上 德语callout贴纸 1008 pcs
 WEEE声明说明书纸 1008 pcs
 EAN条码贴纸 1008 pcs</t>
        </r>
      </text>
    </comment>
    <comment ref="AB76" authorId="0">
      <text>
        <r>
          <rPr>
            <b/>
            <sz val="16"/>
            <rFont val="宋体"/>
            <charset val="134"/>
          </rPr>
          <t>Administrator:</t>
        </r>
        <r>
          <rPr>
            <sz val="16"/>
            <rFont val="宋体"/>
            <charset val="134"/>
          </rPr>
          <t xml:space="preserve">
0001293 2/21 24 pcs 华兴三楼B14</t>
        </r>
      </text>
    </comment>
    <comment ref="AD76" authorId="0">
      <text>
        <r>
          <rPr>
            <b/>
            <sz val="16"/>
            <rFont val="宋体"/>
            <charset val="134"/>
          </rPr>
          <t>Administrator:</t>
        </r>
        <r>
          <rPr>
            <sz val="16"/>
            <rFont val="宋体"/>
            <charset val="134"/>
          </rPr>
          <t xml:space="preserve">
1/10上 UPC贴纸 24 pcs
2/10上 亚马逊外箱贴纸 1 pcs</t>
        </r>
      </text>
    </comment>
    <comment ref="AB77" authorId="0">
      <text>
        <r>
          <rPr>
            <b/>
            <sz val="16"/>
            <rFont val="宋体"/>
            <charset val="134"/>
          </rPr>
          <t>Administrator:</t>
        </r>
        <r>
          <rPr>
            <sz val="16"/>
            <rFont val="宋体"/>
            <charset val="134"/>
          </rPr>
          <t xml:space="preserve">
0001293 2/21 24 pcs 华兴三楼B14</t>
        </r>
      </text>
    </comment>
    <comment ref="AD77" authorId="0">
      <text>
        <r>
          <rPr>
            <b/>
            <sz val="16"/>
            <rFont val="宋体"/>
            <charset val="134"/>
          </rPr>
          <t>Administrator:</t>
        </r>
        <r>
          <rPr>
            <sz val="16"/>
            <rFont val="宋体"/>
            <charset val="134"/>
          </rPr>
          <t xml:space="preserve">
1/10上 UPC贴纸 24 pcs
2/10上 亚马逊外箱贴纸 1 pcs</t>
        </r>
      </text>
    </comment>
    <comment ref="AB78" authorId="0">
      <text>
        <r>
          <rPr>
            <b/>
            <sz val="16"/>
            <rFont val="宋体"/>
            <charset val="134"/>
          </rPr>
          <t>Administrator:</t>
        </r>
        <r>
          <rPr>
            <sz val="16"/>
            <rFont val="宋体"/>
            <charset val="134"/>
          </rPr>
          <t xml:space="preserve">
0001293 2/21 24 pcs 华兴三楼B14</t>
        </r>
      </text>
    </comment>
    <comment ref="AD78" authorId="0">
      <text>
        <r>
          <rPr>
            <b/>
            <sz val="16"/>
            <rFont val="宋体"/>
            <charset val="134"/>
          </rPr>
          <t>Administrator:</t>
        </r>
        <r>
          <rPr>
            <sz val="16"/>
            <rFont val="宋体"/>
            <charset val="134"/>
          </rPr>
          <t xml:space="preserve">
1/10上 UPC贴纸 24 pcs
2/10上 亚马逊外箱贴纸 1 pcs</t>
        </r>
      </text>
    </comment>
    <comment ref="AB79" authorId="0">
      <text>
        <r>
          <rPr>
            <b/>
            <sz val="16"/>
            <rFont val="宋体"/>
            <charset val="134"/>
          </rPr>
          <t>Administrator:</t>
        </r>
        <r>
          <rPr>
            <sz val="16"/>
            <rFont val="宋体"/>
            <charset val="134"/>
          </rPr>
          <t xml:space="preserve">
0001293 2/21 24 pcs 华兴三楼B14</t>
        </r>
      </text>
    </comment>
    <comment ref="AD79" authorId="0">
      <text>
        <r>
          <rPr>
            <b/>
            <sz val="16"/>
            <rFont val="宋体"/>
            <charset val="134"/>
          </rPr>
          <t>Administrator:</t>
        </r>
        <r>
          <rPr>
            <sz val="16"/>
            <rFont val="宋体"/>
            <charset val="134"/>
          </rPr>
          <t xml:space="preserve">
1/10上 UPC贴纸 24 pcs
2/10上 亚马逊外箱贴纸 1 pcs</t>
        </r>
      </text>
    </comment>
    <comment ref="AB80" authorId="0">
      <text>
        <r>
          <rPr>
            <b/>
            <sz val="16"/>
            <rFont val="宋体"/>
            <charset val="134"/>
          </rPr>
          <t>Administrator:</t>
        </r>
        <r>
          <rPr>
            <sz val="16"/>
            <rFont val="宋体"/>
            <charset val="134"/>
          </rPr>
          <t xml:space="preserve">
0001293 2/21 1386 pcs 华兴三楼B16</t>
        </r>
      </text>
    </comment>
    <comment ref="AD80" authorId="0">
      <text>
        <r>
          <rPr>
            <b/>
            <sz val="16"/>
            <rFont val="宋体"/>
            <charset val="134"/>
          </rPr>
          <t>Administrator:</t>
        </r>
        <r>
          <rPr>
            <sz val="16"/>
            <rFont val="宋体"/>
            <charset val="134"/>
          </rPr>
          <t xml:space="preserve">
1/6上 进口商贴纸 1386 pcs</t>
        </r>
      </text>
    </comment>
    <comment ref="AB81" authorId="0">
      <text>
        <r>
          <rPr>
            <b/>
            <sz val="16"/>
            <rFont val="宋体"/>
            <charset val="134"/>
          </rPr>
          <t>Administrator:</t>
        </r>
        <r>
          <rPr>
            <sz val="16"/>
            <rFont val="宋体"/>
            <charset val="134"/>
          </rPr>
          <t xml:space="preserve">
0001237 2/18 2520 pcs 华兴三楼B11</t>
        </r>
      </text>
    </comment>
    <comment ref="AD81" authorId="0">
      <text>
        <r>
          <rPr>
            <b/>
            <sz val="16"/>
            <rFont val="宋体"/>
            <charset val="134"/>
          </rPr>
          <t>Administrator:</t>
        </r>
        <r>
          <rPr>
            <sz val="16"/>
            <rFont val="宋体"/>
            <charset val="134"/>
          </rPr>
          <t xml:space="preserve">
12/26上 四国语言警告语贴纸 2520 pcs</t>
        </r>
      </text>
    </comment>
    <comment ref="AB82" authorId="0">
      <text>
        <r>
          <rPr>
            <b/>
            <sz val="16"/>
            <rFont val="宋体"/>
            <charset val="134"/>
          </rPr>
          <t>Administrator:</t>
        </r>
        <r>
          <rPr>
            <sz val="16"/>
            <rFont val="宋体"/>
            <charset val="134"/>
          </rPr>
          <t xml:space="preserve">
0001293 2/21 4004 pcs 华兴三楼B16</t>
        </r>
      </text>
    </comment>
    <comment ref="AB83" authorId="0">
      <text>
        <r>
          <rPr>
            <b/>
            <sz val="16"/>
            <rFont val="宋体"/>
            <charset val="134"/>
          </rPr>
          <t>Administrator:</t>
        </r>
        <r>
          <rPr>
            <sz val="16"/>
            <rFont val="宋体"/>
            <charset val="134"/>
          </rPr>
          <t xml:space="preserve">
0001293 2/21 504 pcs 华兴三楼B14</t>
        </r>
      </text>
    </comment>
    <comment ref="AD83" authorId="0">
      <text>
        <r>
          <rPr>
            <b/>
            <sz val="16"/>
            <rFont val="宋体"/>
            <charset val="134"/>
          </rPr>
          <t>Administrator:</t>
        </r>
        <r>
          <rPr>
            <sz val="16"/>
            <rFont val="宋体"/>
            <charset val="134"/>
          </rPr>
          <t xml:space="preserve">
1/6上 亚马逊外箱贴纸  21 pcs
1/6上 UPC贴纸 504 pcs
 环保标贴纸 504 pcs
 ES回收标 504 pcs
邮箱贴纸 504 pcs
UPC贴纸做错补订
1/14上 UPC贴纸 504 pcs
</t>
        </r>
      </text>
    </comment>
    <comment ref="AB84" authorId="0">
      <text>
        <r>
          <rPr>
            <b/>
            <sz val="16"/>
            <rFont val="宋体"/>
            <charset val="134"/>
          </rPr>
          <t>Administrator:</t>
        </r>
        <r>
          <rPr>
            <sz val="16"/>
            <rFont val="宋体"/>
            <charset val="134"/>
          </rPr>
          <t xml:space="preserve">
0001293 2/21 504 pcs 华兴三楼B14</t>
        </r>
      </text>
    </comment>
    <comment ref="AD84" authorId="0">
      <text>
        <r>
          <rPr>
            <b/>
            <sz val="16"/>
            <rFont val="宋体"/>
            <charset val="134"/>
          </rPr>
          <t>Administrator:</t>
        </r>
        <r>
          <rPr>
            <sz val="16"/>
            <rFont val="宋体"/>
            <charset val="134"/>
          </rPr>
          <t xml:space="preserve">
1/6上 亚马逊外箱贴纸  21 pcs
1/6上 UPC贴纸 504 pcs
 环保标贴纸 504 pcs
 ES回收标 504 pcs
邮箱贴纸 504 pcs
UPC贴纸做错补订
1/14上 UPC贴纸 504 pcs
</t>
        </r>
      </text>
    </comment>
    <comment ref="AB85" authorId="0">
      <text>
        <r>
          <rPr>
            <b/>
            <sz val="16"/>
            <rFont val="宋体"/>
            <charset val="134"/>
          </rPr>
          <t>Administrator:</t>
        </r>
        <r>
          <rPr>
            <sz val="16"/>
            <rFont val="宋体"/>
            <charset val="134"/>
          </rPr>
          <t xml:space="preserve">
0001312 2/26 363 pcs 华兴三楼B12</t>
        </r>
      </text>
    </comment>
    <comment ref="AD85" authorId="0">
      <text>
        <r>
          <rPr>
            <b/>
            <sz val="16"/>
            <rFont val="宋体"/>
            <charset val="134"/>
          </rPr>
          <t>Administrator:</t>
        </r>
        <r>
          <rPr>
            <sz val="16"/>
            <rFont val="宋体"/>
            <charset val="134"/>
          </rPr>
          <t xml:space="preserve">
2/20上 EAN贴纸 363 pcs</t>
        </r>
      </text>
    </comment>
    <comment ref="AB86" authorId="0">
      <text>
        <r>
          <rPr>
            <b/>
            <sz val="16"/>
            <rFont val="宋体"/>
            <charset val="134"/>
          </rPr>
          <t>Administrator:</t>
        </r>
        <r>
          <rPr>
            <sz val="16"/>
            <rFont val="宋体"/>
            <charset val="134"/>
          </rPr>
          <t xml:space="preserve">
0001312 2/26 5049 pcs 华兴三楼B11
0001327 2/27 11 pcs 华兴三楼B11</t>
        </r>
      </text>
    </comment>
    <comment ref="AD86" authorId="0">
      <text>
        <r>
          <rPr>
            <b/>
            <sz val="18"/>
            <rFont val="宋体"/>
            <charset val="134"/>
          </rPr>
          <t>Administrator:</t>
        </r>
        <r>
          <rPr>
            <sz val="18"/>
            <rFont val="宋体"/>
            <charset val="134"/>
          </rPr>
          <t xml:space="preserve">
2/18上 韩语贴纸 5060 pcs</t>
        </r>
      </text>
    </comment>
    <comment ref="AB87" authorId="0">
      <text>
        <r>
          <rPr>
            <b/>
            <sz val="16"/>
            <rFont val="宋体"/>
            <charset val="134"/>
          </rPr>
          <t>Administrator:</t>
        </r>
        <r>
          <rPr>
            <sz val="16"/>
            <rFont val="宋体"/>
            <charset val="134"/>
          </rPr>
          <t xml:space="preserve">
0001312 2/26 4180 pcs 华兴三楼B11</t>
        </r>
      </text>
    </comment>
    <comment ref="AD87" authorId="0">
      <text>
        <r>
          <rPr>
            <b/>
            <sz val="16"/>
            <rFont val="宋体"/>
            <charset val="134"/>
          </rPr>
          <t>Administrator:</t>
        </r>
        <r>
          <rPr>
            <sz val="16"/>
            <rFont val="宋体"/>
            <charset val="134"/>
          </rPr>
          <t xml:space="preserve">
2/13上 进口商贴纸 4180 pcs</t>
        </r>
      </text>
    </comment>
    <comment ref="AB88" authorId="0">
      <text>
        <r>
          <rPr>
            <b/>
            <sz val="16"/>
            <rFont val="宋体"/>
            <charset val="134"/>
          </rPr>
          <t>Administrator:</t>
        </r>
        <r>
          <rPr>
            <sz val="16"/>
            <rFont val="宋体"/>
            <charset val="134"/>
          </rPr>
          <t xml:space="preserve">
0001320 2/27 1320 pcs 华兴三楼B14</t>
        </r>
      </text>
    </comment>
    <comment ref="AD88" authorId="0">
      <text>
        <r>
          <rPr>
            <b/>
            <sz val="16"/>
            <rFont val="宋体"/>
            <charset val="134"/>
          </rPr>
          <t>Administrator:</t>
        </r>
        <r>
          <rPr>
            <sz val="16"/>
            <rFont val="宋体"/>
            <charset val="134"/>
          </rPr>
          <t xml:space="preserve">
2/20上 德语callout翻译贴纸</t>
        </r>
        <r>
          <rPr>
            <b/>
            <sz val="16"/>
            <rFont val="宋体"/>
            <charset val="134"/>
          </rPr>
          <t xml:space="preserve"> 1320 pcs</t>
        </r>
      </text>
    </comment>
    <comment ref="AB89" authorId="0">
      <text>
        <r>
          <rPr>
            <b/>
            <sz val="16"/>
            <rFont val="宋体"/>
            <charset val="134"/>
          </rPr>
          <t>Administrator:</t>
        </r>
        <r>
          <rPr>
            <sz val="16"/>
            <rFont val="宋体"/>
            <charset val="134"/>
          </rPr>
          <t xml:space="preserve">
0001320 2/27 504 pcs 华兴三楼B14</t>
        </r>
      </text>
    </comment>
    <comment ref="AD89" authorId="0">
      <text>
        <r>
          <rPr>
            <b/>
            <sz val="16"/>
            <rFont val="宋体"/>
            <charset val="134"/>
          </rPr>
          <t>Administrator:</t>
        </r>
        <r>
          <rPr>
            <sz val="16"/>
            <rFont val="宋体"/>
            <charset val="134"/>
          </rPr>
          <t xml:space="preserve">
1/6上 进口商贴纸 506 pcs</t>
        </r>
      </text>
    </comment>
    <comment ref="AB90" authorId="0">
      <text>
        <r>
          <rPr>
            <b/>
            <sz val="16"/>
            <rFont val="宋体"/>
            <charset val="134"/>
          </rPr>
          <t>Administrator:</t>
        </r>
        <r>
          <rPr>
            <sz val="16"/>
            <rFont val="宋体"/>
            <charset val="134"/>
          </rPr>
          <t xml:space="preserve">
0001320 2/27 660 pcs 华兴三楼B14</t>
        </r>
      </text>
    </comment>
    <comment ref="AD90" authorId="0">
      <text>
        <r>
          <rPr>
            <b/>
            <sz val="16"/>
            <rFont val="宋体"/>
            <charset val="134"/>
          </rPr>
          <t>Administrator:</t>
        </r>
        <r>
          <rPr>
            <sz val="16"/>
            <rFont val="宋体"/>
            <charset val="134"/>
          </rPr>
          <t xml:space="preserve">
1/6上 进口商贴纸 660 pcs</t>
        </r>
      </text>
    </comment>
    <comment ref="AB91" authorId="0">
      <text>
        <r>
          <rPr>
            <b/>
            <sz val="16"/>
            <rFont val="宋体"/>
            <charset val="134"/>
          </rPr>
          <t>Administrator:</t>
        </r>
        <r>
          <rPr>
            <sz val="16"/>
            <rFont val="宋体"/>
            <charset val="134"/>
          </rPr>
          <t xml:space="preserve">
0001320 2/27 2222 pcs 华兴三楼B16</t>
        </r>
      </text>
    </comment>
    <comment ref="AD91" authorId="0">
      <text>
        <r>
          <rPr>
            <b/>
            <sz val="16"/>
            <rFont val="宋体"/>
            <charset val="134"/>
          </rPr>
          <t>Administrator:</t>
        </r>
        <r>
          <rPr>
            <sz val="16"/>
            <rFont val="宋体"/>
            <charset val="134"/>
          </rPr>
          <t xml:space="preserve">
2/21上 进口商贴纸 2222 pcs</t>
        </r>
      </text>
    </comment>
    <comment ref="AB92" authorId="0">
      <text>
        <r>
          <rPr>
            <b/>
            <sz val="16"/>
            <rFont val="宋体"/>
            <charset val="134"/>
          </rPr>
          <t>Administrator:</t>
        </r>
        <r>
          <rPr>
            <sz val="16"/>
            <rFont val="宋体"/>
            <charset val="134"/>
          </rPr>
          <t xml:space="preserve">
0001345 3/5 594 pcs 华兴三楼B12</t>
        </r>
      </text>
    </comment>
    <comment ref="AD92" authorId="0">
      <text>
        <r>
          <rPr>
            <b/>
            <sz val="16"/>
            <rFont val="宋体"/>
            <charset val="134"/>
          </rPr>
          <t>Administrator:</t>
        </r>
        <r>
          <rPr>
            <sz val="16"/>
            <rFont val="宋体"/>
            <charset val="134"/>
          </rPr>
          <t xml:space="preserve">
2/20上 日语贴纸 594 pcs
补上日语贴纸，订错
2/26上 日语贴纸 594 pcs</t>
        </r>
      </text>
    </comment>
    <comment ref="AB93" authorId="0">
      <text>
        <r>
          <rPr>
            <b/>
            <sz val="16"/>
            <rFont val="宋体"/>
            <charset val="134"/>
          </rPr>
          <t>Administrator:</t>
        </r>
        <r>
          <rPr>
            <sz val="16"/>
            <rFont val="宋体"/>
            <charset val="134"/>
          </rPr>
          <t xml:space="preserve">
0001346 3/5 1500 pcs 华兴三楼A15</t>
        </r>
      </text>
    </comment>
    <comment ref="AD93" authorId="0">
      <text>
        <r>
          <rPr>
            <b/>
            <sz val="16"/>
            <rFont val="宋体"/>
            <charset val="134"/>
          </rPr>
          <t>Administrator:</t>
        </r>
        <r>
          <rPr>
            <sz val="16"/>
            <rFont val="宋体"/>
            <charset val="134"/>
          </rPr>
          <t xml:space="preserve">
2/10上 客供白色防盗贴纸 1500 pcs
2/25上 KM外箱贴纸 250 pcs</t>
        </r>
      </text>
    </comment>
    <comment ref="AB94" authorId="0">
      <text>
        <r>
          <rPr>
            <b/>
            <sz val="16"/>
            <rFont val="宋体"/>
            <charset val="134"/>
          </rPr>
          <t>Administrator:</t>
        </r>
        <r>
          <rPr>
            <sz val="16"/>
            <rFont val="宋体"/>
            <charset val="134"/>
          </rPr>
          <t xml:space="preserve">
0001346 3/5 216 pcs 华兴三楼B8</t>
        </r>
      </text>
    </comment>
    <comment ref="AD94" authorId="0">
      <text>
        <r>
          <rPr>
            <b/>
            <sz val="16"/>
            <rFont val="宋体"/>
            <charset val="134"/>
          </rPr>
          <t>Administrator:</t>
        </r>
        <r>
          <rPr>
            <sz val="16"/>
            <rFont val="宋体"/>
            <charset val="134"/>
          </rPr>
          <t xml:space="preserve">
2/17上 EAN贴纸 216 pcs</t>
        </r>
      </text>
    </comment>
    <comment ref="AB95" authorId="0">
      <text>
        <r>
          <rPr>
            <b/>
            <sz val="16"/>
            <rFont val="宋体"/>
            <charset val="134"/>
          </rPr>
          <t>Administrator:</t>
        </r>
        <r>
          <rPr>
            <sz val="16"/>
            <rFont val="宋体"/>
            <charset val="134"/>
          </rPr>
          <t xml:space="preserve">
0001346 3/5 216 pcs 华兴三楼B8</t>
        </r>
      </text>
    </comment>
    <comment ref="AD95" authorId="0">
      <text>
        <r>
          <rPr>
            <b/>
            <sz val="16"/>
            <rFont val="宋体"/>
            <charset val="134"/>
          </rPr>
          <t>Administrator:</t>
        </r>
        <r>
          <rPr>
            <sz val="16"/>
            <rFont val="宋体"/>
            <charset val="134"/>
          </rPr>
          <t xml:space="preserve">
2/17上 EAN贴纸 216 pcs</t>
        </r>
      </text>
    </comment>
    <comment ref="AB96" authorId="0">
      <text>
        <r>
          <rPr>
            <b/>
            <sz val="16"/>
            <rFont val="宋体"/>
            <charset val="134"/>
          </rPr>
          <t>Administrator:</t>
        </r>
        <r>
          <rPr>
            <sz val="16"/>
            <rFont val="宋体"/>
            <charset val="134"/>
          </rPr>
          <t xml:space="preserve">
0001346 3/5 216 pcs 华兴三楼B8</t>
        </r>
      </text>
    </comment>
    <comment ref="AD96" authorId="0">
      <text>
        <r>
          <rPr>
            <b/>
            <sz val="16"/>
            <rFont val="宋体"/>
            <charset val="134"/>
          </rPr>
          <t>Administrator:</t>
        </r>
        <r>
          <rPr>
            <sz val="16"/>
            <rFont val="宋体"/>
            <charset val="134"/>
          </rPr>
          <t xml:space="preserve">
2/17上 EAN贴纸 216 pcs</t>
        </r>
      </text>
    </comment>
    <comment ref="AB97" authorId="0">
      <text>
        <r>
          <rPr>
            <b/>
            <sz val="16"/>
            <rFont val="宋体"/>
            <charset val="134"/>
          </rPr>
          <t>Administrator:</t>
        </r>
        <r>
          <rPr>
            <sz val="16"/>
            <rFont val="宋体"/>
            <charset val="134"/>
          </rPr>
          <t xml:space="preserve">
0001346 3/5 216 pcs 华兴三楼B8</t>
        </r>
      </text>
    </comment>
    <comment ref="AD97" authorId="0">
      <text>
        <r>
          <rPr>
            <b/>
            <sz val="16"/>
            <rFont val="宋体"/>
            <charset val="134"/>
          </rPr>
          <t>Administrator:</t>
        </r>
        <r>
          <rPr>
            <sz val="16"/>
            <rFont val="宋体"/>
            <charset val="134"/>
          </rPr>
          <t xml:space="preserve">
2/17上 EAN贴纸 216 pcs</t>
        </r>
      </text>
    </comment>
    <comment ref="AB98" authorId="0">
      <text>
        <r>
          <rPr>
            <b/>
            <sz val="16"/>
            <rFont val="宋体"/>
            <charset val="134"/>
          </rPr>
          <t>Administrator:</t>
        </r>
        <r>
          <rPr>
            <sz val="16"/>
            <rFont val="宋体"/>
            <charset val="134"/>
          </rPr>
          <t xml:space="preserve">
0001344 3/5 528 pcs 华兴三楼B9</t>
        </r>
      </text>
    </comment>
    <comment ref="AD98" authorId="0">
      <text>
        <r>
          <rPr>
            <b/>
            <sz val="16"/>
            <rFont val="宋体"/>
            <charset val="134"/>
          </rPr>
          <t>Administrator:</t>
        </r>
        <r>
          <rPr>
            <sz val="16"/>
            <rFont val="宋体"/>
            <charset val="134"/>
          </rPr>
          <t xml:space="preserve">
2/24上 进口商贴纸 528 pcs</t>
        </r>
      </text>
    </comment>
    <comment ref="AB99" authorId="0">
      <text>
        <r>
          <rPr>
            <b/>
            <sz val="16"/>
            <rFont val="宋体"/>
            <charset val="134"/>
          </rPr>
          <t>Administrator:</t>
        </r>
        <r>
          <rPr>
            <sz val="16"/>
            <rFont val="宋体"/>
            <charset val="134"/>
          </rPr>
          <t xml:space="preserve">
0001344 3/5 396 pcs 华兴三楼B9</t>
        </r>
      </text>
    </comment>
    <comment ref="AD99" authorId="0">
      <text>
        <r>
          <rPr>
            <b/>
            <sz val="16"/>
            <rFont val="宋体"/>
            <charset val="134"/>
          </rPr>
          <t>Administrator:</t>
        </r>
        <r>
          <rPr>
            <sz val="16"/>
            <rFont val="宋体"/>
            <charset val="134"/>
          </rPr>
          <t xml:space="preserve">
2/24上 进口商贴纸 396 pcs</t>
        </r>
      </text>
    </comment>
    <comment ref="AB100" authorId="0">
      <text>
        <r>
          <rPr>
            <b/>
            <sz val="16"/>
            <rFont val="宋体"/>
            <charset val="134"/>
          </rPr>
          <t>Administrator:</t>
        </r>
        <r>
          <rPr>
            <sz val="16"/>
            <rFont val="宋体"/>
            <charset val="134"/>
          </rPr>
          <t xml:space="preserve">
0001344 3/5 418 pcs 华兴三楼B9</t>
        </r>
      </text>
    </comment>
    <comment ref="AD100" authorId="0">
      <text>
        <r>
          <rPr>
            <b/>
            <sz val="16"/>
            <rFont val="宋体"/>
            <charset val="134"/>
          </rPr>
          <t>Administrator:</t>
        </r>
        <r>
          <rPr>
            <sz val="16"/>
            <rFont val="宋体"/>
            <charset val="134"/>
          </rPr>
          <t xml:space="preserve">
2/24上 进口商贴纸 418 pcs</t>
        </r>
      </text>
    </comment>
    <comment ref="AB101" authorId="0">
      <text>
        <r>
          <rPr>
            <b/>
            <sz val="16"/>
            <rFont val="宋体"/>
            <charset val="134"/>
          </rPr>
          <t>Administrator:</t>
        </r>
        <r>
          <rPr>
            <sz val="16"/>
            <rFont val="宋体"/>
            <charset val="134"/>
          </rPr>
          <t xml:space="preserve">
0001344 3/5 176 pcs 华兴三楼B9</t>
        </r>
      </text>
    </comment>
    <comment ref="AD101" authorId="0">
      <text>
        <r>
          <rPr>
            <b/>
            <sz val="16"/>
            <rFont val="宋体"/>
            <charset val="134"/>
          </rPr>
          <t>Administrator:</t>
        </r>
        <r>
          <rPr>
            <sz val="16"/>
            <rFont val="宋体"/>
            <charset val="134"/>
          </rPr>
          <t xml:space="preserve">
2/24上 进口商贴纸 176 pcs</t>
        </r>
      </text>
    </comment>
    <comment ref="AB102" authorId="0">
      <text>
        <r>
          <rPr>
            <b/>
            <sz val="16"/>
            <rFont val="宋体"/>
            <charset val="134"/>
          </rPr>
          <t>Administrator:</t>
        </r>
        <r>
          <rPr>
            <sz val="16"/>
            <rFont val="宋体"/>
            <charset val="134"/>
          </rPr>
          <t xml:space="preserve">
0001345 3/5 594 pcs 华兴三楼B12</t>
        </r>
      </text>
    </comment>
    <comment ref="AD102" authorId="0">
      <text>
        <r>
          <rPr>
            <b/>
            <sz val="18"/>
            <rFont val="宋体"/>
            <charset val="134"/>
          </rPr>
          <t>Administrator:</t>
        </r>
        <r>
          <rPr>
            <sz val="18"/>
            <rFont val="宋体"/>
            <charset val="134"/>
          </rPr>
          <t xml:space="preserve">
12/18上 日语贴纸 594 pcs</t>
        </r>
      </text>
    </comment>
    <comment ref="AB103" authorId="0">
      <text>
        <r>
          <rPr>
            <b/>
            <sz val="16"/>
            <rFont val="宋体"/>
            <charset val="134"/>
          </rPr>
          <t>Administrator:</t>
        </r>
        <r>
          <rPr>
            <sz val="16"/>
            <rFont val="宋体"/>
            <charset val="134"/>
          </rPr>
          <t xml:space="preserve">
0001819 3/14 506 pcs 华兴三楼B15</t>
        </r>
      </text>
    </comment>
    <comment ref="AD103" authorId="0">
      <text>
        <r>
          <rPr>
            <b/>
            <sz val="16"/>
            <rFont val="宋体"/>
            <charset val="134"/>
          </rPr>
          <t>Administrator:</t>
        </r>
        <r>
          <rPr>
            <sz val="16"/>
            <rFont val="宋体"/>
            <charset val="134"/>
          </rPr>
          <t xml:space="preserve">
2/21上 进口商贴纸 506 pcs</t>
        </r>
      </text>
    </comment>
    <comment ref="AB104" authorId="0">
      <text>
        <r>
          <rPr>
            <b/>
            <sz val="16"/>
            <rFont val="宋体"/>
            <charset val="134"/>
          </rPr>
          <t>Administrator:</t>
        </r>
        <r>
          <rPr>
            <sz val="16"/>
            <rFont val="宋体"/>
            <charset val="134"/>
          </rPr>
          <t xml:space="preserve">
0001346 3/5 1197 pcs 华兴三楼B8</t>
        </r>
      </text>
    </comment>
    <comment ref="AB105" authorId="0">
      <text>
        <r>
          <rPr>
            <b/>
            <sz val="16"/>
            <rFont val="宋体"/>
            <charset val="134"/>
          </rPr>
          <t>Administrator:</t>
        </r>
        <r>
          <rPr>
            <sz val="16"/>
            <rFont val="宋体"/>
            <charset val="134"/>
          </rPr>
          <t xml:space="preserve">
0001346 3/5 504 pcs 华兴三楼B10</t>
        </r>
      </text>
    </comment>
    <comment ref="AD105" authorId="0">
      <text>
        <r>
          <rPr>
            <b/>
            <sz val="16"/>
            <rFont val="宋体"/>
            <charset val="134"/>
          </rPr>
          <t>Administrator:</t>
        </r>
        <r>
          <rPr>
            <sz val="16"/>
            <rFont val="宋体"/>
            <charset val="134"/>
          </rPr>
          <t xml:space="preserve">
2/20上 客人白色Cat.label 504 pcs</t>
        </r>
      </text>
    </comment>
    <comment ref="AB106" authorId="0">
      <text>
        <r>
          <rPr>
            <b/>
            <sz val="16"/>
            <rFont val="宋体"/>
            <charset val="134"/>
          </rPr>
          <t>Administrator:</t>
        </r>
        <r>
          <rPr>
            <sz val="16"/>
            <rFont val="宋体"/>
            <charset val="134"/>
          </rPr>
          <t xml:space="preserve">
0001819 3/14 616 pcs 华兴三楼B15</t>
        </r>
      </text>
    </comment>
    <comment ref="AD106" authorId="0">
      <text>
        <r>
          <rPr>
            <b/>
            <sz val="16"/>
            <rFont val="宋体"/>
            <charset val="134"/>
          </rPr>
          <t>Administrator:</t>
        </r>
        <r>
          <rPr>
            <sz val="16"/>
            <rFont val="宋体"/>
            <charset val="134"/>
          </rPr>
          <t xml:space="preserve">
2/27上 进口商贴纸 616 pcs</t>
        </r>
      </text>
    </comment>
    <comment ref="AB107" authorId="0">
      <text>
        <r>
          <rPr>
            <b/>
            <sz val="16"/>
            <rFont val="宋体"/>
            <charset val="134"/>
          </rPr>
          <t>Administrator:</t>
        </r>
        <r>
          <rPr>
            <sz val="16"/>
            <rFont val="宋体"/>
            <charset val="134"/>
          </rPr>
          <t xml:space="preserve">
0001478 3/17 1804 pcs B四楼-A6</t>
        </r>
      </text>
    </comment>
    <comment ref="AD107" authorId="0">
      <text>
        <r>
          <rPr>
            <b/>
            <sz val="16"/>
            <rFont val="宋体"/>
            <charset val="134"/>
          </rPr>
          <t>Administrator:</t>
        </r>
        <r>
          <rPr>
            <sz val="16"/>
            <rFont val="宋体"/>
            <charset val="134"/>
          </rPr>
          <t xml:space="preserve">
3/11上 SSCC外箱贴纸 82 pcs</t>
        </r>
      </text>
    </comment>
    <comment ref="AB108" authorId="0">
      <text>
        <r>
          <rPr>
            <b/>
            <sz val="16"/>
            <rFont val="宋体"/>
            <charset val="134"/>
          </rPr>
          <t>Administrator:</t>
        </r>
        <r>
          <rPr>
            <sz val="16"/>
            <rFont val="宋体"/>
            <charset val="134"/>
          </rPr>
          <t xml:space="preserve">
0001503 3/19 1452 pcs 华兴三楼B7</t>
        </r>
      </text>
    </comment>
    <comment ref="AD108" authorId="0">
      <text>
        <r>
          <rPr>
            <b/>
            <sz val="16"/>
            <rFont val="宋体"/>
            <charset val="134"/>
          </rPr>
          <t>Administrator:</t>
        </r>
        <r>
          <rPr>
            <sz val="16"/>
            <rFont val="宋体"/>
            <charset val="134"/>
          </rPr>
          <t xml:space="preserve">
3/4上 WIC贴纸 1452 pcs
 PDQ折页 242 pcs</t>
        </r>
      </text>
    </comment>
    <comment ref="AB109" authorId="0">
      <text>
        <r>
          <rPr>
            <b/>
            <sz val="16"/>
            <rFont val="宋体"/>
            <charset val="134"/>
          </rPr>
          <t>Administrator:</t>
        </r>
        <r>
          <rPr>
            <sz val="16"/>
            <rFont val="宋体"/>
            <charset val="134"/>
          </rPr>
          <t xml:space="preserve">
0001503 3/19 2226 pcs 华兴三楼B7</t>
        </r>
      </text>
    </comment>
    <comment ref="AD109" authorId="0">
      <text>
        <r>
          <rPr>
            <b/>
            <sz val="16"/>
            <rFont val="宋体"/>
            <charset val="134"/>
          </rPr>
          <t>Administrator:</t>
        </r>
        <r>
          <rPr>
            <sz val="16"/>
            <rFont val="宋体"/>
            <charset val="134"/>
          </rPr>
          <t xml:space="preserve">
3/4上 WIC贴纸 2226 pcs
 PDQ折页 371 pcs</t>
        </r>
      </text>
    </comment>
    <comment ref="AB110" authorId="0">
      <text>
        <r>
          <rPr>
            <b/>
            <sz val="16"/>
            <rFont val="宋体"/>
            <charset val="134"/>
          </rPr>
          <t>Administrator:</t>
        </r>
        <r>
          <rPr>
            <sz val="16"/>
            <rFont val="宋体"/>
            <charset val="134"/>
          </rPr>
          <t xml:space="preserve">
0001571 3/26 312 pcs 华兴三楼B14</t>
        </r>
      </text>
    </comment>
    <comment ref="AD110" authorId="0">
      <text>
        <r>
          <rPr>
            <b/>
            <sz val="16"/>
            <rFont val="宋体"/>
            <charset val="134"/>
          </rPr>
          <t>Administrator:</t>
        </r>
        <r>
          <rPr>
            <sz val="16"/>
            <rFont val="宋体"/>
            <charset val="134"/>
          </rPr>
          <t xml:space="preserve">
2/27上 亚马逊外箱贴纸 13 pcs
3/4上 UPC贴纸 312 pcs</t>
        </r>
      </text>
    </comment>
    <comment ref="AB111" authorId="0">
      <text>
        <r>
          <rPr>
            <b/>
            <sz val="16"/>
            <rFont val="宋体"/>
            <charset val="134"/>
          </rPr>
          <t>Administrator:</t>
        </r>
        <r>
          <rPr>
            <sz val="16"/>
            <rFont val="宋体"/>
            <charset val="134"/>
          </rPr>
          <t xml:space="preserve">
0001518 3/20 1 363 pcs 华兴三楼B14</t>
        </r>
      </text>
    </comment>
    <comment ref="AD111" authorId="0">
      <text>
        <r>
          <rPr>
            <b/>
            <sz val="16"/>
            <rFont val="宋体"/>
            <charset val="134"/>
          </rPr>
          <t>Administrator:</t>
        </r>
        <r>
          <rPr>
            <sz val="16"/>
            <rFont val="宋体"/>
            <charset val="134"/>
          </rPr>
          <t xml:space="preserve">
3/7上 警告语贴纸 363 pcs
  EAN贴纸 363 pcs</t>
        </r>
      </text>
    </comment>
    <comment ref="AB112" authorId="0">
      <text>
        <r>
          <rPr>
            <b/>
            <sz val="16"/>
            <rFont val="宋体"/>
            <charset val="134"/>
          </rPr>
          <t>Administrator:</t>
        </r>
        <r>
          <rPr>
            <sz val="16"/>
            <rFont val="宋体"/>
            <charset val="134"/>
          </rPr>
          <t xml:space="preserve">
0001518 3/20 1 176 pcs 华兴三楼B13</t>
        </r>
      </text>
    </comment>
    <comment ref="AB113" authorId="0">
      <text>
        <r>
          <rPr>
            <b/>
            <sz val="16"/>
            <rFont val="宋体"/>
            <charset val="134"/>
          </rPr>
          <t>Administrator:</t>
        </r>
        <r>
          <rPr>
            <sz val="16"/>
            <rFont val="宋体"/>
            <charset val="134"/>
          </rPr>
          <t xml:space="preserve">
0001694 3/27 1080 pcs 华兴三楼B15
</t>
        </r>
      </text>
    </comment>
    <comment ref="AD113" authorId="0">
      <text>
        <r>
          <rPr>
            <b/>
            <sz val="16"/>
            <rFont val="宋体"/>
            <charset val="134"/>
          </rPr>
          <t>Administrator:</t>
        </r>
        <r>
          <rPr>
            <sz val="16"/>
            <rFont val="宋体"/>
            <charset val="134"/>
          </rPr>
          <t xml:space="preserve">
12/3上 进口商贴纸 1080 pcs
  EAN条码贴纸 1080 pcs</t>
        </r>
      </text>
    </comment>
    <comment ref="AB114" authorId="0">
      <text>
        <r>
          <rPr>
            <b/>
            <sz val="16"/>
            <rFont val="宋体"/>
            <charset val="134"/>
          </rPr>
          <t>Administrator:</t>
        </r>
        <r>
          <rPr>
            <sz val="16"/>
            <rFont val="宋体"/>
            <charset val="134"/>
          </rPr>
          <t xml:space="preserve">
0001590 3/28 506 pcs 华兴三楼B8</t>
        </r>
      </text>
    </comment>
    <comment ref="AD114" authorId="0">
      <text>
        <r>
          <rPr>
            <b/>
            <sz val="16"/>
            <rFont val="宋体"/>
            <charset val="134"/>
          </rPr>
          <t>Administrator:</t>
        </r>
        <r>
          <rPr>
            <sz val="16"/>
            <rFont val="宋体"/>
            <charset val="134"/>
          </rPr>
          <t xml:space="preserve">
3/13上 进口商贴纸（含客人条码） 506 pcs
 外箱条码贴纸 46 pcs
 PDQ 进口商贴纸 46 pcs</t>
        </r>
      </text>
    </comment>
    <comment ref="AB115" authorId="0">
      <text>
        <r>
          <rPr>
            <b/>
            <sz val="16"/>
            <rFont val="宋体"/>
            <charset val="134"/>
          </rPr>
          <t>Administrator:</t>
        </r>
        <r>
          <rPr>
            <sz val="16"/>
            <rFont val="宋体"/>
            <charset val="134"/>
          </rPr>
          <t xml:space="preserve">
0001590 3/28 528 pcs 华兴三楼B8</t>
        </r>
      </text>
    </comment>
    <comment ref="AD115" authorId="0">
      <text>
        <r>
          <rPr>
            <b/>
            <sz val="16"/>
            <rFont val="宋体"/>
            <charset val="134"/>
          </rPr>
          <t>Administrator:</t>
        </r>
        <r>
          <rPr>
            <sz val="16"/>
            <rFont val="宋体"/>
            <charset val="134"/>
          </rPr>
          <t xml:space="preserve">
3/19上 进口商贴纸 528 pcs</t>
        </r>
      </text>
    </comment>
    <comment ref="AB116" authorId="0">
      <text>
        <r>
          <rPr>
            <b/>
            <sz val="16"/>
            <rFont val="宋体"/>
            <charset val="134"/>
          </rPr>
          <t>Administrator:</t>
        </r>
        <r>
          <rPr>
            <sz val="16"/>
            <rFont val="宋体"/>
            <charset val="134"/>
          </rPr>
          <t xml:space="preserve">
0001693 3/27 396 pcs 华兴三楼B14</t>
        </r>
      </text>
    </comment>
    <comment ref="AD116" authorId="0">
      <text>
        <r>
          <rPr>
            <b/>
            <sz val="16"/>
            <rFont val="宋体"/>
            <charset val="134"/>
          </rPr>
          <t>Administrator:</t>
        </r>
        <r>
          <rPr>
            <sz val="16"/>
            <rFont val="宋体"/>
            <charset val="134"/>
          </rPr>
          <t xml:space="preserve">
3/19上 进口商贴纸 396 pcs</t>
        </r>
      </text>
    </comment>
    <comment ref="AB117" authorId="0">
      <text>
        <r>
          <rPr>
            <b/>
            <sz val="16"/>
            <rFont val="宋体"/>
            <charset val="134"/>
          </rPr>
          <t>Administrator:</t>
        </r>
        <r>
          <rPr>
            <sz val="16"/>
            <rFont val="宋体"/>
            <charset val="134"/>
          </rPr>
          <t xml:space="preserve">
0001693 3/27 418 pcs 华兴三楼B14</t>
        </r>
      </text>
    </comment>
    <comment ref="AD117" authorId="0">
      <text>
        <r>
          <rPr>
            <b/>
            <sz val="16"/>
            <rFont val="宋体"/>
            <charset val="134"/>
          </rPr>
          <t>Administrator:</t>
        </r>
        <r>
          <rPr>
            <sz val="16"/>
            <rFont val="宋体"/>
            <charset val="134"/>
          </rPr>
          <t xml:space="preserve">
3/19上 进口商贴纸 418 pcs</t>
        </r>
      </text>
    </comment>
    <comment ref="AB118" authorId="0">
      <text>
        <r>
          <rPr>
            <b/>
            <sz val="16"/>
            <rFont val="宋体"/>
            <charset val="134"/>
          </rPr>
          <t>Administrator:</t>
        </r>
        <r>
          <rPr>
            <sz val="16"/>
            <rFont val="宋体"/>
            <charset val="134"/>
          </rPr>
          <t xml:space="preserve">
0001693 3/27 176 pcs 华兴三楼B14</t>
        </r>
      </text>
    </comment>
    <comment ref="AD118" authorId="0">
      <text>
        <r>
          <rPr>
            <b/>
            <sz val="16"/>
            <rFont val="宋体"/>
            <charset val="134"/>
          </rPr>
          <t>Administrator:</t>
        </r>
        <r>
          <rPr>
            <sz val="16"/>
            <rFont val="宋体"/>
            <charset val="134"/>
          </rPr>
          <t xml:space="preserve">
3/19上 进口商贴纸 176 pcs</t>
        </r>
      </text>
    </comment>
    <comment ref="AB119" authorId="0">
      <text>
        <r>
          <rPr>
            <b/>
            <sz val="16"/>
            <rFont val="宋体"/>
            <charset val="134"/>
          </rPr>
          <t>Administrator:</t>
        </r>
        <r>
          <rPr>
            <sz val="16"/>
            <rFont val="宋体"/>
            <charset val="134"/>
          </rPr>
          <t xml:space="preserve">
0001694 3/27 3300 pcs 华兴三楼B12
</t>
        </r>
      </text>
    </comment>
    <comment ref="AD119" authorId="0">
      <text>
        <r>
          <rPr>
            <b/>
            <sz val="16"/>
            <rFont val="宋体"/>
            <charset val="134"/>
          </rPr>
          <t>Administrator:</t>
        </r>
        <r>
          <rPr>
            <sz val="16"/>
            <rFont val="宋体"/>
            <charset val="134"/>
          </rPr>
          <t xml:space="preserve">
3/4上 EAN条码贴纸 3300 pcs
 WEEE通用黑白说明书 3300 pcs</t>
        </r>
      </text>
    </comment>
    <comment ref="AB120" authorId="0">
      <text>
        <r>
          <rPr>
            <b/>
            <sz val="16"/>
            <rFont val="宋体"/>
            <charset val="134"/>
          </rPr>
          <t>Administrator:</t>
        </r>
        <r>
          <rPr>
            <sz val="16"/>
            <rFont val="宋体"/>
            <charset val="134"/>
          </rPr>
          <t xml:space="preserve">
0001571 3/26 616 pcs 华兴三楼B14</t>
        </r>
      </text>
    </comment>
    <comment ref="AD120" authorId="0">
      <text>
        <r>
          <rPr>
            <b/>
            <sz val="16"/>
            <rFont val="宋体"/>
            <charset val="134"/>
          </rPr>
          <t>Administrator:</t>
        </r>
        <r>
          <rPr>
            <sz val="16"/>
            <rFont val="宋体"/>
            <charset val="134"/>
          </rPr>
          <t xml:space="preserve">
2/20上 日语贴纸 616 pcs
补上日语贴纸，订错
2/26上 日语贴纸 616 pcs
</t>
        </r>
      </text>
    </comment>
    <comment ref="AB121" authorId="0">
      <text>
        <r>
          <rPr>
            <b/>
            <sz val="16"/>
            <rFont val="宋体"/>
            <charset val="134"/>
          </rPr>
          <t>Administrator:</t>
        </r>
        <r>
          <rPr>
            <sz val="16"/>
            <rFont val="宋体"/>
            <charset val="134"/>
          </rPr>
          <t xml:space="preserve">
0001694 3/27 2420 pcs  华兴三楼B12</t>
        </r>
      </text>
    </comment>
    <comment ref="AD121" authorId="0">
      <text>
        <r>
          <rPr>
            <b/>
            <sz val="16"/>
            <rFont val="宋体"/>
            <charset val="134"/>
          </rPr>
          <t>Administrator:</t>
        </r>
        <r>
          <rPr>
            <sz val="16"/>
            <rFont val="宋体"/>
            <charset val="134"/>
          </rPr>
          <t xml:space="preserve">
3/19上 德语callout翻译贴纸 2420 pcs
4/1上 更正正确的德语callout翻译贴纸 2420 pcs
</t>
        </r>
      </text>
    </comment>
    <comment ref="AB122" authorId="0">
      <text>
        <r>
          <rPr>
            <b/>
            <sz val="16"/>
            <rFont val="宋体"/>
            <charset val="134"/>
          </rPr>
          <t>Administrator:</t>
        </r>
        <r>
          <rPr>
            <sz val="16"/>
            <rFont val="宋体"/>
            <charset val="134"/>
          </rPr>
          <t xml:space="preserve">
0000533 12/30 384 pcs 华兴三楼A16</t>
        </r>
      </text>
    </comment>
    <comment ref="AD122" authorId="0">
      <text>
        <r>
          <rPr>
            <b/>
            <sz val="16"/>
            <rFont val="宋体"/>
            <charset val="134"/>
          </rPr>
          <t>Administrator:</t>
        </r>
        <r>
          <rPr>
            <sz val="16"/>
            <rFont val="宋体"/>
            <charset val="134"/>
          </rPr>
          <t xml:space="preserve">
12/3上 进口商贴纸 384 pcs
  EAN条码贴纸 384 pcs</t>
        </r>
      </text>
    </comment>
    <comment ref="AB123" authorId="0">
      <text>
        <r>
          <rPr>
            <b/>
            <sz val="18"/>
            <rFont val="宋体"/>
            <charset val="134"/>
          </rPr>
          <t>Administrator:</t>
        </r>
        <r>
          <rPr>
            <sz val="18"/>
            <rFont val="宋体"/>
            <charset val="134"/>
          </rPr>
          <t xml:space="preserve">
0001907 4/2 3300 pcs 华兴三楼B15</t>
        </r>
      </text>
    </comment>
    <comment ref="AD123" authorId="0">
      <text>
        <r>
          <rPr>
            <b/>
            <sz val="16"/>
            <rFont val="宋体"/>
            <charset val="134"/>
          </rPr>
          <t>Administrator:</t>
        </r>
        <r>
          <rPr>
            <sz val="16"/>
            <rFont val="宋体"/>
            <charset val="134"/>
          </rPr>
          <t xml:space="preserve">
3/4上 EAN条码贴纸 3300 pcs
 WEEE通用黑白说明书 3300 pcs</t>
        </r>
      </text>
    </comment>
    <comment ref="AB124" authorId="0">
      <text>
        <r>
          <rPr>
            <b/>
            <sz val="16"/>
            <rFont val="宋体"/>
            <charset val="134"/>
          </rPr>
          <t>Administrator:</t>
        </r>
        <r>
          <rPr>
            <sz val="16"/>
            <rFont val="宋体"/>
            <charset val="134"/>
          </rPr>
          <t xml:space="preserve">
0001848 4/9 220 pcs</t>
        </r>
      </text>
    </comment>
    <comment ref="AB125" authorId="0">
      <text>
        <r>
          <rPr>
            <b/>
            <sz val="16"/>
            <rFont val="宋体"/>
            <charset val="134"/>
          </rPr>
          <t>Administrator:</t>
        </r>
        <r>
          <rPr>
            <sz val="16"/>
            <rFont val="宋体"/>
            <charset val="134"/>
          </rPr>
          <t xml:space="preserve">
0001840 4/8 1680 pcs 华兴三楼B10</t>
        </r>
      </text>
    </comment>
    <comment ref="AD125" authorId="0">
      <text>
        <r>
          <rPr>
            <b/>
            <sz val="18"/>
            <rFont val="宋体"/>
            <charset val="134"/>
          </rPr>
          <t>Administrator:</t>
        </r>
        <r>
          <rPr>
            <sz val="18"/>
            <rFont val="宋体"/>
            <charset val="134"/>
          </rPr>
          <t xml:space="preserve">
3/25上 UPC贴纸 1680 pcs</t>
        </r>
      </text>
    </comment>
    <comment ref="AB126" authorId="0">
      <text>
        <r>
          <rPr>
            <b/>
            <sz val="16"/>
            <rFont val="宋体"/>
            <charset val="134"/>
          </rPr>
          <t>Administrator:</t>
        </r>
        <r>
          <rPr>
            <sz val="16"/>
            <rFont val="宋体"/>
            <charset val="134"/>
          </rPr>
          <t xml:space="preserve">
0001845 4/9 88 pcs 华兴三楼B10
</t>
        </r>
      </text>
    </comment>
    <comment ref="AD126" authorId="0">
      <text>
        <r>
          <rPr>
            <b/>
            <sz val="14"/>
            <rFont val="宋体"/>
            <charset val="134"/>
          </rPr>
          <t>Administrator:</t>
        </r>
        <r>
          <rPr>
            <sz val="14"/>
            <rFont val="宋体"/>
            <charset val="134"/>
          </rPr>
          <t xml:space="preserve">
3/27上 进口商贴纸 88 pcs</t>
        </r>
      </text>
    </comment>
    <comment ref="AB127" authorId="0">
      <text>
        <r>
          <rPr>
            <b/>
            <sz val="16"/>
            <rFont val="宋体"/>
            <charset val="134"/>
          </rPr>
          <t>Administrator:</t>
        </r>
        <r>
          <rPr>
            <sz val="16"/>
            <rFont val="宋体"/>
            <charset val="134"/>
          </rPr>
          <t xml:space="preserve">
0001845 4/9 660 pcs 华兴三楼B10</t>
        </r>
      </text>
    </comment>
    <comment ref="AD127" authorId="0">
      <text>
        <r>
          <rPr>
            <b/>
            <sz val="14"/>
            <rFont val="宋体"/>
            <charset val="134"/>
          </rPr>
          <t>Administrator:</t>
        </r>
        <r>
          <rPr>
            <sz val="14"/>
            <rFont val="宋体"/>
            <charset val="134"/>
          </rPr>
          <t xml:space="preserve">
3/27上 进口商贴纸 660 pcs</t>
        </r>
      </text>
    </comment>
    <comment ref="AB128" authorId="0">
      <text>
        <r>
          <rPr>
            <b/>
            <sz val="16"/>
            <rFont val="宋体"/>
            <charset val="134"/>
          </rPr>
          <t>Administrator:</t>
        </r>
        <r>
          <rPr>
            <sz val="16"/>
            <rFont val="宋体"/>
            <charset val="134"/>
          </rPr>
          <t xml:space="preserve">
0001840 4/8 176 pcs 华兴三楼B10</t>
        </r>
      </text>
    </comment>
    <comment ref="AD128" authorId="0">
      <text>
        <r>
          <rPr>
            <b/>
            <sz val="14"/>
            <rFont val="宋体"/>
            <charset val="134"/>
          </rPr>
          <t>Administrator:</t>
        </r>
        <r>
          <rPr>
            <sz val="14"/>
            <rFont val="宋体"/>
            <charset val="134"/>
          </rPr>
          <t xml:space="preserve">
3/27上 进口商贴纸 176 pcs</t>
        </r>
      </text>
    </comment>
    <comment ref="AB129" authorId="0">
      <text>
        <r>
          <rPr>
            <b/>
            <sz val="16"/>
            <rFont val="宋体"/>
            <charset val="134"/>
          </rPr>
          <t>Administrator:</t>
        </r>
        <r>
          <rPr>
            <sz val="16"/>
            <rFont val="宋体"/>
            <charset val="134"/>
          </rPr>
          <t xml:space="preserve">
0001845 4/9 264 pcs 华兴三楼B10
</t>
        </r>
      </text>
    </comment>
    <comment ref="AD129" authorId="0">
      <text>
        <r>
          <rPr>
            <b/>
            <sz val="14"/>
            <rFont val="宋体"/>
            <charset val="134"/>
          </rPr>
          <t>Administrator:</t>
        </r>
        <r>
          <rPr>
            <sz val="14"/>
            <rFont val="宋体"/>
            <charset val="134"/>
          </rPr>
          <t xml:space="preserve">
3/27上 进口商贴纸 264 pcs</t>
        </r>
      </text>
    </comment>
    <comment ref="AB130" authorId="0">
      <text>
        <r>
          <rPr>
            <b/>
            <sz val="16"/>
            <rFont val="宋体"/>
            <charset val="134"/>
          </rPr>
          <t>Administrator:</t>
        </r>
        <r>
          <rPr>
            <sz val="16"/>
            <rFont val="宋体"/>
            <charset val="134"/>
          </rPr>
          <t xml:space="preserve">
0001845 4/9 484 pcs 华兴三楼B10
</t>
        </r>
      </text>
    </comment>
    <comment ref="AD130" authorId="0">
      <text>
        <r>
          <rPr>
            <b/>
            <sz val="14"/>
            <rFont val="宋体"/>
            <charset val="134"/>
          </rPr>
          <t>Administrator:</t>
        </r>
        <r>
          <rPr>
            <sz val="14"/>
            <rFont val="宋体"/>
            <charset val="134"/>
          </rPr>
          <t xml:space="preserve">
3/27上 进口商贴纸 484 pcs</t>
        </r>
      </text>
    </comment>
    <comment ref="AB131" authorId="0">
      <text>
        <r>
          <rPr>
            <b/>
            <sz val="16"/>
            <rFont val="宋体"/>
            <charset val="134"/>
          </rPr>
          <t>Administrator:</t>
        </r>
        <r>
          <rPr>
            <sz val="16"/>
            <rFont val="宋体"/>
            <charset val="134"/>
          </rPr>
          <t xml:space="preserve">
0001848 4/9 24 pcs 华兴三楼B12</t>
        </r>
      </text>
    </comment>
    <comment ref="AD131" authorId="0">
      <text>
        <r>
          <rPr>
            <b/>
            <sz val="16"/>
            <rFont val="宋体"/>
            <charset val="134"/>
          </rPr>
          <t>Administrator:</t>
        </r>
        <r>
          <rPr>
            <sz val="16"/>
            <rFont val="宋体"/>
            <charset val="134"/>
          </rPr>
          <t xml:space="preserve">
3/26上 UPC贴纸 24 pcs
 3/21上 亚马逊外箱贴纸 1 pcs</t>
        </r>
      </text>
    </comment>
    <comment ref="AB132" authorId="0">
      <text>
        <r>
          <rPr>
            <b/>
            <sz val="16"/>
            <rFont val="宋体"/>
            <charset val="134"/>
          </rPr>
          <t>Administrator:</t>
        </r>
        <r>
          <rPr>
            <sz val="16"/>
            <rFont val="宋体"/>
            <charset val="134"/>
          </rPr>
          <t xml:space="preserve">
0001848 4/9 24 pcs 华兴三楼B12
</t>
        </r>
      </text>
    </comment>
    <comment ref="AD132" authorId="0">
      <text>
        <r>
          <rPr>
            <b/>
            <sz val="16"/>
            <rFont val="宋体"/>
            <charset val="134"/>
          </rPr>
          <t>Administrator:</t>
        </r>
        <r>
          <rPr>
            <sz val="16"/>
            <rFont val="宋体"/>
            <charset val="134"/>
          </rPr>
          <t xml:space="preserve">
3/26上 UPC贴纸 24 pcs
 3/21上 亚马逊外箱贴纸 1 pcs</t>
        </r>
      </text>
    </comment>
    <comment ref="AB133" authorId="0">
      <text>
        <r>
          <rPr>
            <b/>
            <sz val="16"/>
            <rFont val="宋体"/>
            <charset val="134"/>
          </rPr>
          <t>Administrator:</t>
        </r>
        <r>
          <rPr>
            <sz val="16"/>
            <rFont val="宋体"/>
            <charset val="134"/>
          </rPr>
          <t xml:space="preserve">
0001933 4/11 354 pcs 华兴三楼A30</t>
        </r>
      </text>
    </comment>
    <comment ref="AD133" authorId="0">
      <text>
        <r>
          <rPr>
            <b/>
            <sz val="16"/>
            <rFont val="宋体"/>
            <charset val="134"/>
          </rPr>
          <t>Administrator:</t>
        </r>
        <r>
          <rPr>
            <sz val="16"/>
            <rFont val="宋体"/>
            <charset val="134"/>
          </rPr>
          <t xml:space="preserve">
3/4上 WIC贴纸 354 pcs
 PDQ折页 59 pcs</t>
        </r>
      </text>
    </comment>
    <comment ref="AB134" authorId="0">
      <text>
        <r>
          <rPr>
            <b/>
            <sz val="16"/>
            <rFont val="宋体"/>
            <charset val="134"/>
          </rPr>
          <t>Administrator:</t>
        </r>
        <r>
          <rPr>
            <sz val="16"/>
            <rFont val="宋体"/>
            <charset val="134"/>
          </rPr>
          <t xml:space="preserve">
0001933 4/11 1710 pcs 华兴三楼A30</t>
        </r>
      </text>
    </comment>
    <comment ref="AD134" authorId="0">
      <text>
        <r>
          <rPr>
            <b/>
            <sz val="16"/>
            <rFont val="宋体"/>
            <charset val="134"/>
          </rPr>
          <t>Administrator:</t>
        </r>
        <r>
          <rPr>
            <sz val="16"/>
            <rFont val="宋体"/>
            <charset val="134"/>
          </rPr>
          <t xml:space="preserve">
3/4上 WIC贴纸 1710 pcs
 PDQ折页 285 pcs</t>
        </r>
      </text>
    </comment>
    <comment ref="AB135" authorId="0">
      <text>
        <r>
          <rPr>
            <b/>
            <sz val="16"/>
            <rFont val="宋体"/>
            <charset val="134"/>
          </rPr>
          <t>Administrator:</t>
        </r>
        <r>
          <rPr>
            <sz val="16"/>
            <rFont val="宋体"/>
            <charset val="134"/>
          </rPr>
          <t xml:space="preserve">
0001933 4/11 702 pcs 华兴三楼A30</t>
        </r>
      </text>
    </comment>
    <comment ref="AD135" authorId="0">
      <text>
        <r>
          <rPr>
            <b/>
            <sz val="16"/>
            <rFont val="宋体"/>
            <charset val="134"/>
          </rPr>
          <t>Administrator:</t>
        </r>
        <r>
          <rPr>
            <sz val="16"/>
            <rFont val="宋体"/>
            <charset val="134"/>
          </rPr>
          <t xml:space="preserve">
3/4上 WIC贴纸 702 pcs
 PDQ折页 117 pcs</t>
        </r>
      </text>
    </comment>
    <comment ref="AB136" authorId="0">
      <text>
        <r>
          <rPr>
            <b/>
            <sz val="16"/>
            <rFont val="宋体"/>
            <charset val="134"/>
          </rPr>
          <t>Administrator:</t>
        </r>
        <r>
          <rPr>
            <sz val="16"/>
            <rFont val="宋体"/>
            <charset val="134"/>
          </rPr>
          <t xml:space="preserve">
0001933 4/11 3336 pcs 华兴三楼A30</t>
        </r>
      </text>
    </comment>
    <comment ref="AD136" authorId="0">
      <text>
        <r>
          <rPr>
            <b/>
            <sz val="16"/>
            <rFont val="宋体"/>
            <charset val="134"/>
          </rPr>
          <t>Administrator:</t>
        </r>
        <r>
          <rPr>
            <sz val="16"/>
            <rFont val="宋体"/>
            <charset val="134"/>
          </rPr>
          <t xml:space="preserve">
3/4上 WIC贴纸 3336 pcs
 PDQ折页 556 pcs</t>
        </r>
      </text>
    </comment>
    <comment ref="AB137" authorId="0">
      <text>
        <r>
          <rPr>
            <b/>
            <sz val="16"/>
            <rFont val="宋体"/>
            <charset val="134"/>
          </rPr>
          <t>Administrator:</t>
        </r>
        <r>
          <rPr>
            <sz val="16"/>
            <rFont val="宋体"/>
            <charset val="134"/>
          </rPr>
          <t xml:space="preserve">
0001933 4/11 1890 pcs 华兴三楼A30</t>
        </r>
      </text>
    </comment>
    <comment ref="AD137" authorId="0">
      <text>
        <r>
          <rPr>
            <b/>
            <sz val="16"/>
            <rFont val="宋体"/>
            <charset val="134"/>
          </rPr>
          <t>Administrator:</t>
        </r>
        <r>
          <rPr>
            <sz val="16"/>
            <rFont val="宋体"/>
            <charset val="134"/>
          </rPr>
          <t xml:space="preserve">
3/4上 WIC贴纸 1890 pcs
 PDQ折页 315 pcs</t>
        </r>
      </text>
    </comment>
    <comment ref="AB138" authorId="0">
      <text>
        <r>
          <rPr>
            <b/>
            <sz val="16"/>
            <rFont val="宋体"/>
            <charset val="134"/>
          </rPr>
          <t>Administrator:</t>
        </r>
        <r>
          <rPr>
            <sz val="16"/>
            <rFont val="宋体"/>
            <charset val="134"/>
          </rPr>
          <t xml:space="preserve">
0001933 4/11 2898 pcs 华兴三楼A30</t>
        </r>
      </text>
    </comment>
    <comment ref="AD138" authorId="0">
      <text>
        <r>
          <rPr>
            <b/>
            <sz val="16"/>
            <rFont val="宋体"/>
            <charset val="134"/>
          </rPr>
          <t>Administrator:</t>
        </r>
        <r>
          <rPr>
            <sz val="16"/>
            <rFont val="宋体"/>
            <charset val="134"/>
          </rPr>
          <t xml:space="preserve">
3/4上 WIC贴纸 2898 pcs
 PDQ折页 483 pcs</t>
        </r>
      </text>
    </comment>
    <comment ref="AB139" authorId="0">
      <text>
        <r>
          <rPr>
            <b/>
            <sz val="16"/>
            <rFont val="宋体"/>
            <charset val="134"/>
          </rPr>
          <t>Administrator:</t>
        </r>
        <r>
          <rPr>
            <sz val="16"/>
            <rFont val="宋体"/>
            <charset val="134"/>
          </rPr>
          <t xml:space="preserve">
0001683 4/15 504 pcs 华兴三楼A32</t>
        </r>
      </text>
    </comment>
    <comment ref="AD139" authorId="0">
      <text>
        <r>
          <rPr>
            <b/>
            <sz val="14"/>
            <rFont val="宋体"/>
            <charset val="134"/>
          </rPr>
          <t>Administrator:</t>
        </r>
        <r>
          <rPr>
            <sz val="14"/>
            <rFont val="宋体"/>
            <charset val="134"/>
          </rPr>
          <t xml:space="preserve">
</t>
        </r>
        <r>
          <rPr>
            <sz val="18"/>
            <rFont val="宋体"/>
            <charset val="134"/>
          </rPr>
          <t>3/26</t>
        </r>
        <r>
          <rPr>
            <sz val="24"/>
            <rFont val="宋体"/>
            <charset val="134"/>
          </rPr>
          <t xml:space="preserve"> </t>
        </r>
        <r>
          <rPr>
            <sz val="18"/>
            <rFont val="宋体"/>
            <charset val="134"/>
          </rPr>
          <t>上环保标贴纸 504 pcs
上UPC贴纸 504 pcs
ES回收标贴纸 504 pcs
 邮箱贴纸 504 pcs
3/31上 胶袋UPC贴纸 504 pcs
 亚马逊外箱贴纸 21 pcs</t>
        </r>
      </text>
    </comment>
    <comment ref="AB140" authorId="0">
      <text>
        <r>
          <rPr>
            <b/>
            <sz val="16"/>
            <rFont val="宋体"/>
            <charset val="134"/>
          </rPr>
          <t>Administrator:</t>
        </r>
        <r>
          <rPr>
            <sz val="16"/>
            <rFont val="宋体"/>
            <charset val="134"/>
          </rPr>
          <t xml:space="preserve">
0001933 4/11 2502 pcs 华兴三楼A30</t>
        </r>
      </text>
    </comment>
    <comment ref="AD140" authorId="0">
      <text>
        <r>
          <rPr>
            <b/>
            <sz val="16"/>
            <rFont val="宋体"/>
            <charset val="134"/>
          </rPr>
          <t>Administrator:</t>
        </r>
        <r>
          <rPr>
            <sz val="16"/>
            <rFont val="宋体"/>
            <charset val="134"/>
          </rPr>
          <t xml:space="preserve">
3/4上 WIC贴纸 2502 pcs
 PDQ折页 417 pcs</t>
        </r>
      </text>
    </comment>
    <comment ref="AB141" authorId="0">
      <text>
        <r>
          <rPr>
            <b/>
            <sz val="16"/>
            <rFont val="宋体"/>
            <charset val="134"/>
          </rPr>
          <t>Administrator:</t>
        </r>
        <r>
          <rPr>
            <sz val="16"/>
            <rFont val="宋体"/>
            <charset val="134"/>
          </rPr>
          <t xml:space="preserve">
0001683 4/15 2002 pcs 华兴三楼B17</t>
        </r>
      </text>
    </comment>
    <comment ref="AD141" authorId="0">
      <text>
        <r>
          <rPr>
            <b/>
            <sz val="16"/>
            <rFont val="宋体"/>
            <charset val="134"/>
          </rPr>
          <t>Administrator:</t>
        </r>
        <r>
          <rPr>
            <sz val="16"/>
            <rFont val="宋体"/>
            <charset val="134"/>
          </rPr>
          <t xml:space="preserve">
3/26上 德语callout翻译贴纸 2002 pcs
 产品贴纸 2002 pcs
 WEEE声明通用说明书 2002 pcs
3/31上 更正正确贴纸 德语callout翻译贴纸 2002 pcs</t>
        </r>
      </text>
    </comment>
    <comment ref="AB142" authorId="0">
      <text>
        <r>
          <rPr>
            <b/>
            <sz val="16"/>
            <rFont val="宋体"/>
            <charset val="134"/>
          </rPr>
          <t>Administrator:</t>
        </r>
        <r>
          <rPr>
            <sz val="16"/>
            <rFont val="宋体"/>
            <charset val="134"/>
          </rPr>
          <t xml:space="preserve">
0001683 4/15 504 pcs 华兴三楼A32</t>
        </r>
      </text>
    </comment>
    <comment ref="AD142" authorId="0">
      <text>
        <r>
          <rPr>
            <b/>
            <sz val="14"/>
            <rFont val="宋体"/>
            <charset val="134"/>
          </rPr>
          <t>Administrator:</t>
        </r>
        <r>
          <rPr>
            <sz val="14"/>
            <rFont val="宋体"/>
            <charset val="134"/>
          </rPr>
          <t xml:space="preserve">
</t>
        </r>
        <r>
          <rPr>
            <sz val="18"/>
            <rFont val="宋体"/>
            <charset val="134"/>
          </rPr>
          <t>3/26</t>
        </r>
        <r>
          <rPr>
            <sz val="24"/>
            <rFont val="宋体"/>
            <charset val="134"/>
          </rPr>
          <t xml:space="preserve"> </t>
        </r>
        <r>
          <rPr>
            <sz val="18"/>
            <rFont val="宋体"/>
            <charset val="134"/>
          </rPr>
          <t xml:space="preserve">上环保标贴纸 504 pcs
上UPC贴纸 504 pcs
ES回收标贴纸 504 pcs
 邮箱贴纸 504 pcs
3/31上 胶袋UPC贴纸 504 pcs
 亚马逊外箱贴纸 21 pcs
</t>
        </r>
      </text>
    </comment>
    <comment ref="AB143" authorId="0">
      <text>
        <r>
          <rPr>
            <b/>
            <sz val="16"/>
            <rFont val="宋体"/>
            <charset val="134"/>
          </rPr>
          <t>Administrator:</t>
        </r>
        <r>
          <rPr>
            <sz val="16"/>
            <rFont val="宋体"/>
            <charset val="134"/>
          </rPr>
          <t xml:space="preserve">
0001683 4/15 504 pcs 华兴三楼A32</t>
        </r>
      </text>
    </comment>
    <comment ref="AD143" authorId="0">
      <text>
        <r>
          <rPr>
            <b/>
            <sz val="14"/>
            <rFont val="宋体"/>
            <charset val="134"/>
          </rPr>
          <t>Administrator:</t>
        </r>
        <r>
          <rPr>
            <sz val="14"/>
            <rFont val="宋体"/>
            <charset val="134"/>
          </rPr>
          <t xml:space="preserve">
</t>
        </r>
        <r>
          <rPr>
            <sz val="18"/>
            <rFont val="宋体"/>
            <charset val="134"/>
          </rPr>
          <t>3/26</t>
        </r>
        <r>
          <rPr>
            <sz val="24"/>
            <rFont val="宋体"/>
            <charset val="134"/>
          </rPr>
          <t xml:space="preserve"> </t>
        </r>
        <r>
          <rPr>
            <sz val="18"/>
            <rFont val="宋体"/>
            <charset val="134"/>
          </rPr>
          <t xml:space="preserve">上环保标贴纸 504 pcs
上UPC贴纸 504 pcs
ES回收标贴纸 504 pcs
 邮箱贴纸 504 pcs
3/31上 胶袋UPC贴纸 504 pcs
 亚马逊外箱贴纸 21 pcs
</t>
        </r>
      </text>
    </comment>
    <comment ref="AB144" authorId="0">
      <text>
        <r>
          <rPr>
            <b/>
            <sz val="16"/>
            <rFont val="宋体"/>
            <charset val="134"/>
          </rPr>
          <t>Administrator:</t>
        </r>
        <r>
          <rPr>
            <sz val="16"/>
            <rFont val="宋体"/>
            <charset val="134"/>
          </rPr>
          <t xml:space="preserve">
0001683 4/15 4620 pcs 华兴三楼B16</t>
        </r>
      </text>
    </comment>
    <comment ref="AD144" authorId="0">
      <text>
        <r>
          <rPr>
            <b/>
            <sz val="16"/>
            <rFont val="宋体"/>
            <charset val="134"/>
          </rPr>
          <t>Administrator:</t>
        </r>
        <r>
          <rPr>
            <sz val="16"/>
            <rFont val="宋体"/>
            <charset val="134"/>
          </rPr>
          <t xml:space="preserve">
3/19上 德语callout翻译贴纸 4620 pcs
4/1上更正正确的德语callout翻译贴纸 4620 pcs
</t>
        </r>
      </text>
    </comment>
    <comment ref="AB145" authorId="0">
      <text>
        <r>
          <rPr>
            <b/>
            <sz val="16"/>
            <rFont val="宋体"/>
            <charset val="134"/>
          </rPr>
          <t>Administrator:</t>
        </r>
        <r>
          <rPr>
            <sz val="16"/>
            <rFont val="宋体"/>
            <charset val="134"/>
          </rPr>
          <t xml:space="preserve">
0001656 4/16 616 pcs 华兴三楼B4</t>
        </r>
      </text>
    </comment>
    <comment ref="AB146" authorId="0">
      <text>
        <r>
          <rPr>
            <b/>
            <sz val="18"/>
            <rFont val="宋体"/>
            <charset val="134"/>
          </rPr>
          <t>Administrator:</t>
        </r>
        <r>
          <rPr>
            <sz val="18"/>
            <rFont val="宋体"/>
            <charset val="134"/>
          </rPr>
          <t xml:space="preserve">
0001604 4/24 1398 pcs 华兴三楼B14</t>
        </r>
      </text>
    </comment>
    <comment ref="AD146" authorId="0">
      <text>
        <r>
          <rPr>
            <b/>
            <sz val="18"/>
            <rFont val="宋体"/>
            <charset val="134"/>
          </rPr>
          <t>Administrator:</t>
        </r>
        <r>
          <rPr>
            <sz val="18"/>
            <rFont val="宋体"/>
            <charset val="134"/>
          </rPr>
          <t xml:space="preserve">
3/31上 白色防盗贴纸 1398 pcs
4/9上 KM外箱贴纸 233 pcs</t>
        </r>
      </text>
    </comment>
    <comment ref="AB147" authorId="0">
      <text>
        <r>
          <rPr>
            <b/>
            <sz val="18"/>
            <rFont val="宋体"/>
            <charset val="134"/>
          </rPr>
          <t>Administrator:</t>
        </r>
        <r>
          <rPr>
            <sz val="18"/>
            <rFont val="宋体"/>
            <charset val="134"/>
          </rPr>
          <t xml:space="preserve">
0001604 4/24 102 pcs 华兴三楼B14</t>
        </r>
      </text>
    </comment>
    <comment ref="AD147" authorId="0">
      <text>
        <r>
          <rPr>
            <b/>
            <sz val="18"/>
            <rFont val="宋体"/>
            <charset val="134"/>
          </rPr>
          <t>Administrator:</t>
        </r>
        <r>
          <rPr>
            <sz val="18"/>
            <rFont val="宋体"/>
            <charset val="134"/>
          </rPr>
          <t xml:space="preserve">
3/31上 白色防盗贴纸 102 pcs
4/9上 KM外箱贴纸 17 pcs
</t>
        </r>
      </text>
    </comment>
    <comment ref="AB148" authorId="0">
      <text>
        <r>
          <rPr>
            <b/>
            <sz val="18"/>
            <rFont val="宋体"/>
            <charset val="134"/>
          </rPr>
          <t>Administrator:</t>
        </r>
        <r>
          <rPr>
            <sz val="18"/>
            <rFont val="宋体"/>
            <charset val="134"/>
          </rPr>
          <t xml:space="preserve">
0001604 4/24 1518 pcs 华兴三楼B15</t>
        </r>
      </text>
    </comment>
    <comment ref="AD148" authorId="0">
      <text>
        <r>
          <rPr>
            <b/>
            <sz val="16"/>
            <rFont val="宋体"/>
            <charset val="134"/>
          </rPr>
          <t>Administrator:</t>
        </r>
        <r>
          <rPr>
            <sz val="16"/>
            <rFont val="宋体"/>
            <charset val="134"/>
          </rPr>
          <t xml:space="preserve">
3/27上 EAN条码贴纸 1518 pcs
3/28上 进口商贴纸 1518 pcs</t>
        </r>
      </text>
    </comment>
    <comment ref="AB149" authorId="0">
      <text>
        <r>
          <rPr>
            <b/>
            <sz val="18"/>
            <rFont val="宋体"/>
            <charset val="134"/>
          </rPr>
          <t>Administrator:</t>
        </r>
        <r>
          <rPr>
            <sz val="18"/>
            <rFont val="宋体"/>
            <charset val="134"/>
          </rPr>
          <t xml:space="preserve">
0001604 4/24 2497 pcs 华兴三楼B14</t>
        </r>
      </text>
    </comment>
    <comment ref="AB150" authorId="0">
      <text>
        <r>
          <rPr>
            <b/>
            <sz val="18"/>
            <rFont val="宋体"/>
            <charset val="134"/>
          </rPr>
          <t>Administrator:</t>
        </r>
        <r>
          <rPr>
            <sz val="18"/>
            <rFont val="宋体"/>
            <charset val="134"/>
          </rPr>
          <t xml:space="preserve">
0001604 4/24 24 pcs 华兴三楼B14</t>
        </r>
      </text>
    </comment>
    <comment ref="AD150" authorId="0">
      <text>
        <r>
          <rPr>
            <b/>
            <sz val="16"/>
            <rFont val="宋体"/>
            <charset val="134"/>
          </rPr>
          <t>Administrator:</t>
        </r>
        <r>
          <rPr>
            <sz val="16"/>
            <rFont val="宋体"/>
            <charset val="134"/>
          </rPr>
          <t xml:space="preserve">
4/9上 UPC贴纸 24 pcs
 进口商贴纸 24 pcs
4/14上 客供外箱SSCC贴纸 1 pcs</t>
        </r>
      </text>
    </comment>
    <comment ref="AB151" authorId="0">
      <text>
        <r>
          <rPr>
            <b/>
            <sz val="16"/>
            <rFont val="宋体"/>
            <charset val="134"/>
          </rPr>
          <t>Administrator:</t>
        </r>
        <r>
          <rPr>
            <sz val="16"/>
            <rFont val="宋体"/>
            <charset val="134"/>
          </rPr>
          <t xml:space="preserve">
2001008 5/8 1100 pcs 华兴三楼B17</t>
        </r>
      </text>
    </comment>
    <comment ref="AD151" authorId="0">
      <text>
        <r>
          <rPr>
            <b/>
            <sz val="16"/>
            <rFont val="宋体"/>
            <charset val="134"/>
          </rPr>
          <t>Administrator:</t>
        </r>
        <r>
          <rPr>
            <sz val="16"/>
            <rFont val="宋体"/>
            <charset val="134"/>
          </rPr>
          <t xml:space="preserve">
4/21上 进口商贴纸 1100 pcs</t>
        </r>
      </text>
    </comment>
    <comment ref="AB152" authorId="0">
      <text>
        <r>
          <rPr>
            <b/>
            <sz val="16"/>
            <rFont val="宋体"/>
            <charset val="134"/>
          </rPr>
          <t>Administrator:</t>
        </r>
        <r>
          <rPr>
            <sz val="16"/>
            <rFont val="宋体"/>
            <charset val="134"/>
          </rPr>
          <t xml:space="preserve">
0001742 5/28 3784 pcs</t>
        </r>
      </text>
    </comment>
    <comment ref="AD152" authorId="0">
      <text>
        <r>
          <rPr>
            <b/>
            <sz val="16"/>
            <rFont val="宋体"/>
            <charset val="134"/>
          </rPr>
          <t>Administrator:</t>
        </r>
        <r>
          <rPr>
            <sz val="16"/>
            <rFont val="宋体"/>
            <charset val="134"/>
          </rPr>
          <t xml:space="preserve">
4/17上 警告语EAN条码贴纸 3784 pcs
4/21上 北欧6语通用不带电池出货黑白电池说明书 3784 pcs</t>
        </r>
      </text>
    </comment>
    <comment ref="AB153" authorId="0">
      <text>
        <r>
          <rPr>
            <b/>
            <sz val="18"/>
            <rFont val="宋体"/>
            <charset val="134"/>
          </rPr>
          <t>Administrator:</t>
        </r>
        <r>
          <rPr>
            <sz val="18"/>
            <rFont val="宋体"/>
            <charset val="134"/>
          </rPr>
          <t xml:space="preserve">
0001907 4/2 2016 pcs 华兴三楼B15</t>
        </r>
      </text>
    </comment>
    <comment ref="AD153" authorId="0">
      <text>
        <r>
          <rPr>
            <b/>
            <sz val="18"/>
            <rFont val="宋体"/>
            <charset val="134"/>
          </rPr>
          <t>Administrator:</t>
        </r>
        <r>
          <rPr>
            <sz val="18"/>
            <rFont val="宋体"/>
            <charset val="134"/>
          </rPr>
          <t xml:space="preserve">
3/25上 价格贴纸 2016 pcs
 外箱贴码贴纸 168 pcs</t>
        </r>
      </text>
    </comment>
    <comment ref="AB154" authorId="0">
      <text>
        <r>
          <rPr>
            <b/>
            <sz val="16"/>
            <rFont val="宋体"/>
            <charset val="134"/>
          </rPr>
          <t>Administrator:</t>
        </r>
        <r>
          <rPr>
            <sz val="16"/>
            <rFont val="宋体"/>
            <charset val="134"/>
          </rPr>
          <t xml:space="preserve">
2001008 5/8 1056 pcs  B17     
2001071 5/8 946 pcs 华兴三楼B17</t>
        </r>
      </text>
    </comment>
    <comment ref="AD154" authorId="0">
      <text>
        <r>
          <rPr>
            <b/>
            <sz val="16"/>
            <rFont val="宋体"/>
            <charset val="134"/>
          </rPr>
          <t>Administrator:</t>
        </r>
        <r>
          <rPr>
            <sz val="16"/>
            <rFont val="宋体"/>
            <charset val="134"/>
          </rPr>
          <t xml:space="preserve">
4/14上 德语callout翻译贴纸 2002 pcs
 产品贴纸 2002 pcs
 WEEE声明通用8L说明书 2002 pcs</t>
        </r>
      </text>
    </comment>
    <comment ref="AB155" authorId="0">
      <text>
        <r>
          <rPr>
            <b/>
            <sz val="16"/>
            <rFont val="宋体"/>
            <charset val="134"/>
          </rPr>
          <t>Administrator:</t>
        </r>
        <r>
          <rPr>
            <sz val="16"/>
            <rFont val="宋体"/>
            <charset val="134"/>
          </rPr>
          <t xml:space="preserve">
2001008 5/8 506 pcs 华兴三楼B17</t>
        </r>
      </text>
    </comment>
    <comment ref="AB156" authorId="0">
      <text>
        <r>
          <rPr>
            <b/>
            <sz val="16"/>
            <rFont val="宋体"/>
            <charset val="134"/>
          </rPr>
          <t>Administrator:</t>
        </r>
        <r>
          <rPr>
            <sz val="16"/>
            <rFont val="宋体"/>
            <charset val="134"/>
          </rPr>
          <t xml:space="preserve">
2001008 5/8 990 pcs 华兴三楼B17</t>
        </r>
      </text>
    </comment>
    <comment ref="AB157" authorId="0">
      <text>
        <r>
          <rPr>
            <b/>
            <sz val="16"/>
            <rFont val="宋体"/>
            <charset val="134"/>
          </rPr>
          <t>Administrator:</t>
        </r>
        <r>
          <rPr>
            <sz val="16"/>
            <rFont val="宋体"/>
            <charset val="134"/>
          </rPr>
          <t xml:space="preserve">
2001090 5/9 1826 PCS  华兴三楼B9</t>
        </r>
      </text>
    </comment>
    <comment ref="AB158" authorId="0">
      <text>
        <r>
          <rPr>
            <b/>
            <sz val="16"/>
            <rFont val="宋体"/>
            <charset val="134"/>
          </rPr>
          <t>Administrator:</t>
        </r>
        <r>
          <rPr>
            <sz val="16"/>
            <rFont val="宋体"/>
            <charset val="134"/>
          </rPr>
          <t xml:space="preserve">
0001840 4/8 912 pcs 华兴三楼B10
0001793 4/28 2688 pcs 华兴三楼A27</t>
        </r>
      </text>
    </comment>
    <comment ref="AB159" authorId="0">
      <text>
        <r>
          <rPr>
            <b/>
            <sz val="16"/>
            <rFont val="宋体"/>
            <charset val="134"/>
          </rPr>
          <t>Administrator:</t>
        </r>
        <r>
          <rPr>
            <sz val="16"/>
            <rFont val="宋体"/>
            <charset val="134"/>
          </rPr>
          <t xml:space="preserve">
0001656 4/16 616 pcs 华兴三楼B4</t>
        </r>
      </text>
    </comment>
    <comment ref="AD159" authorId="0">
      <text>
        <r>
          <rPr>
            <b/>
            <sz val="18"/>
            <rFont val="宋体"/>
            <charset val="134"/>
          </rPr>
          <t>Administrator:</t>
        </r>
        <r>
          <rPr>
            <sz val="18"/>
            <rFont val="宋体"/>
            <charset val="134"/>
          </rPr>
          <t xml:space="preserve">
3/31上 客供价格贴纸 647 pcs</t>
        </r>
      </text>
    </comment>
    <comment ref="AB160" authorId="0">
      <text>
        <r>
          <rPr>
            <b/>
            <sz val="16"/>
            <rFont val="宋体"/>
            <charset val="134"/>
          </rPr>
          <t>Administrator:</t>
        </r>
        <r>
          <rPr>
            <sz val="16"/>
            <rFont val="宋体"/>
            <charset val="134"/>
          </rPr>
          <t xml:space="preserve">
2001114 5/10 504 pcs 华兴三楼A25</t>
        </r>
      </text>
    </comment>
    <comment ref="AD160" authorId="0">
      <text>
        <r>
          <rPr>
            <b/>
            <sz val="14"/>
            <rFont val="宋体"/>
            <charset val="134"/>
          </rPr>
          <t>Administrator:</t>
        </r>
        <r>
          <rPr>
            <sz val="14"/>
            <rFont val="宋体"/>
            <charset val="134"/>
          </rPr>
          <t xml:space="preserve">
</t>
        </r>
        <r>
          <rPr>
            <sz val="16"/>
            <rFont val="宋体"/>
            <charset val="134"/>
          </rPr>
          <t>4/16</t>
        </r>
        <r>
          <rPr>
            <sz val="18"/>
            <rFont val="宋体"/>
            <charset val="134"/>
          </rPr>
          <t>上环保标贴纸 504 pcs
上UPC贴纸 504 pcs
ES回收标贴纸 504 pcs
 邮箱贴纸 504 pcs
4/21上 胶袋UPC贴纸 504 pcs
4/25上 亚马逊外箱贴纸 21 pcs</t>
        </r>
      </text>
    </comment>
    <comment ref="AB161" authorId="0">
      <text>
        <r>
          <rPr>
            <b/>
            <sz val="16"/>
            <rFont val="宋体"/>
            <charset val="134"/>
          </rPr>
          <t>Administrator:</t>
        </r>
        <r>
          <rPr>
            <sz val="16"/>
            <rFont val="宋体"/>
            <charset val="134"/>
          </rPr>
          <t xml:space="preserve">
2001114 5/10 504 pcs 华兴三楼A25</t>
        </r>
      </text>
    </comment>
    <comment ref="AD161" authorId="0">
      <text>
        <r>
          <rPr>
            <b/>
            <sz val="14"/>
            <rFont val="宋体"/>
            <charset val="134"/>
          </rPr>
          <t>Administrator:</t>
        </r>
        <r>
          <rPr>
            <sz val="14"/>
            <rFont val="宋体"/>
            <charset val="134"/>
          </rPr>
          <t xml:space="preserve">
</t>
        </r>
        <r>
          <rPr>
            <sz val="16"/>
            <rFont val="宋体"/>
            <charset val="134"/>
          </rPr>
          <t>4/16</t>
        </r>
        <r>
          <rPr>
            <sz val="18"/>
            <rFont val="宋体"/>
            <charset val="134"/>
          </rPr>
          <t xml:space="preserve">上环保标贴纸 504 pcs
上UPC贴纸 504 pcs
ES回收标贴纸 504 pcs
 邮箱贴纸 504 pcs
4/21上 胶袋UPC贴纸 504 pcs
4/25上 亚马逊外箱贴纸 21 pcs
</t>
        </r>
      </text>
    </comment>
    <comment ref="AB162" authorId="0">
      <text>
        <r>
          <rPr>
            <b/>
            <sz val="16"/>
            <rFont val="宋体"/>
            <charset val="134"/>
          </rPr>
          <t>Administrator:</t>
        </r>
        <r>
          <rPr>
            <sz val="16"/>
            <rFont val="宋体"/>
            <charset val="134"/>
          </rPr>
          <t xml:space="preserve">
2001114 5/10 504 pcs 华兴三楼A25</t>
        </r>
      </text>
    </comment>
    <comment ref="AD162" authorId="0">
      <text>
        <r>
          <rPr>
            <b/>
            <sz val="14"/>
            <rFont val="宋体"/>
            <charset val="134"/>
          </rPr>
          <t>Administrator:</t>
        </r>
        <r>
          <rPr>
            <sz val="14"/>
            <rFont val="宋体"/>
            <charset val="134"/>
          </rPr>
          <t xml:space="preserve">
</t>
        </r>
        <r>
          <rPr>
            <sz val="16"/>
            <rFont val="宋体"/>
            <charset val="134"/>
          </rPr>
          <t>4/16</t>
        </r>
        <r>
          <rPr>
            <sz val="18"/>
            <rFont val="宋体"/>
            <charset val="134"/>
          </rPr>
          <t>上环保标贴纸 504 pcs
上UPC贴纸 504 pcs
ES回收标贴纸 504 pcs
 邮箱贴纸 504 pcs
4/21上 胶袋UPC贴纸 504 pcs
4/25上 亚马逊外箱贴纸 21 pcs</t>
        </r>
      </text>
    </comment>
    <comment ref="AB163" authorId="0">
      <text>
        <r>
          <rPr>
            <b/>
            <sz val="16"/>
            <rFont val="宋体"/>
            <charset val="134"/>
          </rPr>
          <t>Administrator:</t>
        </r>
        <r>
          <rPr>
            <sz val="16"/>
            <rFont val="宋体"/>
            <charset val="134"/>
          </rPr>
          <t xml:space="preserve">
2001114 5/10 504 pcs 华兴三楼A25</t>
        </r>
      </text>
    </comment>
    <comment ref="AD163" authorId="0">
      <text>
        <r>
          <rPr>
            <b/>
            <sz val="14"/>
            <rFont val="宋体"/>
            <charset val="134"/>
          </rPr>
          <t>Administrator:</t>
        </r>
        <r>
          <rPr>
            <sz val="14"/>
            <rFont val="宋体"/>
            <charset val="134"/>
          </rPr>
          <t xml:space="preserve">
</t>
        </r>
        <r>
          <rPr>
            <sz val="16"/>
            <rFont val="宋体"/>
            <charset val="134"/>
          </rPr>
          <t>4/16</t>
        </r>
        <r>
          <rPr>
            <sz val="18"/>
            <rFont val="宋体"/>
            <charset val="134"/>
          </rPr>
          <t>上环保标贴纸 504 pcs
上UPC贴纸 504 pcs
ES回收标贴纸 504 pcs
 邮箱贴纸 504 pcs
4/21上 胶袋UPC贴纸 504 pcs
4/25上 亚马逊外箱贴纸 21 pcs</t>
        </r>
      </text>
    </comment>
    <comment ref="AB164" authorId="0">
      <text>
        <r>
          <rPr>
            <b/>
            <sz val="16"/>
            <rFont val="宋体"/>
            <charset val="134"/>
          </rPr>
          <t>Administrator:</t>
        </r>
        <r>
          <rPr>
            <sz val="16"/>
            <rFont val="宋体"/>
            <charset val="134"/>
          </rPr>
          <t xml:space="preserve">
2001114 5/10 504 pcs 华兴三楼A25</t>
        </r>
      </text>
    </comment>
    <comment ref="AD164" authorId="0">
      <text>
        <r>
          <rPr>
            <b/>
            <sz val="14"/>
            <rFont val="宋体"/>
            <charset val="134"/>
          </rPr>
          <t>Administrator:</t>
        </r>
        <r>
          <rPr>
            <sz val="14"/>
            <rFont val="宋体"/>
            <charset val="134"/>
          </rPr>
          <t xml:space="preserve">
</t>
        </r>
        <r>
          <rPr>
            <sz val="16"/>
            <rFont val="宋体"/>
            <charset val="134"/>
          </rPr>
          <t>4/16</t>
        </r>
        <r>
          <rPr>
            <sz val="18"/>
            <rFont val="宋体"/>
            <charset val="134"/>
          </rPr>
          <t>上环保标贴纸 504 pcs
上UPC贴纸 504 pcs
ES回收标贴纸 504 pcs
 邮箱贴纸 504 pcs
4/21上 胶袋UPC贴纸 504 pcs
4/25上 亚马逊外箱贴纸 21 pcs</t>
        </r>
      </text>
    </comment>
    <comment ref="AB165" authorId="0">
      <text>
        <r>
          <rPr>
            <b/>
            <sz val="16"/>
            <rFont val="宋体"/>
            <charset val="134"/>
          </rPr>
          <t>Administrator:</t>
        </r>
        <r>
          <rPr>
            <sz val="16"/>
            <rFont val="宋体"/>
            <charset val="134"/>
          </rPr>
          <t xml:space="preserve">
2001114 5/10 504 pcs 华兴三楼A25</t>
        </r>
      </text>
    </comment>
    <comment ref="AD165" authorId="0">
      <text>
        <r>
          <rPr>
            <b/>
            <sz val="14"/>
            <rFont val="宋体"/>
            <charset val="134"/>
          </rPr>
          <t>Administrator:</t>
        </r>
        <r>
          <rPr>
            <sz val="14"/>
            <rFont val="宋体"/>
            <charset val="134"/>
          </rPr>
          <t xml:space="preserve">
</t>
        </r>
        <r>
          <rPr>
            <sz val="16"/>
            <rFont val="宋体"/>
            <charset val="134"/>
          </rPr>
          <t>4/16</t>
        </r>
        <r>
          <rPr>
            <sz val="18"/>
            <rFont val="宋体"/>
            <charset val="134"/>
          </rPr>
          <t>上环保标贴纸 504 pcs
上UPC贴纸 504 pcs
ES回收标贴纸 504 pcs
 邮箱贴纸 504 pcs
4/21上 胶袋UPC贴纸 504 pcs
4/25上 亚马逊外箱贴纸 21 pcs</t>
        </r>
      </text>
    </comment>
    <comment ref="AB166" authorId="0">
      <text>
        <r>
          <rPr>
            <b/>
            <sz val="16"/>
            <rFont val="宋体"/>
            <charset val="134"/>
          </rPr>
          <t>Administrator:</t>
        </r>
        <r>
          <rPr>
            <sz val="16"/>
            <rFont val="宋体"/>
            <charset val="134"/>
          </rPr>
          <t xml:space="preserve">
2001227 5/15 1210 pcs 华兴三楼A15</t>
        </r>
      </text>
    </comment>
    <comment ref="AD166" authorId="0">
      <text>
        <r>
          <rPr>
            <b/>
            <sz val="16"/>
            <rFont val="宋体"/>
            <charset val="134"/>
          </rPr>
          <t>Administrator:</t>
        </r>
        <r>
          <rPr>
            <sz val="16"/>
            <rFont val="宋体"/>
            <charset val="134"/>
          </rPr>
          <t xml:space="preserve">
5/7上 进口商贴纸 1210 pcs</t>
        </r>
      </text>
    </comment>
    <comment ref="AB167" authorId="0">
      <text>
        <r>
          <rPr>
            <b/>
            <sz val="16"/>
            <rFont val="宋体"/>
            <charset val="134"/>
          </rPr>
          <t>Administrator:</t>
        </r>
        <r>
          <rPr>
            <sz val="16"/>
            <rFont val="宋体"/>
            <charset val="134"/>
          </rPr>
          <t xml:space="preserve">
2001203 5/15 770 pcs 华兴三楼B13</t>
        </r>
      </text>
    </comment>
    <comment ref="AD167" authorId="0">
      <text>
        <r>
          <rPr>
            <b/>
            <sz val="16"/>
            <rFont val="宋体"/>
            <charset val="134"/>
          </rPr>
          <t>Administrator:</t>
        </r>
        <r>
          <rPr>
            <sz val="16"/>
            <rFont val="宋体"/>
            <charset val="134"/>
          </rPr>
          <t xml:space="preserve">
5/7上 进口商贴纸 770 pcs</t>
        </r>
      </text>
    </comment>
    <comment ref="AB168" authorId="0">
      <text>
        <r>
          <rPr>
            <b/>
            <sz val="16"/>
            <rFont val="宋体"/>
            <charset val="134"/>
          </rPr>
          <t>Administrator:</t>
        </r>
        <r>
          <rPr>
            <sz val="16"/>
            <rFont val="宋体"/>
            <charset val="134"/>
          </rPr>
          <t xml:space="preserve">
2001199 5/14 1100 pcs 华兴三楼B13
</t>
        </r>
      </text>
    </comment>
    <comment ref="AB169" authorId="0">
      <text>
        <r>
          <rPr>
            <b/>
            <sz val="16"/>
            <rFont val="宋体"/>
            <charset val="134"/>
          </rPr>
          <t>Administrator:</t>
        </r>
        <r>
          <rPr>
            <sz val="16"/>
            <rFont val="宋体"/>
            <charset val="134"/>
          </rPr>
          <t xml:space="preserve">
2001210 5/14 506 pcs 华兴三楼B14
</t>
        </r>
      </text>
    </comment>
    <comment ref="AD169" authorId="0">
      <text>
        <r>
          <rPr>
            <b/>
            <sz val="16"/>
            <rFont val="宋体"/>
            <charset val="134"/>
          </rPr>
          <t>Administrator:</t>
        </r>
        <r>
          <rPr>
            <sz val="16"/>
            <rFont val="宋体"/>
            <charset val="134"/>
          </rPr>
          <t xml:space="preserve">
4/21上 进口商贴纸 506 pcs</t>
        </r>
      </text>
    </comment>
    <comment ref="AB170" authorId="0">
      <text>
        <r>
          <rPr>
            <b/>
            <sz val="16"/>
            <rFont val="宋体"/>
            <charset val="134"/>
          </rPr>
          <t>Administrator:</t>
        </r>
        <r>
          <rPr>
            <sz val="16"/>
            <rFont val="宋体"/>
            <charset val="134"/>
          </rPr>
          <t xml:space="preserve">
2001199 5/14 594 pcs 华兴三楼B12
</t>
        </r>
      </text>
    </comment>
    <comment ref="AD170" authorId="0">
      <text>
        <r>
          <rPr>
            <b/>
            <sz val="16"/>
            <rFont val="宋体"/>
            <charset val="134"/>
          </rPr>
          <t>Administrator:</t>
        </r>
        <r>
          <rPr>
            <sz val="16"/>
            <rFont val="宋体"/>
            <charset val="134"/>
          </rPr>
          <t xml:space="preserve">
4/17上 警告语/客人进口商贴纸 594 pcs
4/21上 不带电池走货北欧六语通用黑白电池说明书 594 pcs</t>
        </r>
      </text>
    </comment>
    <comment ref="AB171" authorId="0">
      <text>
        <r>
          <rPr>
            <b/>
            <sz val="16"/>
            <rFont val="宋体"/>
            <charset val="134"/>
          </rPr>
          <t>Administrator:</t>
        </r>
        <r>
          <rPr>
            <sz val="16"/>
            <rFont val="宋体"/>
            <charset val="134"/>
          </rPr>
          <t xml:space="preserve">
2001199 5/14 4992 pcs 华兴三楼B16
2001227 5/15 24 pcs B6</t>
        </r>
      </text>
    </comment>
    <comment ref="AD171" authorId="0">
      <text>
        <r>
          <rPr>
            <b/>
            <sz val="16"/>
            <rFont val="宋体"/>
            <charset val="134"/>
          </rPr>
          <t>Administrator:</t>
        </r>
        <r>
          <rPr>
            <sz val="16"/>
            <rFont val="宋体"/>
            <charset val="134"/>
          </rPr>
          <t xml:space="preserve">
4/21上 客人白色Cat.label 5016 pcs
4/29上 更新正确的贴纸 客人白色Cat.label 5016 pcs</t>
        </r>
      </text>
    </comment>
    <comment ref="AB172" authorId="0">
      <text>
        <r>
          <rPr>
            <b/>
            <sz val="16"/>
            <rFont val="宋体"/>
            <charset val="134"/>
          </rPr>
          <t>Administrator:</t>
        </r>
        <r>
          <rPr>
            <sz val="16"/>
            <rFont val="宋体"/>
            <charset val="134"/>
          </rPr>
          <t xml:space="preserve">
2001199 5/14 2409 pcs 华兴三楼B16
</t>
        </r>
      </text>
    </comment>
    <comment ref="AB173" authorId="0">
      <text>
        <r>
          <rPr>
            <b/>
            <sz val="16"/>
            <rFont val="宋体"/>
            <charset val="134"/>
          </rPr>
          <t>Administrator:</t>
        </r>
        <r>
          <rPr>
            <sz val="16"/>
            <rFont val="宋体"/>
            <charset val="134"/>
          </rPr>
          <t xml:space="preserve">
2001211 5/14 102 pcs 华兴三楼B13</t>
        </r>
      </text>
    </comment>
    <comment ref="AD173" authorId="0">
      <text>
        <r>
          <rPr>
            <b/>
            <sz val="18"/>
            <rFont val="宋体"/>
            <charset val="134"/>
          </rPr>
          <t>Administrator:</t>
        </r>
        <r>
          <rPr>
            <sz val="18"/>
            <rFont val="宋体"/>
            <charset val="134"/>
          </rPr>
          <t xml:space="preserve">
3/31上 白色防盗贴纸 102 pcs
5/8上 KM外箱贴纸 17 pcs</t>
        </r>
      </text>
    </comment>
    <comment ref="AB174" authorId="0">
      <text>
        <r>
          <rPr>
            <b/>
            <sz val="16"/>
            <rFont val="宋体"/>
            <charset val="134"/>
          </rPr>
          <t>Administrator:</t>
        </r>
        <r>
          <rPr>
            <sz val="16"/>
            <rFont val="宋体"/>
            <charset val="134"/>
          </rPr>
          <t xml:space="preserve">
2001211 5/14 1398 pcs 华兴三楼B13
</t>
        </r>
      </text>
    </comment>
    <comment ref="AD174" authorId="0">
      <text>
        <r>
          <rPr>
            <b/>
            <sz val="18"/>
            <rFont val="宋体"/>
            <charset val="134"/>
          </rPr>
          <t>Administrator:</t>
        </r>
        <r>
          <rPr>
            <sz val="18"/>
            <rFont val="宋体"/>
            <charset val="134"/>
          </rPr>
          <t xml:space="preserve">
3/31上 白色防盗贴纸 1398 pcs
5/8上 KM外箱贴纸 233 pcs
</t>
        </r>
      </text>
    </comment>
    <comment ref="AB175" authorId="0">
      <text>
        <r>
          <rPr>
            <b/>
            <sz val="16"/>
            <rFont val="宋体"/>
            <charset val="134"/>
          </rPr>
          <t>Administrator:</t>
        </r>
        <r>
          <rPr>
            <sz val="16"/>
            <rFont val="宋体"/>
            <charset val="134"/>
          </rPr>
          <t xml:space="preserve">
2001210 5/14 220 pcs 华兴三楼B14</t>
        </r>
      </text>
    </comment>
    <comment ref="AD175" authorId="0">
      <text>
        <r>
          <rPr>
            <b/>
            <sz val="16"/>
            <rFont val="宋体"/>
            <charset val="134"/>
          </rPr>
          <t>Administrator:</t>
        </r>
        <r>
          <rPr>
            <sz val="16"/>
            <rFont val="宋体"/>
            <charset val="134"/>
          </rPr>
          <t xml:space="preserve">
4/28上 说明书/UPC/警示语贴纸 220 pcs
5/6上 不带电池走货北欧六语通用说明书 220 pcs</t>
        </r>
      </text>
    </comment>
    <comment ref="AB176" authorId="0">
      <text>
        <r>
          <rPr>
            <b/>
            <sz val="16"/>
            <rFont val="宋体"/>
            <charset val="134"/>
          </rPr>
          <t>Administrator:</t>
        </r>
        <r>
          <rPr>
            <sz val="16"/>
            <rFont val="宋体"/>
            <charset val="134"/>
          </rPr>
          <t xml:space="preserve">
2001210 5/14 2112 pcs 华兴三楼B14
</t>
        </r>
      </text>
    </comment>
    <comment ref="AB177" authorId="0">
      <text>
        <r>
          <rPr>
            <b/>
            <sz val="16"/>
            <rFont val="宋体"/>
            <charset val="134"/>
          </rPr>
          <t>Administrator:</t>
        </r>
        <r>
          <rPr>
            <sz val="16"/>
            <rFont val="宋体"/>
            <charset val="134"/>
          </rPr>
          <t xml:space="preserve">
2001210 5/14 275 pcs 华兴三楼B14
</t>
        </r>
      </text>
    </comment>
    <comment ref="AD177" authorId="0">
      <text>
        <r>
          <rPr>
            <b/>
            <sz val="16"/>
            <rFont val="宋体"/>
            <charset val="134"/>
          </rPr>
          <t>Administrator:</t>
        </r>
        <r>
          <rPr>
            <sz val="16"/>
            <rFont val="宋体"/>
            <charset val="134"/>
          </rPr>
          <t xml:space="preserve">
4/21上 不带电池走货北欧六语通  275 pcs
 警告语/EAN贴纸 275 pcs</t>
        </r>
      </text>
    </comment>
    <comment ref="AB178" authorId="0">
      <text>
        <r>
          <rPr>
            <b/>
            <sz val="16"/>
            <rFont val="宋体"/>
            <charset val="134"/>
          </rPr>
          <t>Administrator:</t>
        </r>
        <r>
          <rPr>
            <sz val="16"/>
            <rFont val="宋体"/>
            <charset val="134"/>
          </rPr>
          <t xml:space="preserve">
2001006 5/19 1410 pcs 华兴三楼A15
</t>
        </r>
      </text>
    </comment>
    <comment ref="AD178" authorId="0">
      <text>
        <r>
          <rPr>
            <b/>
            <sz val="16"/>
            <rFont val="宋体"/>
            <charset val="134"/>
          </rPr>
          <t>Administrator:</t>
        </r>
        <r>
          <rPr>
            <sz val="16"/>
            <rFont val="宋体"/>
            <charset val="134"/>
          </rPr>
          <t xml:space="preserve">
5/12上 KM外箱贴纸 235 pcs
 白色防盗贴纸 1410 pcs</t>
        </r>
      </text>
    </comment>
    <comment ref="AB179" authorId="0">
      <text>
        <r>
          <rPr>
            <b/>
            <sz val="16"/>
            <rFont val="宋体"/>
            <charset val="134"/>
          </rPr>
          <t>Administrator:</t>
        </r>
        <r>
          <rPr>
            <sz val="16"/>
            <rFont val="宋体"/>
            <charset val="134"/>
          </rPr>
          <t xml:space="preserve">
2001006 5/19 90 pcs 华兴三楼A15
</t>
        </r>
      </text>
    </comment>
    <comment ref="AD179" authorId="0">
      <text>
        <r>
          <rPr>
            <b/>
            <sz val="16"/>
            <rFont val="宋体"/>
            <charset val="134"/>
          </rPr>
          <t>Administrator:</t>
        </r>
        <r>
          <rPr>
            <sz val="16"/>
            <rFont val="宋体"/>
            <charset val="134"/>
          </rPr>
          <t xml:space="preserve">
5/12上 KM外箱贴纸 15 pcs
  白色防盗贴纸 90 pcs
</t>
        </r>
      </text>
    </comment>
    <comment ref="AB180" authorId="0">
      <text>
        <r>
          <rPr>
            <b/>
            <sz val="16"/>
            <rFont val="宋体"/>
            <charset val="134"/>
          </rPr>
          <t>Administrator:</t>
        </r>
        <r>
          <rPr>
            <sz val="16"/>
            <rFont val="宋体"/>
            <charset val="134"/>
          </rPr>
          <t xml:space="preserve">
2001006 5/19 10340 pcs 华兴三楼A22
</t>
        </r>
      </text>
    </comment>
    <comment ref="AB181" authorId="0">
      <text>
        <r>
          <rPr>
            <b/>
            <sz val="16"/>
            <rFont val="宋体"/>
            <charset val="134"/>
          </rPr>
          <t>Administrator:</t>
        </r>
        <r>
          <rPr>
            <sz val="16"/>
            <rFont val="宋体"/>
            <charset val="134"/>
          </rPr>
          <t xml:space="preserve">
2001006 5/19 10340 pcs 华兴三楼A24</t>
        </r>
      </text>
    </comment>
    <comment ref="AB182" authorId="0">
      <text>
        <r>
          <rPr>
            <b/>
            <sz val="16"/>
            <rFont val="宋体"/>
            <charset val="134"/>
          </rPr>
          <t>Administrator:</t>
        </r>
        <r>
          <rPr>
            <sz val="16"/>
            <rFont val="宋体"/>
            <charset val="134"/>
          </rPr>
          <t xml:space="preserve">
2000773 5/23 1518 pcs 华兴三楼A23</t>
        </r>
      </text>
    </comment>
    <comment ref="AD182" authorId="0">
      <text>
        <r>
          <rPr>
            <b/>
            <sz val="18"/>
            <rFont val="宋体"/>
            <charset val="134"/>
          </rPr>
          <t>Administrator:</t>
        </r>
        <r>
          <rPr>
            <sz val="18"/>
            <rFont val="宋体"/>
            <charset val="134"/>
          </rPr>
          <t xml:space="preserve">
5/17上 SSCC外箱贴纸 69 pcs</t>
        </r>
      </text>
    </comment>
    <comment ref="AB183" authorId="0">
      <text>
        <r>
          <rPr>
            <b/>
            <sz val="16"/>
            <rFont val="宋体"/>
            <charset val="134"/>
          </rPr>
          <t>Administrator:</t>
        </r>
        <r>
          <rPr>
            <sz val="16"/>
            <rFont val="宋体"/>
            <charset val="134"/>
          </rPr>
          <t xml:space="preserve">
2000671 5/28 20706 pcs 华兴一楼B1  
2001239 5/28 24 pcs B3</t>
        </r>
      </text>
    </comment>
    <comment ref="AD183" authorId="0">
      <text>
        <r>
          <rPr>
            <b/>
            <sz val="16"/>
            <rFont val="宋体"/>
            <charset val="134"/>
          </rPr>
          <t>Administrator:</t>
        </r>
        <r>
          <rPr>
            <sz val="16"/>
            <rFont val="宋体"/>
            <charset val="134"/>
          </rPr>
          <t xml:space="preserve">
5/6上 价格贴纸 20730 pcs
  彩色产品贴纸 6910 pcs</t>
        </r>
      </text>
    </comment>
    <comment ref="AB185" authorId="0">
      <text>
        <r>
          <rPr>
            <b/>
            <sz val="16"/>
            <rFont val="宋体"/>
            <charset val="134"/>
          </rPr>
          <t>Administrator:</t>
        </r>
        <r>
          <rPr>
            <sz val="16"/>
            <rFont val="宋体"/>
            <charset val="134"/>
          </rPr>
          <t xml:space="preserve">
20006882 5/28 132 pcs 华兴三楼B4</t>
        </r>
      </text>
    </comment>
    <comment ref="AD185" authorId="0">
      <text>
        <r>
          <rPr>
            <b/>
            <sz val="16"/>
            <rFont val="宋体"/>
            <charset val="134"/>
          </rPr>
          <t>Administrator:</t>
        </r>
        <r>
          <rPr>
            <sz val="16"/>
            <rFont val="宋体"/>
            <charset val="134"/>
          </rPr>
          <t xml:space="preserve">
5/9上 通用贴纸 132 pcs</t>
        </r>
      </text>
    </comment>
    <comment ref="AB186" authorId="0">
      <text>
        <r>
          <rPr>
            <b/>
            <sz val="16"/>
            <rFont val="宋体"/>
            <charset val="134"/>
          </rPr>
          <t>Administrator:</t>
        </r>
        <r>
          <rPr>
            <sz val="16"/>
            <rFont val="宋体"/>
            <charset val="134"/>
          </rPr>
          <t xml:space="preserve">
20006882 5/28 1562 pcs 华兴三楼B4</t>
        </r>
      </text>
    </comment>
    <comment ref="AB187" authorId="0">
      <text>
        <r>
          <rPr>
            <b/>
            <sz val="16"/>
            <rFont val="宋体"/>
            <charset val="134"/>
          </rPr>
          <t>Administrator:</t>
        </r>
        <r>
          <rPr>
            <sz val="16"/>
            <rFont val="宋体"/>
            <charset val="134"/>
          </rPr>
          <t xml:space="preserve">
2000655 5/27 847 pcs 华兴三楼A30</t>
        </r>
      </text>
    </comment>
    <comment ref="AB188" authorId="0">
      <text>
        <r>
          <rPr>
            <b/>
            <sz val="16"/>
            <rFont val="宋体"/>
            <charset val="134"/>
          </rPr>
          <t>Administrator:</t>
        </r>
        <r>
          <rPr>
            <sz val="16"/>
            <rFont val="宋体"/>
            <charset val="134"/>
          </rPr>
          <t xml:space="preserve">
2002460 5/29 1210 pcs</t>
        </r>
      </text>
    </comment>
    <comment ref="AB189" authorId="0">
      <text>
        <r>
          <rPr>
            <b/>
            <sz val="16"/>
            <rFont val="宋体"/>
            <charset val="134"/>
          </rPr>
          <t>Administrator:</t>
        </r>
        <r>
          <rPr>
            <sz val="16"/>
            <rFont val="宋体"/>
            <charset val="134"/>
          </rPr>
          <t xml:space="preserve">
2002460 5/29 473 pcs
2002467 5/30 11 pcs</t>
        </r>
      </text>
    </comment>
    <comment ref="AD189" authorId="0">
      <text>
        <r>
          <rPr>
            <b/>
            <sz val="18"/>
            <rFont val="宋体"/>
            <charset val="134"/>
          </rPr>
          <t>Administrator:</t>
        </r>
        <r>
          <rPr>
            <sz val="18"/>
            <rFont val="宋体"/>
            <charset val="134"/>
          </rPr>
          <t xml:space="preserve">
5/16上 不带电池走货北欧六语通用黑白电池说明书 484 pcs 
 EAN/警告语/进口商 484 pcs</t>
        </r>
      </text>
    </comment>
    <comment ref="AB190" authorId="0">
      <text>
        <r>
          <rPr>
            <b/>
            <sz val="16"/>
            <rFont val="宋体"/>
            <charset val="134"/>
          </rPr>
          <t>Administrator:</t>
        </r>
        <r>
          <rPr>
            <sz val="16"/>
            <rFont val="宋体"/>
            <charset val="134"/>
          </rPr>
          <t xml:space="preserve">
2000695 5/26 1353 pcs 华兴三楼B12</t>
        </r>
      </text>
    </comment>
    <comment ref="AB191" authorId="0">
      <text>
        <r>
          <rPr>
            <b/>
            <sz val="16"/>
            <rFont val="宋体"/>
            <charset val="134"/>
          </rPr>
          <t>Administrator:</t>
        </r>
        <r>
          <rPr>
            <sz val="16"/>
            <rFont val="宋体"/>
            <charset val="134"/>
          </rPr>
          <t xml:space="preserve">
2000695 5/26 693 pcs 华兴三楼B6</t>
        </r>
      </text>
    </comment>
    <comment ref="AB192" authorId="0">
      <text>
        <r>
          <rPr>
            <b/>
            <sz val="16"/>
            <rFont val="宋体"/>
            <charset val="134"/>
          </rPr>
          <t>Administrator:</t>
        </r>
        <r>
          <rPr>
            <sz val="16"/>
            <rFont val="宋体"/>
            <charset val="134"/>
          </rPr>
          <t xml:space="preserve">
2000695 5/26 539 pcs 华兴三楼B10</t>
        </r>
      </text>
    </comment>
    <comment ref="AB193" authorId="0">
      <text>
        <r>
          <rPr>
            <b/>
            <sz val="16"/>
            <rFont val="宋体"/>
            <charset val="134"/>
          </rPr>
          <t>Administrator:</t>
        </r>
        <r>
          <rPr>
            <sz val="16"/>
            <rFont val="宋体"/>
            <charset val="134"/>
          </rPr>
          <t xml:space="preserve">
2000695 5/26 1012 pcs 华兴三楼B12</t>
        </r>
      </text>
    </comment>
    <comment ref="AB194" authorId="0">
      <text>
        <r>
          <rPr>
            <b/>
            <sz val="16"/>
            <rFont val="宋体"/>
            <charset val="134"/>
          </rPr>
          <t>Administrator:</t>
        </r>
        <r>
          <rPr>
            <sz val="16"/>
            <rFont val="宋体"/>
            <charset val="134"/>
          </rPr>
          <t xml:space="preserve">
2000696 5/26 242 pcs 华兴三楼B7</t>
        </r>
      </text>
    </comment>
    <comment ref="AB195" authorId="0">
      <text>
        <r>
          <rPr>
            <b/>
            <sz val="16"/>
            <rFont val="宋体"/>
            <charset val="134"/>
          </rPr>
          <t>Administrator:</t>
        </r>
        <r>
          <rPr>
            <sz val="16"/>
            <rFont val="宋体"/>
            <charset val="134"/>
          </rPr>
          <t xml:space="preserve">
2000696 5/26 627 pcs 华兴三楼B6</t>
        </r>
      </text>
    </comment>
    <comment ref="AB196" authorId="0">
      <text>
        <r>
          <rPr>
            <b/>
            <sz val="16"/>
            <rFont val="宋体"/>
            <charset val="134"/>
          </rPr>
          <t>Administrator:</t>
        </r>
        <r>
          <rPr>
            <sz val="16"/>
            <rFont val="宋体"/>
            <charset val="134"/>
          </rPr>
          <t xml:space="preserve">
2000696 5/26 319 pcs 华兴三楼B10</t>
        </r>
      </text>
    </comment>
    <comment ref="AB197" authorId="0">
      <text>
        <r>
          <rPr>
            <b/>
            <sz val="16"/>
            <rFont val="宋体"/>
            <charset val="134"/>
          </rPr>
          <t>Administrator:</t>
        </r>
        <r>
          <rPr>
            <sz val="16"/>
            <rFont val="宋体"/>
            <charset val="134"/>
          </rPr>
          <t xml:space="preserve">
2000696 5/26 836 pcs 华兴三楼B6</t>
        </r>
      </text>
    </comment>
    <comment ref="AB198" authorId="0">
      <text>
        <r>
          <rPr>
            <b/>
            <sz val="16"/>
            <rFont val="宋体"/>
            <charset val="134"/>
          </rPr>
          <t>Administrator:</t>
        </r>
        <r>
          <rPr>
            <sz val="16"/>
            <rFont val="宋体"/>
            <charset val="134"/>
          </rPr>
          <t xml:space="preserve">
2000697 5/26 550 pcs 华兴三楼B14</t>
        </r>
      </text>
    </comment>
    <comment ref="AB199" authorId="0">
      <text>
        <r>
          <rPr>
            <b/>
            <sz val="16"/>
            <rFont val="宋体"/>
            <charset val="134"/>
          </rPr>
          <t>Administrator:</t>
        </r>
        <r>
          <rPr>
            <sz val="16"/>
            <rFont val="宋体"/>
            <charset val="134"/>
          </rPr>
          <t xml:space="preserve">
2000812 5/30 1012 pcs 华兴三楼B8</t>
        </r>
      </text>
    </comment>
    <comment ref="AD199" authorId="0">
      <text>
        <r>
          <rPr>
            <b/>
            <sz val="16"/>
            <rFont val="宋体"/>
            <charset val="134"/>
          </rPr>
          <t>Administrator:</t>
        </r>
        <r>
          <rPr>
            <sz val="16"/>
            <rFont val="宋体"/>
            <charset val="134"/>
          </rPr>
          <t xml:space="preserve">
5/14上 德语callout翻译贴纸 1012 pcs
 WEEE电池通用30L说明书 1012 pcs</t>
        </r>
      </text>
    </comment>
    <comment ref="AB200" authorId="0">
      <text>
        <r>
          <rPr>
            <b/>
            <sz val="16"/>
            <rFont val="宋体"/>
            <charset val="134"/>
          </rPr>
          <t>Administrator:</t>
        </r>
        <r>
          <rPr>
            <sz val="16"/>
            <rFont val="宋体"/>
            <charset val="134"/>
          </rPr>
          <t xml:space="preserve">
2002425 6/3 24 pcs 华兴三楼B14</t>
        </r>
      </text>
    </comment>
    <comment ref="AD200" authorId="0">
      <text>
        <r>
          <rPr>
            <b/>
            <sz val="16"/>
            <rFont val="宋体"/>
            <charset val="134"/>
          </rPr>
          <t>Administrator:</t>
        </r>
        <r>
          <rPr>
            <sz val="16"/>
            <rFont val="宋体"/>
            <charset val="134"/>
          </rPr>
          <t xml:space="preserve">
5/6上 进口商贴纸 24 pcs 
 UPC 贴纸 24 pcs
5/26上 客供亚马逊外箱贴纸 1 pcs</t>
        </r>
      </text>
    </comment>
    <comment ref="AB201" authorId="0">
      <text>
        <r>
          <rPr>
            <b/>
            <sz val="16"/>
            <rFont val="宋体"/>
            <charset val="134"/>
          </rPr>
          <t>Administrator:</t>
        </r>
        <r>
          <rPr>
            <sz val="16"/>
            <rFont val="宋体"/>
            <charset val="134"/>
          </rPr>
          <t xml:space="preserve">
2002402 6/5 504 pcs 新仓库一楼B10</t>
        </r>
      </text>
    </comment>
    <comment ref="AD201" authorId="0">
      <text>
        <r>
          <rPr>
            <b/>
            <sz val="16"/>
            <rFont val="宋体"/>
            <charset val="134"/>
          </rPr>
          <t>Administrator:</t>
        </r>
        <r>
          <rPr>
            <sz val="16"/>
            <rFont val="宋体"/>
            <charset val="134"/>
          </rPr>
          <t xml:space="preserve">
4/28上 环保标含ZURU邮箱贴纸 504 pcs 
  UPC贴纸 504 pcs
5/12上 亚马逊外箱贴纸 21 pcs
5/19上 胶袋贴纸 504 pcs</t>
        </r>
      </text>
    </comment>
    <comment ref="AB202" authorId="0">
      <text>
        <r>
          <rPr>
            <b/>
            <sz val="16"/>
            <rFont val="宋体"/>
            <charset val="134"/>
          </rPr>
          <t>Administrator:</t>
        </r>
        <r>
          <rPr>
            <sz val="16"/>
            <rFont val="宋体"/>
            <charset val="134"/>
          </rPr>
          <t xml:space="preserve">
2002425 6/3 1276 pcs 华兴三楼B11</t>
        </r>
      </text>
    </comment>
    <comment ref="AD202" authorId="0">
      <text>
        <r>
          <rPr>
            <b/>
            <sz val="16"/>
            <rFont val="宋体"/>
            <charset val="134"/>
          </rPr>
          <t>Administrator:</t>
        </r>
        <r>
          <rPr>
            <sz val="16"/>
            <rFont val="宋体"/>
            <charset val="134"/>
          </rPr>
          <t xml:space="preserve">
5/14上 进口商贴纸 1276 pcs</t>
        </r>
      </text>
    </comment>
    <comment ref="AB203" authorId="0">
      <text>
        <r>
          <rPr>
            <b/>
            <sz val="16"/>
            <rFont val="宋体"/>
            <charset val="134"/>
          </rPr>
          <t>Administrator:</t>
        </r>
        <r>
          <rPr>
            <sz val="16"/>
            <rFont val="宋体"/>
            <charset val="134"/>
          </rPr>
          <t xml:space="preserve">
2002402 6/5 504 pcs 新仓库一楼B10</t>
        </r>
      </text>
    </comment>
    <comment ref="AD203" authorId="0">
      <text>
        <r>
          <rPr>
            <b/>
            <sz val="18"/>
            <rFont val="宋体"/>
            <charset val="134"/>
          </rPr>
          <t>Administrator:</t>
        </r>
        <r>
          <rPr>
            <sz val="18"/>
            <rFont val="宋体"/>
            <charset val="134"/>
          </rPr>
          <t xml:space="preserve">
5/17上 亚马逊外箱贴纸 21 pcs
5/19上 环保标含ZURU邮箱贴纸 504 pcs
胶袋+UPC贴纸 1008 pcs
</t>
        </r>
      </text>
    </comment>
    <comment ref="AB204" authorId="0">
      <text>
        <r>
          <rPr>
            <b/>
            <sz val="16"/>
            <rFont val="宋体"/>
            <charset val="134"/>
          </rPr>
          <t>Administrator:</t>
        </r>
        <r>
          <rPr>
            <sz val="16"/>
            <rFont val="宋体"/>
            <charset val="134"/>
          </rPr>
          <t xml:space="preserve">
2002402 6/5 504 pcs 新仓库一楼B10</t>
        </r>
      </text>
    </comment>
    <comment ref="AD204" authorId="0">
      <text>
        <r>
          <rPr>
            <b/>
            <sz val="18"/>
            <rFont val="宋体"/>
            <charset val="134"/>
          </rPr>
          <t>Administrator:</t>
        </r>
        <r>
          <rPr>
            <sz val="18"/>
            <rFont val="宋体"/>
            <charset val="134"/>
          </rPr>
          <t xml:space="preserve">
5/17上 亚马逊外箱贴纸 21 pcs
5/19上 环保标含ZURU邮箱贴纸 504 pcs
胶袋+UPC贴纸 1008 pcs
</t>
        </r>
      </text>
    </comment>
    <comment ref="AB205" authorId="0">
      <text>
        <r>
          <rPr>
            <b/>
            <sz val="16"/>
            <rFont val="宋体"/>
            <charset val="134"/>
          </rPr>
          <t>Administrator:</t>
        </r>
        <r>
          <rPr>
            <sz val="16"/>
            <rFont val="宋体"/>
            <charset val="134"/>
          </rPr>
          <t xml:space="preserve">
2000812 5/30 2992 pcs
华兴三楼B8
2002449 6/2 22 pcs</t>
        </r>
      </text>
    </comment>
    <comment ref="AD205" authorId="0">
      <text>
        <r>
          <rPr>
            <b/>
            <sz val="16"/>
            <rFont val="宋体"/>
            <charset val="134"/>
          </rPr>
          <t>Administrator:</t>
        </r>
        <r>
          <rPr>
            <sz val="16"/>
            <rFont val="宋体"/>
            <charset val="134"/>
          </rPr>
          <t xml:space="preserve">
5/24上 德语callout贴纸 3014 pcs
 产品贴纸 3014 pcs
 WEEE声明通用30L说明书 3014 pcs</t>
        </r>
      </text>
    </comment>
    <comment ref="AB206" authorId="0">
      <text>
        <r>
          <rPr>
            <b/>
            <sz val="16"/>
            <rFont val="宋体"/>
            <charset val="134"/>
          </rPr>
          <t>Administrator:</t>
        </r>
        <r>
          <rPr>
            <sz val="16"/>
            <rFont val="宋体"/>
            <charset val="134"/>
          </rPr>
          <t xml:space="preserve">
2002398 6/4 308 pcs</t>
        </r>
      </text>
    </comment>
    <comment ref="AD206" authorId="0">
      <text>
        <r>
          <rPr>
            <b/>
            <sz val="16"/>
            <rFont val="宋体"/>
            <charset val="134"/>
          </rPr>
          <t>Administrator:</t>
        </r>
        <r>
          <rPr>
            <sz val="16"/>
            <rFont val="宋体"/>
            <charset val="134"/>
          </rPr>
          <t xml:space="preserve">
5/7上 EAN条码贴纸 308 pcs 
 不带电池走货北欧六语通用黑白电池说明书 308 pcs</t>
        </r>
      </text>
    </comment>
    <comment ref="AB207" authorId="0">
      <text>
        <r>
          <rPr>
            <b/>
            <sz val="16"/>
            <rFont val="宋体"/>
            <charset val="134"/>
          </rPr>
          <t>Administrator:</t>
        </r>
        <r>
          <rPr>
            <sz val="16"/>
            <rFont val="宋体"/>
            <charset val="134"/>
          </rPr>
          <t xml:space="preserve">
2002360 6/6 3500 pcs 莫四楼B7</t>
        </r>
      </text>
    </comment>
    <comment ref="AD207" authorId="0">
      <text>
        <r>
          <rPr>
            <b/>
            <sz val="16"/>
            <rFont val="宋体"/>
            <charset val="134"/>
          </rPr>
          <t>Administrator:</t>
        </r>
        <r>
          <rPr>
            <sz val="16"/>
            <rFont val="宋体"/>
            <charset val="134"/>
          </rPr>
          <t xml:space="preserve">
5/9上 四国语言警告语贴纸 3500 pcs</t>
        </r>
      </text>
    </comment>
    <comment ref="AB208" authorId="0">
      <text>
        <r>
          <rPr>
            <b/>
            <sz val="16"/>
            <rFont val="宋体"/>
            <charset val="134"/>
          </rPr>
          <t>Administrator:</t>
        </r>
        <r>
          <rPr>
            <sz val="16"/>
            <rFont val="宋体"/>
            <charset val="134"/>
          </rPr>
          <t xml:space="preserve">
2002360 6/6 4494 pcs 莫四楼B9</t>
        </r>
      </text>
    </comment>
    <comment ref="AB209" authorId="0">
      <text>
        <r>
          <rPr>
            <b/>
            <sz val="16"/>
            <rFont val="宋体"/>
            <charset val="134"/>
          </rPr>
          <t>Administrator:</t>
        </r>
        <r>
          <rPr>
            <sz val="16"/>
            <rFont val="宋体"/>
            <charset val="134"/>
          </rPr>
          <t xml:space="preserve">
2002370 6/5 1804 pcs 新仓库一楼B3</t>
        </r>
      </text>
    </comment>
    <comment ref="AD209" authorId="0">
      <text>
        <r>
          <rPr>
            <b/>
            <sz val="16"/>
            <rFont val="宋体"/>
            <charset val="134"/>
          </rPr>
          <t>Administrator:</t>
        </r>
        <r>
          <rPr>
            <sz val="16"/>
            <rFont val="宋体"/>
            <charset val="134"/>
          </rPr>
          <t xml:space="preserve">
5/19上 EAN贴纸 1804 pcs
 进口商贴纸 1804 pcs
 WEEE带电池走货欧洲30说明书 1804 pcs</t>
        </r>
      </text>
    </comment>
    <comment ref="AB210" authorId="0">
      <text>
        <r>
          <rPr>
            <b/>
            <sz val="16"/>
            <rFont val="宋体"/>
            <charset val="134"/>
          </rPr>
          <t>Administrator:</t>
        </r>
        <r>
          <rPr>
            <sz val="16"/>
            <rFont val="宋体"/>
            <charset val="134"/>
          </rPr>
          <t xml:space="preserve">
2002398 6/4 242 pcs</t>
        </r>
      </text>
    </comment>
    <comment ref="AD210" authorId="0">
      <text>
        <r>
          <rPr>
            <b/>
            <sz val="16"/>
            <rFont val="宋体"/>
            <charset val="134"/>
          </rPr>
          <t>Administrator:</t>
        </r>
        <r>
          <rPr>
            <sz val="16"/>
            <rFont val="宋体"/>
            <charset val="134"/>
          </rPr>
          <t xml:space="preserve">
5/16上 通用进口商贴纸 242 pcs</t>
        </r>
      </text>
    </comment>
    <comment ref="AB211" authorId="0">
      <text>
        <r>
          <rPr>
            <b/>
            <sz val="16"/>
            <rFont val="宋体"/>
            <charset val="134"/>
          </rPr>
          <t>Administrator:</t>
        </r>
        <r>
          <rPr>
            <sz val="16"/>
            <rFont val="宋体"/>
            <charset val="134"/>
          </rPr>
          <t xml:space="preserve">
2002348 6/6 1254 pcs 新仓库一楼A4</t>
        </r>
      </text>
    </comment>
    <comment ref="AB212" authorId="0">
      <text>
        <r>
          <rPr>
            <b/>
            <sz val="16"/>
            <rFont val="宋体"/>
            <charset val="134"/>
          </rPr>
          <t>Administrator:</t>
        </r>
        <r>
          <rPr>
            <sz val="16"/>
            <rFont val="宋体"/>
            <charset val="134"/>
          </rPr>
          <t xml:space="preserve">
2002348 6/6 2592 pcs 新仓库一楼A4
2002326 6/7 24 ocs 新A4</t>
        </r>
      </text>
    </comment>
    <comment ref="AD212" authorId="0">
      <text>
        <r>
          <rPr>
            <b/>
            <sz val="16"/>
            <rFont val="宋体"/>
            <charset val="134"/>
          </rPr>
          <t>Administrator:</t>
        </r>
        <r>
          <rPr>
            <sz val="16"/>
            <rFont val="宋体"/>
            <charset val="134"/>
          </rPr>
          <t xml:space="preserve">
5/12上 进口商贴纸 2616 pcs</t>
        </r>
      </text>
    </comment>
    <comment ref="AB213" authorId="0">
      <text>
        <r>
          <rPr>
            <b/>
            <sz val="16"/>
            <rFont val="宋体"/>
            <charset val="134"/>
          </rPr>
          <t>Administrator:</t>
        </r>
        <r>
          <rPr>
            <sz val="16"/>
            <rFont val="宋体"/>
            <charset val="134"/>
          </rPr>
          <t xml:space="preserve">
2002278 6/9 504 pcs 华兴三楼B14</t>
        </r>
      </text>
    </comment>
    <comment ref="AD213" authorId="0">
      <text>
        <r>
          <rPr>
            <b/>
            <sz val="18"/>
            <rFont val="宋体"/>
            <charset val="134"/>
          </rPr>
          <t>Administrator:</t>
        </r>
        <r>
          <rPr>
            <sz val="18"/>
            <rFont val="宋体"/>
            <charset val="134"/>
          </rPr>
          <t xml:space="preserve">
5/19上 环保标含ZURU邮箱贴纸 504 pcs
胶袋+UPC贴纸 1008 pcs
5/20上 WEEE电子产品说明书 504 pcs
5/24上 亚马逊外箱贴纸 21 pcs
</t>
        </r>
      </text>
    </comment>
    <comment ref="AB214" authorId="0">
      <text>
        <r>
          <rPr>
            <b/>
            <sz val="16"/>
            <rFont val="宋体"/>
            <charset val="134"/>
          </rPr>
          <t>Administrator:</t>
        </r>
        <r>
          <rPr>
            <sz val="16"/>
            <rFont val="宋体"/>
            <charset val="134"/>
          </rPr>
          <t xml:space="preserve">
2002272 6/11 1200 pcs 华兴三楼B14</t>
        </r>
      </text>
    </comment>
    <comment ref="AD214" authorId="0">
      <text>
        <r>
          <rPr>
            <b/>
            <sz val="16"/>
            <rFont val="宋体"/>
            <charset val="134"/>
          </rPr>
          <t>Administrator:</t>
        </r>
        <r>
          <rPr>
            <sz val="16"/>
            <rFont val="宋体"/>
            <charset val="134"/>
          </rPr>
          <t xml:space="preserve">
5/26上 价格贴纸 1200 pcs 
 外箱条码贴纸 100 pcs</t>
        </r>
      </text>
    </comment>
    <comment ref="AB215" authorId="0">
      <text>
        <r>
          <rPr>
            <b/>
            <sz val="16"/>
            <rFont val="宋体"/>
            <charset val="134"/>
          </rPr>
          <t>Administrator:</t>
        </r>
        <r>
          <rPr>
            <sz val="16"/>
            <rFont val="宋体"/>
            <charset val="134"/>
          </rPr>
          <t xml:space="preserve">
2002278 6/9 990 pcs 华兴三楼B14
2002253 6/10 11 pcs B14</t>
        </r>
      </text>
    </comment>
    <comment ref="AD215" authorId="0">
      <text>
        <r>
          <rPr>
            <b/>
            <sz val="16"/>
            <rFont val="宋体"/>
            <charset val="134"/>
          </rPr>
          <t>Administrator:</t>
        </r>
        <r>
          <rPr>
            <sz val="16"/>
            <rFont val="宋体"/>
            <charset val="134"/>
          </rPr>
          <t xml:space="preserve">
5/21上 警告语/EAN贴纸 1001 pcs 打湿补订
5/27上 警告语贴纸 1001 pcs
 条码贴纸 1001 pcs
5/30 补警告语/EAN贴纸 1001 pcs</t>
        </r>
      </text>
    </comment>
    <comment ref="AB216" authorId="0">
      <text>
        <r>
          <rPr>
            <b/>
            <sz val="16"/>
            <rFont val="宋体"/>
            <charset val="134"/>
          </rPr>
          <t>Administrator:</t>
        </r>
        <r>
          <rPr>
            <sz val="16"/>
            <rFont val="宋体"/>
            <charset val="134"/>
          </rPr>
          <t xml:space="preserve">
2002285 6/10 138 pcs 华兴三楼B13</t>
        </r>
      </text>
    </comment>
    <comment ref="AD216" authorId="0">
      <text>
        <r>
          <rPr>
            <b/>
            <sz val="16"/>
            <rFont val="宋体"/>
            <charset val="134"/>
          </rPr>
          <t>Administrator:</t>
        </r>
        <r>
          <rPr>
            <sz val="16"/>
            <rFont val="宋体"/>
            <charset val="134"/>
          </rPr>
          <t xml:space="preserve">
5/20上 白色防盗贴纸 138 pcs
5/30上 KM外箱贴纸 23 pcs</t>
        </r>
      </text>
    </comment>
    <comment ref="AB217" authorId="0">
      <text>
        <r>
          <rPr>
            <b/>
            <sz val="16"/>
            <rFont val="宋体"/>
            <charset val="134"/>
          </rPr>
          <t>Administrator:</t>
        </r>
        <r>
          <rPr>
            <sz val="16"/>
            <rFont val="宋体"/>
            <charset val="134"/>
          </rPr>
          <t xml:space="preserve">
2002285 6/10 138 pcs 华兴三楼A23</t>
        </r>
      </text>
    </comment>
    <comment ref="AD217" authorId="0">
      <text>
        <r>
          <rPr>
            <b/>
            <sz val="16"/>
            <rFont val="宋体"/>
            <charset val="134"/>
          </rPr>
          <t>Administrator:</t>
        </r>
        <r>
          <rPr>
            <sz val="16"/>
            <rFont val="宋体"/>
            <charset val="134"/>
          </rPr>
          <t xml:space="preserve">
5/20上 白色防盗贴纸 1362 pcs
5/30上 KM外箱贴纸 227 pcs
</t>
        </r>
      </text>
    </comment>
    <comment ref="AB218" authorId="0">
      <text>
        <r>
          <rPr>
            <b/>
            <sz val="16"/>
            <rFont val="宋体"/>
            <charset val="134"/>
          </rPr>
          <t>Administrator:</t>
        </r>
        <r>
          <rPr>
            <sz val="16"/>
            <rFont val="宋体"/>
            <charset val="134"/>
          </rPr>
          <t xml:space="preserve">
2002278 6/9 506 pcs 华兴三楼B15</t>
        </r>
      </text>
    </comment>
    <comment ref="AD218" authorId="0">
      <text>
        <r>
          <rPr>
            <b/>
            <sz val="16"/>
            <rFont val="宋体"/>
            <charset val="134"/>
          </rPr>
          <t>Administrator:</t>
        </r>
        <r>
          <rPr>
            <sz val="16"/>
            <rFont val="宋体"/>
            <charset val="134"/>
          </rPr>
          <t xml:space="preserve">
5/27上 WEEE 不带电池走货 通用30L 说明书 506 pcs
6/3上 EAN贴纸 506 pcs</t>
        </r>
      </text>
    </comment>
    <comment ref="AB219" authorId="0">
      <text>
        <r>
          <rPr>
            <b/>
            <sz val="16"/>
            <rFont val="宋体"/>
            <charset val="134"/>
          </rPr>
          <t>Administrator:</t>
        </r>
        <r>
          <rPr>
            <sz val="16"/>
            <rFont val="宋体"/>
            <charset val="134"/>
          </rPr>
          <t xml:space="preserve">
2000769 5/23 2563 pcs 华兴三楼A24
6/4退湖南消耗517pcs/47箱</t>
        </r>
      </text>
    </comment>
    <comment ref="AB220" authorId="0">
      <text>
        <r>
          <rPr>
            <b/>
            <sz val="14"/>
            <rFont val="宋体"/>
            <charset val="134"/>
          </rPr>
          <t>Administrator:</t>
        </r>
        <r>
          <rPr>
            <sz val="14"/>
            <rFont val="宋体"/>
            <charset val="134"/>
          </rPr>
          <t xml:space="preserve">
2002083 6/18 10131 pcs 华兴三楼A31       
2002122 6/18 209 pcs A31</t>
        </r>
      </text>
    </comment>
    <comment ref="AB221" authorId="0">
      <text>
        <r>
          <rPr>
            <b/>
            <sz val="16"/>
            <rFont val="宋体"/>
            <charset val="134"/>
          </rPr>
          <t>Administrator:</t>
        </r>
        <r>
          <rPr>
            <sz val="16"/>
            <rFont val="宋体"/>
            <charset val="134"/>
          </rPr>
          <t xml:space="preserve">
2002083 6/18 7920 pcs 华兴三A31楼       
2002122 6/18 2420 pcs A31 </t>
        </r>
        <r>
          <rPr>
            <sz val="9"/>
            <rFont val="宋体"/>
            <charset val="134"/>
          </rPr>
          <t xml:space="preserve">
</t>
        </r>
      </text>
    </comment>
    <comment ref="AB222" authorId="0">
      <text>
        <r>
          <rPr>
            <b/>
            <sz val="14"/>
            <rFont val="宋体"/>
            <charset val="134"/>
          </rPr>
          <t>Administrator:</t>
        </r>
        <r>
          <rPr>
            <sz val="14"/>
            <rFont val="宋体"/>
            <charset val="134"/>
          </rPr>
          <t xml:space="preserve">
2002162 6/18 504 pcs 华兴三楼A16</t>
        </r>
      </text>
    </comment>
    <comment ref="AD222" authorId="0">
      <text>
        <r>
          <rPr>
            <b/>
            <sz val="18"/>
            <rFont val="宋体"/>
            <charset val="134"/>
          </rPr>
          <t>Administrator:</t>
        </r>
        <r>
          <rPr>
            <sz val="18"/>
            <rFont val="宋体"/>
            <charset val="134"/>
          </rPr>
          <t xml:space="preserve">
5/19上 环保标含ZURU邮箱贴纸 504 pcs
 胶袋+UPC贴纸 1008 pcs
5/20上 WEEE电子产品说明书 504 pcs
5/24上 亚马逊外箱贴纸 21 pcs</t>
        </r>
      </text>
    </comment>
    <comment ref="AB223" authorId="0">
      <text>
        <r>
          <rPr>
            <b/>
            <sz val="14"/>
            <rFont val="宋体"/>
            <charset val="134"/>
          </rPr>
          <t>Administrator:</t>
        </r>
        <r>
          <rPr>
            <sz val="14"/>
            <rFont val="宋体"/>
            <charset val="134"/>
          </rPr>
          <t xml:space="preserve">
2002162 6/18 504 pcs 华兴三楼A16</t>
        </r>
      </text>
    </comment>
    <comment ref="AD223" authorId="0">
      <text>
        <r>
          <rPr>
            <b/>
            <sz val="18"/>
            <rFont val="宋体"/>
            <charset val="134"/>
          </rPr>
          <t>Administrator:</t>
        </r>
        <r>
          <rPr>
            <sz val="18"/>
            <rFont val="宋体"/>
            <charset val="134"/>
          </rPr>
          <t xml:space="preserve">
5/19上 环保标含ZURU邮箱贴纸 504 pcs
 胶袋+UPC贴纸 1008 pcs
5/20上 WEEE电子产品说明书 504 pcs
5/24上 亚马逊外箱贴纸 21 pcs
</t>
        </r>
      </text>
    </comment>
    <comment ref="AB224" authorId="0">
      <text>
        <r>
          <rPr>
            <b/>
            <sz val="14"/>
            <rFont val="宋体"/>
            <charset val="134"/>
          </rPr>
          <t>Administrator:</t>
        </r>
        <r>
          <rPr>
            <sz val="14"/>
            <rFont val="宋体"/>
            <charset val="134"/>
          </rPr>
          <t xml:space="preserve">
2002162 6/18 552 pcs 华兴三楼A16</t>
        </r>
      </text>
    </comment>
    <comment ref="AD224" authorId="0">
      <text>
        <r>
          <rPr>
            <b/>
            <sz val="18"/>
            <rFont val="宋体"/>
            <charset val="134"/>
          </rPr>
          <t>Administrator:</t>
        </r>
        <r>
          <rPr>
            <sz val="18"/>
            <rFont val="宋体"/>
            <charset val="134"/>
          </rPr>
          <t xml:space="preserve">
5/19上 环保标含ZURU邮箱贴纸 504 pcs
胶袋+UPC贴纸 1104 pcs
5/20上 WEEE电子产品说明书 552 pcs
5/24上 亚马逊外箱贴纸 23 pcs
</t>
        </r>
      </text>
    </comment>
    <comment ref="AB225" authorId="0">
      <text>
        <r>
          <rPr>
            <b/>
            <sz val="14"/>
            <rFont val="宋体"/>
            <charset val="134"/>
          </rPr>
          <t>Administrator:</t>
        </r>
        <r>
          <rPr>
            <sz val="14"/>
            <rFont val="宋体"/>
            <charset val="134"/>
          </rPr>
          <t xml:space="preserve">
2002162 6/18 1001 pcs 华兴三楼A16</t>
        </r>
      </text>
    </comment>
    <comment ref="AD225" authorId="0">
      <text>
        <r>
          <rPr>
            <b/>
            <sz val="16"/>
            <rFont val="宋体"/>
            <charset val="134"/>
          </rPr>
          <t>Administrator:</t>
        </r>
        <r>
          <rPr>
            <sz val="16"/>
            <rFont val="宋体"/>
            <charset val="134"/>
          </rPr>
          <t xml:space="preserve">
5/27上 EAN条码贴纸 1001 pcs</t>
        </r>
      </text>
    </comment>
    <comment ref="AB226" authorId="0">
      <text>
        <r>
          <rPr>
            <b/>
            <sz val="14"/>
            <rFont val="宋体"/>
            <charset val="134"/>
          </rPr>
          <t>Administrator:</t>
        </r>
        <r>
          <rPr>
            <sz val="14"/>
            <rFont val="宋体"/>
            <charset val="134"/>
          </rPr>
          <t xml:space="preserve">
2002162 6/18 506 pcs 华兴三楼B14</t>
        </r>
      </text>
    </comment>
    <comment ref="AD226" authorId="0">
      <text>
        <r>
          <rPr>
            <b/>
            <sz val="16"/>
            <rFont val="宋体"/>
            <charset val="134"/>
          </rPr>
          <t>Administrator:</t>
        </r>
        <r>
          <rPr>
            <sz val="16"/>
            <rFont val="宋体"/>
            <charset val="134"/>
          </rPr>
          <t xml:space="preserve">
W5/27上 EEE不带电池走货欧洲30语通用黑白说明书 506 pcs</t>
        </r>
      </text>
    </comment>
    <comment ref="AB227" authorId="0">
      <text>
        <r>
          <rPr>
            <b/>
            <sz val="14"/>
            <rFont val="宋体"/>
            <charset val="134"/>
          </rPr>
          <t>Administrator:</t>
        </r>
        <r>
          <rPr>
            <sz val="14"/>
            <rFont val="宋体"/>
            <charset val="134"/>
          </rPr>
          <t xml:space="preserve">
2002162 6/18 264 pcs 华兴三楼B8</t>
        </r>
      </text>
    </comment>
    <comment ref="AD227" authorId="0">
      <text>
        <r>
          <rPr>
            <b/>
            <sz val="16"/>
            <rFont val="宋体"/>
            <charset val="134"/>
          </rPr>
          <t>Administrator:</t>
        </r>
        <r>
          <rPr>
            <sz val="16"/>
            <rFont val="宋体"/>
            <charset val="134"/>
          </rPr>
          <t xml:space="preserve">
5/29上 进口商贴纸 264 pcs</t>
        </r>
      </text>
    </comment>
    <comment ref="AB228" authorId="0">
      <text>
        <r>
          <rPr>
            <b/>
            <sz val="14"/>
            <rFont val="宋体"/>
            <charset val="134"/>
          </rPr>
          <t>Administrator:</t>
        </r>
        <r>
          <rPr>
            <sz val="14"/>
            <rFont val="宋体"/>
            <charset val="134"/>
          </rPr>
          <t xml:space="preserve">
2002134 6/19 1210 pcs 华兴三楼B14</t>
        </r>
      </text>
    </comment>
    <comment ref="AD228" authorId="0">
      <text>
        <r>
          <rPr>
            <b/>
            <sz val="16"/>
            <rFont val="宋体"/>
            <charset val="134"/>
          </rPr>
          <t>Administrator:</t>
        </r>
        <r>
          <rPr>
            <sz val="16"/>
            <rFont val="宋体"/>
            <charset val="134"/>
          </rPr>
          <t xml:space="preserve">
5/14上 进口商贴纸 1210 pcs</t>
        </r>
      </text>
    </comment>
    <comment ref="AB229" authorId="0">
      <text>
        <r>
          <rPr>
            <b/>
            <sz val="14"/>
            <rFont val="宋体"/>
            <charset val="134"/>
          </rPr>
          <t>Administrator:</t>
        </r>
        <r>
          <rPr>
            <sz val="14"/>
            <rFont val="宋体"/>
            <charset val="134"/>
          </rPr>
          <t xml:space="preserve">
2002136 6/19 176 pcs 华兴三楼A24</t>
        </r>
      </text>
    </comment>
    <comment ref="AB230" authorId="0">
      <text>
        <r>
          <rPr>
            <b/>
            <sz val="14"/>
            <rFont val="宋体"/>
            <charset val="134"/>
          </rPr>
          <t>Administrator:</t>
        </r>
        <r>
          <rPr>
            <sz val="14"/>
            <rFont val="宋体"/>
            <charset val="134"/>
          </rPr>
          <t xml:space="preserve">
2002135 6/19 528 pcs 华兴三楼B8</t>
        </r>
      </text>
    </comment>
    <comment ref="AB231" authorId="0">
      <text>
        <r>
          <rPr>
            <b/>
            <sz val="14"/>
            <rFont val="宋体"/>
            <charset val="134"/>
          </rPr>
          <t>Administrator:</t>
        </r>
        <r>
          <rPr>
            <sz val="14"/>
            <rFont val="宋体"/>
            <charset val="134"/>
          </rPr>
          <t xml:space="preserve">
2002134 6/19 286 pcs 华兴三楼B12</t>
        </r>
      </text>
    </comment>
    <comment ref="AB232" authorId="0">
      <text>
        <r>
          <rPr>
            <b/>
            <sz val="14"/>
            <rFont val="宋体"/>
            <charset val="134"/>
          </rPr>
          <t>Administrator:</t>
        </r>
        <r>
          <rPr>
            <sz val="14"/>
            <rFont val="宋体"/>
            <charset val="134"/>
          </rPr>
          <t xml:space="preserve">
2002134 6/19 528 pcs 华兴三楼A24</t>
        </r>
      </text>
    </comment>
    <comment ref="AD232" authorId="0">
      <text>
        <r>
          <rPr>
            <b/>
            <sz val="16"/>
            <rFont val="宋体"/>
            <charset val="134"/>
          </rPr>
          <t>Administrator:</t>
        </r>
        <r>
          <rPr>
            <sz val="16"/>
            <rFont val="宋体"/>
            <charset val="134"/>
          </rPr>
          <t xml:space="preserve">
6/6上 进口商贴纸 528 pcs</t>
        </r>
      </text>
    </comment>
    <comment ref="AB233" authorId="0">
      <text>
        <r>
          <rPr>
            <b/>
            <sz val="14"/>
            <rFont val="宋体"/>
            <charset val="134"/>
          </rPr>
          <t>Administrator:</t>
        </r>
        <r>
          <rPr>
            <sz val="14"/>
            <rFont val="宋体"/>
            <charset val="134"/>
          </rPr>
          <t xml:space="preserve">
2002135 6/19 418 pcs 华兴三楼A24
</t>
        </r>
      </text>
    </comment>
    <comment ref="AD233" authorId="0">
      <text>
        <r>
          <rPr>
            <b/>
            <sz val="16"/>
            <rFont val="宋体"/>
            <charset val="134"/>
          </rPr>
          <t>Administrator:</t>
        </r>
        <r>
          <rPr>
            <sz val="16"/>
            <rFont val="宋体"/>
            <charset val="134"/>
          </rPr>
          <t xml:space="preserve">
6/6上 进口商贴纸 418 pcs</t>
        </r>
      </text>
    </comment>
    <comment ref="AB234" authorId="0">
      <text>
        <r>
          <rPr>
            <b/>
            <sz val="14"/>
            <rFont val="宋体"/>
            <charset val="134"/>
          </rPr>
          <t>Administrator:</t>
        </r>
        <r>
          <rPr>
            <sz val="14"/>
            <rFont val="宋体"/>
            <charset val="134"/>
          </rPr>
          <t xml:space="preserve">
2002135 6/19 418 pcs 华兴三楼A24
</t>
        </r>
      </text>
    </comment>
    <comment ref="AD234" authorId="0">
      <text>
        <r>
          <rPr>
            <b/>
            <sz val="16"/>
            <rFont val="宋体"/>
            <charset val="134"/>
          </rPr>
          <t>Administrator:</t>
        </r>
        <r>
          <rPr>
            <sz val="16"/>
            <rFont val="宋体"/>
            <charset val="134"/>
          </rPr>
          <t xml:space="preserve">
6/6上 进口商贴纸 418 pcs</t>
        </r>
      </text>
    </comment>
    <comment ref="AB235" authorId="0">
      <text>
        <r>
          <rPr>
            <b/>
            <sz val="14"/>
            <rFont val="宋体"/>
            <charset val="134"/>
          </rPr>
          <t>Administrator:</t>
        </r>
        <r>
          <rPr>
            <sz val="14"/>
            <rFont val="宋体"/>
            <charset val="134"/>
          </rPr>
          <t xml:space="preserve">
2002135 6/19 154 pcs 华兴三楼A24
</t>
        </r>
      </text>
    </comment>
    <comment ref="AD235" authorId="0">
      <text>
        <r>
          <rPr>
            <b/>
            <sz val="16"/>
            <rFont val="宋体"/>
            <charset val="134"/>
          </rPr>
          <t>Administrator:</t>
        </r>
        <r>
          <rPr>
            <sz val="16"/>
            <rFont val="宋体"/>
            <charset val="134"/>
          </rPr>
          <t xml:space="preserve">
6/6上 进口商贴纸 154 pcs</t>
        </r>
      </text>
    </comment>
    <comment ref="AB236" authorId="0">
      <text>
        <r>
          <rPr>
            <b/>
            <sz val="16"/>
            <rFont val="宋体"/>
            <charset val="134"/>
          </rPr>
          <t>Administrator:</t>
        </r>
        <r>
          <rPr>
            <sz val="16"/>
            <rFont val="宋体"/>
            <charset val="134"/>
          </rPr>
          <t xml:space="preserve">
2001986 6/24 638 pcs 新仓库3-B10</t>
        </r>
      </text>
    </comment>
    <comment ref="AB237" authorId="0">
      <text>
        <r>
          <rPr>
            <b/>
            <sz val="16"/>
            <rFont val="宋体"/>
            <charset val="134"/>
          </rPr>
          <t>Administrator:</t>
        </r>
        <r>
          <rPr>
            <sz val="16"/>
            <rFont val="宋体"/>
            <charset val="134"/>
          </rPr>
          <t xml:space="preserve">
3001866 6/24 363 pcs 华兴三楼B9</t>
        </r>
      </text>
    </comment>
    <comment ref="AD237" authorId="0">
      <text>
        <r>
          <rPr>
            <b/>
            <sz val="16"/>
            <rFont val="宋体"/>
            <charset val="134"/>
          </rPr>
          <t>Administrator:</t>
        </r>
        <r>
          <rPr>
            <sz val="16"/>
            <rFont val="宋体"/>
            <charset val="134"/>
          </rPr>
          <t xml:space="preserve">
6/6上 EAN/邮箱贴纸 363 pcs
6/17上 不带电池走货北欧六语通用说明书 363 pcs
6/20补上正确的6/17是错的 WEEE不带电池走货-说明书北欧 363 pcs
6/23补上 因返工说明书撕膜后补的 EAN邮箱贴纸 363 pcs</t>
        </r>
      </text>
    </comment>
    <comment ref="AB238" authorId="0">
      <text>
        <r>
          <rPr>
            <b/>
            <sz val="16"/>
            <rFont val="宋体"/>
            <charset val="134"/>
          </rPr>
          <t>Administrator:</t>
        </r>
        <r>
          <rPr>
            <sz val="16"/>
            <rFont val="宋体"/>
            <charset val="134"/>
          </rPr>
          <t xml:space="preserve">
3001866 6/24 1210 pcs 华兴三楼B11</t>
        </r>
      </text>
    </comment>
    <comment ref="AD238" authorId="0">
      <text>
        <r>
          <rPr>
            <b/>
            <sz val="16"/>
            <rFont val="宋体"/>
            <charset val="134"/>
          </rPr>
          <t>Administrator:</t>
        </r>
        <r>
          <rPr>
            <sz val="16"/>
            <rFont val="宋体"/>
            <charset val="134"/>
          </rPr>
          <t xml:space="preserve">
6/6上 客人通用进口商贴纸 1210 pcs</t>
        </r>
      </text>
    </comment>
    <comment ref="AB239" authorId="0">
      <text>
        <r>
          <rPr>
            <b/>
            <sz val="16"/>
            <rFont val="宋体"/>
            <charset val="134"/>
          </rPr>
          <t>Administrator:</t>
        </r>
        <r>
          <rPr>
            <sz val="16"/>
            <rFont val="宋体"/>
            <charset val="134"/>
          </rPr>
          <t xml:space="preserve">
2001990 6/23 5005 pcs 新仓库3-C12</t>
        </r>
      </text>
    </comment>
    <comment ref="AD239" authorId="0">
      <text>
        <r>
          <rPr>
            <b/>
            <sz val="16"/>
            <rFont val="宋体"/>
            <charset val="134"/>
          </rPr>
          <t>Administrator:</t>
        </r>
        <r>
          <rPr>
            <sz val="16"/>
            <rFont val="宋体"/>
            <charset val="134"/>
          </rPr>
          <t xml:space="preserve">
6/6上 韩语贴纸 5005 pcs
上到湖南不见补订
6/14上 韩语贴纸 5005 pcs</t>
        </r>
      </text>
    </comment>
    <comment ref="AB240" authorId="0">
      <text>
        <r>
          <rPr>
            <b/>
            <sz val="14"/>
            <rFont val="宋体"/>
            <charset val="134"/>
          </rPr>
          <t>Administrator:</t>
        </r>
        <r>
          <rPr>
            <sz val="14"/>
            <rFont val="宋体"/>
            <charset val="134"/>
          </rPr>
          <t xml:space="preserve">
2002023 6/21 2002 pcs 新仓库1-A4</t>
        </r>
      </text>
    </comment>
    <comment ref="AD240" authorId="0">
      <text>
        <r>
          <rPr>
            <b/>
            <sz val="16"/>
            <rFont val="宋体"/>
            <charset val="134"/>
          </rPr>
          <t>Administrator:</t>
        </r>
        <r>
          <rPr>
            <sz val="16"/>
            <rFont val="宋体"/>
            <charset val="134"/>
          </rPr>
          <t xml:space="preserve">
6/13上 进口商贴纸 2002 pcs</t>
        </r>
      </text>
    </comment>
    <comment ref="AB241" authorId="0">
      <text>
        <r>
          <rPr>
            <b/>
            <sz val="16"/>
            <rFont val="宋体"/>
            <charset val="134"/>
          </rPr>
          <t>Administrator:</t>
        </r>
        <r>
          <rPr>
            <sz val="16"/>
            <rFont val="宋体"/>
            <charset val="134"/>
          </rPr>
          <t xml:space="preserve">
3001866 6/24 24 pcs 华兴三楼B11</t>
        </r>
      </text>
    </comment>
    <comment ref="AD241" authorId="0">
      <text>
        <r>
          <rPr>
            <b/>
            <sz val="16"/>
            <rFont val="宋体"/>
            <charset val="134"/>
          </rPr>
          <t>Administrator:</t>
        </r>
        <r>
          <rPr>
            <sz val="16"/>
            <rFont val="宋体"/>
            <charset val="134"/>
          </rPr>
          <t xml:space="preserve">
6/6上 E款UPC贴纸 24 pcs
6/11上 客供亚马逊外箱贴纸 1 pcs</t>
        </r>
      </text>
    </comment>
    <comment ref="AB242" authorId="0">
      <text>
        <r>
          <rPr>
            <b/>
            <sz val="16"/>
            <rFont val="宋体"/>
            <charset val="134"/>
          </rPr>
          <t>Administrator:</t>
        </r>
        <r>
          <rPr>
            <sz val="16"/>
            <rFont val="宋体"/>
            <charset val="134"/>
          </rPr>
          <t xml:space="preserve">
3001866 6/24 24 pcs 华兴三楼B11</t>
        </r>
      </text>
    </comment>
    <comment ref="AD242" authorId="0">
      <text>
        <r>
          <rPr>
            <b/>
            <sz val="16"/>
            <rFont val="宋体"/>
            <charset val="134"/>
          </rPr>
          <t>Administrator:</t>
        </r>
        <r>
          <rPr>
            <sz val="16"/>
            <rFont val="宋体"/>
            <charset val="134"/>
          </rPr>
          <t xml:space="preserve">
6/6上 E款UPC贴纸 24 pcs
6/11上 客供亚马逊外箱贴纸 1 pcs</t>
        </r>
      </text>
    </comment>
    <comment ref="AB243" authorId="0">
      <text>
        <r>
          <rPr>
            <b/>
            <sz val="16"/>
            <rFont val="宋体"/>
            <charset val="134"/>
          </rPr>
          <t>Administrator:</t>
        </r>
        <r>
          <rPr>
            <sz val="16"/>
            <rFont val="宋体"/>
            <charset val="134"/>
          </rPr>
          <t xml:space="preserve">
3001866 6/24 24 pcs 华兴三楼B11</t>
        </r>
      </text>
    </comment>
    <comment ref="AD243" authorId="0">
      <text>
        <r>
          <rPr>
            <b/>
            <sz val="16"/>
            <rFont val="宋体"/>
            <charset val="134"/>
          </rPr>
          <t>Administrator:</t>
        </r>
        <r>
          <rPr>
            <sz val="16"/>
            <rFont val="宋体"/>
            <charset val="134"/>
          </rPr>
          <t xml:space="preserve">
6/6上 E款UPC贴纸 24 pcs
6/11上 客供亚马逊外箱贴纸 1 pcs</t>
        </r>
      </text>
    </comment>
    <comment ref="AB244" authorId="0">
      <text>
        <r>
          <rPr>
            <b/>
            <sz val="16"/>
            <rFont val="宋体"/>
            <charset val="134"/>
          </rPr>
          <t>Administrator:</t>
        </r>
        <r>
          <rPr>
            <sz val="16"/>
            <rFont val="宋体"/>
            <charset val="134"/>
          </rPr>
          <t xml:space="preserve">
3001865 6/24 24 pcs 新仓库3-B11
</t>
        </r>
      </text>
    </comment>
    <comment ref="AD244" authorId="0">
      <text>
        <r>
          <rPr>
            <b/>
            <sz val="16"/>
            <rFont val="宋体"/>
            <charset val="134"/>
          </rPr>
          <t>Administrator:</t>
        </r>
        <r>
          <rPr>
            <sz val="16"/>
            <rFont val="宋体"/>
            <charset val="134"/>
          </rPr>
          <t xml:space="preserve">
6/6上 E款UPC贴纸 24 pcs
6/11上 客供亚马逊外箱贴纸 1 pcs</t>
        </r>
      </text>
    </comment>
    <comment ref="AB245" authorId="0">
      <text>
        <r>
          <rPr>
            <b/>
            <sz val="16"/>
            <rFont val="宋体"/>
            <charset val="134"/>
          </rPr>
          <t>Administrator:</t>
        </r>
        <r>
          <rPr>
            <sz val="16"/>
            <rFont val="宋体"/>
            <charset val="134"/>
          </rPr>
          <t xml:space="preserve">
3001865 6/24 24 pcs 新仓库3-B11
</t>
        </r>
      </text>
    </comment>
    <comment ref="AD245" authorId="0">
      <text>
        <r>
          <rPr>
            <b/>
            <sz val="16"/>
            <rFont val="宋体"/>
            <charset val="134"/>
          </rPr>
          <t>Administrator:</t>
        </r>
        <r>
          <rPr>
            <sz val="16"/>
            <rFont val="宋体"/>
            <charset val="134"/>
          </rPr>
          <t xml:space="preserve">
6/6上 E款UPC贴纸 24 pcs
6/11上 客供亚马逊外箱贴纸 1 pcs</t>
        </r>
      </text>
    </comment>
    <comment ref="AB246" authorId="0">
      <text>
        <r>
          <rPr>
            <b/>
            <sz val="16"/>
            <rFont val="宋体"/>
            <charset val="134"/>
          </rPr>
          <t>Administrator:</t>
        </r>
        <r>
          <rPr>
            <sz val="16"/>
            <rFont val="宋体"/>
            <charset val="134"/>
          </rPr>
          <t xml:space="preserve">
3001865 6/24 24 pcs 新仓库3-B11
</t>
        </r>
      </text>
    </comment>
    <comment ref="AD246" authorId="0">
      <text>
        <r>
          <rPr>
            <b/>
            <sz val="16"/>
            <rFont val="宋体"/>
            <charset val="134"/>
          </rPr>
          <t>Administrator:</t>
        </r>
        <r>
          <rPr>
            <sz val="16"/>
            <rFont val="宋体"/>
            <charset val="134"/>
          </rPr>
          <t xml:space="preserve">
6/6上 B款UPC贴纸 48 pcs
6/11上 客供亚马逊外箱贴纸 1 pcs</t>
        </r>
      </text>
    </comment>
    <comment ref="AB247" authorId="0">
      <text>
        <r>
          <rPr>
            <b/>
            <sz val="16"/>
            <rFont val="宋体"/>
            <charset val="134"/>
          </rPr>
          <t>Administrator:</t>
        </r>
        <r>
          <rPr>
            <sz val="16"/>
            <rFont val="宋体"/>
            <charset val="134"/>
          </rPr>
          <t xml:space="preserve">
3001865 6/24 24 pcs 新仓库3-B11
</t>
        </r>
      </text>
    </comment>
    <comment ref="AD247" authorId="0">
      <text>
        <r>
          <rPr>
            <b/>
            <sz val="16"/>
            <rFont val="宋体"/>
            <charset val="134"/>
          </rPr>
          <t>Administrator:</t>
        </r>
        <r>
          <rPr>
            <sz val="16"/>
            <rFont val="宋体"/>
            <charset val="134"/>
          </rPr>
          <t xml:space="preserve">
6/6上 B款UPC贴纸 48 pcs
6/11上 客供亚马逊外箱贴纸 1 pcs</t>
        </r>
      </text>
    </comment>
    <comment ref="AB248" authorId="0">
      <text>
        <r>
          <rPr>
            <b/>
            <sz val="16"/>
            <rFont val="宋体"/>
            <charset val="134"/>
          </rPr>
          <t>Administrator:</t>
        </r>
        <r>
          <rPr>
            <sz val="16"/>
            <rFont val="宋体"/>
            <charset val="134"/>
          </rPr>
          <t xml:space="preserve">
3001865 6/24 24 pcs 新仓库3-B11
</t>
        </r>
      </text>
    </comment>
    <comment ref="AD248" authorId="0">
      <text>
        <r>
          <rPr>
            <b/>
            <sz val="16"/>
            <rFont val="宋体"/>
            <charset val="134"/>
          </rPr>
          <t>Administrator:</t>
        </r>
        <r>
          <rPr>
            <sz val="16"/>
            <rFont val="宋体"/>
            <charset val="134"/>
          </rPr>
          <t xml:space="preserve">
6/6上 A款UPC贴纸 24 pcs
6/11上 客供亚马逊外箱贴纸 1 pcs</t>
        </r>
      </text>
    </comment>
    <comment ref="AB249" authorId="0">
      <text>
        <r>
          <rPr>
            <b/>
            <sz val="16"/>
            <rFont val="宋体"/>
            <charset val="134"/>
          </rPr>
          <t>Administrator:</t>
        </r>
        <r>
          <rPr>
            <sz val="16"/>
            <rFont val="宋体"/>
            <charset val="134"/>
          </rPr>
          <t xml:space="preserve">
3001866 6/24 48 pcs 华兴三楼B11</t>
        </r>
      </text>
    </comment>
    <comment ref="AD249" authorId="0">
      <text>
        <r>
          <rPr>
            <b/>
            <sz val="16"/>
            <rFont val="宋体"/>
            <charset val="134"/>
          </rPr>
          <t>Administrator:</t>
        </r>
        <r>
          <rPr>
            <sz val="16"/>
            <rFont val="宋体"/>
            <charset val="134"/>
          </rPr>
          <t xml:space="preserve">
6/6上 A款UPC贴纸 48 pcs
6/11上 客供亚马逊外箱贴纸 2 pcs</t>
        </r>
      </text>
    </comment>
    <comment ref="AB250" authorId="0">
      <text>
        <r>
          <rPr>
            <b/>
            <sz val="16"/>
            <rFont val="宋体"/>
            <charset val="134"/>
          </rPr>
          <t>Administrator:</t>
        </r>
        <r>
          <rPr>
            <sz val="16"/>
            <rFont val="宋体"/>
            <charset val="134"/>
          </rPr>
          <t xml:space="preserve">
3001865 6/24 24 pcs 新仓库3-B11
</t>
        </r>
      </text>
    </comment>
    <comment ref="AD250" authorId="0">
      <text>
        <r>
          <rPr>
            <b/>
            <sz val="16"/>
            <rFont val="宋体"/>
            <charset val="134"/>
          </rPr>
          <t>Administrator:</t>
        </r>
        <r>
          <rPr>
            <sz val="16"/>
            <rFont val="宋体"/>
            <charset val="134"/>
          </rPr>
          <t xml:space="preserve">
6/6上 A款UPC贴纸 24 pcs
6/11上 客供亚马逊外箱贴纸 1 pcs</t>
        </r>
      </text>
    </comment>
    <comment ref="AB251" authorId="0">
      <text>
        <r>
          <rPr>
            <b/>
            <sz val="16"/>
            <rFont val="宋体"/>
            <charset val="134"/>
          </rPr>
          <t>Administrator:</t>
        </r>
        <r>
          <rPr>
            <sz val="16"/>
            <rFont val="宋体"/>
            <charset val="134"/>
          </rPr>
          <t xml:space="preserve">
3001865 6/24 24 pcs 新仓库3-B11
</t>
        </r>
      </text>
    </comment>
    <comment ref="AD251" authorId="0">
      <text>
        <r>
          <rPr>
            <b/>
            <sz val="16"/>
            <rFont val="宋体"/>
            <charset val="134"/>
          </rPr>
          <t>Administrator:</t>
        </r>
        <r>
          <rPr>
            <sz val="16"/>
            <rFont val="宋体"/>
            <charset val="134"/>
          </rPr>
          <t xml:space="preserve">
6/6上 A款UPC贴纸 24 pcs
6/11上 客供亚马逊外箱贴纸 1 pcs</t>
        </r>
      </text>
    </comment>
    <comment ref="AB252" authorId="0">
      <text>
        <r>
          <rPr>
            <b/>
            <sz val="16"/>
            <rFont val="宋体"/>
            <charset val="134"/>
          </rPr>
          <t>Administrator:</t>
        </r>
        <r>
          <rPr>
            <sz val="16"/>
            <rFont val="宋体"/>
            <charset val="134"/>
          </rPr>
          <t xml:space="preserve">
3001836 6/25 550 pcs 华兴三楼B15</t>
        </r>
      </text>
    </comment>
    <comment ref="AD252" authorId="0">
      <text>
        <r>
          <rPr>
            <b/>
            <sz val="16"/>
            <rFont val="宋体"/>
            <charset val="134"/>
          </rPr>
          <t>Administrator:</t>
        </r>
        <r>
          <rPr>
            <sz val="16"/>
            <rFont val="宋体"/>
            <charset val="134"/>
          </rPr>
          <t xml:space="preserve">
5/30上 欧洲通用30L WEEE说明书纸 550 pcs
6/5上 EAN条码贴纸 550 pcs
 客人警语贴纸 550 pcs
6/17上 黑白说明书 550 pcs</t>
        </r>
      </text>
    </comment>
    <comment ref="AB253" authorId="0">
      <text>
        <r>
          <rPr>
            <b/>
            <sz val="16"/>
            <rFont val="宋体"/>
            <charset val="134"/>
          </rPr>
          <t>Administrator:</t>
        </r>
        <r>
          <rPr>
            <sz val="16"/>
            <rFont val="宋体"/>
            <charset val="134"/>
          </rPr>
          <t xml:space="preserve">
3001836 6/25 858 pcs 华兴三楼B14</t>
        </r>
      </text>
    </comment>
    <comment ref="AB254" authorId="0">
      <text>
        <r>
          <rPr>
            <b/>
            <sz val="16"/>
            <rFont val="宋体"/>
            <charset val="134"/>
          </rPr>
          <t>Administrator:</t>
        </r>
        <r>
          <rPr>
            <sz val="16"/>
            <rFont val="宋体"/>
            <charset val="134"/>
          </rPr>
          <t xml:space="preserve">
3001819 6/26 6000 pcs 华兴三楼B10</t>
        </r>
      </text>
    </comment>
    <comment ref="AD254" authorId="0">
      <text>
        <r>
          <rPr>
            <b/>
            <sz val="16"/>
            <rFont val="宋体"/>
            <charset val="134"/>
          </rPr>
          <t>Administrator:</t>
        </r>
        <r>
          <rPr>
            <sz val="16"/>
            <rFont val="宋体"/>
            <charset val="134"/>
          </rPr>
          <t xml:space="preserve">
6/10上 价格贴纸 6000 pcs
外箱条码贴纸 500 pcs</t>
        </r>
      </text>
    </comment>
    <comment ref="AB255" authorId="0">
      <text>
        <r>
          <rPr>
            <b/>
            <sz val="16"/>
            <rFont val="宋体"/>
            <charset val="134"/>
          </rPr>
          <t>Administrator:</t>
        </r>
        <r>
          <rPr>
            <sz val="16"/>
            <rFont val="宋体"/>
            <charset val="134"/>
          </rPr>
          <t xml:space="preserve">
3001819 6/26 1992 pcs 华兴三楼B9
3001776 6/26 24 pcs B9</t>
        </r>
      </text>
    </comment>
    <comment ref="AD255" authorId="0">
      <text>
        <r>
          <rPr>
            <b/>
            <sz val="16"/>
            <rFont val="宋体"/>
            <charset val="134"/>
          </rPr>
          <t>Administrator:</t>
        </r>
        <r>
          <rPr>
            <sz val="16"/>
            <rFont val="宋体"/>
            <charset val="134"/>
          </rPr>
          <t xml:space="preserve">
6/14上 WEEE不带电池走货说明书北欧 2016 pcs
 客人白色Cat.label 2016 pcs</t>
        </r>
      </text>
    </comment>
    <comment ref="AB256" authorId="0">
      <text>
        <r>
          <rPr>
            <b/>
            <sz val="16"/>
            <rFont val="宋体"/>
            <charset val="134"/>
          </rPr>
          <t>Administrator:</t>
        </r>
        <r>
          <rPr>
            <sz val="16"/>
            <rFont val="宋体"/>
            <charset val="134"/>
          </rPr>
          <t xml:space="preserve">
3001785 6/26 2992 pcs 华兴三楼B7
3001776 6/26 22 pcs B7</t>
        </r>
      </text>
    </comment>
    <comment ref="AD256" authorId="0">
      <text>
        <r>
          <rPr>
            <b/>
            <sz val="14"/>
            <rFont val="宋体"/>
            <charset val="134"/>
          </rPr>
          <t>Administrator:</t>
        </r>
        <r>
          <rPr>
            <sz val="14"/>
            <rFont val="宋体"/>
            <charset val="134"/>
          </rPr>
          <t xml:space="preserve">
6/14上 WEEE电池通用30L说明书（不带电池） 3014 pcs
 德语callout翻译贴纸 3014 pcs</t>
        </r>
      </text>
    </comment>
    <comment ref="AB257" authorId="0">
      <text>
        <r>
          <rPr>
            <b/>
            <sz val="16"/>
            <rFont val="宋体"/>
            <charset val="134"/>
          </rPr>
          <t>Administrator:</t>
        </r>
        <r>
          <rPr>
            <sz val="16"/>
            <rFont val="宋体"/>
            <charset val="134"/>
          </rPr>
          <t xml:space="preserve">
3001776 6/26 4512 pcs</t>
        </r>
      </text>
    </comment>
    <comment ref="AD257" authorId="0">
      <text>
        <r>
          <rPr>
            <b/>
            <sz val="14"/>
            <rFont val="宋体"/>
            <charset val="134"/>
          </rPr>
          <t>Administrator:</t>
        </r>
        <r>
          <rPr>
            <sz val="14"/>
            <rFont val="宋体"/>
            <charset val="134"/>
          </rPr>
          <t xml:space="preserve">
6/18上 德语callout警语贴纸 4512 pcs
 EAN条码贴纸 4512 pcs
欧洲通用WEEE声明30L说明书(不带电池) 4512 pcs</t>
        </r>
      </text>
    </comment>
    <comment ref="AB258" authorId="0">
      <text>
        <r>
          <rPr>
            <b/>
            <sz val="16"/>
            <rFont val="宋体"/>
            <charset val="134"/>
          </rPr>
          <t>Administrator:</t>
        </r>
        <r>
          <rPr>
            <sz val="16"/>
            <rFont val="宋体"/>
            <charset val="134"/>
          </rPr>
          <t xml:space="preserve">
2001227 5/15 484 pcs 华兴三楼A8
</t>
        </r>
      </text>
    </comment>
    <comment ref="AD258" authorId="0">
      <text>
        <r>
          <rPr>
            <b/>
            <sz val="16"/>
            <rFont val="宋体"/>
            <charset val="134"/>
          </rPr>
          <t>Administrator:</t>
        </r>
        <r>
          <rPr>
            <sz val="16"/>
            <rFont val="宋体"/>
            <charset val="134"/>
          </rPr>
          <t xml:space="preserve">
5/7上 进口商贴纸 484 pcs</t>
        </r>
      </text>
    </comment>
    <comment ref="AB259" authorId="0">
      <text>
        <r>
          <rPr>
            <b/>
            <sz val="14"/>
            <rFont val="宋体"/>
            <charset val="134"/>
          </rPr>
          <t>Administrator:</t>
        </r>
        <r>
          <rPr>
            <sz val="14"/>
            <rFont val="宋体"/>
            <charset val="134"/>
          </rPr>
          <t xml:space="preserve">
3001563 7/2 1410 pcs 莫B四楼B8</t>
        </r>
      </text>
    </comment>
    <comment ref="AD259" authorId="0">
      <text>
        <r>
          <rPr>
            <b/>
            <sz val="16"/>
            <rFont val="宋体"/>
            <charset val="134"/>
          </rPr>
          <t>Administrator:</t>
        </r>
        <r>
          <rPr>
            <sz val="16"/>
            <rFont val="宋体"/>
            <charset val="134"/>
          </rPr>
          <t xml:space="preserve">
6/18上 白色防盗贴纸 1410 pcs
6/20上 KM外箱贴纸 235 pcs</t>
        </r>
      </text>
    </comment>
    <comment ref="AB260" authorId="0">
      <text>
        <r>
          <rPr>
            <b/>
            <sz val="14"/>
            <rFont val="宋体"/>
            <charset val="134"/>
          </rPr>
          <t>Administrator:</t>
        </r>
        <r>
          <rPr>
            <sz val="14"/>
            <rFont val="宋体"/>
            <charset val="134"/>
          </rPr>
          <t xml:space="preserve">
3001563 7/2 90 pcs 莫B四楼B8</t>
        </r>
      </text>
    </comment>
    <comment ref="AD260" authorId="0">
      <text>
        <r>
          <rPr>
            <b/>
            <sz val="16"/>
            <rFont val="宋体"/>
            <charset val="134"/>
          </rPr>
          <t>Administrator:</t>
        </r>
        <r>
          <rPr>
            <sz val="16"/>
            <rFont val="宋体"/>
            <charset val="134"/>
          </rPr>
          <t xml:space="preserve">
6/18上 白色防盗贴纸 90 pcs
6/20上 KM外箱贴纸 15 pcs</t>
        </r>
      </text>
    </comment>
    <comment ref="AB261" authorId="0">
      <text>
        <r>
          <rPr>
            <b/>
            <sz val="16"/>
            <rFont val="宋体"/>
            <charset val="134"/>
          </rPr>
          <t>Administrator:</t>
        </r>
        <r>
          <rPr>
            <sz val="16"/>
            <rFont val="宋体"/>
            <charset val="134"/>
          </rPr>
          <t xml:space="preserve">
消耗东莞取消掉2016 pcs
3001776 6/26 840 pcs 兴信</t>
        </r>
      </text>
    </comment>
    <comment ref="AD261" authorId="0">
      <text>
        <r>
          <rPr>
            <b/>
            <sz val="14"/>
            <rFont val="宋体"/>
            <charset val="134"/>
          </rPr>
          <t>Administrator:</t>
        </r>
        <r>
          <rPr>
            <sz val="14"/>
            <rFont val="宋体"/>
            <charset val="134"/>
          </rPr>
          <t xml:space="preserve">
6/14上 UPC贴纸 840 pcs</t>
        </r>
      </text>
    </comment>
    <comment ref="AB262" authorId="0">
      <text>
        <r>
          <rPr>
            <b/>
            <sz val="16"/>
            <rFont val="宋体"/>
            <charset val="134"/>
          </rPr>
          <t>Administrator:</t>
        </r>
        <r>
          <rPr>
            <sz val="16"/>
            <rFont val="宋体"/>
            <charset val="134"/>
          </rPr>
          <t xml:space="preserve">
3001661 7/9 504 pcs 刘三楼B12</t>
        </r>
      </text>
    </comment>
    <comment ref="AD262" authorId="0">
      <text>
        <r>
          <rPr>
            <b/>
            <sz val="16"/>
            <rFont val="宋体"/>
            <charset val="134"/>
          </rPr>
          <t>Administrator:</t>
        </r>
        <r>
          <rPr>
            <sz val="16"/>
            <rFont val="宋体"/>
            <charset val="134"/>
          </rPr>
          <t xml:space="preserve">
6/24上 客供Hu贴纸（条码贴）23 pcs
 客供ASN贴纸 23 pcs
6/27上 价标贴纸 506 pcs
6/28上 进口商贴纸 506 pcs
 说明书贴纸 506 pcs
7/5补上说明书218 pcs 湖南发贴纸点数发现少数</t>
        </r>
      </text>
    </comment>
    <comment ref="AB263" authorId="0">
      <text>
        <r>
          <rPr>
            <b/>
            <sz val="16"/>
            <rFont val="宋体"/>
            <charset val="134"/>
          </rPr>
          <t>Administrator:</t>
        </r>
        <r>
          <rPr>
            <sz val="16"/>
            <rFont val="宋体"/>
            <charset val="134"/>
          </rPr>
          <t xml:space="preserve">
3001696 7/8 1507 pcs 新仓库三楼B15</t>
        </r>
      </text>
    </comment>
    <comment ref="AB264" authorId="0">
      <text>
        <r>
          <rPr>
            <b/>
            <sz val="16"/>
            <rFont val="宋体"/>
            <charset val="134"/>
          </rPr>
          <t>Administrator:</t>
        </r>
        <r>
          <rPr>
            <sz val="16"/>
            <rFont val="宋体"/>
            <charset val="134"/>
          </rPr>
          <t xml:space="preserve">
3001696 7/8 616 pcs 新仓库三楼B8</t>
        </r>
      </text>
    </comment>
    <comment ref="AD264" authorId="0">
      <text>
        <r>
          <rPr>
            <b/>
            <sz val="16"/>
            <rFont val="宋体"/>
            <charset val="134"/>
          </rPr>
          <t>Administrator:</t>
        </r>
        <r>
          <rPr>
            <sz val="16"/>
            <rFont val="宋体"/>
            <charset val="134"/>
          </rPr>
          <t xml:space="preserve">
5/9上 日语贴纸 616 pcs</t>
        </r>
      </text>
    </comment>
    <comment ref="AB265" authorId="0">
      <text>
        <r>
          <rPr>
            <b/>
            <sz val="16"/>
            <rFont val="宋体"/>
            <charset val="134"/>
          </rPr>
          <t>Administrator:</t>
        </r>
        <r>
          <rPr>
            <sz val="16"/>
            <rFont val="宋体"/>
            <charset val="134"/>
          </rPr>
          <t xml:space="preserve">
3001696 7/8 6952 pcs
新仓库三楼A25
3001659 7/9 66 pcs A25</t>
        </r>
      </text>
    </comment>
    <comment ref="AD265" authorId="0">
      <text>
        <r>
          <rPr>
            <b/>
            <sz val="16"/>
            <rFont val="宋体"/>
            <charset val="134"/>
          </rPr>
          <t>Administrator:</t>
        </r>
        <r>
          <rPr>
            <sz val="16"/>
            <rFont val="宋体"/>
            <charset val="134"/>
          </rPr>
          <t xml:space="preserve">
6/23上 保证书 7018 pcs
 产品进口商 7018 pcs
 包装进口商贴纸 7018 pcs
 说明书进口商 7018 pcs</t>
        </r>
      </text>
    </comment>
    <comment ref="AB266" authorId="0">
      <text>
        <r>
          <rPr>
            <b/>
            <sz val="16"/>
            <rFont val="宋体"/>
            <charset val="134"/>
          </rPr>
          <t>Administrator:</t>
        </r>
        <r>
          <rPr>
            <sz val="16"/>
            <rFont val="宋体"/>
            <charset val="134"/>
          </rPr>
          <t xml:space="preserve">
3001630 7/10 3696 pcs 华兴三楼A18</t>
        </r>
      </text>
    </comment>
    <comment ref="AD266" authorId="0">
      <text>
        <r>
          <rPr>
            <b/>
            <sz val="16"/>
            <rFont val="宋体"/>
            <charset val="134"/>
          </rPr>
          <t>Administrator:</t>
        </r>
        <r>
          <rPr>
            <sz val="16"/>
            <rFont val="宋体"/>
            <charset val="134"/>
          </rPr>
          <t xml:space="preserve">
6/23上 进口商贴纸 3696 pcs</t>
        </r>
      </text>
    </comment>
    <comment ref="AB267" authorId="0">
      <text>
        <r>
          <rPr>
            <b/>
            <sz val="16"/>
            <rFont val="宋体"/>
            <charset val="134"/>
          </rPr>
          <t>Administrator:</t>
        </r>
        <r>
          <rPr>
            <sz val="16"/>
            <rFont val="宋体"/>
            <charset val="134"/>
          </rPr>
          <t xml:space="preserve">
3001630 7/10 660 pcs 华兴三楼B3</t>
        </r>
      </text>
    </comment>
    <comment ref="AD267" authorId="0">
      <text>
        <r>
          <rPr>
            <b/>
            <sz val="16"/>
            <rFont val="宋体"/>
            <charset val="134"/>
          </rPr>
          <t>Administrator:</t>
        </r>
        <r>
          <rPr>
            <sz val="16"/>
            <rFont val="宋体"/>
            <charset val="134"/>
          </rPr>
          <t xml:space="preserve">
6/23上 进口商贴纸 660 pcs</t>
        </r>
      </text>
    </comment>
    <comment ref="AB268" authorId="0">
      <text>
        <r>
          <rPr>
            <b/>
            <sz val="16"/>
            <rFont val="宋体"/>
            <charset val="134"/>
          </rPr>
          <t>Administrator:</t>
        </r>
        <r>
          <rPr>
            <sz val="16"/>
            <rFont val="宋体"/>
            <charset val="134"/>
          </rPr>
          <t xml:space="preserve">
3001630 7/10 1518 pcs 华兴三楼A27</t>
        </r>
      </text>
    </comment>
    <comment ref="AD268" authorId="0">
      <text>
        <r>
          <rPr>
            <b/>
            <sz val="16"/>
            <rFont val="宋体"/>
            <charset val="134"/>
          </rPr>
          <t>Administrator:</t>
        </r>
        <r>
          <rPr>
            <sz val="16"/>
            <rFont val="宋体"/>
            <charset val="134"/>
          </rPr>
          <t xml:space="preserve">
7/5上 SSCC外箱贴纸 69 pcs</t>
        </r>
      </text>
    </comment>
    <comment ref="AB269" authorId="0">
      <text>
        <r>
          <rPr>
            <b/>
            <sz val="16"/>
            <rFont val="宋体"/>
            <charset val="134"/>
          </rPr>
          <t>Administrator:</t>
        </r>
        <r>
          <rPr>
            <sz val="16"/>
            <rFont val="宋体"/>
            <charset val="134"/>
          </rPr>
          <t xml:space="preserve">
3001405 7/16 1008 pcs 华兴三楼B13</t>
        </r>
      </text>
    </comment>
    <comment ref="AD269" authorId="0">
      <text>
        <r>
          <rPr>
            <b/>
            <sz val="16"/>
            <rFont val="宋体"/>
            <charset val="134"/>
          </rPr>
          <t>Administrator:</t>
        </r>
        <r>
          <rPr>
            <sz val="16"/>
            <rFont val="宋体"/>
            <charset val="134"/>
          </rPr>
          <t xml:space="preserve">
7/11上 进口商贴纸 1008 pcs</t>
        </r>
      </text>
    </comment>
    <comment ref="AB270" authorId="0">
      <text>
        <r>
          <rPr>
            <b/>
            <sz val="14"/>
            <rFont val="宋体"/>
            <charset val="134"/>
          </rPr>
          <t>Administrator:</t>
        </r>
        <r>
          <rPr>
            <sz val="14"/>
            <rFont val="宋体"/>
            <charset val="134"/>
          </rPr>
          <t xml:space="preserve">
3001437 7/16 10010 pcs 唐金金一楼A3</t>
        </r>
      </text>
    </comment>
    <comment ref="AD270" authorId="0">
      <text>
        <r>
          <rPr>
            <b/>
            <sz val="16"/>
            <rFont val="宋体"/>
            <charset val="134"/>
          </rPr>
          <t>Administrator:</t>
        </r>
        <r>
          <rPr>
            <sz val="16"/>
            <rFont val="宋体"/>
            <charset val="134"/>
          </rPr>
          <t xml:space="preserve">
7/1上 进口商贴纸 10010 pcs</t>
        </r>
      </text>
    </comment>
    <comment ref="AB271" authorId="0">
      <text>
        <r>
          <rPr>
            <b/>
            <sz val="16"/>
            <rFont val="宋体"/>
            <charset val="134"/>
          </rPr>
          <t>Administrator:</t>
        </r>
        <r>
          <rPr>
            <sz val="16"/>
            <rFont val="宋体"/>
            <charset val="134"/>
          </rPr>
          <t xml:space="preserve">
3001381 7/17 3969 pcs  B12     
3002602 7/19 28 pcs 华兴三楼B12</t>
        </r>
      </text>
    </comment>
    <comment ref="AD271" authorId="0">
      <text>
        <r>
          <rPr>
            <b/>
            <sz val="16"/>
            <rFont val="宋体"/>
            <charset val="134"/>
          </rPr>
          <t>Administrator:</t>
        </r>
        <r>
          <rPr>
            <sz val="16"/>
            <rFont val="宋体"/>
            <charset val="134"/>
          </rPr>
          <t xml:space="preserve">
5/30上 欧洲通用30L WEEE说明书纸 3997 pcs</t>
        </r>
      </text>
    </comment>
    <comment ref="AB272" authorId="0">
      <text>
        <r>
          <rPr>
            <b/>
            <sz val="16"/>
            <rFont val="宋体"/>
            <charset val="134"/>
          </rPr>
          <t>Administrator:</t>
        </r>
        <r>
          <rPr>
            <sz val="16"/>
            <rFont val="宋体"/>
            <charset val="134"/>
          </rPr>
          <t xml:space="preserve">
3002615 7/19 2717 pcs  B15    
3002622 7/19 33 pcs 华兴三楼B15</t>
        </r>
      </text>
    </comment>
    <comment ref="AD272" authorId="0">
      <text>
        <r>
          <rPr>
            <b/>
            <sz val="16"/>
            <rFont val="宋体"/>
            <charset val="134"/>
          </rPr>
          <t>Administrator:</t>
        </r>
        <r>
          <rPr>
            <sz val="16"/>
            <rFont val="宋体"/>
            <charset val="134"/>
          </rPr>
          <t xml:space="preserve">
7/7上 logo贴纸 2750 pcs
 1-说明书贴纸 2750 pcs
 2-说明书贴纸 2750 pcs
 正面PDQ贴纸 2750 pcs
 侧面PDQ贴纸 2570 pcs</t>
        </r>
      </text>
    </comment>
    <comment ref="AB273" authorId="0">
      <text>
        <r>
          <rPr>
            <b/>
            <sz val="16"/>
            <rFont val="宋体"/>
            <charset val="134"/>
          </rPr>
          <t>Administrator:</t>
        </r>
        <r>
          <rPr>
            <sz val="16"/>
            <rFont val="宋体"/>
            <charset val="134"/>
          </rPr>
          <t xml:space="preserve">
3002615 7/19 2002 pcs 华兴三楼B4
</t>
        </r>
      </text>
    </comment>
    <comment ref="AD273" authorId="0">
      <text>
        <r>
          <rPr>
            <b/>
            <sz val="16"/>
            <rFont val="宋体"/>
            <charset val="134"/>
          </rPr>
          <t>Administrator:</t>
        </r>
        <r>
          <rPr>
            <sz val="16"/>
            <rFont val="宋体"/>
            <charset val="134"/>
          </rPr>
          <t xml:space="preserve">
7/9上 logo贴纸 2002 pcs
 1-说明书贴纸 2002 pcs
 2-说明书贴纸 2002 pcs
 正面PDQ贴纸 2002 pcs
 侧面PDQ贴纸 2002 pcs</t>
        </r>
      </text>
    </comment>
    <comment ref="AB274" authorId="0">
      <text>
        <r>
          <rPr>
            <b/>
            <sz val="16"/>
            <rFont val="宋体"/>
            <charset val="134"/>
          </rPr>
          <t>Administrator:</t>
        </r>
        <r>
          <rPr>
            <sz val="16"/>
            <rFont val="宋体"/>
            <charset val="134"/>
          </rPr>
          <t xml:space="preserve">
3002602 7/19 506 pcs 华兴三楼B8</t>
        </r>
      </text>
    </comment>
    <comment ref="AD274" authorId="0">
      <text>
        <r>
          <rPr>
            <b/>
            <sz val="16"/>
            <rFont val="宋体"/>
            <charset val="134"/>
          </rPr>
          <t>Administrator:</t>
        </r>
        <r>
          <rPr>
            <sz val="16"/>
            <rFont val="宋体"/>
            <charset val="134"/>
          </rPr>
          <t xml:space="preserve">
6/28上 进口商贴纸 506 pcs</t>
        </r>
      </text>
    </comment>
    <comment ref="AB275" authorId="0">
      <text>
        <r>
          <rPr>
            <b/>
            <sz val="16"/>
            <rFont val="宋体"/>
            <charset val="134"/>
          </rPr>
          <t>Administrator:</t>
        </r>
        <r>
          <rPr>
            <sz val="16"/>
            <rFont val="宋体"/>
            <charset val="134"/>
          </rPr>
          <t xml:space="preserve">
3001414 7/17 5472 pcs 华兴一楼B1      
3001394 7/17 3488 pcs B1</t>
        </r>
      </text>
    </comment>
    <comment ref="AD275" authorId="0">
      <text>
        <r>
          <rPr>
            <b/>
            <sz val="16"/>
            <rFont val="宋体"/>
            <charset val="134"/>
          </rPr>
          <t>Administrator:</t>
        </r>
        <r>
          <rPr>
            <sz val="16"/>
            <rFont val="宋体"/>
            <charset val="134"/>
          </rPr>
          <t xml:space="preserve">
6/27上 WEEE不带电池走货欧洲30语通用黑白说明书 8960 pcs</t>
        </r>
      </text>
    </comment>
    <comment ref="AB276" authorId="0">
      <text>
        <r>
          <rPr>
            <b/>
            <sz val="16"/>
            <rFont val="宋体"/>
            <charset val="134"/>
          </rPr>
          <t>Administrator:</t>
        </r>
        <r>
          <rPr>
            <sz val="16"/>
            <rFont val="宋体"/>
            <charset val="134"/>
          </rPr>
          <t xml:space="preserve">
3002541 7/22 3000 pcs 华兴三楼A22</t>
        </r>
      </text>
    </comment>
    <comment ref="AD276" authorId="0">
      <text>
        <r>
          <rPr>
            <b/>
            <sz val="14"/>
            <rFont val="宋体"/>
            <charset val="134"/>
          </rPr>
          <t>Administrator:</t>
        </r>
        <r>
          <rPr>
            <sz val="14"/>
            <rFont val="宋体"/>
            <charset val="134"/>
          </rPr>
          <t xml:space="preserve">
7/1上 德语callout警语贴纸 3000 pcs
 EAN条码贴纸 3000 pcs
 欧洲通用WEEE声明30L说明书（不带电池）
7/9上 地址产品贴纸 3000 pcs 贴纸尺寸订大，需重新补订
7/11上 地址贴纸 3000 pcs
7/23号补上 欧洲通用WEEE声明30L说明书 3000 pcs</t>
        </r>
      </text>
    </comment>
    <comment ref="AB277" authorId="0">
      <text>
        <r>
          <rPr>
            <b/>
            <sz val="14"/>
            <rFont val="宋体"/>
            <charset val="134"/>
          </rPr>
          <t>Administrator:</t>
        </r>
        <r>
          <rPr>
            <sz val="14"/>
            <rFont val="宋体"/>
            <charset val="134"/>
          </rPr>
          <t xml:space="preserve">
3002515 7/23 2496 pcs 莫B四楼A6</t>
        </r>
      </text>
    </comment>
    <comment ref="AD277" authorId="0">
      <text>
        <r>
          <rPr>
            <b/>
            <sz val="16"/>
            <rFont val="宋体"/>
            <charset val="134"/>
          </rPr>
          <t>Administrator:</t>
        </r>
        <r>
          <rPr>
            <sz val="16"/>
            <rFont val="宋体"/>
            <charset val="134"/>
          </rPr>
          <t xml:space="preserve">
7/1上 D款 UPC贴纸 2496 pcs</t>
        </r>
      </text>
    </comment>
    <comment ref="AB278" authorId="0">
      <text>
        <r>
          <rPr>
            <b/>
            <sz val="14"/>
            <rFont val="宋体"/>
            <charset val="134"/>
          </rPr>
          <t>Administrator:</t>
        </r>
        <r>
          <rPr>
            <sz val="14"/>
            <rFont val="宋体"/>
            <charset val="134"/>
          </rPr>
          <t xml:space="preserve">
3002515 7/23 2496 pcs 莫B四楼A6</t>
        </r>
      </text>
    </comment>
    <comment ref="AD278" authorId="0">
      <text>
        <r>
          <rPr>
            <b/>
            <sz val="16"/>
            <rFont val="宋体"/>
            <charset val="134"/>
          </rPr>
          <t>Administrator:</t>
        </r>
        <r>
          <rPr>
            <sz val="16"/>
            <rFont val="宋体"/>
            <charset val="134"/>
          </rPr>
          <t xml:space="preserve">
7/1上 E款 UPC贴纸 2496 pcs</t>
        </r>
      </text>
    </comment>
    <comment ref="AB279" authorId="0">
      <text>
        <r>
          <rPr>
            <b/>
            <sz val="14"/>
            <rFont val="宋体"/>
            <charset val="134"/>
          </rPr>
          <t>Administrator:</t>
        </r>
        <r>
          <rPr>
            <sz val="14"/>
            <rFont val="宋体"/>
            <charset val="134"/>
          </rPr>
          <t xml:space="preserve">
3002515 7/23 2472 pcs 莫B四楼A6
3002476 7/26 24 pcs 五车间</t>
        </r>
      </text>
    </comment>
    <comment ref="AD279" authorId="0">
      <text>
        <r>
          <rPr>
            <b/>
            <sz val="16"/>
            <rFont val="宋体"/>
            <charset val="134"/>
          </rPr>
          <t>Administrator:</t>
        </r>
        <r>
          <rPr>
            <sz val="16"/>
            <rFont val="宋体"/>
            <charset val="134"/>
          </rPr>
          <t xml:space="preserve">
7/1上 A款 UPC贴纸 2496 pcs</t>
        </r>
      </text>
    </comment>
    <comment ref="AB280" authorId="0">
      <text>
        <r>
          <rPr>
            <b/>
            <sz val="14"/>
            <rFont val="宋体"/>
            <charset val="134"/>
          </rPr>
          <t>Administrator:</t>
        </r>
        <r>
          <rPr>
            <sz val="14"/>
            <rFont val="宋体"/>
            <charset val="134"/>
          </rPr>
          <t xml:space="preserve">
3002532 7/23 24 pcs 莫B四楼C4
</t>
        </r>
      </text>
    </comment>
    <comment ref="AD280" authorId="0">
      <text>
        <r>
          <rPr>
            <b/>
            <sz val="16"/>
            <rFont val="宋体"/>
            <charset val="134"/>
          </rPr>
          <t>Administrator:</t>
        </r>
        <r>
          <rPr>
            <sz val="16"/>
            <rFont val="宋体"/>
            <charset val="134"/>
          </rPr>
          <t xml:space="preserve">
6/28上 E款 UPC贴纸 24 pcs
7/12上 E款 客供亚马逊外箱贴纸 1 pcs</t>
        </r>
      </text>
    </comment>
    <comment ref="AB281" authorId="0">
      <text>
        <r>
          <rPr>
            <b/>
            <sz val="14"/>
            <rFont val="宋体"/>
            <charset val="134"/>
          </rPr>
          <t>Administrator:</t>
        </r>
        <r>
          <rPr>
            <sz val="14"/>
            <rFont val="宋体"/>
            <charset val="134"/>
          </rPr>
          <t xml:space="preserve">
3002532 7/23 24 pcs</t>
        </r>
      </text>
    </comment>
    <comment ref="AD281" authorId="0">
      <text>
        <r>
          <rPr>
            <b/>
            <sz val="16"/>
            <rFont val="宋体"/>
            <charset val="134"/>
          </rPr>
          <t>Administrator:</t>
        </r>
        <r>
          <rPr>
            <sz val="16"/>
            <rFont val="宋体"/>
            <charset val="134"/>
          </rPr>
          <t xml:space="preserve">
6/28上 E款 UPC贴纸 24 pcs
7/12上 E款 客供亚马逊外箱贴纸 1 pcs</t>
        </r>
      </text>
    </comment>
    <comment ref="AB282" authorId="0">
      <text>
        <r>
          <rPr>
            <b/>
            <sz val="14"/>
            <rFont val="宋体"/>
            <charset val="134"/>
          </rPr>
          <t>Administrator:</t>
        </r>
        <r>
          <rPr>
            <sz val="14"/>
            <rFont val="宋体"/>
            <charset val="134"/>
          </rPr>
          <t xml:space="preserve">
3002532 7/23 24 pcs</t>
        </r>
      </text>
    </comment>
    <comment ref="AD282" authorId="0">
      <text>
        <r>
          <rPr>
            <b/>
            <sz val="16"/>
            <rFont val="宋体"/>
            <charset val="134"/>
          </rPr>
          <t>Administrator:</t>
        </r>
        <r>
          <rPr>
            <sz val="16"/>
            <rFont val="宋体"/>
            <charset val="134"/>
          </rPr>
          <t xml:space="preserve">
6/28上 E款 UPC贴纸 24 pcs
7/12上 E款 客供亚马逊外箱贴纸 1 pcs</t>
        </r>
      </text>
    </comment>
    <comment ref="AB283" authorId="0">
      <text>
        <r>
          <rPr>
            <b/>
            <sz val="14"/>
            <rFont val="宋体"/>
            <charset val="134"/>
          </rPr>
          <t>Administrator:</t>
        </r>
        <r>
          <rPr>
            <sz val="14"/>
            <rFont val="宋体"/>
            <charset val="134"/>
          </rPr>
          <t xml:space="preserve">
3002532 7/23 24 pcs</t>
        </r>
      </text>
    </comment>
    <comment ref="AD283" authorId="0">
      <text>
        <r>
          <rPr>
            <b/>
            <sz val="16"/>
            <rFont val="宋体"/>
            <charset val="134"/>
          </rPr>
          <t>Administrator:</t>
        </r>
        <r>
          <rPr>
            <sz val="16"/>
            <rFont val="宋体"/>
            <charset val="134"/>
          </rPr>
          <t xml:space="preserve">
6/28上 E款 UPC贴纸 24 pcs
7/12上 E款 客供亚马逊外箱贴纸 1 pcs</t>
        </r>
      </text>
    </comment>
    <comment ref="AB284" authorId="0">
      <text>
        <r>
          <rPr>
            <b/>
            <sz val="14"/>
            <rFont val="宋体"/>
            <charset val="134"/>
          </rPr>
          <t>Administrator:</t>
        </r>
        <r>
          <rPr>
            <sz val="14"/>
            <rFont val="宋体"/>
            <charset val="134"/>
          </rPr>
          <t xml:space="preserve">
3002532 7/23 24 pcs</t>
        </r>
      </text>
    </comment>
    <comment ref="AD284" authorId="0">
      <text>
        <r>
          <rPr>
            <b/>
            <sz val="16"/>
            <rFont val="宋体"/>
            <charset val="134"/>
          </rPr>
          <t>Administrator:</t>
        </r>
        <r>
          <rPr>
            <sz val="16"/>
            <rFont val="宋体"/>
            <charset val="134"/>
          </rPr>
          <t xml:space="preserve">
6/28上 E款 UPC贴纸 24 pcs
7/12上 E款 客供亚马逊外箱贴纸 1 pcs</t>
        </r>
      </text>
    </comment>
    <comment ref="AB285" authorId="0">
      <text>
        <r>
          <rPr>
            <b/>
            <sz val="14"/>
            <rFont val="宋体"/>
            <charset val="134"/>
          </rPr>
          <t>Administrator:</t>
        </r>
        <r>
          <rPr>
            <sz val="14"/>
            <rFont val="宋体"/>
            <charset val="134"/>
          </rPr>
          <t xml:space="preserve">
3002509 7/23 48 pcs</t>
        </r>
      </text>
    </comment>
    <comment ref="AD285" authorId="0">
      <text>
        <r>
          <rPr>
            <b/>
            <sz val="16"/>
            <rFont val="宋体"/>
            <charset val="134"/>
          </rPr>
          <t>Administrator:</t>
        </r>
        <r>
          <rPr>
            <sz val="16"/>
            <rFont val="宋体"/>
            <charset val="134"/>
          </rPr>
          <t xml:space="preserve">
6/28上 B款 UPC贴纸 48 pcs
7/12上 B款 客供亚马逊外箱贴纸 2 pcs</t>
        </r>
      </text>
    </comment>
    <comment ref="AB286" authorId="0">
      <text>
        <r>
          <rPr>
            <b/>
            <sz val="14"/>
            <rFont val="宋体"/>
            <charset val="134"/>
          </rPr>
          <t>Administrator:</t>
        </r>
        <r>
          <rPr>
            <sz val="14"/>
            <rFont val="宋体"/>
            <charset val="134"/>
          </rPr>
          <t xml:space="preserve">
3002509 7/23 72 pcs</t>
        </r>
      </text>
    </comment>
    <comment ref="AD286" authorId="0">
      <text>
        <r>
          <rPr>
            <b/>
            <sz val="16"/>
            <rFont val="宋体"/>
            <charset val="134"/>
          </rPr>
          <t>Administrator:</t>
        </r>
        <r>
          <rPr>
            <sz val="16"/>
            <rFont val="宋体"/>
            <charset val="134"/>
          </rPr>
          <t xml:space="preserve">
6/28上 B款 UPC贴纸 72 pcs
7/12上 B款 客供亚马逊外箱贴纸 3 pcs</t>
        </r>
      </text>
    </comment>
    <comment ref="AB287" authorId="0">
      <text>
        <r>
          <rPr>
            <b/>
            <sz val="14"/>
            <rFont val="宋体"/>
            <charset val="134"/>
          </rPr>
          <t>Administrator:</t>
        </r>
        <r>
          <rPr>
            <sz val="14"/>
            <rFont val="宋体"/>
            <charset val="134"/>
          </rPr>
          <t xml:space="preserve">
3002509 7/23 72 pcs 莫B四楼C4
</t>
        </r>
      </text>
    </comment>
    <comment ref="AD287" authorId="0">
      <text>
        <r>
          <rPr>
            <b/>
            <sz val="16"/>
            <rFont val="宋体"/>
            <charset val="134"/>
          </rPr>
          <t>Administrator:</t>
        </r>
        <r>
          <rPr>
            <sz val="16"/>
            <rFont val="宋体"/>
            <charset val="134"/>
          </rPr>
          <t xml:space="preserve">
6/28上 B款 UPC贴纸 72 pcs
7/12上 B款 客供亚马逊外箱贴纸 3 pcs</t>
        </r>
      </text>
    </comment>
    <comment ref="AB288" authorId="0">
      <text>
        <r>
          <rPr>
            <b/>
            <sz val="14"/>
            <rFont val="宋体"/>
            <charset val="134"/>
          </rPr>
          <t>Administrator:</t>
        </r>
        <r>
          <rPr>
            <sz val="14"/>
            <rFont val="宋体"/>
            <charset val="134"/>
          </rPr>
          <t xml:space="preserve">
3002509 7/23 48 pcs</t>
        </r>
      </text>
    </comment>
    <comment ref="AD288" authorId="0">
      <text>
        <r>
          <rPr>
            <b/>
            <sz val="16"/>
            <rFont val="宋体"/>
            <charset val="134"/>
          </rPr>
          <t>Administrator:</t>
        </r>
        <r>
          <rPr>
            <sz val="16"/>
            <rFont val="宋体"/>
            <charset val="134"/>
          </rPr>
          <t xml:space="preserve">
6/28上 B款 UPC贴纸 48 pcs
7/12上 B款 客供亚马逊外箱贴纸 2 pcs</t>
        </r>
      </text>
    </comment>
    <comment ref="AB289" authorId="0">
      <text>
        <r>
          <rPr>
            <b/>
            <sz val="14"/>
            <rFont val="宋体"/>
            <charset val="134"/>
          </rPr>
          <t>Administrator:</t>
        </r>
        <r>
          <rPr>
            <sz val="14"/>
            <rFont val="宋体"/>
            <charset val="134"/>
          </rPr>
          <t xml:space="preserve">
3002509 7/23 48 pcs</t>
        </r>
      </text>
    </comment>
    <comment ref="AD289" authorId="0">
      <text>
        <r>
          <rPr>
            <b/>
            <sz val="16"/>
            <rFont val="宋体"/>
            <charset val="134"/>
          </rPr>
          <t>Administrator:</t>
        </r>
        <r>
          <rPr>
            <sz val="16"/>
            <rFont val="宋体"/>
            <charset val="134"/>
          </rPr>
          <t xml:space="preserve">
6/28上 B款 UPC贴纸 48 pcs
7/12上 B款 客供亚马逊外箱贴纸 2 pcs</t>
        </r>
      </text>
    </comment>
    <comment ref="AB290" authorId="0">
      <text>
        <r>
          <rPr>
            <b/>
            <sz val="14"/>
            <rFont val="宋体"/>
            <charset val="134"/>
          </rPr>
          <t>Administrator:</t>
        </r>
        <r>
          <rPr>
            <sz val="14"/>
            <rFont val="宋体"/>
            <charset val="134"/>
          </rPr>
          <t xml:space="preserve">
3002509 7/23 24 pcs</t>
        </r>
      </text>
    </comment>
    <comment ref="AD290" authorId="0">
      <text>
        <r>
          <rPr>
            <b/>
            <sz val="16"/>
            <rFont val="宋体"/>
            <charset val="134"/>
          </rPr>
          <t>Administrator:</t>
        </r>
        <r>
          <rPr>
            <sz val="16"/>
            <rFont val="宋体"/>
            <charset val="134"/>
          </rPr>
          <t xml:space="preserve">
6/28上 B款 UPC贴纸 24 pcs
7/12上 B款 客供亚马逊外箱贴纸 1 pcs</t>
        </r>
      </text>
    </comment>
    <comment ref="AB291" authorId="0">
      <text>
        <r>
          <rPr>
            <b/>
            <sz val="14"/>
            <rFont val="宋体"/>
            <charset val="134"/>
          </rPr>
          <t>Administrator:</t>
        </r>
        <r>
          <rPr>
            <sz val="14"/>
            <rFont val="宋体"/>
            <charset val="134"/>
          </rPr>
          <t xml:space="preserve">
3002509 7/23 48 pcs</t>
        </r>
      </text>
    </comment>
    <comment ref="AD291" authorId="0">
      <text>
        <r>
          <rPr>
            <b/>
            <sz val="16"/>
            <rFont val="宋体"/>
            <charset val="134"/>
          </rPr>
          <t>Administrator:</t>
        </r>
        <r>
          <rPr>
            <sz val="16"/>
            <rFont val="宋体"/>
            <charset val="134"/>
          </rPr>
          <t xml:space="preserve">
6/28上 B款 UPC贴纸 48 pcs
7/12上 B款 客供亚马逊外箱贴纸 2 pcs</t>
        </r>
      </text>
    </comment>
    <comment ref="AB292" authorId="0">
      <text>
        <r>
          <rPr>
            <b/>
            <sz val="14"/>
            <rFont val="宋体"/>
            <charset val="134"/>
          </rPr>
          <t>Administrator:</t>
        </r>
        <r>
          <rPr>
            <sz val="14"/>
            <rFont val="宋体"/>
            <charset val="134"/>
          </rPr>
          <t xml:space="preserve">
3002532 7/23 48 pcs</t>
        </r>
      </text>
    </comment>
    <comment ref="AD292" authorId="0">
      <text>
        <r>
          <rPr>
            <b/>
            <sz val="16"/>
            <rFont val="宋体"/>
            <charset val="134"/>
          </rPr>
          <t>Administrator:</t>
        </r>
        <r>
          <rPr>
            <sz val="16"/>
            <rFont val="宋体"/>
            <charset val="134"/>
          </rPr>
          <t xml:space="preserve">
6/28上 E款 UPC贴纸 48 pcs
7/12上 E款 客供亚马逊外箱贴纸 2 pcs</t>
        </r>
      </text>
    </comment>
    <comment ref="AB293" authorId="0">
      <text>
        <r>
          <rPr>
            <b/>
            <sz val="14"/>
            <rFont val="宋体"/>
            <charset val="134"/>
          </rPr>
          <t>Administrator:</t>
        </r>
        <r>
          <rPr>
            <sz val="14"/>
            <rFont val="宋体"/>
            <charset val="134"/>
          </rPr>
          <t xml:space="preserve">
3002532 7/23 24 pcs</t>
        </r>
      </text>
    </comment>
    <comment ref="AD293" authorId="0">
      <text>
        <r>
          <rPr>
            <b/>
            <sz val="16"/>
            <rFont val="宋体"/>
            <charset val="134"/>
          </rPr>
          <t>Administrator:</t>
        </r>
        <r>
          <rPr>
            <sz val="16"/>
            <rFont val="宋体"/>
            <charset val="134"/>
          </rPr>
          <t xml:space="preserve">
6/28上 E款 UPC贴纸 24 pcs
7/12上 E款 客供亚马逊外箱贴纸 1 pcs
</t>
        </r>
      </text>
    </comment>
    <comment ref="AB294" authorId="0">
      <text>
        <r>
          <rPr>
            <b/>
            <sz val="14"/>
            <rFont val="宋体"/>
            <charset val="134"/>
          </rPr>
          <t>Administrator:</t>
        </r>
        <r>
          <rPr>
            <sz val="14"/>
            <rFont val="宋体"/>
            <charset val="134"/>
          </rPr>
          <t xml:space="preserve">
3002532 7/23 24 pcs</t>
        </r>
      </text>
    </comment>
    <comment ref="AD294" authorId="0">
      <text>
        <r>
          <rPr>
            <b/>
            <sz val="16"/>
            <rFont val="宋体"/>
            <charset val="134"/>
          </rPr>
          <t>Administrator:</t>
        </r>
        <r>
          <rPr>
            <sz val="16"/>
            <rFont val="宋体"/>
            <charset val="134"/>
          </rPr>
          <t xml:space="preserve">
6/28上 E款 UPC贴纸 24 pcs
7/12上 E款 客供亚马逊外箱贴纸 1 pcs
</t>
        </r>
      </text>
    </comment>
    <comment ref="AB295" authorId="0">
      <text>
        <r>
          <rPr>
            <b/>
            <sz val="14"/>
            <rFont val="宋体"/>
            <charset val="134"/>
          </rPr>
          <t>Administrator:</t>
        </r>
        <r>
          <rPr>
            <sz val="14"/>
            <rFont val="宋体"/>
            <charset val="134"/>
          </rPr>
          <t xml:space="preserve">
3002532 7/23 24 pcs</t>
        </r>
      </text>
    </comment>
    <comment ref="AD295" authorId="0">
      <text>
        <r>
          <rPr>
            <b/>
            <sz val="16"/>
            <rFont val="宋体"/>
            <charset val="134"/>
          </rPr>
          <t>Administrator:</t>
        </r>
        <r>
          <rPr>
            <sz val="16"/>
            <rFont val="宋体"/>
            <charset val="134"/>
          </rPr>
          <t xml:space="preserve">
6/28上 E款 UPC贴纸 24 pcs
7/12上 E款 客供亚马逊外箱贴纸 1 pcs
</t>
        </r>
      </text>
    </comment>
    <comment ref="AB296" authorId="0">
      <text>
        <r>
          <rPr>
            <b/>
            <sz val="14"/>
            <rFont val="宋体"/>
            <charset val="134"/>
          </rPr>
          <t>Administrator:</t>
        </r>
        <r>
          <rPr>
            <sz val="14"/>
            <rFont val="宋体"/>
            <charset val="134"/>
          </rPr>
          <t xml:space="preserve">
3002532 7/23 24 pcs</t>
        </r>
      </text>
    </comment>
    <comment ref="AD296" authorId="0">
      <text>
        <r>
          <rPr>
            <b/>
            <sz val="16"/>
            <rFont val="宋体"/>
            <charset val="134"/>
          </rPr>
          <t>Administrator:</t>
        </r>
        <r>
          <rPr>
            <sz val="16"/>
            <rFont val="宋体"/>
            <charset val="134"/>
          </rPr>
          <t xml:space="preserve">
6/28上 E款 UPC贴纸 24 pcs
7/12上 E款 客供亚马逊外箱贴纸 1 pcs
</t>
        </r>
      </text>
    </comment>
    <comment ref="AB297" authorId="0">
      <text>
        <r>
          <rPr>
            <b/>
            <sz val="14"/>
            <rFont val="宋体"/>
            <charset val="134"/>
          </rPr>
          <t>Administrator:</t>
        </r>
        <r>
          <rPr>
            <sz val="14"/>
            <rFont val="宋体"/>
            <charset val="134"/>
          </rPr>
          <t xml:space="preserve">
3002532 7/23 24 pcs</t>
        </r>
      </text>
    </comment>
    <comment ref="AD297" authorId="0">
      <text>
        <r>
          <rPr>
            <b/>
            <sz val="16"/>
            <rFont val="宋体"/>
            <charset val="134"/>
          </rPr>
          <t>Administrator:</t>
        </r>
        <r>
          <rPr>
            <sz val="16"/>
            <rFont val="宋体"/>
            <charset val="134"/>
          </rPr>
          <t xml:space="preserve">
6/28上 E款 UPC贴纸 24 pcs
7/12上 E款 客供亚马逊外箱贴纸 1 pcs
</t>
        </r>
      </text>
    </comment>
    <comment ref="AB298" authorId="0">
      <text>
        <r>
          <rPr>
            <b/>
            <sz val="14"/>
            <rFont val="宋体"/>
            <charset val="134"/>
          </rPr>
          <t>Administrator:</t>
        </r>
        <r>
          <rPr>
            <sz val="14"/>
            <rFont val="宋体"/>
            <charset val="134"/>
          </rPr>
          <t xml:space="preserve">
3002533 7/23 24 pcs</t>
        </r>
      </text>
    </comment>
    <comment ref="AD298" authorId="0">
      <text>
        <r>
          <rPr>
            <b/>
            <sz val="16"/>
            <rFont val="宋体"/>
            <charset val="134"/>
          </rPr>
          <t>Administrator:</t>
        </r>
        <r>
          <rPr>
            <sz val="16"/>
            <rFont val="宋体"/>
            <charset val="134"/>
          </rPr>
          <t xml:space="preserve">
6/28上 E款 UPC贴纸 24 pcs
7/12上 E款 客供亚马逊外箱贴纸 1 pcs
</t>
        </r>
      </text>
    </comment>
    <comment ref="AB299" authorId="0">
      <text>
        <r>
          <rPr>
            <b/>
            <sz val="14"/>
            <rFont val="宋体"/>
            <charset val="134"/>
          </rPr>
          <t>Administrator:</t>
        </r>
        <r>
          <rPr>
            <sz val="14"/>
            <rFont val="宋体"/>
            <charset val="134"/>
          </rPr>
          <t xml:space="preserve">
3002533 7/23 24 pcs</t>
        </r>
      </text>
    </comment>
    <comment ref="AD299" authorId="0">
      <text>
        <r>
          <rPr>
            <b/>
            <sz val="16"/>
            <rFont val="宋体"/>
            <charset val="134"/>
          </rPr>
          <t>Administrator:</t>
        </r>
        <r>
          <rPr>
            <sz val="16"/>
            <rFont val="宋体"/>
            <charset val="134"/>
          </rPr>
          <t xml:space="preserve">
6/28上 E款 UPC贴纸 24 pcs
7/12上 E款 客供亚马逊外箱贴纸 1 pcs
</t>
        </r>
      </text>
    </comment>
    <comment ref="AB300" authorId="0">
      <text>
        <r>
          <rPr>
            <b/>
            <sz val="14"/>
            <rFont val="宋体"/>
            <charset val="134"/>
          </rPr>
          <t>Administrator:</t>
        </r>
        <r>
          <rPr>
            <sz val="14"/>
            <rFont val="宋体"/>
            <charset val="134"/>
          </rPr>
          <t xml:space="preserve">
3002533 7/23 24 pcs</t>
        </r>
      </text>
    </comment>
    <comment ref="AD300" authorId="0">
      <text>
        <r>
          <rPr>
            <b/>
            <sz val="16"/>
            <rFont val="宋体"/>
            <charset val="134"/>
          </rPr>
          <t>Administrator:</t>
        </r>
        <r>
          <rPr>
            <sz val="16"/>
            <rFont val="宋体"/>
            <charset val="134"/>
          </rPr>
          <t xml:space="preserve">
6/28上 E款 UPC贴纸 24 pcs
7/12上 E款 客供亚马逊外箱贴纸 1 pcs
</t>
        </r>
      </text>
    </comment>
    <comment ref="AB301" authorId="0">
      <text>
        <r>
          <rPr>
            <b/>
            <sz val="14"/>
            <rFont val="宋体"/>
            <charset val="134"/>
          </rPr>
          <t>Administrator:</t>
        </r>
        <r>
          <rPr>
            <sz val="14"/>
            <rFont val="宋体"/>
            <charset val="134"/>
          </rPr>
          <t xml:space="preserve">
3002509 7/23 48 pcs</t>
        </r>
      </text>
    </comment>
    <comment ref="AD301" authorId="0">
      <text>
        <r>
          <rPr>
            <b/>
            <sz val="16"/>
            <rFont val="宋体"/>
            <charset val="134"/>
          </rPr>
          <t>Administrator:</t>
        </r>
        <r>
          <rPr>
            <sz val="16"/>
            <rFont val="宋体"/>
            <charset val="134"/>
          </rPr>
          <t xml:space="preserve">
6/28上 B款 UPC贴纸 48 pcs
7/12上 B款 客供亚马逊外箱贴纸 2 pcs</t>
        </r>
      </text>
    </comment>
    <comment ref="AB302" authorId="0">
      <text>
        <r>
          <rPr>
            <b/>
            <sz val="14"/>
            <rFont val="宋体"/>
            <charset val="134"/>
          </rPr>
          <t>Administrator:</t>
        </r>
        <r>
          <rPr>
            <sz val="14"/>
            <rFont val="宋体"/>
            <charset val="134"/>
          </rPr>
          <t xml:space="preserve">
3002509 7/23 48 pcs</t>
        </r>
      </text>
    </comment>
    <comment ref="AD302" authorId="0">
      <text>
        <r>
          <rPr>
            <b/>
            <sz val="16"/>
            <rFont val="宋体"/>
            <charset val="134"/>
          </rPr>
          <t>Administrator:</t>
        </r>
        <r>
          <rPr>
            <sz val="16"/>
            <rFont val="宋体"/>
            <charset val="134"/>
          </rPr>
          <t xml:space="preserve">
6/28上 B款 UPC贴纸 48 pcs
7/12上 B款 客供亚马逊外箱贴纸 2 pcs</t>
        </r>
      </text>
    </comment>
    <comment ref="AB303" authorId="0">
      <text>
        <r>
          <rPr>
            <b/>
            <sz val="14"/>
            <rFont val="宋体"/>
            <charset val="134"/>
          </rPr>
          <t>Administrator:</t>
        </r>
        <r>
          <rPr>
            <sz val="14"/>
            <rFont val="宋体"/>
            <charset val="134"/>
          </rPr>
          <t xml:space="preserve">
3002509 7/23 24 pcs</t>
        </r>
      </text>
    </comment>
    <comment ref="AD303" authorId="0">
      <text>
        <r>
          <rPr>
            <b/>
            <sz val="16"/>
            <rFont val="宋体"/>
            <charset val="134"/>
          </rPr>
          <t>Administrator:</t>
        </r>
        <r>
          <rPr>
            <sz val="16"/>
            <rFont val="宋体"/>
            <charset val="134"/>
          </rPr>
          <t xml:space="preserve">
6/28上 B款 UPC贴纸 24 pcs
7/12上 B款 客供亚马逊外箱贴纸 1 pcs</t>
        </r>
      </text>
    </comment>
    <comment ref="AB304" authorId="0">
      <text>
        <r>
          <rPr>
            <b/>
            <sz val="14"/>
            <rFont val="宋体"/>
            <charset val="134"/>
          </rPr>
          <t>Administrator:</t>
        </r>
        <r>
          <rPr>
            <sz val="14"/>
            <rFont val="宋体"/>
            <charset val="134"/>
          </rPr>
          <t xml:space="preserve">
3002509 7/23 24 pcs</t>
        </r>
      </text>
    </comment>
    <comment ref="AD304" authorId="0">
      <text>
        <r>
          <rPr>
            <b/>
            <sz val="16"/>
            <rFont val="宋体"/>
            <charset val="134"/>
          </rPr>
          <t>Administrator:</t>
        </r>
        <r>
          <rPr>
            <sz val="16"/>
            <rFont val="宋体"/>
            <charset val="134"/>
          </rPr>
          <t xml:space="preserve">
6/28上 B款 UPC贴纸 24 pcs
7/12上 B款 客供亚马逊外箱贴纸 1 pcs</t>
        </r>
      </text>
    </comment>
    <comment ref="AB305" authorId="0">
      <text>
        <r>
          <rPr>
            <b/>
            <sz val="14"/>
            <rFont val="宋体"/>
            <charset val="134"/>
          </rPr>
          <t>Administrator:</t>
        </r>
        <r>
          <rPr>
            <sz val="14"/>
            <rFont val="宋体"/>
            <charset val="134"/>
          </rPr>
          <t xml:space="preserve">
3002510 7/23 24 pcs</t>
        </r>
      </text>
    </comment>
    <comment ref="AD305" authorId="0">
      <text>
        <r>
          <rPr>
            <b/>
            <sz val="16"/>
            <rFont val="宋体"/>
            <charset val="134"/>
          </rPr>
          <t>Administrator:</t>
        </r>
        <r>
          <rPr>
            <sz val="16"/>
            <rFont val="宋体"/>
            <charset val="134"/>
          </rPr>
          <t xml:space="preserve">
6/28上 B款 UPC贴纸 24 pcs
7/12上 B款 客供亚马逊外箱贴纸 1 pcs</t>
        </r>
      </text>
    </comment>
    <comment ref="AB306" authorId="0">
      <text>
        <r>
          <rPr>
            <b/>
            <sz val="14"/>
            <rFont val="宋体"/>
            <charset val="134"/>
          </rPr>
          <t>Administrator:</t>
        </r>
        <r>
          <rPr>
            <sz val="14"/>
            <rFont val="宋体"/>
            <charset val="134"/>
          </rPr>
          <t xml:space="preserve">
3002510 7/23 48 pcs</t>
        </r>
      </text>
    </comment>
    <comment ref="AD306" authorId="0">
      <text>
        <r>
          <rPr>
            <b/>
            <sz val="16"/>
            <rFont val="宋体"/>
            <charset val="134"/>
          </rPr>
          <t>Administrator:</t>
        </r>
        <r>
          <rPr>
            <sz val="16"/>
            <rFont val="宋体"/>
            <charset val="134"/>
          </rPr>
          <t xml:space="preserve">
6/28上 B款 UPC贴纸 48 pcs
7/12上 B款 客供亚马逊外箱贴纸 2 pcs</t>
        </r>
      </text>
    </comment>
    <comment ref="AB307" authorId="0">
      <text>
        <r>
          <rPr>
            <b/>
            <sz val="14"/>
            <rFont val="宋体"/>
            <charset val="134"/>
          </rPr>
          <t>Administrator:</t>
        </r>
        <r>
          <rPr>
            <sz val="14"/>
            <rFont val="宋体"/>
            <charset val="134"/>
          </rPr>
          <t xml:space="preserve">
3002510 7/23 24 pcs</t>
        </r>
      </text>
    </comment>
    <comment ref="AD307" authorId="0">
      <text>
        <r>
          <rPr>
            <b/>
            <sz val="16"/>
            <rFont val="宋体"/>
            <charset val="134"/>
          </rPr>
          <t>Administrator:</t>
        </r>
        <r>
          <rPr>
            <sz val="16"/>
            <rFont val="宋体"/>
            <charset val="134"/>
          </rPr>
          <t xml:space="preserve">
6/28上 B款 UPC贴纸 24 pcs
7/12上 B款 客供亚马逊外箱贴纸 1 pcs</t>
        </r>
      </text>
    </comment>
    <comment ref="AB308" authorId="0">
      <text>
        <r>
          <rPr>
            <b/>
            <sz val="14"/>
            <rFont val="宋体"/>
            <charset val="134"/>
          </rPr>
          <t>Administrator:</t>
        </r>
        <r>
          <rPr>
            <sz val="14"/>
            <rFont val="宋体"/>
            <charset val="134"/>
          </rPr>
          <t xml:space="preserve">
3002510 7/23 24 pcs</t>
        </r>
      </text>
    </comment>
    <comment ref="AD308" authorId="0">
      <text>
        <r>
          <rPr>
            <b/>
            <sz val="16"/>
            <rFont val="宋体"/>
            <charset val="134"/>
          </rPr>
          <t>Administrator:</t>
        </r>
        <r>
          <rPr>
            <sz val="16"/>
            <rFont val="宋体"/>
            <charset val="134"/>
          </rPr>
          <t xml:space="preserve">
6/28上 B款 UPC贴纸 24 pcs
7/12上 B款 客供亚马逊外箱贴纸 1 pcs</t>
        </r>
      </text>
    </comment>
    <comment ref="AB309" authorId="0">
      <text>
        <r>
          <rPr>
            <b/>
            <sz val="14"/>
            <rFont val="宋体"/>
            <charset val="134"/>
          </rPr>
          <t>Administrator:</t>
        </r>
        <r>
          <rPr>
            <sz val="14"/>
            <rFont val="宋体"/>
            <charset val="134"/>
          </rPr>
          <t xml:space="preserve">
3002510 7/23 24 pcs</t>
        </r>
      </text>
    </comment>
    <comment ref="AD309" authorId="0">
      <text>
        <r>
          <rPr>
            <b/>
            <sz val="16"/>
            <rFont val="宋体"/>
            <charset val="134"/>
          </rPr>
          <t>Administrator:</t>
        </r>
        <r>
          <rPr>
            <sz val="16"/>
            <rFont val="宋体"/>
            <charset val="134"/>
          </rPr>
          <t xml:space="preserve">
6/28上 B款 UPC贴纸 24 pcs
7/12上 B款 客供亚马逊外箱贴纸 1 pcs</t>
        </r>
      </text>
    </comment>
    <comment ref="AB310" authorId="0">
      <text>
        <r>
          <rPr>
            <b/>
            <sz val="14"/>
            <rFont val="宋体"/>
            <charset val="134"/>
          </rPr>
          <t>Administrator:</t>
        </r>
        <r>
          <rPr>
            <sz val="14"/>
            <rFont val="宋体"/>
            <charset val="134"/>
          </rPr>
          <t xml:space="preserve">
3002511 7/23 120 pcs</t>
        </r>
      </text>
    </comment>
    <comment ref="AD310" authorId="0">
      <text>
        <r>
          <rPr>
            <b/>
            <sz val="16"/>
            <rFont val="宋体"/>
            <charset val="134"/>
          </rPr>
          <t>Administrator:</t>
        </r>
        <r>
          <rPr>
            <sz val="16"/>
            <rFont val="宋体"/>
            <charset val="134"/>
          </rPr>
          <t xml:space="preserve">
6/28上 D款 UPC贴纸 120 pcs
7/12上 D款 客供亚马逊外箱贴纸 5 pcs
</t>
        </r>
      </text>
    </comment>
    <comment ref="AB311" authorId="0">
      <text>
        <r>
          <rPr>
            <b/>
            <sz val="14"/>
            <rFont val="宋体"/>
            <charset val="134"/>
          </rPr>
          <t>Administrator:</t>
        </r>
        <r>
          <rPr>
            <sz val="14"/>
            <rFont val="宋体"/>
            <charset val="134"/>
          </rPr>
          <t xml:space="preserve">
3002511 7/23 96 pcs</t>
        </r>
      </text>
    </comment>
    <comment ref="AD311" authorId="0">
      <text>
        <r>
          <rPr>
            <b/>
            <sz val="16"/>
            <rFont val="宋体"/>
            <charset val="134"/>
          </rPr>
          <t>Administrator:</t>
        </r>
        <r>
          <rPr>
            <sz val="16"/>
            <rFont val="宋体"/>
            <charset val="134"/>
          </rPr>
          <t xml:space="preserve">
6/28上 D款 UPC贴纸 96 pcs
7/12上 D款 客供亚马逊外箱贴纸 5 pcs
</t>
        </r>
      </text>
    </comment>
    <comment ref="AB312" authorId="0">
      <text>
        <r>
          <rPr>
            <b/>
            <sz val="14"/>
            <rFont val="宋体"/>
            <charset val="134"/>
          </rPr>
          <t>Administrator:</t>
        </r>
        <r>
          <rPr>
            <sz val="14"/>
            <rFont val="宋体"/>
            <charset val="134"/>
          </rPr>
          <t xml:space="preserve">
3002511 7/23 72 pcs</t>
        </r>
      </text>
    </comment>
    <comment ref="AD312" authorId="0">
      <text>
        <r>
          <rPr>
            <b/>
            <sz val="16"/>
            <rFont val="宋体"/>
            <charset val="134"/>
          </rPr>
          <t>Administrator:</t>
        </r>
        <r>
          <rPr>
            <sz val="16"/>
            <rFont val="宋体"/>
            <charset val="134"/>
          </rPr>
          <t xml:space="preserve">
6/28上 D款 UPC贴纸 72 pcs
7/12上 D款 客供亚马逊外箱贴纸 3 pcs
</t>
        </r>
      </text>
    </comment>
    <comment ref="AB313" authorId="0">
      <text>
        <r>
          <rPr>
            <b/>
            <sz val="14"/>
            <rFont val="宋体"/>
            <charset val="134"/>
          </rPr>
          <t>Administrator:</t>
        </r>
        <r>
          <rPr>
            <sz val="14"/>
            <rFont val="宋体"/>
            <charset val="134"/>
          </rPr>
          <t xml:space="preserve">
3002511 7/23 96 pcs</t>
        </r>
      </text>
    </comment>
    <comment ref="AD313" authorId="0">
      <text>
        <r>
          <rPr>
            <b/>
            <sz val="16"/>
            <rFont val="宋体"/>
            <charset val="134"/>
          </rPr>
          <t>Administrator:</t>
        </r>
        <r>
          <rPr>
            <sz val="16"/>
            <rFont val="宋体"/>
            <charset val="134"/>
          </rPr>
          <t xml:space="preserve">
6/28上 D款 UPC贴纸 96 pcs
7/12上 D款 客供亚马逊外箱贴纸 5 pcs
</t>
        </r>
      </text>
    </comment>
    <comment ref="AB314" authorId="0">
      <text>
        <r>
          <rPr>
            <b/>
            <sz val="14"/>
            <rFont val="宋体"/>
            <charset val="134"/>
          </rPr>
          <t>Administrator:</t>
        </r>
        <r>
          <rPr>
            <sz val="14"/>
            <rFont val="宋体"/>
            <charset val="134"/>
          </rPr>
          <t xml:space="preserve">
3002511 7/23 72 pcs</t>
        </r>
      </text>
    </comment>
    <comment ref="AD314" authorId="0">
      <text>
        <r>
          <rPr>
            <b/>
            <sz val="16"/>
            <rFont val="宋体"/>
            <charset val="134"/>
          </rPr>
          <t>Administrator:</t>
        </r>
        <r>
          <rPr>
            <sz val="16"/>
            <rFont val="宋体"/>
            <charset val="134"/>
          </rPr>
          <t xml:space="preserve">
6/28上 D款 UPC贴纸 72 pcs
7/12上 D款 客供亚马逊外箱贴纸 3 pcs
</t>
        </r>
      </text>
    </comment>
    <comment ref="AB315" authorId="0">
      <text>
        <r>
          <rPr>
            <b/>
            <sz val="14"/>
            <rFont val="宋体"/>
            <charset val="134"/>
          </rPr>
          <t>Administrator:</t>
        </r>
        <r>
          <rPr>
            <sz val="14"/>
            <rFont val="宋体"/>
            <charset val="134"/>
          </rPr>
          <t xml:space="preserve">
3002511 7/23 72 pcs</t>
        </r>
      </text>
    </comment>
    <comment ref="AD315" authorId="0">
      <text>
        <r>
          <rPr>
            <b/>
            <sz val="16"/>
            <rFont val="宋体"/>
            <charset val="134"/>
          </rPr>
          <t>Administrator:</t>
        </r>
        <r>
          <rPr>
            <sz val="16"/>
            <rFont val="宋体"/>
            <charset val="134"/>
          </rPr>
          <t xml:space="preserve">
6/28上 D款 UPC贴纸 72 pcs
7/12上 D款 客供亚马逊外箱贴纸 3 pcs
</t>
        </r>
      </text>
    </comment>
    <comment ref="AB316" authorId="0">
      <text>
        <r>
          <rPr>
            <b/>
            <sz val="14"/>
            <rFont val="宋体"/>
            <charset val="134"/>
          </rPr>
          <t>Administrator:</t>
        </r>
        <r>
          <rPr>
            <sz val="14"/>
            <rFont val="宋体"/>
            <charset val="134"/>
          </rPr>
          <t xml:space="preserve">
3002511 7/23 48 pcs</t>
        </r>
      </text>
    </comment>
    <comment ref="AD316" authorId="0">
      <text>
        <r>
          <rPr>
            <b/>
            <sz val="16"/>
            <rFont val="宋体"/>
            <charset val="134"/>
          </rPr>
          <t>Administrator:</t>
        </r>
        <r>
          <rPr>
            <sz val="16"/>
            <rFont val="宋体"/>
            <charset val="134"/>
          </rPr>
          <t xml:space="preserve">
6/28上 D款 UPC贴纸 48 pcs
7/12上 D款 客供亚马逊外箱贴纸 2 pcs
</t>
        </r>
      </text>
    </comment>
    <comment ref="AB317" authorId="0">
      <text>
        <r>
          <rPr>
            <b/>
            <sz val="14"/>
            <rFont val="宋体"/>
            <charset val="134"/>
          </rPr>
          <t>Administrator:</t>
        </r>
        <r>
          <rPr>
            <sz val="14"/>
            <rFont val="宋体"/>
            <charset val="134"/>
          </rPr>
          <t xml:space="preserve">
3002511 7/23 24 pcs</t>
        </r>
      </text>
    </comment>
    <comment ref="AD317" authorId="0">
      <text>
        <r>
          <rPr>
            <b/>
            <sz val="16"/>
            <rFont val="宋体"/>
            <charset val="134"/>
          </rPr>
          <t>Administrator:</t>
        </r>
        <r>
          <rPr>
            <sz val="16"/>
            <rFont val="宋体"/>
            <charset val="134"/>
          </rPr>
          <t xml:space="preserve">
6/28上 D款 UPC贴纸 24 pcs
7/12上 D款 客供亚马逊外箱贴纸 1 pcs
</t>
        </r>
      </text>
    </comment>
    <comment ref="AB318" authorId="0">
      <text>
        <r>
          <rPr>
            <b/>
            <sz val="14"/>
            <rFont val="宋体"/>
            <charset val="134"/>
          </rPr>
          <t>Administrator:</t>
        </r>
        <r>
          <rPr>
            <sz val="14"/>
            <rFont val="宋体"/>
            <charset val="134"/>
          </rPr>
          <t xml:space="preserve">
3002511 7/23 24 pcs</t>
        </r>
      </text>
    </comment>
    <comment ref="AD318" authorId="0">
      <text>
        <r>
          <rPr>
            <b/>
            <sz val="16"/>
            <rFont val="宋体"/>
            <charset val="134"/>
          </rPr>
          <t>Administrator:</t>
        </r>
        <r>
          <rPr>
            <sz val="16"/>
            <rFont val="宋体"/>
            <charset val="134"/>
          </rPr>
          <t xml:space="preserve">
6/28上 D款 UPC贴纸 24 pcs
7/12上 D款 客供亚马逊外箱贴纸 1 pcs
</t>
        </r>
      </text>
    </comment>
    <comment ref="AB319" authorId="0">
      <text>
        <r>
          <rPr>
            <b/>
            <sz val="14"/>
            <rFont val="宋体"/>
            <charset val="134"/>
          </rPr>
          <t>Administrator:</t>
        </r>
        <r>
          <rPr>
            <sz val="14"/>
            <rFont val="宋体"/>
            <charset val="134"/>
          </rPr>
          <t xml:space="preserve">
3002511 7/23 48 pcs</t>
        </r>
      </text>
    </comment>
    <comment ref="AD319" authorId="0">
      <text>
        <r>
          <rPr>
            <b/>
            <sz val="16"/>
            <rFont val="宋体"/>
            <charset val="134"/>
          </rPr>
          <t>Administrator:</t>
        </r>
        <r>
          <rPr>
            <sz val="16"/>
            <rFont val="宋体"/>
            <charset val="134"/>
          </rPr>
          <t xml:space="preserve">
6/28上 D款 UPC贴纸 48 pcs
7/12上 D款 客供亚马逊外箱贴纸 2 pcs
</t>
        </r>
      </text>
    </comment>
    <comment ref="AB320" authorId="0">
      <text>
        <r>
          <rPr>
            <b/>
            <sz val="14"/>
            <rFont val="宋体"/>
            <charset val="134"/>
          </rPr>
          <t>Administrator:</t>
        </r>
        <r>
          <rPr>
            <sz val="14"/>
            <rFont val="宋体"/>
            <charset val="134"/>
          </rPr>
          <t xml:space="preserve">
3002511 7/23 24 pcs</t>
        </r>
      </text>
    </comment>
    <comment ref="AD320" authorId="0">
      <text>
        <r>
          <rPr>
            <b/>
            <sz val="16"/>
            <rFont val="宋体"/>
            <charset val="134"/>
          </rPr>
          <t>Administrator:</t>
        </r>
        <r>
          <rPr>
            <sz val="16"/>
            <rFont val="宋体"/>
            <charset val="134"/>
          </rPr>
          <t xml:space="preserve">
6/28上 D款 UPC贴纸 24 pcs
7/12上 D款 客供亚马逊外箱贴纸 1 pcs
</t>
        </r>
      </text>
    </comment>
    <comment ref="AB321" authorId="0">
      <text>
        <r>
          <rPr>
            <b/>
            <sz val="14"/>
            <rFont val="宋体"/>
            <charset val="134"/>
          </rPr>
          <t>Administrator:</t>
        </r>
        <r>
          <rPr>
            <sz val="14"/>
            <rFont val="宋体"/>
            <charset val="134"/>
          </rPr>
          <t xml:space="preserve">
3002512 7/23 24 pcs</t>
        </r>
      </text>
    </comment>
    <comment ref="AD321" authorId="0">
      <text>
        <r>
          <rPr>
            <b/>
            <sz val="16"/>
            <rFont val="宋体"/>
            <charset val="134"/>
          </rPr>
          <t>Administrator:</t>
        </r>
        <r>
          <rPr>
            <sz val="16"/>
            <rFont val="宋体"/>
            <charset val="134"/>
          </rPr>
          <t xml:space="preserve">
6/28上 D款 UPC贴纸 24 pcs
7/12上 D款 客供亚马逊外箱贴纸 1 pcs
</t>
        </r>
      </text>
    </comment>
    <comment ref="AB322" authorId="0">
      <text>
        <r>
          <rPr>
            <b/>
            <sz val="14"/>
            <rFont val="宋体"/>
            <charset val="134"/>
          </rPr>
          <t>Administrator:</t>
        </r>
        <r>
          <rPr>
            <sz val="14"/>
            <rFont val="宋体"/>
            <charset val="134"/>
          </rPr>
          <t xml:space="preserve">
3002512 7/23 48 pcs</t>
        </r>
      </text>
    </comment>
    <comment ref="AD322" authorId="0">
      <text>
        <r>
          <rPr>
            <b/>
            <sz val="16"/>
            <rFont val="宋体"/>
            <charset val="134"/>
          </rPr>
          <t>Administrator:</t>
        </r>
        <r>
          <rPr>
            <sz val="16"/>
            <rFont val="宋体"/>
            <charset val="134"/>
          </rPr>
          <t xml:space="preserve">
6/28上 D款 UPC贴纸 48 pcs
7/12上 D款 客供亚马逊外箱贴纸 2 pcs
</t>
        </r>
      </text>
    </comment>
    <comment ref="AB323" authorId="0">
      <text>
        <r>
          <rPr>
            <b/>
            <sz val="14"/>
            <rFont val="宋体"/>
            <charset val="134"/>
          </rPr>
          <t>Administrator:</t>
        </r>
        <r>
          <rPr>
            <sz val="14"/>
            <rFont val="宋体"/>
            <charset val="134"/>
          </rPr>
          <t xml:space="preserve">
3002512 7/23 24 pcs</t>
        </r>
      </text>
    </comment>
    <comment ref="AD323" authorId="0">
      <text>
        <r>
          <rPr>
            <b/>
            <sz val="16"/>
            <rFont val="宋体"/>
            <charset val="134"/>
          </rPr>
          <t>Administrator:</t>
        </r>
        <r>
          <rPr>
            <sz val="16"/>
            <rFont val="宋体"/>
            <charset val="134"/>
          </rPr>
          <t xml:space="preserve">
6/28上 D款 UPC贴纸 24 pcs
7/12上 D款 客供亚马逊外箱贴纸 1 pcs
</t>
        </r>
      </text>
    </comment>
    <comment ref="AB324" authorId="0">
      <text>
        <r>
          <rPr>
            <b/>
            <sz val="14"/>
            <rFont val="宋体"/>
            <charset val="134"/>
          </rPr>
          <t>Administrator:</t>
        </r>
        <r>
          <rPr>
            <sz val="14"/>
            <rFont val="宋体"/>
            <charset val="134"/>
          </rPr>
          <t xml:space="preserve">
3002514 7/23 66 pcs 莫B四楼A6</t>
        </r>
      </text>
    </comment>
    <comment ref="AD324" authorId="0">
      <text>
        <r>
          <rPr>
            <b/>
            <sz val="16"/>
            <rFont val="宋体"/>
            <charset val="134"/>
          </rPr>
          <t>Administrator:</t>
        </r>
        <r>
          <rPr>
            <sz val="16"/>
            <rFont val="宋体"/>
            <charset val="134"/>
          </rPr>
          <t xml:space="preserve">
7/8上 进口商贴纸 66 pcs</t>
        </r>
      </text>
    </comment>
    <comment ref="AB325" authorId="0">
      <text>
        <r>
          <rPr>
            <b/>
            <sz val="14"/>
            <rFont val="宋体"/>
            <charset val="134"/>
          </rPr>
          <t>Administrator:</t>
        </r>
        <r>
          <rPr>
            <sz val="14"/>
            <rFont val="宋体"/>
            <charset val="134"/>
          </rPr>
          <t xml:space="preserve">
3002515 7/23 1008 pcs 莫B四楼A5</t>
        </r>
      </text>
    </comment>
    <comment ref="AD325" authorId="0">
      <text>
        <r>
          <rPr>
            <b/>
            <sz val="16"/>
            <rFont val="宋体"/>
            <charset val="134"/>
          </rPr>
          <t>Administrator:</t>
        </r>
        <r>
          <rPr>
            <sz val="16"/>
            <rFont val="宋体"/>
            <charset val="134"/>
          </rPr>
          <t xml:space="preserve">
7/11上 进口商贴纸 1008 pcs</t>
        </r>
      </text>
    </comment>
    <comment ref="AB326" authorId="0">
      <text>
        <r>
          <rPr>
            <b/>
            <sz val="14"/>
            <rFont val="宋体"/>
            <charset val="134"/>
          </rPr>
          <t>Administrator:</t>
        </r>
        <r>
          <rPr>
            <sz val="14"/>
            <rFont val="宋体"/>
            <charset val="134"/>
          </rPr>
          <t xml:space="preserve">
3002533 7/23 48 pcs</t>
        </r>
      </text>
    </comment>
    <comment ref="AD326" authorId="0">
      <text>
        <r>
          <rPr>
            <b/>
            <sz val="16"/>
            <rFont val="宋体"/>
            <charset val="134"/>
          </rPr>
          <t>Administrator:</t>
        </r>
        <r>
          <rPr>
            <sz val="16"/>
            <rFont val="宋体"/>
            <charset val="134"/>
          </rPr>
          <t xml:space="preserve">
6/28上 E款 UPC贴纸 48 pcs
7/12上 B款 客供亚马逊外箱贴纸 2 pcs</t>
        </r>
      </text>
    </comment>
    <comment ref="AB327" authorId="0">
      <text>
        <r>
          <rPr>
            <b/>
            <sz val="14"/>
            <rFont val="宋体"/>
            <charset val="134"/>
          </rPr>
          <t>Administrator:</t>
        </r>
        <r>
          <rPr>
            <sz val="14"/>
            <rFont val="宋体"/>
            <charset val="134"/>
          </rPr>
          <t xml:space="preserve">
3002533 7/23 24 pcs</t>
        </r>
      </text>
    </comment>
    <comment ref="AD327" authorId="0">
      <text>
        <r>
          <rPr>
            <b/>
            <sz val="16"/>
            <rFont val="宋体"/>
            <charset val="134"/>
          </rPr>
          <t>Administrator:</t>
        </r>
        <r>
          <rPr>
            <sz val="16"/>
            <rFont val="宋体"/>
            <charset val="134"/>
          </rPr>
          <t xml:space="preserve">
6/28上 E款 UPC贴纸 24 pcs
7/12上 B款 客供亚马逊外箱贴纸 1 pcs</t>
        </r>
      </text>
    </comment>
    <comment ref="AB328" authorId="0">
      <text>
        <r>
          <rPr>
            <b/>
            <sz val="14"/>
            <rFont val="宋体"/>
            <charset val="134"/>
          </rPr>
          <t>Administrator:</t>
        </r>
        <r>
          <rPr>
            <sz val="14"/>
            <rFont val="宋体"/>
            <charset val="134"/>
          </rPr>
          <t xml:space="preserve">
3002533 7/23 24 pcs</t>
        </r>
      </text>
    </comment>
    <comment ref="AD328" authorId="0">
      <text>
        <r>
          <rPr>
            <b/>
            <sz val="16"/>
            <rFont val="宋体"/>
            <charset val="134"/>
          </rPr>
          <t>Administrator:</t>
        </r>
        <r>
          <rPr>
            <sz val="16"/>
            <rFont val="宋体"/>
            <charset val="134"/>
          </rPr>
          <t xml:space="preserve">
6/28上 E款 UPC贴纸 24 pcs
7/12上 B款 客供亚马逊外箱贴纸 1 pcs</t>
        </r>
      </text>
    </comment>
    <comment ref="AB329" authorId="0">
      <text>
        <r>
          <rPr>
            <b/>
            <sz val="14"/>
            <rFont val="宋体"/>
            <charset val="134"/>
          </rPr>
          <t>Administrator:</t>
        </r>
        <r>
          <rPr>
            <sz val="14"/>
            <rFont val="宋体"/>
            <charset val="134"/>
          </rPr>
          <t xml:space="preserve">
3002533 7/23 24 pcs</t>
        </r>
      </text>
    </comment>
    <comment ref="AD329" authorId="0">
      <text>
        <r>
          <rPr>
            <b/>
            <sz val="16"/>
            <rFont val="宋体"/>
            <charset val="134"/>
          </rPr>
          <t>Administrator:</t>
        </r>
        <r>
          <rPr>
            <sz val="16"/>
            <rFont val="宋体"/>
            <charset val="134"/>
          </rPr>
          <t xml:space="preserve">
6/28上 E款 UPC贴纸 24 pcs
7/12上 B款 客供亚马逊外箱贴纸 1 pcs</t>
        </r>
      </text>
    </comment>
    <comment ref="AB330" authorId="0">
      <text>
        <r>
          <rPr>
            <b/>
            <sz val="14"/>
            <rFont val="宋体"/>
            <charset val="134"/>
          </rPr>
          <t>Administrator:</t>
        </r>
        <r>
          <rPr>
            <sz val="14"/>
            <rFont val="宋体"/>
            <charset val="134"/>
          </rPr>
          <t xml:space="preserve">
3002533 7/23 24 pcs</t>
        </r>
      </text>
    </comment>
    <comment ref="AD330" authorId="0">
      <text>
        <r>
          <rPr>
            <b/>
            <sz val="16"/>
            <rFont val="宋体"/>
            <charset val="134"/>
          </rPr>
          <t>Administrator:</t>
        </r>
        <r>
          <rPr>
            <sz val="16"/>
            <rFont val="宋体"/>
            <charset val="134"/>
          </rPr>
          <t xml:space="preserve">
6/28上 E款 UPC贴纸 24 pcs
7/12上 B款 客供亚马逊外箱贴纸 1 pcs</t>
        </r>
      </text>
    </comment>
    <comment ref="AB331" authorId="0">
      <text>
        <r>
          <rPr>
            <b/>
            <sz val="14"/>
            <rFont val="宋体"/>
            <charset val="134"/>
          </rPr>
          <t>Administrator:</t>
        </r>
        <r>
          <rPr>
            <sz val="14"/>
            <rFont val="宋体"/>
            <charset val="134"/>
          </rPr>
          <t xml:space="preserve">
3002533 7/23 48 pcs</t>
        </r>
      </text>
    </comment>
    <comment ref="AD331" authorId="0">
      <text>
        <r>
          <rPr>
            <b/>
            <sz val="16"/>
            <rFont val="宋体"/>
            <charset val="134"/>
          </rPr>
          <t>Administrator:</t>
        </r>
        <r>
          <rPr>
            <sz val="16"/>
            <rFont val="宋体"/>
            <charset val="134"/>
          </rPr>
          <t xml:space="preserve">
6/28上 E款 UPC贴纸 48 pcs
7/12上 B款 客供亚马逊外箱贴纸 2 pcs</t>
        </r>
      </text>
    </comment>
    <comment ref="AB332" authorId="0">
      <text>
        <r>
          <rPr>
            <b/>
            <sz val="14"/>
            <rFont val="宋体"/>
            <charset val="134"/>
          </rPr>
          <t>Administrator:</t>
        </r>
        <r>
          <rPr>
            <sz val="14"/>
            <rFont val="宋体"/>
            <charset val="134"/>
          </rPr>
          <t xml:space="preserve">
3002510 7/23 24 pcs</t>
        </r>
      </text>
    </comment>
    <comment ref="AD332" authorId="0">
      <text>
        <r>
          <rPr>
            <b/>
            <sz val="16"/>
            <rFont val="宋体"/>
            <charset val="134"/>
          </rPr>
          <t>Administrator:</t>
        </r>
        <r>
          <rPr>
            <sz val="16"/>
            <rFont val="宋体"/>
            <charset val="134"/>
          </rPr>
          <t xml:space="preserve">
6/28上 D款 UPC贴纸 24 pcs
7/12上 B款 客供亚马逊外箱贴纸 1 pcs</t>
        </r>
      </text>
    </comment>
    <comment ref="AB333" authorId="0">
      <text>
        <r>
          <rPr>
            <b/>
            <sz val="14"/>
            <rFont val="宋体"/>
            <charset val="134"/>
          </rPr>
          <t>Administrator:</t>
        </r>
        <r>
          <rPr>
            <sz val="14"/>
            <rFont val="宋体"/>
            <charset val="134"/>
          </rPr>
          <t xml:space="preserve">
3002510 7/23 48 pcs</t>
        </r>
      </text>
    </comment>
    <comment ref="AD333" authorId="0">
      <text>
        <r>
          <rPr>
            <b/>
            <sz val="16"/>
            <rFont val="宋体"/>
            <charset val="134"/>
          </rPr>
          <t>Administrator:</t>
        </r>
        <r>
          <rPr>
            <sz val="16"/>
            <rFont val="宋体"/>
            <charset val="134"/>
          </rPr>
          <t xml:space="preserve">
6/28上 D款 UPC贴纸 48 pcs
7/12上 B款 客供亚马逊外箱贴纸 2 pcs</t>
        </r>
      </text>
    </comment>
    <comment ref="AB334" authorId="0">
      <text>
        <r>
          <rPr>
            <b/>
            <sz val="14"/>
            <rFont val="宋体"/>
            <charset val="134"/>
          </rPr>
          <t>Administrator:</t>
        </r>
        <r>
          <rPr>
            <sz val="14"/>
            <rFont val="宋体"/>
            <charset val="134"/>
          </rPr>
          <t xml:space="preserve">
3002510 7/23 48 pcs</t>
        </r>
      </text>
    </comment>
    <comment ref="AD334" authorId="0">
      <text>
        <r>
          <rPr>
            <b/>
            <sz val="16"/>
            <rFont val="宋体"/>
            <charset val="134"/>
          </rPr>
          <t>Administrator:</t>
        </r>
        <r>
          <rPr>
            <sz val="16"/>
            <rFont val="宋体"/>
            <charset val="134"/>
          </rPr>
          <t xml:space="preserve">
6/28上 D款 UPC贴纸 48 pcs
7/12上 B款 客供亚马逊外箱贴纸 2 pcs</t>
        </r>
      </text>
    </comment>
    <comment ref="AB335" authorId="0">
      <text>
        <r>
          <rPr>
            <b/>
            <sz val="14"/>
            <rFont val="宋体"/>
            <charset val="134"/>
          </rPr>
          <t>Administrator:</t>
        </r>
        <r>
          <rPr>
            <sz val="14"/>
            <rFont val="宋体"/>
            <charset val="134"/>
          </rPr>
          <t xml:space="preserve">
3002510 7/23 24 pcs</t>
        </r>
      </text>
    </comment>
    <comment ref="AD335" authorId="0">
      <text>
        <r>
          <rPr>
            <b/>
            <sz val="16"/>
            <rFont val="宋体"/>
            <charset val="134"/>
          </rPr>
          <t>Administrator:</t>
        </r>
        <r>
          <rPr>
            <sz val="16"/>
            <rFont val="宋体"/>
            <charset val="134"/>
          </rPr>
          <t xml:space="preserve">
6/28上 D款 UPC贴纸 24 pcs
7/12上 B款 客供亚马逊外箱贴纸 1 pcs</t>
        </r>
      </text>
    </comment>
    <comment ref="AB336" authorId="0">
      <text>
        <r>
          <rPr>
            <b/>
            <sz val="14"/>
            <rFont val="宋体"/>
            <charset val="134"/>
          </rPr>
          <t>Administrator:</t>
        </r>
        <r>
          <rPr>
            <sz val="14"/>
            <rFont val="宋体"/>
            <charset val="134"/>
          </rPr>
          <t xml:space="preserve">
3002510 7/23 24 pcs</t>
        </r>
      </text>
    </comment>
    <comment ref="AD336" authorId="0">
      <text>
        <r>
          <rPr>
            <b/>
            <sz val="16"/>
            <rFont val="宋体"/>
            <charset val="134"/>
          </rPr>
          <t>Administrator:</t>
        </r>
        <r>
          <rPr>
            <sz val="16"/>
            <rFont val="宋体"/>
            <charset val="134"/>
          </rPr>
          <t xml:space="preserve">
6/28上 D款 UPC贴纸 24 pcs
7/12上 B款 客供亚马逊外箱贴纸 1 pcs</t>
        </r>
      </text>
    </comment>
    <comment ref="AB337" authorId="0">
      <text>
        <r>
          <rPr>
            <b/>
            <sz val="14"/>
            <rFont val="宋体"/>
            <charset val="134"/>
          </rPr>
          <t>Administrator:</t>
        </r>
        <r>
          <rPr>
            <sz val="14"/>
            <rFont val="宋体"/>
            <charset val="134"/>
          </rPr>
          <t xml:space="preserve">
3002516 7/23 48 pcs 华兴三楼B14</t>
        </r>
      </text>
    </comment>
    <comment ref="AD337" authorId="0">
      <text>
        <r>
          <rPr>
            <b/>
            <sz val="16"/>
            <rFont val="宋体"/>
            <charset val="134"/>
          </rPr>
          <t>Administrator:</t>
        </r>
        <r>
          <rPr>
            <sz val="16"/>
            <rFont val="宋体"/>
            <charset val="134"/>
          </rPr>
          <t xml:space="preserve">
6/28上 D款 UPC贴纸 48 pcs
7/12上 B款 客供亚马逊外箱贴纸 2 pcs</t>
        </r>
      </text>
    </comment>
    <comment ref="AB338" authorId="0">
      <text>
        <r>
          <rPr>
            <b/>
            <sz val="14"/>
            <rFont val="宋体"/>
            <charset val="134"/>
          </rPr>
          <t>Administrator:</t>
        </r>
        <r>
          <rPr>
            <sz val="14"/>
            <rFont val="宋体"/>
            <charset val="134"/>
          </rPr>
          <t xml:space="preserve">
3002510 7/23 24 pcs</t>
        </r>
      </text>
    </comment>
    <comment ref="AD338" authorId="0">
      <text>
        <r>
          <rPr>
            <b/>
            <sz val="16"/>
            <rFont val="宋体"/>
            <charset val="134"/>
          </rPr>
          <t>Administrator:</t>
        </r>
        <r>
          <rPr>
            <sz val="16"/>
            <rFont val="宋体"/>
            <charset val="134"/>
          </rPr>
          <t xml:space="preserve">
6/28上 D款 UPC贴纸 24 pcs
7/12上 B款 客供亚马逊外箱贴纸 1 pcs</t>
        </r>
      </text>
    </comment>
    <comment ref="AB339" authorId="0">
      <text>
        <r>
          <rPr>
            <b/>
            <sz val="14"/>
            <rFont val="宋体"/>
            <charset val="134"/>
          </rPr>
          <t>Administrator:</t>
        </r>
        <r>
          <rPr>
            <sz val="14"/>
            <rFont val="宋体"/>
            <charset val="134"/>
          </rPr>
          <t xml:space="preserve">
3002513 7/23 72 pcs</t>
        </r>
      </text>
    </comment>
    <comment ref="AD339" authorId="0">
      <text>
        <r>
          <rPr>
            <b/>
            <sz val="16"/>
            <rFont val="宋体"/>
            <charset val="134"/>
          </rPr>
          <t>Administrator:</t>
        </r>
        <r>
          <rPr>
            <sz val="16"/>
            <rFont val="宋体"/>
            <charset val="134"/>
          </rPr>
          <t xml:space="preserve">
6/28上 A款 UPC贴纸 72 pcs
7/12上 B款 客供亚马逊外箱贴纸 3 pcs</t>
        </r>
      </text>
    </comment>
    <comment ref="AB340" authorId="0">
      <text>
        <r>
          <rPr>
            <b/>
            <sz val="14"/>
            <rFont val="宋体"/>
            <charset val="134"/>
          </rPr>
          <t>Administrator:</t>
        </r>
        <r>
          <rPr>
            <sz val="14"/>
            <rFont val="宋体"/>
            <charset val="134"/>
          </rPr>
          <t xml:space="preserve">
3002513 7/23 72 pcs</t>
        </r>
      </text>
    </comment>
    <comment ref="AD340" authorId="0">
      <text>
        <r>
          <rPr>
            <b/>
            <sz val="16"/>
            <rFont val="宋体"/>
            <charset val="134"/>
          </rPr>
          <t>Administrator:</t>
        </r>
        <r>
          <rPr>
            <sz val="16"/>
            <rFont val="宋体"/>
            <charset val="134"/>
          </rPr>
          <t xml:space="preserve">
6/28上 A款 UPC贴纸 72 pcs
7/12上 B款 客供亚马逊外箱贴纸 3 pcs</t>
        </r>
      </text>
    </comment>
    <comment ref="AB341" authorId="0">
      <text>
        <r>
          <rPr>
            <b/>
            <sz val="14"/>
            <rFont val="宋体"/>
            <charset val="134"/>
          </rPr>
          <t>Administrator:</t>
        </r>
        <r>
          <rPr>
            <sz val="14"/>
            <rFont val="宋体"/>
            <charset val="134"/>
          </rPr>
          <t xml:space="preserve">
3002513 7/23 96 pcs</t>
        </r>
      </text>
    </comment>
    <comment ref="AD341" authorId="0">
      <text>
        <r>
          <rPr>
            <b/>
            <sz val="16"/>
            <rFont val="宋体"/>
            <charset val="134"/>
          </rPr>
          <t>Administrator:</t>
        </r>
        <r>
          <rPr>
            <sz val="16"/>
            <rFont val="宋体"/>
            <charset val="134"/>
          </rPr>
          <t xml:space="preserve">
6/28上 A款 UPC贴纸 96 pcs
7/12上 B款 客供亚马逊外箱贴纸 4 pcs</t>
        </r>
      </text>
    </comment>
    <comment ref="AB342" authorId="0">
      <text>
        <r>
          <rPr>
            <b/>
            <sz val="14"/>
            <rFont val="宋体"/>
            <charset val="134"/>
          </rPr>
          <t>Administrator:</t>
        </r>
        <r>
          <rPr>
            <sz val="14"/>
            <rFont val="宋体"/>
            <charset val="134"/>
          </rPr>
          <t xml:space="preserve">
3002513 7/23 48 pcs</t>
        </r>
      </text>
    </comment>
    <comment ref="AD342" authorId="0">
      <text>
        <r>
          <rPr>
            <b/>
            <sz val="16"/>
            <rFont val="宋体"/>
            <charset val="134"/>
          </rPr>
          <t>Administrator:</t>
        </r>
        <r>
          <rPr>
            <sz val="16"/>
            <rFont val="宋体"/>
            <charset val="134"/>
          </rPr>
          <t xml:space="preserve">
6/28上 A款 UPC贴纸 48 pcs
7/12上 B款 客供亚马逊外箱贴纸 2 pcs</t>
        </r>
      </text>
    </comment>
    <comment ref="AB343" authorId="0">
      <text>
        <r>
          <rPr>
            <b/>
            <sz val="14"/>
            <rFont val="宋体"/>
            <charset val="134"/>
          </rPr>
          <t>Administrator:</t>
        </r>
        <r>
          <rPr>
            <sz val="14"/>
            <rFont val="宋体"/>
            <charset val="134"/>
          </rPr>
          <t xml:space="preserve">
3002513 7/23 72 pcs</t>
        </r>
      </text>
    </comment>
    <comment ref="AD343" authorId="0">
      <text>
        <r>
          <rPr>
            <b/>
            <sz val="16"/>
            <rFont val="宋体"/>
            <charset val="134"/>
          </rPr>
          <t>Administrator:</t>
        </r>
        <r>
          <rPr>
            <sz val="16"/>
            <rFont val="宋体"/>
            <charset val="134"/>
          </rPr>
          <t xml:space="preserve">
6/28上 A款 UPC贴纸 72 pcs
7/12上 B款 客供亚马逊外箱贴纸 3 pcs</t>
        </r>
      </text>
    </comment>
    <comment ref="AB344" authorId="0">
      <text>
        <r>
          <rPr>
            <b/>
            <sz val="14"/>
            <rFont val="宋体"/>
            <charset val="134"/>
          </rPr>
          <t>Administrator:</t>
        </r>
        <r>
          <rPr>
            <sz val="14"/>
            <rFont val="宋体"/>
            <charset val="134"/>
          </rPr>
          <t xml:space="preserve">
3002513 7/23 96 pcs</t>
        </r>
      </text>
    </comment>
    <comment ref="AD344" authorId="0">
      <text>
        <r>
          <rPr>
            <b/>
            <sz val="16"/>
            <rFont val="宋体"/>
            <charset val="134"/>
          </rPr>
          <t>Administrator:</t>
        </r>
        <r>
          <rPr>
            <sz val="16"/>
            <rFont val="宋体"/>
            <charset val="134"/>
          </rPr>
          <t xml:space="preserve">
6/28上 A款 UPC贴纸 96 pcs
7/12上 B款 客供亚马逊外箱贴纸 4 pcs</t>
        </r>
      </text>
    </comment>
    <comment ref="AB345" authorId="0">
      <text>
        <r>
          <rPr>
            <b/>
            <sz val="14"/>
            <rFont val="宋体"/>
            <charset val="134"/>
          </rPr>
          <t>Administrator:</t>
        </r>
        <r>
          <rPr>
            <sz val="14"/>
            <rFont val="宋体"/>
            <charset val="134"/>
          </rPr>
          <t xml:space="preserve">
3002513 7/23 24 pcs</t>
        </r>
      </text>
    </comment>
    <comment ref="AD345" authorId="0">
      <text>
        <r>
          <rPr>
            <b/>
            <sz val="16"/>
            <rFont val="宋体"/>
            <charset val="134"/>
          </rPr>
          <t>Administrator:</t>
        </r>
        <r>
          <rPr>
            <sz val="16"/>
            <rFont val="宋体"/>
            <charset val="134"/>
          </rPr>
          <t xml:space="preserve">
6/28上 A款 UPC贴纸 24 pcs
7/12上 B款 客供亚马逊外箱贴纸 1 pcs</t>
        </r>
      </text>
    </comment>
    <comment ref="AB346" authorId="0">
      <text>
        <r>
          <rPr>
            <b/>
            <sz val="14"/>
            <rFont val="宋体"/>
            <charset val="134"/>
          </rPr>
          <t>Administrator:</t>
        </r>
        <r>
          <rPr>
            <sz val="14"/>
            <rFont val="宋体"/>
            <charset val="134"/>
          </rPr>
          <t xml:space="preserve">
3002513 7/23 24 pcs</t>
        </r>
      </text>
    </comment>
    <comment ref="AD346" authorId="0">
      <text>
        <r>
          <rPr>
            <b/>
            <sz val="16"/>
            <rFont val="宋体"/>
            <charset val="134"/>
          </rPr>
          <t>Administrator:</t>
        </r>
        <r>
          <rPr>
            <sz val="16"/>
            <rFont val="宋体"/>
            <charset val="134"/>
          </rPr>
          <t xml:space="preserve">
6/28上 A款 UPC贴纸 24 pcs
7/12上 B款 客供亚马逊外箱贴纸 1 pcs</t>
        </r>
      </text>
    </comment>
    <comment ref="AB347" authorId="0">
      <text>
        <r>
          <rPr>
            <b/>
            <sz val="14"/>
            <rFont val="宋体"/>
            <charset val="134"/>
          </rPr>
          <t>Administrator:</t>
        </r>
        <r>
          <rPr>
            <sz val="14"/>
            <rFont val="宋体"/>
            <charset val="134"/>
          </rPr>
          <t xml:space="preserve">
3002513 7/23 48 pcs</t>
        </r>
      </text>
    </comment>
    <comment ref="AD347" authorId="0">
      <text>
        <r>
          <rPr>
            <b/>
            <sz val="16"/>
            <rFont val="宋体"/>
            <charset val="134"/>
          </rPr>
          <t>Administrator:</t>
        </r>
        <r>
          <rPr>
            <sz val="16"/>
            <rFont val="宋体"/>
            <charset val="134"/>
          </rPr>
          <t xml:space="preserve">
6/28上 A款 UPC贴纸 48 pcs
7/12上 B款 客供亚马逊外箱贴纸 2 pcs</t>
        </r>
      </text>
    </comment>
    <comment ref="AB348" authorId="0">
      <text>
        <r>
          <rPr>
            <b/>
            <sz val="14"/>
            <rFont val="宋体"/>
            <charset val="134"/>
          </rPr>
          <t>Administrator:</t>
        </r>
        <r>
          <rPr>
            <sz val="14"/>
            <rFont val="宋体"/>
            <charset val="134"/>
          </rPr>
          <t xml:space="preserve">
3002533 7/23 72 pcs</t>
        </r>
      </text>
    </comment>
    <comment ref="AD348" authorId="0">
      <text>
        <r>
          <rPr>
            <b/>
            <sz val="16"/>
            <rFont val="宋体"/>
            <charset val="134"/>
          </rPr>
          <t>Administrator:</t>
        </r>
        <r>
          <rPr>
            <sz val="16"/>
            <rFont val="宋体"/>
            <charset val="134"/>
          </rPr>
          <t xml:space="preserve">
7/3上 E款 UPC贴纸 72 pcs
7/12上 E款 客供亚马逊外箱贴纸 3 pcs</t>
        </r>
      </text>
    </comment>
    <comment ref="AB349" authorId="0">
      <text>
        <r>
          <rPr>
            <b/>
            <sz val="14"/>
            <rFont val="宋体"/>
            <charset val="134"/>
          </rPr>
          <t>Administrator:</t>
        </r>
        <r>
          <rPr>
            <sz val="14"/>
            <rFont val="宋体"/>
            <charset val="134"/>
          </rPr>
          <t xml:space="preserve">
3002533 7/23 24 pcs</t>
        </r>
      </text>
    </comment>
    <comment ref="AD349" authorId="0">
      <text>
        <r>
          <rPr>
            <b/>
            <sz val="16"/>
            <rFont val="宋体"/>
            <charset val="134"/>
          </rPr>
          <t>Administrator:</t>
        </r>
        <r>
          <rPr>
            <sz val="16"/>
            <rFont val="宋体"/>
            <charset val="134"/>
          </rPr>
          <t xml:space="preserve">
7/3上 E款 UPC贴纸 24 pcs
7/12上 E款 客供亚马逊外箱贴纸 1 pcs</t>
        </r>
      </text>
    </comment>
    <comment ref="AB350" authorId="0">
      <text>
        <r>
          <rPr>
            <b/>
            <sz val="14"/>
            <rFont val="宋体"/>
            <charset val="134"/>
          </rPr>
          <t>Administrator:</t>
        </r>
        <r>
          <rPr>
            <sz val="14"/>
            <rFont val="宋体"/>
            <charset val="134"/>
          </rPr>
          <t xml:space="preserve">
3002514 7/23 990 pcs 莫B四楼A6
</t>
        </r>
      </text>
    </comment>
    <comment ref="AD350" authorId="0">
      <text>
        <r>
          <rPr>
            <b/>
            <sz val="16"/>
            <rFont val="宋体"/>
            <charset val="134"/>
          </rPr>
          <t>Administrator:</t>
        </r>
        <r>
          <rPr>
            <sz val="16"/>
            <rFont val="宋体"/>
            <charset val="134"/>
          </rPr>
          <t xml:space="preserve">
7/8上 进口商贴纸 990 pcs</t>
        </r>
      </text>
    </comment>
    <comment ref="AB351" authorId="0">
      <text>
        <r>
          <rPr>
            <b/>
            <sz val="14"/>
            <rFont val="宋体"/>
            <charset val="134"/>
          </rPr>
          <t>Administrator:</t>
        </r>
        <r>
          <rPr>
            <sz val="14"/>
            <rFont val="宋体"/>
            <charset val="134"/>
          </rPr>
          <t xml:space="preserve">
3002514 7/23 550 pcs 莫B四楼A6
</t>
        </r>
      </text>
    </comment>
    <comment ref="AD351" authorId="0">
      <text>
        <r>
          <rPr>
            <b/>
            <sz val="16"/>
            <rFont val="宋体"/>
            <charset val="134"/>
          </rPr>
          <t>Administrator:</t>
        </r>
        <r>
          <rPr>
            <sz val="16"/>
            <rFont val="宋体"/>
            <charset val="134"/>
          </rPr>
          <t xml:space="preserve">
6/30上 EAN条码贴纸 550 pcs
 欧洲通用B版30LWEEEE不带电池走货说明书 550 pcs
7/9上 地址产品贴纸 500 pcs 贴纸尺寸订大，需重新补订
7/11上 地址贴纸 500 pcs
</t>
        </r>
      </text>
    </comment>
    <comment ref="AB352" authorId="0">
      <text>
        <r>
          <rPr>
            <b/>
            <sz val="14"/>
            <rFont val="宋体"/>
            <charset val="134"/>
          </rPr>
          <t>Administrator:</t>
        </r>
        <r>
          <rPr>
            <sz val="14"/>
            <rFont val="宋体"/>
            <charset val="134"/>
          </rPr>
          <t xml:space="preserve">
3002514 7/23 506 pcs 莫B四楼A6
</t>
        </r>
      </text>
    </comment>
    <comment ref="AD352" authorId="0">
      <text>
        <r>
          <rPr>
            <b/>
            <sz val="16"/>
            <rFont val="宋体"/>
            <charset val="134"/>
          </rPr>
          <t>Administrator:</t>
        </r>
        <r>
          <rPr>
            <sz val="16"/>
            <rFont val="宋体"/>
            <charset val="134"/>
          </rPr>
          <t xml:space="preserve">
6/28上 WEEE不带电池走货欧洲30语通用黑白说明书 506 pcs</t>
        </r>
      </text>
    </comment>
    <comment ref="AB353" authorId="0">
      <text>
        <r>
          <rPr>
            <b/>
            <sz val="16"/>
            <rFont val="宋体"/>
            <charset val="134"/>
          </rPr>
          <t>Administrator:</t>
        </r>
        <r>
          <rPr>
            <sz val="16"/>
            <rFont val="宋体"/>
            <charset val="134"/>
          </rPr>
          <t xml:space="preserve">
3002476 7/26 682 pcs 华兴三楼B14</t>
        </r>
      </text>
    </comment>
    <comment ref="AD353" authorId="0">
      <text>
        <r>
          <rPr>
            <b/>
            <sz val="16"/>
            <rFont val="宋体"/>
            <charset val="134"/>
          </rPr>
          <t>Administrator:</t>
        </r>
        <r>
          <rPr>
            <sz val="16"/>
            <rFont val="宋体"/>
            <charset val="134"/>
          </rPr>
          <t xml:space="preserve">
7/7上 进口商贴纸（含客人条码）682 pcs
 外箱贴纸 62 pcs
 PDQ进口商贴纸（含条码） 341 pcs
7/19补上 进口商贴纸  450 pcs</t>
        </r>
      </text>
    </comment>
    <comment ref="AB354" authorId="0">
      <text>
        <r>
          <rPr>
            <b/>
            <sz val="16"/>
            <rFont val="宋体"/>
            <charset val="134"/>
          </rPr>
          <t>Administrator:</t>
        </r>
        <r>
          <rPr>
            <sz val="16"/>
            <rFont val="宋体"/>
            <charset val="134"/>
          </rPr>
          <t xml:space="preserve">
3002093 7/26 48 pcs 华兴三楼B13</t>
        </r>
      </text>
    </comment>
    <comment ref="AD354" authorId="0">
      <text>
        <r>
          <rPr>
            <b/>
            <sz val="16"/>
            <rFont val="宋体"/>
            <charset val="134"/>
          </rPr>
          <t>Administrator:</t>
        </r>
        <r>
          <rPr>
            <sz val="16"/>
            <rFont val="宋体"/>
            <charset val="134"/>
          </rPr>
          <t xml:space="preserve">
7/3上 A款 UPC贴纸 48 pcs
7/12上 E款 客供亚马逊外箱贴纸 2 pcs</t>
        </r>
      </text>
    </comment>
    <comment ref="AB355" authorId="0">
      <text>
        <r>
          <rPr>
            <b/>
            <sz val="16"/>
            <rFont val="宋体"/>
            <charset val="134"/>
          </rPr>
          <t>Administrator:</t>
        </r>
        <r>
          <rPr>
            <sz val="16"/>
            <rFont val="宋体"/>
            <charset val="134"/>
          </rPr>
          <t xml:space="preserve">
3002093 7/26 1356 pcs 华兴三楼A16
</t>
        </r>
      </text>
    </comment>
    <comment ref="AD355" authorId="0">
      <text>
        <r>
          <rPr>
            <b/>
            <sz val="16"/>
            <rFont val="宋体"/>
            <charset val="134"/>
          </rPr>
          <t>Administrator:</t>
        </r>
        <r>
          <rPr>
            <sz val="16"/>
            <rFont val="宋体"/>
            <charset val="134"/>
          </rPr>
          <t xml:space="preserve">
6/18上 白色防盗贴纸 1356 pcs
7/9上 KM外箱贴纸 226 pcs</t>
        </r>
      </text>
    </comment>
    <comment ref="AB356" authorId="0">
      <text>
        <r>
          <rPr>
            <b/>
            <sz val="16"/>
            <rFont val="宋体"/>
            <charset val="134"/>
          </rPr>
          <t>Administrator:</t>
        </r>
        <r>
          <rPr>
            <sz val="16"/>
            <rFont val="宋体"/>
            <charset val="134"/>
          </rPr>
          <t xml:space="preserve">
3002093 7/26 144 pcs 华兴三楼B12
</t>
        </r>
      </text>
    </comment>
    <comment ref="AD356" authorId="0">
      <text>
        <r>
          <rPr>
            <b/>
            <sz val="16"/>
            <rFont val="宋体"/>
            <charset val="134"/>
          </rPr>
          <t>Administrator:</t>
        </r>
        <r>
          <rPr>
            <sz val="16"/>
            <rFont val="宋体"/>
            <charset val="134"/>
          </rPr>
          <t xml:space="preserve">
6/18上 白色防盗贴纸 144 pcs
7/9上 KM外箱贴纸 24 pcs
</t>
        </r>
      </text>
    </comment>
    <comment ref="AB357" authorId="0">
      <text>
        <r>
          <rPr>
            <b/>
            <sz val="16"/>
            <rFont val="宋体"/>
            <charset val="134"/>
          </rPr>
          <t>Administrator:</t>
        </r>
        <r>
          <rPr>
            <sz val="16"/>
            <rFont val="宋体"/>
            <charset val="134"/>
          </rPr>
          <t xml:space="preserve">
3002093 7/26 935 pcs 华兴三楼A19
3002085 7/29 11 pcs</t>
        </r>
      </text>
    </comment>
    <comment ref="AD357" authorId="0">
      <text>
        <r>
          <rPr>
            <b/>
            <sz val="16"/>
            <rFont val="宋体"/>
            <charset val="134"/>
          </rPr>
          <t>Administrator:</t>
        </r>
        <r>
          <rPr>
            <sz val="16"/>
            <rFont val="宋体"/>
            <charset val="134"/>
          </rPr>
          <t xml:space="preserve">
7/11上 EAN/瑞典语警告语/进口商贴纸 946 pcs</t>
        </r>
      </text>
    </comment>
    <comment ref="AB358" authorId="0">
      <text>
        <r>
          <rPr>
            <b/>
            <sz val="14"/>
            <rFont val="宋体"/>
            <charset val="134"/>
          </rPr>
          <t>Administrator:</t>
        </r>
        <r>
          <rPr>
            <sz val="14"/>
            <rFont val="宋体"/>
            <charset val="134"/>
          </rPr>
          <t xml:space="preserve">
3002103 7/28 528 pcs</t>
        </r>
      </text>
    </comment>
    <comment ref="AD358" authorId="0">
      <text>
        <r>
          <rPr>
            <b/>
            <sz val="16"/>
            <rFont val="宋体"/>
            <charset val="134"/>
          </rPr>
          <t>Administrator:</t>
        </r>
        <r>
          <rPr>
            <sz val="16"/>
            <rFont val="宋体"/>
            <charset val="134"/>
          </rPr>
          <t xml:space="preserve">
7/5 上 进口商贴纸 528 pcs</t>
        </r>
      </text>
    </comment>
    <comment ref="AB359" authorId="0">
      <text>
        <r>
          <rPr>
            <b/>
            <sz val="14"/>
            <rFont val="宋体"/>
            <charset val="134"/>
          </rPr>
          <t>Administrator:</t>
        </r>
        <r>
          <rPr>
            <sz val="14"/>
            <rFont val="宋体"/>
            <charset val="134"/>
          </rPr>
          <t xml:space="preserve">
3002103 7/28 418 pcs</t>
        </r>
      </text>
    </comment>
    <comment ref="AD359" authorId="0">
      <text>
        <r>
          <rPr>
            <b/>
            <sz val="16"/>
            <rFont val="宋体"/>
            <charset val="134"/>
          </rPr>
          <t>Administrator:</t>
        </r>
        <r>
          <rPr>
            <sz val="16"/>
            <rFont val="宋体"/>
            <charset val="134"/>
          </rPr>
          <t xml:space="preserve">
7/5 上 进口商贴纸 418 pcs</t>
        </r>
      </text>
    </comment>
    <comment ref="AB360" authorId="0">
      <text>
        <r>
          <rPr>
            <b/>
            <sz val="14"/>
            <rFont val="宋体"/>
            <charset val="134"/>
          </rPr>
          <t>Administrator:</t>
        </r>
        <r>
          <rPr>
            <sz val="14"/>
            <rFont val="宋体"/>
            <charset val="134"/>
          </rPr>
          <t xml:space="preserve">
3002103 7/28 418 pcs</t>
        </r>
      </text>
    </comment>
    <comment ref="AD360" authorId="0">
      <text>
        <r>
          <rPr>
            <b/>
            <sz val="16"/>
            <rFont val="宋体"/>
            <charset val="134"/>
          </rPr>
          <t>Administrator:</t>
        </r>
        <r>
          <rPr>
            <sz val="16"/>
            <rFont val="宋体"/>
            <charset val="134"/>
          </rPr>
          <t xml:space="preserve">
7/5 上 进口商贴纸 418 pcs</t>
        </r>
      </text>
    </comment>
    <comment ref="AB361" authorId="0">
      <text>
        <r>
          <rPr>
            <b/>
            <sz val="14"/>
            <rFont val="宋体"/>
            <charset val="134"/>
          </rPr>
          <t>Administrator:</t>
        </r>
        <r>
          <rPr>
            <sz val="14"/>
            <rFont val="宋体"/>
            <charset val="134"/>
          </rPr>
          <t xml:space="preserve">
3002103 7/28 154 pcs</t>
        </r>
      </text>
    </comment>
    <comment ref="AD361" authorId="0">
      <text>
        <r>
          <rPr>
            <b/>
            <sz val="16"/>
            <rFont val="宋体"/>
            <charset val="134"/>
          </rPr>
          <t>Administrator:</t>
        </r>
        <r>
          <rPr>
            <sz val="16"/>
            <rFont val="宋体"/>
            <charset val="134"/>
          </rPr>
          <t xml:space="preserve">
7/5 上 进口商贴纸 154 pcs</t>
        </r>
      </text>
    </comment>
    <comment ref="AB362" authorId="0">
      <text>
        <r>
          <rPr>
            <b/>
            <sz val="16"/>
            <rFont val="宋体"/>
            <charset val="134"/>
          </rPr>
          <t>Administrator:</t>
        </r>
        <r>
          <rPr>
            <sz val="16"/>
            <rFont val="宋体"/>
            <charset val="134"/>
          </rPr>
          <t xml:space="preserve">
3002047 7/30 1012 pcs</t>
        </r>
      </text>
    </comment>
    <comment ref="AD362" authorId="0">
      <text>
        <r>
          <rPr>
            <b/>
            <sz val="16"/>
            <rFont val="宋体"/>
            <charset val="134"/>
          </rPr>
          <t>Administrator:</t>
        </r>
        <r>
          <rPr>
            <sz val="16"/>
            <rFont val="宋体"/>
            <charset val="134"/>
          </rPr>
          <t xml:space="preserve">
7/8上 德语callout翻译贴纸  1012 pcs
WEEE_不带电池走货 _ 说明书欧洲EN+30LB 1012 pcs</t>
        </r>
      </text>
    </comment>
    <comment ref="AB363" authorId="0">
      <text>
        <r>
          <rPr>
            <b/>
            <sz val="16"/>
            <rFont val="宋体"/>
            <charset val="134"/>
          </rPr>
          <t>Administrator:</t>
        </r>
        <r>
          <rPr>
            <sz val="16"/>
            <rFont val="宋体"/>
            <charset val="134"/>
          </rPr>
          <t xml:space="preserve">
3002047 7/30 2256 pcs</t>
        </r>
      </text>
    </comment>
    <comment ref="AD363" authorId="0">
      <text>
        <r>
          <rPr>
            <b/>
            <sz val="14"/>
            <rFont val="宋体"/>
            <charset val="134"/>
          </rPr>
          <t>Administrator:</t>
        </r>
        <r>
          <rPr>
            <sz val="14"/>
            <rFont val="宋体"/>
            <charset val="134"/>
          </rPr>
          <t xml:space="preserve">
6/11上 进口商贴纸(含EAN条码贴纸） 1680 pcs</t>
        </r>
        <r>
          <rPr>
            <sz val="9"/>
            <rFont val="宋体"/>
            <charset val="134"/>
          </rPr>
          <t xml:space="preserve">
 </t>
        </r>
      </text>
    </comment>
    <comment ref="AB364" authorId="0">
      <text>
        <r>
          <rPr>
            <b/>
            <sz val="16"/>
            <rFont val="宋体"/>
            <charset val="134"/>
          </rPr>
          <t>Administrator:</t>
        </r>
        <r>
          <rPr>
            <sz val="16"/>
            <rFont val="宋体"/>
            <charset val="134"/>
          </rPr>
          <t xml:space="preserve">
3002047 7/30 864 pcs</t>
        </r>
      </text>
    </comment>
    <comment ref="AD364" authorId="0">
      <text>
        <r>
          <rPr>
            <b/>
            <sz val="14"/>
            <rFont val="宋体"/>
            <charset val="134"/>
          </rPr>
          <t>Administrator:</t>
        </r>
        <r>
          <rPr>
            <sz val="14"/>
            <rFont val="宋体"/>
            <charset val="134"/>
          </rPr>
          <t xml:space="preserve">
6/11上 进口商贴纸(含EAN条码贴纸） 684 pcs</t>
        </r>
        <r>
          <rPr>
            <sz val="9"/>
            <rFont val="宋体"/>
            <charset val="134"/>
          </rPr>
          <t xml:space="preserve">
 </t>
        </r>
      </text>
    </comment>
    <comment ref="AB365" authorId="0">
      <text>
        <r>
          <rPr>
            <b/>
            <sz val="16"/>
            <rFont val="宋体"/>
            <charset val="134"/>
          </rPr>
          <t>Administrator:</t>
        </r>
        <r>
          <rPr>
            <sz val="16"/>
            <rFont val="宋体"/>
            <charset val="134"/>
          </rPr>
          <t xml:space="preserve">
3002138 8/2 1512 pcs 华兴三楼B12</t>
        </r>
      </text>
    </comment>
    <comment ref="AD365" authorId="0">
      <text>
        <r>
          <rPr>
            <b/>
            <sz val="16"/>
            <rFont val="宋体"/>
            <charset val="134"/>
          </rPr>
          <t>Administrator:</t>
        </r>
        <r>
          <rPr>
            <sz val="16"/>
            <rFont val="宋体"/>
            <charset val="134"/>
          </rPr>
          <t xml:space="preserve">
7/11上 WEEE不带电池走货说明书北欧B版 1512 pcs
客人白色Cat.label 1512 pcs</t>
        </r>
      </text>
    </comment>
    <comment ref="AB366" authorId="0">
      <text>
        <r>
          <rPr>
            <b/>
            <sz val="16"/>
            <rFont val="宋体"/>
            <charset val="134"/>
          </rPr>
          <t>Administrator:</t>
        </r>
        <r>
          <rPr>
            <sz val="16"/>
            <rFont val="宋体"/>
            <charset val="134"/>
          </rPr>
          <t xml:space="preserve">
3002138 8/2 1001 pcs 华兴三楼B11</t>
        </r>
      </text>
    </comment>
    <comment ref="AD366" authorId="0">
      <text>
        <r>
          <rPr>
            <b/>
            <sz val="16"/>
            <rFont val="宋体"/>
            <charset val="134"/>
          </rPr>
          <t>Administrator:</t>
        </r>
        <r>
          <rPr>
            <sz val="16"/>
            <rFont val="宋体"/>
            <charset val="134"/>
          </rPr>
          <t xml:space="preserve">
7/16上 EAN条码贴纸 1001 pcs</t>
        </r>
      </text>
    </comment>
    <comment ref="AB367" authorId="0">
      <text>
        <r>
          <rPr>
            <b/>
            <sz val="16"/>
            <rFont val="宋体"/>
            <charset val="134"/>
          </rPr>
          <t>Administrator:</t>
        </r>
        <r>
          <rPr>
            <sz val="16"/>
            <rFont val="宋体"/>
            <charset val="134"/>
          </rPr>
          <t xml:space="preserve">
3002328 8/6 2288 pcs 华兴三楼A28</t>
        </r>
      </text>
    </comment>
    <comment ref="AD367" authorId="0">
      <text>
        <r>
          <rPr>
            <b/>
            <sz val="16"/>
            <rFont val="宋体"/>
            <charset val="134"/>
          </rPr>
          <t>Administrator:</t>
        </r>
        <r>
          <rPr>
            <sz val="16"/>
            <rFont val="宋体"/>
            <charset val="134"/>
          </rPr>
          <t xml:space="preserve">
7/23上 进口商贴纸 2288 pcs
 UPC贴纸 2288 pcs</t>
        </r>
      </text>
    </comment>
    <comment ref="AB368" authorId="0">
      <text>
        <r>
          <rPr>
            <b/>
            <sz val="16"/>
            <rFont val="宋体"/>
            <charset val="134"/>
          </rPr>
          <t>Administrator:</t>
        </r>
        <r>
          <rPr>
            <sz val="16"/>
            <rFont val="宋体"/>
            <charset val="134"/>
          </rPr>
          <t xml:space="preserve">
4000271 8/9 5016 pcs 莫B四楼B9</t>
        </r>
      </text>
    </comment>
    <comment ref="AD368" authorId="0">
      <text>
        <r>
          <rPr>
            <b/>
            <sz val="16"/>
            <rFont val="宋体"/>
            <charset val="134"/>
          </rPr>
          <t>Administrator:</t>
        </r>
        <r>
          <rPr>
            <sz val="16"/>
            <rFont val="宋体"/>
            <charset val="134"/>
          </rPr>
          <t xml:space="preserve">
7/8上 德语callout翻译贴纸  5016 pcs
WEEE_不带电池走货 _ 说明书欧洲EN+30LB 5016 pcs
8/7上 德语翻译贴纸 6028 pcs,注明一下，是补贴纸 上次上的是错的，3*5电池，正确的是2*5电池</t>
        </r>
      </text>
    </comment>
    <comment ref="AB369" authorId="0">
      <text>
        <r>
          <rPr>
            <b/>
            <sz val="16"/>
            <rFont val="宋体"/>
            <charset val="134"/>
          </rPr>
          <t>Administrator:</t>
        </r>
        <r>
          <rPr>
            <sz val="16"/>
            <rFont val="宋体"/>
            <charset val="134"/>
          </rPr>
          <t xml:space="preserve">
3002311 8/8 506 pcs 华兴三楼B8</t>
        </r>
      </text>
    </comment>
    <comment ref="AB370" authorId="0">
      <text>
        <r>
          <rPr>
            <b/>
            <sz val="16"/>
            <rFont val="宋体"/>
            <charset val="134"/>
          </rPr>
          <t>Administrator:</t>
        </r>
        <r>
          <rPr>
            <sz val="16"/>
            <rFont val="宋体"/>
            <charset val="134"/>
          </rPr>
          <t xml:space="preserve">
3002328 8/6 1512 pcs 华兴三楼B14</t>
        </r>
      </text>
    </comment>
    <comment ref="AD370" authorId="0">
      <text>
        <r>
          <rPr>
            <b/>
            <sz val="14"/>
            <rFont val="宋体"/>
            <charset val="134"/>
          </rPr>
          <t>Administrator:</t>
        </r>
        <r>
          <rPr>
            <sz val="14"/>
            <rFont val="宋体"/>
            <charset val="134"/>
          </rPr>
          <t xml:space="preserve">
6/11上 进口商贴纸(含EAN条码贴纸） 1512 pcs</t>
        </r>
        <r>
          <rPr>
            <sz val="9"/>
            <rFont val="宋体"/>
            <charset val="134"/>
          </rPr>
          <t xml:space="preserve">
 </t>
        </r>
      </text>
    </comment>
    <comment ref="AB371" authorId="0">
      <text>
        <r>
          <rPr>
            <b/>
            <sz val="16"/>
            <rFont val="宋体"/>
            <charset val="134"/>
          </rPr>
          <t>Administrator:</t>
        </r>
        <r>
          <rPr>
            <sz val="16"/>
            <rFont val="宋体"/>
            <charset val="134"/>
          </rPr>
          <t xml:space="preserve">
3002328 8/6 576 pcs 华兴三楼A27</t>
        </r>
      </text>
    </comment>
    <comment ref="AD371" authorId="0">
      <text>
        <r>
          <rPr>
            <b/>
            <sz val="14"/>
            <rFont val="宋体"/>
            <charset val="134"/>
          </rPr>
          <t>Administrator:</t>
        </r>
        <r>
          <rPr>
            <sz val="14"/>
            <rFont val="宋体"/>
            <charset val="134"/>
          </rPr>
          <t xml:space="preserve">
6/11上 进口商贴纸(含EAN条码贴纸） 576 pcs</t>
        </r>
        <r>
          <rPr>
            <sz val="9"/>
            <rFont val="宋体"/>
            <charset val="134"/>
          </rPr>
          <t xml:space="preserve">
 </t>
        </r>
      </text>
    </comment>
    <comment ref="AB372" authorId="0">
      <text>
        <r>
          <rPr>
            <b/>
            <sz val="16"/>
            <rFont val="宋体"/>
            <charset val="134"/>
          </rPr>
          <t>Administrator:</t>
        </r>
        <r>
          <rPr>
            <sz val="16"/>
            <rFont val="宋体"/>
            <charset val="134"/>
          </rPr>
          <t xml:space="preserve">
3002327 8/6 24 pcs 华兴三楼A27</t>
        </r>
      </text>
    </comment>
    <comment ref="AD372" authorId="0">
      <text>
        <r>
          <rPr>
            <b/>
            <sz val="16"/>
            <rFont val="宋体"/>
            <charset val="134"/>
          </rPr>
          <t>Administrator:</t>
        </r>
        <r>
          <rPr>
            <sz val="16"/>
            <rFont val="宋体"/>
            <charset val="134"/>
          </rPr>
          <t xml:space="preserve">
7/16上 E款 UPC贴纸 24 pcs
7/23上 客供外箱贴纸 1 pcs
</t>
        </r>
      </text>
    </comment>
    <comment ref="AB373" authorId="0">
      <text>
        <r>
          <rPr>
            <b/>
            <sz val="16"/>
            <rFont val="宋体"/>
            <charset val="134"/>
          </rPr>
          <t>Administrator:</t>
        </r>
        <r>
          <rPr>
            <sz val="16"/>
            <rFont val="宋体"/>
            <charset val="134"/>
          </rPr>
          <t xml:space="preserve">
3002327 8/6 48 pcs 华兴三楼A27
</t>
        </r>
      </text>
    </comment>
    <comment ref="AD373" authorId="0">
      <text>
        <r>
          <rPr>
            <b/>
            <sz val="16"/>
            <rFont val="宋体"/>
            <charset val="134"/>
          </rPr>
          <t>Administrator:</t>
        </r>
        <r>
          <rPr>
            <sz val="16"/>
            <rFont val="宋体"/>
            <charset val="134"/>
          </rPr>
          <t xml:space="preserve">
7/16上 E款 UPC贴纸 48 pcs
7/23上 客供外箱贴纸 2 pcs
</t>
        </r>
      </text>
    </comment>
    <comment ref="AB374" authorId="0">
      <text>
        <r>
          <rPr>
            <b/>
            <sz val="16"/>
            <rFont val="宋体"/>
            <charset val="134"/>
          </rPr>
          <t>Administrator:</t>
        </r>
        <r>
          <rPr>
            <sz val="16"/>
            <rFont val="宋体"/>
            <charset val="134"/>
          </rPr>
          <t xml:space="preserve">
3002327 8/6 24 pcs 华兴三楼A27
</t>
        </r>
      </text>
    </comment>
    <comment ref="AD374" authorId="0">
      <text>
        <r>
          <rPr>
            <b/>
            <sz val="16"/>
            <rFont val="宋体"/>
            <charset val="134"/>
          </rPr>
          <t>Administrator:</t>
        </r>
        <r>
          <rPr>
            <sz val="16"/>
            <rFont val="宋体"/>
            <charset val="134"/>
          </rPr>
          <t xml:space="preserve">
7/16上 E款 UPC贴纸 24 pcs
7/23上 客供外箱贴纸 1 pcs
</t>
        </r>
      </text>
    </comment>
    <comment ref="AB375" authorId="0">
      <text>
        <r>
          <rPr>
            <b/>
            <sz val="16"/>
            <rFont val="宋体"/>
            <charset val="134"/>
          </rPr>
          <t>Administrator:</t>
        </r>
        <r>
          <rPr>
            <sz val="16"/>
            <rFont val="宋体"/>
            <charset val="134"/>
          </rPr>
          <t xml:space="preserve">
3002327 8/6 24 pcs 华兴三楼A27
</t>
        </r>
      </text>
    </comment>
    <comment ref="AD375" authorId="0">
      <text>
        <r>
          <rPr>
            <b/>
            <sz val="16"/>
            <rFont val="宋体"/>
            <charset val="134"/>
          </rPr>
          <t>Administrator:</t>
        </r>
        <r>
          <rPr>
            <sz val="16"/>
            <rFont val="宋体"/>
            <charset val="134"/>
          </rPr>
          <t xml:space="preserve">
7/16上 A款 UPC贴纸 24 pcs
7/23上 客供外箱贴纸 1 pcs</t>
        </r>
      </text>
    </comment>
    <comment ref="AB376" authorId="0">
      <text>
        <r>
          <rPr>
            <b/>
            <sz val="16"/>
            <rFont val="宋体"/>
            <charset val="134"/>
          </rPr>
          <t>Administrator:</t>
        </r>
        <r>
          <rPr>
            <sz val="16"/>
            <rFont val="宋体"/>
            <charset val="134"/>
          </rPr>
          <t xml:space="preserve">
3002327 8/6 24 pcs 华兴三楼A27
</t>
        </r>
      </text>
    </comment>
    <comment ref="AD376" authorId="0">
      <text>
        <r>
          <rPr>
            <b/>
            <sz val="16"/>
            <rFont val="宋体"/>
            <charset val="134"/>
          </rPr>
          <t>Administrator:</t>
        </r>
        <r>
          <rPr>
            <sz val="16"/>
            <rFont val="宋体"/>
            <charset val="134"/>
          </rPr>
          <t xml:space="preserve">
7/16上 A款 UPC贴纸 24 pcs
7/23上 客供外箱贴纸 1 pcs
</t>
        </r>
      </text>
    </comment>
    <comment ref="AB377" authorId="0">
      <text>
        <r>
          <rPr>
            <b/>
            <sz val="16"/>
            <rFont val="宋体"/>
            <charset val="134"/>
          </rPr>
          <t>Administrator:</t>
        </r>
        <r>
          <rPr>
            <sz val="16"/>
            <rFont val="宋体"/>
            <charset val="134"/>
          </rPr>
          <t xml:space="preserve">
3002327 8/6 24 pcs 华兴三楼A27
</t>
        </r>
      </text>
    </comment>
    <comment ref="AD377" authorId="0">
      <text>
        <r>
          <rPr>
            <b/>
            <sz val="16"/>
            <rFont val="宋体"/>
            <charset val="134"/>
          </rPr>
          <t>Administrator:</t>
        </r>
        <r>
          <rPr>
            <sz val="16"/>
            <rFont val="宋体"/>
            <charset val="134"/>
          </rPr>
          <t xml:space="preserve">
7/16上 A款 UPC贴纸 24 pcs
7/23上 客供外箱贴纸 1 pcs
</t>
        </r>
      </text>
    </comment>
    <comment ref="AB378" authorId="0">
      <text>
        <r>
          <rPr>
            <b/>
            <sz val="16"/>
            <rFont val="宋体"/>
            <charset val="134"/>
          </rPr>
          <t>Administrator:</t>
        </r>
        <r>
          <rPr>
            <sz val="16"/>
            <rFont val="宋体"/>
            <charset val="134"/>
          </rPr>
          <t xml:space="preserve">
3002327 8/6 48 pcs 华兴三楼A27
</t>
        </r>
      </text>
    </comment>
    <comment ref="AD378" authorId="0">
      <text>
        <r>
          <rPr>
            <b/>
            <sz val="16"/>
            <rFont val="宋体"/>
            <charset val="134"/>
          </rPr>
          <t>Administrator:</t>
        </r>
        <r>
          <rPr>
            <sz val="16"/>
            <rFont val="宋体"/>
            <charset val="134"/>
          </rPr>
          <t xml:space="preserve">
7/16上 A款 UPC贴纸 48 pcs
7/23上 客供外箱贴纸 2 pcs
</t>
        </r>
      </text>
    </comment>
    <comment ref="AB379" authorId="0">
      <text>
        <r>
          <rPr>
            <b/>
            <sz val="16"/>
            <rFont val="宋体"/>
            <charset val="134"/>
          </rPr>
          <t>Administrator:</t>
        </r>
        <r>
          <rPr>
            <sz val="16"/>
            <rFont val="宋体"/>
            <charset val="134"/>
          </rPr>
          <t xml:space="preserve">
3002327 8/6 24 pcs 华兴三楼A27
</t>
        </r>
      </text>
    </comment>
    <comment ref="AD379" authorId="0">
      <text>
        <r>
          <rPr>
            <b/>
            <sz val="16"/>
            <rFont val="宋体"/>
            <charset val="134"/>
          </rPr>
          <t>Administrator:</t>
        </r>
        <r>
          <rPr>
            <sz val="16"/>
            <rFont val="宋体"/>
            <charset val="134"/>
          </rPr>
          <t xml:space="preserve">
7/16上 A款 UPC贴纸 24 pcs
7/23上 客供外箱贴纸 1 pcs
</t>
        </r>
      </text>
    </comment>
    <comment ref="AB380" authorId="0">
      <text>
        <r>
          <rPr>
            <b/>
            <sz val="16"/>
            <rFont val="宋体"/>
            <charset val="134"/>
          </rPr>
          <t>Administrator:</t>
        </r>
        <r>
          <rPr>
            <sz val="16"/>
            <rFont val="宋体"/>
            <charset val="134"/>
          </rPr>
          <t xml:space="preserve">
3002327 8/6 48 pcs 华兴三楼A27
</t>
        </r>
      </text>
    </comment>
    <comment ref="AD380" authorId="0">
      <text>
        <r>
          <rPr>
            <b/>
            <sz val="16"/>
            <rFont val="宋体"/>
            <charset val="134"/>
          </rPr>
          <t>Administrator:</t>
        </r>
        <r>
          <rPr>
            <sz val="16"/>
            <rFont val="宋体"/>
            <charset val="134"/>
          </rPr>
          <t xml:space="preserve">
7/16上 D款 UPC贴纸48 pcs
7/23上 客供外箱贴纸 2 pcs
</t>
        </r>
      </text>
    </comment>
    <comment ref="AB381" authorId="0">
      <text>
        <r>
          <rPr>
            <b/>
            <sz val="16"/>
            <rFont val="宋体"/>
            <charset val="134"/>
          </rPr>
          <t>Administrator:</t>
        </r>
        <r>
          <rPr>
            <sz val="16"/>
            <rFont val="宋体"/>
            <charset val="134"/>
          </rPr>
          <t xml:space="preserve">
3002327 8/6 48 pcs 华兴三楼A27
</t>
        </r>
      </text>
    </comment>
    <comment ref="AD381" authorId="0">
      <text>
        <r>
          <rPr>
            <b/>
            <sz val="16"/>
            <rFont val="宋体"/>
            <charset val="134"/>
          </rPr>
          <t>Administrator:</t>
        </r>
        <r>
          <rPr>
            <sz val="16"/>
            <rFont val="宋体"/>
            <charset val="134"/>
          </rPr>
          <t xml:space="preserve">
7/16上 D款 UPC贴纸48 pcs
7/23上 客供外箱贴纸 2 pcs
</t>
        </r>
      </text>
    </comment>
    <comment ref="AB382" authorId="0">
      <text>
        <r>
          <rPr>
            <b/>
            <sz val="16"/>
            <rFont val="宋体"/>
            <charset val="134"/>
          </rPr>
          <t>Administrator:</t>
        </r>
        <r>
          <rPr>
            <sz val="16"/>
            <rFont val="宋体"/>
            <charset val="134"/>
          </rPr>
          <t xml:space="preserve">
3002327 8/6 24 pcs 华兴三楼A27
</t>
        </r>
      </text>
    </comment>
    <comment ref="AD382" authorId="0">
      <text>
        <r>
          <rPr>
            <b/>
            <sz val="16"/>
            <rFont val="宋体"/>
            <charset val="134"/>
          </rPr>
          <t>Administrator:</t>
        </r>
        <r>
          <rPr>
            <sz val="16"/>
            <rFont val="宋体"/>
            <charset val="134"/>
          </rPr>
          <t xml:space="preserve">
7/16上 D款 UPC贴纸 24 pcs
7/23上 客供外箱贴纸 1 pcs
</t>
        </r>
      </text>
    </comment>
    <comment ref="AB383" authorId="0">
      <text>
        <r>
          <rPr>
            <b/>
            <sz val="16"/>
            <rFont val="宋体"/>
            <charset val="134"/>
          </rPr>
          <t>Administrator:</t>
        </r>
        <r>
          <rPr>
            <sz val="16"/>
            <rFont val="宋体"/>
            <charset val="134"/>
          </rPr>
          <t xml:space="preserve">
3002327 8/6 72 pcs 华兴三楼A27
</t>
        </r>
      </text>
    </comment>
    <comment ref="AD383" authorId="0">
      <text>
        <r>
          <rPr>
            <b/>
            <sz val="16"/>
            <rFont val="宋体"/>
            <charset val="134"/>
          </rPr>
          <t>Administrator:</t>
        </r>
        <r>
          <rPr>
            <sz val="16"/>
            <rFont val="宋体"/>
            <charset val="134"/>
          </rPr>
          <t xml:space="preserve">
7/16上 D款 UPC贴纸 72 pcs
7/23上 客供外箱贴纸 3 pcs
</t>
        </r>
      </text>
    </comment>
    <comment ref="AB384" authorId="0">
      <text>
        <r>
          <rPr>
            <b/>
            <sz val="16"/>
            <rFont val="宋体"/>
            <charset val="134"/>
          </rPr>
          <t>Administrator:</t>
        </r>
        <r>
          <rPr>
            <sz val="16"/>
            <rFont val="宋体"/>
            <charset val="134"/>
          </rPr>
          <t xml:space="preserve">
4000348 8/12 2000 pcs 新仓库一楼B6</t>
        </r>
      </text>
    </comment>
    <comment ref="AD384" authorId="0">
      <text>
        <r>
          <rPr>
            <b/>
            <sz val="16"/>
            <rFont val="宋体"/>
            <charset val="134"/>
          </rPr>
          <t>Administrator:</t>
        </r>
        <r>
          <rPr>
            <sz val="16"/>
            <rFont val="宋体"/>
            <charset val="134"/>
          </rPr>
          <t xml:space="preserve">
7/24上 客供价格贴纸 2100 pcs</t>
        </r>
      </text>
    </comment>
    <comment ref="AB385" authorId="0">
      <text>
        <r>
          <rPr>
            <b/>
            <sz val="16"/>
            <rFont val="宋体"/>
            <charset val="134"/>
          </rPr>
          <t>Administrator:</t>
        </r>
        <r>
          <rPr>
            <sz val="16"/>
            <rFont val="宋体"/>
            <charset val="134"/>
          </rPr>
          <t xml:space="preserve">
400534 8/14 1848 pcs 莫B四楼A1</t>
        </r>
      </text>
    </comment>
    <comment ref="AB386" authorId="0">
      <text>
        <r>
          <rPr>
            <b/>
            <sz val="16"/>
            <rFont val="宋体"/>
            <charset val="134"/>
          </rPr>
          <t>Administrator:</t>
        </r>
        <r>
          <rPr>
            <sz val="16"/>
            <rFont val="宋体"/>
            <charset val="134"/>
          </rPr>
          <t xml:space="preserve">
400534 8/14 2640 pcs 莫B四楼A1
</t>
        </r>
      </text>
    </comment>
    <comment ref="AB387" authorId="0">
      <text>
        <r>
          <rPr>
            <b/>
            <sz val="16"/>
            <rFont val="宋体"/>
            <charset val="134"/>
          </rPr>
          <t>Administrator:</t>
        </r>
        <r>
          <rPr>
            <sz val="16"/>
            <rFont val="宋体"/>
            <charset val="134"/>
          </rPr>
          <t xml:space="preserve">
4000551 8/15 2000 pcs 华兴一楼F12</t>
        </r>
      </text>
    </comment>
    <comment ref="AD387" authorId="0">
      <text>
        <r>
          <rPr>
            <b/>
            <sz val="16"/>
            <rFont val="宋体"/>
            <charset val="134"/>
          </rPr>
          <t>Administrator:</t>
        </r>
        <r>
          <rPr>
            <sz val="16"/>
            <rFont val="宋体"/>
            <charset val="134"/>
          </rPr>
          <t xml:space="preserve">
7/16上 客供价格贴纸 2100 pcs</t>
        </r>
      </text>
    </comment>
    <comment ref="AB388" authorId="0">
      <text>
        <r>
          <rPr>
            <b/>
            <sz val="16"/>
            <rFont val="宋体"/>
            <charset val="134"/>
          </rPr>
          <t>Administrator:</t>
        </r>
        <r>
          <rPr>
            <sz val="16"/>
            <rFont val="宋体"/>
            <charset val="134"/>
          </rPr>
          <t xml:space="preserve">
4000551 8/15 1504 pcs 华兴一楼f12</t>
        </r>
      </text>
    </comment>
    <comment ref="AD388" authorId="0">
      <text>
        <r>
          <rPr>
            <b/>
            <sz val="16"/>
            <rFont val="宋体"/>
            <charset val="134"/>
          </rPr>
          <t>Administrator:</t>
        </r>
        <r>
          <rPr>
            <sz val="16"/>
            <rFont val="宋体"/>
            <charset val="134"/>
          </rPr>
          <t xml:space="preserve">
7/16上 客供价格贴纸 1575 pcs</t>
        </r>
      </text>
    </comment>
    <comment ref="AB389" authorId="0">
      <text>
        <r>
          <rPr>
            <b/>
            <sz val="16"/>
            <rFont val="宋体"/>
            <charset val="134"/>
          </rPr>
          <t>Administrator:</t>
        </r>
        <r>
          <rPr>
            <sz val="16"/>
            <rFont val="宋体"/>
            <charset val="134"/>
          </rPr>
          <t xml:space="preserve">
4000348 8/12 1606 pcs 新仓库一楼B7</t>
        </r>
      </text>
    </comment>
    <comment ref="AD389" authorId="0">
      <text>
        <r>
          <rPr>
            <b/>
            <sz val="16"/>
            <rFont val="宋体"/>
            <charset val="134"/>
          </rPr>
          <t>Administrator:</t>
        </r>
        <r>
          <rPr>
            <sz val="16"/>
            <rFont val="宋体"/>
            <charset val="134"/>
          </rPr>
          <t xml:space="preserve">
8/1上 SSCC外箱贴纸 73 pcs</t>
        </r>
      </text>
    </comment>
    <comment ref="AB390" authorId="0">
      <text>
        <r>
          <rPr>
            <b/>
            <sz val="16"/>
            <rFont val="宋体"/>
            <charset val="134"/>
          </rPr>
          <t>Administrator:</t>
        </r>
        <r>
          <rPr>
            <sz val="16"/>
            <rFont val="宋体"/>
            <charset val="134"/>
          </rPr>
          <t xml:space="preserve">
4000590 8/18 660 pcs 华兴三楼B4</t>
        </r>
      </text>
    </comment>
    <comment ref="AB391" authorId="0">
      <text>
        <r>
          <rPr>
            <b/>
            <sz val="16"/>
            <rFont val="宋体"/>
            <charset val="134"/>
          </rPr>
          <t>Administrator:</t>
        </r>
        <r>
          <rPr>
            <sz val="16"/>
            <rFont val="宋体"/>
            <charset val="134"/>
          </rPr>
          <t xml:space="preserve">
4000568 8/16 3212 pcs 莫B四楼B8</t>
        </r>
      </text>
    </comment>
    <comment ref="AD391" authorId="0">
      <text>
        <r>
          <rPr>
            <b/>
            <sz val="16"/>
            <rFont val="宋体"/>
            <charset val="134"/>
          </rPr>
          <t>Administrator:</t>
        </r>
        <r>
          <rPr>
            <sz val="16"/>
            <rFont val="宋体"/>
            <charset val="134"/>
          </rPr>
          <t xml:space="preserve">
7/25上 德语callout翻译贴纸 3212 pcs
 产品贴纸 3212 pcs
 WEEE声明通用30L-B版说明书 3212 pcs</t>
        </r>
      </text>
    </comment>
    <comment ref="AB392" authorId="0">
      <text>
        <r>
          <rPr>
            <b/>
            <sz val="16"/>
            <rFont val="宋体"/>
            <charset val="134"/>
          </rPr>
          <t>Administrator:</t>
        </r>
        <r>
          <rPr>
            <sz val="16"/>
            <rFont val="宋体"/>
            <charset val="134"/>
          </rPr>
          <t xml:space="preserve">
4000590 8/18 1200 pcs 华兴三楼B11</t>
        </r>
      </text>
    </comment>
    <comment ref="AD392" authorId="0">
      <text>
        <r>
          <rPr>
            <b/>
            <sz val="14"/>
            <rFont val="宋体"/>
            <charset val="134"/>
          </rPr>
          <t>Administrator:</t>
        </r>
        <r>
          <rPr>
            <sz val="14"/>
            <rFont val="宋体"/>
            <charset val="134"/>
          </rPr>
          <t xml:space="preserve">
7/24上 价格贴纸 1200 pcs
 外箱条码贴纸 100 pcs</t>
        </r>
      </text>
    </comment>
    <comment ref="AB393" authorId="0">
      <text>
        <r>
          <rPr>
            <b/>
            <sz val="14"/>
            <rFont val="宋体"/>
            <charset val="134"/>
          </rPr>
          <t>Administrator:</t>
        </r>
        <r>
          <rPr>
            <sz val="14"/>
            <rFont val="宋体"/>
            <charset val="134"/>
          </rPr>
          <t xml:space="preserve">
4000614 8/19 1458 pcs 莫B四楼B4</t>
        </r>
      </text>
    </comment>
    <comment ref="AD393" authorId="0">
      <text>
        <r>
          <rPr>
            <b/>
            <sz val="14"/>
            <rFont val="宋体"/>
            <charset val="134"/>
          </rPr>
          <t>Administrator:</t>
        </r>
        <r>
          <rPr>
            <sz val="14"/>
            <rFont val="宋体"/>
            <charset val="134"/>
          </rPr>
          <t xml:space="preserve">
7/16上 白色防盗贴纸 1458 pcs
7/31上 SSCC外箱贴纸 243 pcs</t>
        </r>
      </text>
    </comment>
    <comment ref="AB394" authorId="0">
      <text>
        <r>
          <rPr>
            <b/>
            <sz val="14"/>
            <rFont val="宋体"/>
            <charset val="134"/>
          </rPr>
          <t>Administrator:</t>
        </r>
        <r>
          <rPr>
            <sz val="14"/>
            <rFont val="宋体"/>
            <charset val="134"/>
          </rPr>
          <t xml:space="preserve">
4000614 8/19 42 pcs 莫B四楼B8</t>
        </r>
      </text>
    </comment>
    <comment ref="AD394" authorId="0">
      <text>
        <r>
          <rPr>
            <b/>
            <sz val="14"/>
            <rFont val="宋体"/>
            <charset val="134"/>
          </rPr>
          <t>Administrator:</t>
        </r>
        <r>
          <rPr>
            <sz val="14"/>
            <rFont val="宋体"/>
            <charset val="134"/>
          </rPr>
          <t xml:space="preserve">
7/16上 白色防盗贴纸 42 pcs
7/31上 SSCC外箱贴纸 7 pcs
</t>
        </r>
      </text>
    </comment>
    <comment ref="AB395" authorId="0">
      <text>
        <r>
          <rPr>
            <b/>
            <sz val="16"/>
            <rFont val="宋体"/>
            <charset val="134"/>
          </rPr>
          <t>Administrator:</t>
        </r>
        <r>
          <rPr>
            <sz val="16"/>
            <rFont val="宋体"/>
            <charset val="134"/>
          </rPr>
          <t xml:space="preserve">
4000590 8/18 1008 pcs 华兴一楼F3</t>
        </r>
      </text>
    </comment>
    <comment ref="AD395" authorId="0">
      <text>
        <r>
          <rPr>
            <b/>
            <sz val="16"/>
            <rFont val="宋体"/>
            <charset val="134"/>
          </rPr>
          <t>Administrator:</t>
        </r>
        <r>
          <rPr>
            <sz val="16"/>
            <rFont val="宋体"/>
            <charset val="134"/>
          </rPr>
          <t xml:space="preserve">
7/11上 进口商贴纸 1008 pcs</t>
        </r>
      </text>
    </comment>
    <comment ref="AB396" authorId="0">
      <text>
        <r>
          <rPr>
            <b/>
            <sz val="14"/>
            <rFont val="宋体"/>
            <charset val="134"/>
          </rPr>
          <t>Administrator:</t>
        </r>
        <r>
          <rPr>
            <sz val="14"/>
            <rFont val="宋体"/>
            <charset val="134"/>
          </rPr>
          <t xml:space="preserve">
4000641 8/20 1504 pcs 新仓库一楼B8</t>
        </r>
      </text>
    </comment>
    <comment ref="AD396" authorId="0">
      <text>
        <r>
          <rPr>
            <b/>
            <sz val="16"/>
            <rFont val="宋体"/>
            <charset val="134"/>
          </rPr>
          <t>Administrator:</t>
        </r>
        <r>
          <rPr>
            <sz val="16"/>
            <rFont val="宋体"/>
            <charset val="134"/>
          </rPr>
          <t xml:space="preserve">
8/14上 客供价格贴纸 1575 pcs</t>
        </r>
      </text>
    </comment>
    <comment ref="AB397" authorId="0">
      <text>
        <r>
          <rPr>
            <b/>
            <sz val="16"/>
            <rFont val="宋体"/>
            <charset val="134"/>
          </rPr>
          <t>Administrator:</t>
        </r>
        <r>
          <rPr>
            <sz val="16"/>
            <rFont val="宋体"/>
            <charset val="134"/>
          </rPr>
          <t xml:space="preserve">
4000631 8/21 1504 pcs 新仓库一楼B5</t>
        </r>
      </text>
    </comment>
    <comment ref="AD397" authorId="0">
      <text>
        <r>
          <rPr>
            <b/>
            <sz val="16"/>
            <rFont val="宋体"/>
            <charset val="134"/>
          </rPr>
          <t>Administrator:</t>
        </r>
        <r>
          <rPr>
            <sz val="16"/>
            <rFont val="宋体"/>
            <charset val="134"/>
          </rPr>
          <t xml:space="preserve">
8/14上 客供价格贴纸 1575 pcs</t>
        </r>
      </text>
    </comment>
    <comment ref="AB398" authorId="0">
      <text>
        <r>
          <rPr>
            <b/>
            <sz val="14"/>
            <rFont val="宋体"/>
            <charset val="134"/>
          </rPr>
          <t>Administrator:</t>
        </r>
        <r>
          <rPr>
            <sz val="14"/>
            <rFont val="宋体"/>
            <charset val="134"/>
          </rPr>
          <t xml:space="preserve">
4000641 8/20 616 pcs 新仓库一楼B8</t>
        </r>
      </text>
    </comment>
    <comment ref="AD398" authorId="0">
      <text>
        <r>
          <rPr>
            <b/>
            <sz val="16"/>
            <rFont val="宋体"/>
            <charset val="134"/>
          </rPr>
          <t>Administrator:</t>
        </r>
        <r>
          <rPr>
            <sz val="16"/>
            <rFont val="宋体"/>
            <charset val="134"/>
          </rPr>
          <t xml:space="preserve">
8/2上 客供价格贴纸 630 pcs</t>
        </r>
      </text>
    </comment>
    <comment ref="AB399" authorId="0">
      <text>
        <r>
          <rPr>
            <b/>
            <sz val="14"/>
            <rFont val="宋体"/>
            <charset val="134"/>
          </rPr>
          <t>Administrator:</t>
        </r>
        <r>
          <rPr>
            <sz val="14"/>
            <rFont val="宋体"/>
            <charset val="134"/>
          </rPr>
          <t xml:space="preserve">
4000641 8/20 2420 pcs 新仓库一楼A5</t>
        </r>
      </text>
    </comment>
    <comment ref="AD399" authorId="0">
      <text>
        <r>
          <rPr>
            <b/>
            <sz val="16"/>
            <rFont val="宋体"/>
            <charset val="134"/>
          </rPr>
          <t>Administrator:</t>
        </r>
        <r>
          <rPr>
            <sz val="16"/>
            <rFont val="宋体"/>
            <charset val="134"/>
          </rPr>
          <t xml:space="preserve">
7/28上 B版 WEEE 30L不带电池走货说明书 2420 pcs 
 EAN贴纸 2420 pcs
8/5上 可语可折叠贴纸 2420 pcs
8/8补上 B款 EAN贴纸 660 pcs
      A款 EAN贴纸 550 pcs
8/11上 地址贴纸 2420 pcs
</t>
        </r>
      </text>
    </comment>
    <comment ref="AB400" authorId="0">
      <text>
        <r>
          <rPr>
            <b/>
            <sz val="16"/>
            <rFont val="宋体"/>
            <charset val="134"/>
          </rPr>
          <t>Administrator:</t>
        </r>
        <r>
          <rPr>
            <sz val="16"/>
            <rFont val="宋体"/>
            <charset val="134"/>
          </rPr>
          <t xml:space="preserve">
4000245 8/22 4879 pcs 莫B四楼C7
4000227 8/22 1120 pcs 莫B四楼C7</t>
        </r>
      </text>
    </comment>
    <comment ref="AD400" authorId="0">
      <text>
        <r>
          <rPr>
            <b/>
            <sz val="16"/>
            <rFont val="宋体"/>
            <charset val="134"/>
          </rPr>
          <t>Administrator:</t>
        </r>
        <r>
          <rPr>
            <sz val="16"/>
            <rFont val="宋体"/>
            <charset val="134"/>
          </rPr>
          <t xml:space="preserve">
5/30上 欧洲通用30L WEEE说明书纸 5999 pcs</t>
        </r>
      </text>
    </comment>
    <comment ref="AB401" authorId="0">
      <text>
        <r>
          <rPr>
            <b/>
            <sz val="14"/>
            <rFont val="宋体"/>
            <charset val="134"/>
          </rPr>
          <t>Administrator:</t>
        </r>
        <r>
          <rPr>
            <sz val="14"/>
            <rFont val="宋体"/>
            <charset val="134"/>
          </rPr>
          <t xml:space="preserve">
400236 8/21 1210 pcs莫B四楼A7</t>
        </r>
      </text>
    </comment>
    <comment ref="AD401" authorId="0">
      <text>
        <r>
          <rPr>
            <b/>
            <sz val="16"/>
            <rFont val="宋体"/>
            <charset val="134"/>
          </rPr>
          <t>Administrator:</t>
        </r>
        <r>
          <rPr>
            <sz val="16"/>
            <rFont val="宋体"/>
            <charset val="134"/>
          </rPr>
          <t xml:space="preserve">
7/29上 WEEE_不带电池走货 _ 说明书欧洲EN+30L 1210 pcs
7/30上 客人款号带EAN条码 1210 pcs
生产做错补
8/19补上 客人款号带EAN条码贴纸 1210 pcs</t>
        </r>
      </text>
    </comment>
    <comment ref="AB402" authorId="0">
      <text>
        <r>
          <rPr>
            <b/>
            <sz val="16"/>
            <rFont val="宋体"/>
            <charset val="134"/>
          </rPr>
          <t>Administrator:</t>
        </r>
        <r>
          <rPr>
            <sz val="16"/>
            <rFont val="宋体"/>
            <charset val="134"/>
          </rPr>
          <t xml:space="preserve">
4000233 8/22 704 pcs 莫A一楼B7
</t>
        </r>
      </text>
    </comment>
    <comment ref="AD402" authorId="0">
      <text>
        <r>
          <rPr>
            <b/>
            <sz val="16"/>
            <rFont val="宋体"/>
            <charset val="134"/>
          </rPr>
          <t>Administrator:</t>
        </r>
        <r>
          <rPr>
            <sz val="16"/>
            <rFont val="宋体"/>
            <charset val="134"/>
          </rPr>
          <t xml:space="preserve">
7/29上 进口商贴纸  704 pcs</t>
        </r>
      </text>
    </comment>
    <comment ref="AB403" authorId="0">
      <text>
        <r>
          <rPr>
            <b/>
            <sz val="16"/>
            <rFont val="宋体"/>
            <charset val="134"/>
          </rPr>
          <t>Administrator:</t>
        </r>
        <r>
          <rPr>
            <sz val="16"/>
            <rFont val="宋体"/>
            <charset val="134"/>
          </rPr>
          <t xml:space="preserve">
4000233 8/22 550 pcs 莫A一楼B7
</t>
        </r>
      </text>
    </comment>
    <comment ref="AD403" authorId="0">
      <text>
        <r>
          <rPr>
            <b/>
            <sz val="16"/>
            <rFont val="宋体"/>
            <charset val="134"/>
          </rPr>
          <t>Administrator:</t>
        </r>
        <r>
          <rPr>
            <sz val="16"/>
            <rFont val="宋体"/>
            <charset val="134"/>
          </rPr>
          <t xml:space="preserve">
7/29上 进口商贴纸  550 pcs</t>
        </r>
      </text>
    </comment>
    <comment ref="AB404" authorId="0">
      <text>
        <r>
          <rPr>
            <b/>
            <sz val="16"/>
            <rFont val="宋体"/>
            <charset val="134"/>
          </rPr>
          <t>Administrator:</t>
        </r>
        <r>
          <rPr>
            <sz val="16"/>
            <rFont val="宋体"/>
            <charset val="134"/>
          </rPr>
          <t xml:space="preserve">
4000233 8/22 550 pcs 莫A一楼B8
</t>
        </r>
      </text>
    </comment>
    <comment ref="AD404" authorId="0">
      <text>
        <r>
          <rPr>
            <b/>
            <sz val="16"/>
            <rFont val="宋体"/>
            <charset val="134"/>
          </rPr>
          <t>Administrator:</t>
        </r>
        <r>
          <rPr>
            <sz val="16"/>
            <rFont val="宋体"/>
            <charset val="134"/>
          </rPr>
          <t xml:space="preserve">
7/29上 进口商贴纸  550 pcs</t>
        </r>
      </text>
    </comment>
    <comment ref="AB405" authorId="0">
      <text>
        <r>
          <rPr>
            <b/>
            <sz val="16"/>
            <rFont val="宋体"/>
            <charset val="134"/>
          </rPr>
          <t>Administrator:</t>
        </r>
        <r>
          <rPr>
            <sz val="16"/>
            <rFont val="宋体"/>
            <charset val="134"/>
          </rPr>
          <t xml:space="preserve">
4000228 8/22 418 pcs 莫A四楼A7</t>
        </r>
      </text>
    </comment>
    <comment ref="AD405" authorId="0">
      <text>
        <r>
          <rPr>
            <b/>
            <sz val="16"/>
            <rFont val="宋体"/>
            <charset val="134"/>
          </rPr>
          <t>Administrator:</t>
        </r>
        <r>
          <rPr>
            <sz val="16"/>
            <rFont val="宋体"/>
            <charset val="134"/>
          </rPr>
          <t xml:space="preserve">
7/29上 进口商贴纸  418 pcs</t>
        </r>
      </text>
    </comment>
    <comment ref="AB406" authorId="0">
      <text>
        <r>
          <rPr>
            <b/>
            <sz val="16"/>
            <rFont val="宋体"/>
            <charset val="134"/>
          </rPr>
          <t>Administrator:</t>
        </r>
        <r>
          <rPr>
            <sz val="16"/>
            <rFont val="宋体"/>
            <charset val="134"/>
          </rPr>
          <t xml:space="preserve">           
4000227 8/22 132 pcs 莫B四楼B9
</t>
        </r>
      </text>
    </comment>
    <comment ref="AD406" authorId="0">
      <text>
        <r>
          <rPr>
            <b/>
            <sz val="16"/>
            <rFont val="宋体"/>
            <charset val="134"/>
          </rPr>
          <t>Administrator:</t>
        </r>
        <r>
          <rPr>
            <sz val="16"/>
            <rFont val="宋体"/>
            <charset val="134"/>
          </rPr>
          <t xml:space="preserve">
7/25上 进口商贴纸 132 pcs</t>
        </r>
      </text>
    </comment>
    <comment ref="AB407" authorId="0">
      <text>
        <r>
          <rPr>
            <b/>
            <sz val="16"/>
            <rFont val="宋体"/>
            <charset val="134"/>
          </rPr>
          <t>Administrator:</t>
        </r>
        <r>
          <rPr>
            <sz val="16"/>
            <rFont val="宋体"/>
            <charset val="134"/>
          </rPr>
          <t xml:space="preserve">           
4000227 8/22 286 pcs 莫B四楼B9
</t>
        </r>
      </text>
    </comment>
    <comment ref="AD407" authorId="0">
      <text>
        <r>
          <rPr>
            <b/>
            <sz val="16"/>
            <rFont val="宋体"/>
            <charset val="134"/>
          </rPr>
          <t>Administrator:</t>
        </r>
        <r>
          <rPr>
            <sz val="16"/>
            <rFont val="宋体"/>
            <charset val="134"/>
          </rPr>
          <t xml:space="preserve">
7/25上 进口商贴纸 286 pcs</t>
        </r>
      </text>
    </comment>
    <comment ref="AB408" authorId="0">
      <text>
        <r>
          <rPr>
            <b/>
            <sz val="16"/>
            <rFont val="宋体"/>
            <charset val="134"/>
          </rPr>
          <t>Administrator:</t>
        </r>
        <r>
          <rPr>
            <sz val="16"/>
            <rFont val="宋体"/>
            <charset val="134"/>
          </rPr>
          <t xml:space="preserve">           
4000227 8/22 594 pcs 莫B四楼B9
</t>
        </r>
      </text>
    </comment>
    <comment ref="AD408" authorId="0">
      <text>
        <r>
          <rPr>
            <b/>
            <sz val="16"/>
            <rFont val="宋体"/>
            <charset val="134"/>
          </rPr>
          <t>Administrator:</t>
        </r>
        <r>
          <rPr>
            <sz val="16"/>
            <rFont val="宋体"/>
            <charset val="134"/>
          </rPr>
          <t xml:space="preserve">
7/25上 进口商贴纸 594 pcs</t>
        </r>
      </text>
    </comment>
    <comment ref="AB409" authorId="0">
      <text>
        <r>
          <rPr>
            <b/>
            <sz val="16"/>
            <rFont val="宋体"/>
            <charset val="134"/>
          </rPr>
          <t>Administrator:</t>
        </r>
        <r>
          <rPr>
            <sz val="16"/>
            <rFont val="宋体"/>
            <charset val="134"/>
          </rPr>
          <t xml:space="preserve">
4000228 8/22 3504 pcs 莫A四楼B10
</t>
        </r>
      </text>
    </comment>
    <comment ref="AD409" authorId="0">
      <text>
        <r>
          <rPr>
            <b/>
            <sz val="16"/>
            <rFont val="宋体"/>
            <charset val="134"/>
          </rPr>
          <t>Administrator:</t>
        </r>
        <r>
          <rPr>
            <sz val="16"/>
            <rFont val="宋体"/>
            <charset val="134"/>
          </rPr>
          <t xml:space="preserve">
7/11上 WEEE不带电池走货说明书北欧B版 3504 pcs
客人白色Cat.label 3504 pcs</t>
        </r>
      </text>
    </comment>
    <comment ref="AB410" authorId="0">
      <text>
        <r>
          <rPr>
            <b/>
            <sz val="16"/>
            <rFont val="宋体"/>
            <charset val="134"/>
          </rPr>
          <t>Administrator:</t>
        </r>
        <r>
          <rPr>
            <sz val="16"/>
            <rFont val="宋体"/>
            <charset val="134"/>
          </rPr>
          <t xml:space="preserve">
4000178 8/25 330 pcs 莫四楼B4</t>
        </r>
      </text>
    </comment>
    <comment ref="AB411" authorId="0">
      <text>
        <r>
          <rPr>
            <b/>
            <sz val="16"/>
            <rFont val="宋体"/>
            <charset val="134"/>
          </rPr>
          <t>Administrator:</t>
        </r>
        <r>
          <rPr>
            <sz val="16"/>
            <rFont val="宋体"/>
            <charset val="134"/>
          </rPr>
          <t xml:space="preserve">
4000150 8/26 4070 pcs 莫四楼B10</t>
        </r>
        <r>
          <rPr>
            <sz val="14"/>
            <rFont val="宋体"/>
            <charset val="134"/>
          </rPr>
          <t>东莞帮忙返工验货，我叫多送两箱当补查货 550箱这单的</t>
        </r>
      </text>
    </comment>
    <comment ref="AD411" authorId="0">
      <text>
        <r>
          <rPr>
            <b/>
            <sz val="16"/>
            <rFont val="宋体"/>
            <charset val="134"/>
          </rPr>
          <t>Administrator:</t>
        </r>
        <r>
          <rPr>
            <sz val="16"/>
            <rFont val="宋体"/>
            <charset val="134"/>
          </rPr>
          <t xml:space="preserve">
7/29上 WEEE_不带电池走货 _ 说明书欧洲EN+30L 4070 pcs
8/5上 可语可折叠贴纸 4070 pcs
8/8上 EAN贴纸 4070 pcs
8/11上 地址贴纸 4070 pcs</t>
        </r>
      </text>
    </comment>
    <comment ref="AB412" authorId="0">
      <text>
        <r>
          <rPr>
            <b/>
            <sz val="16"/>
            <rFont val="宋体"/>
            <charset val="134"/>
          </rPr>
          <t>Administrator:</t>
        </r>
        <r>
          <rPr>
            <sz val="16"/>
            <rFont val="宋体"/>
            <charset val="134"/>
          </rPr>
          <t xml:space="preserve">
4000150 8/26 1296 pcs 莫四楼A6</t>
        </r>
      </text>
    </comment>
    <comment ref="AD412" authorId="0">
      <text>
        <r>
          <rPr>
            <b/>
            <sz val="14"/>
            <rFont val="宋体"/>
            <charset val="134"/>
          </rPr>
          <t>Administrator:</t>
        </r>
        <r>
          <rPr>
            <sz val="14"/>
            <rFont val="宋体"/>
            <charset val="134"/>
          </rPr>
          <t xml:space="preserve">
6/11上 进口商贴纸(含EAN条码贴纸） 1296 pcs</t>
        </r>
        <r>
          <rPr>
            <sz val="9"/>
            <rFont val="宋体"/>
            <charset val="134"/>
          </rPr>
          <t xml:space="preserve">
 </t>
        </r>
      </text>
    </comment>
    <comment ref="AB413" authorId="0">
      <text>
        <r>
          <rPr>
            <b/>
            <sz val="16"/>
            <rFont val="宋体"/>
            <charset val="134"/>
          </rPr>
          <t>Administrator:</t>
        </r>
        <r>
          <rPr>
            <sz val="16"/>
            <rFont val="宋体"/>
            <charset val="134"/>
          </rPr>
          <t xml:space="preserve">
4000150 8/26 504 pcs 莫四楼A6
</t>
        </r>
      </text>
    </comment>
    <comment ref="AD413" authorId="0">
      <text>
        <r>
          <rPr>
            <b/>
            <sz val="14"/>
            <rFont val="宋体"/>
            <charset val="134"/>
          </rPr>
          <t>Administrator:</t>
        </r>
        <r>
          <rPr>
            <sz val="14"/>
            <rFont val="宋体"/>
            <charset val="134"/>
          </rPr>
          <t xml:space="preserve">
6/11上 进口商贴纸(含EAN条码贴纸） 504 pcs</t>
        </r>
        <r>
          <rPr>
            <sz val="9"/>
            <rFont val="宋体"/>
            <charset val="134"/>
          </rPr>
          <t xml:space="preserve">
 </t>
        </r>
      </text>
    </comment>
    <comment ref="AB414" authorId="0">
      <text>
        <r>
          <rPr>
            <b/>
            <sz val="16"/>
            <rFont val="宋体"/>
            <charset val="134"/>
          </rPr>
          <t>Administrator:</t>
        </r>
        <r>
          <rPr>
            <sz val="16"/>
            <rFont val="宋体"/>
            <charset val="134"/>
          </rPr>
          <t xml:space="preserve">
4000086 8/29 6050 pcs 华兴三楼B16</t>
        </r>
      </text>
    </comment>
    <comment ref="AD414" authorId="0">
      <text>
        <r>
          <rPr>
            <b/>
            <sz val="16"/>
            <rFont val="宋体"/>
            <charset val="134"/>
          </rPr>
          <t>Administrator:</t>
        </r>
        <r>
          <rPr>
            <sz val="16"/>
            <rFont val="宋体"/>
            <charset val="134"/>
          </rPr>
          <t xml:space="preserve">
7/29上 WEEE_不带电池走货 _ 说明书欧洲EN+30L 6050 pcs
8/5上 可语可折叠贴纸 6050 pcs
8/8上 EAN贴纸 6050 pcs
8/11上 地址贴纸 6050 pcs</t>
        </r>
      </text>
    </comment>
    <comment ref="AB415" authorId="0">
      <text>
        <r>
          <rPr>
            <b/>
            <sz val="16"/>
            <rFont val="宋体"/>
            <charset val="134"/>
          </rPr>
          <t>Administrator:</t>
        </r>
        <r>
          <rPr>
            <sz val="16"/>
            <rFont val="宋体"/>
            <charset val="134"/>
          </rPr>
          <t xml:space="preserve">
4000086 8/29 506 pcs 华兴三楼B17</t>
        </r>
      </text>
    </comment>
    <comment ref="AD415" authorId="0">
      <text>
        <r>
          <rPr>
            <b/>
            <sz val="16"/>
            <rFont val="宋体"/>
            <charset val="134"/>
          </rPr>
          <t>Administrator:</t>
        </r>
        <r>
          <rPr>
            <sz val="16"/>
            <rFont val="宋体"/>
            <charset val="134"/>
          </rPr>
          <t xml:space="preserve">
8/8上 WEEE电池通用30L-B版说明书（不带电池） 506 pcs
 德语callout翻译贴纸 506 pcs</t>
        </r>
      </text>
    </comment>
    <comment ref="AB416" authorId="0">
      <text>
        <r>
          <rPr>
            <b/>
            <sz val="16"/>
            <rFont val="宋体"/>
            <charset val="134"/>
          </rPr>
          <t>Administrator:</t>
        </r>
        <r>
          <rPr>
            <sz val="16"/>
            <rFont val="宋体"/>
            <charset val="134"/>
          </rPr>
          <t xml:space="preserve">
4000086 8/29 220 pcs 华兴三楼B16</t>
        </r>
      </text>
    </comment>
    <comment ref="AD416" authorId="0">
      <text>
        <r>
          <rPr>
            <b/>
            <sz val="16"/>
            <rFont val="宋体"/>
            <charset val="134"/>
          </rPr>
          <t>Administrator:</t>
        </r>
        <r>
          <rPr>
            <sz val="16"/>
            <rFont val="宋体"/>
            <charset val="134"/>
          </rPr>
          <t xml:space="preserve">
8/8上 WEEE电池通用30L-B版说明书（不带电池） 220 pcs
  德语callout翻译贴纸 220 pcs</t>
        </r>
      </text>
    </comment>
    <comment ref="AB417" authorId="0">
      <text>
        <r>
          <rPr>
            <b/>
            <sz val="16"/>
            <rFont val="宋体"/>
            <charset val="134"/>
          </rPr>
          <t>Administrator:</t>
        </r>
        <r>
          <rPr>
            <sz val="16"/>
            <rFont val="宋体"/>
            <charset val="134"/>
          </rPr>
          <t xml:space="preserve">
4000086 8/29 2592 pcs 华兴三楼A29      
4000100  8/30 1368 pcs 华兴三楼B8</t>
        </r>
      </text>
    </comment>
    <comment ref="AD417" authorId="0">
      <text>
        <r>
          <rPr>
            <b/>
            <sz val="16"/>
            <rFont val="宋体"/>
            <charset val="134"/>
          </rPr>
          <t>Administrator:</t>
        </r>
        <r>
          <rPr>
            <sz val="16"/>
            <rFont val="宋体"/>
            <charset val="134"/>
          </rPr>
          <t xml:space="preserve">
8/8上 价格贴纸  3960 pcs
 外箱条码贴纸 330 pcs</t>
        </r>
      </text>
    </comment>
    <comment ref="AB418" authorId="0">
      <text>
        <r>
          <rPr>
            <b/>
            <sz val="16"/>
            <rFont val="宋体"/>
            <charset val="134"/>
          </rPr>
          <t>Administrator:</t>
        </r>
        <r>
          <rPr>
            <sz val="16"/>
            <rFont val="宋体"/>
            <charset val="134"/>
          </rPr>
          <t xml:space="preserve">
4000014 9/3 504 pcs 华兴三楼B13</t>
        </r>
      </text>
    </comment>
    <comment ref="AD418" authorId="0">
      <text>
        <r>
          <rPr>
            <b/>
            <sz val="16"/>
            <rFont val="宋体"/>
            <charset val="134"/>
          </rPr>
          <t>Administrator:</t>
        </r>
        <r>
          <rPr>
            <sz val="16"/>
            <rFont val="宋体"/>
            <charset val="134"/>
          </rPr>
          <t xml:space="preserve">
8/5上 WEEE电子产品说明书30L(不带电池走货B版) 504 pcs
8/7上 亚马逊外箱贴纸 21 pcs
8/21上 邮包盒贴纸 504 pcs</t>
        </r>
      </text>
    </comment>
    <comment ref="AB419" authorId="0">
      <text>
        <r>
          <rPr>
            <b/>
            <sz val="16"/>
            <rFont val="宋体"/>
            <charset val="134"/>
          </rPr>
          <t>Administrator:</t>
        </r>
        <r>
          <rPr>
            <sz val="16"/>
            <rFont val="宋体"/>
            <charset val="134"/>
          </rPr>
          <t xml:space="preserve">
4000014 9/3 480 pcs 华兴三楼B13
</t>
        </r>
      </text>
    </comment>
    <comment ref="AD419" authorId="0">
      <text>
        <r>
          <rPr>
            <b/>
            <sz val="16"/>
            <rFont val="宋体"/>
            <charset val="134"/>
          </rPr>
          <t>Administrator:</t>
        </r>
        <r>
          <rPr>
            <sz val="16"/>
            <rFont val="宋体"/>
            <charset val="134"/>
          </rPr>
          <t xml:space="preserve">
8/7上 亚马逊外箱贴纸 20 pcs</t>
        </r>
        <r>
          <rPr>
            <sz val="9"/>
            <rFont val="宋体"/>
            <charset val="134"/>
          </rPr>
          <t xml:space="preserve">
</t>
        </r>
        <r>
          <rPr>
            <sz val="16"/>
            <rFont val="宋体"/>
            <charset val="134"/>
          </rPr>
          <t xml:space="preserve">8/8上 WEEE电子产品说明书30L(不带电池走货B版) 480 pcs
8/21上 邮包盒贴纸 480 pcs
</t>
        </r>
      </text>
    </comment>
    <comment ref="AB420" authorId="0">
      <text>
        <r>
          <rPr>
            <b/>
            <sz val="16"/>
            <rFont val="宋体"/>
            <charset val="134"/>
          </rPr>
          <t>Administrator:</t>
        </r>
        <r>
          <rPr>
            <sz val="16"/>
            <rFont val="宋体"/>
            <charset val="134"/>
          </rPr>
          <t xml:space="preserve">
4000014 9/3 480 pcs 华兴三楼B13
</t>
        </r>
      </text>
    </comment>
    <comment ref="AD420" authorId="0">
      <text>
        <r>
          <rPr>
            <b/>
            <sz val="16"/>
            <rFont val="宋体"/>
            <charset val="134"/>
          </rPr>
          <t>Administrator:</t>
        </r>
        <r>
          <rPr>
            <sz val="16"/>
            <rFont val="宋体"/>
            <charset val="134"/>
          </rPr>
          <t xml:space="preserve">
8/7上 亚马逊外箱贴纸 20 pcs</t>
        </r>
        <r>
          <rPr>
            <sz val="9"/>
            <rFont val="宋体"/>
            <charset val="134"/>
          </rPr>
          <t xml:space="preserve">
</t>
        </r>
        <r>
          <rPr>
            <sz val="16"/>
            <rFont val="宋体"/>
            <charset val="134"/>
          </rPr>
          <t xml:space="preserve">8/8上 WEEE电子产品说明书30L(不带电池走货B版) 480 pcs
8/21上 邮包盒贴纸 480 pcs
</t>
        </r>
      </text>
    </comment>
    <comment ref="AB421" authorId="0">
      <text>
        <r>
          <rPr>
            <b/>
            <sz val="16"/>
            <rFont val="宋体"/>
            <charset val="134"/>
          </rPr>
          <t>Administrator:</t>
        </r>
        <r>
          <rPr>
            <sz val="16"/>
            <rFont val="宋体"/>
            <charset val="134"/>
          </rPr>
          <t xml:space="preserve">
4000014 9/3 504 pcs 华兴三楼B13
</t>
        </r>
      </text>
    </comment>
    <comment ref="AD421" authorId="0">
      <text>
        <r>
          <rPr>
            <b/>
            <sz val="16"/>
            <rFont val="宋体"/>
            <charset val="134"/>
          </rPr>
          <t>Administrator:</t>
        </r>
        <r>
          <rPr>
            <sz val="16"/>
            <rFont val="宋体"/>
            <charset val="134"/>
          </rPr>
          <t xml:space="preserve">
8/7上 亚马逊外箱贴纸 21 pcs</t>
        </r>
        <r>
          <rPr>
            <sz val="9"/>
            <rFont val="宋体"/>
            <charset val="134"/>
          </rPr>
          <t xml:space="preserve">
</t>
        </r>
        <r>
          <rPr>
            <sz val="16"/>
            <rFont val="宋体"/>
            <charset val="134"/>
          </rPr>
          <t xml:space="preserve">8/8上 WEEE电子产品说明书30L(不带电池走货B版) 504 pcs
8/21上 邮包盒贴纸 504 pcs
</t>
        </r>
      </text>
    </comment>
    <comment ref="AB422" authorId="0">
      <text>
        <r>
          <rPr>
            <b/>
            <sz val="16"/>
            <rFont val="宋体"/>
            <charset val="134"/>
          </rPr>
          <t>Administrator:</t>
        </r>
        <r>
          <rPr>
            <sz val="16"/>
            <rFont val="宋体"/>
            <charset val="134"/>
          </rPr>
          <t xml:space="preserve">
4000014 9/3 480 pcs 华兴三楼B13
</t>
        </r>
      </text>
    </comment>
    <comment ref="AD422" authorId="0">
      <text>
        <r>
          <rPr>
            <b/>
            <sz val="16"/>
            <rFont val="宋体"/>
            <charset val="134"/>
          </rPr>
          <t>Administrator:</t>
        </r>
        <r>
          <rPr>
            <sz val="16"/>
            <rFont val="宋体"/>
            <charset val="134"/>
          </rPr>
          <t xml:space="preserve">
8/7上 亚马逊外箱贴纸 20 pcs</t>
        </r>
        <r>
          <rPr>
            <sz val="9"/>
            <rFont val="宋体"/>
            <charset val="134"/>
          </rPr>
          <t xml:space="preserve">
</t>
        </r>
        <r>
          <rPr>
            <sz val="16"/>
            <rFont val="宋体"/>
            <charset val="134"/>
          </rPr>
          <t>8/8上 WEEE电子产品说明书30L(不带电池走货B版) 480 pcs
8/21上 邮包盒贴纸 480 pcs
1/12有多订1944 pcs 环保标贴纸上湖南</t>
        </r>
      </text>
    </comment>
    <comment ref="AB423" authorId="0">
      <text>
        <r>
          <rPr>
            <b/>
            <sz val="16"/>
            <rFont val="宋体"/>
            <charset val="134"/>
          </rPr>
          <t>Administrator:</t>
        </r>
        <r>
          <rPr>
            <sz val="16"/>
            <rFont val="宋体"/>
            <charset val="134"/>
          </rPr>
          <t xml:space="preserve">
4000041 9/2 5120 pcs 华兴三楼A29     
4000046 9/2 1280 pcs A36</t>
        </r>
      </text>
    </comment>
    <comment ref="AB424" authorId="0">
      <text>
        <r>
          <rPr>
            <b/>
            <sz val="16"/>
            <rFont val="宋体"/>
            <charset val="134"/>
          </rPr>
          <t>Administrator:</t>
        </r>
        <r>
          <rPr>
            <sz val="16"/>
            <rFont val="宋体"/>
            <charset val="134"/>
          </rPr>
          <t xml:space="preserve">
3001353 9/6 3509 pcs 莫B四楼B3</t>
        </r>
      </text>
    </comment>
    <comment ref="AB425" authorId="0">
      <text>
        <r>
          <rPr>
            <b/>
            <sz val="16"/>
            <rFont val="宋体"/>
            <charset val="134"/>
          </rPr>
          <t>Administrator:</t>
        </r>
        <r>
          <rPr>
            <sz val="16"/>
            <rFont val="宋体"/>
            <charset val="134"/>
          </rPr>
          <t xml:space="preserve">
3002581 9/5 144 pcs 莫四楼A6</t>
        </r>
      </text>
    </comment>
    <comment ref="AD425" authorId="0">
      <text>
        <r>
          <rPr>
            <b/>
            <sz val="16"/>
            <rFont val="宋体"/>
            <charset val="134"/>
          </rPr>
          <t>Administrator:</t>
        </r>
        <r>
          <rPr>
            <sz val="16"/>
            <rFont val="宋体"/>
            <charset val="134"/>
          </rPr>
          <t xml:space="preserve">
8/11上 A款 UPC贴纸 144 pcs
8/18上 客供亚马逊外箱贴纸 6 pcs</t>
        </r>
      </text>
    </comment>
    <comment ref="AB426" authorId="0">
      <text>
        <r>
          <rPr>
            <b/>
            <sz val="16"/>
            <rFont val="宋体"/>
            <charset val="134"/>
          </rPr>
          <t>Administrator:</t>
        </r>
        <r>
          <rPr>
            <sz val="16"/>
            <rFont val="宋体"/>
            <charset val="134"/>
          </rPr>
          <t xml:space="preserve">
3002581 9/5 72 pcs 莫四楼A6
</t>
        </r>
      </text>
    </comment>
    <comment ref="AD426" authorId="0">
      <text>
        <r>
          <rPr>
            <b/>
            <sz val="16"/>
            <rFont val="宋体"/>
            <charset val="134"/>
          </rPr>
          <t>Administrator:</t>
        </r>
        <r>
          <rPr>
            <sz val="16"/>
            <rFont val="宋体"/>
            <charset val="134"/>
          </rPr>
          <t xml:space="preserve">
8/11上 D款 UPC贴纸 72 pcs
8/18上 客供亚马逊外箱贴纸 3 pcs
</t>
        </r>
      </text>
    </comment>
    <comment ref="AB427" authorId="0">
      <text>
        <r>
          <rPr>
            <b/>
            <sz val="16"/>
            <rFont val="宋体"/>
            <charset val="134"/>
          </rPr>
          <t>Administrator:</t>
        </r>
        <r>
          <rPr>
            <sz val="16"/>
            <rFont val="宋体"/>
            <charset val="134"/>
          </rPr>
          <t xml:space="preserve">
3002581 9/5 24 pcs 莫四楼A6
</t>
        </r>
      </text>
    </comment>
    <comment ref="AD427" authorId="0">
      <text>
        <r>
          <rPr>
            <b/>
            <sz val="16"/>
            <rFont val="宋体"/>
            <charset val="134"/>
          </rPr>
          <t>Administrator:</t>
        </r>
        <r>
          <rPr>
            <sz val="16"/>
            <rFont val="宋体"/>
            <charset val="134"/>
          </rPr>
          <t xml:space="preserve">
8/11上 D款 UPC贴纸 24 pcs
8/18上 客供亚马逊外箱贴纸 1 pcs
</t>
        </r>
      </text>
    </comment>
    <comment ref="AB428" authorId="0">
      <text>
        <r>
          <rPr>
            <b/>
            <sz val="16"/>
            <rFont val="宋体"/>
            <charset val="134"/>
          </rPr>
          <t>Administrator:</t>
        </r>
        <r>
          <rPr>
            <sz val="16"/>
            <rFont val="宋体"/>
            <charset val="134"/>
          </rPr>
          <t xml:space="preserve">
3001948 9/6 1210 pcs 华兴三楼B14</t>
        </r>
      </text>
    </comment>
    <comment ref="AD428" authorId="0">
      <text>
        <r>
          <rPr>
            <b/>
            <sz val="16"/>
            <rFont val="宋体"/>
            <charset val="134"/>
          </rPr>
          <t>Administrator:</t>
        </r>
        <r>
          <rPr>
            <sz val="16"/>
            <rFont val="宋体"/>
            <charset val="134"/>
          </rPr>
          <t xml:space="preserve">
8/13上 进口商贴纸 1210 pcs</t>
        </r>
      </text>
    </comment>
    <comment ref="AB429" authorId="0">
      <text>
        <r>
          <rPr>
            <b/>
            <sz val="16"/>
            <rFont val="宋体"/>
            <charset val="134"/>
          </rPr>
          <t>Administrator:</t>
        </r>
        <r>
          <rPr>
            <sz val="16"/>
            <rFont val="宋体"/>
            <charset val="134"/>
          </rPr>
          <t xml:space="preserve">
4000491 9/9 1518 pcs 华兴三楼B12
</t>
        </r>
      </text>
    </comment>
    <comment ref="AD429" authorId="0">
      <text>
        <r>
          <rPr>
            <b/>
            <sz val="16"/>
            <rFont val="宋体"/>
            <charset val="134"/>
          </rPr>
          <t>Administrator:</t>
        </r>
        <r>
          <rPr>
            <sz val="16"/>
            <rFont val="宋体"/>
            <charset val="134"/>
          </rPr>
          <t xml:space="preserve">
8/29上 SSCC外箱贴纸 69 pcs</t>
        </r>
      </text>
    </comment>
    <comment ref="AB430" authorId="0">
      <text>
        <r>
          <rPr>
            <b/>
            <sz val="16"/>
            <rFont val="宋体"/>
            <charset val="134"/>
          </rPr>
          <t>Administrator:</t>
        </r>
        <r>
          <rPr>
            <sz val="16"/>
            <rFont val="宋体"/>
            <charset val="134"/>
          </rPr>
          <t xml:space="preserve">
4000491 9/9 616 pcs 华兴三楼A27
</t>
        </r>
      </text>
    </comment>
    <comment ref="AD430" authorId="0">
      <text>
        <r>
          <rPr>
            <b/>
            <sz val="16"/>
            <rFont val="宋体"/>
            <charset val="134"/>
          </rPr>
          <t>Administrator:</t>
        </r>
        <r>
          <rPr>
            <sz val="16"/>
            <rFont val="宋体"/>
            <charset val="134"/>
          </rPr>
          <t xml:space="preserve">
8/14上 客供价格贴纸 630 pcs</t>
        </r>
      </text>
    </comment>
    <comment ref="AB431" authorId="0">
      <text>
        <r>
          <rPr>
            <b/>
            <sz val="16"/>
            <rFont val="宋体"/>
            <charset val="134"/>
          </rPr>
          <t>Administrator:</t>
        </r>
        <r>
          <rPr>
            <sz val="16"/>
            <rFont val="宋体"/>
            <charset val="134"/>
          </rPr>
          <t xml:space="preserve">
4000492 9/9 1100 pcs 华兴三楼B13</t>
        </r>
      </text>
    </comment>
    <comment ref="AD431" authorId="0">
      <text>
        <r>
          <rPr>
            <b/>
            <sz val="16"/>
            <rFont val="宋体"/>
            <charset val="134"/>
          </rPr>
          <t>Administrator:</t>
        </r>
        <r>
          <rPr>
            <sz val="16"/>
            <rFont val="宋体"/>
            <charset val="134"/>
          </rPr>
          <t xml:space="preserve">
8/11上 地址贴纸 1100 pcs
另外多上 5000pcs地址贴纸 自行分配
8/19上 B版 WEEE 30L不带电池走货说明书 1100 pcs
  EAN贴纸 1100 pcs错的
 地址贴纸 1100 pcs
8/27上 A款EAN贴纸 250 pcs B款EAN贴纸 300 pcs
    D款EAN贴纸 300 pcs  E款EAN贴纸 250 pcs
 多语折叠警告语贴纸 1100 pcs
8/30上 黑白说明书 1100 pcs
</t>
        </r>
      </text>
    </comment>
    <comment ref="AB432" authorId="0">
      <text>
        <r>
          <rPr>
            <b/>
            <sz val="16"/>
            <rFont val="宋体"/>
            <charset val="134"/>
          </rPr>
          <t>Administrator:</t>
        </r>
        <r>
          <rPr>
            <sz val="16"/>
            <rFont val="宋体"/>
            <charset val="134"/>
          </rPr>
          <t xml:space="preserve">
4000491 9/9 220 pcs 华兴三楼A27
</t>
        </r>
      </text>
    </comment>
    <comment ref="AD432" authorId="0">
      <text>
        <r>
          <rPr>
            <b/>
            <sz val="16"/>
            <rFont val="宋体"/>
            <charset val="134"/>
          </rPr>
          <t>Administrator:</t>
        </r>
        <r>
          <rPr>
            <sz val="16"/>
            <rFont val="宋体"/>
            <charset val="134"/>
          </rPr>
          <t xml:space="preserve">
8/18上 进口商贴纸 220 pcs</t>
        </r>
      </text>
    </comment>
    <comment ref="AB433" authorId="0">
      <text>
        <r>
          <rPr>
            <b/>
            <sz val="16"/>
            <rFont val="宋体"/>
            <charset val="134"/>
          </rPr>
          <t>Administrator:</t>
        </r>
        <r>
          <rPr>
            <sz val="16"/>
            <rFont val="宋体"/>
            <charset val="134"/>
          </rPr>
          <t xml:space="preserve">
4000491 9/9 616 pcs 华兴三楼A27
</t>
        </r>
      </text>
    </comment>
    <comment ref="AD433" authorId="0">
      <text>
        <r>
          <rPr>
            <b/>
            <sz val="16"/>
            <rFont val="宋体"/>
            <charset val="134"/>
          </rPr>
          <t>Administrator:</t>
        </r>
        <r>
          <rPr>
            <sz val="16"/>
            <rFont val="宋体"/>
            <charset val="134"/>
          </rPr>
          <t xml:space="preserve">
8/14上 客供价格贴纸 630 pcs</t>
        </r>
      </text>
    </comment>
    <comment ref="AB434" authorId="0">
      <text>
        <r>
          <rPr>
            <b/>
            <sz val="16"/>
            <rFont val="宋体"/>
            <charset val="134"/>
          </rPr>
          <t>Administrator:</t>
        </r>
        <r>
          <rPr>
            <sz val="16"/>
            <rFont val="宋体"/>
            <charset val="134"/>
          </rPr>
          <t xml:space="preserve">
4000422 9/11 312 pcs 莫四楼B8</t>
        </r>
      </text>
    </comment>
    <comment ref="AD434" authorId="0">
      <text>
        <r>
          <rPr>
            <b/>
            <sz val="14"/>
            <rFont val="宋体"/>
            <charset val="134"/>
          </rPr>
          <t>Administrator:</t>
        </r>
        <r>
          <rPr>
            <sz val="14"/>
            <rFont val="宋体"/>
            <charset val="134"/>
          </rPr>
          <t xml:space="preserve">
8/21上 白色防盗贴纸 312 pcs
8/29上 KM外箱贴纸 52 pcs</t>
        </r>
      </text>
    </comment>
    <comment ref="AB435" authorId="0">
      <text>
        <r>
          <rPr>
            <b/>
            <sz val="16"/>
            <rFont val="宋体"/>
            <charset val="134"/>
          </rPr>
          <t>Administrator:</t>
        </r>
        <r>
          <rPr>
            <sz val="16"/>
            <rFont val="宋体"/>
            <charset val="134"/>
          </rPr>
          <t xml:space="preserve">
4000422 9/11 1188 pcs 莫四楼A5</t>
        </r>
      </text>
    </comment>
    <comment ref="AD435" authorId="0">
      <text>
        <r>
          <rPr>
            <b/>
            <sz val="14"/>
            <rFont val="宋体"/>
            <charset val="134"/>
          </rPr>
          <t>Administrator:</t>
        </r>
        <r>
          <rPr>
            <sz val="14"/>
            <rFont val="宋体"/>
            <charset val="134"/>
          </rPr>
          <t xml:space="preserve">
8/21上 白色防盗贴纸 1188 pcs
8/29上 KM外箱贴纸 198 pcs
</t>
        </r>
      </text>
    </comment>
    <comment ref="AB436" authorId="0">
      <text>
        <r>
          <rPr>
            <b/>
            <sz val="16"/>
            <rFont val="宋体"/>
            <charset val="134"/>
          </rPr>
          <t>Administrator:</t>
        </r>
        <r>
          <rPr>
            <sz val="16"/>
            <rFont val="宋体"/>
            <charset val="134"/>
          </rPr>
          <t xml:space="preserve">
4000130 8/29 2000 pcs 华兴三楼B8</t>
        </r>
      </text>
    </comment>
    <comment ref="AD436" authorId="0">
      <text>
        <r>
          <rPr>
            <b/>
            <sz val="16"/>
            <rFont val="宋体"/>
            <charset val="134"/>
          </rPr>
          <t>Administrator:</t>
        </r>
        <r>
          <rPr>
            <sz val="16"/>
            <rFont val="宋体"/>
            <charset val="134"/>
          </rPr>
          <t xml:space="preserve">
8/14上 客供价格贴纸 2100 pcs</t>
        </r>
      </text>
    </comment>
    <comment ref="AB437" authorId="0">
      <text>
        <r>
          <rPr>
            <b/>
            <sz val="16"/>
            <rFont val="宋体"/>
            <charset val="134"/>
          </rPr>
          <t>Administrator:</t>
        </r>
        <r>
          <rPr>
            <sz val="16"/>
            <rFont val="宋体"/>
            <charset val="134"/>
          </rPr>
          <t xml:space="preserve">
4000389 9/5 2000 pcs 华兴三楼A22</t>
        </r>
      </text>
    </comment>
    <comment ref="AD437" authorId="0">
      <text>
        <r>
          <rPr>
            <b/>
            <sz val="16"/>
            <rFont val="宋体"/>
            <charset val="134"/>
          </rPr>
          <t>Administrator:</t>
        </r>
        <r>
          <rPr>
            <sz val="16"/>
            <rFont val="宋体"/>
            <charset val="134"/>
          </rPr>
          <t xml:space="preserve">
8/14上 客供价格贴纸 2100 pcs</t>
        </r>
      </text>
    </comment>
    <comment ref="AB438" authorId="0">
      <text>
        <r>
          <rPr>
            <b/>
            <sz val="16"/>
            <rFont val="宋体"/>
            <charset val="134"/>
          </rPr>
          <t>Administrator:</t>
        </r>
        <r>
          <rPr>
            <sz val="16"/>
            <rFont val="宋体"/>
            <charset val="134"/>
          </rPr>
          <t xml:space="preserve">
4000492 9/9 2000 pcs 华兴三楼B16
</t>
        </r>
      </text>
    </comment>
    <comment ref="AD438" authorId="0">
      <text>
        <r>
          <rPr>
            <b/>
            <sz val="16"/>
            <rFont val="宋体"/>
            <charset val="134"/>
          </rPr>
          <t>Administrator:</t>
        </r>
        <r>
          <rPr>
            <sz val="16"/>
            <rFont val="宋体"/>
            <charset val="134"/>
          </rPr>
          <t xml:space="preserve">
8/14上 客供价格贴纸 2100 pcs</t>
        </r>
      </text>
    </comment>
    <comment ref="AB439" authorId="0">
      <text>
        <r>
          <rPr>
            <b/>
            <sz val="16"/>
            <rFont val="宋体"/>
            <charset val="134"/>
          </rPr>
          <t>Administrator:</t>
        </r>
        <r>
          <rPr>
            <sz val="16"/>
            <rFont val="宋体"/>
            <charset val="134"/>
          </rPr>
          <t xml:space="preserve">
5000108 9/17 682 pcs 华兴三楼B17</t>
        </r>
      </text>
    </comment>
    <comment ref="AB440" authorId="0">
      <text>
        <r>
          <rPr>
            <b/>
            <sz val="16"/>
            <rFont val="宋体"/>
            <charset val="134"/>
          </rPr>
          <t>Administrator:</t>
        </r>
        <r>
          <rPr>
            <sz val="16"/>
            <rFont val="宋体"/>
            <charset val="134"/>
          </rPr>
          <t xml:space="preserve">
5000121 9/16 1350 pcs 华兴三楼B15</t>
        </r>
      </text>
    </comment>
    <comment ref="AD440" authorId="0">
      <text>
        <r>
          <rPr>
            <b/>
            <sz val="14"/>
            <rFont val="宋体"/>
            <charset val="134"/>
          </rPr>
          <t>Administrator:</t>
        </r>
        <r>
          <rPr>
            <sz val="14"/>
            <rFont val="宋体"/>
            <charset val="134"/>
          </rPr>
          <t xml:space="preserve">
9/3上 KM外箱贴纸 225 pcs
9/8上 白色防盗贴纸 1350 pcs</t>
        </r>
      </text>
    </comment>
    <comment ref="AB441" authorId="0">
      <text>
        <r>
          <rPr>
            <b/>
            <sz val="16"/>
            <rFont val="宋体"/>
            <charset val="134"/>
          </rPr>
          <t>Administrator:</t>
        </r>
        <r>
          <rPr>
            <sz val="16"/>
            <rFont val="宋体"/>
            <charset val="134"/>
          </rPr>
          <t xml:space="preserve">
5000121 9/16 150 pcs 华兴三楼A32</t>
        </r>
      </text>
    </comment>
    <comment ref="AD441" authorId="0">
      <text>
        <r>
          <rPr>
            <b/>
            <sz val="14"/>
            <rFont val="宋体"/>
            <charset val="134"/>
          </rPr>
          <t>Administrator:</t>
        </r>
        <r>
          <rPr>
            <sz val="14"/>
            <rFont val="宋体"/>
            <charset val="134"/>
          </rPr>
          <t xml:space="preserve">
9/3上 KM外箱贴纸 25 pcs
9/8上 白色防盗贴纸 150 pcs
</t>
        </r>
      </text>
    </comment>
    <comment ref="AB442" authorId="0">
      <text>
        <r>
          <rPr>
            <b/>
            <sz val="16"/>
            <rFont val="宋体"/>
            <charset val="134"/>
          </rPr>
          <t>Administrator:</t>
        </r>
        <r>
          <rPr>
            <sz val="16"/>
            <rFont val="宋体"/>
            <charset val="134"/>
          </rPr>
          <t xml:space="preserve">
5000265 9/18 704 pcs 华兴三楼B13
</t>
        </r>
      </text>
    </comment>
    <comment ref="AD442" authorId="0">
      <text>
        <r>
          <rPr>
            <b/>
            <sz val="14"/>
            <rFont val="宋体"/>
            <charset val="134"/>
          </rPr>
          <t>Administrator:</t>
        </r>
        <r>
          <rPr>
            <sz val="14"/>
            <rFont val="宋体"/>
            <charset val="134"/>
          </rPr>
          <t xml:space="preserve">
8/26上 进口商贴纸 704 pcs</t>
        </r>
      </text>
    </comment>
    <comment ref="AB443" authorId="0">
      <text>
        <r>
          <rPr>
            <b/>
            <sz val="16"/>
            <rFont val="宋体"/>
            <charset val="134"/>
          </rPr>
          <t>Administrator:</t>
        </r>
        <r>
          <rPr>
            <sz val="16"/>
            <rFont val="宋体"/>
            <charset val="134"/>
          </rPr>
          <t xml:space="preserve">
5000265 9/18 550 pcs 华兴三楼B14</t>
        </r>
      </text>
    </comment>
    <comment ref="AD443" authorId="0">
      <text>
        <r>
          <rPr>
            <b/>
            <sz val="14"/>
            <rFont val="宋体"/>
            <charset val="134"/>
          </rPr>
          <t>Administrator:</t>
        </r>
        <r>
          <rPr>
            <sz val="14"/>
            <rFont val="宋体"/>
            <charset val="134"/>
          </rPr>
          <t xml:space="preserve">
8/26上 进口商贴纸 550 pcs</t>
        </r>
      </text>
    </comment>
    <comment ref="AB444" authorId="0">
      <text>
        <r>
          <rPr>
            <b/>
            <sz val="16"/>
            <rFont val="宋体"/>
            <charset val="134"/>
          </rPr>
          <t>Administrator:</t>
        </r>
        <r>
          <rPr>
            <sz val="16"/>
            <rFont val="宋体"/>
            <charset val="134"/>
          </rPr>
          <t xml:space="preserve">
5000530 9/17 550 pcs 华兴三楼B14</t>
        </r>
      </text>
    </comment>
    <comment ref="AD444" authorId="0">
      <text>
        <r>
          <rPr>
            <b/>
            <sz val="14"/>
            <rFont val="宋体"/>
            <charset val="134"/>
          </rPr>
          <t>Administrator:</t>
        </r>
        <r>
          <rPr>
            <sz val="14"/>
            <rFont val="宋体"/>
            <charset val="134"/>
          </rPr>
          <t xml:space="preserve">
8/26上 进口商贴纸 550 pcs</t>
        </r>
      </text>
    </comment>
    <comment ref="AB445" authorId="0">
      <text>
        <r>
          <rPr>
            <b/>
            <sz val="16"/>
            <rFont val="宋体"/>
            <charset val="134"/>
          </rPr>
          <t>Administrator:</t>
        </r>
        <r>
          <rPr>
            <sz val="16"/>
            <rFont val="宋体"/>
            <charset val="134"/>
          </rPr>
          <t xml:space="preserve">
5000530 9/17 2420 pcs 华兴三楼A32</t>
        </r>
      </text>
    </comment>
    <comment ref="AB446" authorId="0">
      <text>
        <r>
          <rPr>
            <b/>
            <sz val="16"/>
            <rFont val="宋体"/>
            <charset val="134"/>
          </rPr>
          <t>Administrator:</t>
        </r>
        <r>
          <rPr>
            <sz val="16"/>
            <rFont val="宋体"/>
            <charset val="134"/>
          </rPr>
          <t xml:space="preserve">
5000265 9/18 440 pcs 华兴三楼B14
</t>
        </r>
      </text>
    </comment>
    <comment ref="AB447" authorId="0">
      <text>
        <r>
          <rPr>
            <b/>
            <sz val="16"/>
            <rFont val="宋体"/>
            <charset val="134"/>
          </rPr>
          <t>Administrator:</t>
        </r>
        <r>
          <rPr>
            <sz val="16"/>
            <rFont val="宋体"/>
            <charset val="134"/>
          </rPr>
          <t xml:space="preserve">
5000265 9/18 682 pcs 华兴三楼B13
</t>
        </r>
      </text>
    </comment>
    <comment ref="AD447" authorId="0">
      <text>
        <r>
          <rPr>
            <b/>
            <sz val="16"/>
            <rFont val="宋体"/>
            <charset val="134"/>
          </rPr>
          <t>Administrator:</t>
        </r>
        <r>
          <rPr>
            <sz val="16"/>
            <rFont val="宋体"/>
            <charset val="134"/>
          </rPr>
          <t xml:space="preserve">
9/2上 通用进口商贴纸 682 pcs</t>
        </r>
      </text>
    </comment>
    <comment ref="AB448" authorId="0">
      <text>
        <r>
          <rPr>
            <b/>
            <sz val="16"/>
            <rFont val="宋体"/>
            <charset val="134"/>
          </rPr>
          <t>Administrator:</t>
        </r>
        <r>
          <rPr>
            <sz val="16"/>
            <rFont val="宋体"/>
            <charset val="134"/>
          </rPr>
          <t xml:space="preserve">
5000306 9/19 2394 pcs 华兴三楼B8</t>
        </r>
      </text>
    </comment>
    <comment ref="AD448" authorId="0">
      <text>
        <r>
          <rPr>
            <b/>
            <sz val="16"/>
            <rFont val="宋体"/>
            <charset val="134"/>
          </rPr>
          <t>Administrator:</t>
        </r>
        <r>
          <rPr>
            <sz val="16"/>
            <rFont val="宋体"/>
            <charset val="134"/>
          </rPr>
          <t xml:space="preserve">
8/30上 WIC贴纸 11982 pcs
 PDQ折页 1997 pcs </t>
        </r>
      </text>
    </comment>
    <comment ref="AB449" authorId="0">
      <text>
        <r>
          <rPr>
            <b/>
            <sz val="16"/>
            <rFont val="宋体"/>
            <charset val="134"/>
          </rPr>
          <t>Administrator:</t>
        </r>
        <r>
          <rPr>
            <sz val="16"/>
            <rFont val="宋体"/>
            <charset val="134"/>
          </rPr>
          <t xml:space="preserve">
5000306 9/19 666 pcs 华兴三楼B8
</t>
        </r>
      </text>
    </comment>
    <comment ref="AB450" authorId="0">
      <text>
        <r>
          <rPr>
            <b/>
            <sz val="16"/>
            <rFont val="宋体"/>
            <charset val="134"/>
          </rPr>
          <t>Administrator:</t>
        </r>
        <r>
          <rPr>
            <sz val="16"/>
            <rFont val="宋体"/>
            <charset val="134"/>
          </rPr>
          <t xml:space="preserve">
5000306 9/19 1614 pcs 华兴三楼B8
</t>
        </r>
      </text>
    </comment>
    <comment ref="AB451" authorId="0">
      <text>
        <r>
          <rPr>
            <b/>
            <sz val="16"/>
            <rFont val="宋体"/>
            <charset val="134"/>
          </rPr>
          <t>Administrator:</t>
        </r>
        <r>
          <rPr>
            <sz val="16"/>
            <rFont val="宋体"/>
            <charset val="134"/>
          </rPr>
          <t xml:space="preserve">
5000306 9/19 1638 pcs 华兴三楼B8
</t>
        </r>
      </text>
    </comment>
    <comment ref="AB452" authorId="0">
      <text>
        <r>
          <rPr>
            <b/>
            <sz val="16"/>
            <rFont val="宋体"/>
            <charset val="134"/>
          </rPr>
          <t>Administrator:</t>
        </r>
        <r>
          <rPr>
            <sz val="16"/>
            <rFont val="宋体"/>
            <charset val="134"/>
          </rPr>
          <t xml:space="preserve">
5000306 9/19 300 pcs 华兴三楼B8
</t>
        </r>
      </text>
    </comment>
    <comment ref="AB453" authorId="0">
      <text>
        <r>
          <rPr>
            <b/>
            <sz val="16"/>
            <rFont val="宋体"/>
            <charset val="134"/>
          </rPr>
          <t>Administrator:</t>
        </r>
        <r>
          <rPr>
            <sz val="16"/>
            <rFont val="宋体"/>
            <charset val="134"/>
          </rPr>
          <t xml:space="preserve">
5000306 9/19 792 pcs 华兴三楼B8
</t>
        </r>
      </text>
    </comment>
    <comment ref="AB454" authorId="0">
      <text>
        <r>
          <rPr>
            <b/>
            <sz val="16"/>
            <rFont val="宋体"/>
            <charset val="134"/>
          </rPr>
          <t>Administrator:</t>
        </r>
        <r>
          <rPr>
            <sz val="16"/>
            <rFont val="宋体"/>
            <charset val="134"/>
          </rPr>
          <t xml:space="preserve">
5000306 9/19 2286 pcs 华兴三楼B8
</t>
        </r>
      </text>
    </comment>
    <comment ref="AB455" authorId="0">
      <text>
        <r>
          <rPr>
            <b/>
            <sz val="16"/>
            <rFont val="宋体"/>
            <charset val="134"/>
          </rPr>
          <t>Administrator:</t>
        </r>
        <r>
          <rPr>
            <sz val="16"/>
            <rFont val="宋体"/>
            <charset val="134"/>
          </rPr>
          <t xml:space="preserve">
5000306 9/19 1512 pcs 华兴三楼B8
</t>
        </r>
      </text>
    </comment>
    <comment ref="AB456" authorId="0">
      <text>
        <r>
          <rPr>
            <b/>
            <sz val="16"/>
            <rFont val="宋体"/>
            <charset val="134"/>
          </rPr>
          <t>Administrator:</t>
        </r>
        <r>
          <rPr>
            <sz val="16"/>
            <rFont val="宋体"/>
            <charset val="134"/>
          </rPr>
          <t xml:space="preserve">
5000306 9/19 480 pcs 华兴三楼B8
</t>
        </r>
      </text>
    </comment>
    <comment ref="AB457" authorId="0">
      <text>
        <r>
          <rPr>
            <b/>
            <sz val="16"/>
            <rFont val="宋体"/>
            <charset val="134"/>
          </rPr>
          <t>Administrator:</t>
        </r>
        <r>
          <rPr>
            <sz val="16"/>
            <rFont val="宋体"/>
            <charset val="134"/>
          </rPr>
          <t xml:space="preserve">
5000277 9/22 616 pcs 莫四楼B4</t>
        </r>
      </text>
    </comment>
    <comment ref="AD457" authorId="0">
      <text>
        <r>
          <rPr>
            <b/>
            <sz val="16"/>
            <rFont val="宋体"/>
            <charset val="134"/>
          </rPr>
          <t>Administrator:</t>
        </r>
        <r>
          <rPr>
            <sz val="16"/>
            <rFont val="宋体"/>
            <charset val="134"/>
          </rPr>
          <t xml:space="preserve">
9/12上 客供价格贴纸 630 pcs</t>
        </r>
      </text>
    </comment>
    <comment ref="AB458" authorId="0">
      <text>
        <r>
          <rPr>
            <b/>
            <sz val="16"/>
            <rFont val="宋体"/>
            <charset val="134"/>
          </rPr>
          <t>Administrator:</t>
        </r>
        <r>
          <rPr>
            <sz val="16"/>
            <rFont val="宋体"/>
            <charset val="134"/>
          </rPr>
          <t xml:space="preserve">
5000387 9/26 1584 pcs 莫四楼B7         
5000394 9/27 22 pcs B7</t>
        </r>
      </text>
    </comment>
    <comment ref="AD458" authorId="0">
      <text>
        <r>
          <rPr>
            <b/>
            <sz val="16"/>
            <rFont val="宋体"/>
            <charset val="134"/>
          </rPr>
          <t>Administrator:</t>
        </r>
        <r>
          <rPr>
            <sz val="16"/>
            <rFont val="宋体"/>
            <charset val="134"/>
          </rPr>
          <t xml:space="preserve">
9/18上 SSCC外箱贴纸 73 pcs</t>
        </r>
      </text>
    </comment>
    <comment ref="AB459" authorId="0">
      <text>
        <r>
          <rPr>
            <b/>
            <sz val="16"/>
            <rFont val="宋体"/>
            <charset val="134"/>
          </rPr>
          <t>Administrator:</t>
        </r>
        <r>
          <rPr>
            <sz val="16"/>
            <rFont val="宋体"/>
            <charset val="134"/>
          </rPr>
          <t xml:space="preserve">
5000389 9/27 506 pcs 华兴三楼B8</t>
        </r>
      </text>
    </comment>
    <comment ref="AD459" authorId="0">
      <text>
        <r>
          <rPr>
            <b/>
            <sz val="16"/>
            <rFont val="宋体"/>
            <charset val="134"/>
          </rPr>
          <t>Administrator:</t>
        </r>
        <r>
          <rPr>
            <sz val="16"/>
            <rFont val="宋体"/>
            <charset val="134"/>
          </rPr>
          <t xml:space="preserve">
8/27上 WEEE声明不带电池走货欧洲 30 语通用黑白说明书 506 pcs</t>
        </r>
      </text>
    </comment>
    <comment ref="AB460" authorId="0">
      <text>
        <r>
          <rPr>
            <b/>
            <sz val="16"/>
            <rFont val="宋体"/>
            <charset val="134"/>
          </rPr>
          <t>Administrator:</t>
        </r>
        <r>
          <rPr>
            <sz val="16"/>
            <rFont val="宋体"/>
            <charset val="134"/>
          </rPr>
          <t xml:space="preserve">
5000389 9/27 240 pcs 华兴三楼14
</t>
        </r>
      </text>
    </comment>
    <comment ref="AD460" authorId="0">
      <text>
        <r>
          <rPr>
            <b/>
            <sz val="16"/>
            <rFont val="宋体"/>
            <charset val="134"/>
          </rPr>
          <t>Administrator:</t>
        </r>
        <r>
          <rPr>
            <sz val="16"/>
            <rFont val="宋体"/>
            <charset val="134"/>
          </rPr>
          <t xml:space="preserve">
9/9上 B款 UPC贴纸 240 pcs
9/18上 客供亚马逊外箱贴纸 10 pcs</t>
        </r>
      </text>
    </comment>
    <comment ref="AB461" authorId="0">
      <text>
        <r>
          <rPr>
            <b/>
            <sz val="16"/>
            <rFont val="宋体"/>
            <charset val="134"/>
          </rPr>
          <t>Administrator:</t>
        </r>
        <r>
          <rPr>
            <sz val="16"/>
            <rFont val="宋体"/>
            <charset val="134"/>
          </rPr>
          <t xml:space="preserve">
5000389 9/27 312 pcs 华兴三楼B13</t>
        </r>
      </text>
    </comment>
    <comment ref="AD461" authorId="0">
      <text>
        <r>
          <rPr>
            <b/>
            <sz val="16"/>
            <rFont val="宋体"/>
            <charset val="134"/>
          </rPr>
          <t>Administrator:</t>
        </r>
        <r>
          <rPr>
            <sz val="16"/>
            <rFont val="宋体"/>
            <charset val="134"/>
          </rPr>
          <t xml:space="preserve">
9/9上 B款 UPC贴纸 312 pcs
9/18上 客供亚马逊外箱贴纸 13 pcs
</t>
        </r>
      </text>
    </comment>
    <comment ref="AB462" authorId="0">
      <text>
        <r>
          <rPr>
            <b/>
            <sz val="16"/>
            <rFont val="宋体"/>
            <charset val="134"/>
          </rPr>
          <t>Administrator:</t>
        </r>
        <r>
          <rPr>
            <sz val="16"/>
            <rFont val="宋体"/>
            <charset val="134"/>
          </rPr>
          <t xml:space="preserve">
5000389 9/27 120 pcs 华兴三楼B14</t>
        </r>
      </text>
    </comment>
    <comment ref="AD462" authorId="0">
      <text>
        <r>
          <rPr>
            <b/>
            <sz val="16"/>
            <rFont val="宋体"/>
            <charset val="134"/>
          </rPr>
          <t>Administrator:</t>
        </r>
        <r>
          <rPr>
            <sz val="16"/>
            <rFont val="宋体"/>
            <charset val="134"/>
          </rPr>
          <t xml:space="preserve">
9/9上 B款 UPC贴纸 120 pcs
9/18上 客供亚马逊外箱贴纸 5 pcs
</t>
        </r>
      </text>
    </comment>
    <comment ref="AB463" authorId="0">
      <text>
        <r>
          <rPr>
            <b/>
            <sz val="16"/>
            <rFont val="宋体"/>
            <charset val="134"/>
          </rPr>
          <t>Administrator:</t>
        </r>
        <r>
          <rPr>
            <sz val="16"/>
            <rFont val="宋体"/>
            <charset val="134"/>
          </rPr>
          <t xml:space="preserve">
5000389 9/27 216 pcs 华兴三楼B14</t>
        </r>
      </text>
    </comment>
    <comment ref="AD463" authorId="0">
      <text>
        <r>
          <rPr>
            <b/>
            <sz val="16"/>
            <rFont val="宋体"/>
            <charset val="134"/>
          </rPr>
          <t>Administrator:</t>
        </r>
        <r>
          <rPr>
            <sz val="16"/>
            <rFont val="宋体"/>
            <charset val="134"/>
          </rPr>
          <t xml:space="preserve">
9/9上 B款 UPC贴纸 216 pcs
9/18上 客供亚马逊外箱贴纸 9 pcs
</t>
        </r>
      </text>
    </comment>
    <comment ref="AB464" authorId="0">
      <text>
        <r>
          <rPr>
            <b/>
            <sz val="16"/>
            <rFont val="宋体"/>
            <charset val="134"/>
          </rPr>
          <t>Administrator:</t>
        </r>
        <r>
          <rPr>
            <sz val="16"/>
            <rFont val="宋体"/>
            <charset val="134"/>
          </rPr>
          <t xml:space="preserve">
5000389 9/27 192 pcs 华兴三楼B14</t>
        </r>
      </text>
    </comment>
    <comment ref="AD464" authorId="0">
      <text>
        <r>
          <rPr>
            <b/>
            <sz val="16"/>
            <rFont val="宋体"/>
            <charset val="134"/>
          </rPr>
          <t>Administrator:</t>
        </r>
        <r>
          <rPr>
            <sz val="16"/>
            <rFont val="宋体"/>
            <charset val="134"/>
          </rPr>
          <t xml:space="preserve">
9/9上 B款 UPC贴纸 192 pcs
9/18上 客供亚马逊外箱贴纸 8 pcs
</t>
        </r>
      </text>
    </comment>
    <comment ref="AB465" authorId="0">
      <text>
        <r>
          <rPr>
            <b/>
            <sz val="16"/>
            <rFont val="宋体"/>
            <charset val="134"/>
          </rPr>
          <t>Administrator:</t>
        </r>
        <r>
          <rPr>
            <sz val="16"/>
            <rFont val="宋体"/>
            <charset val="134"/>
          </rPr>
          <t xml:space="preserve">
5000394 9/27 2000 pcs 华兴三楼B14</t>
        </r>
      </text>
    </comment>
    <comment ref="AD465" authorId="0">
      <text>
        <r>
          <rPr>
            <b/>
            <sz val="16"/>
            <rFont val="宋体"/>
            <charset val="134"/>
          </rPr>
          <t>Administrator:</t>
        </r>
        <r>
          <rPr>
            <sz val="16"/>
            <rFont val="宋体"/>
            <charset val="134"/>
          </rPr>
          <t xml:space="preserve">
8/14上 客供价格贴纸 2100 pcs</t>
        </r>
      </text>
    </comment>
    <comment ref="AB466" authorId="0">
      <text>
        <r>
          <rPr>
            <b/>
            <sz val="16"/>
            <rFont val="宋体"/>
            <charset val="134"/>
          </rPr>
          <t>Administrator:</t>
        </r>
        <r>
          <rPr>
            <sz val="16"/>
            <rFont val="宋体"/>
            <charset val="134"/>
          </rPr>
          <t xml:space="preserve">
5000411 9/27 1023 pcs 莫四楼B7</t>
        </r>
      </text>
    </comment>
    <comment ref="AD466" authorId="0">
      <text>
        <r>
          <rPr>
            <b/>
            <sz val="16"/>
            <rFont val="宋体"/>
            <charset val="134"/>
          </rPr>
          <t>Administrator:</t>
        </r>
        <r>
          <rPr>
            <sz val="16"/>
            <rFont val="宋体"/>
            <charset val="134"/>
          </rPr>
          <t xml:space="preserve">
9/9上 进口商贴纸(含EAN条码） 1023 pcs</t>
        </r>
      </text>
    </comment>
    <comment ref="AB467" authorId="0">
      <text>
        <r>
          <rPr>
            <b/>
            <sz val="16"/>
            <rFont val="宋体"/>
            <charset val="134"/>
          </rPr>
          <t>Administrator:</t>
        </r>
        <r>
          <rPr>
            <sz val="16"/>
            <rFont val="宋体"/>
            <charset val="134"/>
          </rPr>
          <t xml:space="preserve">
5000411 9/27 1914 pcs 莫四楼B10
5000462 9/30 22 pcs B10</t>
        </r>
      </text>
    </comment>
    <comment ref="AD467" authorId="0">
      <text>
        <r>
          <rPr>
            <b/>
            <sz val="16"/>
            <rFont val="宋体"/>
            <charset val="134"/>
          </rPr>
          <t>Administrator:</t>
        </r>
        <r>
          <rPr>
            <sz val="16"/>
            <rFont val="宋体"/>
            <charset val="134"/>
          </rPr>
          <t xml:space="preserve">
9/9上 进口商贴纸(含EAN条码） 1936 pcs</t>
        </r>
      </text>
    </comment>
    <comment ref="AB468" authorId="0">
      <text>
        <r>
          <rPr>
            <b/>
            <sz val="14"/>
            <rFont val="宋体"/>
            <charset val="134"/>
          </rPr>
          <t>Administrator:</t>
        </r>
        <r>
          <rPr>
            <sz val="14"/>
            <rFont val="宋体"/>
            <charset val="134"/>
          </rPr>
          <t xml:space="preserve">
5000438 9/30 286 pcs 莫四楼A6</t>
        </r>
      </text>
    </comment>
    <comment ref="AD468" authorId="0">
      <text>
        <r>
          <rPr>
            <b/>
            <sz val="16"/>
            <rFont val="宋体"/>
            <charset val="134"/>
          </rPr>
          <t>Administrator:</t>
        </r>
        <r>
          <rPr>
            <sz val="16"/>
            <rFont val="宋体"/>
            <charset val="134"/>
          </rPr>
          <t xml:space="preserve">
9/9上 进口商贴纸 286 pcs</t>
        </r>
      </text>
    </comment>
    <comment ref="AB469" authorId="0">
      <text>
        <r>
          <rPr>
            <b/>
            <sz val="16"/>
            <rFont val="宋体"/>
            <charset val="134"/>
          </rPr>
          <t>Administrator:</t>
        </r>
        <r>
          <rPr>
            <sz val="16"/>
            <rFont val="宋体"/>
            <charset val="134"/>
          </rPr>
          <t xml:space="preserve">
5000462 9/30 726 pcs 华兴三楼A17</t>
        </r>
      </text>
    </comment>
    <comment ref="AD469" authorId="0">
      <text>
        <r>
          <rPr>
            <b/>
            <sz val="16"/>
            <rFont val="宋体"/>
            <charset val="134"/>
          </rPr>
          <t>Administrator:</t>
        </r>
        <r>
          <rPr>
            <sz val="16"/>
            <rFont val="宋体"/>
            <charset val="134"/>
          </rPr>
          <t xml:space="preserve">
9/9上 进口商贴纸 726 pcs</t>
        </r>
      </text>
    </comment>
    <comment ref="AB470" authorId="0">
      <text>
        <r>
          <rPr>
            <b/>
            <sz val="16"/>
            <rFont val="宋体"/>
            <charset val="134"/>
          </rPr>
          <t>Administrator:</t>
        </r>
        <r>
          <rPr>
            <sz val="16"/>
            <rFont val="宋体"/>
            <charset val="134"/>
          </rPr>
          <t xml:space="preserve">
5000462 9/30 220 pcs 华兴三楼B7</t>
        </r>
      </text>
    </comment>
    <comment ref="AD470" authorId="0">
      <text>
        <r>
          <rPr>
            <b/>
            <sz val="16"/>
            <rFont val="宋体"/>
            <charset val="134"/>
          </rPr>
          <t>Administrator:</t>
        </r>
        <r>
          <rPr>
            <sz val="16"/>
            <rFont val="宋体"/>
            <charset val="134"/>
          </rPr>
          <t xml:space="preserve">
9/9上 进口商贴纸 220 pcs</t>
        </r>
      </text>
    </comment>
    <comment ref="AB471" authorId="0">
      <text>
        <r>
          <rPr>
            <b/>
            <sz val="16"/>
            <rFont val="宋体"/>
            <charset val="134"/>
          </rPr>
          <t>Administrator:</t>
        </r>
        <r>
          <rPr>
            <sz val="16"/>
            <rFont val="宋体"/>
            <charset val="134"/>
          </rPr>
          <t xml:space="preserve">
5000463 9/30 616 pcs 华兴三楼B7</t>
        </r>
      </text>
    </comment>
    <comment ref="AD471" authorId="0">
      <text>
        <r>
          <rPr>
            <b/>
            <sz val="16"/>
            <rFont val="宋体"/>
            <charset val="134"/>
          </rPr>
          <t>Administrator:</t>
        </r>
        <r>
          <rPr>
            <sz val="16"/>
            <rFont val="宋体"/>
            <charset val="134"/>
          </rPr>
          <t xml:space="preserve">
9/12上 客供价格贴纸 630 pcs</t>
        </r>
      </text>
    </comment>
    <comment ref="AB472" authorId="0">
      <text>
        <r>
          <rPr>
            <b/>
            <sz val="16"/>
            <rFont val="宋体"/>
            <charset val="134"/>
          </rPr>
          <t>Administrator:</t>
        </r>
        <r>
          <rPr>
            <sz val="16"/>
            <rFont val="宋体"/>
            <charset val="134"/>
          </rPr>
          <t xml:space="preserve">
5000463 9/30 1056 pcs 华兴三楼A17</t>
        </r>
      </text>
    </comment>
    <comment ref="AB473" authorId="0">
      <text>
        <r>
          <rPr>
            <b/>
            <sz val="16"/>
            <rFont val="宋体"/>
            <charset val="134"/>
          </rPr>
          <t>Administrator:</t>
        </r>
        <r>
          <rPr>
            <sz val="16"/>
            <rFont val="宋体"/>
            <charset val="134"/>
          </rPr>
          <t xml:space="preserve">
5000489 10/10 2000 pcs 华兴三楼B12</t>
        </r>
      </text>
    </comment>
    <comment ref="AD473" authorId="0">
      <text>
        <r>
          <rPr>
            <b/>
            <sz val="16"/>
            <rFont val="宋体"/>
            <charset val="134"/>
          </rPr>
          <t>Administrator:</t>
        </r>
        <r>
          <rPr>
            <sz val="16"/>
            <rFont val="宋体"/>
            <charset val="134"/>
          </rPr>
          <t xml:space="preserve">
9/23上 客供价格贴纸 2100 pcs</t>
        </r>
      </text>
    </comment>
    <comment ref="AB474" authorId="0">
      <text>
        <r>
          <rPr>
            <b/>
            <sz val="16"/>
            <rFont val="宋体"/>
            <charset val="134"/>
          </rPr>
          <t>Administrator:</t>
        </r>
        <r>
          <rPr>
            <sz val="16"/>
            <rFont val="宋体"/>
            <charset val="134"/>
          </rPr>
          <t xml:space="preserve">
500540 10/14 1540 pcs 莫四楼B7</t>
        </r>
      </text>
    </comment>
    <comment ref="AD474" authorId="0">
      <text>
        <r>
          <rPr>
            <b/>
            <sz val="18"/>
            <rFont val="宋体"/>
            <charset val="134"/>
          </rPr>
          <t>Administrator:</t>
        </r>
        <r>
          <rPr>
            <sz val="18"/>
            <rFont val="宋体"/>
            <charset val="134"/>
          </rPr>
          <t xml:space="preserve">
9/25上 进口商贴纸含EAN条码 1540 pcs
  外箱条码贴纸 140 pcs
  PDQ贴纸 770 pcs</t>
        </r>
      </text>
    </comment>
    <comment ref="AB475" authorId="0">
      <text>
        <r>
          <rPr>
            <b/>
            <sz val="16"/>
            <rFont val="宋体"/>
            <charset val="134"/>
          </rPr>
          <t>Administrator:</t>
        </r>
        <r>
          <rPr>
            <sz val="16"/>
            <rFont val="宋体"/>
            <charset val="134"/>
          </rPr>
          <t xml:space="preserve">
5000387 9/26 1504 pcs 送回以上订单是为了挪用走货，以上订单湖南那边还需重做
5000609 10/18 1376 pcs 华兴一楼F4</t>
        </r>
      </text>
    </comment>
    <comment ref="AD475" authorId="0">
      <text>
        <r>
          <rPr>
            <b/>
            <sz val="16"/>
            <rFont val="宋体"/>
            <charset val="134"/>
          </rPr>
          <t>Administrator:</t>
        </r>
        <r>
          <rPr>
            <sz val="16"/>
            <rFont val="宋体"/>
            <charset val="134"/>
          </rPr>
          <t xml:space="preserve">
9/23上 客供价格贴纸 1575 pcs
重新做货
10/9上 价格贴纸 1650 pcs</t>
        </r>
      </text>
    </comment>
    <comment ref="AB476" authorId="0">
      <text>
        <r>
          <rPr>
            <b/>
            <sz val="16"/>
            <rFont val="宋体"/>
            <charset val="134"/>
          </rPr>
          <t>Administrator:</t>
        </r>
        <r>
          <rPr>
            <sz val="16"/>
            <rFont val="宋体"/>
            <charset val="134"/>
          </rPr>
          <t xml:space="preserve">
500540 10/14 1100 pcs 莫四楼B8</t>
        </r>
      </text>
    </comment>
    <comment ref="AB477" authorId="0">
      <text>
        <r>
          <rPr>
            <b/>
            <sz val="16"/>
            <rFont val="宋体"/>
            <charset val="134"/>
          </rPr>
          <t>Administrator:</t>
        </r>
        <r>
          <rPr>
            <sz val="16"/>
            <rFont val="宋体"/>
            <charset val="134"/>
          </rPr>
          <t xml:space="preserve">
5000620 10/18 1430 pcs 华兴三楼A32
</t>
        </r>
      </text>
    </comment>
    <comment ref="AB478" authorId="0">
      <text>
        <r>
          <rPr>
            <b/>
            <sz val="16"/>
            <rFont val="宋体"/>
            <charset val="134"/>
          </rPr>
          <t>Administrator:</t>
        </r>
        <r>
          <rPr>
            <sz val="16"/>
            <rFont val="宋体"/>
            <charset val="134"/>
          </rPr>
          <t xml:space="preserve">
5000181 10/24 1200 pcs 华兴三楼B14</t>
        </r>
      </text>
    </comment>
    <comment ref="AD478" authorId="0">
      <text>
        <r>
          <rPr>
            <b/>
            <sz val="16"/>
            <rFont val="宋体"/>
            <charset val="134"/>
          </rPr>
          <t>Administrator:</t>
        </r>
        <r>
          <rPr>
            <sz val="16"/>
            <rFont val="宋体"/>
            <charset val="134"/>
          </rPr>
          <t xml:space="preserve">
10/13上 价格贴纸 1200 pcs
 外箱贴纸 100 pcs</t>
        </r>
      </text>
    </comment>
    <comment ref="AB479" authorId="0">
      <text>
        <r>
          <rPr>
            <b/>
            <sz val="16"/>
            <rFont val="宋体"/>
            <charset val="134"/>
          </rPr>
          <t>Administrator:</t>
        </r>
        <r>
          <rPr>
            <sz val="16"/>
            <rFont val="宋体"/>
            <charset val="134"/>
          </rPr>
          <t xml:space="preserve">
5000193 10/25 1012 pcs 华兴三楼B15</t>
        </r>
      </text>
    </comment>
    <comment ref="AD479" authorId="0">
      <text>
        <r>
          <rPr>
            <b/>
            <sz val="16"/>
            <rFont val="宋体"/>
            <charset val="134"/>
          </rPr>
          <t>Administrator:</t>
        </r>
        <r>
          <rPr>
            <sz val="16"/>
            <rFont val="宋体"/>
            <charset val="134"/>
          </rPr>
          <t xml:space="preserve">
9/30上 WEEE声明(不带电池)走货欧洲通用30L-B版说明书 1012 pcs
 德语callout翻译贴纸 1012 pcs</t>
        </r>
      </text>
    </comment>
    <comment ref="AB480" authorId="0">
      <text>
        <r>
          <rPr>
            <b/>
            <sz val="16"/>
            <rFont val="宋体"/>
            <charset val="134"/>
          </rPr>
          <t>Administrator:</t>
        </r>
        <r>
          <rPr>
            <sz val="16"/>
            <rFont val="宋体"/>
            <charset val="134"/>
          </rPr>
          <t xml:space="preserve">
5000193 10/25 504 pcs 华兴三楼B15</t>
        </r>
      </text>
    </comment>
    <comment ref="AD480" authorId="0">
      <text>
        <r>
          <rPr>
            <b/>
            <sz val="16"/>
            <rFont val="宋体"/>
            <charset val="134"/>
          </rPr>
          <t>Administrator:</t>
        </r>
        <r>
          <rPr>
            <sz val="16"/>
            <rFont val="宋体"/>
            <charset val="134"/>
          </rPr>
          <t xml:space="preserve">
9/30上 WEEE电子产品说明书30L(带电池走货B版) 504 pcs
10/13上 EAN贴纸 504 pcs
10/13上 邮包盒贴纸 504 pcs
10/21上 地址贴纸 504 pcs</t>
        </r>
      </text>
    </comment>
    <comment ref="AB481" authorId="0">
      <text>
        <r>
          <rPr>
            <b/>
            <sz val="16"/>
            <rFont val="宋体"/>
            <charset val="134"/>
          </rPr>
          <t>Administrator:</t>
        </r>
        <r>
          <rPr>
            <sz val="16"/>
            <rFont val="宋体"/>
            <charset val="134"/>
          </rPr>
          <t xml:space="preserve">
1200270 11/1 1518 pcs 王付建四楼A6
</t>
        </r>
      </text>
    </comment>
    <comment ref="AD481" authorId="0">
      <text>
        <r>
          <rPr>
            <b/>
            <sz val="16"/>
            <rFont val="宋体"/>
            <charset val="134"/>
          </rPr>
          <t>Administrator:</t>
        </r>
        <r>
          <rPr>
            <sz val="16"/>
            <rFont val="宋体"/>
            <charset val="134"/>
          </rPr>
          <t xml:space="preserve">
10/28上 SSCC外箱贴纸 69 pcs</t>
        </r>
      </text>
    </comment>
    <comment ref="AB482" authorId="0">
      <text>
        <r>
          <rPr>
            <b/>
            <sz val="16"/>
            <rFont val="宋体"/>
            <charset val="134"/>
          </rPr>
          <t>Administrator:</t>
        </r>
        <r>
          <rPr>
            <sz val="16"/>
            <rFont val="宋体"/>
            <charset val="134"/>
          </rPr>
          <t xml:space="preserve">
1200270 11/1 504 pcs 王付建四楼B9
</t>
        </r>
      </text>
    </comment>
    <comment ref="AD482" authorId="0">
      <text>
        <r>
          <rPr>
            <b/>
            <sz val="16"/>
            <rFont val="宋体"/>
            <charset val="134"/>
          </rPr>
          <t>Administrator:</t>
        </r>
        <r>
          <rPr>
            <sz val="16"/>
            <rFont val="宋体"/>
            <charset val="134"/>
          </rPr>
          <t xml:space="preserve">
10/13上 邮包盒贴纸 504 pcs
10/14上 洗涤说明西班牙语 504 pcs
10/16上 WEEE电子产品说明书30L(不带电池走货B版) 504 pcs
10/17上 亚马逊外箱贴纸 21 pcs</t>
        </r>
      </text>
    </comment>
    <comment ref="AB483" authorId="0">
      <text>
        <r>
          <rPr>
            <b/>
            <sz val="16"/>
            <rFont val="宋体"/>
            <charset val="134"/>
          </rPr>
          <t>Administrator:</t>
        </r>
        <r>
          <rPr>
            <sz val="16"/>
            <rFont val="宋体"/>
            <charset val="134"/>
          </rPr>
          <t xml:space="preserve">
1200270 11/1 504 pcs 王付建四楼B8
</t>
        </r>
      </text>
    </comment>
    <comment ref="AD483" authorId="0">
      <text>
        <r>
          <rPr>
            <b/>
            <sz val="16"/>
            <rFont val="宋体"/>
            <charset val="134"/>
          </rPr>
          <t>Administrator:</t>
        </r>
        <r>
          <rPr>
            <sz val="16"/>
            <rFont val="宋体"/>
            <charset val="134"/>
          </rPr>
          <t xml:space="preserve">
10/13上 邮包盒贴纸 504 pcs
10/14上 洗涤说明西班牙语 504 pcs
10/16上 WEEE电子产品说明书30L(不带电池走货B版) 504 pcs
10/17上 亚马逊外箱贴纸 21 pcs
</t>
        </r>
      </text>
    </comment>
    <comment ref="AB484" authorId="0">
      <text>
        <r>
          <rPr>
            <b/>
            <sz val="16"/>
            <rFont val="宋体"/>
            <charset val="134"/>
          </rPr>
          <t>Administrator:</t>
        </r>
        <r>
          <rPr>
            <sz val="16"/>
            <rFont val="宋体"/>
            <charset val="134"/>
          </rPr>
          <t xml:space="preserve">
1200270 11/1 504 pcs 王付建四楼B9
</t>
        </r>
      </text>
    </comment>
    <comment ref="AD484" authorId="0">
      <text>
        <r>
          <rPr>
            <b/>
            <sz val="16"/>
            <rFont val="宋体"/>
            <charset val="134"/>
          </rPr>
          <t>Administrator:</t>
        </r>
        <r>
          <rPr>
            <sz val="16"/>
            <rFont val="宋体"/>
            <charset val="134"/>
          </rPr>
          <t xml:space="preserve">
10/13上 邮包盒贴纸 504 pcs
10/16上 WEEE电子产品说明书30L(不带电池走货B版) 504 pcs
10/28上 亚马逊外箱贴纸 21 pcs</t>
        </r>
      </text>
    </comment>
    <comment ref="AB485" authorId="0">
      <text>
        <r>
          <rPr>
            <b/>
            <sz val="16"/>
            <rFont val="宋体"/>
            <charset val="134"/>
          </rPr>
          <t>Administrator:</t>
        </r>
        <r>
          <rPr>
            <sz val="16"/>
            <rFont val="宋体"/>
            <charset val="134"/>
          </rPr>
          <t xml:space="preserve">
1200270 11/1 792 pcs 王付建四楼B1
</t>
        </r>
      </text>
    </comment>
    <comment ref="AD485" authorId="0">
      <text>
        <r>
          <rPr>
            <b/>
            <sz val="16"/>
            <rFont val="宋体"/>
            <charset val="134"/>
          </rPr>
          <t>Administrator:</t>
        </r>
        <r>
          <rPr>
            <sz val="16"/>
            <rFont val="宋体"/>
            <charset val="134"/>
          </rPr>
          <t xml:space="preserve">
10/13上 邮包盒贴纸 792 pcs
10/16上 WEEE电子产品说明书30L(不带电池走货B版) 792 pcs
10/28上 亚马逊外箱贴纸 33 pcs
</t>
        </r>
      </text>
    </comment>
    <comment ref="AB486" authorId="0">
      <text>
        <r>
          <rPr>
            <b/>
            <sz val="16"/>
            <rFont val="宋体"/>
            <charset val="134"/>
          </rPr>
          <t>Administrator:</t>
        </r>
        <r>
          <rPr>
            <sz val="16"/>
            <rFont val="宋体"/>
            <charset val="134"/>
          </rPr>
          <t xml:space="preserve">
1200270 11/1 480 pcs 王付建四楼B9
</t>
        </r>
      </text>
    </comment>
    <comment ref="AD486" authorId="0">
      <text>
        <r>
          <rPr>
            <b/>
            <sz val="16"/>
            <rFont val="宋体"/>
            <charset val="134"/>
          </rPr>
          <t>Administrator:</t>
        </r>
        <r>
          <rPr>
            <sz val="16"/>
            <rFont val="宋体"/>
            <charset val="134"/>
          </rPr>
          <t xml:space="preserve">
10/13上 邮包盒贴纸 480 pcs
10/16上 WEEE电子产品说明书30L(不带电池走货B版) 480 pcs
10/28上 亚马逊外箱贴纸 20 pcs
</t>
        </r>
      </text>
    </comment>
    <comment ref="AB487" authorId="0">
      <text>
        <r>
          <rPr>
            <b/>
            <sz val="16"/>
            <rFont val="宋体"/>
            <charset val="134"/>
          </rPr>
          <t>Administrator:</t>
        </r>
        <r>
          <rPr>
            <sz val="16"/>
            <rFont val="宋体"/>
            <charset val="134"/>
          </rPr>
          <t xml:space="preserve">
1200335 11/8 1507 pcs 华兴三楼B15</t>
        </r>
      </text>
    </comment>
    <comment ref="AD487" authorId="0">
      <text>
        <r>
          <rPr>
            <b/>
            <sz val="16"/>
            <rFont val="宋体"/>
            <charset val="134"/>
          </rPr>
          <t>Administrator:</t>
        </r>
        <r>
          <rPr>
            <sz val="16"/>
            <rFont val="宋体"/>
            <charset val="134"/>
          </rPr>
          <t xml:space="preserve">
9/29上 警告语/EAN贴纸  1507 pcs
前面上的是错的
10/28上 警告语贴纸 1507 pcs
 条码贴纸 1507 pcs</t>
        </r>
      </text>
    </comment>
    <comment ref="AB488" authorId="0">
      <text>
        <r>
          <rPr>
            <b/>
            <sz val="16"/>
            <rFont val="宋体"/>
            <charset val="134"/>
          </rPr>
          <t>Administrator:</t>
        </r>
        <r>
          <rPr>
            <sz val="16"/>
            <rFont val="宋体"/>
            <charset val="134"/>
          </rPr>
          <t xml:space="preserve">
1200311 11/5 504 pcs 华兴三楼A17</t>
        </r>
      </text>
    </comment>
    <comment ref="AD488" authorId="0">
      <text>
        <r>
          <rPr>
            <b/>
            <sz val="16"/>
            <rFont val="宋体"/>
            <charset val="134"/>
          </rPr>
          <t>Administrator:</t>
        </r>
        <r>
          <rPr>
            <sz val="16"/>
            <rFont val="宋体"/>
            <charset val="134"/>
          </rPr>
          <t xml:space="preserve">
10/13上 邮包盒贴纸 504 pcs
10/21上 WEEE电子产品说明书30L(不带电池走货B版) 504 pcs
10/22上 亚马逊外箱贴纸  21 pcs
11/4上 洗涤说明西班牙语贴纸  504 pcs</t>
        </r>
      </text>
    </comment>
    <comment ref="AB489" authorId="0">
      <text>
        <r>
          <rPr>
            <b/>
            <sz val="16"/>
            <rFont val="宋体"/>
            <charset val="134"/>
          </rPr>
          <t>Administrator:</t>
        </r>
        <r>
          <rPr>
            <sz val="16"/>
            <rFont val="宋体"/>
            <charset val="134"/>
          </rPr>
          <t xml:space="preserve">
1200311 11/5 504 pcs 华兴三楼A17</t>
        </r>
      </text>
    </comment>
    <comment ref="AD489" authorId="0">
      <text>
        <r>
          <rPr>
            <b/>
            <sz val="16"/>
            <rFont val="宋体"/>
            <charset val="134"/>
          </rPr>
          <t>Administrator:</t>
        </r>
        <r>
          <rPr>
            <sz val="16"/>
            <rFont val="宋体"/>
            <charset val="134"/>
          </rPr>
          <t xml:space="preserve">
10/13上 邮包盒贴纸 504 pcs
10/21上 WEEE电子产品说明书30L(不带电池走货B版) 504 pcs
10/22上 亚马逊外箱贴纸  21 pcs
11/4上 洗涤说明西班牙语贴纸  504 pcs
</t>
        </r>
      </text>
    </comment>
    <comment ref="AB490" authorId="0">
      <text>
        <r>
          <rPr>
            <b/>
            <sz val="16"/>
            <rFont val="宋体"/>
            <charset val="134"/>
          </rPr>
          <t>Administrator:</t>
        </r>
        <r>
          <rPr>
            <sz val="16"/>
            <rFont val="宋体"/>
            <charset val="134"/>
          </rPr>
          <t xml:space="preserve">
11/10 1200353 2244 pcs 华兴三楼B9
11/11 200360 1320 pcs</t>
        </r>
      </text>
    </comment>
    <comment ref="AD490" authorId="0">
      <text>
        <r>
          <rPr>
            <b/>
            <sz val="16"/>
            <rFont val="宋体"/>
            <charset val="134"/>
          </rPr>
          <t>Administrator:</t>
        </r>
        <r>
          <rPr>
            <sz val="16"/>
            <rFont val="宋体"/>
            <charset val="134"/>
          </rPr>
          <t xml:space="preserve">
10/21上 地址贴纸 3300 pcs
10/23上 价格贴纸 3300 pcs
 EAN贴纸 3300 pcs
 WEEE不带电池走货通用B版30L说明书 3300 pcs</t>
        </r>
      </text>
    </comment>
    <comment ref="AB491" authorId="0">
      <text>
        <r>
          <rPr>
            <b/>
            <sz val="14"/>
            <rFont val="宋体"/>
            <charset val="134"/>
          </rPr>
          <t>Administrator:</t>
        </r>
        <r>
          <rPr>
            <sz val="14"/>
            <rFont val="宋体"/>
            <charset val="134"/>
          </rPr>
          <t xml:space="preserve">
1200429 11/18 594 pcs 华兴三楼B1</t>
        </r>
      </text>
    </comment>
    <comment ref="AD491" authorId="0">
      <text>
        <r>
          <rPr>
            <b/>
            <sz val="14"/>
            <rFont val="宋体"/>
            <charset val="134"/>
          </rPr>
          <t>Administrator:</t>
        </r>
        <r>
          <rPr>
            <sz val="14"/>
            <rFont val="宋体"/>
            <charset val="134"/>
          </rPr>
          <t xml:space="preserve">
11/3上 警语贴纸 594 pcs
 不带电池出货版本WEEE说明书 594 pcs</t>
        </r>
      </text>
    </comment>
    <comment ref="AB492" authorId="0">
      <text>
        <r>
          <rPr>
            <b/>
            <sz val="14"/>
            <rFont val="宋体"/>
            <charset val="134"/>
          </rPr>
          <t>Administrator:</t>
        </r>
        <r>
          <rPr>
            <sz val="14"/>
            <rFont val="宋体"/>
            <charset val="134"/>
          </rPr>
          <t xml:space="preserve">
1200429 11/18 1122 pcs 华兴三楼A12</t>
        </r>
      </text>
    </comment>
    <comment ref="AD492" authorId="0">
      <text>
        <r>
          <rPr>
            <b/>
            <sz val="16"/>
            <rFont val="宋体"/>
            <charset val="134"/>
          </rPr>
          <t>Administrator:</t>
        </r>
        <r>
          <rPr>
            <sz val="16"/>
            <rFont val="宋体"/>
            <charset val="134"/>
          </rPr>
          <t xml:space="preserve">
10/30上 多语折叠贴纸 1122 pcs
10/31上 WEEE B 30L 通用不带电池出货黑白电池说明书 1122 pcs
 EAN条码贴纸 1122 pcs
 黑白简易说明书 1122 pcs 错的/有一面是白纸
11/7上 黑白简易说明书 1122 pcs</t>
        </r>
      </text>
    </comment>
    <comment ref="AB493" authorId="0">
      <text>
        <r>
          <rPr>
            <b/>
            <sz val="14"/>
            <rFont val="宋体"/>
            <charset val="134"/>
          </rPr>
          <t>Administrator:</t>
        </r>
        <r>
          <rPr>
            <sz val="14"/>
            <rFont val="宋体"/>
            <charset val="134"/>
          </rPr>
          <t xml:space="preserve">
1200429 11/18 1100 pcs 华兴三楼B15</t>
        </r>
      </text>
    </comment>
    <comment ref="AD493" authorId="0">
      <text>
        <r>
          <rPr>
            <b/>
            <sz val="16"/>
            <rFont val="宋体"/>
            <charset val="134"/>
          </rPr>
          <t>Administrator:</t>
        </r>
        <r>
          <rPr>
            <sz val="16"/>
            <rFont val="宋体"/>
            <charset val="134"/>
          </rPr>
          <t xml:space="preserve">
11/4上 EAN条码贴纸 1100 pcs</t>
        </r>
      </text>
    </comment>
    <comment ref="AB494" authorId="0">
      <text>
        <r>
          <rPr>
            <b/>
            <sz val="14"/>
            <rFont val="宋体"/>
            <charset val="134"/>
          </rPr>
          <t>Administrator:</t>
        </r>
        <r>
          <rPr>
            <sz val="14"/>
            <rFont val="宋体"/>
            <charset val="134"/>
          </rPr>
          <t xml:space="preserve">
1200477 11/20 1188 pcs 王四楼A8
1200499 11/24 22 pcs</t>
        </r>
      </text>
    </comment>
    <comment ref="AD494" authorId="0">
      <text>
        <r>
          <rPr>
            <b/>
            <sz val="16"/>
            <rFont val="宋体"/>
            <charset val="134"/>
          </rPr>
          <t>Administrator:</t>
        </r>
        <r>
          <rPr>
            <sz val="16"/>
            <rFont val="宋体"/>
            <charset val="134"/>
          </rPr>
          <t xml:space="preserve">
10/21上 WEEE声明（不带电池走货版本的通用30L说明书） 1210 pcs
11/10上 进口商贴纸 1815 pcs</t>
        </r>
      </text>
    </comment>
    <comment ref="AB495" authorId="0">
      <text>
        <r>
          <rPr>
            <b/>
            <sz val="16"/>
            <rFont val="宋体"/>
            <charset val="134"/>
          </rPr>
          <t>Administrator:</t>
        </r>
        <r>
          <rPr>
            <sz val="16"/>
            <rFont val="宋体"/>
            <charset val="134"/>
          </rPr>
          <t xml:space="preserve">
1200437 11/18 4796 pcs 华兴三楼B12
1200451 11/19 11 pcs B12</t>
        </r>
      </text>
    </comment>
    <comment ref="AD495" authorId="0">
      <text>
        <r>
          <rPr>
            <b/>
            <sz val="14"/>
            <rFont val="宋体"/>
            <charset val="134"/>
          </rPr>
          <t>Administrator:</t>
        </r>
        <r>
          <rPr>
            <sz val="14"/>
            <rFont val="宋体"/>
            <charset val="134"/>
          </rPr>
          <t xml:space="preserve">
11/10上 EAN条码贴纸 4807 pcs
 B版WEEE30L不带电池走货说明书 4807 pcs
11/13上 多语折叠警语贴纸 4807 pcs</t>
        </r>
      </text>
    </comment>
    <comment ref="AB496" authorId="0">
      <text>
        <r>
          <rPr>
            <b/>
            <sz val="16"/>
            <rFont val="宋体"/>
            <charset val="134"/>
          </rPr>
          <t>Administrator:</t>
        </r>
        <r>
          <rPr>
            <sz val="16"/>
            <rFont val="宋体"/>
            <charset val="134"/>
          </rPr>
          <t xml:space="preserve">
1200433 11/18 504 pcs 华兴三楼B9</t>
        </r>
      </text>
    </comment>
    <comment ref="AD496" authorId="0">
      <text>
        <r>
          <rPr>
            <b/>
            <sz val="16"/>
            <rFont val="宋体"/>
            <charset val="134"/>
          </rPr>
          <t>Administrator:</t>
        </r>
        <r>
          <rPr>
            <sz val="16"/>
            <rFont val="宋体"/>
            <charset val="134"/>
          </rPr>
          <t xml:space="preserve">
10/13上 邮包盒贴纸 504 pcs
11/7上 WEEE电子产品说明书30L(不带电
池走货B版) 504 pcs
11/11上 亚马逊外箱贴纸21 pcs</t>
        </r>
      </text>
    </comment>
    <comment ref="AB497" authorId="0">
      <text>
        <r>
          <rPr>
            <b/>
            <sz val="16"/>
            <rFont val="宋体"/>
            <charset val="134"/>
          </rPr>
          <t>Administrator:</t>
        </r>
        <r>
          <rPr>
            <sz val="16"/>
            <rFont val="宋体"/>
            <charset val="134"/>
          </rPr>
          <t xml:space="preserve">
1200437 11/18 768 pcs 华兴三楼B9</t>
        </r>
      </text>
    </comment>
    <comment ref="AD497" authorId="0">
      <text>
        <r>
          <rPr>
            <b/>
            <sz val="16"/>
            <rFont val="宋体"/>
            <charset val="134"/>
          </rPr>
          <t>Administrator:</t>
        </r>
        <r>
          <rPr>
            <sz val="16"/>
            <rFont val="宋体"/>
            <charset val="134"/>
          </rPr>
          <t xml:space="preserve">
10/13上 邮包盒贴纸768 pcs
11/7上 WEEE电子产品说明书30L(不带电
池走货B版) 768 pcs
11/11上 亚马逊外箱贴纸 32 pcs
</t>
        </r>
      </text>
    </comment>
    <comment ref="AB498" authorId="0">
      <text>
        <r>
          <rPr>
            <b/>
            <sz val="16"/>
            <rFont val="宋体"/>
            <charset val="134"/>
          </rPr>
          <t>Administrator:</t>
        </r>
        <r>
          <rPr>
            <sz val="16"/>
            <rFont val="宋体"/>
            <charset val="134"/>
          </rPr>
          <t xml:space="preserve">
1200433 11/18 960 pcs 华兴三楼B9</t>
        </r>
      </text>
    </comment>
    <comment ref="AD498" authorId="0">
      <text>
        <r>
          <rPr>
            <b/>
            <sz val="16"/>
            <rFont val="宋体"/>
            <charset val="134"/>
          </rPr>
          <t>Administrator:</t>
        </r>
        <r>
          <rPr>
            <sz val="16"/>
            <rFont val="宋体"/>
            <charset val="134"/>
          </rPr>
          <t xml:space="preserve">
10/13上 邮包盒贴纸 960 pcs
11/7上 WEEE电子产品说明书30L(不带电池走货B版) 960 pcs
11/11上 亚马逊外箱贴纸 40 pcs</t>
        </r>
      </text>
    </comment>
    <comment ref="AB499" authorId="0">
      <text>
        <r>
          <rPr>
            <b/>
            <sz val="16"/>
            <rFont val="宋体"/>
            <charset val="134"/>
          </rPr>
          <t>Administrator:</t>
        </r>
        <r>
          <rPr>
            <sz val="16"/>
            <rFont val="宋体"/>
            <charset val="134"/>
          </rPr>
          <t xml:space="preserve">
1200433 11/18 504 pcs 华兴三楼B9</t>
        </r>
      </text>
    </comment>
    <comment ref="AD499" authorId="0">
      <text>
        <r>
          <rPr>
            <b/>
            <sz val="16"/>
            <rFont val="宋体"/>
            <charset val="134"/>
          </rPr>
          <t>Administrator:</t>
        </r>
        <r>
          <rPr>
            <sz val="16"/>
            <rFont val="宋体"/>
            <charset val="134"/>
          </rPr>
          <t xml:space="preserve">
10/13上 邮包盒贴纸 504 pcs
11/7上 WEEE电子产品说明书30L(不带电
池走货B版) 504 pcs
11/11上 亚马逊外箱贴纸 21 pcs</t>
        </r>
      </text>
    </comment>
    <comment ref="AB500" authorId="0">
      <text>
        <r>
          <rPr>
            <b/>
            <sz val="16"/>
            <rFont val="宋体"/>
            <charset val="134"/>
          </rPr>
          <t>Administrator:</t>
        </r>
        <r>
          <rPr>
            <sz val="16"/>
            <rFont val="宋体"/>
            <charset val="134"/>
          </rPr>
          <t xml:space="preserve">
1200433 11/18 504 pcs 华兴三楼B9</t>
        </r>
      </text>
    </comment>
    <comment ref="AD500" authorId="0">
      <text>
        <r>
          <rPr>
            <b/>
            <sz val="16"/>
            <rFont val="宋体"/>
            <charset val="134"/>
          </rPr>
          <t>Administrator:</t>
        </r>
        <r>
          <rPr>
            <sz val="16"/>
            <rFont val="宋体"/>
            <charset val="134"/>
          </rPr>
          <t xml:space="preserve">
10/13上 邮包盒贴纸 504 pcs
11/7上 WEEE电子产品说明书30L(不带电
池走货B版) 504 pcs
11/11上 亚马逊外箱贴纸 21 pcs</t>
        </r>
      </text>
    </comment>
    <comment ref="AB501" authorId="0">
      <text>
        <r>
          <rPr>
            <b/>
            <sz val="16"/>
            <rFont val="宋体"/>
            <charset val="134"/>
          </rPr>
          <t>Administrator:</t>
        </r>
        <r>
          <rPr>
            <sz val="16"/>
            <rFont val="宋体"/>
            <charset val="134"/>
          </rPr>
          <t xml:space="preserve">
1200511 11/25 3600 pcs 王四楼B7</t>
        </r>
      </text>
    </comment>
    <comment ref="AD501" authorId="0">
      <text>
        <r>
          <rPr>
            <b/>
            <sz val="14"/>
            <rFont val="宋体"/>
            <charset val="134"/>
          </rPr>
          <t>Administrator:</t>
        </r>
        <r>
          <rPr>
            <sz val="14"/>
            <rFont val="宋体"/>
            <charset val="134"/>
          </rPr>
          <t xml:space="preserve">
11/3上 价格贴纸 3600 pcs 
 外箱条码贴纸 300 pcs</t>
        </r>
      </text>
    </comment>
    <comment ref="AB502" authorId="0">
      <text>
        <r>
          <rPr>
            <b/>
            <sz val="14"/>
            <rFont val="宋体"/>
            <charset val="134"/>
          </rPr>
          <t>Administrator:</t>
        </r>
        <r>
          <rPr>
            <sz val="14"/>
            <rFont val="宋体"/>
            <charset val="134"/>
          </rPr>
          <t xml:space="preserve">
1200525 11/26 1078  pcs 华兴三楼B8
1200561 11/28 22 pcs</t>
        </r>
      </text>
    </comment>
    <comment ref="AD502" authorId="0">
      <text>
        <r>
          <rPr>
            <b/>
            <sz val="16"/>
            <rFont val="宋体"/>
            <charset val="134"/>
          </rPr>
          <t>Administrator:</t>
        </r>
        <r>
          <rPr>
            <sz val="16"/>
            <rFont val="宋体"/>
            <charset val="134"/>
          </rPr>
          <t xml:space="preserve">
11/7上 多语折叠贴纸 1100 pcs
11/4上 B版WEEE不带电池走货说明书 1100 pcs
11/14上 条码贴纸 1100 pcs</t>
        </r>
      </text>
    </comment>
    <comment ref="AB503" authorId="0">
      <text>
        <r>
          <rPr>
            <b/>
            <sz val="16"/>
            <rFont val="宋体"/>
            <charset val="134"/>
          </rPr>
          <t>Administrator:</t>
        </r>
        <r>
          <rPr>
            <sz val="16"/>
            <rFont val="宋体"/>
            <charset val="134"/>
          </rPr>
          <t xml:space="preserve">
1200433 11/18 2016 pcs 华兴三楼B12</t>
        </r>
      </text>
    </comment>
    <comment ref="AD503" authorId="0">
      <text>
        <r>
          <rPr>
            <b/>
            <sz val="16"/>
            <rFont val="宋体"/>
            <charset val="134"/>
          </rPr>
          <t>Administrator:</t>
        </r>
        <r>
          <rPr>
            <sz val="16"/>
            <rFont val="宋体"/>
            <charset val="134"/>
          </rPr>
          <t xml:space="preserve">
10/11上 客人白色Cat.label 2016 pcs
 B版WEEE30L不带电走货说明书 2016 pcs</t>
        </r>
      </text>
    </comment>
    <comment ref="AB504" authorId="0">
      <text>
        <r>
          <rPr>
            <b/>
            <sz val="16"/>
            <rFont val="宋体"/>
            <charset val="134"/>
          </rPr>
          <t>Administrator:</t>
        </r>
        <r>
          <rPr>
            <sz val="16"/>
            <rFont val="宋体"/>
            <charset val="134"/>
          </rPr>
          <t xml:space="preserve">
1200550 11/27 504 pcs 华兴三楼B8</t>
        </r>
      </text>
    </comment>
    <comment ref="AD504" authorId="0">
      <text>
        <r>
          <rPr>
            <b/>
            <sz val="16"/>
            <rFont val="宋体"/>
            <charset val="134"/>
          </rPr>
          <t>Administrator:</t>
        </r>
        <r>
          <rPr>
            <sz val="16"/>
            <rFont val="宋体"/>
            <charset val="134"/>
          </rPr>
          <t xml:space="preserve">
10/13上 邮包盒贴纸 504 pcs
10/30上 亚马逊外箱贴纸 21 pcs
11/7上 WEEE电子产品说明书30L(不带电池走货B版) 504 pcs</t>
        </r>
      </text>
    </comment>
    <comment ref="AB505" authorId="0">
      <text>
        <r>
          <rPr>
            <b/>
            <sz val="16"/>
            <rFont val="宋体"/>
            <charset val="134"/>
          </rPr>
          <t>Administrator:</t>
        </r>
        <r>
          <rPr>
            <sz val="16"/>
            <rFont val="宋体"/>
            <charset val="134"/>
          </rPr>
          <t xml:space="preserve">
1200550 11/27 504 pcs 华兴三楼B8</t>
        </r>
      </text>
    </comment>
    <comment ref="AD505" authorId="0">
      <text>
        <r>
          <rPr>
            <b/>
            <sz val="16"/>
            <rFont val="宋体"/>
            <charset val="134"/>
          </rPr>
          <t>Administrator:</t>
        </r>
        <r>
          <rPr>
            <sz val="16"/>
            <rFont val="宋体"/>
            <charset val="134"/>
          </rPr>
          <t xml:space="preserve">
10/13上 邮包盒贴纸 504 pcs
10/30上 亚马逊外箱贴纸 21 pcs
11/7上 WEEE电子产品说明书30L(不带电池走货B版) 504 pcs</t>
        </r>
      </text>
    </comment>
    <comment ref="AB506" authorId="0">
      <text>
        <r>
          <rPr>
            <b/>
            <sz val="14"/>
            <rFont val="宋体"/>
            <charset val="134"/>
          </rPr>
          <t>Administrator:</t>
        </r>
        <r>
          <rPr>
            <sz val="14"/>
            <rFont val="宋体"/>
            <charset val="134"/>
          </rPr>
          <t xml:space="preserve">
1200525 11/26 2496  pcs 华兴三楼B9</t>
        </r>
      </text>
    </comment>
    <comment ref="AD506" authorId="0">
      <text>
        <r>
          <rPr>
            <b/>
            <sz val="16"/>
            <rFont val="宋体"/>
            <charset val="134"/>
          </rPr>
          <t>Administrator:</t>
        </r>
        <r>
          <rPr>
            <sz val="16"/>
            <rFont val="宋体"/>
            <charset val="134"/>
          </rPr>
          <t xml:space="preserve">
11/10上 EAN条码贴纸2496 pcs
德语callout贴纸 2496 pcs
欧洲通用30LB版WEEE说明书（不带电）2496 pcs</t>
        </r>
      </text>
    </comment>
    <comment ref="AB507" authorId="0">
      <text>
        <r>
          <rPr>
            <b/>
            <sz val="16"/>
            <rFont val="宋体"/>
            <charset val="134"/>
          </rPr>
          <t>Administrator:</t>
        </r>
        <r>
          <rPr>
            <sz val="16"/>
            <rFont val="宋体"/>
            <charset val="134"/>
          </rPr>
          <t xml:space="preserve">
1200557 11/27 2376 pcs 华兴一楼F3
1200561 11/28 24 pcs</t>
        </r>
      </text>
    </comment>
    <comment ref="AD507" authorId="0">
      <text>
        <r>
          <rPr>
            <b/>
            <sz val="14"/>
            <rFont val="宋体"/>
            <charset val="134"/>
          </rPr>
          <t>Administrator:</t>
        </r>
        <r>
          <rPr>
            <sz val="14"/>
            <rFont val="宋体"/>
            <charset val="134"/>
          </rPr>
          <t xml:space="preserve">
10/31上 WEEE不带电池走货欧洲30语通用黑白说明书 2400 pcs
111/5上 客供价格贴纸 2520 pcs</t>
        </r>
      </text>
    </comment>
    <comment ref="AB508" authorId="0">
      <text>
        <r>
          <rPr>
            <b/>
            <sz val="16"/>
            <rFont val="宋体"/>
            <charset val="134"/>
          </rPr>
          <t>Administrator:</t>
        </r>
        <r>
          <rPr>
            <sz val="16"/>
            <rFont val="宋体"/>
            <charset val="134"/>
          </rPr>
          <t xml:space="preserve">
1200557 11/27 1536 pcs 华兴一楼F3
1200561 11/28 24 pcs
</t>
        </r>
      </text>
    </comment>
    <comment ref="AD508" authorId="0">
      <text>
        <r>
          <rPr>
            <b/>
            <sz val="16"/>
            <rFont val="宋体"/>
            <charset val="134"/>
          </rPr>
          <t>Administrator:</t>
        </r>
        <r>
          <rPr>
            <sz val="16"/>
            <rFont val="宋体"/>
            <charset val="134"/>
          </rPr>
          <t xml:space="preserve">
10/13上 WEEE不带电池走货欧洲30语通用黑白说明书 1560 pcs
  波兰语警告语贴纸 1560 pcs
11/5上 客供价格贴纸 1683 pcs</t>
        </r>
      </text>
    </comment>
    <comment ref="AB509" authorId="0">
      <text>
        <r>
          <rPr>
            <b/>
            <sz val="16"/>
            <rFont val="宋体"/>
            <charset val="134"/>
          </rPr>
          <t>Administrator:</t>
        </r>
        <r>
          <rPr>
            <sz val="16"/>
            <rFont val="宋体"/>
            <charset val="134"/>
          </rPr>
          <t xml:space="preserve">
1200181 12/1 605 pcs 华兴三楼B4</t>
        </r>
      </text>
    </comment>
    <comment ref="AD509" authorId="0">
      <text>
        <r>
          <rPr>
            <b/>
            <sz val="16"/>
            <rFont val="宋体"/>
            <charset val="134"/>
          </rPr>
          <t>Administrator:</t>
        </r>
        <r>
          <rPr>
            <sz val="16"/>
            <rFont val="宋体"/>
            <charset val="134"/>
          </rPr>
          <t xml:space="preserve">
10/25上 瑞典语/EAN贴纸 605 pcs
 说明书 605 pcs
11/21上 条码贴纸 605 pcs</t>
        </r>
      </text>
    </comment>
    <comment ref="AB510" authorId="0">
      <text>
        <r>
          <rPr>
            <b/>
            <sz val="16"/>
            <rFont val="宋体"/>
            <charset val="134"/>
          </rPr>
          <t>Administrator:</t>
        </r>
        <r>
          <rPr>
            <sz val="16"/>
            <rFont val="宋体"/>
            <charset val="134"/>
          </rPr>
          <t xml:space="preserve">
1200614 12/2 1210 pcs 华兴三楼B15</t>
        </r>
      </text>
    </comment>
    <comment ref="AD510" authorId="0">
      <text>
        <r>
          <rPr>
            <b/>
            <sz val="16"/>
            <rFont val="宋体"/>
            <charset val="134"/>
          </rPr>
          <t>Administrator:</t>
        </r>
        <r>
          <rPr>
            <sz val="16"/>
            <rFont val="宋体"/>
            <charset val="134"/>
          </rPr>
          <t xml:space="preserve">
11/7上 多语折叠贴纸 1210 pcs
11/4上 B版WEEE不带电池走货说明书 1210 pcs
11/29上 EAN贴纸 1210 pcs</t>
        </r>
      </text>
    </comment>
    <comment ref="AB511" authorId="0">
      <text>
        <r>
          <rPr>
            <b/>
            <sz val="16"/>
            <rFont val="宋体"/>
            <charset val="134"/>
          </rPr>
          <t>Administrator:</t>
        </r>
        <r>
          <rPr>
            <sz val="16"/>
            <rFont val="宋体"/>
            <charset val="134"/>
          </rPr>
          <t xml:space="preserve">
1200181 12/1 616 pcs 华兴三楼A6</t>
        </r>
      </text>
    </comment>
    <comment ref="AD511" authorId="0">
      <text>
        <r>
          <rPr>
            <b/>
            <sz val="14"/>
            <rFont val="宋体"/>
            <charset val="134"/>
          </rPr>
          <t>Administrator:</t>
        </r>
        <r>
          <rPr>
            <sz val="14"/>
            <rFont val="宋体"/>
            <charset val="134"/>
          </rPr>
          <t xml:space="preserve">
11/13上 客供价格贴纸 630 pcs</t>
        </r>
      </text>
    </comment>
    <comment ref="AB512" authorId="0">
      <text>
        <r>
          <rPr>
            <b/>
            <sz val="16"/>
            <rFont val="宋体"/>
            <charset val="134"/>
          </rPr>
          <t>Administrator:</t>
        </r>
        <r>
          <rPr>
            <sz val="16"/>
            <rFont val="宋体"/>
            <charset val="134"/>
          </rPr>
          <t xml:space="preserve">
1200177 11/29 220 pcs 兴信</t>
        </r>
      </text>
    </comment>
    <comment ref="AB513" authorId="0">
      <text>
        <r>
          <rPr>
            <b/>
            <sz val="16"/>
            <rFont val="宋体"/>
            <charset val="134"/>
          </rPr>
          <t>Administrator:</t>
        </r>
        <r>
          <rPr>
            <sz val="16"/>
            <rFont val="宋体"/>
            <charset val="134"/>
          </rPr>
          <t xml:space="preserve">
1200646 12/4 308 pcs  华兴三楼B14
</t>
        </r>
      </text>
    </comment>
    <comment ref="AD513" authorId="0">
      <text>
        <r>
          <rPr>
            <b/>
            <sz val="16"/>
            <rFont val="宋体"/>
            <charset val="134"/>
          </rPr>
          <t>Administrator:</t>
        </r>
        <r>
          <rPr>
            <sz val="16"/>
            <rFont val="宋体"/>
            <charset val="134"/>
          </rPr>
          <t xml:space="preserve">
11/21上 丹麦瑞典芬兰挪威语警告语 308 pcs</t>
        </r>
      </text>
    </comment>
    <comment ref="AB514" authorId="0">
      <text>
        <r>
          <rPr>
            <b/>
            <sz val="14"/>
            <rFont val="宋体"/>
            <charset val="134"/>
          </rPr>
          <t>Administrator:</t>
        </r>
        <r>
          <rPr>
            <sz val="14"/>
            <rFont val="宋体"/>
            <charset val="134"/>
          </rPr>
          <t xml:space="preserve">
1200768 12/12 506 pcs 王四楼B1</t>
        </r>
      </text>
    </comment>
    <comment ref="AD514" authorId="0">
      <text>
        <r>
          <rPr>
            <b/>
            <sz val="16"/>
            <rFont val="宋体"/>
            <charset val="134"/>
          </rPr>
          <t>Administrator:</t>
        </r>
        <r>
          <rPr>
            <sz val="16"/>
            <rFont val="宋体"/>
            <charset val="134"/>
          </rPr>
          <t xml:space="preserve">
11/15上 进口商贴纸 506 pcs
 PDQ 贴纸 46 pcs
因少订PDQ贴纸 11/25上 218 PDQ贴纸 </t>
        </r>
      </text>
    </comment>
    <comment ref="AB515" authorId="0">
      <text>
        <r>
          <rPr>
            <b/>
            <sz val="14"/>
            <rFont val="宋体"/>
            <charset val="134"/>
          </rPr>
          <t>Administrator:</t>
        </r>
        <r>
          <rPr>
            <sz val="14"/>
            <rFont val="宋体"/>
            <charset val="134"/>
          </rPr>
          <t xml:space="preserve">
1200768 12/12 7986 pcs 王四楼A6
1200788 12/13 22 pcs </t>
        </r>
      </text>
    </comment>
    <comment ref="AD515" authorId="0">
      <text>
        <r>
          <rPr>
            <b/>
            <sz val="14"/>
            <rFont val="宋体"/>
            <charset val="134"/>
          </rPr>
          <t>Administrator:</t>
        </r>
        <r>
          <rPr>
            <sz val="14"/>
            <rFont val="宋体"/>
            <charset val="134"/>
          </rPr>
          <t xml:space="preserve">
11/7上 保证书 8008 pcs
 产品进口商贴纸 8008 pcs
 包装进口商贴纸 8008 pcs
说明书进口商贴纸 8008 pcs</t>
        </r>
      </text>
    </comment>
    <comment ref="AB516" authorId="0">
      <text>
        <r>
          <rPr>
            <b/>
            <sz val="16"/>
            <rFont val="宋体"/>
            <charset val="134"/>
          </rPr>
          <t>Administrator:</t>
        </r>
        <r>
          <rPr>
            <sz val="16"/>
            <rFont val="宋体"/>
            <charset val="134"/>
          </rPr>
          <t xml:space="preserve">
1601017 1/7 682 pcs 四楼B5     
1601044 1/8 22 pcs</t>
        </r>
      </text>
    </comment>
    <comment ref="AD516" authorId="0">
      <text>
        <r>
          <rPr>
            <b/>
            <sz val="16"/>
            <rFont val="宋体"/>
            <charset val="134"/>
          </rPr>
          <t>Administrator:</t>
        </r>
        <r>
          <rPr>
            <sz val="16"/>
            <rFont val="宋体"/>
            <charset val="134"/>
          </rPr>
          <t xml:space="preserve">
12/1上 客供价格贴纸 735 pcs
12/31上 保证书 704 pcs
 包装贴纸 704 pcs
 说明书贴纸 704 pcs</t>
        </r>
      </text>
    </comment>
    <comment ref="AB517" authorId="0">
      <text>
        <r>
          <rPr>
            <b/>
            <sz val="16"/>
            <rFont val="宋体"/>
            <charset val="134"/>
          </rPr>
          <t>Administrator:</t>
        </r>
        <r>
          <rPr>
            <sz val="16"/>
            <rFont val="宋体"/>
            <charset val="134"/>
          </rPr>
          <t xml:space="preserve">
1200198 12/6 756 pcs 王四楼A3</t>
        </r>
      </text>
    </comment>
    <comment ref="AD517" authorId="0">
      <text>
        <r>
          <rPr>
            <b/>
            <sz val="16"/>
            <rFont val="宋体"/>
            <charset val="134"/>
          </rPr>
          <t>Administrator:</t>
        </r>
        <r>
          <rPr>
            <sz val="16"/>
            <rFont val="宋体"/>
            <charset val="134"/>
          </rPr>
          <t xml:space="preserve">
11/28上 WIC贴纸 6378 pcs
12/1上 PDQ折页 1063 pcs</t>
        </r>
      </text>
    </comment>
    <comment ref="AB518" authorId="0">
      <text>
        <r>
          <rPr>
            <b/>
            <sz val="16"/>
            <rFont val="宋体"/>
            <charset val="134"/>
          </rPr>
          <t>Administrator:</t>
        </r>
        <r>
          <rPr>
            <sz val="16"/>
            <rFont val="宋体"/>
            <charset val="134"/>
          </rPr>
          <t xml:space="preserve">
1200198 12/6 1386 pcs 王四楼A3</t>
        </r>
      </text>
    </comment>
    <comment ref="AB519" authorId="0">
      <text>
        <r>
          <rPr>
            <b/>
            <sz val="16"/>
            <rFont val="宋体"/>
            <charset val="134"/>
          </rPr>
          <t>Administrator:</t>
        </r>
        <r>
          <rPr>
            <sz val="16"/>
            <rFont val="宋体"/>
            <charset val="134"/>
          </rPr>
          <t xml:space="preserve">
1200198 12/6 630 pcs 王四楼A3</t>
        </r>
      </text>
    </comment>
    <comment ref="AB520" authorId="0">
      <text>
        <r>
          <rPr>
            <b/>
            <sz val="16"/>
            <rFont val="宋体"/>
            <charset val="134"/>
          </rPr>
          <t>Administrator:</t>
        </r>
        <r>
          <rPr>
            <sz val="16"/>
            <rFont val="宋体"/>
            <charset val="134"/>
          </rPr>
          <t xml:space="preserve">
1200198 12/6 276 pcs 王四楼A3</t>
        </r>
      </text>
    </comment>
    <comment ref="AB521" authorId="0">
      <text>
        <r>
          <rPr>
            <b/>
            <sz val="16"/>
            <rFont val="宋体"/>
            <charset val="134"/>
          </rPr>
          <t>Administrator:</t>
        </r>
        <r>
          <rPr>
            <sz val="16"/>
            <rFont val="宋体"/>
            <charset val="134"/>
          </rPr>
          <t xml:space="preserve">
1200198 12/6 72 pcs 王四楼A3</t>
        </r>
      </text>
    </comment>
    <comment ref="AB522" authorId="0">
      <text>
        <r>
          <rPr>
            <b/>
            <sz val="16"/>
            <rFont val="宋体"/>
            <charset val="134"/>
          </rPr>
          <t>Administrator:</t>
        </r>
        <r>
          <rPr>
            <sz val="16"/>
            <rFont val="宋体"/>
            <charset val="134"/>
          </rPr>
          <t xml:space="preserve">
1200198 12/6 1134 pcs王四楼A3</t>
        </r>
      </text>
    </comment>
    <comment ref="AB523" authorId="0">
      <text>
        <r>
          <rPr>
            <b/>
            <sz val="16"/>
            <rFont val="宋体"/>
            <charset val="134"/>
          </rPr>
          <t>Administrator:</t>
        </r>
        <r>
          <rPr>
            <sz val="16"/>
            <rFont val="宋体"/>
            <charset val="134"/>
          </rPr>
          <t xml:space="preserve">
1200198 12/6 444 pcs 王四楼A3</t>
        </r>
      </text>
    </comment>
    <comment ref="AB524" authorId="0">
      <text>
        <r>
          <rPr>
            <b/>
            <sz val="16"/>
            <rFont val="宋体"/>
            <charset val="134"/>
          </rPr>
          <t>Administrator:</t>
        </r>
        <r>
          <rPr>
            <sz val="16"/>
            <rFont val="宋体"/>
            <charset val="134"/>
          </rPr>
          <t xml:space="preserve">
1200198 12/6 822 pcs 王四楼A3</t>
        </r>
      </text>
    </comment>
    <comment ref="AB525" authorId="0">
      <text>
        <r>
          <rPr>
            <b/>
            <sz val="16"/>
            <rFont val="宋体"/>
            <charset val="134"/>
          </rPr>
          <t>Administrator:</t>
        </r>
        <r>
          <rPr>
            <sz val="16"/>
            <rFont val="宋体"/>
            <charset val="134"/>
          </rPr>
          <t xml:space="preserve">
1200198 12/6 858 pcs 王四楼A3</t>
        </r>
      </text>
    </comment>
    <comment ref="AB526" authorId="0">
      <text>
        <r>
          <rPr>
            <b/>
            <sz val="16"/>
            <rFont val="宋体"/>
            <charset val="134"/>
          </rPr>
          <t>Administrator:</t>
        </r>
        <r>
          <rPr>
            <sz val="16"/>
            <rFont val="宋体"/>
            <charset val="134"/>
          </rPr>
          <t xml:space="preserve">
1200157 12/19 924 pcs 四楼B9</t>
        </r>
      </text>
    </comment>
    <comment ref="AD526" authorId="0">
      <text>
        <r>
          <rPr>
            <b/>
            <sz val="16"/>
            <rFont val="宋体"/>
            <charset val="134"/>
          </rPr>
          <t>Administrator:</t>
        </r>
        <r>
          <rPr>
            <sz val="16"/>
            <rFont val="宋体"/>
            <charset val="134"/>
          </rPr>
          <t xml:space="preserve">
11/18上 EAN条码贴纸 924 pcs
11/21上 进口商贴纸 924 pcs</t>
        </r>
      </text>
    </comment>
    <comment ref="AB527" authorId="0">
      <text>
        <r>
          <rPr>
            <b/>
            <sz val="16"/>
            <rFont val="宋体"/>
            <charset val="134"/>
          </rPr>
          <t>Administrator:</t>
        </r>
        <r>
          <rPr>
            <sz val="16"/>
            <rFont val="宋体"/>
            <charset val="134"/>
          </rPr>
          <t xml:space="preserve">
1201010 12/19 96 pcs 华兴三楼B15</t>
        </r>
      </text>
    </comment>
    <comment ref="AD527" authorId="0">
      <text>
        <r>
          <rPr>
            <b/>
            <sz val="16"/>
            <rFont val="宋体"/>
            <charset val="134"/>
          </rPr>
          <t>Administrator:</t>
        </r>
        <r>
          <rPr>
            <sz val="16"/>
            <rFont val="宋体"/>
            <charset val="134"/>
          </rPr>
          <t xml:space="preserve">
11/27上 客供亚马逊外箱贴纸 4 pcs
12/3上 UPC贴纸 96 pcs</t>
        </r>
      </text>
    </comment>
    <comment ref="AB528" authorId="0">
      <text>
        <r>
          <rPr>
            <b/>
            <sz val="16"/>
            <rFont val="宋体"/>
            <charset val="134"/>
          </rPr>
          <t>Administrator:</t>
        </r>
        <r>
          <rPr>
            <sz val="16"/>
            <rFont val="宋体"/>
            <charset val="134"/>
          </rPr>
          <t xml:space="preserve">
1201010 12/19 24 pcs 华兴三楼B15
</t>
        </r>
      </text>
    </comment>
    <comment ref="AD528" authorId="0">
      <text>
        <r>
          <rPr>
            <b/>
            <sz val="16"/>
            <rFont val="宋体"/>
            <charset val="134"/>
          </rPr>
          <t>Administrator:</t>
        </r>
        <r>
          <rPr>
            <sz val="16"/>
            <rFont val="宋体"/>
            <charset val="134"/>
          </rPr>
          <t xml:space="preserve">
11/27上 客供亚马逊外箱贴纸 1 pcs
12/3上 UPC贴纸 24 pcs
</t>
        </r>
      </text>
    </comment>
    <comment ref="AB529" authorId="0">
      <text>
        <r>
          <rPr>
            <b/>
            <sz val="16"/>
            <rFont val="宋体"/>
            <charset val="134"/>
          </rPr>
          <t>Administrator:</t>
        </r>
        <r>
          <rPr>
            <sz val="16"/>
            <rFont val="宋体"/>
            <charset val="134"/>
          </rPr>
          <t xml:space="preserve">
1201010 12/19 72 pcs 华兴三楼B15
</t>
        </r>
      </text>
    </comment>
    <comment ref="AD529" authorId="0">
      <text>
        <r>
          <rPr>
            <b/>
            <sz val="16"/>
            <rFont val="宋体"/>
            <charset val="134"/>
          </rPr>
          <t>Administrator:</t>
        </r>
        <r>
          <rPr>
            <sz val="16"/>
            <rFont val="宋体"/>
            <charset val="134"/>
          </rPr>
          <t xml:space="preserve">
11/27上 客供亚马逊外箱贴纸 3 pcs
12/3上 UPC贴纸 72 pcs
</t>
        </r>
      </text>
    </comment>
    <comment ref="AB530" authorId="0">
      <text>
        <r>
          <rPr>
            <b/>
            <sz val="16"/>
            <rFont val="宋体"/>
            <charset val="134"/>
          </rPr>
          <t>Administrator:</t>
        </r>
        <r>
          <rPr>
            <sz val="16"/>
            <rFont val="宋体"/>
            <charset val="134"/>
          </rPr>
          <t xml:space="preserve">
1201010 12/19 24 pcs 华兴三楼B15
</t>
        </r>
      </text>
    </comment>
    <comment ref="AD530" authorId="0">
      <text>
        <r>
          <rPr>
            <b/>
            <sz val="16"/>
            <rFont val="宋体"/>
            <charset val="134"/>
          </rPr>
          <t>Administrator:</t>
        </r>
        <r>
          <rPr>
            <sz val="16"/>
            <rFont val="宋体"/>
            <charset val="134"/>
          </rPr>
          <t xml:space="preserve">
11/27上 客供亚马逊外箱贴纸 1 pcs
12/3上 UPC贴纸 24 pcs
</t>
        </r>
      </text>
    </comment>
    <comment ref="AB531" authorId="0">
      <text>
        <r>
          <rPr>
            <b/>
            <sz val="16"/>
            <rFont val="宋体"/>
            <charset val="134"/>
          </rPr>
          <t>Administrator:</t>
        </r>
        <r>
          <rPr>
            <sz val="16"/>
            <rFont val="宋体"/>
            <charset val="134"/>
          </rPr>
          <t xml:space="preserve">
1200983 12/18 1936 pcs 华兴三楼B14</t>
        </r>
      </text>
    </comment>
    <comment ref="AD531" authorId="0">
      <text>
        <r>
          <rPr>
            <b/>
            <sz val="16"/>
            <rFont val="宋体"/>
            <charset val="134"/>
          </rPr>
          <t>Administrator:</t>
        </r>
        <r>
          <rPr>
            <sz val="16"/>
            <rFont val="宋体"/>
            <charset val="134"/>
          </rPr>
          <t xml:space="preserve">
12/1上 德语callout翻译贴纸 1936 pcs错的 有更新
 产品贴纸 1936 pcs
12/12上 正确的 德国荷兰语贴纸 1936 pcs</t>
        </r>
      </text>
    </comment>
    <comment ref="AB532" authorId="0">
      <text>
        <r>
          <rPr>
            <b/>
            <sz val="18"/>
            <rFont val="宋体"/>
            <charset val="134"/>
          </rPr>
          <t>Administrator:</t>
        </r>
        <r>
          <rPr>
            <sz val="18"/>
            <rFont val="宋体"/>
            <charset val="134"/>
          </rPr>
          <t xml:space="preserve">
1201009 12/19 1584 pcs 华兴三楼A27</t>
        </r>
      </text>
    </comment>
    <comment ref="AD532" authorId="0">
      <text>
        <r>
          <rPr>
            <b/>
            <sz val="16"/>
            <rFont val="宋体"/>
            <charset val="134"/>
          </rPr>
          <t>Administrator:</t>
        </r>
        <r>
          <rPr>
            <sz val="16"/>
            <rFont val="宋体"/>
            <charset val="134"/>
          </rPr>
          <t xml:space="preserve">
12/1上 德语callout翻译贴纸 1584 pcs
 产品贴纸 1584 pcs
12/12上 正确的 德国荷兰语贴纸 1584 pcs</t>
        </r>
      </text>
    </comment>
    <comment ref="AB533" authorId="0">
      <text>
        <r>
          <rPr>
            <b/>
            <sz val="16"/>
            <rFont val="宋体"/>
            <charset val="134"/>
          </rPr>
          <t>Administrator:</t>
        </r>
        <r>
          <rPr>
            <sz val="16"/>
            <rFont val="宋体"/>
            <charset val="134"/>
          </rPr>
          <t xml:space="preserve">
1200983 12/18 462 pcs 华兴三楼B14
</t>
        </r>
      </text>
    </comment>
    <comment ref="AD533" authorId="0">
      <text>
        <r>
          <rPr>
            <b/>
            <sz val="14"/>
            <rFont val="宋体"/>
            <charset val="134"/>
          </rPr>
          <t>Administrator:</t>
        </r>
        <r>
          <rPr>
            <sz val="14"/>
            <rFont val="宋体"/>
            <charset val="134"/>
          </rPr>
          <t xml:space="preserve">
11/28上  UPC贴纸 462 pcs
12/3上 进口商贴纸 462 pcs</t>
        </r>
      </text>
    </comment>
    <comment ref="AB534" authorId="0">
      <text>
        <r>
          <rPr>
            <b/>
            <sz val="16"/>
            <rFont val="宋体"/>
            <charset val="134"/>
          </rPr>
          <t>Administrator:</t>
        </r>
        <r>
          <rPr>
            <sz val="16"/>
            <rFont val="宋体"/>
            <charset val="134"/>
          </rPr>
          <t xml:space="preserve">
1200983 12/18 418 pcs 华兴三楼B17
1201039 12/22  22 pcs </t>
        </r>
      </text>
    </comment>
    <comment ref="AD534" authorId="0">
      <text>
        <r>
          <rPr>
            <b/>
            <sz val="16"/>
            <rFont val="宋体"/>
            <charset val="134"/>
          </rPr>
          <t>Administrator:</t>
        </r>
        <r>
          <rPr>
            <sz val="16"/>
            <rFont val="宋体"/>
            <charset val="134"/>
          </rPr>
          <t xml:space="preserve">
11/18上 进口商贴纸 440 pcs
11/28上 UPC贴纸 440 pcs</t>
        </r>
      </text>
    </comment>
    <comment ref="AB535" authorId="0">
      <text>
        <r>
          <rPr>
            <b/>
            <sz val="16"/>
            <rFont val="宋体"/>
            <charset val="134"/>
          </rPr>
          <t>Administrator:</t>
        </r>
        <r>
          <rPr>
            <sz val="16"/>
            <rFont val="宋体"/>
            <charset val="134"/>
          </rPr>
          <t xml:space="preserve">
1200983 12/18 418 pcs 华兴三楼B14
</t>
        </r>
      </text>
    </comment>
    <comment ref="AD535" authorId="0">
      <text>
        <r>
          <rPr>
            <b/>
            <sz val="16"/>
            <rFont val="宋体"/>
            <charset val="134"/>
          </rPr>
          <t>Administrator:</t>
        </r>
        <r>
          <rPr>
            <sz val="16"/>
            <rFont val="宋体"/>
            <charset val="134"/>
          </rPr>
          <t xml:space="preserve">
11/28上 UPC贴纸 418 pcs
 进口商贴纸 418 pcs</t>
        </r>
      </text>
    </comment>
    <comment ref="AB536" authorId="0">
      <text>
        <r>
          <rPr>
            <b/>
            <sz val="16"/>
            <rFont val="宋体"/>
            <charset val="134"/>
          </rPr>
          <t>Administrator:</t>
        </r>
        <r>
          <rPr>
            <sz val="16"/>
            <rFont val="宋体"/>
            <charset val="134"/>
          </rPr>
          <t xml:space="preserve">
1600044 12/23 6000 pcs 华兴三楼B16</t>
        </r>
      </text>
    </comment>
    <comment ref="AD536" authorId="0">
      <text>
        <r>
          <rPr>
            <b/>
            <sz val="16"/>
            <rFont val="宋体"/>
            <charset val="134"/>
          </rPr>
          <t>Administrator:</t>
        </r>
        <r>
          <rPr>
            <sz val="16"/>
            <rFont val="宋体"/>
            <charset val="134"/>
          </rPr>
          <t xml:space="preserve">
12/3上 价格贴纸 6000 pcs
 外箱条码贴纸 500 pcs</t>
        </r>
      </text>
    </comment>
    <comment ref="AB537" authorId="0">
      <text>
        <r>
          <rPr>
            <b/>
            <sz val="16"/>
            <rFont val="宋体"/>
            <charset val="134"/>
          </rPr>
          <t>Administrator:</t>
        </r>
        <r>
          <rPr>
            <sz val="16"/>
            <rFont val="宋体"/>
            <charset val="134"/>
          </rPr>
          <t xml:space="preserve">
1600074 12/24 12672 pcs 四楼C8  </t>
        </r>
        <r>
          <rPr>
            <sz val="9"/>
            <rFont val="宋体"/>
            <charset val="134"/>
          </rPr>
          <t xml:space="preserve">              
</t>
        </r>
        <r>
          <rPr>
            <sz val="16"/>
            <rFont val="宋体"/>
            <charset val="134"/>
          </rPr>
          <t>1600075 12/24 528 pcs 兴信</t>
        </r>
      </text>
    </comment>
    <comment ref="AD537" authorId="0">
      <text>
        <r>
          <rPr>
            <b/>
            <sz val="16"/>
            <rFont val="宋体"/>
            <charset val="134"/>
          </rPr>
          <t>Administrator:</t>
        </r>
        <r>
          <rPr>
            <sz val="16"/>
            <rFont val="宋体"/>
            <charset val="134"/>
          </rPr>
          <t xml:space="preserve">
11/27上 保证书 13200 pcs
 产品进口商贴纸 13200 pcs
 包装进口商贴纸 13200 pcs
 说明书进口商贴纸 13200 pcs
11/28上 UPC贴纸 13200 pcs
12/11上 说明书进口商贴纸 3500 pcs
12/20补上 说明书贴纸 13200 pcs
   包装贴纸 13200 pcs
 UPC贴纸13200 pcs</t>
        </r>
      </text>
    </comment>
    <comment ref="AB538" authorId="0">
      <text>
        <r>
          <rPr>
            <b/>
            <sz val="16"/>
            <rFont val="宋体"/>
            <charset val="134"/>
          </rPr>
          <t>Administrator:</t>
        </r>
        <r>
          <rPr>
            <sz val="16"/>
            <rFont val="宋体"/>
            <charset val="134"/>
          </rPr>
          <t xml:space="preserve">
1600044 12/23 1012 pcs 华兴一楼F4</t>
        </r>
      </text>
    </comment>
    <comment ref="AB539" authorId="0">
      <text>
        <r>
          <rPr>
            <b/>
            <sz val="16"/>
            <rFont val="宋体"/>
            <charset val="134"/>
          </rPr>
          <t>Administrator:</t>
        </r>
        <r>
          <rPr>
            <sz val="16"/>
            <rFont val="宋体"/>
            <charset val="134"/>
          </rPr>
          <t xml:space="preserve">
1200940 12/16 290 pcs 华兴三楼B13</t>
        </r>
      </text>
    </comment>
    <comment ref="AD539" authorId="0">
      <text>
        <r>
          <rPr>
            <b/>
            <sz val="16"/>
            <rFont val="宋体"/>
            <charset val="134"/>
          </rPr>
          <t>Administrator:</t>
        </r>
        <r>
          <rPr>
            <sz val="16"/>
            <rFont val="宋体"/>
            <charset val="134"/>
          </rPr>
          <t xml:space="preserve">
11/15上 进口商贴纸 290 pcs
 </t>
        </r>
      </text>
    </comment>
    <comment ref="AB540" authorId="0">
      <text>
        <r>
          <rPr>
            <b/>
            <sz val="14"/>
            <rFont val="宋体"/>
            <charset val="134"/>
          </rPr>
          <t>Administrator:</t>
        </r>
        <r>
          <rPr>
            <sz val="14"/>
            <rFont val="宋体"/>
            <charset val="134"/>
          </rPr>
          <t xml:space="preserve">
1200768 12/12 1606 pcs 王四楼B1</t>
        </r>
      </text>
    </comment>
    <comment ref="AD540" authorId="0">
      <text>
        <r>
          <rPr>
            <b/>
            <sz val="16"/>
            <rFont val="宋体"/>
            <charset val="134"/>
          </rPr>
          <t>Administrator:</t>
        </r>
        <r>
          <rPr>
            <sz val="16"/>
            <rFont val="宋体"/>
            <charset val="134"/>
          </rPr>
          <t xml:space="preserve">
11/15上 进口商贴纸 1606 pcs
 PDQ 贴纸 146 pcs</t>
        </r>
      </text>
    </comment>
    <comment ref="AB542" authorId="0">
      <text>
        <r>
          <rPr>
            <b/>
            <sz val="16"/>
            <rFont val="宋体"/>
            <charset val="134"/>
          </rPr>
          <t>Administrator:</t>
        </r>
        <r>
          <rPr>
            <sz val="16"/>
            <rFont val="宋体"/>
            <charset val="134"/>
          </rPr>
          <t xml:space="preserve">
1600137 12/29 154 pcs 华兴三楼B14</t>
        </r>
      </text>
    </comment>
    <comment ref="AD542" authorId="0">
      <text>
        <r>
          <rPr>
            <b/>
            <sz val="16"/>
            <rFont val="宋体"/>
            <charset val="134"/>
          </rPr>
          <t>Administrator:</t>
        </r>
        <r>
          <rPr>
            <sz val="16"/>
            <rFont val="宋体"/>
            <charset val="134"/>
          </rPr>
          <t xml:space="preserve">
12/9上 通用进口商贴纸 154 pcs</t>
        </r>
      </text>
    </comment>
    <comment ref="AB543" authorId="0">
      <text>
        <r>
          <rPr>
            <b/>
            <sz val="16"/>
            <rFont val="宋体"/>
            <charset val="134"/>
          </rPr>
          <t>Administrator:</t>
        </r>
        <r>
          <rPr>
            <sz val="16"/>
            <rFont val="宋体"/>
            <charset val="134"/>
          </rPr>
          <t xml:space="preserve">
1600158 12/30 1512 pcs 华兴三楼A27</t>
        </r>
      </text>
    </comment>
    <comment ref="AD543" authorId="0">
      <text>
        <r>
          <rPr>
            <b/>
            <sz val="16"/>
            <rFont val="宋体"/>
            <charset val="134"/>
          </rPr>
          <t>Administrator:</t>
        </r>
        <r>
          <rPr>
            <sz val="16"/>
            <rFont val="宋体"/>
            <charset val="134"/>
          </rPr>
          <t xml:space="preserve">
12/9上 四国语言警告语贴纸 1512 pcs</t>
        </r>
      </text>
    </comment>
    <comment ref="AB544" authorId="0">
      <text>
        <r>
          <rPr>
            <b/>
            <sz val="14"/>
            <rFont val="宋体"/>
            <charset val="134"/>
          </rPr>
          <t>Administrator:</t>
        </r>
        <r>
          <rPr>
            <sz val="14"/>
            <rFont val="宋体"/>
            <charset val="134"/>
          </rPr>
          <t xml:space="preserve">
1600167 12/31 2016 pcs 四楼A8</t>
        </r>
      </text>
    </comment>
    <comment ref="AD544" authorId="0">
      <text>
        <r>
          <rPr>
            <b/>
            <sz val="16"/>
            <rFont val="宋体"/>
            <charset val="134"/>
          </rPr>
          <t>Administrator:</t>
        </r>
        <r>
          <rPr>
            <sz val="16"/>
            <rFont val="宋体"/>
            <charset val="134"/>
          </rPr>
          <t xml:space="preserve">
12/6上 客人白色Cat.label 2016 pcs</t>
        </r>
      </text>
    </comment>
    <comment ref="AB545" authorId="0">
      <text>
        <r>
          <rPr>
            <b/>
            <sz val="16"/>
            <rFont val="宋体"/>
            <charset val="134"/>
          </rPr>
          <t>Administrator:</t>
        </r>
        <r>
          <rPr>
            <sz val="16"/>
            <rFont val="宋体"/>
            <charset val="134"/>
          </rPr>
          <t xml:space="preserve">
1600158 12/30 704 pcs 华兴三楼B14</t>
        </r>
      </text>
    </comment>
    <comment ref="AD545" authorId="0">
      <text>
        <r>
          <rPr>
            <b/>
            <sz val="16"/>
            <rFont val="宋体"/>
            <charset val="134"/>
          </rPr>
          <t>Administrator:</t>
        </r>
        <r>
          <rPr>
            <sz val="16"/>
            <rFont val="宋体"/>
            <charset val="134"/>
          </rPr>
          <t xml:space="preserve">
12/12上 易撕价格贴纸 704 pcs</t>
        </r>
      </text>
    </comment>
    <comment ref="AB546" authorId="0">
      <text>
        <r>
          <rPr>
            <b/>
            <sz val="16"/>
            <rFont val="宋体"/>
            <charset val="134"/>
          </rPr>
          <t>Administrator:</t>
        </r>
        <r>
          <rPr>
            <sz val="16"/>
            <rFont val="宋体"/>
            <charset val="134"/>
          </rPr>
          <t xml:space="preserve">
1600158 12/30 1296 pcs 华兴三楼B11
1600167 12/31 720 pcs </t>
        </r>
      </text>
    </comment>
    <comment ref="AD546" authorId="0">
      <text>
        <r>
          <rPr>
            <b/>
            <sz val="16"/>
            <rFont val="宋体"/>
            <charset val="134"/>
          </rPr>
          <t>Administrator:</t>
        </r>
        <r>
          <rPr>
            <sz val="16"/>
            <rFont val="宋体"/>
            <charset val="134"/>
          </rPr>
          <t xml:space="preserve">
12/10上 客人白色Cat.label 2016 pcs</t>
        </r>
      </text>
    </comment>
    <comment ref="AB547" authorId="0">
      <text>
        <r>
          <rPr>
            <b/>
            <sz val="16"/>
            <rFont val="宋体"/>
            <charset val="134"/>
          </rPr>
          <t>Administrator:</t>
        </r>
        <r>
          <rPr>
            <sz val="16"/>
            <rFont val="宋体"/>
            <charset val="134"/>
          </rPr>
          <t xml:space="preserve">
1501000 1/5 2607 pcs 华兴三楼B9</t>
        </r>
      </text>
    </comment>
    <comment ref="AD547" authorId="0">
      <text>
        <r>
          <rPr>
            <b/>
            <sz val="16"/>
            <rFont val="宋体"/>
            <charset val="134"/>
          </rPr>
          <t>Administrator:</t>
        </r>
        <r>
          <rPr>
            <sz val="16"/>
            <rFont val="宋体"/>
            <charset val="134"/>
          </rPr>
          <t xml:space="preserve">
12/15上 黑白说明书 2607 pcs
 A款EAN贴纸 593 pcs
 B款EAN贴纸 711 pcs
 D款EAN贴纸 711 pcs
 E款EAN贴纸 593 pcs
12/18上 多语警语折叠贴纸 2607 pcs</t>
        </r>
      </text>
    </comment>
    <comment ref="AB548" authorId="0">
      <text>
        <r>
          <rPr>
            <b/>
            <sz val="16"/>
            <rFont val="宋体"/>
            <charset val="134"/>
          </rPr>
          <t>Administrator:</t>
        </r>
        <r>
          <rPr>
            <sz val="16"/>
            <rFont val="宋体"/>
            <charset val="134"/>
          </rPr>
          <t xml:space="preserve">
1601027 1/7 1518 pcs 华兴三楼B9</t>
        </r>
      </text>
    </comment>
    <comment ref="AD548" authorId="0">
      <text>
        <r>
          <rPr>
            <b/>
            <sz val="16"/>
            <rFont val="宋体"/>
            <charset val="134"/>
          </rPr>
          <t>Administrator:</t>
        </r>
        <r>
          <rPr>
            <sz val="16"/>
            <rFont val="宋体"/>
            <charset val="134"/>
          </rPr>
          <t xml:space="preserve">
12/12上 日语贴纸 1518 pcs</t>
        </r>
      </text>
    </comment>
    <comment ref="AB549" authorId="0">
      <text>
        <r>
          <rPr>
            <b/>
            <sz val="16"/>
            <rFont val="宋体"/>
            <charset val="134"/>
          </rPr>
          <t>Administrator:</t>
        </r>
        <r>
          <rPr>
            <sz val="16"/>
            <rFont val="宋体"/>
            <charset val="134"/>
          </rPr>
          <t xml:space="preserve">
1600969 1/3 1507 pcs 四楼C5</t>
        </r>
      </text>
    </comment>
    <comment ref="AB550" authorId="0">
      <text>
        <r>
          <rPr>
            <b/>
            <sz val="16"/>
            <rFont val="宋体"/>
            <charset val="134"/>
          </rPr>
          <t>Administrator:</t>
        </r>
        <r>
          <rPr>
            <sz val="16"/>
            <rFont val="宋体"/>
            <charset val="134"/>
          </rPr>
          <t xml:space="preserve">
1600979 1/3 504 pcs 华兴三楼B16</t>
        </r>
      </text>
    </comment>
    <comment ref="AD550" authorId="0">
      <text>
        <r>
          <rPr>
            <b/>
            <sz val="16"/>
            <rFont val="宋体"/>
            <charset val="134"/>
          </rPr>
          <t>Administrator:</t>
        </r>
        <r>
          <rPr>
            <sz val="16"/>
            <rFont val="宋体"/>
            <charset val="134"/>
          </rPr>
          <t xml:space="preserve">
12/16上 进口商贴纸 504 pcs</t>
        </r>
      </text>
    </comment>
    <comment ref="AB551" authorId="0">
      <text>
        <r>
          <rPr>
            <b/>
            <sz val="16"/>
            <rFont val="宋体"/>
            <charset val="134"/>
          </rPr>
          <t>Administrator:</t>
        </r>
        <r>
          <rPr>
            <sz val="16"/>
            <rFont val="宋体"/>
            <charset val="134"/>
          </rPr>
          <t xml:space="preserve">
1601017 1/7 1034 pcs 四楼B5</t>
        </r>
      </text>
    </comment>
    <comment ref="AD551" authorId="0">
      <text>
        <r>
          <rPr>
            <b/>
            <sz val="16"/>
            <rFont val="宋体"/>
            <charset val="134"/>
          </rPr>
          <t>Administrator:</t>
        </r>
        <r>
          <rPr>
            <sz val="16"/>
            <rFont val="宋体"/>
            <charset val="134"/>
          </rPr>
          <t xml:space="preserve">
12/18上进口商贴纸 1034 pcs</t>
        </r>
      </text>
    </comment>
    <comment ref="AB552" authorId="0">
      <text>
        <r>
          <rPr>
            <b/>
            <sz val="16"/>
            <rFont val="宋体"/>
            <charset val="134"/>
          </rPr>
          <t>Administrator:</t>
        </r>
        <r>
          <rPr>
            <sz val="16"/>
            <rFont val="宋体"/>
            <charset val="134"/>
          </rPr>
          <t xml:space="preserve">
1601004 1/5 1804 pcs 华兴三楼B14</t>
        </r>
      </text>
    </comment>
    <comment ref="AB553" authorId="0">
      <text>
        <r>
          <rPr>
            <b/>
            <sz val="16"/>
            <rFont val="宋体"/>
            <charset val="134"/>
          </rPr>
          <t>Administrator:</t>
        </r>
        <r>
          <rPr>
            <sz val="16"/>
            <rFont val="宋体"/>
            <charset val="134"/>
          </rPr>
          <t xml:space="preserve">
1601029 1/6 660 pcs 华兴三楼A22</t>
        </r>
      </text>
    </comment>
    <comment ref="AD553" authorId="0">
      <text>
        <r>
          <rPr>
            <b/>
            <sz val="16"/>
            <rFont val="宋体"/>
            <charset val="134"/>
          </rPr>
          <t>Administrator:</t>
        </r>
        <r>
          <rPr>
            <sz val="16"/>
            <rFont val="宋体"/>
            <charset val="134"/>
          </rPr>
          <t xml:space="preserve">
12/16上 进口商贴纸 600 pcs
 UPC 贴纸600 pcs</t>
        </r>
      </text>
    </comment>
    <comment ref="AB554" authorId="0">
      <text>
        <r>
          <rPr>
            <b/>
            <sz val="16"/>
            <rFont val="宋体"/>
            <charset val="134"/>
          </rPr>
          <t>Administrator:</t>
        </r>
        <r>
          <rPr>
            <sz val="16"/>
            <rFont val="宋体"/>
            <charset val="134"/>
          </rPr>
          <t xml:space="preserve">
1601030 1/6 24 pcs 华兴三楼A30
</t>
        </r>
      </text>
    </comment>
    <comment ref="AD554" authorId="0">
      <text>
        <r>
          <rPr>
            <b/>
            <sz val="16"/>
            <rFont val="宋体"/>
            <charset val="134"/>
          </rPr>
          <t>Administrator:</t>
        </r>
        <r>
          <rPr>
            <sz val="16"/>
            <rFont val="宋体"/>
            <charset val="134"/>
          </rPr>
          <t xml:space="preserve">
12/23上 客供亚马逊外箱贴纸 1 pcs</t>
        </r>
        <r>
          <rPr>
            <sz val="9"/>
            <rFont val="宋体"/>
            <charset val="134"/>
          </rPr>
          <t xml:space="preserve">
</t>
        </r>
        <r>
          <rPr>
            <sz val="18"/>
            <rFont val="宋体"/>
            <charset val="134"/>
          </rPr>
          <t xml:space="preserve"> UPC贴纸 24 pcs</t>
        </r>
      </text>
    </comment>
    <comment ref="AB555" authorId="0">
      <text>
        <r>
          <rPr>
            <b/>
            <sz val="16"/>
            <rFont val="宋体"/>
            <charset val="134"/>
          </rPr>
          <t>Administrator:</t>
        </r>
        <r>
          <rPr>
            <sz val="16"/>
            <rFont val="宋体"/>
            <charset val="134"/>
          </rPr>
          <t xml:space="preserve">
1601030 1/6 24 pcs 华兴三楼A30
</t>
        </r>
      </text>
    </comment>
    <comment ref="AD555" authorId="0">
      <text>
        <r>
          <rPr>
            <b/>
            <sz val="16"/>
            <rFont val="宋体"/>
            <charset val="134"/>
          </rPr>
          <t>Administrator:</t>
        </r>
        <r>
          <rPr>
            <sz val="16"/>
            <rFont val="宋体"/>
            <charset val="134"/>
          </rPr>
          <t xml:space="preserve">
12/23上 客供亚马逊外箱贴纸 1 pcs</t>
        </r>
        <r>
          <rPr>
            <sz val="9"/>
            <rFont val="宋体"/>
            <charset val="134"/>
          </rPr>
          <t xml:space="preserve">
</t>
        </r>
        <r>
          <rPr>
            <sz val="18"/>
            <rFont val="宋体"/>
            <charset val="134"/>
          </rPr>
          <t xml:space="preserve"> UPC贴纸 24 pcs</t>
        </r>
      </text>
    </comment>
    <comment ref="AB556" authorId="0">
      <text>
        <r>
          <rPr>
            <b/>
            <sz val="16"/>
            <rFont val="宋体"/>
            <charset val="134"/>
          </rPr>
          <t>Administrator:</t>
        </r>
        <r>
          <rPr>
            <sz val="16"/>
            <rFont val="宋体"/>
            <charset val="134"/>
          </rPr>
          <t xml:space="preserve">
1601029 1/6 370 pcs 华兴三楼A30</t>
        </r>
      </text>
    </comment>
    <comment ref="AB557" authorId="0">
      <text>
        <r>
          <rPr>
            <b/>
            <sz val="16"/>
            <rFont val="宋体"/>
            <charset val="134"/>
          </rPr>
          <t>Administrator:</t>
        </r>
        <r>
          <rPr>
            <sz val="16"/>
            <rFont val="宋体"/>
            <charset val="134"/>
          </rPr>
          <t xml:space="preserve">
1601029 1/6 370 pcs 华兴三楼A30
</t>
        </r>
      </text>
    </comment>
    <comment ref="AB558" authorId="0">
      <text>
        <r>
          <rPr>
            <b/>
            <sz val="16"/>
            <rFont val="宋体"/>
            <charset val="134"/>
          </rPr>
          <t>Administrator:</t>
        </r>
        <r>
          <rPr>
            <sz val="16"/>
            <rFont val="宋体"/>
            <charset val="134"/>
          </rPr>
          <t xml:space="preserve">
1601029 1/6 370 pcs 华兴三楼A30
</t>
        </r>
      </text>
    </comment>
    <comment ref="AB559" authorId="0">
      <text>
        <r>
          <rPr>
            <b/>
            <sz val="16"/>
            <rFont val="宋体"/>
            <charset val="134"/>
          </rPr>
          <t>Administrator:</t>
        </r>
        <r>
          <rPr>
            <sz val="16"/>
            <rFont val="宋体"/>
            <charset val="134"/>
          </rPr>
          <t xml:space="preserve">
1601054 1/9 336 pcs 华兴三楼A27</t>
        </r>
      </text>
    </comment>
    <comment ref="AD559" authorId="0">
      <text>
        <r>
          <rPr>
            <b/>
            <sz val="16"/>
            <rFont val="宋体"/>
            <charset val="134"/>
          </rPr>
          <t>Administrator:</t>
        </r>
        <r>
          <rPr>
            <sz val="16"/>
            <rFont val="宋体"/>
            <charset val="134"/>
          </rPr>
          <t xml:space="preserve">
12/15上 UPC贴纸 336 pcs
1/5上 客供亚马逊外箱贴纸 14 pcs</t>
        </r>
      </text>
    </comment>
    <comment ref="AB560" authorId="0">
      <text>
        <r>
          <rPr>
            <b/>
            <sz val="16"/>
            <rFont val="宋体"/>
            <charset val="134"/>
          </rPr>
          <t>Administrator:</t>
        </r>
        <r>
          <rPr>
            <sz val="16"/>
            <rFont val="宋体"/>
            <charset val="134"/>
          </rPr>
          <t xml:space="preserve">
1601054 1/9 96 pcs 华兴三楼A27</t>
        </r>
      </text>
    </comment>
    <comment ref="AD560" authorId="0">
      <text>
        <r>
          <rPr>
            <b/>
            <sz val="16"/>
            <rFont val="宋体"/>
            <charset val="134"/>
          </rPr>
          <t>Administrator:</t>
        </r>
        <r>
          <rPr>
            <sz val="16"/>
            <rFont val="宋体"/>
            <charset val="134"/>
          </rPr>
          <t xml:space="preserve">
12/15上 UPC贴纸 96 pcs
1/5上 客供亚马逊外箱贴纸 4 pcs
</t>
        </r>
      </text>
    </comment>
    <comment ref="AB561" authorId="0">
      <text>
        <r>
          <rPr>
            <b/>
            <sz val="16"/>
            <rFont val="宋体"/>
            <charset val="134"/>
          </rPr>
          <t>Administrator:</t>
        </r>
        <r>
          <rPr>
            <sz val="16"/>
            <rFont val="宋体"/>
            <charset val="134"/>
          </rPr>
          <t xml:space="preserve">
1601054 1/9 120 pcs 华兴三楼A27</t>
        </r>
      </text>
    </comment>
    <comment ref="AD561" authorId="0">
      <text>
        <r>
          <rPr>
            <b/>
            <sz val="16"/>
            <rFont val="宋体"/>
            <charset val="134"/>
          </rPr>
          <t>Administrator:</t>
        </r>
        <r>
          <rPr>
            <sz val="16"/>
            <rFont val="宋体"/>
            <charset val="134"/>
          </rPr>
          <t xml:space="preserve">
12/15上 UPC贴纸 120 pcs
1/5上 客供亚马逊外箱贴纸 5 pcs
</t>
        </r>
      </text>
    </comment>
    <comment ref="AB562" authorId="0">
      <text>
        <r>
          <rPr>
            <b/>
            <sz val="16"/>
            <rFont val="宋体"/>
            <charset val="134"/>
          </rPr>
          <t>Administrator:</t>
        </r>
        <r>
          <rPr>
            <sz val="16"/>
            <rFont val="宋体"/>
            <charset val="134"/>
          </rPr>
          <t xml:space="preserve">
1501000 1/5 594 pcs 华兴三楼A28</t>
        </r>
      </text>
    </comment>
    <comment ref="AD562" authorId="0">
      <text>
        <r>
          <rPr>
            <b/>
            <sz val="16"/>
            <rFont val="宋体"/>
            <charset val="134"/>
          </rPr>
          <t>Administrator:</t>
        </r>
        <r>
          <rPr>
            <sz val="16"/>
            <rFont val="宋体"/>
            <charset val="134"/>
          </rPr>
          <t xml:space="preserve">
12/26上 UPC贴纸 594 pcs</t>
        </r>
      </text>
    </comment>
    <comment ref="AB563" authorId="0">
      <text>
        <r>
          <rPr>
            <b/>
            <sz val="16"/>
            <rFont val="宋体"/>
            <charset val="134"/>
          </rPr>
          <t>Administrator:</t>
        </r>
        <r>
          <rPr>
            <sz val="16"/>
            <rFont val="宋体"/>
            <charset val="134"/>
          </rPr>
          <t xml:space="preserve">
1601030 1/6 308 pcs华兴三楼A30
</t>
        </r>
      </text>
    </comment>
    <comment ref="AD563" authorId="0">
      <text>
        <r>
          <rPr>
            <b/>
            <sz val="16"/>
            <rFont val="宋体"/>
            <charset val="134"/>
          </rPr>
          <t>Administrator:</t>
        </r>
        <r>
          <rPr>
            <sz val="16"/>
            <rFont val="宋体"/>
            <charset val="134"/>
          </rPr>
          <t xml:space="preserve">
12/15上 客供价格贴纸 315 pcs</t>
        </r>
      </text>
    </comment>
    <comment ref="AB564" authorId="0">
      <text>
        <r>
          <rPr>
            <b/>
            <sz val="16"/>
            <rFont val="宋体"/>
            <charset val="134"/>
          </rPr>
          <t>Administrator:</t>
        </r>
        <r>
          <rPr>
            <sz val="16"/>
            <rFont val="宋体"/>
            <charset val="134"/>
          </rPr>
          <t xml:space="preserve">
1601030 1/6 24 pcs 华兴三楼A30
</t>
        </r>
      </text>
    </comment>
    <comment ref="AD564" authorId="0">
      <text>
        <r>
          <rPr>
            <b/>
            <sz val="16"/>
            <rFont val="宋体"/>
            <charset val="134"/>
          </rPr>
          <t>Administrator:</t>
        </r>
        <r>
          <rPr>
            <sz val="16"/>
            <rFont val="宋体"/>
            <charset val="134"/>
          </rPr>
          <t xml:space="preserve">
12/23上 客供亚马逊外箱贴纸 1 pcs</t>
        </r>
        <r>
          <rPr>
            <sz val="9"/>
            <rFont val="宋体"/>
            <charset val="134"/>
          </rPr>
          <t xml:space="preserve">
</t>
        </r>
        <r>
          <rPr>
            <sz val="16"/>
            <rFont val="宋体"/>
            <charset val="134"/>
          </rPr>
          <t>12/26上 UPC贴纸 24 pcs</t>
        </r>
      </text>
    </comment>
    <comment ref="AB565" authorId="0">
      <text>
        <r>
          <rPr>
            <b/>
            <sz val="16"/>
            <rFont val="宋体"/>
            <charset val="134"/>
          </rPr>
          <t>Administrator:</t>
        </r>
        <r>
          <rPr>
            <sz val="16"/>
            <rFont val="宋体"/>
            <charset val="134"/>
          </rPr>
          <t xml:space="preserve">
1601030 1/6 48 pcs 华兴三楼A30
</t>
        </r>
      </text>
    </comment>
    <comment ref="AD565" authorId="0">
      <text>
        <r>
          <rPr>
            <b/>
            <sz val="16"/>
            <rFont val="宋体"/>
            <charset val="134"/>
          </rPr>
          <t>Administrator:</t>
        </r>
        <r>
          <rPr>
            <sz val="16"/>
            <rFont val="宋体"/>
            <charset val="134"/>
          </rPr>
          <t xml:space="preserve">
12/23上 客供亚马逊外箱贴纸 2 pcs</t>
        </r>
        <r>
          <rPr>
            <sz val="9"/>
            <rFont val="宋体"/>
            <charset val="134"/>
          </rPr>
          <t xml:space="preserve">
</t>
        </r>
        <r>
          <rPr>
            <sz val="16"/>
            <rFont val="宋体"/>
            <charset val="134"/>
          </rPr>
          <t>12/26上 UPC贴纸 48 pcs</t>
        </r>
        <r>
          <rPr>
            <sz val="9"/>
            <rFont val="宋体"/>
            <charset val="134"/>
          </rPr>
          <t xml:space="preserve">
</t>
        </r>
      </text>
    </comment>
    <comment ref="AB566" authorId="0">
      <text>
        <r>
          <rPr>
            <b/>
            <sz val="16"/>
            <rFont val="宋体"/>
            <charset val="134"/>
          </rPr>
          <t>Administrator:</t>
        </r>
        <r>
          <rPr>
            <sz val="16"/>
            <rFont val="宋体"/>
            <charset val="134"/>
          </rPr>
          <t xml:space="preserve">
1601030 1/6 484 pcs 华兴三楼A23</t>
        </r>
      </text>
    </comment>
    <comment ref="AB567" authorId="0">
      <text>
        <r>
          <rPr>
            <b/>
            <sz val="16"/>
            <rFont val="宋体"/>
            <charset val="134"/>
          </rPr>
          <t>Administrator:</t>
        </r>
        <r>
          <rPr>
            <sz val="16"/>
            <rFont val="宋体"/>
            <charset val="134"/>
          </rPr>
          <t xml:space="preserve">
1601126 1/14 2002 pcs 四楼B7</t>
        </r>
      </text>
    </comment>
    <comment ref="AD567" authorId="0">
      <text>
        <r>
          <rPr>
            <b/>
            <sz val="16"/>
            <rFont val="宋体"/>
            <charset val="134"/>
          </rPr>
          <t>Administrator:</t>
        </r>
        <r>
          <rPr>
            <sz val="16"/>
            <rFont val="宋体"/>
            <charset val="134"/>
          </rPr>
          <t xml:space="preserve">
12/29上 进口商贴纸 2002 pcs</t>
        </r>
      </text>
    </comment>
    <comment ref="AB568" authorId="0">
      <text>
        <r>
          <rPr>
            <b/>
            <sz val="16"/>
            <rFont val="宋体"/>
            <charset val="134"/>
          </rPr>
          <t>Administrator:</t>
        </r>
        <r>
          <rPr>
            <sz val="16"/>
            <rFont val="宋体"/>
            <charset val="134"/>
          </rPr>
          <t xml:space="preserve">
1601218 1/21 504 pcs 华兴登一楼</t>
        </r>
      </text>
    </comment>
    <comment ref="AD568" authorId="0">
      <text>
        <r>
          <rPr>
            <b/>
            <sz val="16"/>
            <rFont val="宋体"/>
            <charset val="134"/>
          </rPr>
          <t>Administrator:</t>
        </r>
        <r>
          <rPr>
            <sz val="16"/>
            <rFont val="宋体"/>
            <charset val="134"/>
          </rPr>
          <t xml:space="preserve">
12/19上 亚马逊外箱贴纸 21 pcs
1/12上 环保标贴纸 504 pcs</t>
        </r>
      </text>
    </comment>
    <comment ref="AB569" authorId="0">
      <text>
        <r>
          <rPr>
            <b/>
            <sz val="16"/>
            <rFont val="宋体"/>
            <charset val="134"/>
          </rPr>
          <t>Administrator:</t>
        </r>
        <r>
          <rPr>
            <sz val="16"/>
            <rFont val="宋体"/>
            <charset val="134"/>
          </rPr>
          <t xml:space="preserve">
1601218 1/21 504 pcs 华兴登一楼</t>
        </r>
      </text>
    </comment>
    <comment ref="AD569" authorId="0">
      <text>
        <r>
          <rPr>
            <b/>
            <sz val="16"/>
            <rFont val="宋体"/>
            <charset val="134"/>
          </rPr>
          <t>Administrator:</t>
        </r>
        <r>
          <rPr>
            <sz val="16"/>
            <rFont val="宋体"/>
            <charset val="134"/>
          </rPr>
          <t xml:space="preserve">
12/19上 亚马逊外箱贴纸 21 pcs
1/12上 环保标贴纸 504 pcs</t>
        </r>
      </text>
    </comment>
    <comment ref="AB570" authorId="0">
      <text>
        <r>
          <rPr>
            <b/>
            <sz val="16"/>
            <rFont val="宋体"/>
            <charset val="134"/>
          </rPr>
          <t>Administrator:</t>
        </r>
        <r>
          <rPr>
            <sz val="16"/>
            <rFont val="宋体"/>
            <charset val="134"/>
          </rPr>
          <t xml:space="preserve">
1601218 1/21 504 pcs 华兴登一楼</t>
        </r>
      </text>
    </comment>
    <comment ref="AD570" authorId="0">
      <text>
        <r>
          <rPr>
            <b/>
            <sz val="16"/>
            <rFont val="宋体"/>
            <charset val="134"/>
          </rPr>
          <t>Administrator:</t>
        </r>
        <r>
          <rPr>
            <sz val="16"/>
            <rFont val="宋体"/>
            <charset val="134"/>
          </rPr>
          <t xml:space="preserve">
12/19上 亚马逊外箱贴纸 21 pcs
1/12上 环保标贴纸 504 pcs</t>
        </r>
      </text>
    </comment>
    <comment ref="AB571" authorId="0">
      <text>
        <r>
          <rPr>
            <b/>
            <sz val="16"/>
            <rFont val="宋体"/>
            <charset val="134"/>
          </rPr>
          <t>Administrator:</t>
        </r>
        <r>
          <rPr>
            <sz val="16"/>
            <rFont val="宋体"/>
            <charset val="134"/>
          </rPr>
          <t xml:space="preserve">
1601218 1/21 504 pcs 华兴登一楼</t>
        </r>
      </text>
    </comment>
    <comment ref="AD571" authorId="0">
      <text>
        <r>
          <rPr>
            <b/>
            <sz val="16"/>
            <rFont val="宋体"/>
            <charset val="134"/>
          </rPr>
          <t>Administrator:</t>
        </r>
        <r>
          <rPr>
            <sz val="16"/>
            <rFont val="宋体"/>
            <charset val="134"/>
          </rPr>
          <t xml:space="preserve">
12/19上 亚马逊外箱贴纸 21 pcs
1/12上 环保标贴纸 504 pcs</t>
        </r>
      </text>
    </comment>
    <comment ref="AB572" authorId="0">
      <text>
        <r>
          <rPr>
            <b/>
            <sz val="16"/>
            <rFont val="宋体"/>
            <charset val="134"/>
          </rPr>
          <t>Administrator:</t>
        </r>
        <r>
          <rPr>
            <sz val="16"/>
            <rFont val="宋体"/>
            <charset val="134"/>
          </rPr>
          <t xml:space="preserve">
1601218 1/21 504 pcs 华兴登一楼</t>
        </r>
      </text>
    </comment>
    <comment ref="AD572" authorId="0">
      <text>
        <r>
          <rPr>
            <b/>
            <sz val="16"/>
            <rFont val="宋体"/>
            <charset val="134"/>
          </rPr>
          <t>Administrator:</t>
        </r>
        <r>
          <rPr>
            <sz val="16"/>
            <rFont val="宋体"/>
            <charset val="134"/>
          </rPr>
          <t xml:space="preserve">
12/19上 亚马逊外箱贴纸 21 pcs
1/12上 环保标贴纸 504 pcs</t>
        </r>
      </text>
    </comment>
    <comment ref="AB573" authorId="0">
      <text>
        <r>
          <rPr>
            <b/>
            <sz val="16"/>
            <rFont val="宋体"/>
            <charset val="134"/>
          </rPr>
          <t>Administrator:</t>
        </r>
        <r>
          <rPr>
            <sz val="16"/>
            <rFont val="宋体"/>
            <charset val="134"/>
          </rPr>
          <t xml:space="preserve">
1601214 1/20 1518 pcs 华兴三楼B14</t>
        </r>
      </text>
    </comment>
    <comment ref="AD573" authorId="0">
      <text>
        <r>
          <rPr>
            <b/>
            <sz val="18"/>
            <rFont val="宋体"/>
            <charset val="134"/>
          </rPr>
          <t>Administrator:</t>
        </r>
        <r>
          <rPr>
            <sz val="18"/>
            <rFont val="宋体"/>
            <charset val="134"/>
          </rPr>
          <t xml:space="preserve">
12/27上 进口商贴纸 1518 pcs
 UPC 贴纸 1518 pcs</t>
        </r>
      </text>
    </comment>
    <comment ref="AB574" authorId="0">
      <text>
        <r>
          <rPr>
            <b/>
            <sz val="16"/>
            <rFont val="宋体"/>
            <charset val="134"/>
          </rPr>
          <t>Administrator:</t>
        </r>
        <r>
          <rPr>
            <sz val="16"/>
            <rFont val="宋体"/>
            <charset val="134"/>
          </rPr>
          <t xml:space="preserve">
1601221 1/21 3000 pcs 华兴登一楼</t>
        </r>
      </text>
    </comment>
    <comment ref="AD574" authorId="0">
      <text>
        <r>
          <rPr>
            <b/>
            <sz val="16"/>
            <rFont val="宋体"/>
            <charset val="134"/>
          </rPr>
          <t>Administrator:</t>
        </r>
        <r>
          <rPr>
            <sz val="16"/>
            <rFont val="宋体"/>
            <charset val="134"/>
          </rPr>
          <t xml:space="preserve">
12/29上 价格贴纸 3000 pcs
  外箱条码贴纸 250 pcs</t>
        </r>
      </text>
    </comment>
    <comment ref="AB575" authorId="0">
      <text>
        <r>
          <rPr>
            <b/>
            <sz val="16"/>
            <rFont val="宋体"/>
            <charset val="134"/>
          </rPr>
          <t>Administrator:</t>
        </r>
        <r>
          <rPr>
            <sz val="16"/>
            <rFont val="宋体"/>
            <charset val="134"/>
          </rPr>
          <t xml:space="preserve">
1601260 1/23 1210 pcs 华兴三楼B14</t>
        </r>
      </text>
    </comment>
    <comment ref="AD575" authorId="0">
      <text>
        <r>
          <rPr>
            <b/>
            <sz val="18"/>
            <rFont val="宋体"/>
            <charset val="134"/>
          </rPr>
          <t>Administrator:</t>
        </r>
        <r>
          <rPr>
            <sz val="18"/>
            <rFont val="宋体"/>
            <charset val="134"/>
          </rPr>
          <t xml:space="preserve">
12/31上 进口商贴纸 1210 pcs</t>
        </r>
      </text>
    </comment>
    <comment ref="AB576" authorId="0">
      <text>
        <r>
          <rPr>
            <b/>
            <sz val="16"/>
            <rFont val="宋体"/>
            <charset val="134"/>
          </rPr>
          <t>Administrator:</t>
        </r>
        <r>
          <rPr>
            <sz val="16"/>
            <rFont val="宋体"/>
            <charset val="134"/>
          </rPr>
          <t xml:space="preserve">
1601260 1/23 1320 pcs 华兴三楼B9</t>
        </r>
      </text>
    </comment>
    <comment ref="AD576" authorId="0">
      <text>
        <r>
          <rPr>
            <b/>
            <sz val="16"/>
            <rFont val="宋体"/>
            <charset val="134"/>
          </rPr>
          <t>Administrator:</t>
        </r>
        <r>
          <rPr>
            <sz val="16"/>
            <rFont val="宋体"/>
            <charset val="134"/>
          </rPr>
          <t xml:space="preserve">
1/13上 供价格贴纸 1320 pcs</t>
        </r>
      </text>
    </comment>
    <comment ref="AB577" authorId="0">
      <text>
        <r>
          <rPr>
            <b/>
            <sz val="16"/>
            <rFont val="宋体"/>
            <charset val="134"/>
          </rPr>
          <t>Administrator:</t>
        </r>
        <r>
          <rPr>
            <sz val="16"/>
            <rFont val="宋体"/>
            <charset val="134"/>
          </rPr>
          <t xml:space="preserve">
1601260 1/23 1200 pcs 华兴三楼B10</t>
        </r>
      </text>
    </comment>
    <comment ref="AD577" authorId="0">
      <text>
        <r>
          <rPr>
            <b/>
            <sz val="16"/>
            <rFont val="宋体"/>
            <charset val="134"/>
          </rPr>
          <t>Administrator:</t>
        </r>
        <r>
          <rPr>
            <sz val="16"/>
            <rFont val="宋体"/>
            <charset val="134"/>
          </rPr>
          <t xml:space="preserve">
12/15上 客供价格贴纸 1260 pcs</t>
        </r>
      </text>
    </comment>
    <comment ref="AB578" authorId="0">
      <text>
        <r>
          <rPr>
            <b/>
            <sz val="16"/>
            <rFont val="宋体"/>
            <charset val="134"/>
          </rPr>
          <t>Administrator:</t>
        </r>
        <r>
          <rPr>
            <sz val="16"/>
            <rFont val="宋体"/>
            <charset val="134"/>
          </rPr>
          <t xml:space="preserve">
1601143 1/26 220 pcs 华兴三楼B15</t>
        </r>
      </text>
    </comment>
    <comment ref="AD578" authorId="0">
      <text>
        <r>
          <rPr>
            <b/>
            <sz val="16"/>
            <rFont val="宋体"/>
            <charset val="134"/>
          </rPr>
          <t>Administrator:</t>
        </r>
        <r>
          <rPr>
            <sz val="16"/>
            <rFont val="宋体"/>
            <charset val="134"/>
          </rPr>
          <t xml:space="preserve">
1/15上 UPC贴纸 220 pcs</t>
        </r>
      </text>
    </comment>
    <comment ref="AB579" authorId="0">
      <text>
        <r>
          <rPr>
            <b/>
            <sz val="16"/>
            <rFont val="宋体"/>
            <charset val="134"/>
          </rPr>
          <t>Administrator:</t>
        </r>
        <r>
          <rPr>
            <sz val="16"/>
            <rFont val="宋体"/>
            <charset val="134"/>
          </rPr>
          <t xml:space="preserve">
1601143 1/26 506 pcs 华兴三楼B15</t>
        </r>
      </text>
    </comment>
    <comment ref="AD579" authorId="0">
      <text>
        <r>
          <rPr>
            <b/>
            <sz val="16"/>
            <rFont val="宋体"/>
            <charset val="134"/>
          </rPr>
          <t>Administrator:</t>
        </r>
        <r>
          <rPr>
            <sz val="16"/>
            <rFont val="宋体"/>
            <charset val="134"/>
          </rPr>
          <t xml:space="preserve">
1/15上 UPC贴纸 506 pcs</t>
        </r>
      </text>
    </comment>
    <comment ref="AB580" authorId="0">
      <text>
        <r>
          <rPr>
            <b/>
            <sz val="18"/>
            <rFont val="宋体"/>
            <charset val="134"/>
          </rPr>
          <t>Administrator:</t>
        </r>
        <r>
          <rPr>
            <sz val="18"/>
            <rFont val="宋体"/>
            <charset val="134"/>
          </rPr>
          <t xml:space="preserve">
1405614 2/4 5698 pcs 华兴一楼</t>
        </r>
      </text>
    </comment>
    <comment ref="AD580" authorId="0">
      <text>
        <r>
          <rPr>
            <b/>
            <sz val="16"/>
            <rFont val="宋体"/>
            <charset val="134"/>
          </rPr>
          <t>Administrator:</t>
        </r>
        <r>
          <rPr>
            <sz val="16"/>
            <rFont val="宋体"/>
            <charset val="134"/>
          </rPr>
          <t xml:space="preserve">
12/30上 多语折叠警告语贴纸 3190 pcs
  5L(PL+HU+CZ+SK+RO)说明书 3190 pcs
 地址贴纸 3190 pcs
A款 EAN贴纸 725 pcs
B款 EAN贴纸 870 pcs
D款 EAN贴纸 870 pcs
E款 EAN贴纸 725 pcs
1/26上 多语折叠警告语贴纸 2250 pcs
  A款 EAN贴纸 580 pcs
B款 EAN贴纸 695 pcs
D款 EAN贴纸 695 pcs
E款 EAN贴纸 580 pcs
 地址贴纸 2550 pcs
1/28上 黑白说明书 2550 pcs</t>
        </r>
      </text>
    </comment>
    <comment ref="AB581" authorId="0">
      <text>
        <r>
          <rPr>
            <b/>
            <sz val="16"/>
            <rFont val="宋体"/>
            <charset val="134"/>
          </rPr>
          <t>Administrator:</t>
        </r>
        <r>
          <rPr>
            <sz val="16"/>
            <rFont val="宋体"/>
            <charset val="134"/>
          </rPr>
          <t xml:space="preserve">
1405617 2/3 814 pcs 华兴三楼B14</t>
        </r>
      </text>
    </comment>
    <comment ref="AD581" authorId="0">
      <text>
        <r>
          <rPr>
            <b/>
            <sz val="16"/>
            <rFont val="宋体"/>
            <charset val="134"/>
          </rPr>
          <t>Administrator:</t>
        </r>
        <r>
          <rPr>
            <sz val="16"/>
            <rFont val="宋体"/>
            <charset val="134"/>
          </rPr>
          <t xml:space="preserve">
1/12上 QR 贴纸 814 pcs
 进口商贴纸 814 pcs</t>
        </r>
      </text>
    </comment>
    <comment ref="AB582" authorId="0">
      <text>
        <r>
          <rPr>
            <b/>
            <sz val="16"/>
            <rFont val="宋体"/>
            <charset val="134"/>
          </rPr>
          <t>Administrator:</t>
        </r>
        <r>
          <rPr>
            <sz val="16"/>
            <rFont val="宋体"/>
            <charset val="134"/>
          </rPr>
          <t xml:space="preserve">
1405704 1/29 924 pcs 华兴三楼A25
1405707 1/30 2332 pcs A25</t>
        </r>
      </text>
    </comment>
    <comment ref="AD582" authorId="0">
      <text>
        <r>
          <rPr>
            <b/>
            <sz val="16"/>
            <rFont val="宋体"/>
            <charset val="134"/>
          </rPr>
          <t>Administrator:</t>
        </r>
        <r>
          <rPr>
            <sz val="16"/>
            <rFont val="宋体"/>
            <charset val="134"/>
          </rPr>
          <t xml:space="preserve">
1/19上 进口商贴纸 3256 pcs
 UPC贴纸 3256 pcs</t>
        </r>
      </text>
    </comment>
    <comment ref="AB583" authorId="0">
      <text>
        <r>
          <rPr>
            <b/>
            <sz val="16"/>
            <rFont val="宋体"/>
            <charset val="134"/>
          </rPr>
          <t>Administrator:</t>
        </r>
        <r>
          <rPr>
            <sz val="16"/>
            <rFont val="宋体"/>
            <charset val="134"/>
          </rPr>
          <t xml:space="preserve">
1405705 1/29 240 pcs 华兴三楼B13</t>
        </r>
      </text>
    </comment>
    <comment ref="AD583" authorId="0">
      <text>
        <r>
          <rPr>
            <b/>
            <sz val="16"/>
            <rFont val="宋体"/>
            <charset val="134"/>
          </rPr>
          <t>Administrator:</t>
        </r>
        <r>
          <rPr>
            <sz val="16"/>
            <rFont val="宋体"/>
            <charset val="134"/>
          </rPr>
          <t xml:space="preserve">
1/12上 警告语贴纸 240 pcs
 EAN条码贴纸 240 pcs
 空白贴纸 204 pcs
1/28补上 邮包盒贴纸 984 pcs</t>
        </r>
      </text>
    </comment>
    <comment ref="AB584" authorId="0">
      <text>
        <r>
          <rPr>
            <b/>
            <sz val="16"/>
            <rFont val="宋体"/>
            <charset val="134"/>
          </rPr>
          <t>Administrator:</t>
        </r>
        <r>
          <rPr>
            <sz val="16"/>
            <rFont val="宋体"/>
            <charset val="134"/>
          </rPr>
          <t xml:space="preserve">
1405705 1/29 240 pcs 华兴三楼B13</t>
        </r>
      </text>
    </comment>
    <comment ref="AD584" authorId="0">
      <text>
        <r>
          <rPr>
            <b/>
            <sz val="16"/>
            <rFont val="宋体"/>
            <charset val="134"/>
          </rPr>
          <t>Administrator:</t>
        </r>
        <r>
          <rPr>
            <sz val="16"/>
            <rFont val="宋体"/>
            <charset val="134"/>
          </rPr>
          <t xml:space="preserve">
1/12上 警告语贴纸 240 pcs
 EAN条码贴纸 240 pcs
 空白贴纸 204 pcs</t>
        </r>
      </text>
    </comment>
    <comment ref="AB585" authorId="0">
      <text>
        <r>
          <rPr>
            <b/>
            <sz val="16"/>
            <rFont val="宋体"/>
            <charset val="134"/>
          </rPr>
          <t>Administrator:</t>
        </r>
        <r>
          <rPr>
            <sz val="16"/>
            <rFont val="宋体"/>
            <charset val="134"/>
          </rPr>
          <t xml:space="preserve">
1405705 1/29 504 pcs 华兴三楼B13</t>
        </r>
      </text>
    </comment>
    <comment ref="AD585" authorId="0">
      <text>
        <r>
          <rPr>
            <b/>
            <sz val="16"/>
            <rFont val="宋体"/>
            <charset val="134"/>
          </rPr>
          <t>Administrator:</t>
        </r>
        <r>
          <rPr>
            <sz val="16"/>
            <rFont val="宋体"/>
            <charset val="134"/>
          </rPr>
          <t xml:space="preserve">
1/12上 警告语贴纸504 pcs
 EAN条码贴纸 504 pcs
 空白贴纸 504 pcs</t>
        </r>
      </text>
    </comment>
    <comment ref="AB586" authorId="0">
      <text>
        <r>
          <rPr>
            <b/>
            <sz val="16"/>
            <rFont val="宋体"/>
            <charset val="134"/>
          </rPr>
          <t>Administrator:</t>
        </r>
        <r>
          <rPr>
            <sz val="16"/>
            <rFont val="宋体"/>
            <charset val="134"/>
          </rPr>
          <t xml:space="preserve">
1405657 2/2 2400 pcs 直走</t>
        </r>
      </text>
    </comment>
    <comment ref="AD586" authorId="0">
      <text>
        <r>
          <rPr>
            <b/>
            <sz val="16"/>
            <rFont val="宋体"/>
            <charset val="134"/>
          </rPr>
          <t>Administrator:</t>
        </r>
        <r>
          <rPr>
            <sz val="16"/>
            <rFont val="宋体"/>
            <charset val="134"/>
          </rPr>
          <t xml:space="preserve">
12/15上 客供价格贴纸 2520 pcs</t>
        </r>
      </text>
    </comment>
    <comment ref="AB587" authorId="0">
      <text>
        <r>
          <rPr>
            <b/>
            <sz val="16"/>
            <rFont val="宋体"/>
            <charset val="134"/>
          </rPr>
          <t>Administrator:</t>
        </r>
        <r>
          <rPr>
            <sz val="16"/>
            <rFont val="宋体"/>
            <charset val="134"/>
          </rPr>
          <t xml:space="preserve">
1405663 2/3 1560 pcs 华兴登一楼</t>
        </r>
      </text>
    </comment>
    <comment ref="AD587" authorId="0">
      <text>
        <r>
          <rPr>
            <b/>
            <sz val="16"/>
            <rFont val="宋体"/>
            <charset val="134"/>
          </rPr>
          <t>Administrator:</t>
        </r>
        <r>
          <rPr>
            <sz val="16"/>
            <rFont val="宋体"/>
            <charset val="134"/>
          </rPr>
          <t xml:space="preserve">
12/15上 客供价格贴纸 1638 pcs
12/23上 警告语贴纸 1560 pcs</t>
        </r>
      </text>
    </comment>
    <comment ref="AB588" authorId="0">
      <text>
        <r>
          <rPr>
            <b/>
            <sz val="18"/>
            <rFont val="宋体"/>
            <charset val="134"/>
          </rPr>
          <t>Administrator:</t>
        </r>
        <r>
          <rPr>
            <sz val="18"/>
            <rFont val="宋体"/>
            <charset val="134"/>
          </rPr>
          <t xml:space="preserve">
1405614 2/4 2200 pcs 华兴三楼B8</t>
        </r>
      </text>
    </comment>
    <comment ref="AD588" authorId="0">
      <text>
        <r>
          <rPr>
            <b/>
            <sz val="16"/>
            <rFont val="宋体"/>
            <charset val="134"/>
          </rPr>
          <t>Administrator:</t>
        </r>
        <r>
          <rPr>
            <sz val="16"/>
            <rFont val="宋体"/>
            <charset val="134"/>
          </rPr>
          <t xml:space="preserve">
1/15上 韩语贴纸 2200 pcs</t>
        </r>
      </text>
    </comment>
    <comment ref="AB589" authorId="0">
      <text>
        <r>
          <rPr>
            <b/>
            <sz val="16"/>
            <rFont val="宋体"/>
            <charset val="134"/>
          </rPr>
          <t>Administrator:</t>
        </r>
        <r>
          <rPr>
            <sz val="16"/>
            <rFont val="宋体"/>
            <charset val="134"/>
          </rPr>
          <t xml:space="preserve">
1405662 2/3 24 pcs 华兴三楼B13</t>
        </r>
      </text>
    </comment>
    <comment ref="AD589" authorId="0">
      <text>
        <r>
          <rPr>
            <b/>
            <sz val="16"/>
            <rFont val="宋体"/>
            <charset val="134"/>
          </rPr>
          <t>Administrator:</t>
        </r>
        <r>
          <rPr>
            <sz val="16"/>
            <rFont val="宋体"/>
            <charset val="134"/>
          </rPr>
          <t xml:space="preserve">
1/19上 UPC贴纸 24 pcs
1/28上 客供亚马逊外箱贴纸 1 pcs
</t>
        </r>
      </text>
    </comment>
    <comment ref="AB590" authorId="0">
      <text>
        <r>
          <rPr>
            <b/>
            <sz val="16"/>
            <rFont val="宋体"/>
            <charset val="134"/>
          </rPr>
          <t>Administrator:</t>
        </r>
        <r>
          <rPr>
            <sz val="16"/>
            <rFont val="宋体"/>
            <charset val="134"/>
          </rPr>
          <t xml:space="preserve">
1405662 2/3 24 pcs 华兴三楼B13</t>
        </r>
      </text>
    </comment>
    <comment ref="AD590" authorId="0">
      <text>
        <r>
          <rPr>
            <b/>
            <sz val="16"/>
            <rFont val="宋体"/>
            <charset val="134"/>
          </rPr>
          <t>Administrator:</t>
        </r>
        <r>
          <rPr>
            <sz val="16"/>
            <rFont val="宋体"/>
            <charset val="134"/>
          </rPr>
          <t xml:space="preserve">
1/19上 UPC贴纸 24 pcs
1/28上 客供亚马逊外箱贴纸 1 pcs</t>
        </r>
      </text>
    </comment>
    <comment ref="AB591" authorId="0">
      <text>
        <r>
          <rPr>
            <b/>
            <sz val="16"/>
            <rFont val="宋体"/>
            <charset val="134"/>
          </rPr>
          <t>Administrator:</t>
        </r>
        <r>
          <rPr>
            <sz val="16"/>
            <rFont val="宋体"/>
            <charset val="134"/>
          </rPr>
          <t xml:space="preserve">
1405662 2/3 24 pcs 华兴三楼B13</t>
        </r>
      </text>
    </comment>
    <comment ref="AD591" authorId="0">
      <text>
        <r>
          <rPr>
            <b/>
            <sz val="16"/>
            <rFont val="宋体"/>
            <charset val="134"/>
          </rPr>
          <t>Administrator:</t>
        </r>
        <r>
          <rPr>
            <sz val="16"/>
            <rFont val="宋体"/>
            <charset val="134"/>
          </rPr>
          <t xml:space="preserve">
1/19上 UPC贴纸 24 pcs
1/28上 客供亚马逊外箱贴纸 1 pcs</t>
        </r>
      </text>
    </comment>
    <comment ref="AB592" authorId="0">
      <text>
        <r>
          <rPr>
            <b/>
            <sz val="16"/>
            <rFont val="宋体"/>
            <charset val="134"/>
          </rPr>
          <t>Administrator:</t>
        </r>
        <r>
          <rPr>
            <sz val="16"/>
            <rFont val="宋体"/>
            <charset val="134"/>
          </rPr>
          <t xml:space="preserve">
1405662 2/3 72 pcs 华兴三楼B13</t>
        </r>
      </text>
    </comment>
    <comment ref="AD592" authorId="0">
      <text>
        <r>
          <rPr>
            <b/>
            <sz val="16"/>
            <rFont val="宋体"/>
            <charset val="134"/>
          </rPr>
          <t>Administrator:</t>
        </r>
        <r>
          <rPr>
            <sz val="16"/>
            <rFont val="宋体"/>
            <charset val="134"/>
          </rPr>
          <t xml:space="preserve">
1/19上 UPC贴纸 72 pcs
1/28上 客供亚马逊外箱贴纸 3 pcs</t>
        </r>
      </text>
    </comment>
    <comment ref="AB593" authorId="0">
      <text>
        <r>
          <rPr>
            <b/>
            <sz val="16"/>
            <rFont val="宋体"/>
            <charset val="134"/>
          </rPr>
          <t>Administrator:</t>
        </r>
        <r>
          <rPr>
            <sz val="16"/>
            <rFont val="宋体"/>
            <charset val="134"/>
          </rPr>
          <t xml:space="preserve">
1405662 2/3 24 pcs 华兴三楼B13</t>
        </r>
      </text>
    </comment>
    <comment ref="AD593" authorId="0">
      <text>
        <r>
          <rPr>
            <b/>
            <sz val="16"/>
            <rFont val="宋体"/>
            <charset val="134"/>
          </rPr>
          <t>Administrator:</t>
        </r>
        <r>
          <rPr>
            <sz val="16"/>
            <rFont val="宋体"/>
            <charset val="134"/>
          </rPr>
          <t xml:space="preserve">
1/19上 UPC贴纸 24 pcs
1/28上 客供亚马逊外箱贴纸 1 pcs</t>
        </r>
      </text>
    </comment>
    <comment ref="AB594" authorId="0">
      <text>
        <r>
          <rPr>
            <b/>
            <sz val="16"/>
            <rFont val="宋体"/>
            <charset val="134"/>
          </rPr>
          <t>Administrator:</t>
        </r>
        <r>
          <rPr>
            <sz val="16"/>
            <rFont val="宋体"/>
            <charset val="134"/>
          </rPr>
          <t xml:space="preserve">
1405662 2/3 24 pcs 华兴三楼B13</t>
        </r>
      </text>
    </comment>
    <comment ref="AD594" authorId="0">
      <text>
        <r>
          <rPr>
            <b/>
            <sz val="16"/>
            <rFont val="宋体"/>
            <charset val="134"/>
          </rPr>
          <t>Administrator:</t>
        </r>
        <r>
          <rPr>
            <sz val="16"/>
            <rFont val="宋体"/>
            <charset val="134"/>
          </rPr>
          <t xml:space="preserve">
1/19上 UPC贴纸 24 pcs
1/28上 客供亚马逊外箱贴纸 1 pcs</t>
        </r>
      </text>
    </comment>
    <comment ref="AB595" authorId="0">
      <text>
        <r>
          <rPr>
            <b/>
            <sz val="16"/>
            <rFont val="宋体"/>
            <charset val="134"/>
          </rPr>
          <t>Administrator:</t>
        </r>
        <r>
          <rPr>
            <sz val="16"/>
            <rFont val="宋体"/>
            <charset val="134"/>
          </rPr>
          <t xml:space="preserve">
1405662 2/3 24 pcs 华兴三楼B13</t>
        </r>
      </text>
    </comment>
    <comment ref="AD595" authorId="0">
      <text>
        <r>
          <rPr>
            <b/>
            <sz val="16"/>
            <rFont val="宋体"/>
            <charset val="134"/>
          </rPr>
          <t>Administrator:</t>
        </r>
        <r>
          <rPr>
            <sz val="16"/>
            <rFont val="宋体"/>
            <charset val="134"/>
          </rPr>
          <t xml:space="preserve">
1/19上 UPC贴纸 24 pcs
1/28上 客供亚马逊外箱贴纸 1 pcs</t>
        </r>
      </text>
    </comment>
    <comment ref="AB596" authorId="0">
      <text>
        <r>
          <rPr>
            <b/>
            <sz val="16"/>
            <rFont val="宋体"/>
            <charset val="134"/>
          </rPr>
          <t>Administrator:</t>
        </r>
        <r>
          <rPr>
            <sz val="16"/>
            <rFont val="宋体"/>
            <charset val="134"/>
          </rPr>
          <t xml:space="preserve">
1405662 2/3 24 pcs 华兴三楼B13</t>
        </r>
      </text>
    </comment>
    <comment ref="AD596" authorId="0">
      <text>
        <r>
          <rPr>
            <b/>
            <sz val="16"/>
            <rFont val="宋体"/>
            <charset val="134"/>
          </rPr>
          <t>Administrator:</t>
        </r>
        <r>
          <rPr>
            <sz val="16"/>
            <rFont val="宋体"/>
            <charset val="134"/>
          </rPr>
          <t xml:space="preserve">
1/19上 UPC贴纸 24 pcs
1/28上 客供亚马逊外箱贴纸 1 pcs</t>
        </r>
      </text>
    </comment>
    <comment ref="AB597" authorId="0">
      <text>
        <r>
          <rPr>
            <b/>
            <sz val="16"/>
            <rFont val="宋体"/>
            <charset val="134"/>
          </rPr>
          <t>Administrator:</t>
        </r>
        <r>
          <rPr>
            <sz val="16"/>
            <rFont val="宋体"/>
            <charset val="134"/>
          </rPr>
          <t xml:space="preserve">
1405662 2/3 24 pcs 华兴三楼B13</t>
        </r>
      </text>
    </comment>
    <comment ref="AD597" authorId="0">
      <text>
        <r>
          <rPr>
            <b/>
            <sz val="16"/>
            <rFont val="宋体"/>
            <charset val="134"/>
          </rPr>
          <t>Administrator:</t>
        </r>
        <r>
          <rPr>
            <sz val="16"/>
            <rFont val="宋体"/>
            <charset val="134"/>
          </rPr>
          <t xml:space="preserve">
1/19上 UPC贴纸 24 pcs
1/28上 客供亚马逊外箱贴纸 1 pcs</t>
        </r>
      </text>
    </comment>
    <comment ref="AB598" authorId="0">
      <text>
        <r>
          <rPr>
            <b/>
            <sz val="16"/>
            <rFont val="宋体"/>
            <charset val="134"/>
          </rPr>
          <t>Administrator:</t>
        </r>
        <r>
          <rPr>
            <sz val="16"/>
            <rFont val="宋体"/>
            <charset val="134"/>
          </rPr>
          <t xml:space="preserve">
1405663 2/3 308 pcs 华兴登一楼</t>
        </r>
      </text>
    </comment>
    <comment ref="AD598" authorId="0">
      <text>
        <r>
          <rPr>
            <b/>
            <sz val="16"/>
            <rFont val="宋体"/>
            <charset val="134"/>
          </rPr>
          <t>Administrator:</t>
        </r>
        <r>
          <rPr>
            <sz val="16"/>
            <rFont val="宋体"/>
            <charset val="134"/>
          </rPr>
          <t xml:space="preserve">
1/15上 客供价格贴纸 315 pcs</t>
        </r>
      </text>
    </comment>
    <comment ref="AB599" authorId="0">
      <text>
        <r>
          <rPr>
            <b/>
            <sz val="16"/>
            <rFont val="宋体"/>
            <charset val="134"/>
          </rPr>
          <t>Administrator:</t>
        </r>
        <r>
          <rPr>
            <sz val="16"/>
            <rFont val="宋体"/>
            <charset val="134"/>
          </rPr>
          <t xml:space="preserve">
1405595 2/5 960 pcs</t>
        </r>
      </text>
    </comment>
    <comment ref="AD599" authorId="0">
      <text>
        <r>
          <rPr>
            <b/>
            <sz val="16"/>
            <rFont val="宋体"/>
            <charset val="134"/>
          </rPr>
          <t>Administrator:</t>
        </r>
        <r>
          <rPr>
            <sz val="16"/>
            <rFont val="宋体"/>
            <charset val="134"/>
          </rPr>
          <t xml:space="preserve">
1/19上 环保标贴纸 960 pcs
1/19上 洗涤说明西班牙语贴纸 960 pcs
1/26上 亚马逊外箱贴纸 40 pcs</t>
        </r>
      </text>
    </comment>
    <comment ref="AB600" authorId="0">
      <text>
        <r>
          <rPr>
            <b/>
            <sz val="16"/>
            <rFont val="宋体"/>
            <charset val="134"/>
          </rPr>
          <t>Administrator:</t>
        </r>
        <r>
          <rPr>
            <sz val="16"/>
            <rFont val="宋体"/>
            <charset val="134"/>
          </rPr>
          <t xml:space="preserve">
1405595 2/5 504 pcs </t>
        </r>
      </text>
    </comment>
    <comment ref="AD600" authorId="0">
      <text>
        <r>
          <rPr>
            <b/>
            <sz val="16"/>
            <rFont val="宋体"/>
            <charset val="134"/>
          </rPr>
          <t>Administrator:</t>
        </r>
        <r>
          <rPr>
            <sz val="16"/>
            <rFont val="宋体"/>
            <charset val="134"/>
          </rPr>
          <t xml:space="preserve">
1/19上 环保标贴纸 504 pcs
1/19上 洗涤说明西班牙语贴纸 504 pcs
1/26上 亚马逊外箱贴纸 21 pcs
</t>
        </r>
      </text>
    </comment>
    <comment ref="AB601" authorId="0">
      <text>
        <r>
          <rPr>
            <b/>
            <sz val="16"/>
            <rFont val="宋体"/>
            <charset val="134"/>
          </rPr>
          <t>Administrator:</t>
        </r>
        <r>
          <rPr>
            <sz val="16"/>
            <rFont val="宋体"/>
            <charset val="134"/>
          </rPr>
          <t xml:space="preserve">
1405595 2/5 504 pcs </t>
        </r>
      </text>
    </comment>
    <comment ref="AD601" authorId="0">
      <text>
        <r>
          <rPr>
            <b/>
            <sz val="16"/>
            <rFont val="宋体"/>
            <charset val="134"/>
          </rPr>
          <t>Administrator:</t>
        </r>
        <r>
          <rPr>
            <sz val="16"/>
            <rFont val="宋体"/>
            <charset val="134"/>
          </rPr>
          <t xml:space="preserve">
1/19上 环保标贴纸 504 pcs
1/19上 洗涤说明西班牙语贴纸 504 pcs
1/26上 亚马逊外箱贴纸 21 pcs
</t>
        </r>
      </text>
    </comment>
    <comment ref="AB602" authorId="0">
      <text>
        <r>
          <rPr>
            <b/>
            <sz val="16"/>
            <rFont val="宋体"/>
            <charset val="134"/>
          </rPr>
          <t>Administrator:</t>
        </r>
        <r>
          <rPr>
            <sz val="16"/>
            <rFont val="宋体"/>
            <charset val="134"/>
          </rPr>
          <t xml:space="preserve">
1405595 2/5 504 pcs </t>
        </r>
      </text>
    </comment>
    <comment ref="AD602" authorId="0">
      <text>
        <r>
          <rPr>
            <b/>
            <sz val="16"/>
            <rFont val="宋体"/>
            <charset val="134"/>
          </rPr>
          <t>Administrator:</t>
        </r>
        <r>
          <rPr>
            <sz val="16"/>
            <rFont val="宋体"/>
            <charset val="134"/>
          </rPr>
          <t xml:space="preserve">
1/19上 环保标贴纸 504 pcs
1/19上 洗涤说明西班牙语贴纸 504 pcs
1/26上 亚马逊外箱贴纸 21 pcs
</t>
        </r>
      </text>
    </comment>
    <comment ref="AB603" authorId="0">
      <text>
        <r>
          <rPr>
            <b/>
            <sz val="16"/>
            <rFont val="宋体"/>
            <charset val="134"/>
          </rPr>
          <t>Administrator:</t>
        </r>
        <r>
          <rPr>
            <sz val="16"/>
            <rFont val="宋体"/>
            <charset val="134"/>
          </rPr>
          <t xml:space="preserve">
1405595 2/5 504 pcs </t>
        </r>
      </text>
    </comment>
    <comment ref="AD603" authorId="0">
      <text>
        <r>
          <rPr>
            <b/>
            <sz val="16"/>
            <rFont val="宋体"/>
            <charset val="134"/>
          </rPr>
          <t>Administrator:</t>
        </r>
        <r>
          <rPr>
            <sz val="16"/>
            <rFont val="宋体"/>
            <charset val="134"/>
          </rPr>
          <t xml:space="preserve">
1/19上 环保标贴纸 504 pcs
1/19上 洗涤说明西班牙语贴纸 504 pcs
1/26上 亚马逊外箱贴纸 21 pcs
</t>
        </r>
      </text>
    </comment>
    <comment ref="AB604" authorId="0">
      <text>
        <r>
          <rPr>
            <b/>
            <sz val="16"/>
            <rFont val="宋体"/>
            <charset val="134"/>
          </rPr>
          <t>Administrator:</t>
        </r>
        <r>
          <rPr>
            <sz val="16"/>
            <rFont val="宋体"/>
            <charset val="134"/>
          </rPr>
          <t xml:space="preserve">
1405624 2/4 1296 pcs 华兴三楼B12   
1405627 2/4 1200 pcs B12</t>
        </r>
      </text>
    </comment>
    <comment ref="AD604" authorId="0">
      <text>
        <r>
          <rPr>
            <b/>
            <sz val="16"/>
            <rFont val="宋体"/>
            <charset val="134"/>
          </rPr>
          <t>Administrator:</t>
        </r>
        <r>
          <rPr>
            <sz val="16"/>
            <rFont val="宋体"/>
            <charset val="134"/>
          </rPr>
          <t xml:space="preserve">
1/29上 德语callout贴纸 2496 pcs
 EAN条码贴纸 2496 pcs</t>
        </r>
      </text>
    </comment>
    <comment ref="AB605" authorId="0">
      <text>
        <r>
          <rPr>
            <b/>
            <sz val="16"/>
            <rFont val="宋体"/>
            <charset val="134"/>
          </rPr>
          <t>Administrator:</t>
        </r>
        <r>
          <rPr>
            <sz val="16"/>
            <rFont val="宋体"/>
            <charset val="134"/>
          </rPr>
          <t xml:space="preserve">
1405576 2/7 784 pcs B5     
1405528 2/7 28 pcs 四楼B5</t>
        </r>
      </text>
    </comment>
    <comment ref="AD605" authorId="0">
      <text>
        <r>
          <rPr>
            <b/>
            <sz val="16"/>
            <rFont val="宋体"/>
            <charset val="134"/>
          </rPr>
          <t>Administrator:</t>
        </r>
        <r>
          <rPr>
            <sz val="16"/>
            <rFont val="宋体"/>
            <charset val="134"/>
          </rPr>
          <t xml:space="preserve">
1/19上 四国语言警告语贴纸 1512 pcs</t>
        </r>
      </text>
    </comment>
    <comment ref="AB606" authorId="0">
      <text>
        <r>
          <rPr>
            <b/>
            <sz val="16"/>
            <rFont val="宋体"/>
            <charset val="134"/>
          </rPr>
          <t>Administrator:</t>
        </r>
        <r>
          <rPr>
            <sz val="16"/>
            <rFont val="宋体"/>
            <charset val="134"/>
          </rPr>
          <t xml:space="preserve">
1405576 2/7 288 pcs 四楼B5</t>
        </r>
      </text>
    </comment>
    <comment ref="AD606" authorId="0">
      <text>
        <r>
          <rPr>
            <b/>
            <sz val="16"/>
            <rFont val="宋体"/>
            <charset val="134"/>
          </rPr>
          <t>Administrator:</t>
        </r>
        <r>
          <rPr>
            <sz val="16"/>
            <rFont val="宋体"/>
            <charset val="134"/>
          </rPr>
          <t xml:space="preserve">
1/19上 UPC贴纸 288 pcs
1/28上 客供亚马逊外箱贴纸 12 pcs</t>
        </r>
      </text>
    </comment>
    <comment ref="AB607" authorId="0">
      <text>
        <r>
          <rPr>
            <b/>
            <sz val="16"/>
            <rFont val="宋体"/>
            <charset val="134"/>
          </rPr>
          <t>Administrator:</t>
        </r>
        <r>
          <rPr>
            <sz val="16"/>
            <rFont val="宋体"/>
            <charset val="134"/>
          </rPr>
          <t xml:space="preserve">
1405576 2/7 552 pcs 四楼B5</t>
        </r>
      </text>
    </comment>
    <comment ref="AD607" authorId="0">
      <text>
        <r>
          <rPr>
            <b/>
            <sz val="16"/>
            <rFont val="宋体"/>
            <charset val="134"/>
          </rPr>
          <t>Administrator:</t>
        </r>
        <r>
          <rPr>
            <sz val="16"/>
            <rFont val="宋体"/>
            <charset val="134"/>
          </rPr>
          <t xml:space="preserve">
1/22上 邮包盒贴纸 552 pcs
1/26上 亚马逊外箱贴纸 23 pcs</t>
        </r>
      </text>
    </comment>
    <comment ref="AB608" authorId="0">
      <text>
        <r>
          <rPr>
            <b/>
            <sz val="16"/>
            <rFont val="宋体"/>
            <charset val="134"/>
          </rPr>
          <t>Administrator:</t>
        </r>
        <r>
          <rPr>
            <sz val="16"/>
            <rFont val="宋体"/>
            <charset val="134"/>
          </rPr>
          <t xml:space="preserve">
1405576 2/7 240 pcs 四楼B5</t>
        </r>
      </text>
    </comment>
    <comment ref="AD608" authorId="0">
      <text>
        <r>
          <rPr>
            <b/>
            <sz val="16"/>
            <rFont val="宋体"/>
            <charset val="134"/>
          </rPr>
          <t>Administrator:</t>
        </r>
        <r>
          <rPr>
            <sz val="16"/>
            <rFont val="宋体"/>
            <charset val="134"/>
          </rPr>
          <t xml:space="preserve">
1/22上 UPC贴纸 240 pcs
1/30上 客供亚马逊外箱贴纸 10 pcs</t>
        </r>
      </text>
    </comment>
    <comment ref="AB609" authorId="0">
      <text>
        <r>
          <rPr>
            <b/>
            <sz val="16"/>
            <rFont val="宋体"/>
            <charset val="134"/>
          </rPr>
          <t>Administrator:</t>
        </r>
        <r>
          <rPr>
            <sz val="16"/>
            <rFont val="宋体"/>
            <charset val="134"/>
          </rPr>
          <t xml:space="preserve">
1405576 2/7 312 pcs 四楼B5</t>
        </r>
      </text>
    </comment>
    <comment ref="AD609" authorId="0">
      <text>
        <r>
          <rPr>
            <b/>
            <sz val="16"/>
            <rFont val="宋体"/>
            <charset val="134"/>
          </rPr>
          <t>Administrator:</t>
        </r>
        <r>
          <rPr>
            <sz val="16"/>
            <rFont val="宋体"/>
            <charset val="134"/>
          </rPr>
          <t xml:space="preserve">
1/22上 UPC贴纸 312 pcs
1/30上 客供亚马逊外箱贴纸 13 pcs</t>
        </r>
      </text>
    </comment>
    <comment ref="AB610" authorId="0">
      <text>
        <r>
          <rPr>
            <b/>
            <sz val="16"/>
            <rFont val="宋体"/>
            <charset val="134"/>
          </rPr>
          <t>Administrator:</t>
        </r>
        <r>
          <rPr>
            <sz val="16"/>
            <rFont val="宋体"/>
            <charset val="134"/>
          </rPr>
          <t xml:space="preserve">
1405553 2/7 330 pcs 四楼B5</t>
        </r>
      </text>
    </comment>
    <comment ref="AD610" authorId="0">
      <text>
        <r>
          <rPr>
            <b/>
            <sz val="16"/>
            <rFont val="宋体"/>
            <charset val="134"/>
          </rPr>
          <t>Administrator:</t>
        </r>
        <r>
          <rPr>
            <sz val="16"/>
            <rFont val="宋体"/>
            <charset val="134"/>
          </rPr>
          <t xml:space="preserve">
1/22上 说明书/UPC/警示语贴纸 330 pcs</t>
        </r>
      </text>
    </comment>
    <comment ref="AB611" authorId="0">
      <text>
        <r>
          <rPr>
            <b/>
            <sz val="16"/>
            <rFont val="宋体"/>
            <charset val="134"/>
          </rPr>
          <t>Administrator:</t>
        </r>
        <r>
          <rPr>
            <sz val="16"/>
            <rFont val="宋体"/>
            <charset val="134"/>
          </rPr>
          <t xml:space="preserve">
1405576 2/7 1200 pcs 四楼A9</t>
        </r>
      </text>
    </comment>
    <comment ref="AD611" authorId="0">
      <text>
        <r>
          <rPr>
            <b/>
            <sz val="16"/>
            <rFont val="宋体"/>
            <charset val="134"/>
          </rPr>
          <t>Administrator:</t>
        </r>
        <r>
          <rPr>
            <sz val="16"/>
            <rFont val="宋体"/>
            <charset val="134"/>
          </rPr>
          <t xml:space="preserve">
1/19上 价格贴纸 1200 pcs
 外箱条码贴纸 100 pcs</t>
        </r>
      </text>
    </comment>
    <comment ref="AB612" authorId="0">
      <text>
        <r>
          <rPr>
            <b/>
            <sz val="14"/>
            <rFont val="宋体"/>
            <charset val="134"/>
          </rPr>
          <t>Administrator:</t>
        </r>
        <r>
          <rPr>
            <sz val="14"/>
            <rFont val="宋体"/>
            <charset val="134"/>
          </rPr>
          <t xml:space="preserve">
1405574 2/7 24 pcs 四楼B5</t>
        </r>
      </text>
    </comment>
    <comment ref="AD612" authorId="0">
      <text>
        <r>
          <rPr>
            <b/>
            <sz val="14"/>
            <rFont val="宋体"/>
            <charset val="134"/>
          </rPr>
          <t>Administrator:</t>
        </r>
        <r>
          <rPr>
            <sz val="14"/>
            <rFont val="宋体"/>
            <charset val="134"/>
          </rPr>
          <t xml:space="preserve">
1/26上 UPC贴纸 24 pcs
1/30上 客供亚马逊外箱贴纸 1 pcs</t>
        </r>
      </text>
    </comment>
    <comment ref="AB613" authorId="0">
      <text>
        <r>
          <rPr>
            <b/>
            <sz val="14"/>
            <rFont val="宋体"/>
            <charset val="134"/>
          </rPr>
          <t>Administrator:</t>
        </r>
        <r>
          <rPr>
            <sz val="14"/>
            <rFont val="宋体"/>
            <charset val="134"/>
          </rPr>
          <t xml:space="preserve">
1405574 2/7 24 pcs 四楼B5</t>
        </r>
      </text>
    </comment>
    <comment ref="AD613" authorId="0">
      <text>
        <r>
          <rPr>
            <b/>
            <sz val="14"/>
            <rFont val="宋体"/>
            <charset val="134"/>
          </rPr>
          <t>Administrator:</t>
        </r>
        <r>
          <rPr>
            <sz val="14"/>
            <rFont val="宋体"/>
            <charset val="134"/>
          </rPr>
          <t xml:space="preserve">
1/26上 UPC贴纸 24 pcs 
1/30上 客供亚马逊外箱贴纸 1 pcs
</t>
        </r>
      </text>
    </comment>
    <comment ref="AB614" authorId="0">
      <text>
        <r>
          <rPr>
            <b/>
            <sz val="14"/>
            <rFont val="宋体"/>
            <charset val="134"/>
          </rPr>
          <t>Administrator:</t>
        </r>
        <r>
          <rPr>
            <sz val="14"/>
            <rFont val="宋体"/>
            <charset val="134"/>
          </rPr>
          <t xml:space="preserve">
1405574 2/7 24 pcs 四楼B5</t>
        </r>
      </text>
    </comment>
    <comment ref="AD614" authorId="0">
      <text>
        <r>
          <rPr>
            <b/>
            <sz val="14"/>
            <rFont val="宋体"/>
            <charset val="134"/>
          </rPr>
          <t>Administrator:</t>
        </r>
        <r>
          <rPr>
            <sz val="14"/>
            <rFont val="宋体"/>
            <charset val="134"/>
          </rPr>
          <t xml:space="preserve">
1/26上 UPC贴纸 24 pcs 
1/30上 客供亚马逊外箱贴纸 1 pcs
</t>
        </r>
      </text>
    </comment>
    <comment ref="AB615" authorId="0">
      <text>
        <r>
          <rPr>
            <b/>
            <sz val="14"/>
            <rFont val="宋体"/>
            <charset val="134"/>
          </rPr>
          <t>Administrator:</t>
        </r>
        <r>
          <rPr>
            <sz val="14"/>
            <rFont val="宋体"/>
            <charset val="134"/>
          </rPr>
          <t xml:space="preserve">
1405574 2/7 24 pcs 四楼B5</t>
        </r>
      </text>
    </comment>
    <comment ref="AD615" authorId="0">
      <text>
        <r>
          <rPr>
            <b/>
            <sz val="14"/>
            <rFont val="宋体"/>
            <charset val="134"/>
          </rPr>
          <t>Administrator:</t>
        </r>
        <r>
          <rPr>
            <sz val="14"/>
            <rFont val="宋体"/>
            <charset val="134"/>
          </rPr>
          <t xml:space="preserve">
1/26上 UPC贴纸 24 pcs 
1/30上 客供亚马逊外箱贴纸 1 pcs
</t>
        </r>
      </text>
    </comment>
    <comment ref="AB616" authorId="0">
      <text>
        <r>
          <rPr>
            <b/>
            <sz val="14"/>
            <rFont val="宋体"/>
            <charset val="134"/>
          </rPr>
          <t>Administrator:</t>
        </r>
        <r>
          <rPr>
            <sz val="14"/>
            <rFont val="宋体"/>
            <charset val="134"/>
          </rPr>
          <t xml:space="preserve">
1405574 2/7 24 pcs 四楼B5</t>
        </r>
      </text>
    </comment>
    <comment ref="AD616" authorId="0">
      <text>
        <r>
          <rPr>
            <b/>
            <sz val="14"/>
            <rFont val="宋体"/>
            <charset val="134"/>
          </rPr>
          <t>Administrator:</t>
        </r>
        <r>
          <rPr>
            <sz val="14"/>
            <rFont val="宋体"/>
            <charset val="134"/>
          </rPr>
          <t xml:space="preserve">
1/26上 UPC贴纸 24 pcs 
1/30上 客供亚马逊外箱贴纸 1 pcs
</t>
        </r>
      </text>
    </comment>
    <comment ref="AB617" authorId="0">
      <text>
        <r>
          <rPr>
            <b/>
            <sz val="14"/>
            <rFont val="宋体"/>
            <charset val="134"/>
          </rPr>
          <t>Administrator:</t>
        </r>
        <r>
          <rPr>
            <sz val="14"/>
            <rFont val="宋体"/>
            <charset val="134"/>
          </rPr>
          <t xml:space="preserve">
1405574 2/7 24 pcs 四楼B5</t>
        </r>
      </text>
    </comment>
    <comment ref="AD617" authorId="0">
      <text>
        <r>
          <rPr>
            <b/>
            <sz val="14"/>
            <rFont val="宋体"/>
            <charset val="134"/>
          </rPr>
          <t>Administrator:</t>
        </r>
        <r>
          <rPr>
            <sz val="14"/>
            <rFont val="宋体"/>
            <charset val="134"/>
          </rPr>
          <t xml:space="preserve">
1/26上 UPC贴纸 24 pcs 
1/30上 客供亚马逊外箱贴纸 1 pcs
</t>
        </r>
      </text>
    </comment>
    <comment ref="AB618" authorId="0">
      <text>
        <r>
          <rPr>
            <b/>
            <sz val="14"/>
            <rFont val="宋体"/>
            <charset val="134"/>
          </rPr>
          <t>Administrator:</t>
        </r>
        <r>
          <rPr>
            <sz val="14"/>
            <rFont val="宋体"/>
            <charset val="134"/>
          </rPr>
          <t xml:space="preserve">
1405574 2/7 24 pcs 四楼B5</t>
        </r>
      </text>
    </comment>
    <comment ref="AD618" authorId="0">
      <text>
        <r>
          <rPr>
            <b/>
            <sz val="14"/>
            <rFont val="宋体"/>
            <charset val="134"/>
          </rPr>
          <t>Administrator:</t>
        </r>
        <r>
          <rPr>
            <sz val="14"/>
            <rFont val="宋体"/>
            <charset val="134"/>
          </rPr>
          <t xml:space="preserve">
1/26上 UPC贴纸 24 pcs 
1/30上 客供亚马逊外箱贴纸 1 pcs
</t>
        </r>
      </text>
    </comment>
    <comment ref="AB619" authorId="0">
      <text>
        <r>
          <rPr>
            <b/>
            <sz val="14"/>
            <rFont val="宋体"/>
            <charset val="134"/>
          </rPr>
          <t>Administrator:</t>
        </r>
        <r>
          <rPr>
            <sz val="14"/>
            <rFont val="宋体"/>
            <charset val="134"/>
          </rPr>
          <t xml:space="preserve">
1405575 2/7 24 pcs 四楼B5</t>
        </r>
      </text>
    </comment>
    <comment ref="AD619" authorId="0">
      <text>
        <r>
          <rPr>
            <b/>
            <sz val="14"/>
            <rFont val="宋体"/>
            <charset val="134"/>
          </rPr>
          <t>Administrator:</t>
        </r>
        <r>
          <rPr>
            <sz val="14"/>
            <rFont val="宋体"/>
            <charset val="134"/>
          </rPr>
          <t xml:space="preserve">
1/26上 UPC贴纸 24 pcs 
1/30上 客供亚马逊外箱贴纸 1 pcs
</t>
        </r>
      </text>
    </comment>
    <comment ref="AB620" authorId="0">
      <text>
        <r>
          <rPr>
            <b/>
            <sz val="14"/>
            <rFont val="宋体"/>
            <charset val="134"/>
          </rPr>
          <t>Administrator:</t>
        </r>
        <r>
          <rPr>
            <sz val="14"/>
            <rFont val="宋体"/>
            <charset val="134"/>
          </rPr>
          <t xml:space="preserve">
1405575 2/7 24 pcs 四楼B5</t>
        </r>
      </text>
    </comment>
    <comment ref="AD620" authorId="0">
      <text>
        <r>
          <rPr>
            <b/>
            <sz val="14"/>
            <rFont val="宋体"/>
            <charset val="134"/>
          </rPr>
          <t>Administrator:</t>
        </r>
        <r>
          <rPr>
            <sz val="14"/>
            <rFont val="宋体"/>
            <charset val="134"/>
          </rPr>
          <t xml:space="preserve">
1/26上 UPC贴纸 24 pcs 
1/30上 客供亚马逊外箱贴纸 1 pcs
</t>
        </r>
      </text>
    </comment>
    <comment ref="AB621" authorId="0">
      <text>
        <r>
          <rPr>
            <b/>
            <sz val="14"/>
            <rFont val="宋体"/>
            <charset val="134"/>
          </rPr>
          <t>Administrator:</t>
        </r>
        <r>
          <rPr>
            <sz val="14"/>
            <rFont val="宋体"/>
            <charset val="134"/>
          </rPr>
          <t xml:space="preserve">
1405575 2/7 24 pcs 四楼B5</t>
        </r>
      </text>
    </comment>
    <comment ref="AD621" authorId="0">
      <text>
        <r>
          <rPr>
            <b/>
            <sz val="14"/>
            <rFont val="宋体"/>
            <charset val="134"/>
          </rPr>
          <t>Administrator:</t>
        </r>
        <r>
          <rPr>
            <sz val="14"/>
            <rFont val="宋体"/>
            <charset val="134"/>
          </rPr>
          <t xml:space="preserve">
1/26上 UPC贴纸 24 pcs 
1/30上 客供亚马逊外箱贴纸 1 pcs
</t>
        </r>
      </text>
    </comment>
    <comment ref="AB622" authorId="0">
      <text>
        <r>
          <rPr>
            <b/>
            <sz val="14"/>
            <rFont val="宋体"/>
            <charset val="134"/>
          </rPr>
          <t>Administrator:</t>
        </r>
        <r>
          <rPr>
            <sz val="14"/>
            <rFont val="宋体"/>
            <charset val="134"/>
          </rPr>
          <t xml:space="preserve">
1405575 2/7 24 pcs 四楼B5</t>
        </r>
      </text>
    </comment>
    <comment ref="AD622" authorId="0">
      <text>
        <r>
          <rPr>
            <b/>
            <sz val="14"/>
            <rFont val="宋体"/>
            <charset val="134"/>
          </rPr>
          <t>Administrator:</t>
        </r>
        <r>
          <rPr>
            <sz val="14"/>
            <rFont val="宋体"/>
            <charset val="134"/>
          </rPr>
          <t xml:space="preserve">
1/26上 UPC贴纸 24 pcs 
1/30上 客供亚马逊外箱贴纸 1 pcs
</t>
        </r>
      </text>
    </comment>
    <comment ref="AB623" authorId="0">
      <text>
        <r>
          <rPr>
            <b/>
            <sz val="14"/>
            <rFont val="宋体"/>
            <charset val="134"/>
          </rPr>
          <t>Administrator:</t>
        </r>
        <r>
          <rPr>
            <sz val="14"/>
            <rFont val="宋体"/>
            <charset val="134"/>
          </rPr>
          <t xml:space="preserve">
1405575 2/7 24 pcs 四楼B5</t>
        </r>
      </text>
    </comment>
    <comment ref="AD623" authorId="0">
      <text>
        <r>
          <rPr>
            <b/>
            <sz val="14"/>
            <rFont val="宋体"/>
            <charset val="134"/>
          </rPr>
          <t>Administrator:</t>
        </r>
        <r>
          <rPr>
            <sz val="14"/>
            <rFont val="宋体"/>
            <charset val="134"/>
          </rPr>
          <t xml:space="preserve">
1/26上 UPC贴纸 24 pcs 
1/30上 客供亚马逊外箱贴纸 1 pcs
</t>
        </r>
      </text>
    </comment>
    <comment ref="AB624" authorId="0">
      <text>
        <r>
          <rPr>
            <b/>
            <sz val="14"/>
            <rFont val="宋体"/>
            <charset val="134"/>
          </rPr>
          <t>Administrator:</t>
        </r>
        <r>
          <rPr>
            <sz val="14"/>
            <rFont val="宋体"/>
            <charset val="134"/>
          </rPr>
          <t xml:space="preserve">
1405575 2/7 24 pcs 四楼B5</t>
        </r>
      </text>
    </comment>
    <comment ref="AD624" authorId="0">
      <text>
        <r>
          <rPr>
            <b/>
            <sz val="14"/>
            <rFont val="宋体"/>
            <charset val="134"/>
          </rPr>
          <t>Administrator:</t>
        </r>
        <r>
          <rPr>
            <sz val="14"/>
            <rFont val="宋体"/>
            <charset val="134"/>
          </rPr>
          <t xml:space="preserve">
1/26上 UPC贴纸 24 pcs 
1/30上 客供亚马逊外箱贴纸 1 pcs
</t>
        </r>
      </text>
    </comment>
    <comment ref="AB625" authorId="0">
      <text>
        <r>
          <rPr>
            <b/>
            <sz val="14"/>
            <rFont val="宋体"/>
            <charset val="134"/>
          </rPr>
          <t>Administrator:</t>
        </r>
        <r>
          <rPr>
            <sz val="14"/>
            <rFont val="宋体"/>
            <charset val="134"/>
          </rPr>
          <t xml:space="preserve">
1405307 3/10 120 pcs 四楼B9</t>
        </r>
      </text>
    </comment>
    <comment ref="AD625" authorId="0">
      <text>
        <r>
          <rPr>
            <b/>
            <sz val="16"/>
            <rFont val="宋体"/>
            <charset val="134"/>
          </rPr>
          <t>Administrator:</t>
        </r>
        <r>
          <rPr>
            <sz val="16"/>
            <rFont val="宋体"/>
            <charset val="134"/>
          </rPr>
          <t xml:space="preserve">
1/29上 保证书 120 pcs
 baby UPC条码贴纸 120 pcs
 进口商贴纸 120 pcs</t>
        </r>
      </text>
    </comment>
    <comment ref="AB626" authorId="0">
      <text>
        <r>
          <rPr>
            <b/>
            <sz val="14"/>
            <rFont val="宋体"/>
            <charset val="134"/>
          </rPr>
          <t>Administrator:</t>
        </r>
        <r>
          <rPr>
            <sz val="14"/>
            <rFont val="宋体"/>
            <charset val="134"/>
          </rPr>
          <t xml:space="preserve">
1405307 3/10 120 pcs 四楼B9</t>
        </r>
      </text>
    </comment>
    <comment ref="AD626" authorId="0">
      <text>
        <r>
          <rPr>
            <b/>
            <sz val="16"/>
            <rFont val="宋体"/>
            <charset val="134"/>
          </rPr>
          <t>Administrator:</t>
        </r>
        <r>
          <rPr>
            <sz val="16"/>
            <rFont val="宋体"/>
            <charset val="134"/>
          </rPr>
          <t xml:space="preserve">
1/29上 保证书 120 pcs
 baby UPC条码贴纸 120 pcs
 进口商贴纸 120 pcs</t>
        </r>
      </text>
    </comment>
    <comment ref="AB627" authorId="0">
      <text>
        <r>
          <rPr>
            <b/>
            <sz val="16"/>
            <rFont val="宋体"/>
            <charset val="134"/>
          </rPr>
          <t>Administrator:</t>
        </r>
        <r>
          <rPr>
            <sz val="16"/>
            <rFont val="宋体"/>
            <charset val="134"/>
          </rPr>
          <t xml:space="preserve">
1405325 3/12 1386 pcs 华兴三楼B17</t>
        </r>
      </text>
    </comment>
    <comment ref="AD627" authorId="0">
      <text>
        <r>
          <rPr>
            <b/>
            <sz val="16"/>
            <rFont val="宋体"/>
            <charset val="134"/>
          </rPr>
          <t>Administrator:</t>
        </r>
        <r>
          <rPr>
            <sz val="16"/>
            <rFont val="宋体"/>
            <charset val="134"/>
          </rPr>
          <t xml:space="preserve">
1/30上 WIC贴纸 1386 pcs
  PDQ折页 231 pcs</t>
        </r>
      </text>
    </comment>
    <comment ref="AB628" authorId="0">
      <text>
        <r>
          <rPr>
            <b/>
            <sz val="16"/>
            <rFont val="宋体"/>
            <charset val="134"/>
          </rPr>
          <t>Administrator:</t>
        </r>
        <r>
          <rPr>
            <sz val="16"/>
            <rFont val="宋体"/>
            <charset val="134"/>
          </rPr>
          <t xml:space="preserve">
1405325 3/12 1236 pcs 华兴三楼B17</t>
        </r>
      </text>
    </comment>
    <comment ref="AD628" authorId="0">
      <text>
        <r>
          <rPr>
            <b/>
            <sz val="16"/>
            <rFont val="宋体"/>
            <charset val="134"/>
          </rPr>
          <t>Administrator:</t>
        </r>
        <r>
          <rPr>
            <sz val="16"/>
            <rFont val="宋体"/>
            <charset val="134"/>
          </rPr>
          <t xml:space="preserve">
1/30上 WIC贴纸 1236 pcs
  PDQ折页 206 pcs</t>
        </r>
      </text>
    </comment>
    <comment ref="AB629" authorId="0">
      <text>
        <r>
          <rPr>
            <b/>
            <sz val="16"/>
            <rFont val="宋体"/>
            <charset val="134"/>
          </rPr>
          <t>Administrator:</t>
        </r>
        <r>
          <rPr>
            <sz val="16"/>
            <rFont val="宋体"/>
            <charset val="134"/>
          </rPr>
          <t xml:space="preserve">
1405325 3/12 780 pcs 华兴三楼B17
1405287 3/17 1146 pcs</t>
        </r>
      </text>
    </comment>
    <comment ref="AD629" authorId="0">
      <text>
        <r>
          <rPr>
            <b/>
            <sz val="16"/>
            <rFont val="宋体"/>
            <charset val="134"/>
          </rPr>
          <t>Administrator:</t>
        </r>
        <r>
          <rPr>
            <sz val="16"/>
            <rFont val="宋体"/>
            <charset val="134"/>
          </rPr>
          <t xml:space="preserve">
1/30上 WIC贴纸 1926 pcs
  PDQ折页 321 pcs</t>
        </r>
      </text>
    </comment>
    <comment ref="AB630" authorId="0">
      <text>
        <r>
          <rPr>
            <b/>
            <sz val="16"/>
            <rFont val="宋体"/>
            <charset val="134"/>
          </rPr>
          <t>Administrator:</t>
        </r>
        <r>
          <rPr>
            <sz val="16"/>
            <rFont val="宋体"/>
            <charset val="134"/>
          </rPr>
          <t xml:space="preserve">
1405287 3/17 1638 pcs 直走</t>
        </r>
      </text>
    </comment>
    <comment ref="AD630" authorId="0">
      <text>
        <r>
          <rPr>
            <b/>
            <sz val="16"/>
            <rFont val="宋体"/>
            <charset val="134"/>
          </rPr>
          <t>Administrator:</t>
        </r>
        <r>
          <rPr>
            <sz val="16"/>
            <rFont val="宋体"/>
            <charset val="134"/>
          </rPr>
          <t xml:space="preserve">
1/30上 WIC贴纸 1638 pcs
  PDQ折页 273 pcs</t>
        </r>
      </text>
    </comment>
    <comment ref="AB631" authorId="0">
      <text>
        <r>
          <rPr>
            <b/>
            <sz val="16"/>
            <rFont val="宋体"/>
            <charset val="134"/>
          </rPr>
          <t>Administrator:</t>
        </r>
        <r>
          <rPr>
            <sz val="16"/>
            <rFont val="宋体"/>
            <charset val="134"/>
          </rPr>
          <t xml:space="preserve">
1405287 3/17 1638 pcs 直走</t>
        </r>
      </text>
    </comment>
    <comment ref="AD631" authorId="0">
      <text>
        <r>
          <rPr>
            <b/>
            <sz val="16"/>
            <rFont val="宋体"/>
            <charset val="134"/>
          </rPr>
          <t>Administrator:</t>
        </r>
        <r>
          <rPr>
            <sz val="16"/>
            <rFont val="宋体"/>
            <charset val="134"/>
          </rPr>
          <t xml:space="preserve">
1/30上 WIC贴纸 1638 pcs
  PDQ折页 273 pcs</t>
        </r>
      </text>
    </comment>
    <comment ref="AB632" authorId="0">
      <text>
        <r>
          <rPr>
            <b/>
            <sz val="16"/>
            <rFont val="宋体"/>
            <charset val="134"/>
          </rPr>
          <t>Administrator:</t>
        </r>
        <r>
          <rPr>
            <sz val="16"/>
            <rFont val="宋体"/>
            <charset val="134"/>
          </rPr>
          <t xml:space="preserve">
1405287 3/17 1638 pcs 直走</t>
        </r>
      </text>
    </comment>
    <comment ref="AD632" authorId="0">
      <text>
        <r>
          <rPr>
            <b/>
            <sz val="16"/>
            <rFont val="宋体"/>
            <charset val="134"/>
          </rPr>
          <t>Administrator:</t>
        </r>
        <r>
          <rPr>
            <sz val="16"/>
            <rFont val="宋体"/>
            <charset val="134"/>
          </rPr>
          <t xml:space="preserve">
1/30上 WIC贴纸 1638 pcs
  PDQ折页 273 pcs</t>
        </r>
      </text>
    </comment>
    <comment ref="AB633" authorId="0">
      <text>
        <r>
          <rPr>
            <b/>
            <sz val="16"/>
            <rFont val="宋体"/>
            <charset val="134"/>
          </rPr>
          <t>Administrator:</t>
        </r>
        <r>
          <rPr>
            <sz val="16"/>
            <rFont val="宋体"/>
            <charset val="134"/>
          </rPr>
          <t xml:space="preserve">
1405287 3/17 930 pcs 直走</t>
        </r>
      </text>
    </comment>
    <comment ref="AD633" authorId="0">
      <text>
        <r>
          <rPr>
            <b/>
            <sz val="16"/>
            <rFont val="宋体"/>
            <charset val="134"/>
          </rPr>
          <t>Administrator:</t>
        </r>
        <r>
          <rPr>
            <sz val="16"/>
            <rFont val="宋体"/>
            <charset val="134"/>
          </rPr>
          <t xml:space="preserve">
1/30上 WIC贴纸 930 pcs
  PDQ折页 155 pcs</t>
        </r>
      </text>
    </comment>
    <comment ref="AB634" authorId="0">
      <text>
        <r>
          <rPr>
            <b/>
            <sz val="16"/>
            <rFont val="宋体"/>
            <charset val="134"/>
          </rPr>
          <t>Administrator:</t>
        </r>
        <r>
          <rPr>
            <sz val="16"/>
            <rFont val="宋体"/>
            <charset val="134"/>
          </rPr>
          <t xml:space="preserve">
1405242 3/19 1441 pcs</t>
        </r>
      </text>
    </comment>
    <comment ref="AD634" authorId="0">
      <text>
        <r>
          <rPr>
            <b/>
            <sz val="16"/>
            <rFont val="宋体"/>
            <charset val="134"/>
          </rPr>
          <t>Administrator:</t>
        </r>
        <r>
          <rPr>
            <sz val="16"/>
            <rFont val="宋体"/>
            <charset val="134"/>
          </rPr>
          <t xml:space="preserve">
3/2上 客户进口商贴纸 1441 pcs</t>
        </r>
      </text>
    </comment>
    <comment ref="AB635" authorId="0">
      <text>
        <r>
          <rPr>
            <b/>
            <sz val="16"/>
            <rFont val="宋体"/>
            <charset val="134"/>
          </rPr>
          <t>Administrator:</t>
        </r>
        <r>
          <rPr>
            <sz val="16"/>
            <rFont val="宋体"/>
            <charset val="134"/>
          </rPr>
          <t xml:space="preserve">
1405242 3/19 1210 pcs</t>
        </r>
      </text>
    </comment>
    <comment ref="AD635" authorId="0">
      <text>
        <r>
          <rPr>
            <b/>
            <sz val="16"/>
            <rFont val="宋体"/>
            <charset val="134"/>
          </rPr>
          <t>Administrator:</t>
        </r>
        <r>
          <rPr>
            <sz val="16"/>
            <rFont val="宋体"/>
            <charset val="134"/>
          </rPr>
          <t xml:space="preserve">
3/2上 进口商贴纸 1210 pcs</t>
        </r>
      </text>
    </comment>
    <comment ref="AB636" authorId="0">
      <text>
        <r>
          <rPr>
            <b/>
            <sz val="16"/>
            <rFont val="宋体"/>
            <charset val="134"/>
          </rPr>
          <t>Administrator:</t>
        </r>
        <r>
          <rPr>
            <sz val="16"/>
            <rFont val="宋体"/>
            <charset val="134"/>
          </rPr>
          <t xml:space="preserve">
1405226 3/26 1992 pcs 华兴三楼B15</t>
        </r>
      </text>
    </comment>
    <comment ref="AD636" authorId="0">
      <text>
        <r>
          <rPr>
            <b/>
            <sz val="16"/>
            <rFont val="宋体"/>
            <charset val="134"/>
          </rPr>
          <t>Administrator:</t>
        </r>
        <r>
          <rPr>
            <sz val="16"/>
            <rFont val="宋体"/>
            <charset val="134"/>
          </rPr>
          <t xml:space="preserve">
3/6上 UPC贴纸 1992 pcs
3/10上 客供亚马逊外箱贴纸 83 pcs</t>
        </r>
      </text>
    </comment>
    <comment ref="AB637" authorId="0">
      <text>
        <r>
          <rPr>
            <b/>
            <sz val="16"/>
            <rFont val="宋体"/>
            <charset val="134"/>
          </rPr>
          <t>Administrator:</t>
        </r>
        <r>
          <rPr>
            <sz val="16"/>
            <rFont val="宋体"/>
            <charset val="134"/>
          </rPr>
          <t xml:space="preserve">
1405226 3/26 1656 pcs 华兴三楼B15</t>
        </r>
      </text>
    </comment>
    <comment ref="AD637" authorId="0">
      <text>
        <r>
          <rPr>
            <b/>
            <sz val="16"/>
            <rFont val="宋体"/>
            <charset val="134"/>
          </rPr>
          <t>Administrator:</t>
        </r>
        <r>
          <rPr>
            <sz val="16"/>
            <rFont val="宋体"/>
            <charset val="134"/>
          </rPr>
          <t xml:space="preserve">
3/6上 UPC贴纸 1656 pcs
3/10上 客供亚马逊外箱贴纸 69 pcs</t>
        </r>
      </text>
    </comment>
    <comment ref="AB638" authorId="0">
      <text>
        <r>
          <rPr>
            <b/>
            <sz val="16"/>
            <rFont val="宋体"/>
            <charset val="134"/>
          </rPr>
          <t>Administrator:</t>
        </r>
        <r>
          <rPr>
            <sz val="16"/>
            <rFont val="宋体"/>
            <charset val="134"/>
          </rPr>
          <t xml:space="preserve">
1405209 3/28 308 pcs 华兴三楼B13</t>
        </r>
      </text>
    </comment>
    <comment ref="AD638" authorId="0">
      <text>
        <r>
          <rPr>
            <b/>
            <sz val="16"/>
            <rFont val="宋体"/>
            <charset val="134"/>
          </rPr>
          <t>Administrator:</t>
        </r>
        <r>
          <rPr>
            <sz val="16"/>
            <rFont val="宋体"/>
            <charset val="134"/>
          </rPr>
          <t xml:space="preserve">
3/9上 丹麦瑞典芬兰挪威语言贴纸 308 pcs</t>
        </r>
      </text>
    </comment>
    <comment ref="AB639" authorId="0">
      <text>
        <r>
          <rPr>
            <b/>
            <sz val="16"/>
            <rFont val="宋体"/>
            <charset val="134"/>
          </rPr>
          <t>Administrator:</t>
        </r>
        <r>
          <rPr>
            <sz val="16"/>
            <rFont val="宋体"/>
            <charset val="134"/>
          </rPr>
          <t xml:space="preserve">
1405208 3/27 粉色 60 pcs
         紫色 60 pcs
     黄色 50 pcs
   蓝色 50 pcs
 无功能 10 pcs</t>
        </r>
      </text>
    </comment>
    <comment ref="AD639" authorId="0">
      <text>
        <r>
          <rPr>
            <b/>
            <sz val="16"/>
            <rFont val="宋体"/>
            <charset val="134"/>
          </rPr>
          <t xml:space="preserve">Administrator:
</t>
        </r>
        <r>
          <rPr>
            <sz val="16"/>
            <rFont val="宋体"/>
            <charset val="134"/>
          </rPr>
          <t>3/21上 PDQ+进口商贴纸 240 pcs</t>
        </r>
      </text>
    </comment>
    <comment ref="AB640" authorId="0">
      <text>
        <r>
          <rPr>
            <b/>
            <sz val="16"/>
            <rFont val="宋体"/>
            <charset val="134"/>
          </rPr>
          <t>Administrator:</t>
        </r>
        <r>
          <rPr>
            <sz val="16"/>
            <rFont val="宋体"/>
            <charset val="134"/>
          </rPr>
          <t xml:space="preserve">
1405344 4/8 1548 pcs 华兴三楼A25</t>
        </r>
      </text>
    </comment>
    <comment ref="AD640" authorId="0">
      <text>
        <r>
          <rPr>
            <b/>
            <sz val="16"/>
            <rFont val="宋体"/>
            <charset val="134"/>
          </rPr>
          <t>Administrator:</t>
        </r>
        <r>
          <rPr>
            <sz val="16"/>
            <rFont val="宋体"/>
            <charset val="134"/>
          </rPr>
          <t xml:space="preserve">
3/12上 WIC贴纸 11748 pcs
  PDQ折页 1958 pcs
3/17上 通用警告语贴纸 说明书 14000 pcs
  通用警告语贴纸 收缩膜 2000 pcs</t>
        </r>
      </text>
    </comment>
    <comment ref="AB641" authorId="0">
      <text>
        <r>
          <rPr>
            <b/>
            <sz val="16"/>
            <rFont val="宋体"/>
            <charset val="134"/>
          </rPr>
          <t>Administrator:</t>
        </r>
        <r>
          <rPr>
            <sz val="16"/>
            <rFont val="宋体"/>
            <charset val="134"/>
          </rPr>
          <t xml:space="preserve">
1405344 4/8 1890 pcs 华兴三楼A25</t>
        </r>
      </text>
    </comment>
    <comment ref="AB642" authorId="0">
      <text>
        <r>
          <rPr>
            <b/>
            <sz val="16"/>
            <rFont val="宋体"/>
            <charset val="134"/>
          </rPr>
          <t>Administrator:</t>
        </r>
        <r>
          <rPr>
            <sz val="16"/>
            <rFont val="宋体"/>
            <charset val="134"/>
          </rPr>
          <t xml:space="preserve">
1405344 4/8 126 pcs 华兴三楼A25</t>
        </r>
      </text>
    </comment>
    <comment ref="AB643" authorId="0">
      <text>
        <r>
          <rPr>
            <b/>
            <sz val="16"/>
            <rFont val="宋体"/>
            <charset val="134"/>
          </rPr>
          <t>Administrator:</t>
        </r>
        <r>
          <rPr>
            <sz val="16"/>
            <rFont val="宋体"/>
            <charset val="134"/>
          </rPr>
          <t xml:space="preserve">
1405344 4/8 1638 pcs 华兴三楼A25</t>
        </r>
      </text>
    </comment>
    <comment ref="AB644" authorId="0">
      <text>
        <r>
          <rPr>
            <b/>
            <sz val="16"/>
            <rFont val="宋体"/>
            <charset val="134"/>
          </rPr>
          <t>Administrator:</t>
        </r>
        <r>
          <rPr>
            <sz val="16"/>
            <rFont val="宋体"/>
            <charset val="134"/>
          </rPr>
          <t xml:space="preserve">
1405344 4/8 888 pcs 华兴三楼A25</t>
        </r>
      </text>
    </comment>
    <comment ref="AB645" authorId="0">
      <text>
        <r>
          <rPr>
            <b/>
            <sz val="16"/>
            <rFont val="宋体"/>
            <charset val="134"/>
          </rPr>
          <t>Administrator:</t>
        </r>
        <r>
          <rPr>
            <sz val="16"/>
            <rFont val="宋体"/>
            <charset val="134"/>
          </rPr>
          <t xml:space="preserve">
1405344 4/8 1944 pcs 华兴三楼A25</t>
        </r>
      </text>
    </comment>
    <comment ref="AB646" authorId="0">
      <text>
        <r>
          <rPr>
            <b/>
            <sz val="16"/>
            <rFont val="宋体"/>
            <charset val="134"/>
          </rPr>
          <t>Administrator:</t>
        </r>
        <r>
          <rPr>
            <sz val="16"/>
            <rFont val="宋体"/>
            <charset val="134"/>
          </rPr>
          <t xml:space="preserve">
1405344 4/8 1944 pcs 华兴三楼A25</t>
        </r>
      </text>
    </comment>
    <comment ref="AB647" authorId="0">
      <text>
        <r>
          <rPr>
            <b/>
            <sz val="16"/>
            <rFont val="宋体"/>
            <charset val="134"/>
          </rPr>
          <t>Administrator:</t>
        </r>
        <r>
          <rPr>
            <sz val="16"/>
            <rFont val="宋体"/>
            <charset val="134"/>
          </rPr>
          <t xml:space="preserve">
1405344 4/8 372 pcs 华兴三楼A25</t>
        </r>
      </text>
    </comment>
    <comment ref="AB648" authorId="0">
      <text>
        <r>
          <rPr>
            <b/>
            <sz val="16"/>
            <rFont val="宋体"/>
            <charset val="134"/>
          </rPr>
          <t>Administrator:</t>
        </r>
        <r>
          <rPr>
            <sz val="16"/>
            <rFont val="宋体"/>
            <charset val="134"/>
          </rPr>
          <t xml:space="preserve">
1405344 4/8 2358 pcs 华兴三楼A25
1405344 4/8 606 pcs 华兴三楼A25</t>
        </r>
      </text>
    </comment>
    <comment ref="AB649" authorId="0">
      <text>
        <r>
          <rPr>
            <b/>
            <sz val="16"/>
            <rFont val="宋体"/>
            <charset val="134"/>
          </rPr>
          <t>Administrator:</t>
        </r>
        <r>
          <rPr>
            <sz val="16"/>
            <rFont val="宋体"/>
            <charset val="134"/>
          </rPr>
          <t xml:space="preserve">
1405209 3/28 696 pcs 华兴三楼B13</t>
        </r>
      </text>
    </comment>
    <comment ref="AD649" authorId="0">
      <text>
        <r>
          <rPr>
            <b/>
            <sz val="16"/>
            <rFont val="宋体"/>
            <charset val="134"/>
          </rPr>
          <t>Administrator:</t>
        </r>
        <r>
          <rPr>
            <sz val="16"/>
            <rFont val="宋体"/>
            <charset val="134"/>
          </rPr>
          <t xml:space="preserve">
3/6上 PQ贴纸 696 pcs
3/12上 进口商贴纸 696 pcs</t>
        </r>
      </text>
    </comment>
    <comment ref="AB650" authorId="0">
      <text>
        <r>
          <rPr>
            <b/>
            <sz val="16"/>
            <rFont val="宋体"/>
            <charset val="134"/>
          </rPr>
          <t>Administrator:</t>
        </r>
        <r>
          <rPr>
            <sz val="16"/>
            <rFont val="宋体"/>
            <charset val="134"/>
          </rPr>
          <t xml:space="preserve">
1405405 4/2 1012 pcs 新仓库A3</t>
        </r>
      </text>
    </comment>
    <comment ref="AD650" authorId="0">
      <text>
        <r>
          <rPr>
            <b/>
            <sz val="16"/>
            <rFont val="宋体"/>
            <charset val="134"/>
          </rPr>
          <t>Administrator:</t>
        </r>
        <r>
          <rPr>
            <sz val="16"/>
            <rFont val="宋体"/>
            <charset val="134"/>
          </rPr>
          <t xml:space="preserve">
3/23上 进口商贴纸 1012 pcs</t>
        </r>
      </text>
    </comment>
    <comment ref="AB651" authorId="0">
      <text>
        <r>
          <rPr>
            <b/>
            <sz val="16"/>
            <rFont val="宋体"/>
            <charset val="134"/>
          </rPr>
          <t>Administrator:</t>
        </r>
        <r>
          <rPr>
            <sz val="16"/>
            <rFont val="宋体"/>
            <charset val="134"/>
          </rPr>
          <t xml:space="preserve">
1405405 4/2 220 pcs 新仓库A2</t>
        </r>
      </text>
    </comment>
    <comment ref="AD651" authorId="0">
      <text>
        <r>
          <rPr>
            <b/>
            <sz val="16"/>
            <rFont val="宋体"/>
            <charset val="134"/>
          </rPr>
          <t>Administrator:</t>
        </r>
        <r>
          <rPr>
            <sz val="16"/>
            <rFont val="宋体"/>
            <charset val="134"/>
          </rPr>
          <t xml:space="preserve">
3/19上 UPC贴纸 220 pcs</t>
        </r>
      </text>
    </comment>
    <comment ref="AB652" authorId="0">
      <text>
        <r>
          <rPr>
            <b/>
            <sz val="16"/>
            <rFont val="宋体"/>
            <charset val="134"/>
          </rPr>
          <t>Administrator:</t>
        </r>
        <r>
          <rPr>
            <sz val="16"/>
            <rFont val="宋体"/>
            <charset val="134"/>
          </rPr>
          <t xml:space="preserve">
1405405 4/2 220 pcs 新仓库A3</t>
        </r>
      </text>
    </comment>
    <comment ref="AD652" authorId="0">
      <text>
        <r>
          <rPr>
            <b/>
            <sz val="14"/>
            <rFont val="宋体"/>
            <charset val="134"/>
          </rPr>
          <t>Administrator:</t>
        </r>
        <r>
          <rPr>
            <sz val="14"/>
            <rFont val="宋体"/>
            <charset val="134"/>
          </rPr>
          <t xml:space="preserve">
3/16上 UPC贴纸 24 pcs
3/18上 客供亚马逊外箱贴纸 1 pcs</t>
        </r>
      </text>
    </comment>
    <comment ref="AB653" authorId="0">
      <text>
        <r>
          <rPr>
            <b/>
            <sz val="16"/>
            <rFont val="宋体"/>
            <charset val="134"/>
          </rPr>
          <t>Administrator:</t>
        </r>
        <r>
          <rPr>
            <sz val="16"/>
            <rFont val="宋体"/>
            <charset val="134"/>
          </rPr>
          <t xml:space="preserve">
1405405 4/2 1694 pcs 新仓库A4
1405392 4/4 22 pcs</t>
        </r>
      </text>
    </comment>
    <comment ref="AB654" authorId="0">
      <text>
        <r>
          <rPr>
            <b/>
            <sz val="16"/>
            <rFont val="宋体"/>
            <charset val="134"/>
          </rPr>
          <t>Administrator:</t>
        </r>
        <r>
          <rPr>
            <sz val="16"/>
            <rFont val="宋体"/>
            <charset val="134"/>
          </rPr>
          <t xml:space="preserve">
1405971 4/10 24 pcs 华兴三楼B13</t>
        </r>
      </text>
    </comment>
    <comment ref="AD654" authorId="0">
      <text>
        <r>
          <rPr>
            <b/>
            <sz val="14"/>
            <rFont val="宋体"/>
            <charset val="134"/>
          </rPr>
          <t>Administrator:</t>
        </r>
        <r>
          <rPr>
            <sz val="14"/>
            <rFont val="宋体"/>
            <charset val="134"/>
          </rPr>
          <t xml:space="preserve">
3/16上 UPC贴纸 24 pcs
3/18上 客供亚马逊外箱贴纸 1 pcs
</t>
        </r>
      </text>
    </comment>
    <comment ref="AB655" authorId="0">
      <text>
        <r>
          <rPr>
            <b/>
            <sz val="16"/>
            <rFont val="宋体"/>
            <charset val="134"/>
          </rPr>
          <t>Administrator:</t>
        </r>
        <r>
          <rPr>
            <sz val="16"/>
            <rFont val="宋体"/>
            <charset val="134"/>
          </rPr>
          <t xml:space="preserve">
1405971 4/10 48 pcs 华兴三楼B13
</t>
        </r>
      </text>
    </comment>
    <comment ref="AD655" authorId="0">
      <text>
        <r>
          <rPr>
            <b/>
            <sz val="14"/>
            <rFont val="宋体"/>
            <charset val="134"/>
          </rPr>
          <t>Administrator:</t>
        </r>
        <r>
          <rPr>
            <sz val="14"/>
            <rFont val="宋体"/>
            <charset val="134"/>
          </rPr>
          <t xml:space="preserve">
3/16上 UPC贴纸 48 pcs
3/18上 客供亚马逊外箱贴纸 2 pcs
</t>
        </r>
      </text>
    </comment>
    <comment ref="AB656" authorId="0">
      <text>
        <r>
          <rPr>
            <b/>
            <sz val="16"/>
            <rFont val="宋体"/>
            <charset val="134"/>
          </rPr>
          <t>Administrator:</t>
        </r>
        <r>
          <rPr>
            <sz val="16"/>
            <rFont val="宋体"/>
            <charset val="134"/>
          </rPr>
          <t xml:space="preserve">
1405971 4/10 24 pcs 华兴三楼B13
</t>
        </r>
      </text>
    </comment>
    <comment ref="AD656" authorId="0">
      <text>
        <r>
          <rPr>
            <b/>
            <sz val="14"/>
            <rFont val="宋体"/>
            <charset val="134"/>
          </rPr>
          <t>Administrator:</t>
        </r>
        <r>
          <rPr>
            <sz val="14"/>
            <rFont val="宋体"/>
            <charset val="134"/>
          </rPr>
          <t xml:space="preserve">
3/16上 UPC贴纸 24 pcs
3/18上 客供亚马逊外箱贴纸 1 pcs
</t>
        </r>
      </text>
    </comment>
    <comment ref="AB657" authorId="0">
      <text>
        <r>
          <rPr>
            <b/>
            <sz val="16"/>
            <rFont val="宋体"/>
            <charset val="134"/>
          </rPr>
          <t>Administrator:</t>
        </r>
        <r>
          <rPr>
            <sz val="16"/>
            <rFont val="宋体"/>
            <charset val="134"/>
          </rPr>
          <t xml:space="preserve">
1405971 4/10 96 pcs 华兴三楼B13
</t>
        </r>
      </text>
    </comment>
    <comment ref="AD657" authorId="0">
      <text>
        <r>
          <rPr>
            <b/>
            <sz val="14"/>
            <rFont val="宋体"/>
            <charset val="134"/>
          </rPr>
          <t>Administrator:</t>
        </r>
        <r>
          <rPr>
            <sz val="14"/>
            <rFont val="宋体"/>
            <charset val="134"/>
          </rPr>
          <t xml:space="preserve">
3/16上 UPC贴纸 96 pcs
3/18上 客供亚马逊外箱贴纸 4 pcs
</t>
        </r>
      </text>
    </comment>
    <comment ref="AB658" authorId="0">
      <text>
        <r>
          <rPr>
            <b/>
            <sz val="16"/>
            <rFont val="宋体"/>
            <charset val="134"/>
          </rPr>
          <t>Administrator:</t>
        </r>
        <r>
          <rPr>
            <sz val="16"/>
            <rFont val="宋体"/>
            <charset val="134"/>
          </rPr>
          <t xml:space="preserve">
1405971 4/10 72 pcs 华兴三楼B13
</t>
        </r>
      </text>
    </comment>
    <comment ref="AD658" authorId="0">
      <text>
        <r>
          <rPr>
            <b/>
            <sz val="14"/>
            <rFont val="宋体"/>
            <charset val="134"/>
          </rPr>
          <t>Administrator:</t>
        </r>
        <r>
          <rPr>
            <sz val="14"/>
            <rFont val="宋体"/>
            <charset val="134"/>
          </rPr>
          <t xml:space="preserve">
3/16上 UPC贴纸 72 pcs
3/18上 客供亚马逊外箱贴纸 3 pcs
</t>
        </r>
      </text>
    </comment>
    <comment ref="AB659" authorId="0">
      <text>
        <r>
          <rPr>
            <b/>
            <sz val="16"/>
            <rFont val="宋体"/>
            <charset val="134"/>
          </rPr>
          <t>Administrator:</t>
        </r>
        <r>
          <rPr>
            <sz val="16"/>
            <rFont val="宋体"/>
            <charset val="134"/>
          </rPr>
          <t xml:space="preserve">
1405961 4/11 2508 pcs 新仓库A1</t>
        </r>
      </text>
    </comment>
    <comment ref="AD659" authorId="0">
      <text>
        <r>
          <rPr>
            <b/>
            <sz val="16"/>
            <rFont val="宋体"/>
            <charset val="134"/>
          </rPr>
          <t>Administrator:</t>
        </r>
        <r>
          <rPr>
            <sz val="16"/>
            <rFont val="宋体"/>
            <charset val="134"/>
          </rPr>
          <t xml:space="preserve">
3/27上 通用说明书警示语贴纸 2508 pcs
    通用收缩膜警示语贴纸 2508 pcs</t>
        </r>
      </text>
    </comment>
    <comment ref="AB660" authorId="0">
      <text>
        <r>
          <rPr>
            <b/>
            <sz val="16"/>
            <rFont val="宋体"/>
            <charset val="134"/>
          </rPr>
          <t>Administrator:</t>
        </r>
        <r>
          <rPr>
            <sz val="16"/>
            <rFont val="宋体"/>
            <charset val="134"/>
          </rPr>
          <t xml:space="preserve">
1405936 4/14 1200 pcs 新仓库A3</t>
        </r>
      </text>
    </comment>
    <comment ref="AD660" authorId="0">
      <text>
        <r>
          <rPr>
            <b/>
            <sz val="16"/>
            <rFont val="宋体"/>
            <charset val="134"/>
          </rPr>
          <t>Administrator:</t>
        </r>
        <r>
          <rPr>
            <sz val="16"/>
            <rFont val="宋体"/>
            <charset val="134"/>
          </rPr>
          <t xml:space="preserve">
3/27上 价格贴纸 1200 pcs
 外箱条码贴纸 100 pcs</t>
        </r>
      </text>
    </comment>
    <comment ref="AB661" authorId="0">
      <text>
        <r>
          <rPr>
            <b/>
            <sz val="16"/>
            <rFont val="宋体"/>
            <charset val="134"/>
          </rPr>
          <t>Administrator:</t>
        </r>
        <r>
          <rPr>
            <sz val="16"/>
            <rFont val="宋体"/>
            <charset val="134"/>
          </rPr>
          <t xml:space="preserve">
1405936 4/14 506 pcs 新仓库B3</t>
        </r>
      </text>
    </comment>
    <comment ref="AD661" authorId="0">
      <text>
        <r>
          <rPr>
            <b/>
            <sz val="16"/>
            <rFont val="宋体"/>
            <charset val="134"/>
          </rPr>
          <t>Administrator:</t>
        </r>
        <r>
          <rPr>
            <sz val="16"/>
            <rFont val="宋体"/>
            <charset val="134"/>
          </rPr>
          <t xml:space="preserve">
3/27上 丹麦瑞典芬兰挪威爱沙尼亚语言 506 pcs
 </t>
        </r>
      </text>
    </comment>
    <comment ref="AB662" authorId="0">
      <text>
        <r>
          <rPr>
            <b/>
            <sz val="16"/>
            <rFont val="宋体"/>
            <charset val="134"/>
          </rPr>
          <t>Administrator:</t>
        </r>
        <r>
          <rPr>
            <sz val="16"/>
            <rFont val="宋体"/>
            <charset val="134"/>
          </rPr>
          <t xml:space="preserve">
1405936 4/14 858 pcs 新仓库B3
1405928 4/15 22 pcs B3</t>
        </r>
      </text>
    </comment>
    <comment ref="AD662" authorId="0">
      <text>
        <r>
          <rPr>
            <b/>
            <sz val="16"/>
            <rFont val="宋体"/>
            <charset val="134"/>
          </rPr>
          <t>Administrator:</t>
        </r>
        <r>
          <rPr>
            <sz val="16"/>
            <rFont val="宋体"/>
            <charset val="134"/>
          </rPr>
          <t xml:space="preserve">
4/8上 UPC贴纸 880 pcs
 进口商贴纸 880 pcs</t>
        </r>
      </text>
    </comment>
    <comment ref="AB663" authorId="0">
      <text>
        <r>
          <rPr>
            <b/>
            <sz val="16"/>
            <rFont val="宋体"/>
            <charset val="134"/>
          </rPr>
          <t>Administrator:</t>
        </r>
        <r>
          <rPr>
            <sz val="16"/>
            <rFont val="宋体"/>
            <charset val="134"/>
          </rPr>
          <t xml:space="preserve">
1405936 4/14 110 pcs 新仓库A3</t>
        </r>
      </text>
    </comment>
    <comment ref="AD663" authorId="0">
      <text>
        <r>
          <rPr>
            <b/>
            <sz val="16"/>
            <rFont val="宋体"/>
            <charset val="134"/>
          </rPr>
          <t>Administrator:</t>
        </r>
        <r>
          <rPr>
            <sz val="16"/>
            <rFont val="宋体"/>
            <charset val="134"/>
          </rPr>
          <t xml:space="preserve">
4/8上 UPC贴纸 110 pcs
 进口商贴纸 110 pcs</t>
        </r>
      </text>
    </comment>
    <comment ref="AB664" authorId="0">
      <text>
        <r>
          <rPr>
            <b/>
            <sz val="16"/>
            <rFont val="宋体"/>
            <charset val="134"/>
          </rPr>
          <t>Administrator:</t>
        </r>
        <r>
          <rPr>
            <sz val="16"/>
            <rFont val="宋体"/>
            <charset val="134"/>
          </rPr>
          <t xml:space="preserve">
1405936 4/14 220 pcs 新仓库A3</t>
        </r>
      </text>
    </comment>
    <comment ref="AD664" authorId="0">
      <text>
        <r>
          <rPr>
            <b/>
            <sz val="16"/>
            <rFont val="宋体"/>
            <charset val="134"/>
          </rPr>
          <t>Administrator:</t>
        </r>
        <r>
          <rPr>
            <sz val="16"/>
            <rFont val="宋体"/>
            <charset val="134"/>
          </rPr>
          <t xml:space="preserve">
4/8上 UPC贴纸 220 pcs
 进口商贴纸 220 pcs</t>
        </r>
      </text>
    </comment>
    <comment ref="AB665" authorId="0">
      <text>
        <r>
          <rPr>
            <b/>
            <sz val="16"/>
            <rFont val="宋体"/>
            <charset val="134"/>
          </rPr>
          <t>Administrator:</t>
        </r>
        <r>
          <rPr>
            <sz val="16"/>
            <rFont val="宋体"/>
            <charset val="134"/>
          </rPr>
          <t xml:space="preserve">
1405966 4/11 2200 pcs 新仓库A2</t>
        </r>
      </text>
    </comment>
    <comment ref="AD665" authorId="0">
      <text>
        <r>
          <rPr>
            <b/>
            <sz val="14"/>
            <rFont val="宋体"/>
            <charset val="134"/>
          </rPr>
          <t>Administrator:</t>
        </r>
        <r>
          <rPr>
            <sz val="14"/>
            <rFont val="宋体"/>
            <charset val="134"/>
          </rPr>
          <t xml:space="preserve">
3/26上 德育Callout翻译贴纸 2200 pcs
 产品贴纸 2200 pcs
 通用说明书警示贴纸 2200 pcs
 通用收缩膜警示贴纸 2200 pcs</t>
        </r>
      </text>
    </comment>
    <comment ref="AB666" authorId="0">
      <text>
        <r>
          <rPr>
            <b/>
            <sz val="16"/>
            <rFont val="宋体"/>
            <charset val="134"/>
          </rPr>
          <t>Administrator:</t>
        </r>
        <r>
          <rPr>
            <sz val="16"/>
            <rFont val="宋体"/>
            <charset val="134"/>
          </rPr>
          <t xml:space="preserve">
1405966 4/11 1804 pcs 新仓库A2</t>
        </r>
      </text>
    </comment>
    <comment ref="AD666" authorId="0">
      <text>
        <r>
          <rPr>
            <b/>
            <sz val="14"/>
            <rFont val="宋体"/>
            <charset val="134"/>
          </rPr>
          <t>Administrator:</t>
        </r>
        <r>
          <rPr>
            <sz val="14"/>
            <rFont val="宋体"/>
            <charset val="134"/>
          </rPr>
          <t xml:space="preserve">
3/26上 德育Callout翻译贴纸 1804 pcs
 产品贴纸 1804 pcs
 通用说明书警示贴纸 1804 pcs
 通用收缩膜警示贴纸 1804 pcs</t>
        </r>
      </text>
    </comment>
    <comment ref="AB667" authorId="0">
      <text>
        <r>
          <rPr>
            <b/>
            <sz val="16"/>
            <rFont val="宋体"/>
            <charset val="134"/>
          </rPr>
          <t>Administrator:</t>
        </r>
        <r>
          <rPr>
            <sz val="16"/>
            <rFont val="宋体"/>
            <charset val="134"/>
          </rPr>
          <t xml:space="preserve">
1403846 4/23 336 pcs 新仓库B4</t>
        </r>
      </text>
    </comment>
    <comment ref="AD667" authorId="0">
      <text>
        <r>
          <rPr>
            <b/>
            <sz val="16"/>
            <rFont val="宋体"/>
            <charset val="134"/>
          </rPr>
          <t>Administrator:</t>
        </r>
        <r>
          <rPr>
            <sz val="16"/>
            <rFont val="宋体"/>
            <charset val="134"/>
          </rPr>
          <t xml:space="preserve">
3/30上 UPC贴纸 336 pcs
4/14上 客供亚马逊外箱贴纸 14 pcs
</t>
        </r>
      </text>
    </comment>
    <comment ref="AB668" authorId="0">
      <text>
        <r>
          <rPr>
            <b/>
            <sz val="16"/>
            <rFont val="宋体"/>
            <charset val="134"/>
          </rPr>
          <t>Administrator:</t>
        </r>
        <r>
          <rPr>
            <sz val="16"/>
            <rFont val="宋体"/>
            <charset val="134"/>
          </rPr>
          <t xml:space="preserve">
1403846 4/23 696 pcs 新仓库B4
</t>
        </r>
      </text>
    </comment>
    <comment ref="AD668" authorId="0">
      <text>
        <r>
          <rPr>
            <b/>
            <sz val="16"/>
            <rFont val="宋体"/>
            <charset val="134"/>
          </rPr>
          <t>Administrator:</t>
        </r>
        <r>
          <rPr>
            <sz val="16"/>
            <rFont val="宋体"/>
            <charset val="134"/>
          </rPr>
          <t xml:space="preserve">
3/30上 UPC贴纸 696 pcs
4/14上 客供亚马逊外箱贴纸 29 pcs</t>
        </r>
      </text>
    </comment>
    <comment ref="AB669" authorId="0">
      <text>
        <r>
          <rPr>
            <b/>
            <sz val="16"/>
            <rFont val="宋体"/>
            <charset val="134"/>
          </rPr>
          <t>Administrator:</t>
        </r>
        <r>
          <rPr>
            <sz val="16"/>
            <rFont val="宋体"/>
            <charset val="134"/>
          </rPr>
          <t xml:space="preserve">
1403846 4/23 336 pcs 新仓库B4
</t>
        </r>
      </text>
    </comment>
    <comment ref="AD669" authorId="0">
      <text>
        <r>
          <rPr>
            <b/>
            <sz val="16"/>
            <rFont val="宋体"/>
            <charset val="134"/>
          </rPr>
          <t>Administrator:</t>
        </r>
        <r>
          <rPr>
            <sz val="16"/>
            <rFont val="宋体"/>
            <charset val="134"/>
          </rPr>
          <t xml:space="preserve">
3/30上 UPC贴纸 336 pcs
4/14上 客供亚马逊外箱贴纸 14 pcs
</t>
        </r>
      </text>
    </comment>
    <comment ref="AB670" authorId="0">
      <text>
        <r>
          <rPr>
            <b/>
            <sz val="16"/>
            <rFont val="宋体"/>
            <charset val="134"/>
          </rPr>
          <t>Administrator:</t>
        </r>
        <r>
          <rPr>
            <sz val="16"/>
            <rFont val="宋体"/>
            <charset val="134"/>
          </rPr>
          <t xml:space="preserve">
1403846 4/23 792 pcs 新仓库B4
</t>
        </r>
      </text>
    </comment>
    <comment ref="AD670" authorId="0">
      <text>
        <r>
          <rPr>
            <b/>
            <sz val="16"/>
            <rFont val="宋体"/>
            <charset val="134"/>
          </rPr>
          <t>Administrator:</t>
        </r>
        <r>
          <rPr>
            <sz val="16"/>
            <rFont val="宋体"/>
            <charset val="134"/>
          </rPr>
          <t xml:space="preserve">
3/30上 UPC贴纸 792 pcs
4/14上 客供亚马逊外箱贴纸 33 pcs
</t>
        </r>
      </text>
    </comment>
    <comment ref="AB671" authorId="0">
      <text>
        <r>
          <rPr>
            <b/>
            <sz val="16"/>
            <rFont val="宋体"/>
            <charset val="134"/>
          </rPr>
          <t>Administrator:</t>
        </r>
        <r>
          <rPr>
            <sz val="16"/>
            <rFont val="宋体"/>
            <charset val="134"/>
          </rPr>
          <t xml:space="preserve">
1403846 4/23 648 pcs 新仓库B4
</t>
        </r>
      </text>
    </comment>
    <comment ref="AD671" authorId="0">
      <text>
        <r>
          <rPr>
            <b/>
            <sz val="16"/>
            <rFont val="宋体"/>
            <charset val="134"/>
          </rPr>
          <t>Administrator:</t>
        </r>
        <r>
          <rPr>
            <sz val="16"/>
            <rFont val="宋体"/>
            <charset val="134"/>
          </rPr>
          <t xml:space="preserve">
3/30上 UPC贴纸 648 pcs
4/14上 客供亚马逊外箱贴纸 27 pcs
</t>
        </r>
      </text>
    </comment>
    <comment ref="AB672" authorId="0">
      <text>
        <r>
          <rPr>
            <b/>
            <sz val="16"/>
            <rFont val="宋体"/>
            <charset val="134"/>
          </rPr>
          <t>Administrator:</t>
        </r>
        <r>
          <rPr>
            <sz val="16"/>
            <rFont val="宋体"/>
            <charset val="134"/>
          </rPr>
          <t xml:space="preserve">
1403846 4/23 480 pcs 新仓库B4
</t>
        </r>
      </text>
    </comment>
    <comment ref="AD672" authorId="0">
      <text>
        <r>
          <rPr>
            <b/>
            <sz val="16"/>
            <rFont val="宋体"/>
            <charset val="134"/>
          </rPr>
          <t>Administrator:</t>
        </r>
        <r>
          <rPr>
            <sz val="16"/>
            <rFont val="宋体"/>
            <charset val="134"/>
          </rPr>
          <t xml:space="preserve">
3/30上 UPC贴纸 480 pcs
4/14上 客供亚马逊外箱贴纸 20 pcs
</t>
        </r>
      </text>
    </comment>
    <comment ref="AB673" authorId="0">
      <text>
        <r>
          <rPr>
            <b/>
            <sz val="16"/>
            <rFont val="宋体"/>
            <charset val="134"/>
          </rPr>
          <t>Administrator:</t>
        </r>
        <r>
          <rPr>
            <sz val="16"/>
            <rFont val="宋体"/>
            <charset val="134"/>
          </rPr>
          <t xml:space="preserve">
1403838 4/22 456 pcs 华兴三楼B14</t>
        </r>
      </text>
    </comment>
    <comment ref="AD673" authorId="0">
      <text>
        <r>
          <rPr>
            <b/>
            <sz val="16"/>
            <rFont val="宋体"/>
            <charset val="134"/>
          </rPr>
          <t>Administrator:</t>
        </r>
        <r>
          <rPr>
            <sz val="16"/>
            <rFont val="宋体"/>
            <charset val="134"/>
          </rPr>
          <t xml:space="preserve">
3/30上 UPC贴纸 456 pcs
4/14上 客供亚马逊外箱贴纸 19 pcs
</t>
        </r>
      </text>
    </comment>
    <comment ref="AB674" authorId="0">
      <text>
        <r>
          <rPr>
            <b/>
            <sz val="16"/>
            <rFont val="宋体"/>
            <charset val="134"/>
          </rPr>
          <t>Administrator:</t>
        </r>
        <r>
          <rPr>
            <sz val="16"/>
            <rFont val="宋体"/>
            <charset val="134"/>
          </rPr>
          <t xml:space="preserve">
1403838 4/22 504 pcs 华兴三楼B14</t>
        </r>
      </text>
    </comment>
    <comment ref="AD674" authorId="0">
      <text>
        <r>
          <rPr>
            <b/>
            <sz val="16"/>
            <rFont val="宋体"/>
            <charset val="134"/>
          </rPr>
          <t>Administrator:</t>
        </r>
        <r>
          <rPr>
            <sz val="16"/>
            <rFont val="宋体"/>
            <charset val="134"/>
          </rPr>
          <t xml:space="preserve">
3/30上 UPC贴纸 504 pcs
4/14上 客供亚马逊外箱贴纸 21 pcs
</t>
        </r>
      </text>
    </comment>
    <comment ref="AB675" authorId="0">
      <text>
        <r>
          <rPr>
            <b/>
            <sz val="16"/>
            <rFont val="宋体"/>
            <charset val="134"/>
          </rPr>
          <t>Administrator:</t>
        </r>
        <r>
          <rPr>
            <sz val="16"/>
            <rFont val="宋体"/>
            <charset val="134"/>
          </rPr>
          <t xml:space="preserve">
1403838 4/22 1200 pcs 华兴三楼B14</t>
        </r>
      </text>
    </comment>
    <comment ref="AD675" authorId="0">
      <text>
        <r>
          <rPr>
            <b/>
            <sz val="16"/>
            <rFont val="宋体"/>
            <charset val="134"/>
          </rPr>
          <t>Administrator:</t>
        </r>
        <r>
          <rPr>
            <sz val="16"/>
            <rFont val="宋体"/>
            <charset val="134"/>
          </rPr>
          <t xml:space="preserve">
3/30上 UPC贴纸 1200 pcs
4/14上 客供亚马逊外箱贴纸 50 pcs
</t>
        </r>
      </text>
    </comment>
    <comment ref="AB676" authorId="0">
      <text>
        <r>
          <rPr>
            <b/>
            <sz val="16"/>
            <rFont val="宋体"/>
            <charset val="134"/>
          </rPr>
          <t>Administrator:</t>
        </r>
        <r>
          <rPr>
            <sz val="16"/>
            <rFont val="宋体"/>
            <charset val="134"/>
          </rPr>
          <t xml:space="preserve">
1403838 4/22 1272 pcs 华兴三楼B14</t>
        </r>
      </text>
    </comment>
    <comment ref="AD676" authorId="0">
      <text>
        <r>
          <rPr>
            <b/>
            <sz val="16"/>
            <rFont val="宋体"/>
            <charset val="134"/>
          </rPr>
          <t>Administrator:</t>
        </r>
        <r>
          <rPr>
            <sz val="16"/>
            <rFont val="宋体"/>
            <charset val="134"/>
          </rPr>
          <t xml:space="preserve">
3/30上 UPC贴纸 1272 pcs
4/14上 客供亚马逊外箱贴纸 53 pcs
</t>
        </r>
      </text>
    </comment>
    <comment ref="AB677" authorId="0">
      <text>
        <r>
          <rPr>
            <b/>
            <sz val="16"/>
            <rFont val="宋体"/>
            <charset val="134"/>
          </rPr>
          <t>Administrator:</t>
        </r>
        <r>
          <rPr>
            <sz val="16"/>
            <rFont val="宋体"/>
            <charset val="134"/>
          </rPr>
          <t xml:space="preserve">
1403824 4/21 9020 pcs 新仓库B7</t>
        </r>
      </text>
    </comment>
    <comment ref="AD677" authorId="0">
      <text>
        <r>
          <rPr>
            <b/>
            <sz val="16"/>
            <rFont val="宋体"/>
            <charset val="134"/>
          </rPr>
          <t>Administrator:</t>
        </r>
        <r>
          <rPr>
            <sz val="16"/>
            <rFont val="宋体"/>
            <charset val="134"/>
          </rPr>
          <t xml:space="preserve">
3/30上 通用说明书警示贴纸 9020 pcs
   通用收缩膜警示贴纸 9020 pcs</t>
        </r>
      </text>
    </comment>
    <comment ref="AB678" authorId="0">
      <text>
        <r>
          <rPr>
            <b/>
            <sz val="16"/>
            <rFont val="宋体"/>
            <charset val="134"/>
          </rPr>
          <t>Administrator:</t>
        </r>
        <r>
          <rPr>
            <sz val="16"/>
            <rFont val="宋体"/>
            <charset val="134"/>
          </rPr>
          <t xml:space="preserve">
1403771 4/17 4056 pcs 新仓库A4</t>
        </r>
      </text>
    </comment>
    <comment ref="AD678" authorId="0">
      <text>
        <r>
          <rPr>
            <b/>
            <sz val="16"/>
            <rFont val="宋体"/>
            <charset val="134"/>
          </rPr>
          <t>Administrator:</t>
        </r>
        <r>
          <rPr>
            <sz val="16"/>
            <rFont val="宋体"/>
            <charset val="134"/>
          </rPr>
          <t xml:space="preserve">
3/27上 PR+SSCC贴纸 169 pcs 
4/11上 进口商贴纸 4056 pcs
 EAN条码贴纸 4056 pcs
</t>
        </r>
      </text>
    </comment>
    <comment ref="AB679" authorId="0">
      <text>
        <r>
          <rPr>
            <b/>
            <sz val="16"/>
            <rFont val="宋体"/>
            <charset val="134"/>
          </rPr>
          <t>Administrator:</t>
        </r>
        <r>
          <rPr>
            <sz val="16"/>
            <rFont val="宋体"/>
            <charset val="134"/>
          </rPr>
          <t xml:space="preserve">
1403771 4/17 1536 pcs 新仓库A4</t>
        </r>
      </text>
    </comment>
    <comment ref="AD679" authorId="0">
      <text>
        <r>
          <rPr>
            <b/>
            <sz val="16"/>
            <rFont val="宋体"/>
            <charset val="134"/>
          </rPr>
          <t>Administrator:</t>
        </r>
        <r>
          <rPr>
            <sz val="16"/>
            <rFont val="宋体"/>
            <charset val="134"/>
          </rPr>
          <t xml:space="preserve">
3/27上 PR+SSCC贴纸 64 pcs
4/11上 进口商贴纸 1536 pcs
 EAN条码贴纸 1536 pcs</t>
        </r>
      </text>
    </comment>
    <comment ref="AB680" authorId="0">
      <text>
        <r>
          <rPr>
            <b/>
            <sz val="16"/>
            <rFont val="宋体"/>
            <charset val="134"/>
          </rPr>
          <t>Administrator:</t>
        </r>
        <r>
          <rPr>
            <sz val="16"/>
            <rFont val="宋体"/>
            <charset val="134"/>
          </rPr>
          <t xml:space="preserve">
1405851 4/17 484 pcs</t>
        </r>
      </text>
    </comment>
    <comment ref="AB681" authorId="0">
      <text>
        <r>
          <rPr>
            <b/>
            <sz val="16"/>
            <rFont val="宋体"/>
            <charset val="134"/>
          </rPr>
          <t>Administrator:</t>
        </r>
        <r>
          <rPr>
            <sz val="16"/>
            <rFont val="宋体"/>
            <charset val="134"/>
          </rPr>
          <t xml:space="preserve">
1403863 4/24 504 pcs 华兴三楼B11</t>
        </r>
      </text>
    </comment>
    <comment ref="AD681" authorId="0">
      <text>
        <r>
          <rPr>
            <b/>
            <sz val="16"/>
            <rFont val="宋体"/>
            <charset val="134"/>
          </rPr>
          <t>Administrator:</t>
        </r>
        <r>
          <rPr>
            <sz val="16"/>
            <rFont val="宋体"/>
            <charset val="134"/>
          </rPr>
          <t xml:space="preserve">
3/30上 WIC贴纸 3120pcs
 4/2上 PDQ折页 520 pcs </t>
        </r>
      </text>
    </comment>
    <comment ref="AB682" authorId="0">
      <text>
        <r>
          <rPr>
            <b/>
            <sz val="16"/>
            <rFont val="宋体"/>
            <charset val="134"/>
          </rPr>
          <t>Administrator:</t>
        </r>
        <r>
          <rPr>
            <sz val="16"/>
            <rFont val="宋体"/>
            <charset val="134"/>
          </rPr>
          <t xml:space="preserve">
1403863 4/24 504 pcs 华兴三楼B11
</t>
        </r>
      </text>
    </comment>
    <comment ref="AB683" authorId="0">
      <text>
        <r>
          <rPr>
            <b/>
            <sz val="16"/>
            <rFont val="宋体"/>
            <charset val="134"/>
          </rPr>
          <t>Administrator:</t>
        </r>
        <r>
          <rPr>
            <sz val="16"/>
            <rFont val="宋体"/>
            <charset val="134"/>
          </rPr>
          <t xml:space="preserve">
1403863 4/24 756 pcs 华兴三楼B11
</t>
        </r>
      </text>
    </comment>
    <comment ref="AB684" authorId="0">
      <text>
        <r>
          <rPr>
            <b/>
            <sz val="16"/>
            <rFont val="宋体"/>
            <charset val="134"/>
          </rPr>
          <t>Administrator:</t>
        </r>
        <r>
          <rPr>
            <sz val="16"/>
            <rFont val="宋体"/>
            <charset val="134"/>
          </rPr>
          <t xml:space="preserve">
1403863 4/24 630 pcs 华兴三楼B11
</t>
        </r>
      </text>
    </comment>
    <comment ref="AB685" authorId="0">
      <text>
        <r>
          <rPr>
            <b/>
            <sz val="16"/>
            <rFont val="宋体"/>
            <charset val="134"/>
          </rPr>
          <t>Administrator:</t>
        </r>
        <r>
          <rPr>
            <sz val="16"/>
            <rFont val="宋体"/>
            <charset val="134"/>
          </rPr>
          <t xml:space="preserve">
1403863 4/24 726 pcs 华兴三楼B11
</t>
        </r>
      </text>
    </comment>
    <comment ref="AB686" authorId="0">
      <text>
        <r>
          <rPr>
            <b/>
            <sz val="16"/>
            <rFont val="宋体"/>
            <charset val="134"/>
          </rPr>
          <t>Administrator:</t>
        </r>
        <r>
          <rPr>
            <sz val="16"/>
            <rFont val="宋体"/>
            <charset val="134"/>
          </rPr>
          <t xml:space="preserve">
1405529 2/7 1100 pcs 华兴三楼A27</t>
        </r>
      </text>
    </comment>
    <comment ref="AD686" authorId="0">
      <text>
        <r>
          <rPr>
            <b/>
            <sz val="16"/>
            <rFont val="宋体"/>
            <charset val="134"/>
          </rPr>
          <t>Administrator:</t>
        </r>
        <r>
          <rPr>
            <sz val="16"/>
            <rFont val="宋体"/>
            <charset val="134"/>
          </rPr>
          <t xml:space="preserve">
2/2上 PDQ条码贴纸 550 pcs</t>
        </r>
      </text>
    </comment>
    <comment ref="AB687" authorId="0">
      <text>
        <r>
          <rPr>
            <b/>
            <sz val="16"/>
            <rFont val="宋体"/>
            <charset val="134"/>
          </rPr>
          <t>Administrator:</t>
        </r>
        <r>
          <rPr>
            <sz val="16"/>
            <rFont val="宋体"/>
            <charset val="134"/>
          </rPr>
          <t xml:space="preserve">
1403860 4/25 1100 pcs 华兴三楼A27</t>
        </r>
      </text>
    </comment>
    <comment ref="AD687" authorId="0">
      <text>
        <r>
          <rPr>
            <b/>
            <sz val="16"/>
            <rFont val="宋体"/>
            <charset val="134"/>
          </rPr>
          <t>Administrator:</t>
        </r>
        <r>
          <rPr>
            <sz val="16"/>
            <rFont val="宋体"/>
            <charset val="134"/>
          </rPr>
          <t xml:space="preserve">
4/10上 丹麦瑞典芬兰挪威警告语贴纸 1100 pcs</t>
        </r>
      </text>
    </comment>
    <comment ref="AB688" authorId="0">
      <text>
        <r>
          <rPr>
            <b/>
            <sz val="16"/>
            <rFont val="宋体"/>
            <charset val="134"/>
          </rPr>
          <t>Administrator:</t>
        </r>
        <r>
          <rPr>
            <sz val="16"/>
            <rFont val="宋体"/>
            <charset val="134"/>
          </rPr>
          <t xml:space="preserve">
1403860 4/25 24 pcs 华兴三楼B13</t>
        </r>
      </text>
    </comment>
    <comment ref="AD688" authorId="0">
      <text>
        <r>
          <rPr>
            <b/>
            <sz val="14"/>
            <rFont val="宋体"/>
            <charset val="134"/>
          </rPr>
          <t>Administrator:</t>
        </r>
        <r>
          <rPr>
            <sz val="14"/>
            <rFont val="宋体"/>
            <charset val="134"/>
          </rPr>
          <t xml:space="preserve">
4/13上 UPC贴纸 24 pcs
4/17上 客供亚马逊外箱贴纸 1 pcs</t>
        </r>
      </text>
    </comment>
    <comment ref="AB689" authorId="0">
      <text>
        <r>
          <rPr>
            <b/>
            <sz val="16"/>
            <rFont val="宋体"/>
            <charset val="134"/>
          </rPr>
          <t>Administrator:</t>
        </r>
        <r>
          <rPr>
            <sz val="16"/>
            <rFont val="宋体"/>
            <charset val="134"/>
          </rPr>
          <t xml:space="preserve">
1403860 4/25 24 pcs 华兴三楼B13</t>
        </r>
      </text>
    </comment>
    <comment ref="AD689" authorId="0">
      <text>
        <r>
          <rPr>
            <b/>
            <sz val="14"/>
            <rFont val="宋体"/>
            <charset val="134"/>
          </rPr>
          <t>Administrator:</t>
        </r>
        <r>
          <rPr>
            <sz val="14"/>
            <rFont val="宋体"/>
            <charset val="134"/>
          </rPr>
          <t xml:space="preserve">
4/13上 UPC贴纸 24 pcs
4/17上 客供亚马逊外箱贴纸 1 pcs</t>
        </r>
      </text>
    </comment>
    <comment ref="AB690" authorId="0">
      <text>
        <r>
          <rPr>
            <b/>
            <sz val="16"/>
            <rFont val="宋体"/>
            <charset val="134"/>
          </rPr>
          <t>Administrator:</t>
        </r>
        <r>
          <rPr>
            <sz val="16"/>
            <rFont val="宋体"/>
            <charset val="134"/>
          </rPr>
          <t xml:space="preserve">
1403860 4/25 24 pcs 华兴三楼B13</t>
        </r>
      </text>
    </comment>
    <comment ref="AD690" authorId="0">
      <text>
        <r>
          <rPr>
            <b/>
            <sz val="14"/>
            <rFont val="宋体"/>
            <charset val="134"/>
          </rPr>
          <t>Administrator:</t>
        </r>
        <r>
          <rPr>
            <sz val="14"/>
            <rFont val="宋体"/>
            <charset val="134"/>
          </rPr>
          <t xml:space="preserve">
4/13上 UPC贴纸 24 pcs
4/17上 客供亚马逊外箱贴纸 1 pcs</t>
        </r>
      </text>
    </comment>
    <comment ref="AB691" authorId="0">
      <text>
        <r>
          <rPr>
            <b/>
            <sz val="16"/>
            <rFont val="宋体"/>
            <charset val="134"/>
          </rPr>
          <t>Administrator:</t>
        </r>
        <r>
          <rPr>
            <sz val="16"/>
            <rFont val="宋体"/>
            <charset val="134"/>
          </rPr>
          <t xml:space="preserve">
1403860 4/25 24 pcs 华兴三楼B13</t>
        </r>
      </text>
    </comment>
    <comment ref="AD691" authorId="0">
      <text>
        <r>
          <rPr>
            <b/>
            <sz val="14"/>
            <rFont val="宋体"/>
            <charset val="134"/>
          </rPr>
          <t>Administrator:</t>
        </r>
        <r>
          <rPr>
            <sz val="14"/>
            <rFont val="宋体"/>
            <charset val="134"/>
          </rPr>
          <t xml:space="preserve">
4/13上 UPC贴纸 24 pcs
4/17上 客供亚马逊外箱贴纸 1 pcs</t>
        </r>
      </text>
    </comment>
    <comment ref="AB692" authorId="0">
      <text>
        <r>
          <rPr>
            <b/>
            <sz val="16"/>
            <rFont val="宋体"/>
            <charset val="134"/>
          </rPr>
          <t>Administrator:</t>
        </r>
        <r>
          <rPr>
            <sz val="16"/>
            <rFont val="宋体"/>
            <charset val="134"/>
          </rPr>
          <t xml:space="preserve">
1403860 4/25 24 pcs 华兴三楼B13</t>
        </r>
      </text>
    </comment>
    <comment ref="AD692" authorId="0">
      <text>
        <r>
          <rPr>
            <b/>
            <sz val="14"/>
            <rFont val="宋体"/>
            <charset val="134"/>
          </rPr>
          <t>Administrator:</t>
        </r>
        <r>
          <rPr>
            <sz val="14"/>
            <rFont val="宋体"/>
            <charset val="134"/>
          </rPr>
          <t xml:space="preserve">
4/13上 UPC贴纸 24 pcs
4/17上 客供亚马逊外箱贴纸 1 pcs</t>
        </r>
      </text>
    </comment>
    <comment ref="AB693" authorId="0">
      <text>
        <r>
          <rPr>
            <b/>
            <sz val="16"/>
            <rFont val="宋体"/>
            <charset val="134"/>
          </rPr>
          <t>Administrator:</t>
        </r>
        <r>
          <rPr>
            <sz val="16"/>
            <rFont val="宋体"/>
            <charset val="134"/>
          </rPr>
          <t xml:space="preserve">
1403860 4/25 24 pcs 华兴三楼B13</t>
        </r>
      </text>
    </comment>
    <comment ref="AD693" authorId="0">
      <text>
        <r>
          <rPr>
            <b/>
            <sz val="14"/>
            <rFont val="宋体"/>
            <charset val="134"/>
          </rPr>
          <t>Administrator:</t>
        </r>
        <r>
          <rPr>
            <sz val="14"/>
            <rFont val="宋体"/>
            <charset val="134"/>
          </rPr>
          <t xml:space="preserve">
4/13上 UPC贴纸 24 pcs
4/17上 客供亚马逊外箱贴纸 1 pcs</t>
        </r>
      </text>
    </comment>
    <comment ref="AB694" authorId="0">
      <text>
        <r>
          <rPr>
            <b/>
            <sz val="16"/>
            <rFont val="宋体"/>
            <charset val="134"/>
          </rPr>
          <t>Administrator:</t>
        </r>
        <r>
          <rPr>
            <sz val="16"/>
            <rFont val="宋体"/>
            <charset val="134"/>
          </rPr>
          <t xml:space="preserve">
1403860 4/25 24 pcs 华兴三楼B13</t>
        </r>
      </text>
    </comment>
    <comment ref="AD694" authorId="0">
      <text>
        <r>
          <rPr>
            <b/>
            <sz val="14"/>
            <rFont val="宋体"/>
            <charset val="134"/>
          </rPr>
          <t>Administrator:</t>
        </r>
        <r>
          <rPr>
            <sz val="14"/>
            <rFont val="宋体"/>
            <charset val="134"/>
          </rPr>
          <t xml:space="preserve">
4/13上 UPC贴纸 24 pcs
4/17上 客供亚马逊外箱贴纸 1 pcs</t>
        </r>
      </text>
    </comment>
    <comment ref="AB695" authorId="0">
      <text>
        <r>
          <rPr>
            <b/>
            <sz val="16"/>
            <rFont val="宋体"/>
            <charset val="134"/>
          </rPr>
          <t>Administrator:</t>
        </r>
        <r>
          <rPr>
            <sz val="16"/>
            <rFont val="宋体"/>
            <charset val="134"/>
          </rPr>
          <t xml:space="preserve">
1403535 5/13 12001 pcs 新仓库3-C3</t>
        </r>
      </text>
    </comment>
    <comment ref="AB696" authorId="0">
      <text>
        <r>
          <rPr>
            <b/>
            <sz val="16"/>
            <rFont val="宋体"/>
            <charset val="134"/>
          </rPr>
          <t>Administrator:</t>
        </r>
        <r>
          <rPr>
            <sz val="16"/>
            <rFont val="宋体"/>
            <charset val="134"/>
          </rPr>
          <t xml:space="preserve">
1403535 5/13 11000 pcs 新仓库3-C3</t>
        </r>
      </text>
    </comment>
    <comment ref="AB697" authorId="0">
      <text>
        <r>
          <rPr>
            <b/>
            <sz val="16"/>
            <rFont val="宋体"/>
            <charset val="134"/>
          </rPr>
          <t>Administrator:</t>
        </r>
        <r>
          <rPr>
            <sz val="16"/>
            <rFont val="宋体"/>
            <charset val="134"/>
          </rPr>
          <t xml:space="preserve">
1403523 5/14 1012 pcs 新仓库A6</t>
        </r>
      </text>
    </comment>
    <comment ref="AD697" authorId="0">
      <text>
        <r>
          <rPr>
            <b/>
            <sz val="16"/>
            <rFont val="宋体"/>
            <charset val="134"/>
          </rPr>
          <t>Administrator:</t>
        </r>
        <r>
          <rPr>
            <sz val="16"/>
            <rFont val="宋体"/>
            <charset val="134"/>
          </rPr>
          <t xml:space="preserve">
4/22上 通用说明书警示语贴纸 1012 pcs
   通用收缩膜警示语 1012 pcs</t>
        </r>
      </text>
    </comment>
    <comment ref="AB698" authorId="0">
      <text>
        <r>
          <rPr>
            <b/>
            <sz val="16"/>
            <rFont val="宋体"/>
            <charset val="134"/>
          </rPr>
          <t>Administrator:</t>
        </r>
        <r>
          <rPr>
            <sz val="16"/>
            <rFont val="宋体"/>
            <charset val="134"/>
          </rPr>
          <t xml:space="preserve">
1403498 5/14 1416 pcs 新仓库A5</t>
        </r>
      </text>
    </comment>
    <comment ref="AD698" authorId="0">
      <text>
        <r>
          <rPr>
            <b/>
            <sz val="16"/>
            <rFont val="宋体"/>
            <charset val="134"/>
          </rPr>
          <t>Administrator:</t>
        </r>
        <r>
          <rPr>
            <sz val="16"/>
            <rFont val="宋体"/>
            <charset val="134"/>
          </rPr>
          <t xml:space="preserve">
4/1上 QR+SSCC贴纸 59 pcs
4/11上 进口商贴纸 1416 pcs
 EAN条码贴纸 1416 pcs
</t>
        </r>
      </text>
    </comment>
    <comment ref="AB699" authorId="0">
      <text>
        <r>
          <rPr>
            <b/>
            <sz val="16"/>
            <rFont val="宋体"/>
            <charset val="134"/>
          </rPr>
          <t>Administrator:</t>
        </r>
        <r>
          <rPr>
            <sz val="16"/>
            <rFont val="宋体"/>
            <charset val="134"/>
          </rPr>
          <t xml:space="preserve">
1403498 5/14 528 pcs 新仓库A5</t>
        </r>
      </text>
    </comment>
    <comment ref="AD699" authorId="0">
      <text>
        <r>
          <rPr>
            <b/>
            <sz val="16"/>
            <rFont val="宋体"/>
            <charset val="134"/>
          </rPr>
          <t>Administrator:</t>
        </r>
        <r>
          <rPr>
            <sz val="16"/>
            <rFont val="宋体"/>
            <charset val="134"/>
          </rPr>
          <t xml:space="preserve">
4/1上 QR+SSCC贴纸 22 pcs
4/11上 进口商贴纸 528 pcs
 EAN条码贴纸 528 pcs
</t>
        </r>
      </text>
    </comment>
    <comment ref="AB700" authorId="0">
      <text>
        <r>
          <rPr>
            <b/>
            <sz val="16"/>
            <rFont val="宋体"/>
            <charset val="134"/>
          </rPr>
          <t>Administrator:</t>
        </r>
        <r>
          <rPr>
            <sz val="16"/>
            <rFont val="宋体"/>
            <charset val="134"/>
          </rPr>
          <t xml:space="preserve">
1403523 5/14 660 pcs 新仓库A6</t>
        </r>
      </text>
    </comment>
    <comment ref="AD700" authorId="0">
      <text>
        <r>
          <rPr>
            <b/>
            <sz val="16"/>
            <rFont val="宋体"/>
            <charset val="134"/>
          </rPr>
          <t>Administrator:</t>
        </r>
        <r>
          <rPr>
            <sz val="16"/>
            <rFont val="宋体"/>
            <charset val="134"/>
          </rPr>
          <t xml:space="preserve">
4/28上 进口商贴纸 660 pcs</t>
        </r>
      </text>
    </comment>
    <comment ref="AB701" authorId="0">
      <text>
        <r>
          <rPr>
            <b/>
            <sz val="16"/>
            <rFont val="宋体"/>
            <charset val="134"/>
          </rPr>
          <t>Administrator:</t>
        </r>
        <r>
          <rPr>
            <sz val="16"/>
            <rFont val="宋体"/>
            <charset val="134"/>
          </rPr>
          <t xml:space="preserve">
1403523 5/14 5478 pcs 新仓库B11   
1405883 5/14 22 pcs 新仓库B11</t>
        </r>
      </text>
    </comment>
    <comment ref="AD701" authorId="0">
      <text>
        <r>
          <rPr>
            <b/>
            <sz val="16"/>
            <rFont val="宋体"/>
            <charset val="134"/>
          </rPr>
          <t>Administrator:</t>
        </r>
        <r>
          <rPr>
            <sz val="16"/>
            <rFont val="宋体"/>
            <charset val="134"/>
          </rPr>
          <t xml:space="preserve">
4/28上 进口商贴纸 5500 pcs</t>
        </r>
      </text>
    </comment>
    <comment ref="AB702" authorId="0">
      <text>
        <r>
          <rPr>
            <b/>
            <sz val="16"/>
            <rFont val="宋体"/>
            <charset val="134"/>
          </rPr>
          <t>Administrator:</t>
        </r>
        <r>
          <rPr>
            <sz val="16"/>
            <rFont val="宋体"/>
            <charset val="134"/>
          </rPr>
          <t xml:space="preserve">
1403523 5/14 3014 pcs 新仓库A9</t>
        </r>
      </text>
    </comment>
    <comment ref="AD702" authorId="0">
      <text>
        <r>
          <rPr>
            <b/>
            <sz val="16"/>
            <rFont val="宋体"/>
            <charset val="134"/>
          </rPr>
          <t>Administrator:</t>
        </r>
        <r>
          <rPr>
            <sz val="16"/>
            <rFont val="宋体"/>
            <charset val="134"/>
          </rPr>
          <t xml:space="preserve">
5/8上 进口商贴纸 3014 pcs
 UPC贴纸 3014 pcs</t>
        </r>
      </text>
    </comment>
    <comment ref="AB703" authorId="0">
      <text>
        <r>
          <rPr>
            <b/>
            <sz val="16"/>
            <rFont val="宋体"/>
            <charset val="134"/>
          </rPr>
          <t>Administrator:</t>
        </r>
        <r>
          <rPr>
            <sz val="16"/>
            <rFont val="宋体"/>
            <charset val="134"/>
          </rPr>
          <t xml:space="preserve">
1403498 5/14 5478 pcs 新仓库A11       
1405883 5/14 22 pcs A11</t>
        </r>
      </text>
    </comment>
    <comment ref="AB704" authorId="0">
      <text>
        <r>
          <rPr>
            <b/>
            <sz val="16"/>
            <rFont val="宋体"/>
            <charset val="134"/>
          </rPr>
          <t>Administrator:</t>
        </r>
        <r>
          <rPr>
            <sz val="16"/>
            <rFont val="宋体"/>
            <charset val="134"/>
          </rPr>
          <t xml:space="preserve">
1403617 5/16 600 pcs 新仓库A5</t>
        </r>
      </text>
    </comment>
    <comment ref="AD704" authorId="0">
      <text>
        <r>
          <rPr>
            <b/>
            <sz val="16"/>
            <rFont val="宋体"/>
            <charset val="134"/>
          </rPr>
          <t>Administrator:</t>
        </r>
        <r>
          <rPr>
            <sz val="16"/>
            <rFont val="宋体"/>
            <charset val="134"/>
          </rPr>
          <t xml:space="preserve">
4/21上 QR贴纸 600 pcs
5/4上 进口商贴纸 600 pcs</t>
        </r>
      </text>
    </comment>
    <comment ref="AB705" authorId="0">
      <text>
        <r>
          <rPr>
            <b/>
            <sz val="16"/>
            <rFont val="宋体"/>
            <charset val="134"/>
          </rPr>
          <t>Administrator:</t>
        </r>
        <r>
          <rPr>
            <sz val="16"/>
            <rFont val="宋体"/>
            <charset val="134"/>
          </rPr>
          <t xml:space="preserve">
1403264 5/20 1342 pcs 四楼C8</t>
        </r>
      </text>
    </comment>
    <comment ref="AD705" authorId="0">
      <text>
        <r>
          <rPr>
            <b/>
            <sz val="16"/>
            <rFont val="宋体"/>
            <charset val="134"/>
          </rPr>
          <t>Administrator:</t>
        </r>
        <r>
          <rPr>
            <sz val="16"/>
            <rFont val="宋体"/>
            <charset val="134"/>
          </rPr>
          <t xml:space="preserve">
4/30上 德语callout/荷兰语警示语贴纸 1342 pcs
 产品贴纸 1342 pcs
 通用说明书警示语贴纸 1342 pcs
 通用收缩膜警示语贴纸 1342 pcs</t>
        </r>
      </text>
    </comment>
    <comment ref="AB706" authorId="0">
      <text>
        <r>
          <rPr>
            <b/>
            <sz val="16"/>
            <rFont val="宋体"/>
            <charset val="134"/>
          </rPr>
          <t>Administrator:</t>
        </r>
        <r>
          <rPr>
            <sz val="16"/>
            <rFont val="宋体"/>
            <charset val="134"/>
          </rPr>
          <t xml:space="preserve">
1403265 5/21 1078 pcs 新仓库A6</t>
        </r>
      </text>
    </comment>
    <comment ref="AD706" authorId="0">
      <text>
        <r>
          <rPr>
            <b/>
            <sz val="16"/>
            <rFont val="宋体"/>
            <charset val="134"/>
          </rPr>
          <t>Administrator:</t>
        </r>
        <r>
          <rPr>
            <sz val="16"/>
            <rFont val="宋体"/>
            <charset val="134"/>
          </rPr>
          <t xml:space="preserve">
4/30上 德语callout/荷兰语警示语贴纸 1078 pcs
 产品贴纸 1078 pcs
 通用说明书警示语贴纸 1078 pcs
 通用收缩膜警示语贴纸 1078 pcs
</t>
        </r>
      </text>
    </comment>
    <comment ref="AB707" authorId="0">
      <text>
        <r>
          <rPr>
            <b/>
            <sz val="16"/>
            <rFont val="宋体"/>
            <charset val="134"/>
          </rPr>
          <t>Administrator:</t>
        </r>
        <r>
          <rPr>
            <sz val="16"/>
            <rFont val="宋体"/>
            <charset val="134"/>
          </rPr>
          <t xml:space="preserve">
1403286 5/20 5016 pcs 新仓库A1</t>
        </r>
      </text>
    </comment>
    <comment ref="AD707" authorId="0">
      <text>
        <r>
          <rPr>
            <b/>
            <sz val="16"/>
            <rFont val="宋体"/>
            <charset val="134"/>
          </rPr>
          <t>Administrator:</t>
        </r>
        <r>
          <rPr>
            <sz val="16"/>
            <rFont val="宋体"/>
            <charset val="134"/>
          </rPr>
          <t xml:space="preserve">
4/30上 cat label  5016 pcs</t>
        </r>
      </text>
    </comment>
    <comment ref="AB708" authorId="0">
      <text>
        <r>
          <rPr>
            <b/>
            <sz val="16"/>
            <rFont val="宋体"/>
            <charset val="134"/>
          </rPr>
          <t>Administrator:</t>
        </r>
        <r>
          <rPr>
            <sz val="16"/>
            <rFont val="宋体"/>
            <charset val="134"/>
          </rPr>
          <t xml:space="preserve">
1403605 5/19 3014 pcs 新仓库3-C3</t>
        </r>
      </text>
    </comment>
    <comment ref="AD708" authorId="0">
      <text>
        <r>
          <rPr>
            <b/>
            <sz val="16"/>
            <rFont val="宋体"/>
            <charset val="134"/>
          </rPr>
          <t>Administrator:</t>
        </r>
        <r>
          <rPr>
            <sz val="16"/>
            <rFont val="宋体"/>
            <charset val="134"/>
          </rPr>
          <t xml:space="preserve">
5/4上 进口商贴纸 3014 pcs
5/11上 UPC贴纸 3014 pcs</t>
        </r>
      </text>
    </comment>
    <comment ref="AB709" authorId="0">
      <text>
        <r>
          <rPr>
            <b/>
            <sz val="16"/>
            <rFont val="宋体"/>
            <charset val="134"/>
          </rPr>
          <t>Administrator:</t>
        </r>
        <r>
          <rPr>
            <sz val="16"/>
            <rFont val="宋体"/>
            <charset val="134"/>
          </rPr>
          <t xml:space="preserve">
1403264 5/20 1034 pcs 四楼C8   
1403265 5/21 968 pcs 新仓库B1</t>
        </r>
      </text>
    </comment>
    <comment ref="AD709" authorId="0">
      <text>
        <r>
          <rPr>
            <b/>
            <sz val="16"/>
            <rFont val="宋体"/>
            <charset val="134"/>
          </rPr>
          <t>Administrator:</t>
        </r>
        <r>
          <rPr>
            <sz val="16"/>
            <rFont val="宋体"/>
            <charset val="134"/>
          </rPr>
          <t xml:space="preserve">
5/4上 通用说明书警示语贴纸 2002 pcs
 通用收缩膜警示语贴纸 2002 pcs</t>
        </r>
      </text>
    </comment>
    <comment ref="AB710" authorId="0">
      <text>
        <r>
          <rPr>
            <b/>
            <sz val="16"/>
            <rFont val="宋体"/>
            <charset val="134"/>
          </rPr>
          <t>Administrator:</t>
        </r>
        <r>
          <rPr>
            <sz val="16"/>
            <rFont val="宋体"/>
            <charset val="134"/>
          </rPr>
          <t xml:space="preserve">
1403305 5/22 880 pcs 新仓库B4</t>
        </r>
      </text>
    </comment>
    <comment ref="AD710" authorId="0">
      <text>
        <r>
          <rPr>
            <b/>
            <sz val="16"/>
            <rFont val="宋体"/>
            <charset val="134"/>
          </rPr>
          <t>Administrator:</t>
        </r>
        <r>
          <rPr>
            <sz val="16"/>
            <rFont val="宋体"/>
            <charset val="134"/>
          </rPr>
          <t xml:space="preserve">
4/27上 收缩膜贴纸 880 pcs</t>
        </r>
      </text>
    </comment>
    <comment ref="AB711" authorId="0">
      <text>
        <r>
          <rPr>
            <b/>
            <sz val="16"/>
            <rFont val="宋体"/>
            <charset val="134"/>
          </rPr>
          <t>Administrator:</t>
        </r>
        <r>
          <rPr>
            <sz val="16"/>
            <rFont val="宋体"/>
            <charset val="134"/>
          </rPr>
          <t xml:space="preserve">
1403378 5/26 1512 pcs 张新仓库A8</t>
        </r>
      </text>
    </comment>
    <comment ref="AD711" authorId="0">
      <text>
        <r>
          <rPr>
            <b/>
            <sz val="16"/>
            <rFont val="宋体"/>
            <charset val="134"/>
          </rPr>
          <t>Administrator:</t>
        </r>
        <r>
          <rPr>
            <sz val="16"/>
            <rFont val="宋体"/>
            <charset val="134"/>
          </rPr>
          <t xml:space="preserve">
5/5上 cat label 1512 pcs</t>
        </r>
      </text>
    </comment>
    <comment ref="AB712" authorId="0">
      <text>
        <r>
          <rPr>
            <sz val="9"/>
            <rFont val="宋体"/>
            <charset val="0"/>
          </rPr>
          <t>Administrator:
280020 5/27 2200 pcs</t>
        </r>
        <r>
          <rPr>
            <b/>
            <sz val="9"/>
            <rFont val="宋体"/>
            <charset val="0"/>
          </rPr>
          <t xml:space="preserve">
石玉珍:</t>
        </r>
        <r>
          <rPr>
            <sz val="9"/>
            <rFont val="宋体"/>
            <charset val="0"/>
          </rPr>
          <t xml:space="preserve">
280020 5/27 2200 pcs 张新仓库A10
</t>
        </r>
      </text>
    </comment>
    <comment ref="AD712" authorId="0">
      <text>
        <r>
          <rPr>
            <sz val="9"/>
            <rFont val="宋体"/>
            <charset val="0"/>
          </rPr>
          <t>Administrator:
5/13上 PDQ贴纸 100 pcs</t>
        </r>
        <r>
          <rPr>
            <b/>
            <sz val="9"/>
            <rFont val="宋体"/>
            <charset val="0"/>
          </rPr>
          <t xml:space="preserve">
石玉珍:</t>
        </r>
        <r>
          <rPr>
            <sz val="9"/>
            <rFont val="宋体"/>
            <charset val="0"/>
          </rPr>
          <t xml:space="preserve">
5/13上 PDQ贴纸 100 pcs
5/29上 PDQ贴纸 100 pcs
</t>
        </r>
      </text>
    </comment>
    <comment ref="AB713" authorId="1">
      <text>
        <r>
          <rPr>
            <b/>
            <sz val="9"/>
            <rFont val="宋体"/>
            <charset val="0"/>
          </rPr>
          <t>石玉珍:</t>
        </r>
        <r>
          <rPr>
            <sz val="9"/>
            <rFont val="宋体"/>
            <charset val="0"/>
          </rPr>
          <t xml:space="preserve">
2800072 5/29 1540 pcs 杨新仓库B14
</t>
        </r>
        <r>
          <rPr>
            <b/>
            <sz val="9"/>
            <rFont val="宋体"/>
            <charset val="0"/>
          </rPr>
          <t xml:space="preserve">
石玉珍:</t>
        </r>
        <r>
          <rPr>
            <sz val="9"/>
            <rFont val="宋体"/>
            <charset val="0"/>
          </rPr>
          <t xml:space="preserve">
2800078 5/30 1876 pcs 顶钧A2</t>
        </r>
      </text>
    </comment>
    <comment ref="AD713" authorId="0">
      <text>
        <r>
          <rPr>
            <b/>
            <sz val="16"/>
            <rFont val="宋体"/>
            <charset val="134"/>
          </rPr>
          <t>Administrator:</t>
        </r>
        <r>
          <rPr>
            <sz val="16"/>
            <rFont val="宋体"/>
            <charset val="134"/>
          </rPr>
          <t xml:space="preserve">
5/8上 四国语言警告语贴纸 3416 pcs</t>
        </r>
      </text>
    </comment>
    <comment ref="AB714" authorId="1">
      <text>
        <r>
          <rPr>
            <b/>
            <sz val="9"/>
            <rFont val="宋体"/>
            <charset val="0"/>
          </rPr>
          <t>石玉珍:</t>
        </r>
        <r>
          <rPr>
            <sz val="9"/>
            <rFont val="宋体"/>
            <charset val="0"/>
          </rPr>
          <t xml:space="preserve">
2800073 5/29 2002 pcs 杨新仓库B4
</t>
        </r>
      </text>
    </comment>
    <comment ref="AD714" authorId="0">
      <text>
        <r>
          <rPr>
            <b/>
            <sz val="16"/>
            <rFont val="宋体"/>
            <charset val="134"/>
          </rPr>
          <t>Administrator:</t>
        </r>
        <r>
          <rPr>
            <sz val="16"/>
            <rFont val="宋体"/>
            <charset val="134"/>
          </rPr>
          <t xml:space="preserve">
5/19上 丹麦瑞典芬兰挪威爱沙尼亚语言 2002 pcs</t>
        </r>
      </text>
    </comment>
    <comment ref="AB715" authorId="1">
      <text>
        <r>
          <rPr>
            <b/>
            <sz val="9"/>
            <rFont val="宋体"/>
            <charset val="0"/>
          </rPr>
          <t>石玉珍:</t>
        </r>
        <r>
          <rPr>
            <sz val="9"/>
            <rFont val="宋体"/>
            <charset val="0"/>
          </rPr>
          <t xml:space="preserve">
2800073 5/29 1914 pcs 杨新仓库B14
</t>
        </r>
      </text>
    </comment>
    <comment ref="AD715" authorId="0">
      <text>
        <r>
          <rPr>
            <b/>
            <sz val="16"/>
            <rFont val="宋体"/>
            <charset val="134"/>
          </rPr>
          <t>Administrator:</t>
        </r>
        <r>
          <rPr>
            <sz val="16"/>
            <rFont val="宋体"/>
            <charset val="134"/>
          </rPr>
          <t xml:space="preserve">
5/13上 多语折叠警语贴纸 1914 pcs</t>
        </r>
      </text>
    </comment>
    <comment ref="AB716" authorId="1">
      <text>
        <r>
          <rPr>
            <b/>
            <sz val="9"/>
            <rFont val="宋体"/>
            <charset val="0"/>
          </rPr>
          <t>石玉珍:</t>
        </r>
        <r>
          <rPr>
            <sz val="9"/>
            <rFont val="宋体"/>
            <charset val="0"/>
          </rPr>
          <t xml:space="preserve">
2800065 5/29 1100 pcs 杨新仓库B14
</t>
        </r>
      </text>
    </comment>
    <comment ref="AB717" authorId="1">
      <text>
        <r>
          <rPr>
            <b/>
            <sz val="9"/>
            <rFont val="宋体"/>
            <charset val="0"/>
          </rPr>
          <t>石玉珍:</t>
        </r>
        <r>
          <rPr>
            <sz val="9"/>
            <rFont val="宋体"/>
            <charset val="0"/>
          </rPr>
          <t xml:space="preserve">
2800065 5/29 2856 pcs 杨新仓库B14       
2800072 5/29 24 pcs
</t>
        </r>
      </text>
    </comment>
    <comment ref="AD717" authorId="0">
      <text>
        <r>
          <rPr>
            <b/>
            <sz val="16"/>
            <rFont val="宋体"/>
            <charset val="134"/>
          </rPr>
          <t>Administrator:</t>
        </r>
        <r>
          <rPr>
            <sz val="16"/>
            <rFont val="宋体"/>
            <charset val="134"/>
          </rPr>
          <t xml:space="preserve">
4/1上 QR+SSCC贴纸 120 pcs
4/11上 进口商贴纸 2880 pcs
 EAN条码贴纸 2880 pcs
</t>
        </r>
      </text>
    </comment>
    <comment ref="AB718" authorId="1">
      <text>
        <r>
          <rPr>
            <b/>
            <sz val="9"/>
            <rFont val="宋体"/>
            <charset val="0"/>
          </rPr>
          <t>石玉珍:</t>
        </r>
        <r>
          <rPr>
            <sz val="9"/>
            <rFont val="宋体"/>
            <charset val="0"/>
          </rPr>
          <t xml:space="preserve">
 2800065 5/29 1104 pcs 杨新仓库B14
</t>
        </r>
      </text>
    </comment>
    <comment ref="AD718" authorId="0">
      <text>
        <r>
          <rPr>
            <b/>
            <sz val="16"/>
            <rFont val="宋体"/>
            <charset val="134"/>
          </rPr>
          <t>Administrator:</t>
        </r>
        <r>
          <rPr>
            <sz val="16"/>
            <rFont val="宋体"/>
            <charset val="134"/>
          </rPr>
          <t xml:space="preserve">
4/1上 QR+SSCC贴纸 46 pcs
4/11上 进口商贴纸 1104 pcs
 EAN条码贴纸 1104 pcs
</t>
        </r>
      </text>
    </comment>
    <comment ref="AB719" authorId="1">
      <text>
        <r>
          <rPr>
            <b/>
            <sz val="9"/>
            <rFont val="宋体"/>
            <charset val="0"/>
          </rPr>
          <t>石玉珍:</t>
        </r>
        <r>
          <rPr>
            <sz val="9"/>
            <rFont val="宋体"/>
            <charset val="0"/>
          </rPr>
          <t xml:space="preserve">
2800111 6/1 2002 pcs 顶均C4</t>
        </r>
      </text>
    </comment>
    <comment ref="AD719" authorId="0">
      <text>
        <r>
          <rPr>
            <b/>
            <sz val="16"/>
            <rFont val="宋体"/>
            <charset val="134"/>
          </rPr>
          <t>Administrator:</t>
        </r>
        <r>
          <rPr>
            <sz val="16"/>
            <rFont val="宋体"/>
            <charset val="134"/>
          </rPr>
          <t xml:space="preserve">
5/20上 进口商贴纸 2002 pcs</t>
        </r>
      </text>
    </comment>
    <comment ref="AB720" authorId="1">
      <text>
        <r>
          <rPr>
            <b/>
            <sz val="9"/>
            <rFont val="宋体"/>
            <charset val="0"/>
          </rPr>
          <t>石玉珍:</t>
        </r>
        <r>
          <rPr>
            <sz val="9"/>
            <rFont val="宋体"/>
            <charset val="0"/>
          </rPr>
          <t xml:space="preserve">
2800111 6/1 6912 pcs 顶均C5</t>
        </r>
      </text>
    </comment>
    <comment ref="AD720" authorId="0">
      <text>
        <r>
          <rPr>
            <b/>
            <sz val="16"/>
            <rFont val="宋体"/>
            <charset val="134"/>
          </rPr>
          <t>Administrator:</t>
        </r>
        <r>
          <rPr>
            <sz val="16"/>
            <rFont val="宋体"/>
            <charset val="134"/>
          </rPr>
          <t xml:space="preserve">
5/19上 德语callout警语贴纸 6912 pcs
 EAN条码贴纸 6912 pcs</t>
        </r>
      </text>
    </comment>
    <comment ref="AB721" authorId="1">
      <text>
        <r>
          <rPr>
            <b/>
            <sz val="9"/>
            <rFont val="宋体"/>
            <charset val="0"/>
          </rPr>
          <t>石玉珍:</t>
        </r>
        <r>
          <rPr>
            <sz val="9"/>
            <rFont val="宋体"/>
            <charset val="0"/>
          </rPr>
          <t xml:space="preserve">
2801048 6/2 616 pcs 直走</t>
        </r>
      </text>
    </comment>
    <comment ref="AB722" authorId="1">
      <text>
        <r>
          <rPr>
            <b/>
            <sz val="9"/>
            <rFont val="宋体"/>
            <charset val="0"/>
          </rPr>
          <t>石玉珍:</t>
        </r>
        <r>
          <rPr>
            <sz val="9"/>
            <rFont val="宋体"/>
            <charset val="0"/>
          </rPr>
          <t xml:space="preserve">
2801069 6/3 1210 pcs 欣泰B3</t>
        </r>
      </text>
    </comment>
    <comment ref="AD722" authorId="0">
      <text>
        <r>
          <rPr>
            <b/>
            <sz val="16"/>
            <rFont val="宋体"/>
            <charset val="134"/>
          </rPr>
          <t>Administrator:</t>
        </r>
        <r>
          <rPr>
            <sz val="16"/>
            <rFont val="宋体"/>
            <charset val="134"/>
          </rPr>
          <t xml:space="preserve">
5/19上 日语贴纸 1210 pcs</t>
        </r>
      </text>
    </comment>
    <comment ref="AB723" authorId="1">
      <text>
        <r>
          <rPr>
            <b/>
            <sz val="9"/>
            <rFont val="宋体"/>
            <charset val="0"/>
          </rPr>
          <t>石玉珍:</t>
        </r>
        <r>
          <rPr>
            <sz val="9"/>
            <rFont val="宋体"/>
            <charset val="0"/>
          </rPr>
          <t xml:space="preserve">
2801079 6/4 748 pcs 欣泰B4</t>
        </r>
      </text>
    </comment>
    <comment ref="AD723" authorId="0">
      <text>
        <r>
          <rPr>
            <b/>
            <sz val="16"/>
            <rFont val="宋体"/>
            <charset val="134"/>
          </rPr>
          <t>Administrator:</t>
        </r>
        <r>
          <rPr>
            <sz val="16"/>
            <rFont val="宋体"/>
            <charset val="134"/>
          </rPr>
          <t xml:space="preserve">
5/7上 进口商贴纸 748 pcs</t>
        </r>
      </text>
    </comment>
    <comment ref="AB724" authorId="1">
      <text>
        <r>
          <rPr>
            <b/>
            <sz val="9"/>
            <rFont val="宋体"/>
            <charset val="0"/>
          </rPr>
          <t>石玉珍:</t>
        </r>
        <r>
          <rPr>
            <sz val="9"/>
            <rFont val="宋体"/>
            <charset val="0"/>
          </rPr>
          <t xml:space="preserve">
2801152 6/8 4004 pcs</t>
        </r>
        <r>
          <rPr>
            <b/>
            <sz val="9"/>
            <rFont val="宋体"/>
            <charset val="0"/>
          </rPr>
          <t xml:space="preserve">
石玉珍:</t>
        </r>
        <r>
          <rPr>
            <sz val="9"/>
            <rFont val="宋体"/>
            <charset val="0"/>
          </rPr>
          <t xml:space="preserve">
 顶钧A13</t>
        </r>
      </text>
    </comment>
    <comment ref="AD724" authorId="1">
      <text>
        <r>
          <rPr>
            <b/>
            <sz val="9"/>
            <rFont val="宋体"/>
            <charset val="0"/>
          </rPr>
          <t>石玉珍:</t>
        </r>
        <r>
          <rPr>
            <sz val="9"/>
            <rFont val="宋体"/>
            <charset val="0"/>
          </rPr>
          <t xml:space="preserve">
5/18上</t>
        </r>
      </text>
    </comment>
    <comment ref="AB725" authorId="1">
      <text>
        <r>
          <rPr>
            <b/>
            <sz val="9"/>
            <rFont val="宋体"/>
            <charset val="0"/>
          </rPr>
          <t>石玉珍:</t>
        </r>
        <r>
          <rPr>
            <sz val="9"/>
            <rFont val="宋体"/>
            <charset val="0"/>
          </rPr>
          <t xml:space="preserve">
2801144 6/8 660 pcs 顶钧A7</t>
        </r>
      </text>
    </comment>
    <comment ref="AD725" authorId="0">
      <text>
        <r>
          <rPr>
            <b/>
            <sz val="16"/>
            <rFont val="宋体"/>
            <charset val="134"/>
          </rPr>
          <t>Administrator:</t>
        </r>
        <r>
          <rPr>
            <sz val="16"/>
            <rFont val="宋体"/>
            <charset val="134"/>
          </rPr>
          <t xml:space="preserve">
5/22上 丹麦瑞典芬兰挪威语言 660 pcs</t>
        </r>
      </text>
    </comment>
    <comment ref="AB726" authorId="1">
      <text>
        <r>
          <rPr>
            <b/>
            <sz val="9"/>
            <rFont val="宋体"/>
            <charset val="0"/>
          </rPr>
          <t>石玉珍:</t>
        </r>
        <r>
          <rPr>
            <sz val="9"/>
            <rFont val="宋体"/>
            <charset val="0"/>
          </rPr>
          <t xml:space="preserve">
2801179 6/9 504 pcs 欣泰B1</t>
        </r>
      </text>
    </comment>
    <comment ref="AD726" authorId="0">
      <text>
        <r>
          <rPr>
            <sz val="9"/>
            <rFont val="宋体"/>
            <charset val="0"/>
          </rPr>
          <t>Administrator:
4/25上 环保标贴纸 504 pcs
5/11上 亚马逊外箱贴纸 21 pcs
5/23上 邮包盒贴纸 504 pcs</t>
        </r>
        <r>
          <rPr>
            <b/>
            <sz val="9"/>
            <rFont val="宋体"/>
            <charset val="0"/>
          </rPr>
          <t xml:space="preserve">
石玉珍:</t>
        </r>
        <r>
          <rPr>
            <sz val="9"/>
            <rFont val="宋体"/>
            <charset val="0"/>
          </rPr>
          <t xml:space="preserve">
前面上的是错的，贴纸有更新
6/5上 邮购盒贴纸 504 pcs</t>
        </r>
      </text>
    </comment>
    <comment ref="AB727" authorId="1">
      <text>
        <r>
          <rPr>
            <b/>
            <sz val="9"/>
            <rFont val="宋体"/>
            <charset val="0"/>
          </rPr>
          <t>石玉珍:</t>
        </r>
        <r>
          <rPr>
            <sz val="9"/>
            <rFont val="宋体"/>
            <charset val="0"/>
          </rPr>
          <t xml:space="preserve">
2801179 6/9 504 pcs 欣泰B1</t>
        </r>
      </text>
    </comment>
    <comment ref="AD727" authorId="0">
      <text>
        <r>
          <rPr>
            <sz val="9"/>
            <rFont val="宋体"/>
            <charset val="0"/>
          </rPr>
          <t>Administrator:
4/25上 环保标贴纸 504 pcs
5/11上 亚马逊外箱贴纸 21 pcs
5/23上 邮包盒贴纸 504 pcs</t>
        </r>
        <r>
          <rPr>
            <b/>
            <sz val="9"/>
            <rFont val="宋体"/>
            <charset val="0"/>
          </rPr>
          <t xml:space="preserve">
石玉珍:</t>
        </r>
        <r>
          <rPr>
            <sz val="9"/>
            <rFont val="宋体"/>
            <charset val="0"/>
          </rPr>
          <t xml:space="preserve">
前面上的是错的，贴纸有更新
6/5上 邮购盒贴纸 504 pcs</t>
        </r>
      </text>
    </comment>
    <comment ref="AB728" authorId="1">
      <text>
        <r>
          <rPr>
            <b/>
            <sz val="9"/>
            <rFont val="宋体"/>
            <charset val="0"/>
          </rPr>
          <t>石玉珍:</t>
        </r>
        <r>
          <rPr>
            <sz val="9"/>
            <rFont val="宋体"/>
            <charset val="0"/>
          </rPr>
          <t xml:space="preserve">
2801179 6/9 480 pcs 欣泰B1</t>
        </r>
      </text>
    </comment>
    <comment ref="AD728" authorId="0">
      <text>
        <r>
          <rPr>
            <sz val="9"/>
            <rFont val="宋体"/>
            <charset val="0"/>
          </rPr>
          <t>Administrator:
5/15上 亚马逊外箱贴纸 20 pcs
5/23上 环保标贴纸 480 pcs</t>
        </r>
        <r>
          <rPr>
            <b/>
            <sz val="9"/>
            <rFont val="宋体"/>
            <charset val="0"/>
          </rPr>
          <t xml:space="preserve">
石玉珍:</t>
        </r>
        <r>
          <rPr>
            <sz val="9"/>
            <rFont val="宋体"/>
            <charset val="0"/>
          </rPr>
          <t xml:space="preserve">
前面上的邮购盒贴纸是错的/有更新
6/4上 邮购盒贴纸 480 pcs</t>
        </r>
      </text>
    </comment>
    <comment ref="AB729" authorId="1">
      <text>
        <r>
          <rPr>
            <b/>
            <sz val="9"/>
            <rFont val="宋体"/>
            <charset val="0"/>
          </rPr>
          <t>石玉珍:</t>
        </r>
        <r>
          <rPr>
            <sz val="9"/>
            <rFont val="宋体"/>
            <charset val="0"/>
          </rPr>
          <t xml:space="preserve">
28001204 6/10 528 pcs 欣泰A2</t>
        </r>
      </text>
    </comment>
    <comment ref="AD729" authorId="0">
      <text>
        <r>
          <rPr>
            <sz val="9"/>
            <rFont val="宋体"/>
            <charset val="0"/>
          </rPr>
          <t>Administrator:
5/23上 进口商贴纸 528 pcs</t>
        </r>
        <r>
          <rPr>
            <b/>
            <sz val="9"/>
            <rFont val="宋体"/>
            <charset val="0"/>
          </rPr>
          <t xml:space="preserve">
石玉珍:</t>
        </r>
        <r>
          <rPr>
            <sz val="9"/>
            <rFont val="宋体"/>
            <charset val="0"/>
          </rPr>
          <t xml:space="preserve">
6/5上 UPC贴纸 528 pcs</t>
        </r>
      </text>
    </comment>
    <comment ref="AB730" authorId="1">
      <text>
        <r>
          <rPr>
            <b/>
            <sz val="9"/>
            <rFont val="宋体"/>
            <charset val="0"/>
          </rPr>
          <t>石玉珍:</t>
        </r>
        <r>
          <rPr>
            <sz val="9"/>
            <rFont val="宋体"/>
            <charset val="0"/>
          </rPr>
          <t xml:space="preserve">
28001204 6/10 352 pcs 欣泰B4</t>
        </r>
      </text>
    </comment>
    <comment ref="AD730" authorId="0">
      <text>
        <r>
          <rPr>
            <sz val="9"/>
            <rFont val="宋体"/>
            <charset val="0"/>
          </rPr>
          <t>Administrator:
5/22上 进口商贴纸 528 pcs</t>
        </r>
        <r>
          <rPr>
            <b/>
            <sz val="9"/>
            <rFont val="宋体"/>
            <charset val="0"/>
          </rPr>
          <t xml:space="preserve">
石玉珍:</t>
        </r>
        <r>
          <rPr>
            <sz val="9"/>
            <rFont val="宋体"/>
            <charset val="0"/>
          </rPr>
          <t xml:space="preserve">
6/5上 UPC贴纸 352 pcs</t>
        </r>
      </text>
    </comment>
    <comment ref="AB731" authorId="1">
      <text>
        <r>
          <rPr>
            <b/>
            <sz val="9"/>
            <rFont val="宋体"/>
            <charset val="0"/>
          </rPr>
          <t>石玉珍:</t>
        </r>
        <r>
          <rPr>
            <sz val="9"/>
            <rFont val="宋体"/>
            <charset val="0"/>
          </rPr>
          <t xml:space="preserve">
28001204 6/10 660 pcs 欣泰B2</t>
        </r>
      </text>
    </comment>
    <comment ref="AD731" authorId="0">
      <text>
        <r>
          <rPr>
            <sz val="9"/>
            <rFont val="宋体"/>
            <charset val="0"/>
          </rPr>
          <t>Administrator:
5/22上 进口商贴纸 660 pcs</t>
        </r>
        <r>
          <rPr>
            <b/>
            <sz val="9"/>
            <rFont val="宋体"/>
            <charset val="0"/>
          </rPr>
          <t xml:space="preserve">
石玉珍:</t>
        </r>
        <r>
          <rPr>
            <sz val="9"/>
            <rFont val="宋体"/>
            <charset val="0"/>
          </rPr>
          <t xml:space="preserve">
6/5上 UPC贴纸 660 pcs</t>
        </r>
      </text>
    </comment>
    <comment ref="AB732" authorId="1">
      <text>
        <r>
          <rPr>
            <b/>
            <sz val="9"/>
            <rFont val="宋体"/>
            <charset val="0"/>
          </rPr>
          <t>石玉珍:</t>
        </r>
        <r>
          <rPr>
            <sz val="9"/>
            <rFont val="宋体"/>
            <charset val="0"/>
          </rPr>
          <t xml:space="preserve">
28001204 6/10 176 pcs 欣泰A5</t>
        </r>
      </text>
    </comment>
    <comment ref="AD732" authorId="1">
      <text>
        <r>
          <rPr>
            <b/>
            <sz val="9"/>
            <rFont val="宋体"/>
            <charset val="0"/>
          </rPr>
          <t>石玉珍:</t>
        </r>
        <r>
          <rPr>
            <sz val="9"/>
            <rFont val="宋体"/>
            <charset val="0"/>
          </rPr>
          <t xml:space="preserve">
6/5上 UPC贴纸 176 pcs</t>
        </r>
      </text>
    </comment>
    <comment ref="AB733" authorId="1">
      <text>
        <r>
          <rPr>
            <b/>
            <sz val="9"/>
            <rFont val="宋体"/>
            <charset val="0"/>
          </rPr>
          <t>石玉珍:</t>
        </r>
        <r>
          <rPr>
            <sz val="9"/>
            <rFont val="宋体"/>
            <charset val="0"/>
          </rPr>
          <t xml:space="preserve">
28001204 6/10 3597 pcs 欣泰B4</t>
        </r>
        <r>
          <rPr>
            <b/>
            <sz val="9"/>
            <rFont val="宋体"/>
            <charset val="0"/>
          </rPr>
          <t xml:space="preserve">
石玉珍:</t>
        </r>
        <r>
          <rPr>
            <sz val="9"/>
            <rFont val="宋体"/>
            <charset val="0"/>
          </rPr>
          <t xml:space="preserve">
2801199 6/11 11 pcs 顶钧C5</t>
        </r>
      </text>
    </comment>
    <comment ref="AD733" authorId="1">
      <text>
        <r>
          <rPr>
            <b/>
            <sz val="9"/>
            <rFont val="宋体"/>
            <charset val="0"/>
          </rPr>
          <t>石玉珍:</t>
        </r>
        <r>
          <rPr>
            <sz val="9"/>
            <rFont val="宋体"/>
            <charset val="0"/>
          </rPr>
          <t xml:space="preserve">
6/4上 多语折叠警语贴纸 3608 pcs</t>
        </r>
      </text>
    </comment>
    <comment ref="AB734" authorId="1">
      <text>
        <r>
          <rPr>
            <b/>
            <sz val="9"/>
            <rFont val="宋体"/>
            <charset val="0"/>
          </rPr>
          <t>石玉珍:</t>
        </r>
        <r>
          <rPr>
            <sz val="9"/>
            <rFont val="宋体"/>
            <charset val="0"/>
          </rPr>
          <t xml:space="preserve">
2801178 6/9 1232 pcs 欣泰B1</t>
        </r>
        <r>
          <rPr>
            <b/>
            <sz val="9"/>
            <rFont val="宋体"/>
            <charset val="0"/>
          </rPr>
          <t xml:space="preserve">
石玉珍:</t>
        </r>
        <r>
          <rPr>
            <sz val="9"/>
            <rFont val="宋体"/>
            <charset val="0"/>
          </rPr>
          <t xml:space="preserve">
2801185 6/10 308 pcs 欣泰B2</t>
        </r>
      </text>
    </comment>
    <comment ref="AB735" authorId="1">
      <text>
        <r>
          <rPr>
            <b/>
            <sz val="9"/>
            <rFont val="宋体"/>
            <charset val="0"/>
          </rPr>
          <t>石玉珍:</t>
        </r>
        <r>
          <rPr>
            <sz val="9"/>
            <rFont val="宋体"/>
            <charset val="0"/>
          </rPr>
          <t xml:space="preserve">
2801243 6/13 480 pcs 欣泰C2</t>
        </r>
      </text>
    </comment>
    <comment ref="AD735" authorId="0">
      <text>
        <r>
          <rPr>
            <b/>
            <sz val="9"/>
            <rFont val="宋体"/>
            <charset val="0"/>
          </rPr>
          <t>石玉珍:</t>
        </r>
        <r>
          <rPr>
            <sz val="9"/>
            <rFont val="宋体"/>
            <charset val="0"/>
          </rPr>
          <t xml:space="preserve">
6/4上 邮购盒贴纸 480 pcs</t>
        </r>
        <r>
          <rPr>
            <b/>
            <sz val="9"/>
            <rFont val="宋体"/>
            <charset val="0"/>
          </rPr>
          <t xml:space="preserve">
石玉珍:</t>
        </r>
        <r>
          <rPr>
            <sz val="9"/>
            <rFont val="宋体"/>
            <charset val="0"/>
          </rPr>
          <t xml:space="preserve">
5/15上 亚马逊外箱贴纸 20 pcs
Administrator:
5/15上 亚马逊外箱贴纸 20 pcs
5/23上 环保标贴纸 480 ocs</t>
        </r>
      </text>
    </comment>
    <comment ref="AB736" authorId="1">
      <text>
        <r>
          <rPr>
            <b/>
            <sz val="9"/>
            <rFont val="宋体"/>
            <charset val="0"/>
          </rPr>
          <t>石玉珍:</t>
        </r>
        <r>
          <rPr>
            <sz val="9"/>
            <rFont val="宋体"/>
            <charset val="0"/>
          </rPr>
          <t xml:space="preserve">
2801243 6/13 660pcs 欣泰C2</t>
        </r>
      </text>
    </comment>
    <comment ref="AB737" authorId="1">
      <text>
        <r>
          <rPr>
            <b/>
            <sz val="9"/>
            <rFont val="宋体"/>
            <charset val="0"/>
          </rPr>
          <t>石玉珍:</t>
        </r>
        <r>
          <rPr>
            <sz val="9"/>
            <rFont val="宋体"/>
            <charset val="0"/>
          </rPr>
          <t xml:space="preserve">
2201051 6/17 748 pcs 欣泰A1</t>
        </r>
        <r>
          <rPr>
            <b/>
            <sz val="9"/>
            <rFont val="宋体"/>
            <charset val="0"/>
          </rPr>
          <t xml:space="preserve">
石玉珍:</t>
        </r>
        <r>
          <rPr>
            <sz val="9"/>
            <rFont val="宋体"/>
            <charset val="0"/>
          </rPr>
          <t xml:space="preserve">
2201063 6/18 22 pcs A5</t>
        </r>
      </text>
    </comment>
    <comment ref="AD737" authorId="0">
      <text>
        <r>
          <rPr>
            <b/>
            <sz val="16"/>
            <rFont val="宋体"/>
            <charset val="134"/>
          </rPr>
          <t>Administrator:</t>
        </r>
        <r>
          <rPr>
            <sz val="16"/>
            <rFont val="宋体"/>
            <charset val="134"/>
          </rPr>
          <t xml:space="preserve">
5/25上 德语callout/荷兰语警示语贴纸 770 pcs</t>
        </r>
      </text>
    </comment>
    <comment ref="AB738" authorId="1">
      <text>
        <r>
          <rPr>
            <b/>
            <sz val="9"/>
            <rFont val="宋体"/>
            <charset val="0"/>
          </rPr>
          <t>石玉珍:</t>
        </r>
        <r>
          <rPr>
            <sz val="9"/>
            <rFont val="宋体"/>
            <charset val="0"/>
          </rPr>
          <t xml:space="preserve">
2201051 6/17 638 pcs 欣泰C6</t>
        </r>
      </text>
    </comment>
    <comment ref="AD738" authorId="0">
      <text>
        <r>
          <rPr>
            <b/>
            <sz val="16"/>
            <rFont val="宋体"/>
            <charset val="134"/>
          </rPr>
          <t>Administrator:</t>
        </r>
        <r>
          <rPr>
            <sz val="16"/>
            <rFont val="宋体"/>
            <charset val="134"/>
          </rPr>
          <t xml:space="preserve">
5/25上 德语callout/荷兰语警示语贴纸 628 pcs</t>
        </r>
      </text>
    </comment>
    <comment ref="AB739" authorId="1">
      <text>
        <r>
          <rPr>
            <b/>
            <sz val="9"/>
            <rFont val="宋体"/>
            <charset val="0"/>
          </rPr>
          <t>石玉珍:</t>
        </r>
        <r>
          <rPr>
            <sz val="9"/>
            <rFont val="宋体"/>
            <charset val="0"/>
          </rPr>
          <t xml:space="preserve">
2201101 6/20 418 pcs 欣泰B4</t>
        </r>
      </text>
    </comment>
    <comment ref="AD739" authorId="1">
      <text>
        <r>
          <rPr>
            <b/>
            <sz val="9"/>
            <rFont val="宋体"/>
            <charset val="0"/>
          </rPr>
          <t>石玉珍:</t>
        </r>
        <r>
          <rPr>
            <sz val="9"/>
            <rFont val="宋体"/>
            <charset val="0"/>
          </rPr>
          <t xml:space="preserve">
5/28上 丹麦瑞典芬兰挪威语言贴纸 418 pcs
</t>
        </r>
      </text>
    </comment>
    <comment ref="AB740" authorId="1">
      <text>
        <r>
          <rPr>
            <b/>
            <sz val="9"/>
            <rFont val="宋体"/>
            <charset val="0"/>
          </rPr>
          <t>石玉珍:</t>
        </r>
        <r>
          <rPr>
            <sz val="9"/>
            <rFont val="宋体"/>
            <charset val="0"/>
          </rPr>
          <t xml:space="preserve">
2201101 6/20 902 pcs 欣泰B1</t>
        </r>
      </text>
    </comment>
    <comment ref="AB741" authorId="1">
      <text>
        <r>
          <rPr>
            <b/>
            <sz val="9"/>
            <rFont val="宋体"/>
            <charset val="0"/>
          </rPr>
          <t>石玉珍:</t>
        </r>
        <r>
          <rPr>
            <sz val="9"/>
            <rFont val="宋体"/>
            <charset val="0"/>
          </rPr>
          <t xml:space="preserve">
2201151 6/24 8206 pcs 顶钧C4</t>
        </r>
      </text>
    </comment>
    <comment ref="AD741" authorId="0">
      <text>
        <r>
          <rPr>
            <sz val="9"/>
            <rFont val="宋体"/>
            <charset val="0"/>
          </rPr>
          <t>Administrator:
5/5上 保证书 8206 pcs</t>
        </r>
        <r>
          <rPr>
            <b/>
            <sz val="9"/>
            <rFont val="宋体"/>
            <charset val="0"/>
          </rPr>
          <t xml:space="preserve">
石玉珍:</t>
        </r>
        <r>
          <rPr>
            <sz val="9"/>
            <rFont val="宋体"/>
            <charset val="0"/>
          </rPr>
          <t xml:space="preserve">
6/5上 UPC贴纸 8206 pcs
 产品贴纸 8206 pcs
 说明书贴纸 8206 pcs
 包装贴纸 8206 pcs</t>
        </r>
      </text>
    </comment>
    <comment ref="AB742" authorId="1">
      <text>
        <r>
          <rPr>
            <b/>
            <sz val="9"/>
            <rFont val="宋体"/>
            <charset val="0"/>
          </rPr>
          <t>石玉珍:</t>
        </r>
        <r>
          <rPr>
            <sz val="9"/>
            <rFont val="宋体"/>
            <charset val="0"/>
          </rPr>
          <t xml:space="preserve">
2201147 6/23 10714 pcs 顶钧A3</t>
        </r>
        <r>
          <rPr>
            <b/>
            <sz val="9"/>
            <rFont val="宋体"/>
            <charset val="0"/>
          </rPr>
          <t xml:space="preserve">
石玉珍:</t>
        </r>
        <r>
          <rPr>
            <sz val="9"/>
            <rFont val="宋体"/>
            <charset val="0"/>
          </rPr>
          <t xml:space="preserve">
2201151 6/24 6380 pcs 顶钧D1-A3</t>
        </r>
      </text>
    </comment>
    <comment ref="AD742" authorId="0">
      <text>
        <r>
          <rPr>
            <sz val="9"/>
            <rFont val="宋体"/>
            <charset val="0"/>
          </rPr>
          <t>Administrator:
5/5上 保证书 17094 pcs</t>
        </r>
        <r>
          <rPr>
            <b/>
            <sz val="9"/>
            <rFont val="宋体"/>
            <charset val="0"/>
          </rPr>
          <t xml:space="preserve">
石玉珍:</t>
        </r>
        <r>
          <rPr>
            <sz val="9"/>
            <rFont val="宋体"/>
            <charset val="0"/>
          </rPr>
          <t xml:space="preserve">
6/5上 UPC贴纸 17097 pcs
 产品贴纸 17094 pcs
 说明书贴纸 17094 pcs
 包装贴纸 17094 pcs</t>
        </r>
      </text>
    </comment>
    <comment ref="AB743" authorId="1">
      <text>
        <r>
          <rPr>
            <b/>
            <sz val="9"/>
            <rFont val="宋体"/>
            <charset val="0"/>
          </rPr>
          <t>石玉珍:</t>
        </r>
        <r>
          <rPr>
            <sz val="9"/>
            <rFont val="宋体"/>
            <charset val="0"/>
          </rPr>
          <t xml:space="preserve">
2201119 6/22 2002 pcs 顶钧C5</t>
        </r>
      </text>
    </comment>
    <comment ref="AD743" authorId="1">
      <text>
        <r>
          <rPr>
            <b/>
            <sz val="9"/>
            <rFont val="宋体"/>
            <charset val="0"/>
          </rPr>
          <t>石玉珍:</t>
        </r>
        <r>
          <rPr>
            <sz val="9"/>
            <rFont val="宋体"/>
            <charset val="0"/>
          </rPr>
          <t xml:space="preserve">
5/30上 进口商贴纸 2002 pcs</t>
        </r>
        <r>
          <rPr>
            <b/>
            <sz val="9"/>
            <rFont val="宋体"/>
            <charset val="0"/>
          </rPr>
          <t xml:space="preserve">
石玉珍:</t>
        </r>
        <r>
          <rPr>
            <sz val="9"/>
            <rFont val="宋体"/>
            <charset val="0"/>
          </rPr>
          <t xml:space="preserve">
6/10上 UPC贴纸 2002 pcs</t>
        </r>
      </text>
    </comment>
    <comment ref="AB744" authorId="1">
      <text>
        <r>
          <rPr>
            <b/>
            <sz val="9"/>
            <rFont val="宋体"/>
            <charset val="0"/>
          </rPr>
          <t>石玉珍:</t>
        </r>
        <r>
          <rPr>
            <sz val="9"/>
            <rFont val="宋体"/>
            <charset val="0"/>
          </rPr>
          <t xml:space="preserve">
2200943 6/26 6050 pcs 欣泰D6</t>
        </r>
      </text>
    </comment>
    <comment ref="AB745" authorId="1">
      <text>
        <r>
          <rPr>
            <b/>
            <sz val="9"/>
            <rFont val="宋体"/>
            <charset val="0"/>
          </rPr>
          <t>石玉珍:</t>
        </r>
        <r>
          <rPr>
            <sz val="9"/>
            <rFont val="宋体"/>
            <charset val="0"/>
          </rPr>
          <t xml:space="preserve">
2200943 6/26 6050 pcs 欣泰E6</t>
        </r>
      </text>
    </comment>
    <comment ref="AB746" authorId="1">
      <text>
        <r>
          <rPr>
            <b/>
            <sz val="9"/>
            <rFont val="宋体"/>
            <charset val="0"/>
          </rPr>
          <t>石玉珍:</t>
        </r>
        <r>
          <rPr>
            <sz val="9"/>
            <rFont val="宋体"/>
            <charset val="0"/>
          </rPr>
          <t xml:space="preserve">
2200943 6/26 3597 pcs 欣泰E2</t>
        </r>
        <r>
          <rPr>
            <b/>
            <sz val="9"/>
            <rFont val="宋体"/>
            <charset val="0"/>
          </rPr>
          <t xml:space="preserve">
石玉珍:</t>
        </r>
        <r>
          <rPr>
            <sz val="9"/>
            <rFont val="宋体"/>
            <charset val="0"/>
          </rPr>
          <t xml:space="preserve">
2200989 6/30 11 pcs 直走</t>
        </r>
      </text>
    </comment>
    <comment ref="AD746" authorId="1">
      <text>
        <r>
          <rPr>
            <b/>
            <sz val="9"/>
            <rFont val="宋体"/>
            <charset val="0"/>
          </rPr>
          <t>石玉珍:</t>
        </r>
        <r>
          <rPr>
            <sz val="9"/>
            <rFont val="宋体"/>
            <charset val="0"/>
          </rPr>
          <t xml:space="preserve">
6/15上 多语折叠警语贴纸 3608 pcs</t>
        </r>
      </text>
    </comment>
    <comment ref="AB747" authorId="1">
      <text>
        <r>
          <rPr>
            <b/>
            <sz val="9"/>
            <rFont val="宋体"/>
            <charset val="0"/>
          </rPr>
          <t>石玉珍:</t>
        </r>
        <r>
          <rPr>
            <sz val="9"/>
            <rFont val="宋体"/>
            <charset val="0"/>
          </rPr>
          <t xml:space="preserve">
2200944 6/26 1210 pcs 欣泰B2</t>
        </r>
      </text>
    </comment>
    <comment ref="AD747" authorId="1">
      <text>
        <r>
          <rPr>
            <b/>
            <sz val="9"/>
            <rFont val="宋体"/>
            <charset val="0"/>
          </rPr>
          <t>石玉珍:</t>
        </r>
        <r>
          <rPr>
            <sz val="9"/>
            <rFont val="宋体"/>
            <charset val="0"/>
          </rPr>
          <t xml:space="preserve">
6/29上 UPC贴纸 1210 pcs </t>
        </r>
      </text>
    </comment>
    <comment ref="AB748" authorId="1">
      <text>
        <r>
          <rPr>
            <b/>
            <sz val="9"/>
            <rFont val="宋体"/>
            <charset val="0"/>
          </rPr>
          <t>石玉珍:</t>
        </r>
        <r>
          <rPr>
            <sz val="9"/>
            <rFont val="宋体"/>
            <charset val="0"/>
          </rPr>
          <t xml:space="preserve">
2201016 6/30 506 pcs 顶钧A6</t>
        </r>
      </text>
    </comment>
    <comment ref="AD748" authorId="1">
      <text>
        <r>
          <rPr>
            <b/>
            <sz val="9"/>
            <rFont val="宋体"/>
            <charset val="0"/>
          </rPr>
          <t>石玉珍:</t>
        </r>
        <r>
          <rPr>
            <sz val="9"/>
            <rFont val="宋体"/>
            <charset val="0"/>
          </rPr>
          <t xml:space="preserve">
6/6s上 地址贴纸 506 pcs</t>
        </r>
      </text>
    </comment>
    <comment ref="AB749" authorId="1">
      <text>
        <r>
          <rPr>
            <b/>
            <sz val="9"/>
            <rFont val="宋体"/>
            <charset val="0"/>
          </rPr>
          <t>石玉珍:</t>
        </r>
        <r>
          <rPr>
            <sz val="9"/>
            <rFont val="宋体"/>
            <charset val="0"/>
          </rPr>
          <t xml:space="preserve">
2201213 7/4 480 pcs 欣泰C5</t>
        </r>
      </text>
    </comment>
    <comment ref="AD749" authorId="1">
      <text>
        <r>
          <rPr>
            <b/>
            <sz val="9"/>
            <rFont val="宋体"/>
            <charset val="0"/>
          </rPr>
          <t>石玉珍:</t>
        </r>
        <r>
          <rPr>
            <sz val="9"/>
            <rFont val="宋体"/>
            <charset val="0"/>
          </rPr>
          <t xml:space="preserve">
6/5上 邮购盒贴纸 480 pcs</t>
        </r>
        <r>
          <rPr>
            <b/>
            <sz val="9"/>
            <rFont val="宋体"/>
            <charset val="0"/>
          </rPr>
          <t xml:space="preserve">
石玉珍:</t>
        </r>
        <r>
          <rPr>
            <sz val="9"/>
            <rFont val="宋体"/>
            <charset val="0"/>
          </rPr>
          <t xml:space="preserve">
6/11上 亚马逊外箱贴纸 20 pcs</t>
        </r>
      </text>
    </comment>
    <comment ref="AB750" authorId="1">
      <text>
        <r>
          <rPr>
            <b/>
            <sz val="9"/>
            <rFont val="宋体"/>
            <charset val="0"/>
          </rPr>
          <t>石玉珍:</t>
        </r>
        <r>
          <rPr>
            <sz val="9"/>
            <rFont val="宋体"/>
            <charset val="0"/>
          </rPr>
          <t xml:space="preserve">
2201232 7/6 368 pcs 欣泰E6</t>
        </r>
      </text>
    </comment>
    <comment ref="AD750" authorId="1">
      <text>
        <r>
          <rPr>
            <b/>
            <sz val="9"/>
            <rFont val="宋体"/>
            <charset val="0"/>
          </rPr>
          <t>石玉珍:</t>
        </r>
        <r>
          <rPr>
            <sz val="9"/>
            <rFont val="宋体"/>
            <charset val="0"/>
          </rPr>
          <t xml:space="preserve">
6/10上 客供价格贴纸 387 pcs</t>
        </r>
      </text>
    </comment>
    <comment ref="AB751" authorId="1">
      <text>
        <r>
          <rPr>
            <b/>
            <sz val="9"/>
            <rFont val="宋体"/>
            <charset val="0"/>
          </rPr>
          <t>石玉珍:</t>
        </r>
        <r>
          <rPr>
            <sz val="9"/>
            <rFont val="宋体"/>
            <charset val="0"/>
          </rPr>
          <t xml:space="preserve">
2201232 7/6 176 pcs 欣泰D7</t>
        </r>
      </text>
    </comment>
    <comment ref="AD751" authorId="1">
      <text>
        <r>
          <rPr>
            <b/>
            <sz val="9"/>
            <rFont val="宋体"/>
            <charset val="0"/>
          </rPr>
          <t>石玉珍:</t>
        </r>
        <r>
          <rPr>
            <sz val="9"/>
            <rFont val="宋体"/>
            <charset val="0"/>
          </rPr>
          <t xml:space="preserve">
6/10上 客供价格贴纸 185 pcs</t>
        </r>
      </text>
    </comment>
    <comment ref="AB752" authorId="1">
      <text>
        <r>
          <rPr>
            <b/>
            <sz val="9"/>
            <rFont val="宋体"/>
            <charset val="0"/>
          </rPr>
          <t>石玉珍:</t>
        </r>
        <r>
          <rPr>
            <sz val="9"/>
            <rFont val="宋体"/>
            <charset val="0"/>
          </rPr>
          <t xml:space="preserve">
2201194 7/2 88 pcs 欣泰A5</t>
        </r>
      </text>
    </comment>
    <comment ref="AD752" authorId="1">
      <text>
        <r>
          <rPr>
            <b/>
            <sz val="9"/>
            <rFont val="宋体"/>
            <charset val="0"/>
          </rPr>
          <t>石玉珍:</t>
        </r>
        <r>
          <rPr>
            <sz val="9"/>
            <rFont val="宋体"/>
            <charset val="0"/>
          </rPr>
          <t xml:space="preserve">
6/15上 UPC贴纸 88 pcs</t>
        </r>
      </text>
    </comment>
    <comment ref="AB753" authorId="1">
      <text>
        <r>
          <rPr>
            <b/>
            <sz val="9"/>
            <rFont val="宋体"/>
            <charset val="0"/>
          </rPr>
          <t>石玉珍:</t>
        </r>
        <r>
          <rPr>
            <sz val="9"/>
            <rFont val="宋体"/>
            <charset val="0"/>
          </rPr>
          <t xml:space="preserve">
2201225 7/6 1012 pcs 欣泰B3</t>
        </r>
      </text>
    </comment>
    <comment ref="AD753" authorId="1">
      <text>
        <r>
          <rPr>
            <b/>
            <sz val="9"/>
            <rFont val="宋体"/>
            <charset val="0"/>
          </rPr>
          <t>石玉珍:</t>
        </r>
        <r>
          <rPr>
            <sz val="9"/>
            <rFont val="宋体"/>
            <charset val="0"/>
          </rPr>
          <t xml:space="preserve">
6/4上 QR贴纸 1012 pcs</t>
        </r>
        <r>
          <rPr>
            <b/>
            <sz val="9"/>
            <rFont val="宋体"/>
            <charset val="0"/>
          </rPr>
          <t xml:space="preserve">
石玉珍:</t>
        </r>
        <r>
          <rPr>
            <sz val="9"/>
            <rFont val="宋体"/>
            <charset val="0"/>
          </rPr>
          <t xml:space="preserve">
6/16上 进口商贴纸 1012 pcs</t>
        </r>
      </text>
    </comment>
    <comment ref="AB754" authorId="1">
      <text>
        <r>
          <rPr>
            <b/>
            <sz val="9"/>
            <rFont val="宋体"/>
            <charset val="0"/>
          </rPr>
          <t>石玉珍:</t>
        </r>
        <r>
          <rPr>
            <sz val="9"/>
            <rFont val="宋体"/>
            <charset val="0"/>
          </rPr>
          <t xml:space="preserve">
2201216 7/4 1078 pcs 欣泰C3</t>
        </r>
        <r>
          <rPr>
            <b/>
            <sz val="9"/>
            <rFont val="宋体"/>
            <charset val="0"/>
          </rPr>
          <t xml:space="preserve">
石玉珍:</t>
        </r>
        <r>
          <rPr>
            <sz val="9"/>
            <rFont val="宋体"/>
            <charset val="0"/>
          </rPr>
          <t xml:space="preserve">
2201224 7/6 132 pcs 欣泰C3</t>
        </r>
      </text>
    </comment>
    <comment ref="AD754" authorId="1">
      <text>
        <r>
          <rPr>
            <b/>
            <sz val="9"/>
            <rFont val="宋体"/>
            <charset val="0"/>
          </rPr>
          <t>石玉珍:</t>
        </r>
        <r>
          <rPr>
            <sz val="9"/>
            <rFont val="宋体"/>
            <charset val="0"/>
          </rPr>
          <t xml:space="preserve">
6/22上 客人款号条码贴纸 1210 pcs
警语贴纸 1210 pcs</t>
        </r>
      </text>
    </comment>
    <comment ref="AB755" authorId="1">
      <text>
        <r>
          <rPr>
            <b/>
            <sz val="9"/>
            <rFont val="宋体"/>
            <charset val="0"/>
          </rPr>
          <t>石玉珍:</t>
        </r>
        <r>
          <rPr>
            <sz val="9"/>
            <rFont val="宋体"/>
            <charset val="0"/>
          </rPr>
          <t xml:space="preserve">
2201251 7/8 770 pcs pcs 顶钧C2</t>
        </r>
      </text>
    </comment>
    <comment ref="AD755" authorId="1">
      <text>
        <r>
          <rPr>
            <b/>
            <sz val="9"/>
            <rFont val="宋体"/>
            <charset val="0"/>
          </rPr>
          <t>石玉珍:</t>
        </r>
        <r>
          <rPr>
            <sz val="9"/>
            <rFont val="宋体"/>
            <charset val="0"/>
          </rPr>
          <t xml:space="preserve">
6/22上 通用贴纸 770 pcs</t>
        </r>
      </text>
    </comment>
    <comment ref="AB756" authorId="1">
      <text>
        <r>
          <rPr>
            <b/>
            <sz val="9"/>
            <rFont val="宋体"/>
            <charset val="0"/>
          </rPr>
          <t>石玉珍:</t>
        </r>
        <r>
          <rPr>
            <sz val="9"/>
            <rFont val="宋体"/>
            <charset val="0"/>
          </rPr>
          <t xml:space="preserve">
2201194 7/2 3014 pcs 欣泰2B1</t>
        </r>
      </text>
    </comment>
    <comment ref="AB757" authorId="1">
      <text>
        <r>
          <rPr>
            <b/>
            <sz val="9"/>
            <rFont val="宋体"/>
            <charset val="0"/>
          </rPr>
          <t>石玉珍:</t>
        </r>
        <r>
          <rPr>
            <sz val="9"/>
            <rFont val="宋体"/>
            <charset val="0"/>
          </rPr>
          <t xml:space="preserve">
2201189 7/2 48 pcs 欣泰A6</t>
        </r>
      </text>
    </comment>
    <comment ref="AD757" authorId="1">
      <text>
        <r>
          <rPr>
            <b/>
            <sz val="9"/>
            <rFont val="宋体"/>
            <charset val="0"/>
          </rPr>
          <t>石玉珍:</t>
        </r>
        <r>
          <rPr>
            <sz val="9"/>
            <rFont val="宋体"/>
            <charset val="0"/>
          </rPr>
          <t xml:space="preserve">
6/5上 UPC贴纸 48 pcs</t>
        </r>
        <r>
          <rPr>
            <b/>
            <sz val="9"/>
            <rFont val="宋体"/>
            <charset val="0"/>
          </rPr>
          <t xml:space="preserve">
石玉珍:</t>
        </r>
        <r>
          <rPr>
            <sz val="9"/>
            <rFont val="宋体"/>
            <charset val="0"/>
          </rPr>
          <t xml:space="preserve">
6/25号收到通知亚马逊后续订单东莞贴
6/24 客供亚马逊外箱贴纸 2 pcs</t>
        </r>
      </text>
    </comment>
    <comment ref="AB758" authorId="1">
      <text>
        <r>
          <rPr>
            <b/>
            <sz val="9"/>
            <rFont val="宋体"/>
            <charset val="0"/>
          </rPr>
          <t>石玉珍:</t>
        </r>
        <r>
          <rPr>
            <sz val="9"/>
            <rFont val="宋体"/>
            <charset val="0"/>
          </rPr>
          <t xml:space="preserve">
2201189 7/2 504 pcs 欣泰A6</t>
        </r>
      </text>
    </comment>
    <comment ref="AD758" authorId="1">
      <text>
        <r>
          <rPr>
            <b/>
            <sz val="9"/>
            <rFont val="宋体"/>
            <charset val="0"/>
          </rPr>
          <t>石玉珍:</t>
        </r>
        <r>
          <rPr>
            <sz val="9"/>
            <rFont val="宋体"/>
            <charset val="0"/>
          </rPr>
          <t xml:space="preserve">
6/5上 UPC贴纸 504 pcs</t>
        </r>
        <r>
          <rPr>
            <b/>
            <sz val="9"/>
            <rFont val="宋体"/>
            <charset val="0"/>
          </rPr>
          <t xml:space="preserve">
石玉珍:</t>
        </r>
        <r>
          <rPr>
            <sz val="9"/>
            <rFont val="宋体"/>
            <charset val="0"/>
          </rPr>
          <t xml:space="preserve">
6/25号收到通知亚马逊后续订单东莞贴
6/24 客供亚马逊外箱贴纸 21 pcs</t>
        </r>
      </text>
    </comment>
    <comment ref="AB759" authorId="1">
      <text>
        <r>
          <rPr>
            <b/>
            <sz val="9"/>
            <rFont val="宋体"/>
            <charset val="0"/>
          </rPr>
          <t>石玉珍:</t>
        </r>
        <r>
          <rPr>
            <sz val="9"/>
            <rFont val="宋体"/>
            <charset val="0"/>
          </rPr>
          <t xml:space="preserve">
2201189 7/2 48 pcs 欣泰A6</t>
        </r>
      </text>
    </comment>
    <comment ref="AD759" authorId="1">
      <text>
        <r>
          <rPr>
            <b/>
            <sz val="9"/>
            <rFont val="宋体"/>
            <charset val="0"/>
          </rPr>
          <t>石玉珍:</t>
        </r>
        <r>
          <rPr>
            <sz val="9"/>
            <rFont val="宋体"/>
            <charset val="0"/>
          </rPr>
          <t xml:space="preserve">
6/5上 UPC贴纸 48 pcs</t>
        </r>
        <r>
          <rPr>
            <b/>
            <sz val="9"/>
            <rFont val="宋体"/>
            <charset val="0"/>
          </rPr>
          <t xml:space="preserve">
石玉珍:</t>
        </r>
        <r>
          <rPr>
            <sz val="9"/>
            <rFont val="宋体"/>
            <charset val="0"/>
          </rPr>
          <t xml:space="preserve">
6/25号收到通知亚马逊后续订单东莞贴
6/24 客供亚马逊外箱贴纸 2 pcs</t>
        </r>
      </text>
    </comment>
    <comment ref="AB760" authorId="1">
      <text>
        <r>
          <rPr>
            <b/>
            <sz val="9"/>
            <rFont val="宋体"/>
            <charset val="0"/>
          </rPr>
          <t>石玉珍:</t>
        </r>
        <r>
          <rPr>
            <sz val="9"/>
            <rFont val="宋体"/>
            <charset val="0"/>
          </rPr>
          <t xml:space="preserve">
2201189 7/2 24 pcs 欣泰A6</t>
        </r>
      </text>
    </comment>
    <comment ref="AD760" authorId="1">
      <text>
        <r>
          <rPr>
            <b/>
            <sz val="9"/>
            <rFont val="宋体"/>
            <charset val="0"/>
          </rPr>
          <t>石玉珍:</t>
        </r>
        <r>
          <rPr>
            <sz val="9"/>
            <rFont val="宋体"/>
            <charset val="0"/>
          </rPr>
          <t xml:space="preserve">
6/5上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61" authorId="1">
      <text>
        <r>
          <rPr>
            <b/>
            <sz val="9"/>
            <rFont val="宋体"/>
            <charset val="0"/>
          </rPr>
          <t>石玉珍:</t>
        </r>
        <r>
          <rPr>
            <sz val="9"/>
            <rFont val="宋体"/>
            <charset val="0"/>
          </rPr>
          <t xml:space="preserve">
2201189 7/2 240 pcs 欣泰A6</t>
        </r>
      </text>
    </comment>
    <comment ref="AD761" authorId="1">
      <text>
        <r>
          <rPr>
            <b/>
            <sz val="9"/>
            <rFont val="宋体"/>
            <charset val="0"/>
          </rPr>
          <t>石玉珍:</t>
        </r>
        <r>
          <rPr>
            <sz val="9"/>
            <rFont val="宋体"/>
            <charset val="0"/>
          </rPr>
          <t xml:space="preserve">
6/5上 UPC贴纸 240 pcs</t>
        </r>
        <r>
          <rPr>
            <b/>
            <sz val="9"/>
            <rFont val="宋体"/>
            <charset val="0"/>
          </rPr>
          <t xml:space="preserve">
石玉珍:</t>
        </r>
        <r>
          <rPr>
            <sz val="9"/>
            <rFont val="宋体"/>
            <charset val="0"/>
          </rPr>
          <t xml:space="preserve">
6/25号收到通知亚马逊后续订单东莞贴
6/24 客供亚马逊外箱贴纸 10 pcs</t>
        </r>
      </text>
    </comment>
    <comment ref="AB762" authorId="1">
      <text>
        <r>
          <rPr>
            <b/>
            <sz val="9"/>
            <rFont val="宋体"/>
            <charset val="0"/>
          </rPr>
          <t>石玉珍:</t>
        </r>
        <r>
          <rPr>
            <sz val="9"/>
            <rFont val="宋体"/>
            <charset val="0"/>
          </rPr>
          <t xml:space="preserve">
2201189 7/2 72 pcs 欣泰A6</t>
        </r>
      </text>
    </comment>
    <comment ref="AD762" authorId="1">
      <text>
        <r>
          <rPr>
            <b/>
            <sz val="9"/>
            <rFont val="宋体"/>
            <charset val="0"/>
          </rPr>
          <t>石玉珍:</t>
        </r>
        <r>
          <rPr>
            <sz val="9"/>
            <rFont val="宋体"/>
            <charset val="0"/>
          </rPr>
          <t xml:space="preserve">
6/5上 UPC贴纸 72 pcs</t>
        </r>
        <r>
          <rPr>
            <b/>
            <sz val="9"/>
            <rFont val="宋体"/>
            <charset val="0"/>
          </rPr>
          <t xml:space="preserve">
石玉珍:</t>
        </r>
        <r>
          <rPr>
            <sz val="9"/>
            <rFont val="宋体"/>
            <charset val="0"/>
          </rPr>
          <t xml:space="preserve">
6/25号收到通知亚马逊后续订单东莞贴
6/24 客供亚马逊外箱贴纸 3 pcs</t>
        </r>
      </text>
    </comment>
    <comment ref="AB763" authorId="1">
      <text>
        <r>
          <rPr>
            <b/>
            <sz val="9"/>
            <rFont val="宋体"/>
            <charset val="0"/>
          </rPr>
          <t>石玉珍:</t>
        </r>
        <r>
          <rPr>
            <sz val="9"/>
            <rFont val="宋体"/>
            <charset val="0"/>
          </rPr>
          <t xml:space="preserve">
2201189 7/2 72 pcs 欣泰A6</t>
        </r>
      </text>
    </comment>
    <comment ref="AD763" authorId="1">
      <text>
        <r>
          <rPr>
            <b/>
            <sz val="9"/>
            <rFont val="宋体"/>
            <charset val="0"/>
          </rPr>
          <t>石玉珍:</t>
        </r>
        <r>
          <rPr>
            <sz val="9"/>
            <rFont val="宋体"/>
            <charset val="0"/>
          </rPr>
          <t xml:space="preserve">
6/5上 UPC贴纸 504 pcs</t>
        </r>
        <r>
          <rPr>
            <b/>
            <sz val="9"/>
            <rFont val="宋体"/>
            <charset val="0"/>
          </rPr>
          <t xml:space="preserve">
石玉珍:</t>
        </r>
        <r>
          <rPr>
            <sz val="9"/>
            <rFont val="宋体"/>
            <charset val="0"/>
          </rPr>
          <t xml:space="preserve">
6/25号收到通知亚马逊后续订单东莞贴
6/24 客供亚马逊外箱贴纸 3 pcs</t>
        </r>
      </text>
    </comment>
    <comment ref="AB764" authorId="1">
      <text>
        <r>
          <rPr>
            <b/>
            <sz val="9"/>
            <rFont val="宋体"/>
            <charset val="0"/>
          </rPr>
          <t>石玉珍:</t>
        </r>
        <r>
          <rPr>
            <sz val="9"/>
            <rFont val="宋体"/>
            <charset val="0"/>
          </rPr>
          <t xml:space="preserve">
2201189 7/2 72 pcs 欣泰A6</t>
        </r>
      </text>
    </comment>
    <comment ref="AD764" authorId="1">
      <text>
        <r>
          <rPr>
            <b/>
            <sz val="9"/>
            <rFont val="宋体"/>
            <charset val="0"/>
          </rPr>
          <t>石玉珍:</t>
        </r>
        <r>
          <rPr>
            <sz val="9"/>
            <rFont val="宋体"/>
            <charset val="0"/>
          </rPr>
          <t xml:space="preserve">
6/5上 UPC贴纸 72 pcs</t>
        </r>
        <r>
          <rPr>
            <b/>
            <sz val="9"/>
            <rFont val="宋体"/>
            <charset val="0"/>
          </rPr>
          <t xml:space="preserve">
石玉珍:</t>
        </r>
        <r>
          <rPr>
            <sz val="9"/>
            <rFont val="宋体"/>
            <charset val="0"/>
          </rPr>
          <t xml:space="preserve">
6/25号收到通知亚马逊后续订单东莞贴
6/24 客供亚马逊外箱贴纸 3 pcs</t>
        </r>
      </text>
    </comment>
    <comment ref="AB765" authorId="1">
      <text>
        <r>
          <rPr>
            <b/>
            <sz val="9"/>
            <rFont val="宋体"/>
            <charset val="0"/>
          </rPr>
          <t>石玉珍:</t>
        </r>
        <r>
          <rPr>
            <sz val="9"/>
            <rFont val="宋体"/>
            <charset val="0"/>
          </rPr>
          <t xml:space="preserve">
2201189 7/2 48 pcs 欣泰A6</t>
        </r>
      </text>
    </comment>
    <comment ref="AD765" authorId="1">
      <text>
        <r>
          <rPr>
            <b/>
            <sz val="9"/>
            <rFont val="宋体"/>
            <charset val="0"/>
          </rPr>
          <t>石玉珍:</t>
        </r>
        <r>
          <rPr>
            <sz val="9"/>
            <rFont val="宋体"/>
            <charset val="0"/>
          </rPr>
          <t xml:space="preserve">
6/5上 UPC贴纸 48 pcs</t>
        </r>
        <r>
          <rPr>
            <b/>
            <sz val="9"/>
            <rFont val="宋体"/>
            <charset val="0"/>
          </rPr>
          <t xml:space="preserve">
石玉珍:</t>
        </r>
        <r>
          <rPr>
            <sz val="9"/>
            <rFont val="宋体"/>
            <charset val="0"/>
          </rPr>
          <t xml:space="preserve">
6/25号收到通知亚马逊后续订单东莞贴
6/24 客供亚马逊外箱贴纸 2 pcs</t>
        </r>
      </text>
    </comment>
    <comment ref="AB766" authorId="1">
      <text>
        <r>
          <rPr>
            <b/>
            <sz val="9"/>
            <rFont val="宋体"/>
            <charset val="0"/>
          </rPr>
          <t>石玉珍:</t>
        </r>
        <r>
          <rPr>
            <sz val="9"/>
            <rFont val="宋体"/>
            <charset val="0"/>
          </rPr>
          <t xml:space="preserve">
2201190 7/2 168 pcs 欣泰A6</t>
        </r>
      </text>
    </comment>
    <comment ref="AD766" authorId="1">
      <text>
        <r>
          <rPr>
            <b/>
            <sz val="9"/>
            <rFont val="宋体"/>
            <charset val="0"/>
          </rPr>
          <t>石玉珍:</t>
        </r>
        <r>
          <rPr>
            <sz val="9"/>
            <rFont val="宋体"/>
            <charset val="0"/>
          </rPr>
          <t xml:space="preserve">
6/6上 UPC贴纸 168 pcs</t>
        </r>
        <r>
          <rPr>
            <b/>
            <sz val="9"/>
            <rFont val="宋体"/>
            <charset val="0"/>
          </rPr>
          <t xml:space="preserve">
石玉珍:</t>
        </r>
        <r>
          <rPr>
            <sz val="9"/>
            <rFont val="宋体"/>
            <charset val="0"/>
          </rPr>
          <t xml:space="preserve">
6/25号收到通知亚马逊后续订单东莞贴
6/24 客供亚马逊外箱贴纸 7 pcs</t>
        </r>
      </text>
    </comment>
    <comment ref="AB767" authorId="1">
      <text>
        <r>
          <rPr>
            <b/>
            <sz val="9"/>
            <rFont val="宋体"/>
            <charset val="0"/>
          </rPr>
          <t>石玉珍:</t>
        </r>
        <r>
          <rPr>
            <sz val="9"/>
            <rFont val="宋体"/>
            <charset val="0"/>
          </rPr>
          <t xml:space="preserve">
2201190 7/2 24 pcs 欣泰A6</t>
        </r>
      </text>
    </comment>
    <comment ref="AD767" authorId="1">
      <text>
        <r>
          <rPr>
            <b/>
            <sz val="9"/>
            <rFont val="宋体"/>
            <charset val="0"/>
          </rPr>
          <t>石玉珍:</t>
        </r>
        <r>
          <rPr>
            <sz val="9"/>
            <rFont val="宋体"/>
            <charset val="0"/>
          </rPr>
          <t xml:space="preserve">
6/6上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68" authorId="1">
      <text>
        <r>
          <rPr>
            <b/>
            <sz val="9"/>
            <rFont val="宋体"/>
            <charset val="0"/>
          </rPr>
          <t>石玉珍:</t>
        </r>
        <r>
          <rPr>
            <sz val="9"/>
            <rFont val="宋体"/>
            <charset val="0"/>
          </rPr>
          <t xml:space="preserve">
2201190 7/2 72 pcs 欣泰A6</t>
        </r>
      </text>
    </comment>
    <comment ref="AD768" authorId="1">
      <text>
        <r>
          <rPr>
            <b/>
            <sz val="9"/>
            <rFont val="宋体"/>
            <charset val="0"/>
          </rPr>
          <t>石玉珍:</t>
        </r>
        <r>
          <rPr>
            <sz val="9"/>
            <rFont val="宋体"/>
            <charset val="0"/>
          </rPr>
          <t xml:space="preserve">
6/6上 UPC贴纸 72 pcs</t>
        </r>
        <r>
          <rPr>
            <b/>
            <sz val="9"/>
            <rFont val="宋体"/>
            <charset val="0"/>
          </rPr>
          <t xml:space="preserve">
石玉珍:</t>
        </r>
        <r>
          <rPr>
            <sz val="9"/>
            <rFont val="宋体"/>
            <charset val="0"/>
          </rPr>
          <t xml:space="preserve">
6/25号收到通知亚马逊后续订单东莞贴
6/24 客供亚马逊外箱贴纸 3 pcs</t>
        </r>
      </text>
    </comment>
    <comment ref="AB769" authorId="1">
      <text>
        <r>
          <rPr>
            <b/>
            <sz val="9"/>
            <rFont val="宋体"/>
            <charset val="0"/>
          </rPr>
          <t>石玉珍:</t>
        </r>
        <r>
          <rPr>
            <sz val="9"/>
            <rFont val="宋体"/>
            <charset val="0"/>
          </rPr>
          <t xml:space="preserve">
2201190 7/2 48 pcs 欣泰A6</t>
        </r>
      </text>
    </comment>
    <comment ref="AD769" authorId="1">
      <text>
        <r>
          <rPr>
            <b/>
            <sz val="9"/>
            <rFont val="宋体"/>
            <charset val="0"/>
          </rPr>
          <t>石玉珍:</t>
        </r>
        <r>
          <rPr>
            <sz val="9"/>
            <rFont val="宋体"/>
            <charset val="0"/>
          </rPr>
          <t xml:space="preserve">
6/6上 UPC贴纸 48 pcs</t>
        </r>
        <r>
          <rPr>
            <b/>
            <sz val="9"/>
            <rFont val="宋体"/>
            <charset val="0"/>
          </rPr>
          <t xml:space="preserve">
石玉珍:</t>
        </r>
        <r>
          <rPr>
            <sz val="9"/>
            <rFont val="宋体"/>
            <charset val="0"/>
          </rPr>
          <t xml:space="preserve">
6/25号收到通知亚马逊后续订单东莞贴
6/24 客供亚马逊外箱贴纸 2 pcs</t>
        </r>
      </text>
    </comment>
    <comment ref="AB770" authorId="1">
      <text>
        <r>
          <rPr>
            <b/>
            <sz val="9"/>
            <rFont val="宋体"/>
            <charset val="0"/>
          </rPr>
          <t>石玉珍:</t>
        </r>
        <r>
          <rPr>
            <sz val="9"/>
            <rFont val="宋体"/>
            <charset val="0"/>
          </rPr>
          <t xml:space="preserve">
2201190 7/2 24 pcs 欣泰A6</t>
        </r>
      </text>
    </comment>
    <comment ref="AD770" authorId="1">
      <text>
        <r>
          <rPr>
            <b/>
            <sz val="9"/>
            <rFont val="宋体"/>
            <charset val="0"/>
          </rPr>
          <t>石玉珍:</t>
        </r>
        <r>
          <rPr>
            <sz val="9"/>
            <rFont val="宋体"/>
            <charset val="0"/>
          </rPr>
          <t xml:space="preserve">
6/6上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71" authorId="1">
      <text>
        <r>
          <rPr>
            <b/>
            <sz val="9"/>
            <rFont val="宋体"/>
            <charset val="0"/>
          </rPr>
          <t>石玉珍:</t>
        </r>
        <r>
          <rPr>
            <sz val="9"/>
            <rFont val="宋体"/>
            <charset val="0"/>
          </rPr>
          <t xml:space="preserve">
2201190 7/2 48 pcs 欣泰A6</t>
        </r>
      </text>
    </comment>
    <comment ref="AD771" authorId="1">
      <text>
        <r>
          <rPr>
            <b/>
            <sz val="9"/>
            <rFont val="宋体"/>
            <charset val="0"/>
          </rPr>
          <t>石玉珍:</t>
        </r>
        <r>
          <rPr>
            <sz val="9"/>
            <rFont val="宋体"/>
            <charset val="0"/>
          </rPr>
          <t xml:space="preserve">
6/6上 UPC贴纸 48 pcs</t>
        </r>
        <r>
          <rPr>
            <b/>
            <sz val="9"/>
            <rFont val="宋体"/>
            <charset val="0"/>
          </rPr>
          <t xml:space="preserve">
石玉珍:</t>
        </r>
        <r>
          <rPr>
            <sz val="9"/>
            <rFont val="宋体"/>
            <charset val="0"/>
          </rPr>
          <t xml:space="preserve">
6/25号收到通知亚马逊后续订单东莞贴
6/24 客供亚马逊外箱贴纸 2 pcs</t>
        </r>
      </text>
    </comment>
    <comment ref="AB772" authorId="1">
      <text>
        <r>
          <rPr>
            <b/>
            <sz val="9"/>
            <rFont val="宋体"/>
            <charset val="0"/>
          </rPr>
          <t>石玉珍:</t>
        </r>
        <r>
          <rPr>
            <sz val="9"/>
            <rFont val="宋体"/>
            <charset val="0"/>
          </rPr>
          <t xml:space="preserve">
2201190 7/2 24 pcs 欣泰A6</t>
        </r>
      </text>
    </comment>
    <comment ref="AD772" authorId="1">
      <text>
        <r>
          <rPr>
            <b/>
            <sz val="9"/>
            <rFont val="宋体"/>
            <charset val="0"/>
          </rPr>
          <t>石玉珍:</t>
        </r>
        <r>
          <rPr>
            <sz val="9"/>
            <rFont val="宋体"/>
            <charset val="0"/>
          </rPr>
          <t xml:space="preserve">
6/6上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73" authorId="1">
      <text>
        <r>
          <rPr>
            <b/>
            <sz val="9"/>
            <rFont val="宋体"/>
            <charset val="0"/>
          </rPr>
          <t>石玉珍:</t>
        </r>
        <r>
          <rPr>
            <sz val="9"/>
            <rFont val="宋体"/>
            <charset val="0"/>
          </rPr>
          <t xml:space="preserve">
2201190 7/2 24 pcs 欣泰A6</t>
        </r>
      </text>
    </comment>
    <comment ref="AD773" authorId="1">
      <text>
        <r>
          <rPr>
            <b/>
            <sz val="9"/>
            <rFont val="宋体"/>
            <charset val="0"/>
          </rPr>
          <t>石玉珍:</t>
        </r>
        <r>
          <rPr>
            <sz val="9"/>
            <rFont val="宋体"/>
            <charset val="0"/>
          </rPr>
          <t xml:space="preserve">
6/6上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74" authorId="1">
      <text>
        <r>
          <rPr>
            <b/>
            <sz val="9"/>
            <rFont val="宋体"/>
            <charset val="0"/>
          </rPr>
          <t>石玉珍:</t>
        </r>
        <r>
          <rPr>
            <sz val="9"/>
            <rFont val="宋体"/>
            <charset val="0"/>
          </rPr>
          <t xml:space="preserve">
2201190 7/2 48 pcs 欣泰A6</t>
        </r>
      </text>
    </comment>
    <comment ref="AD774" authorId="1">
      <text>
        <r>
          <rPr>
            <b/>
            <sz val="9"/>
            <rFont val="宋体"/>
            <charset val="0"/>
          </rPr>
          <t>石玉珍:</t>
        </r>
        <r>
          <rPr>
            <sz val="9"/>
            <rFont val="宋体"/>
            <charset val="0"/>
          </rPr>
          <t xml:space="preserve">
6/6上 UPC贴纸 48 pcs</t>
        </r>
        <r>
          <rPr>
            <b/>
            <sz val="9"/>
            <rFont val="宋体"/>
            <charset val="0"/>
          </rPr>
          <t xml:space="preserve">
石玉珍:</t>
        </r>
        <r>
          <rPr>
            <sz val="9"/>
            <rFont val="宋体"/>
            <charset val="0"/>
          </rPr>
          <t xml:space="preserve">
6/25号收到通知亚马逊后续订单东莞贴
6/24 客供亚马逊外箱贴纸 2 pcs</t>
        </r>
      </text>
    </comment>
    <comment ref="AB775" authorId="1">
      <text>
        <r>
          <rPr>
            <b/>
            <sz val="9"/>
            <rFont val="宋体"/>
            <charset val="0"/>
          </rPr>
          <t>石玉珍:</t>
        </r>
        <r>
          <rPr>
            <sz val="9"/>
            <rFont val="宋体"/>
            <charset val="0"/>
          </rPr>
          <t xml:space="preserve">
2201191 7/2 24 pcs 欣泰A6</t>
        </r>
      </text>
    </comment>
    <comment ref="AD775" authorId="1">
      <text>
        <r>
          <rPr>
            <b/>
            <sz val="9"/>
            <rFont val="宋体"/>
            <charset val="0"/>
          </rPr>
          <t>石玉珍:</t>
        </r>
        <r>
          <rPr>
            <sz val="9"/>
            <rFont val="宋体"/>
            <charset val="0"/>
          </rPr>
          <t xml:space="preserve">
6/6上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76" authorId="1">
      <text>
        <r>
          <rPr>
            <b/>
            <sz val="9"/>
            <rFont val="宋体"/>
            <charset val="0"/>
          </rPr>
          <t>石玉珍:</t>
        </r>
        <r>
          <rPr>
            <sz val="9"/>
            <rFont val="宋体"/>
            <charset val="0"/>
          </rPr>
          <t xml:space="preserve">
2201191 7/2 24 pcs 欣泰A6</t>
        </r>
      </text>
    </comment>
    <comment ref="AD776" authorId="1">
      <text>
        <r>
          <rPr>
            <b/>
            <sz val="9"/>
            <rFont val="宋体"/>
            <charset val="0"/>
          </rPr>
          <t>石玉珍:</t>
        </r>
        <r>
          <rPr>
            <sz val="9"/>
            <rFont val="宋体"/>
            <charset val="0"/>
          </rPr>
          <t xml:space="preserve">
6/6上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77" authorId="1">
      <text>
        <r>
          <rPr>
            <b/>
            <sz val="9"/>
            <rFont val="宋体"/>
            <charset val="0"/>
          </rPr>
          <t>石玉珍:</t>
        </r>
        <r>
          <rPr>
            <sz val="9"/>
            <rFont val="宋体"/>
            <charset val="0"/>
          </rPr>
          <t xml:space="preserve">
2201191 7/2 48 pcs 欣泰A6</t>
        </r>
      </text>
    </comment>
    <comment ref="AD777" authorId="1">
      <text>
        <r>
          <rPr>
            <b/>
            <sz val="9"/>
            <rFont val="宋体"/>
            <charset val="0"/>
          </rPr>
          <t>石玉珍:</t>
        </r>
        <r>
          <rPr>
            <sz val="9"/>
            <rFont val="宋体"/>
            <charset val="0"/>
          </rPr>
          <t xml:space="preserve">
6/6上 UPC贴纸 48 pcs</t>
        </r>
        <r>
          <rPr>
            <b/>
            <sz val="9"/>
            <rFont val="宋体"/>
            <charset val="0"/>
          </rPr>
          <t xml:space="preserve">
石玉珍:</t>
        </r>
        <r>
          <rPr>
            <sz val="9"/>
            <rFont val="宋体"/>
            <charset val="0"/>
          </rPr>
          <t xml:space="preserve">
6/25号收到通知亚马逊后续订单东莞贴
6/24 客供亚马逊外箱贴纸 2 pcs</t>
        </r>
      </text>
    </comment>
    <comment ref="AB778" authorId="1">
      <text>
        <r>
          <rPr>
            <b/>
            <sz val="9"/>
            <rFont val="宋体"/>
            <charset val="0"/>
          </rPr>
          <t>石玉珍:</t>
        </r>
        <r>
          <rPr>
            <sz val="9"/>
            <rFont val="宋体"/>
            <charset val="0"/>
          </rPr>
          <t xml:space="preserve">
2201191 7/2 24 pcs 欣泰A6</t>
        </r>
      </text>
    </comment>
    <comment ref="AD778" authorId="1">
      <text>
        <r>
          <rPr>
            <b/>
            <sz val="9"/>
            <rFont val="宋体"/>
            <charset val="0"/>
          </rPr>
          <t>石玉珍:</t>
        </r>
        <r>
          <rPr>
            <sz val="9"/>
            <rFont val="宋体"/>
            <charset val="0"/>
          </rPr>
          <t xml:space="preserve">
6/6上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79" authorId="1">
      <text>
        <r>
          <rPr>
            <b/>
            <sz val="9"/>
            <rFont val="宋体"/>
            <charset val="0"/>
          </rPr>
          <t>石玉珍:</t>
        </r>
        <r>
          <rPr>
            <sz val="9"/>
            <rFont val="宋体"/>
            <charset val="0"/>
          </rPr>
          <t xml:space="preserve">
2201191 7/2 24 pcs 欣泰A6</t>
        </r>
      </text>
    </comment>
    <comment ref="AD779" authorId="1">
      <text>
        <r>
          <rPr>
            <b/>
            <sz val="9"/>
            <rFont val="宋体"/>
            <charset val="0"/>
          </rPr>
          <t>石玉珍:</t>
        </r>
        <r>
          <rPr>
            <sz val="9"/>
            <rFont val="宋体"/>
            <charset val="0"/>
          </rPr>
          <t xml:space="preserve">
6/6上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80" authorId="1">
      <text>
        <r>
          <rPr>
            <b/>
            <sz val="9"/>
            <rFont val="宋体"/>
            <charset val="0"/>
          </rPr>
          <t>石玉珍:</t>
        </r>
        <r>
          <rPr>
            <sz val="9"/>
            <rFont val="宋体"/>
            <charset val="0"/>
          </rPr>
          <t xml:space="preserve">
2201191 7/2 120 pcs 欣泰A6</t>
        </r>
      </text>
    </comment>
    <comment ref="AD780" authorId="1">
      <text>
        <r>
          <rPr>
            <b/>
            <sz val="9"/>
            <rFont val="宋体"/>
            <charset val="0"/>
          </rPr>
          <t>石玉珍:</t>
        </r>
        <r>
          <rPr>
            <sz val="9"/>
            <rFont val="宋体"/>
            <charset val="0"/>
          </rPr>
          <t xml:space="preserve">
6/6上 UPC贴纸 120 pcs</t>
        </r>
        <r>
          <rPr>
            <b/>
            <sz val="9"/>
            <rFont val="宋体"/>
            <charset val="0"/>
          </rPr>
          <t xml:space="preserve">
石玉珍:</t>
        </r>
        <r>
          <rPr>
            <sz val="9"/>
            <rFont val="宋体"/>
            <charset val="0"/>
          </rPr>
          <t xml:space="preserve">
6/25号收到通知亚马逊后续订单东莞贴
6/24 客供亚马逊外箱贴纸 5 pcs</t>
        </r>
      </text>
    </comment>
    <comment ref="AB781" authorId="1">
      <text>
        <r>
          <rPr>
            <b/>
            <sz val="9"/>
            <rFont val="宋体"/>
            <charset val="0"/>
          </rPr>
          <t>石玉珍:</t>
        </r>
        <r>
          <rPr>
            <sz val="9"/>
            <rFont val="宋体"/>
            <charset val="0"/>
          </rPr>
          <t xml:space="preserve">
2201191 7/2 24 pcs 欣泰A6</t>
        </r>
      </text>
    </comment>
    <comment ref="AD781" authorId="1">
      <text>
        <r>
          <rPr>
            <b/>
            <sz val="9"/>
            <rFont val="宋体"/>
            <charset val="0"/>
          </rPr>
          <t>石玉珍:</t>
        </r>
        <r>
          <rPr>
            <sz val="9"/>
            <rFont val="宋体"/>
            <charset val="0"/>
          </rPr>
          <t xml:space="preserve">
6/6上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82" authorId="1">
      <text>
        <r>
          <rPr>
            <b/>
            <sz val="9"/>
            <rFont val="宋体"/>
            <charset val="0"/>
          </rPr>
          <t>石玉珍:</t>
        </r>
        <r>
          <rPr>
            <sz val="9"/>
            <rFont val="宋体"/>
            <charset val="0"/>
          </rPr>
          <t xml:space="preserve">
2201191 7/2 48 pcs 欣泰A6</t>
        </r>
      </text>
    </comment>
    <comment ref="AD782" authorId="1">
      <text>
        <r>
          <rPr>
            <b/>
            <sz val="9"/>
            <rFont val="宋体"/>
            <charset val="0"/>
          </rPr>
          <t>石玉珍:</t>
        </r>
        <r>
          <rPr>
            <sz val="9"/>
            <rFont val="宋体"/>
            <charset val="0"/>
          </rPr>
          <t xml:space="preserve">
6/6上 UPC贴纸 48 pcs</t>
        </r>
        <r>
          <rPr>
            <b/>
            <sz val="9"/>
            <rFont val="宋体"/>
            <charset val="0"/>
          </rPr>
          <t xml:space="preserve">
石玉珍:</t>
        </r>
        <r>
          <rPr>
            <sz val="9"/>
            <rFont val="宋体"/>
            <charset val="0"/>
          </rPr>
          <t xml:space="preserve">
6/25号收到通知亚马逊后续订单东莞贴
6/24 客供亚马逊外箱贴纸 2 pcs</t>
        </r>
      </text>
    </comment>
    <comment ref="AB783" authorId="1">
      <text>
        <r>
          <rPr>
            <b/>
            <sz val="9"/>
            <rFont val="宋体"/>
            <charset val="0"/>
          </rPr>
          <t>石玉珍:</t>
        </r>
        <r>
          <rPr>
            <sz val="9"/>
            <rFont val="宋体"/>
            <charset val="0"/>
          </rPr>
          <t xml:space="preserve">
2201191 7/2 48 pcs 欣泰A6</t>
        </r>
      </text>
    </comment>
    <comment ref="AD783" authorId="1">
      <text>
        <r>
          <rPr>
            <b/>
            <sz val="9"/>
            <rFont val="宋体"/>
            <charset val="0"/>
          </rPr>
          <t>石玉珍:</t>
        </r>
        <r>
          <rPr>
            <sz val="9"/>
            <rFont val="宋体"/>
            <charset val="0"/>
          </rPr>
          <t xml:space="preserve">
6/6上 UPC贴纸 48 pcs</t>
        </r>
        <r>
          <rPr>
            <b/>
            <sz val="9"/>
            <rFont val="宋体"/>
            <charset val="0"/>
          </rPr>
          <t xml:space="preserve">
石玉珍:</t>
        </r>
        <r>
          <rPr>
            <sz val="9"/>
            <rFont val="宋体"/>
            <charset val="0"/>
          </rPr>
          <t xml:space="preserve">
6/25号收到通知亚马逊后续订单东莞贴
6/24 客供亚马逊外箱贴纸 2 pcs</t>
        </r>
      </text>
    </comment>
    <comment ref="AB784" authorId="1">
      <text>
        <r>
          <rPr>
            <b/>
            <sz val="9"/>
            <rFont val="宋体"/>
            <charset val="0"/>
          </rPr>
          <t>石玉珍:</t>
        </r>
        <r>
          <rPr>
            <sz val="9"/>
            <rFont val="宋体"/>
            <charset val="0"/>
          </rPr>
          <t xml:space="preserve">
2201192 7/2 24 pcs 欣泰A6</t>
        </r>
      </text>
    </comment>
    <comment ref="AD784" authorId="1">
      <text>
        <r>
          <rPr>
            <b/>
            <sz val="9"/>
            <rFont val="宋体"/>
            <charset val="0"/>
          </rPr>
          <t>石玉珍:</t>
        </r>
        <r>
          <rPr>
            <sz val="9"/>
            <rFont val="宋体"/>
            <charset val="0"/>
          </rPr>
          <t xml:space="preserve">
6/6上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85" authorId="1">
      <text>
        <r>
          <rPr>
            <b/>
            <sz val="9"/>
            <rFont val="宋体"/>
            <charset val="0"/>
          </rPr>
          <t>石玉珍:</t>
        </r>
        <r>
          <rPr>
            <sz val="9"/>
            <rFont val="宋体"/>
            <charset val="0"/>
          </rPr>
          <t xml:space="preserve">
2201192 7/2 24 pcs 欣泰A6</t>
        </r>
      </text>
    </comment>
    <comment ref="AD785" authorId="1">
      <text>
        <r>
          <rPr>
            <b/>
            <sz val="9"/>
            <rFont val="宋体"/>
            <charset val="0"/>
          </rPr>
          <t>石玉珍:</t>
        </r>
        <r>
          <rPr>
            <sz val="9"/>
            <rFont val="宋体"/>
            <charset val="0"/>
          </rPr>
          <t xml:space="preserve">
6/6上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86" authorId="1">
      <text>
        <r>
          <rPr>
            <b/>
            <sz val="9"/>
            <rFont val="宋体"/>
            <charset val="0"/>
          </rPr>
          <t>石玉珍:</t>
        </r>
        <r>
          <rPr>
            <sz val="9"/>
            <rFont val="宋体"/>
            <charset val="0"/>
          </rPr>
          <t xml:space="preserve">
2201232 7/6 480 pcs 欣泰E6</t>
        </r>
      </text>
    </comment>
    <comment ref="AD786" authorId="1">
      <text>
        <r>
          <rPr>
            <b/>
            <sz val="9"/>
            <rFont val="宋体"/>
            <charset val="0"/>
          </rPr>
          <t>石玉珍:</t>
        </r>
        <r>
          <rPr>
            <sz val="9"/>
            <rFont val="宋体"/>
            <charset val="0"/>
          </rPr>
          <t xml:space="preserve">
6/10上 客供价格贴纸 504 pcs</t>
        </r>
      </text>
    </comment>
    <comment ref="AB787" authorId="1">
      <text>
        <r>
          <rPr>
            <b/>
            <sz val="9"/>
            <rFont val="宋体"/>
            <charset val="0"/>
          </rPr>
          <t>石玉珍:</t>
        </r>
        <r>
          <rPr>
            <sz val="9"/>
            <rFont val="宋体"/>
            <charset val="0"/>
          </rPr>
          <t xml:space="preserve">
2201194 7/2 2508 pcs 欣泰2B0</t>
        </r>
      </text>
    </comment>
    <comment ref="AD787" authorId="1">
      <text>
        <r>
          <rPr>
            <b/>
            <sz val="9"/>
            <rFont val="宋体"/>
            <charset val="0"/>
          </rPr>
          <t>石玉珍:</t>
        </r>
        <r>
          <rPr>
            <sz val="9"/>
            <rFont val="宋体"/>
            <charset val="0"/>
          </rPr>
          <t xml:space="preserve">
6/16上 警语贴纸 2508 pcs</t>
        </r>
        <r>
          <rPr>
            <b/>
            <sz val="9"/>
            <rFont val="宋体"/>
            <charset val="0"/>
          </rPr>
          <t xml:space="preserve">
石玉珍:</t>
        </r>
        <r>
          <rPr>
            <sz val="9"/>
            <rFont val="宋体"/>
            <charset val="0"/>
          </rPr>
          <t xml:space="preserve">
6/23 黑白说明书 2508 pcs</t>
        </r>
      </text>
    </comment>
    <comment ref="AB788" authorId="1">
      <text>
        <r>
          <rPr>
            <b/>
            <sz val="9"/>
            <rFont val="宋体"/>
            <charset val="0"/>
          </rPr>
          <t>石玉珍:</t>
        </r>
        <r>
          <rPr>
            <sz val="9"/>
            <rFont val="宋体"/>
            <charset val="0"/>
          </rPr>
          <t xml:space="preserve">
2201039 7/2 1100pcs 顶钧c1</t>
        </r>
      </text>
    </comment>
    <comment ref="AD788" authorId="1">
      <text>
        <r>
          <rPr>
            <b/>
            <sz val="9"/>
            <rFont val="宋体"/>
            <charset val="0"/>
          </rPr>
          <t>石玉珍:</t>
        </r>
        <r>
          <rPr>
            <sz val="9"/>
            <rFont val="宋体"/>
            <charset val="0"/>
          </rPr>
          <t xml:space="preserve">
6/22上 PDQ底部贴纸 1100 pcs</t>
        </r>
      </text>
    </comment>
    <comment ref="AB789" authorId="1">
      <text>
        <r>
          <rPr>
            <b/>
            <sz val="9"/>
            <rFont val="宋体"/>
            <charset val="0"/>
          </rPr>
          <t>石玉珍:</t>
        </r>
        <r>
          <rPr>
            <sz val="9"/>
            <rFont val="宋体"/>
            <charset val="0"/>
          </rPr>
          <t xml:space="preserve">
2201192 7/2 96 pcs 欣泰A6</t>
        </r>
      </text>
    </comment>
    <comment ref="AD789" authorId="1">
      <text>
        <r>
          <rPr>
            <b/>
            <sz val="9"/>
            <rFont val="宋体"/>
            <charset val="0"/>
          </rPr>
          <t>石玉珍:</t>
        </r>
        <r>
          <rPr>
            <sz val="9"/>
            <rFont val="宋体"/>
            <charset val="0"/>
          </rPr>
          <t xml:space="preserve">
6/15上 UPC贴纸 96 pcs</t>
        </r>
        <r>
          <rPr>
            <b/>
            <sz val="9"/>
            <rFont val="宋体"/>
            <charset val="0"/>
          </rPr>
          <t xml:space="preserve">
石玉珍:</t>
        </r>
        <r>
          <rPr>
            <sz val="9"/>
            <rFont val="宋体"/>
            <charset val="0"/>
          </rPr>
          <t xml:space="preserve">
6/25号收到通知亚马逊后续订单东莞贴
6/24 客供亚马逊外箱贴纸 4 pcs</t>
        </r>
      </text>
    </comment>
    <comment ref="AB790" authorId="1">
      <text>
        <r>
          <rPr>
            <b/>
            <sz val="9"/>
            <rFont val="宋体"/>
            <charset val="0"/>
          </rPr>
          <t>石玉珍:</t>
        </r>
        <r>
          <rPr>
            <sz val="9"/>
            <rFont val="宋体"/>
            <charset val="0"/>
          </rPr>
          <t xml:space="preserve">
2201192 7/2 24 pcs 欣泰A6</t>
        </r>
      </text>
    </comment>
    <comment ref="AD790" authorId="1">
      <text>
        <r>
          <rPr>
            <b/>
            <sz val="9"/>
            <rFont val="宋体"/>
            <charset val="0"/>
          </rPr>
          <t>石玉珍:</t>
        </r>
        <r>
          <rPr>
            <sz val="9"/>
            <rFont val="宋体"/>
            <charset val="0"/>
          </rPr>
          <t xml:space="preserve">
6/15上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91" authorId="1">
      <text>
        <r>
          <rPr>
            <b/>
            <sz val="9"/>
            <rFont val="宋体"/>
            <charset val="0"/>
          </rPr>
          <t>石玉珍:</t>
        </r>
        <r>
          <rPr>
            <sz val="9"/>
            <rFont val="宋体"/>
            <charset val="0"/>
          </rPr>
          <t xml:space="preserve">
2201192 7/2 24 pcs 欣泰A6</t>
        </r>
      </text>
    </comment>
    <comment ref="AD791" authorId="1">
      <text>
        <r>
          <rPr>
            <b/>
            <sz val="9"/>
            <rFont val="宋体"/>
            <charset val="0"/>
          </rPr>
          <t>石玉珍:</t>
        </r>
        <r>
          <rPr>
            <sz val="9"/>
            <rFont val="宋体"/>
            <charset val="0"/>
          </rPr>
          <t xml:space="preserve">
6/15上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92" authorId="1">
      <text>
        <r>
          <rPr>
            <b/>
            <sz val="9"/>
            <rFont val="宋体"/>
            <charset val="0"/>
          </rPr>
          <t>石玉珍:</t>
        </r>
        <r>
          <rPr>
            <sz val="9"/>
            <rFont val="宋体"/>
            <charset val="0"/>
          </rPr>
          <t xml:space="preserve">
2201192 7/2 24 pcs 欣泰A6</t>
        </r>
      </text>
    </comment>
    <comment ref="AD792" authorId="1">
      <text>
        <r>
          <rPr>
            <b/>
            <sz val="9"/>
            <rFont val="宋体"/>
            <charset val="0"/>
          </rPr>
          <t>石玉珍:</t>
        </r>
        <r>
          <rPr>
            <sz val="9"/>
            <rFont val="宋体"/>
            <charset val="0"/>
          </rPr>
          <t xml:space="preserve">
6/15上 UPC贴纸 24 pcs</t>
        </r>
      </text>
    </comment>
    <comment ref="AB793" authorId="1">
      <text>
        <r>
          <rPr>
            <b/>
            <sz val="9"/>
            <rFont val="宋体"/>
            <charset val="0"/>
          </rPr>
          <t>石玉珍:</t>
        </r>
        <r>
          <rPr>
            <sz val="9"/>
            <rFont val="宋体"/>
            <charset val="0"/>
          </rPr>
          <t xml:space="preserve">
2201192 7/2 24 pcs 欣泰A6</t>
        </r>
      </text>
    </comment>
    <comment ref="AD793" authorId="1">
      <text>
        <r>
          <rPr>
            <b/>
            <sz val="9"/>
            <rFont val="宋体"/>
            <charset val="0"/>
          </rPr>
          <t>石玉珍:</t>
        </r>
        <r>
          <rPr>
            <sz val="9"/>
            <rFont val="宋体"/>
            <charset val="0"/>
          </rPr>
          <t xml:space="preserve">
6/15上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94" authorId="1">
      <text>
        <r>
          <rPr>
            <b/>
            <sz val="9"/>
            <rFont val="宋体"/>
            <charset val="0"/>
          </rPr>
          <t>石玉珍:</t>
        </r>
        <r>
          <rPr>
            <sz val="9"/>
            <rFont val="宋体"/>
            <charset val="0"/>
          </rPr>
          <t xml:space="preserve">
2201192 7/2 24 pcs 欣泰A6</t>
        </r>
      </text>
    </comment>
    <comment ref="AD794" authorId="1">
      <text>
        <r>
          <rPr>
            <b/>
            <sz val="9"/>
            <rFont val="宋体"/>
            <charset val="0"/>
          </rPr>
          <t>石玉珍:</t>
        </r>
        <r>
          <rPr>
            <sz val="9"/>
            <rFont val="宋体"/>
            <charset val="0"/>
          </rPr>
          <t xml:space="preserve">
6/15上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95" authorId="1">
      <text>
        <r>
          <rPr>
            <b/>
            <sz val="9"/>
            <rFont val="宋体"/>
            <charset val="0"/>
          </rPr>
          <t>石玉珍:</t>
        </r>
        <r>
          <rPr>
            <sz val="9"/>
            <rFont val="宋体"/>
            <charset val="0"/>
          </rPr>
          <t xml:space="preserve">
2201192 7/2 24 pcs 欣泰A6</t>
        </r>
      </text>
    </comment>
    <comment ref="AD795" authorId="1">
      <text>
        <r>
          <rPr>
            <b/>
            <sz val="9"/>
            <rFont val="宋体"/>
            <charset val="0"/>
          </rPr>
          <t>石玉珍:</t>
        </r>
        <r>
          <rPr>
            <sz val="9"/>
            <rFont val="宋体"/>
            <charset val="0"/>
          </rPr>
          <t xml:space="preserve">
6/15上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96" authorId="1">
      <text>
        <r>
          <rPr>
            <b/>
            <sz val="9"/>
            <rFont val="宋体"/>
            <charset val="0"/>
          </rPr>
          <t>石玉珍:</t>
        </r>
        <r>
          <rPr>
            <sz val="9"/>
            <rFont val="宋体"/>
            <charset val="0"/>
          </rPr>
          <t xml:space="preserve">
2201192 7/2 24 pcs 欣泰A6</t>
        </r>
      </text>
    </comment>
    <comment ref="AD796" authorId="1">
      <text>
        <r>
          <rPr>
            <b/>
            <sz val="9"/>
            <rFont val="宋体"/>
            <charset val="0"/>
          </rPr>
          <t>石玉珍:</t>
        </r>
        <r>
          <rPr>
            <sz val="9"/>
            <rFont val="宋体"/>
            <charset val="0"/>
          </rPr>
          <t xml:space="preserve">
6/15上 UPC贴纸 24 pcs</t>
        </r>
        <r>
          <rPr>
            <b/>
            <sz val="9"/>
            <rFont val="宋体"/>
            <charset val="0"/>
          </rPr>
          <t xml:space="preserve">
石玉珍:</t>
        </r>
        <r>
          <rPr>
            <sz val="9"/>
            <rFont val="宋体"/>
            <charset val="0"/>
          </rPr>
          <t xml:space="preserve">
6/25号收到通知亚马逊后续订单东莞贴
6/24 客供亚马逊外箱贴纸 1 pcs</t>
        </r>
      </text>
    </comment>
    <comment ref="AB797" authorId="1">
      <text>
        <r>
          <rPr>
            <b/>
            <sz val="9"/>
            <rFont val="宋体"/>
            <charset val="0"/>
          </rPr>
          <t>石玉珍:</t>
        </r>
        <r>
          <rPr>
            <sz val="9"/>
            <rFont val="宋体"/>
            <charset val="0"/>
          </rPr>
          <t xml:space="preserve">
2201284 7/9 726 pcs 欣泰B3</t>
        </r>
      </text>
    </comment>
    <comment ref="AD797" authorId="1">
      <text>
        <r>
          <rPr>
            <b/>
            <sz val="9"/>
            <rFont val="宋体"/>
            <charset val="0"/>
          </rPr>
          <t>石玉珍:</t>
        </r>
        <r>
          <rPr>
            <sz val="9"/>
            <rFont val="宋体"/>
            <charset val="0"/>
          </rPr>
          <t xml:space="preserve">
6/26上 UPC贴纸 726 pcs</t>
        </r>
      </text>
    </comment>
    <comment ref="AB798" authorId="1">
      <text>
        <r>
          <rPr>
            <b/>
            <sz val="9"/>
            <rFont val="宋体"/>
            <charset val="0"/>
          </rPr>
          <t>石玉珍:</t>
        </r>
        <r>
          <rPr>
            <sz val="9"/>
            <rFont val="宋体"/>
            <charset val="0"/>
          </rPr>
          <t xml:space="preserve">
2201286 7/10 220 pcs 应兴A6</t>
        </r>
      </text>
    </comment>
    <comment ref="AD798" authorId="1">
      <text>
        <r>
          <rPr>
            <b/>
            <sz val="9"/>
            <rFont val="宋体"/>
            <charset val="0"/>
          </rPr>
          <t>石玉珍:</t>
        </r>
        <r>
          <rPr>
            <sz val="9"/>
            <rFont val="宋体"/>
            <charset val="0"/>
          </rPr>
          <t xml:space="preserve">
6/22上 客供价格贴纸 310 pcs</t>
        </r>
        <r>
          <rPr>
            <b/>
            <sz val="9"/>
            <rFont val="宋体"/>
            <charset val="0"/>
          </rPr>
          <t xml:space="preserve">
石玉珍:</t>
        </r>
        <r>
          <rPr>
            <sz val="9"/>
            <rFont val="宋体"/>
            <charset val="0"/>
          </rPr>
          <t xml:space="preserve">
6/29 保证书220 pcs
包装贴纸 220 pcs
说明书贴纸 220 pcs</t>
        </r>
      </text>
    </comment>
    <comment ref="AB799" authorId="1">
      <text>
        <r>
          <rPr>
            <b/>
            <sz val="9"/>
            <rFont val="宋体"/>
            <charset val="0"/>
          </rPr>
          <t>石玉珍:</t>
        </r>
        <r>
          <rPr>
            <sz val="9"/>
            <rFont val="宋体"/>
            <charset val="0"/>
          </rPr>
          <t xml:space="preserve">
1001906 7/16 330 pcs 欣泰B3</t>
        </r>
      </text>
    </comment>
    <comment ref="AD799" authorId="1">
      <text>
        <r>
          <rPr>
            <b/>
            <sz val="9"/>
            <rFont val="宋体"/>
            <charset val="0"/>
          </rPr>
          <t>石玉珍:</t>
        </r>
        <r>
          <rPr>
            <sz val="9"/>
            <rFont val="宋体"/>
            <charset val="0"/>
          </rPr>
          <t xml:space="preserve">
7/1 UPC贴纸 330 pcs 
 进口商贴纸 330 pcs</t>
        </r>
      </text>
    </comment>
    <comment ref="AB800" authorId="1">
      <text>
        <r>
          <rPr>
            <b/>
            <sz val="9"/>
            <rFont val="宋体"/>
            <charset val="0"/>
          </rPr>
          <t>石玉珍:</t>
        </r>
        <r>
          <rPr>
            <sz val="9"/>
            <rFont val="宋体"/>
            <charset val="0"/>
          </rPr>
          <t xml:space="preserve">
1001906 7/16 480 pcs 仓库没找到货</t>
        </r>
      </text>
    </comment>
    <comment ref="AD800" authorId="1">
      <text>
        <r>
          <rPr>
            <b/>
            <sz val="9"/>
            <rFont val="宋体"/>
            <charset val="0"/>
          </rPr>
          <t>石玉珍:</t>
        </r>
        <r>
          <rPr>
            <sz val="9"/>
            <rFont val="宋体"/>
            <charset val="0"/>
          </rPr>
          <t xml:space="preserve">
6/10上 客供价格贴纸 504 pcs</t>
        </r>
      </text>
    </comment>
    <comment ref="AB801" authorId="1">
      <text>
        <r>
          <rPr>
            <b/>
            <sz val="9"/>
            <rFont val="宋体"/>
            <charset val="0"/>
          </rPr>
          <t>石玉珍:</t>
        </r>
        <r>
          <rPr>
            <sz val="9"/>
            <rFont val="宋体"/>
            <charset val="0"/>
          </rPr>
          <t xml:space="preserve">
2200140 7/13 24 pcs 钜顺A4</t>
        </r>
      </text>
    </comment>
    <comment ref="AD801" authorId="1">
      <text>
        <r>
          <rPr>
            <b/>
            <sz val="9"/>
            <rFont val="宋体"/>
            <charset val="0"/>
          </rPr>
          <t>石玉珍:</t>
        </r>
        <r>
          <rPr>
            <sz val="9"/>
            <rFont val="宋体"/>
            <charset val="0"/>
          </rPr>
          <t xml:space="preserve">
7/1 客供亚马逊外箱贴纸 1 pcs</t>
        </r>
        <r>
          <rPr>
            <b/>
            <sz val="9"/>
            <rFont val="宋体"/>
            <charset val="0"/>
          </rPr>
          <t xml:space="preserve">
石玉珍:</t>
        </r>
        <r>
          <rPr>
            <sz val="9"/>
            <rFont val="宋体"/>
            <charset val="0"/>
          </rPr>
          <t xml:space="preserve">
7/7上 UPC贴纸 24 pcs</t>
        </r>
      </text>
    </comment>
    <comment ref="AB802" authorId="1">
      <text>
        <r>
          <rPr>
            <b/>
            <sz val="9"/>
            <rFont val="宋体"/>
            <charset val="0"/>
          </rPr>
          <t>石玉珍:</t>
        </r>
        <r>
          <rPr>
            <sz val="9"/>
            <rFont val="宋体"/>
            <charset val="0"/>
          </rPr>
          <t xml:space="preserve">
2200140 7/13 24 pcs 钜顺A4</t>
        </r>
      </text>
    </comment>
    <comment ref="AD802" authorId="1">
      <text>
        <r>
          <rPr>
            <b/>
            <sz val="9"/>
            <rFont val="宋体"/>
            <charset val="0"/>
          </rPr>
          <t>石玉珍:</t>
        </r>
        <r>
          <rPr>
            <sz val="9"/>
            <rFont val="宋体"/>
            <charset val="0"/>
          </rPr>
          <t xml:space="preserve">
7/1 客供亚马逊外箱贴纸 1 pcs</t>
        </r>
        <r>
          <rPr>
            <b/>
            <sz val="9"/>
            <rFont val="宋体"/>
            <charset val="0"/>
          </rPr>
          <t xml:space="preserve">
石玉珍:</t>
        </r>
        <r>
          <rPr>
            <sz val="9"/>
            <rFont val="宋体"/>
            <charset val="0"/>
          </rPr>
          <t xml:space="preserve">
7/7上 UPC贴纸 24 pcs</t>
        </r>
      </text>
    </comment>
    <comment ref="AB803" authorId="1">
      <text>
        <r>
          <rPr>
            <b/>
            <sz val="9"/>
            <rFont val="宋体"/>
            <charset val="0"/>
          </rPr>
          <t>石玉珍:</t>
        </r>
        <r>
          <rPr>
            <sz val="9"/>
            <rFont val="宋体"/>
            <charset val="0"/>
          </rPr>
          <t xml:space="preserve">
2200140 7/13 24 pcs 钜顺A4</t>
        </r>
      </text>
    </comment>
    <comment ref="AD803" authorId="1">
      <text>
        <r>
          <rPr>
            <b/>
            <sz val="9"/>
            <rFont val="宋体"/>
            <charset val="0"/>
          </rPr>
          <t>石玉珍:</t>
        </r>
        <r>
          <rPr>
            <sz val="9"/>
            <rFont val="宋体"/>
            <charset val="0"/>
          </rPr>
          <t xml:space="preserve">
7/1 客供亚马逊外箱贴纸 1 pcs</t>
        </r>
        <r>
          <rPr>
            <b/>
            <sz val="9"/>
            <rFont val="宋体"/>
            <charset val="0"/>
          </rPr>
          <t xml:space="preserve">
石玉珍:</t>
        </r>
        <r>
          <rPr>
            <sz val="9"/>
            <rFont val="宋体"/>
            <charset val="0"/>
          </rPr>
          <t xml:space="preserve">
7/7上 UPC贴纸 24 pcs</t>
        </r>
      </text>
    </comment>
    <comment ref="AB804" authorId="1">
      <text>
        <r>
          <rPr>
            <b/>
            <sz val="9"/>
            <rFont val="宋体"/>
            <charset val="0"/>
          </rPr>
          <t>石玉珍:</t>
        </r>
        <r>
          <rPr>
            <sz val="9"/>
            <rFont val="宋体"/>
            <charset val="0"/>
          </rPr>
          <t xml:space="preserve">
2200140 7/13 24 pcs 钜顺A4</t>
        </r>
      </text>
    </comment>
    <comment ref="AD804" authorId="1">
      <text>
        <r>
          <rPr>
            <b/>
            <sz val="9"/>
            <rFont val="宋体"/>
            <charset val="0"/>
          </rPr>
          <t>石玉珍:</t>
        </r>
        <r>
          <rPr>
            <sz val="9"/>
            <rFont val="宋体"/>
            <charset val="0"/>
          </rPr>
          <t xml:space="preserve">
7/1 客供亚马逊外箱贴纸 1 pcs</t>
        </r>
        <r>
          <rPr>
            <b/>
            <sz val="9"/>
            <rFont val="宋体"/>
            <charset val="0"/>
          </rPr>
          <t xml:space="preserve">
石玉珍:</t>
        </r>
        <r>
          <rPr>
            <sz val="9"/>
            <rFont val="宋体"/>
            <charset val="0"/>
          </rPr>
          <t xml:space="preserve">
7/7上 UPC贴纸 24 pcs</t>
        </r>
      </text>
    </comment>
    <comment ref="AB805" authorId="1">
      <text>
        <r>
          <rPr>
            <b/>
            <sz val="9"/>
            <rFont val="宋体"/>
            <charset val="0"/>
          </rPr>
          <t>石玉珍:</t>
        </r>
        <r>
          <rPr>
            <sz val="9"/>
            <rFont val="宋体"/>
            <charset val="0"/>
          </rPr>
          <t xml:space="preserve">
2200140 7/13 24 pcs 钜顺A4</t>
        </r>
      </text>
    </comment>
    <comment ref="AD805" authorId="1">
      <text>
        <r>
          <rPr>
            <b/>
            <sz val="9"/>
            <rFont val="宋体"/>
            <charset val="0"/>
          </rPr>
          <t>石玉珍:</t>
        </r>
        <r>
          <rPr>
            <sz val="9"/>
            <rFont val="宋体"/>
            <charset val="0"/>
          </rPr>
          <t xml:space="preserve">
7/1 客供亚马逊外箱贴纸 1 pcs</t>
        </r>
        <r>
          <rPr>
            <b/>
            <sz val="9"/>
            <rFont val="宋体"/>
            <charset val="0"/>
          </rPr>
          <t xml:space="preserve">
石玉珍:</t>
        </r>
        <r>
          <rPr>
            <sz val="9"/>
            <rFont val="宋体"/>
            <charset val="0"/>
          </rPr>
          <t xml:space="preserve">
7/7上 UPC贴纸 24 pcs</t>
        </r>
      </text>
    </comment>
    <comment ref="AB806" authorId="1">
      <text>
        <r>
          <rPr>
            <b/>
            <sz val="9"/>
            <rFont val="宋体"/>
            <charset val="0"/>
          </rPr>
          <t>石玉珍:</t>
        </r>
        <r>
          <rPr>
            <sz val="9"/>
            <rFont val="宋体"/>
            <charset val="0"/>
          </rPr>
          <t xml:space="preserve">
2200140 7/13 24 pcs 钜顺A4</t>
        </r>
      </text>
    </comment>
    <comment ref="AD806" authorId="1">
      <text>
        <r>
          <rPr>
            <b/>
            <sz val="9"/>
            <rFont val="宋体"/>
            <charset val="0"/>
          </rPr>
          <t>石玉珍:</t>
        </r>
        <r>
          <rPr>
            <sz val="9"/>
            <rFont val="宋体"/>
            <charset val="0"/>
          </rPr>
          <t xml:space="preserve">
7/1 客供亚马逊外箱贴纸 1 pcs</t>
        </r>
        <r>
          <rPr>
            <b/>
            <sz val="9"/>
            <rFont val="宋体"/>
            <charset val="0"/>
          </rPr>
          <t xml:space="preserve">
石玉珍:</t>
        </r>
        <r>
          <rPr>
            <sz val="9"/>
            <rFont val="宋体"/>
            <charset val="0"/>
          </rPr>
          <t xml:space="preserve">
7/7上 UPC贴纸 24 pcs</t>
        </r>
      </text>
    </comment>
    <comment ref="AB807" authorId="1">
      <text>
        <r>
          <rPr>
            <b/>
            <sz val="9"/>
            <rFont val="宋体"/>
            <charset val="0"/>
          </rPr>
          <t>石玉珍:</t>
        </r>
        <r>
          <rPr>
            <sz val="9"/>
            <rFont val="宋体"/>
            <charset val="0"/>
          </rPr>
          <t xml:space="preserve">
2200140 7/13 24 pcs 钜顺A4</t>
        </r>
      </text>
    </comment>
    <comment ref="AD807" authorId="1">
      <text>
        <r>
          <rPr>
            <b/>
            <sz val="9"/>
            <rFont val="宋体"/>
            <charset val="0"/>
          </rPr>
          <t>石玉珍:</t>
        </r>
        <r>
          <rPr>
            <sz val="9"/>
            <rFont val="宋体"/>
            <charset val="0"/>
          </rPr>
          <t xml:space="preserve">
7/1 客供亚马逊外箱贴纸 1 pcs</t>
        </r>
        <r>
          <rPr>
            <b/>
            <sz val="9"/>
            <rFont val="宋体"/>
            <charset val="0"/>
          </rPr>
          <t xml:space="preserve">
石玉珍:</t>
        </r>
        <r>
          <rPr>
            <sz val="9"/>
            <rFont val="宋体"/>
            <charset val="0"/>
          </rPr>
          <t xml:space="preserve">
7/7上 UPC贴纸 24 pcs</t>
        </r>
      </text>
    </comment>
    <comment ref="AB808" authorId="1">
      <text>
        <r>
          <rPr>
            <b/>
            <sz val="9"/>
            <rFont val="宋体"/>
            <charset val="0"/>
          </rPr>
          <t>石玉珍:</t>
        </r>
        <r>
          <rPr>
            <sz val="9"/>
            <rFont val="宋体"/>
            <charset val="0"/>
          </rPr>
          <t xml:space="preserve">
1001906 7/16 4512 pcs 欣泰B4</t>
        </r>
      </text>
    </comment>
    <comment ref="AD808" authorId="1">
      <text>
        <r>
          <rPr>
            <b/>
            <sz val="9"/>
            <rFont val="宋体"/>
            <charset val="0"/>
          </rPr>
          <t>石玉珍:</t>
        </r>
        <r>
          <rPr>
            <sz val="9"/>
            <rFont val="宋体"/>
            <charset val="0"/>
          </rPr>
          <t xml:space="preserve">
7/6 客人白色Cat.label 4512 pcs</t>
        </r>
      </text>
    </comment>
    <comment ref="AB809" authorId="1">
      <text>
        <r>
          <rPr>
            <b/>
            <sz val="9"/>
            <rFont val="宋体"/>
            <charset val="0"/>
          </rPr>
          <t>石玉珍:</t>
        </r>
        <r>
          <rPr>
            <sz val="9"/>
            <rFont val="宋体"/>
            <charset val="0"/>
          </rPr>
          <t xml:space="preserve">
1001906 7/16 660 pcs 欣泰C3</t>
        </r>
      </text>
    </comment>
    <comment ref="AB810" authorId="1">
      <text>
        <r>
          <rPr>
            <b/>
            <sz val="9"/>
            <rFont val="宋体"/>
            <charset val="0"/>
          </rPr>
          <t>石玉珍:</t>
        </r>
        <r>
          <rPr>
            <sz val="9"/>
            <rFont val="宋体"/>
            <charset val="0"/>
          </rPr>
          <t xml:space="preserve">
1001906 7/16 1199 pcs 欣泰B1</t>
        </r>
      </text>
    </comment>
    <comment ref="AD810" authorId="1">
      <text>
        <r>
          <rPr>
            <b/>
            <sz val="9"/>
            <rFont val="宋体"/>
            <charset val="0"/>
          </rPr>
          <t>石玉珍:</t>
        </r>
        <r>
          <rPr>
            <sz val="9"/>
            <rFont val="宋体"/>
            <charset val="0"/>
          </rPr>
          <t xml:space="preserve">
7/10 进口商贴纸 1199 pcs</t>
        </r>
      </text>
    </comment>
    <comment ref="AB811" authorId="1">
      <text>
        <r>
          <rPr>
            <b/>
            <sz val="9"/>
            <rFont val="宋体"/>
            <charset val="0"/>
          </rPr>
          <t>石玉珍:</t>
        </r>
        <r>
          <rPr>
            <sz val="9"/>
            <rFont val="宋体"/>
            <charset val="0"/>
          </rPr>
          <t xml:space="preserve">
1001906 7/16 550 pcs 欣泰C3</t>
        </r>
      </text>
    </comment>
    <comment ref="AB812" authorId="1">
      <text>
        <r>
          <rPr>
            <b/>
            <sz val="9"/>
            <rFont val="宋体"/>
            <charset val="0"/>
          </rPr>
          <t>石玉珍:</t>
        </r>
        <r>
          <rPr>
            <sz val="9"/>
            <rFont val="宋体"/>
            <charset val="0"/>
          </rPr>
          <t xml:space="preserve">
1001733 7/21 440 pcs 钜顺C1</t>
        </r>
      </text>
    </comment>
    <comment ref="AD812" authorId="1">
      <text>
        <r>
          <rPr>
            <b/>
            <sz val="9"/>
            <rFont val="宋体"/>
            <charset val="0"/>
          </rPr>
          <t>石玉珍:</t>
        </r>
        <r>
          <rPr>
            <sz val="9"/>
            <rFont val="宋体"/>
            <charset val="0"/>
          </rPr>
          <t xml:space="preserve">
7/8上 德语callout/荷兰语警示语贴 440 pcs
产品贴纸地址贴纸 440 pcs</t>
        </r>
      </text>
    </comment>
    <comment ref="AB813" authorId="1">
      <text>
        <r>
          <rPr>
            <b/>
            <sz val="9"/>
            <rFont val="宋体"/>
            <charset val="0"/>
          </rPr>
          <t>石玉珍:</t>
        </r>
        <r>
          <rPr>
            <sz val="9"/>
            <rFont val="宋体"/>
            <charset val="0"/>
          </rPr>
          <t xml:space="preserve">
1001733 7/21 374 pcs 钜顺C4</t>
        </r>
      </text>
    </comment>
    <comment ref="AD813" authorId="1">
      <text>
        <r>
          <rPr>
            <b/>
            <sz val="9"/>
            <rFont val="宋体"/>
            <charset val="0"/>
          </rPr>
          <t>石玉珍:</t>
        </r>
        <r>
          <rPr>
            <sz val="9"/>
            <rFont val="宋体"/>
            <charset val="0"/>
          </rPr>
          <t xml:space="preserve">
7/8上 德语callout/荷兰语警示语贴 374 pcs
产品贴纸地址贴纸 374 pcs</t>
        </r>
      </text>
    </comment>
    <comment ref="AB814" authorId="1">
      <text>
        <r>
          <rPr>
            <b/>
            <sz val="9"/>
            <rFont val="宋体"/>
            <charset val="0"/>
          </rPr>
          <t>石玉珍:</t>
        </r>
        <r>
          <rPr>
            <sz val="9"/>
            <rFont val="宋体"/>
            <charset val="0"/>
          </rPr>
          <t xml:space="preserve">
1001933 7/14 312 pcs 欣泰C6</t>
        </r>
      </text>
    </comment>
    <comment ref="AD814" authorId="1">
      <text>
        <r>
          <rPr>
            <b/>
            <sz val="9"/>
            <rFont val="宋体"/>
            <charset val="0"/>
          </rPr>
          <t>石玉珍:</t>
        </r>
        <r>
          <rPr>
            <sz val="9"/>
            <rFont val="宋体"/>
            <charset val="0"/>
          </rPr>
          <t xml:space="preserve">
7/9 UPC贴纸 312 pcs</t>
        </r>
        <r>
          <rPr>
            <b/>
            <sz val="9"/>
            <rFont val="宋体"/>
            <charset val="0"/>
          </rPr>
          <t xml:space="preserve">
石玉珍:</t>
        </r>
        <r>
          <rPr>
            <sz val="9"/>
            <rFont val="宋体"/>
            <charset val="0"/>
          </rPr>
          <t xml:space="preserve">
7/10 客供亚马逊外箱贴纸 13 pcs</t>
        </r>
      </text>
    </comment>
    <comment ref="AB815" authorId="1">
      <text>
        <r>
          <rPr>
            <b/>
            <sz val="9"/>
            <rFont val="宋体"/>
            <charset val="0"/>
          </rPr>
          <t>石玉珍:</t>
        </r>
        <r>
          <rPr>
            <sz val="9"/>
            <rFont val="宋体"/>
            <charset val="0"/>
          </rPr>
          <t xml:space="preserve">
1001933 7/14 48 pcs 欣泰C6</t>
        </r>
      </text>
    </comment>
    <comment ref="AD815" authorId="1">
      <text>
        <r>
          <rPr>
            <b/>
            <sz val="9"/>
            <rFont val="宋体"/>
            <charset val="0"/>
          </rPr>
          <t>石玉珍:</t>
        </r>
        <r>
          <rPr>
            <sz val="9"/>
            <rFont val="宋体"/>
            <charset val="0"/>
          </rPr>
          <t xml:space="preserve">
7/9 UPC贴纸 48 pcs</t>
        </r>
        <r>
          <rPr>
            <b/>
            <sz val="9"/>
            <rFont val="宋体"/>
            <charset val="0"/>
          </rPr>
          <t xml:space="preserve">
石玉珍:</t>
        </r>
        <r>
          <rPr>
            <sz val="9"/>
            <rFont val="宋体"/>
            <charset val="0"/>
          </rPr>
          <t xml:space="preserve">
7/10 客供亚马逊外箱贴纸 2 pcs</t>
        </r>
      </text>
    </comment>
    <comment ref="AB816" authorId="1">
      <text>
        <r>
          <rPr>
            <b/>
            <sz val="9"/>
            <rFont val="宋体"/>
            <charset val="0"/>
          </rPr>
          <t>石玉珍:</t>
        </r>
        <r>
          <rPr>
            <sz val="9"/>
            <rFont val="宋体"/>
            <charset val="0"/>
          </rPr>
          <t xml:space="preserve">
1001933 7/14 24 pcs 欣泰C6</t>
        </r>
      </text>
    </comment>
    <comment ref="AD816"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17" authorId="1">
      <text>
        <r>
          <rPr>
            <b/>
            <sz val="9"/>
            <rFont val="宋体"/>
            <charset val="0"/>
          </rPr>
          <t>石玉珍:</t>
        </r>
        <r>
          <rPr>
            <sz val="9"/>
            <rFont val="宋体"/>
            <charset val="0"/>
          </rPr>
          <t xml:space="preserve">
1001933 7/14 24 pcs 欣泰C6</t>
        </r>
      </text>
    </comment>
    <comment ref="AD817"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18" authorId="1">
      <text>
        <r>
          <rPr>
            <b/>
            <sz val="9"/>
            <rFont val="宋体"/>
            <charset val="0"/>
          </rPr>
          <t>石玉珍:</t>
        </r>
        <r>
          <rPr>
            <sz val="9"/>
            <rFont val="宋体"/>
            <charset val="0"/>
          </rPr>
          <t xml:space="preserve">
1001933 7/14 120 pcs 欣泰C6</t>
        </r>
      </text>
    </comment>
    <comment ref="AD818" authorId="1">
      <text>
        <r>
          <rPr>
            <b/>
            <sz val="9"/>
            <rFont val="宋体"/>
            <charset val="0"/>
          </rPr>
          <t>石玉珍:</t>
        </r>
        <r>
          <rPr>
            <sz val="9"/>
            <rFont val="宋体"/>
            <charset val="0"/>
          </rPr>
          <t xml:space="preserve">
7/9 UPC贴纸 120 pcs</t>
        </r>
        <r>
          <rPr>
            <b/>
            <sz val="9"/>
            <rFont val="宋体"/>
            <charset val="0"/>
          </rPr>
          <t xml:space="preserve">
石玉珍:</t>
        </r>
        <r>
          <rPr>
            <sz val="9"/>
            <rFont val="宋体"/>
            <charset val="0"/>
          </rPr>
          <t xml:space="preserve">
7/10 客供亚马逊外箱贴纸 5 pcs</t>
        </r>
      </text>
    </comment>
    <comment ref="AB819" authorId="1">
      <text>
        <r>
          <rPr>
            <b/>
            <sz val="9"/>
            <rFont val="宋体"/>
            <charset val="0"/>
          </rPr>
          <t>石玉珍:</t>
        </r>
        <r>
          <rPr>
            <sz val="9"/>
            <rFont val="宋体"/>
            <charset val="0"/>
          </rPr>
          <t xml:space="preserve">
1001933 7/14 48 pcs 欣泰C6</t>
        </r>
      </text>
    </comment>
    <comment ref="AD819" authorId="1">
      <text>
        <r>
          <rPr>
            <b/>
            <sz val="9"/>
            <rFont val="宋体"/>
            <charset val="0"/>
          </rPr>
          <t>石玉珍:</t>
        </r>
        <r>
          <rPr>
            <sz val="9"/>
            <rFont val="宋体"/>
            <charset val="0"/>
          </rPr>
          <t xml:space="preserve">
7/9 UPC贴纸 48 pcs</t>
        </r>
        <r>
          <rPr>
            <b/>
            <sz val="9"/>
            <rFont val="宋体"/>
            <charset val="0"/>
          </rPr>
          <t xml:space="preserve">
石玉珍:</t>
        </r>
        <r>
          <rPr>
            <sz val="9"/>
            <rFont val="宋体"/>
            <charset val="0"/>
          </rPr>
          <t xml:space="preserve">
7/10 客供亚马逊外箱贴纸 2 pcs</t>
        </r>
      </text>
    </comment>
    <comment ref="AB820" authorId="1">
      <text>
        <r>
          <rPr>
            <b/>
            <sz val="9"/>
            <rFont val="宋体"/>
            <charset val="0"/>
          </rPr>
          <t>石玉珍:</t>
        </r>
        <r>
          <rPr>
            <sz val="9"/>
            <rFont val="宋体"/>
            <charset val="0"/>
          </rPr>
          <t xml:space="preserve">
1001933 7/14 48 pcs 欣泰C6</t>
        </r>
      </text>
    </comment>
    <comment ref="AD820" authorId="1">
      <text>
        <r>
          <rPr>
            <b/>
            <sz val="9"/>
            <rFont val="宋体"/>
            <charset val="0"/>
          </rPr>
          <t>石玉珍:</t>
        </r>
        <r>
          <rPr>
            <sz val="9"/>
            <rFont val="宋体"/>
            <charset val="0"/>
          </rPr>
          <t xml:space="preserve">
7/9 UPC贴纸 48 pcs</t>
        </r>
        <r>
          <rPr>
            <b/>
            <sz val="9"/>
            <rFont val="宋体"/>
            <charset val="0"/>
          </rPr>
          <t xml:space="preserve">
石玉珍:</t>
        </r>
        <r>
          <rPr>
            <sz val="9"/>
            <rFont val="宋体"/>
            <charset val="0"/>
          </rPr>
          <t xml:space="preserve">
7/10 客供亚马逊外箱贴纸 2 pcs</t>
        </r>
      </text>
    </comment>
    <comment ref="AB821" authorId="1">
      <text>
        <r>
          <rPr>
            <b/>
            <sz val="9"/>
            <rFont val="宋体"/>
            <charset val="0"/>
          </rPr>
          <t>石玉珍:</t>
        </r>
        <r>
          <rPr>
            <sz val="9"/>
            <rFont val="宋体"/>
            <charset val="0"/>
          </rPr>
          <t xml:space="preserve">
1001933 7/14 24 pcs 欣泰C6</t>
        </r>
      </text>
    </comment>
    <comment ref="AD821"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22" authorId="1">
      <text>
        <r>
          <rPr>
            <b/>
            <sz val="9"/>
            <rFont val="宋体"/>
            <charset val="0"/>
          </rPr>
          <t>石玉珍:</t>
        </r>
        <r>
          <rPr>
            <sz val="9"/>
            <rFont val="宋体"/>
            <charset val="0"/>
          </rPr>
          <t xml:space="preserve">
1001933 7/14 48 pcs 欣泰C6</t>
        </r>
      </text>
    </comment>
    <comment ref="AD822" authorId="1">
      <text>
        <r>
          <rPr>
            <b/>
            <sz val="9"/>
            <rFont val="宋体"/>
            <charset val="0"/>
          </rPr>
          <t>石玉珍:</t>
        </r>
        <r>
          <rPr>
            <sz val="9"/>
            <rFont val="宋体"/>
            <charset val="0"/>
          </rPr>
          <t xml:space="preserve">
7/9 UPC贴纸 48 pcs</t>
        </r>
        <r>
          <rPr>
            <b/>
            <sz val="9"/>
            <rFont val="宋体"/>
            <charset val="0"/>
          </rPr>
          <t xml:space="preserve">
石玉珍:</t>
        </r>
        <r>
          <rPr>
            <sz val="9"/>
            <rFont val="宋体"/>
            <charset val="0"/>
          </rPr>
          <t xml:space="preserve">
7/10 客供亚马逊外箱贴纸 2 pcs</t>
        </r>
      </text>
    </comment>
    <comment ref="AB823" authorId="1">
      <text>
        <r>
          <rPr>
            <b/>
            <sz val="9"/>
            <rFont val="宋体"/>
            <charset val="0"/>
          </rPr>
          <t>石玉珍:</t>
        </r>
        <r>
          <rPr>
            <sz val="9"/>
            <rFont val="宋体"/>
            <charset val="0"/>
          </rPr>
          <t xml:space="preserve">
1001935 7/14 24 pcs 欣泰C6</t>
        </r>
      </text>
    </comment>
    <comment ref="AD823"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24" authorId="1">
      <text>
        <r>
          <rPr>
            <b/>
            <sz val="9"/>
            <rFont val="宋体"/>
            <charset val="0"/>
          </rPr>
          <t>石玉珍:</t>
        </r>
        <r>
          <rPr>
            <sz val="9"/>
            <rFont val="宋体"/>
            <charset val="0"/>
          </rPr>
          <t xml:space="preserve">
1001935 7/14 72 pcs 欣泰C6</t>
        </r>
      </text>
    </comment>
    <comment ref="AD824" authorId="1">
      <text>
        <r>
          <rPr>
            <b/>
            <sz val="9"/>
            <rFont val="宋体"/>
            <charset val="0"/>
          </rPr>
          <t>石玉珍:</t>
        </r>
        <r>
          <rPr>
            <sz val="9"/>
            <rFont val="宋体"/>
            <charset val="0"/>
          </rPr>
          <t xml:space="preserve">
7/9 UPC贴纸 72 pcs</t>
        </r>
        <r>
          <rPr>
            <b/>
            <sz val="9"/>
            <rFont val="宋体"/>
            <charset val="0"/>
          </rPr>
          <t xml:space="preserve">
石玉珍:</t>
        </r>
        <r>
          <rPr>
            <sz val="9"/>
            <rFont val="宋体"/>
            <charset val="0"/>
          </rPr>
          <t xml:space="preserve">
7/10 客供亚马逊外箱贴纸 3 pcs</t>
        </r>
      </text>
    </comment>
    <comment ref="AB825" authorId="1">
      <text>
        <r>
          <rPr>
            <b/>
            <sz val="9"/>
            <rFont val="宋体"/>
            <charset val="0"/>
          </rPr>
          <t>石玉珍:</t>
        </r>
        <r>
          <rPr>
            <sz val="9"/>
            <rFont val="宋体"/>
            <charset val="0"/>
          </rPr>
          <t xml:space="preserve">
1001935 7/14 24 pcs 欣泰C6</t>
        </r>
      </text>
    </comment>
    <comment ref="AD825"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26" authorId="1">
      <text>
        <r>
          <rPr>
            <b/>
            <sz val="9"/>
            <rFont val="宋体"/>
            <charset val="0"/>
          </rPr>
          <t>石玉珍:</t>
        </r>
        <r>
          <rPr>
            <sz val="9"/>
            <rFont val="宋体"/>
            <charset val="0"/>
          </rPr>
          <t xml:space="preserve">
1001935 7/14 24 pcs 欣泰C6</t>
        </r>
      </text>
    </comment>
    <comment ref="AD826"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27" authorId="1">
      <text>
        <r>
          <rPr>
            <b/>
            <sz val="9"/>
            <rFont val="宋体"/>
            <charset val="0"/>
          </rPr>
          <t>石玉珍:</t>
        </r>
        <r>
          <rPr>
            <sz val="9"/>
            <rFont val="宋体"/>
            <charset val="0"/>
          </rPr>
          <t xml:space="preserve">
1001935 7/14 48 pcs 欣泰C6</t>
        </r>
      </text>
    </comment>
    <comment ref="AD827" authorId="1">
      <text>
        <r>
          <rPr>
            <b/>
            <sz val="9"/>
            <rFont val="宋体"/>
            <charset val="0"/>
          </rPr>
          <t>石玉珍:</t>
        </r>
        <r>
          <rPr>
            <sz val="9"/>
            <rFont val="宋体"/>
            <charset val="0"/>
          </rPr>
          <t xml:space="preserve">
7/9 UPC贴纸 48 pcs</t>
        </r>
        <r>
          <rPr>
            <b/>
            <sz val="9"/>
            <rFont val="宋体"/>
            <charset val="0"/>
          </rPr>
          <t xml:space="preserve">
石玉珍:</t>
        </r>
        <r>
          <rPr>
            <sz val="9"/>
            <rFont val="宋体"/>
            <charset val="0"/>
          </rPr>
          <t xml:space="preserve">
7/10 客供亚马逊外箱贴纸 2 pcs</t>
        </r>
      </text>
    </comment>
    <comment ref="AB828" authorId="1">
      <text>
        <r>
          <rPr>
            <b/>
            <sz val="9"/>
            <rFont val="宋体"/>
            <charset val="0"/>
          </rPr>
          <t>石玉珍:</t>
        </r>
        <r>
          <rPr>
            <sz val="9"/>
            <rFont val="宋体"/>
            <charset val="0"/>
          </rPr>
          <t xml:space="preserve">
1001935 7/14 24 pcs 欣泰C6</t>
        </r>
      </text>
    </comment>
    <comment ref="AD828"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29" authorId="1">
      <text>
        <r>
          <rPr>
            <b/>
            <sz val="9"/>
            <rFont val="宋体"/>
            <charset val="0"/>
          </rPr>
          <t>石玉珍:</t>
        </r>
        <r>
          <rPr>
            <sz val="9"/>
            <rFont val="宋体"/>
            <charset val="0"/>
          </rPr>
          <t xml:space="preserve">
1001935 7/14 24 pcs 欣泰C6</t>
        </r>
      </text>
    </comment>
    <comment ref="AD829"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30" authorId="1">
      <text>
        <r>
          <rPr>
            <b/>
            <sz val="9"/>
            <rFont val="宋体"/>
            <charset val="0"/>
          </rPr>
          <t>石玉珍:</t>
        </r>
        <r>
          <rPr>
            <sz val="9"/>
            <rFont val="宋体"/>
            <charset val="0"/>
          </rPr>
          <t xml:space="preserve">
1001935 7/14 24 pcs 欣泰C6</t>
        </r>
      </text>
    </comment>
    <comment ref="AD830"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31" authorId="1">
      <text>
        <r>
          <rPr>
            <b/>
            <sz val="9"/>
            <rFont val="宋体"/>
            <charset val="0"/>
          </rPr>
          <t>石玉珍:</t>
        </r>
        <r>
          <rPr>
            <sz val="9"/>
            <rFont val="宋体"/>
            <charset val="0"/>
          </rPr>
          <t xml:space="preserve">
1001935 7/14 24 pcs 欣泰C6</t>
        </r>
      </text>
    </comment>
    <comment ref="AD831"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32" authorId="1">
      <text>
        <r>
          <rPr>
            <b/>
            <sz val="9"/>
            <rFont val="宋体"/>
            <charset val="0"/>
          </rPr>
          <t>石玉珍:</t>
        </r>
        <r>
          <rPr>
            <sz val="9"/>
            <rFont val="宋体"/>
            <charset val="0"/>
          </rPr>
          <t xml:space="preserve">
1001936 7/14 96 pcs 欣泰C6</t>
        </r>
      </text>
    </comment>
    <comment ref="AD832" authorId="1">
      <text>
        <r>
          <rPr>
            <b/>
            <sz val="9"/>
            <rFont val="宋体"/>
            <charset val="0"/>
          </rPr>
          <t>石玉珍:</t>
        </r>
        <r>
          <rPr>
            <sz val="9"/>
            <rFont val="宋体"/>
            <charset val="0"/>
          </rPr>
          <t xml:space="preserve">
7/9 UPC贴纸 96 pcs</t>
        </r>
        <r>
          <rPr>
            <b/>
            <sz val="9"/>
            <rFont val="宋体"/>
            <charset val="0"/>
          </rPr>
          <t xml:space="preserve">
石玉珍:</t>
        </r>
        <r>
          <rPr>
            <sz val="9"/>
            <rFont val="宋体"/>
            <charset val="0"/>
          </rPr>
          <t xml:space="preserve">
7/10 客供亚马逊外箱贴纸 4 pcs</t>
        </r>
      </text>
    </comment>
    <comment ref="AB833" authorId="1">
      <text>
        <r>
          <rPr>
            <b/>
            <sz val="9"/>
            <rFont val="宋体"/>
            <charset val="0"/>
          </rPr>
          <t>石玉珍:</t>
        </r>
        <r>
          <rPr>
            <sz val="9"/>
            <rFont val="宋体"/>
            <charset val="0"/>
          </rPr>
          <t xml:space="preserve">
1001936 7/14 24 pcs 欣泰C6</t>
        </r>
      </text>
    </comment>
    <comment ref="AD833"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34" authorId="1">
      <text>
        <r>
          <rPr>
            <b/>
            <sz val="9"/>
            <rFont val="宋体"/>
            <charset val="0"/>
          </rPr>
          <t>石玉珍:</t>
        </r>
        <r>
          <rPr>
            <sz val="9"/>
            <rFont val="宋体"/>
            <charset val="0"/>
          </rPr>
          <t xml:space="preserve">
1001936 7/14 48 pcs 欣泰C6</t>
        </r>
      </text>
    </comment>
    <comment ref="AD834" authorId="1">
      <text>
        <r>
          <rPr>
            <b/>
            <sz val="9"/>
            <rFont val="宋体"/>
            <charset val="0"/>
          </rPr>
          <t>石玉珍:</t>
        </r>
        <r>
          <rPr>
            <sz val="9"/>
            <rFont val="宋体"/>
            <charset val="0"/>
          </rPr>
          <t xml:space="preserve">
7/9 UPC贴纸 48 pcs</t>
        </r>
        <r>
          <rPr>
            <b/>
            <sz val="9"/>
            <rFont val="宋体"/>
            <charset val="0"/>
          </rPr>
          <t xml:space="preserve">
石玉珍:</t>
        </r>
        <r>
          <rPr>
            <sz val="9"/>
            <rFont val="宋体"/>
            <charset val="0"/>
          </rPr>
          <t xml:space="preserve">
7/10 客供亚马逊外箱贴纸 2 pcs</t>
        </r>
      </text>
    </comment>
    <comment ref="AB835" authorId="1">
      <text>
        <r>
          <rPr>
            <b/>
            <sz val="9"/>
            <rFont val="宋体"/>
            <charset val="0"/>
          </rPr>
          <t>石玉珍:</t>
        </r>
        <r>
          <rPr>
            <sz val="9"/>
            <rFont val="宋体"/>
            <charset val="0"/>
          </rPr>
          <t xml:space="preserve">
1001936 7/14 24 pcs 欣泰C6</t>
        </r>
      </text>
    </comment>
    <comment ref="AD835"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36" authorId="1">
      <text>
        <r>
          <rPr>
            <b/>
            <sz val="9"/>
            <rFont val="宋体"/>
            <charset val="0"/>
          </rPr>
          <t>石玉珍:</t>
        </r>
        <r>
          <rPr>
            <sz val="9"/>
            <rFont val="宋体"/>
            <charset val="0"/>
          </rPr>
          <t xml:space="preserve">
1001936 7/14 24 pcs 欣泰C6</t>
        </r>
      </text>
    </comment>
    <comment ref="AD836"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37" authorId="1">
      <text>
        <r>
          <rPr>
            <b/>
            <sz val="9"/>
            <rFont val="宋体"/>
            <charset val="0"/>
          </rPr>
          <t>石玉珍:</t>
        </r>
        <r>
          <rPr>
            <sz val="9"/>
            <rFont val="宋体"/>
            <charset val="0"/>
          </rPr>
          <t xml:space="preserve">
1001936 7/14 24 pcs 欣泰C6</t>
        </r>
      </text>
    </comment>
    <comment ref="AD837"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38" authorId="1">
      <text>
        <r>
          <rPr>
            <b/>
            <sz val="9"/>
            <rFont val="宋体"/>
            <charset val="0"/>
          </rPr>
          <t>石玉珍:</t>
        </r>
        <r>
          <rPr>
            <sz val="9"/>
            <rFont val="宋体"/>
            <charset val="0"/>
          </rPr>
          <t xml:space="preserve">
1001936 7/14 24 pcs 欣泰C6</t>
        </r>
      </text>
    </comment>
    <comment ref="AD838"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39" authorId="1">
      <text>
        <r>
          <rPr>
            <b/>
            <sz val="9"/>
            <rFont val="宋体"/>
            <charset val="0"/>
          </rPr>
          <t>石玉珍:</t>
        </r>
        <r>
          <rPr>
            <sz val="9"/>
            <rFont val="宋体"/>
            <charset val="0"/>
          </rPr>
          <t xml:space="preserve">
1001936 7/14 24 pcs 欣泰C6</t>
        </r>
      </text>
    </comment>
    <comment ref="AD839" authorId="1">
      <text>
        <r>
          <rPr>
            <b/>
            <sz val="9"/>
            <rFont val="宋体"/>
            <charset val="0"/>
          </rPr>
          <t>石玉珍:</t>
        </r>
        <r>
          <rPr>
            <sz val="9"/>
            <rFont val="宋体"/>
            <charset val="0"/>
          </rPr>
          <t xml:space="preserve">
7/9 UPC贴纸 24 pcs</t>
        </r>
        <r>
          <rPr>
            <b/>
            <sz val="9"/>
            <rFont val="宋体"/>
            <charset val="0"/>
          </rPr>
          <t xml:space="preserve">
石玉珍:</t>
        </r>
        <r>
          <rPr>
            <sz val="9"/>
            <rFont val="宋体"/>
            <charset val="0"/>
          </rPr>
          <t xml:space="preserve">
7/10 客供亚马逊外箱贴纸 1 pcs</t>
        </r>
      </text>
    </comment>
    <comment ref="AB840" authorId="1">
      <text>
        <r>
          <rPr>
            <b/>
            <sz val="9"/>
            <rFont val="宋体"/>
            <charset val="0"/>
          </rPr>
          <t>石玉珍:</t>
        </r>
        <r>
          <rPr>
            <sz val="9"/>
            <rFont val="宋体"/>
            <charset val="0"/>
          </rPr>
          <t xml:space="preserve">
1001727 7/20 480 pcs 欣泰A6</t>
        </r>
      </text>
    </comment>
    <comment ref="AD840" authorId="1">
      <text>
        <r>
          <rPr>
            <b/>
            <sz val="9"/>
            <rFont val="宋体"/>
            <charset val="0"/>
          </rPr>
          <t>石玉珍:</t>
        </r>
        <r>
          <rPr>
            <sz val="9"/>
            <rFont val="宋体"/>
            <charset val="0"/>
          </rPr>
          <t xml:space="preserve">
6/4上 邮购盒贴纸 480 pcs</t>
        </r>
        <r>
          <rPr>
            <b/>
            <sz val="9"/>
            <rFont val="宋体"/>
            <charset val="0"/>
          </rPr>
          <t xml:space="preserve">
石玉珍:</t>
        </r>
        <r>
          <rPr>
            <sz val="9"/>
            <rFont val="宋体"/>
            <charset val="0"/>
          </rPr>
          <t xml:space="preserve">
6/26上 亚马逊外箱贴纸 20 pcs</t>
        </r>
      </text>
    </comment>
    <comment ref="AB841" authorId="1">
      <text>
        <r>
          <rPr>
            <b/>
            <sz val="9"/>
            <rFont val="宋体"/>
            <charset val="0"/>
          </rPr>
          <t>石玉珍:</t>
        </r>
        <r>
          <rPr>
            <sz val="9"/>
            <rFont val="宋体"/>
            <charset val="0"/>
          </rPr>
          <t xml:space="preserve">
1001727 7/20 480 pcs 欣泰A6</t>
        </r>
      </text>
    </comment>
    <comment ref="AD841" authorId="1">
      <text>
        <r>
          <rPr>
            <b/>
            <sz val="9"/>
            <rFont val="宋体"/>
            <charset val="0"/>
          </rPr>
          <t>石玉珍:</t>
        </r>
        <r>
          <rPr>
            <sz val="9"/>
            <rFont val="宋体"/>
            <charset val="0"/>
          </rPr>
          <t xml:space="preserve">
6/4上 邮购盒贴纸 480 pcs</t>
        </r>
        <r>
          <rPr>
            <b/>
            <sz val="9"/>
            <rFont val="宋体"/>
            <charset val="0"/>
          </rPr>
          <t xml:space="preserve">
石玉珍:</t>
        </r>
        <r>
          <rPr>
            <sz val="9"/>
            <rFont val="宋体"/>
            <charset val="0"/>
          </rPr>
          <t xml:space="preserve">
6/26上 亚马逊外箱贴纸 20 pcs</t>
        </r>
      </text>
    </comment>
    <comment ref="AB842" authorId="1">
      <text>
        <r>
          <rPr>
            <b/>
            <sz val="9"/>
            <rFont val="宋体"/>
            <charset val="0"/>
          </rPr>
          <t>石玉珍:</t>
        </r>
        <r>
          <rPr>
            <sz val="9"/>
            <rFont val="宋体"/>
            <charset val="0"/>
          </rPr>
          <t xml:space="preserve">
1001733 7/21 506 pcs 钜顺C1</t>
        </r>
      </text>
    </comment>
    <comment ref="AD842" authorId="1">
      <text>
        <r>
          <rPr>
            <b/>
            <sz val="9"/>
            <rFont val="宋体"/>
            <charset val="0"/>
          </rPr>
          <t>石玉珍:</t>
        </r>
        <r>
          <rPr>
            <sz val="9"/>
            <rFont val="宋体"/>
            <charset val="0"/>
          </rPr>
          <t xml:space="preserve">
7/7 UPC贴纸 506 pcs</t>
        </r>
      </text>
    </comment>
    <comment ref="AB843" authorId="1">
      <text>
        <r>
          <rPr>
            <b/>
            <sz val="9"/>
            <rFont val="宋体"/>
            <charset val="0"/>
          </rPr>
          <t>石玉珍:</t>
        </r>
        <r>
          <rPr>
            <sz val="9"/>
            <rFont val="宋体"/>
            <charset val="0"/>
          </rPr>
          <t xml:space="preserve">
1001825 7/25 456 pcs 馥通F2</t>
        </r>
      </text>
    </comment>
    <comment ref="AD843" authorId="1">
      <text>
        <r>
          <rPr>
            <b/>
            <sz val="9"/>
            <rFont val="宋体"/>
            <charset val="0"/>
          </rPr>
          <t>石玉珍:</t>
        </r>
        <r>
          <rPr>
            <sz val="9"/>
            <rFont val="宋体"/>
            <charset val="0"/>
          </rPr>
          <t xml:space="preserve">
7/16上 QR贴纸 456 pcs
进口商贴纸 456 pcs</t>
        </r>
      </text>
    </comment>
    <comment ref="AB844" authorId="1">
      <text>
        <r>
          <rPr>
            <b/>
            <sz val="9"/>
            <rFont val="宋体"/>
            <charset val="0"/>
          </rPr>
          <t>石玉珍:</t>
        </r>
        <r>
          <rPr>
            <sz val="9"/>
            <rFont val="宋体"/>
            <charset val="0"/>
          </rPr>
          <t xml:space="preserve">
1001825 7/25 1584 pcs 馥通F2</t>
        </r>
      </text>
    </comment>
    <comment ref="AD844" authorId="1">
      <text>
        <r>
          <rPr>
            <b/>
            <sz val="9"/>
            <rFont val="宋体"/>
            <charset val="0"/>
          </rPr>
          <t>石玉珍:</t>
        </r>
        <r>
          <rPr>
            <sz val="9"/>
            <rFont val="宋体"/>
            <charset val="0"/>
          </rPr>
          <t xml:space="preserve">
7/7 QR贴纸 1584 pcs</t>
        </r>
        <r>
          <rPr>
            <b/>
            <sz val="9"/>
            <rFont val="宋体"/>
            <charset val="0"/>
          </rPr>
          <t xml:space="preserve">
石玉珍:</t>
        </r>
        <r>
          <rPr>
            <sz val="9"/>
            <rFont val="宋体"/>
            <charset val="0"/>
          </rPr>
          <t xml:space="preserve">
7/14上 进口商贴纸 1584 pcs</t>
        </r>
      </text>
    </comment>
    <comment ref="AB845" authorId="1">
      <text>
        <r>
          <rPr>
            <b/>
            <sz val="9"/>
            <rFont val="宋体"/>
            <charset val="0"/>
          </rPr>
          <t>石玉珍:</t>
        </r>
        <r>
          <rPr>
            <sz val="9"/>
            <rFont val="宋体"/>
            <charset val="0"/>
          </rPr>
          <t xml:space="preserve">
1001825 7/25 1210 pcs 馥通F2</t>
        </r>
      </text>
    </comment>
    <comment ref="AD845" authorId="1">
      <text>
        <r>
          <rPr>
            <b/>
            <sz val="9"/>
            <rFont val="宋体"/>
            <charset val="0"/>
          </rPr>
          <t>石玉珍:</t>
        </r>
        <r>
          <rPr>
            <sz val="9"/>
            <rFont val="宋体"/>
            <charset val="0"/>
          </rPr>
          <t xml:space="preserve">
7/20上 UPC/进口商贴纸 1210 pcs</t>
        </r>
      </text>
    </comment>
    <comment ref="AB846" authorId="1">
      <text>
        <r>
          <rPr>
            <b/>
            <sz val="9"/>
            <rFont val="宋体"/>
            <charset val="0"/>
          </rPr>
          <t>石玉珍:</t>
        </r>
        <r>
          <rPr>
            <sz val="9"/>
            <rFont val="宋体"/>
            <charset val="0"/>
          </rPr>
          <t xml:space="preserve">
1001645 7/29 6840 pcs 馥通A3</t>
        </r>
      </text>
    </comment>
    <comment ref="AD846" authorId="1">
      <text>
        <r>
          <rPr>
            <b/>
            <sz val="9"/>
            <rFont val="宋体"/>
            <charset val="0"/>
          </rPr>
          <t>石玉珍:</t>
        </r>
        <r>
          <rPr>
            <sz val="9"/>
            <rFont val="宋体"/>
            <charset val="0"/>
          </rPr>
          <t xml:space="preserve">
7/15上 地址贴纸 6840  pcs</t>
        </r>
        <r>
          <rPr>
            <b/>
            <sz val="9"/>
            <rFont val="宋体"/>
            <charset val="0"/>
          </rPr>
          <t xml:space="preserve">
石玉珍:</t>
        </r>
        <r>
          <rPr>
            <sz val="9"/>
            <rFont val="宋体"/>
            <charset val="0"/>
          </rPr>
          <t xml:space="preserve">
7/16上 EAN条码贴纸 6840 pcs
德语callout警语贴纸 6840 pcs</t>
        </r>
      </text>
    </comment>
    <comment ref="AB847" authorId="1">
      <text>
        <r>
          <rPr>
            <b/>
            <sz val="9"/>
            <rFont val="宋体"/>
            <charset val="0"/>
          </rPr>
          <t>石玉珍:</t>
        </r>
        <r>
          <rPr>
            <sz val="9"/>
            <rFont val="宋体"/>
            <charset val="0"/>
          </rPr>
          <t xml:space="preserve">
1001645 7/29 1804 pcs 馥通A1</t>
        </r>
      </text>
    </comment>
    <comment ref="AB848" authorId="1">
      <text>
        <r>
          <rPr>
            <b/>
            <sz val="9"/>
            <rFont val="宋体"/>
            <charset val="0"/>
          </rPr>
          <t>石玉珍:</t>
        </r>
        <r>
          <rPr>
            <sz val="9"/>
            <rFont val="宋体"/>
            <charset val="0"/>
          </rPr>
          <t xml:space="preserve">
1001645 7/29 1540 pcs 馥通A2</t>
        </r>
      </text>
    </comment>
    <comment ref="AD848" authorId="1">
      <text>
        <r>
          <rPr>
            <b/>
            <sz val="9"/>
            <rFont val="宋体"/>
            <charset val="0"/>
          </rPr>
          <t>石玉珍:</t>
        </r>
        <r>
          <rPr>
            <sz val="9"/>
            <rFont val="宋体"/>
            <charset val="0"/>
          </rPr>
          <t xml:space="preserve">
7/16上 EAN贴纸 1540 pcs 
NL警语贴纸 1540 pcs</t>
        </r>
        <r>
          <rPr>
            <b/>
            <sz val="9"/>
            <rFont val="宋体"/>
            <charset val="0"/>
          </rPr>
          <t xml:space="preserve">
石玉珍:</t>
        </r>
        <r>
          <rPr>
            <sz val="9"/>
            <rFont val="宋体"/>
            <charset val="0"/>
          </rPr>
          <t xml:space="preserve">
7/20上 EAN条码贴纸 1540 pcs</t>
        </r>
      </text>
    </comment>
    <comment ref="AB849" authorId="1">
      <text>
        <r>
          <rPr>
            <b/>
            <sz val="9"/>
            <rFont val="宋体"/>
            <charset val="0"/>
          </rPr>
          <t>石玉珍:</t>
        </r>
        <r>
          <rPr>
            <sz val="9"/>
            <rFont val="宋体"/>
            <charset val="0"/>
          </rPr>
          <t xml:space="preserve">
1001645 7/29 506 pcs 馥通A2</t>
        </r>
      </text>
    </comment>
    <comment ref="AD849" authorId="1">
      <text>
        <r>
          <rPr>
            <b/>
            <sz val="9"/>
            <rFont val="宋体"/>
            <charset val="0"/>
          </rPr>
          <t>石玉珍:</t>
        </r>
        <r>
          <rPr>
            <sz val="9"/>
            <rFont val="宋体"/>
            <charset val="0"/>
          </rPr>
          <t xml:space="preserve">
7/18上 进口商贴纸 506 pcs
UPC条码贴纸 506 pcs</t>
        </r>
      </text>
    </comment>
    <comment ref="AB850" authorId="1">
      <text>
        <r>
          <rPr>
            <b/>
            <sz val="9"/>
            <rFont val="宋体"/>
            <charset val="0"/>
          </rPr>
          <t>石玉珍:</t>
        </r>
        <r>
          <rPr>
            <sz val="9"/>
            <rFont val="宋体"/>
            <charset val="0"/>
          </rPr>
          <t xml:space="preserve">
1001657 7/29 480 pcs 馥通A8</t>
        </r>
      </text>
    </comment>
    <comment ref="AD850" authorId="1">
      <text>
        <r>
          <rPr>
            <b/>
            <sz val="9"/>
            <rFont val="宋体"/>
            <charset val="0"/>
          </rPr>
          <t>石玉珍:</t>
        </r>
        <r>
          <rPr>
            <sz val="9"/>
            <rFont val="宋体"/>
            <charset val="0"/>
          </rPr>
          <t xml:space="preserve">
7/9上 亚马逊外箱贴纸 20 pcs</t>
        </r>
        <r>
          <rPr>
            <b/>
            <sz val="9"/>
            <rFont val="宋体"/>
            <charset val="0"/>
          </rPr>
          <t xml:space="preserve">
石玉珍:</t>
        </r>
        <r>
          <rPr>
            <sz val="9"/>
            <rFont val="宋体"/>
            <charset val="0"/>
          </rPr>
          <t xml:space="preserve">
7/15上 地址贴纸 480 pcs</t>
        </r>
        <r>
          <rPr>
            <b/>
            <sz val="9"/>
            <rFont val="宋体"/>
            <charset val="0"/>
          </rPr>
          <t xml:space="preserve">
石玉珍:</t>
        </r>
        <r>
          <rPr>
            <sz val="9"/>
            <rFont val="宋体"/>
            <charset val="0"/>
          </rPr>
          <t xml:space="preserve">
7/16上 邮包盒贴纸 480 pcs</t>
        </r>
      </text>
    </comment>
    <comment ref="AB851" authorId="1">
      <text>
        <r>
          <rPr>
            <b/>
            <sz val="9"/>
            <rFont val="宋体"/>
            <charset val="0"/>
          </rPr>
          <t>石玉珍:</t>
        </r>
        <r>
          <rPr>
            <sz val="9"/>
            <rFont val="宋体"/>
            <charset val="0"/>
          </rPr>
          <t xml:space="preserve">
1001406 8/14 6050 pcs 欣泰F6</t>
        </r>
      </text>
    </comment>
    <comment ref="AB852" authorId="1">
      <text>
        <r>
          <rPr>
            <b/>
            <sz val="9"/>
            <rFont val="宋体"/>
            <charset val="0"/>
          </rPr>
          <t>石玉珍:</t>
        </r>
        <r>
          <rPr>
            <sz val="9"/>
            <rFont val="宋体"/>
            <charset val="0"/>
          </rPr>
          <t xml:space="preserve">
1001406 8/14 6050 pcs 欣泰E5</t>
        </r>
      </text>
    </comment>
    <comment ref="AD853" authorId="1">
      <text>
        <r>
          <rPr>
            <b/>
            <sz val="9"/>
            <rFont val="宋体"/>
            <charset val="0"/>
          </rPr>
          <t>石玉珍:</t>
        </r>
        <r>
          <rPr>
            <sz val="9"/>
            <rFont val="宋体"/>
            <charset val="0"/>
          </rPr>
          <t xml:space="preserve">
8/1上 UPC 贴纸814 pcs
进口商贴纸 814 pcs
保证书 814 pcs</t>
        </r>
      </text>
    </comment>
    <comment ref="AD854" authorId="1">
      <text>
        <r>
          <rPr>
            <b/>
            <sz val="9"/>
            <rFont val="宋体"/>
            <charset val="0"/>
          </rPr>
          <t>石玉珍:</t>
        </r>
        <r>
          <rPr>
            <sz val="9"/>
            <rFont val="宋体"/>
            <charset val="0"/>
          </rPr>
          <t xml:space="preserve">
8/1上 保证书 120 pcs
UPC贴纸 120 pcs
进口商贴纸 120 pcs
</t>
        </r>
      </text>
    </comment>
    <comment ref="AD855" authorId="1">
      <text>
        <r>
          <rPr>
            <b/>
            <sz val="9"/>
            <rFont val="宋体"/>
            <charset val="0"/>
          </rPr>
          <t>石玉珍:</t>
        </r>
        <r>
          <rPr>
            <sz val="9"/>
            <rFont val="宋体"/>
            <charset val="0"/>
          </rPr>
          <t xml:space="preserve">
8/1上 保证书 120 pcs
UPC贴纸 120 pcs
进口商贴纸 120 pcs</t>
        </r>
      </text>
    </comment>
    <comment ref="AD856" authorId="1">
      <text>
        <r>
          <rPr>
            <b/>
            <sz val="9"/>
            <rFont val="宋体"/>
            <charset val="0"/>
          </rPr>
          <t>石玉珍:</t>
        </r>
        <r>
          <rPr>
            <sz val="9"/>
            <rFont val="宋体"/>
            <charset val="0"/>
          </rPr>
          <t xml:space="preserve">
8/1上 UPC 贴纸 110 pcs
进口商贴纸  110 pcs
保证书 110 pcs</t>
        </r>
      </text>
    </comment>
    <comment ref="AB857" authorId="1">
      <text>
        <r>
          <rPr>
            <b/>
            <sz val="9"/>
            <rFont val="宋体"/>
            <charset val="0"/>
          </rPr>
          <t>石玉珍:</t>
        </r>
        <r>
          <rPr>
            <sz val="9"/>
            <rFont val="宋体"/>
            <charset val="0"/>
          </rPr>
          <t xml:space="preserve">
1001398 8/14 24 pcs 馥通C1</t>
        </r>
      </text>
    </comment>
    <comment ref="AD857" authorId="1">
      <text>
        <r>
          <rPr>
            <b/>
            <sz val="9"/>
            <rFont val="宋体"/>
            <charset val="0"/>
          </rPr>
          <t>石玉珍:</t>
        </r>
        <r>
          <rPr>
            <sz val="9"/>
            <rFont val="宋体"/>
            <charset val="0"/>
          </rPr>
          <t xml:space="preserve">
7/16上 UPC贴纸 24 pcs</t>
        </r>
        <r>
          <rPr>
            <b/>
            <sz val="9"/>
            <rFont val="宋体"/>
            <charset val="0"/>
          </rPr>
          <t xml:space="preserve">
石玉珍:</t>
        </r>
        <r>
          <rPr>
            <sz val="9"/>
            <rFont val="宋体"/>
            <charset val="0"/>
          </rPr>
          <t xml:space="preserve">
7/18 客供亚马逊外箱贴纸 1 pcs</t>
        </r>
      </text>
    </comment>
    <comment ref="AB858" authorId="1">
      <text>
        <r>
          <rPr>
            <b/>
            <sz val="9"/>
            <rFont val="宋体"/>
            <charset val="0"/>
          </rPr>
          <t>石玉珍:</t>
        </r>
        <r>
          <rPr>
            <sz val="9"/>
            <rFont val="宋体"/>
            <charset val="0"/>
          </rPr>
          <t xml:space="preserve">
1001398 8/14 24 pcs 馥通C1</t>
        </r>
      </text>
    </comment>
    <comment ref="AD858" authorId="1">
      <text>
        <r>
          <rPr>
            <b/>
            <sz val="9"/>
            <rFont val="宋体"/>
            <charset val="0"/>
          </rPr>
          <t>石玉珍:</t>
        </r>
        <r>
          <rPr>
            <sz val="9"/>
            <rFont val="宋体"/>
            <charset val="0"/>
          </rPr>
          <t xml:space="preserve">
7/16上 UPC贴纸 24 pcs</t>
        </r>
        <r>
          <rPr>
            <b/>
            <sz val="9"/>
            <rFont val="宋体"/>
            <charset val="0"/>
          </rPr>
          <t xml:space="preserve">
石玉珍:</t>
        </r>
        <r>
          <rPr>
            <sz val="9"/>
            <rFont val="宋体"/>
            <charset val="0"/>
          </rPr>
          <t xml:space="preserve">
7/18 客供亚马逊外箱贴纸 1 pcs</t>
        </r>
      </text>
    </comment>
    <comment ref="AB859" authorId="1">
      <text>
        <r>
          <rPr>
            <b/>
            <sz val="9"/>
            <rFont val="宋体"/>
            <charset val="0"/>
          </rPr>
          <t>石玉珍:</t>
        </r>
        <r>
          <rPr>
            <sz val="9"/>
            <rFont val="宋体"/>
            <charset val="0"/>
          </rPr>
          <t xml:space="preserve">
1001398 8/14 24 pcs 馥通C1</t>
        </r>
      </text>
    </comment>
    <comment ref="AD859" authorId="1">
      <text>
        <r>
          <rPr>
            <b/>
            <sz val="9"/>
            <rFont val="宋体"/>
            <charset val="0"/>
          </rPr>
          <t>石玉珍:</t>
        </r>
        <r>
          <rPr>
            <sz val="9"/>
            <rFont val="宋体"/>
            <charset val="0"/>
          </rPr>
          <t xml:space="preserve">
7/16上 UPC贴纸 24 pcs</t>
        </r>
        <r>
          <rPr>
            <b/>
            <sz val="9"/>
            <rFont val="宋体"/>
            <charset val="0"/>
          </rPr>
          <t xml:space="preserve">
石玉珍:</t>
        </r>
        <r>
          <rPr>
            <sz val="9"/>
            <rFont val="宋体"/>
            <charset val="0"/>
          </rPr>
          <t xml:space="preserve">
7/18 客供亚马逊外箱贴纸 1 pcs</t>
        </r>
      </text>
    </comment>
    <comment ref="AD860" authorId="1">
      <text>
        <r>
          <rPr>
            <b/>
            <sz val="9"/>
            <rFont val="宋体"/>
            <charset val="0"/>
          </rPr>
          <t>石玉珍:</t>
        </r>
        <r>
          <rPr>
            <sz val="9"/>
            <rFont val="宋体"/>
            <charset val="0"/>
          </rPr>
          <t xml:space="preserve">
7/25上 PDQ+收缩膜进口商贴纸  1320 pcs</t>
        </r>
      </text>
    </comment>
    <comment ref="AD861" authorId="1">
      <text>
        <r>
          <rPr>
            <b/>
            <sz val="9"/>
            <rFont val="宋体"/>
            <charset val="0"/>
          </rPr>
          <t>石玉珍:</t>
        </r>
        <r>
          <rPr>
            <sz val="9"/>
            <rFont val="宋体"/>
            <charset val="0"/>
          </rPr>
          <t xml:space="preserve">
7/25上 PDQ+收缩膜进口商贴纸  144 pcs</t>
        </r>
      </text>
    </comment>
    <comment ref="AD862" authorId="1">
      <text>
        <r>
          <rPr>
            <b/>
            <sz val="9"/>
            <rFont val="宋体"/>
            <charset val="0"/>
          </rPr>
          <t>石玉珍:</t>
        </r>
        <r>
          <rPr>
            <sz val="9"/>
            <rFont val="宋体"/>
            <charset val="0"/>
          </rPr>
          <t xml:space="preserve">
7/25上 PDQ+收缩膜进口商贴纸  792 pcs</t>
        </r>
      </text>
    </comment>
    <comment ref="AD864" authorId="1">
      <text>
        <r>
          <rPr>
            <b/>
            <sz val="9"/>
            <rFont val="宋体"/>
            <charset val="0"/>
          </rPr>
          <t>石玉珍:</t>
        </r>
        <r>
          <rPr>
            <sz val="9"/>
            <rFont val="宋体"/>
            <charset val="0"/>
          </rPr>
          <t xml:space="preserve">
7/22上 邮包盒贴纸 744 pcs</t>
        </r>
        <r>
          <rPr>
            <b/>
            <sz val="9"/>
            <rFont val="宋体"/>
            <charset val="0"/>
          </rPr>
          <t xml:space="preserve">
石玉珍:</t>
        </r>
        <r>
          <rPr>
            <sz val="9"/>
            <rFont val="宋体"/>
            <charset val="0"/>
          </rPr>
          <t xml:space="preserve">
8/3上 亚马逊外箱贴纸 31 pcs</t>
        </r>
      </text>
    </comment>
    <comment ref="AD865" authorId="1">
      <text>
        <r>
          <rPr>
            <b/>
            <sz val="9"/>
            <rFont val="宋体"/>
            <charset val="0"/>
          </rPr>
          <t>石玉珍:</t>
        </r>
        <r>
          <rPr>
            <sz val="9"/>
            <rFont val="宋体"/>
            <charset val="0"/>
          </rPr>
          <t xml:space="preserve">
7/23上 进口商贴纸 814 pcs</t>
        </r>
      </text>
    </comment>
    <comment ref="AD866" authorId="1">
      <text>
        <r>
          <rPr>
            <b/>
            <sz val="9"/>
            <rFont val="宋体"/>
            <charset val="0"/>
          </rPr>
          <t>石玉珍:</t>
        </r>
        <r>
          <rPr>
            <sz val="9"/>
            <rFont val="宋体"/>
            <charset val="0"/>
          </rPr>
          <t xml:space="preserve">
8/5上 UPC条码贴纸 220 pcs
进口商贴纸 220 pcs</t>
        </r>
      </text>
    </comment>
    <comment ref="AD867" authorId="1">
      <text>
        <r>
          <rPr>
            <b/>
            <sz val="9"/>
            <rFont val="宋体"/>
            <charset val="0"/>
          </rPr>
          <t>石玉珍:</t>
        </r>
        <r>
          <rPr>
            <sz val="9"/>
            <rFont val="宋体"/>
            <charset val="0"/>
          </rPr>
          <t xml:space="preserve">
7/10 客供价格贴纸 630 pcs</t>
        </r>
      </text>
    </comment>
    <comment ref="AD870" authorId="1">
      <text>
        <r>
          <rPr>
            <b/>
            <sz val="9"/>
            <rFont val="宋体"/>
            <charset val="0"/>
          </rPr>
          <t>石玉珍:</t>
        </r>
        <r>
          <rPr>
            <sz val="9"/>
            <rFont val="宋体"/>
            <charset val="0"/>
          </rPr>
          <t xml:space="preserve">
8/3上 亚马逊外箱贴纸 22 pcs</t>
        </r>
        <r>
          <rPr>
            <b/>
            <sz val="9"/>
            <rFont val="宋体"/>
            <charset val="0"/>
          </rPr>
          <t xml:space="preserve">
石玉珍:</t>
        </r>
        <r>
          <rPr>
            <sz val="9"/>
            <rFont val="宋体"/>
            <charset val="0"/>
          </rPr>
          <t xml:space="preserve">
8/6上 邮包盒贴纸 528 pcs</t>
        </r>
      </text>
    </comment>
    <comment ref="AD871" authorId="1">
      <text>
        <r>
          <rPr>
            <b/>
            <sz val="9"/>
            <rFont val="宋体"/>
            <charset val="0"/>
          </rPr>
          <t>石玉珍:</t>
        </r>
        <r>
          <rPr>
            <sz val="9"/>
            <rFont val="宋体"/>
            <charset val="0"/>
          </rPr>
          <t xml:space="preserve">
8/3上 亚马逊外箱贴纸 20 pcs</t>
        </r>
        <r>
          <rPr>
            <b/>
            <sz val="9"/>
            <rFont val="宋体"/>
            <charset val="0"/>
          </rPr>
          <t xml:space="preserve">
石玉珍:</t>
        </r>
        <r>
          <rPr>
            <sz val="9"/>
            <rFont val="宋体"/>
            <charset val="0"/>
          </rPr>
          <t xml:space="preserve">
8/6上 邮包盒贴纸 480 pcs</t>
        </r>
      </text>
    </comment>
    <comment ref="AD873" authorId="1">
      <text>
        <r>
          <rPr>
            <b/>
            <sz val="9"/>
            <rFont val="宋体"/>
            <charset val="0"/>
          </rPr>
          <t>石玉珍:</t>
        </r>
        <r>
          <rPr>
            <sz val="9"/>
            <rFont val="宋体"/>
            <charset val="0"/>
          </rPr>
          <t xml:space="preserve">
8/5上 UPC贴纸 2420 pcs</t>
        </r>
      </text>
    </comment>
    <comment ref="AD874" authorId="1">
      <text>
        <r>
          <rPr>
            <b/>
            <sz val="9"/>
            <rFont val="宋体"/>
            <charset val="0"/>
          </rPr>
          <t>石玉珍:</t>
        </r>
        <r>
          <rPr>
            <sz val="9"/>
            <rFont val="宋体"/>
            <charset val="0"/>
          </rPr>
          <t xml:space="preserve">
8/1上 地址贴纸 506 pcs</t>
        </r>
        <r>
          <rPr>
            <b/>
            <sz val="9"/>
            <rFont val="宋体"/>
            <charset val="0"/>
          </rPr>
          <t xml:space="preserve">
石玉珍:</t>
        </r>
        <r>
          <rPr>
            <sz val="9"/>
            <rFont val="宋体"/>
            <charset val="0"/>
          </rPr>
          <t xml:space="preserve">
8/4上 PDQ地址贴纸 46 pcs</t>
        </r>
      </text>
    </comment>
    <comment ref="AD875" authorId="1">
      <text>
        <r>
          <rPr>
            <b/>
            <sz val="9"/>
            <rFont val="宋体"/>
            <charset val="0"/>
          </rPr>
          <t>石玉珍:</t>
        </r>
        <r>
          <rPr>
            <sz val="9"/>
            <rFont val="宋体"/>
            <charset val="0"/>
          </rPr>
          <t xml:space="preserve">
8/3上 PDQ条码贴纸 70 pcs
ZURU地址_PDQ通用贴纸 70 pcs
地址贴纸 770 pcs</t>
        </r>
      </text>
    </comment>
    <comment ref="AD876" authorId="1">
      <text>
        <r>
          <rPr>
            <b/>
            <sz val="9"/>
            <rFont val="宋体"/>
            <charset val="0"/>
          </rPr>
          <t>石玉珍:</t>
        </r>
        <r>
          <rPr>
            <sz val="9"/>
            <rFont val="宋体"/>
            <charset val="0"/>
          </rPr>
          <t xml:space="preserve">
8/1上 UPC贴纸 24 pcs</t>
        </r>
        <r>
          <rPr>
            <b/>
            <sz val="9"/>
            <rFont val="宋体"/>
            <charset val="0"/>
          </rPr>
          <t xml:space="preserve">
石玉珍:</t>
        </r>
        <r>
          <rPr>
            <sz val="9"/>
            <rFont val="宋体"/>
            <charset val="0"/>
          </rPr>
          <t xml:space="preserve">
8/14上 客供亚马逊外箱贴纸 1 pcs</t>
        </r>
      </text>
    </comment>
    <comment ref="AD877" authorId="1">
      <text>
        <r>
          <rPr>
            <b/>
            <sz val="9"/>
            <rFont val="宋体"/>
            <charset val="0"/>
          </rPr>
          <t>石玉珍:</t>
        </r>
        <r>
          <rPr>
            <sz val="9"/>
            <rFont val="宋体"/>
            <charset val="0"/>
          </rPr>
          <t xml:space="preserve">
8/7上 客供价格贴纸 479 pcs
</t>
        </r>
      </text>
    </comment>
    <comment ref="AD878" authorId="1">
      <text>
        <r>
          <rPr>
            <b/>
            <sz val="9"/>
            <rFont val="宋体"/>
            <charset val="0"/>
          </rPr>
          <t>石玉珍:</t>
        </r>
        <r>
          <rPr>
            <sz val="9"/>
            <rFont val="宋体"/>
            <charset val="0"/>
          </rPr>
          <t xml:space="preserve">
8/5上 客供价格贴纸 191 pcs
</t>
        </r>
      </text>
    </comment>
    <comment ref="AD879" authorId="1">
      <text>
        <r>
          <rPr>
            <b/>
            <sz val="9"/>
            <rFont val="宋体"/>
            <charset val="0"/>
          </rPr>
          <t>石玉珍:</t>
        </r>
        <r>
          <rPr>
            <sz val="9"/>
            <rFont val="宋体"/>
            <charset val="0"/>
          </rPr>
          <t xml:space="preserve">
8/6上 zuru地址贴纸 200 pcs</t>
        </r>
      </text>
    </comment>
    <comment ref="AD881" authorId="1">
      <text>
        <r>
          <rPr>
            <b/>
            <sz val="9"/>
            <rFont val="宋体"/>
            <charset val="0"/>
          </rPr>
          <t>石玉珍:</t>
        </r>
        <r>
          <rPr>
            <sz val="9"/>
            <rFont val="宋体"/>
            <charset val="0"/>
          </rPr>
          <t xml:space="preserve">
7/14上 QR+SSCC贴纸 27 pcs</t>
        </r>
        <r>
          <rPr>
            <b/>
            <sz val="9"/>
            <rFont val="宋体"/>
            <charset val="0"/>
          </rPr>
          <t xml:space="preserve">
石玉珍:</t>
        </r>
        <r>
          <rPr>
            <sz val="9"/>
            <rFont val="宋体"/>
            <charset val="0"/>
          </rPr>
          <t xml:space="preserve">
7/21上 进口商贴纸 648 pcs
EAN条码贴纸 648 pcs</t>
        </r>
      </text>
    </comment>
    <comment ref="AD882" authorId="1">
      <text>
        <r>
          <rPr>
            <b/>
            <sz val="9"/>
            <rFont val="宋体"/>
            <charset val="0"/>
          </rPr>
          <t>石玉珍:</t>
        </r>
        <r>
          <rPr>
            <sz val="9"/>
            <rFont val="宋体"/>
            <charset val="0"/>
          </rPr>
          <t xml:space="preserve">
7/14上 QR+SSCC贴纸 11 pcs</t>
        </r>
        <r>
          <rPr>
            <b/>
            <sz val="9"/>
            <rFont val="宋体"/>
            <charset val="0"/>
          </rPr>
          <t xml:space="preserve">
石玉珍:</t>
        </r>
        <r>
          <rPr>
            <sz val="9"/>
            <rFont val="宋体"/>
            <charset val="0"/>
          </rPr>
          <t xml:space="preserve">
7/21上 进口商贴纸 264 pcs
EAN条码贴纸 264 pcs</t>
        </r>
      </text>
    </comment>
    <comment ref="AD883" authorId="1">
      <text>
        <r>
          <rPr>
            <b/>
            <sz val="9"/>
            <rFont val="宋体"/>
            <charset val="0"/>
          </rPr>
          <t>石玉珍:</t>
        </r>
        <r>
          <rPr>
            <sz val="9"/>
            <rFont val="宋体"/>
            <charset val="0"/>
          </rPr>
          <t xml:space="preserve">
8/5上 地址贴纸 480 pcs</t>
        </r>
      </text>
    </comment>
    <comment ref="AD884" authorId="1">
      <text>
        <r>
          <rPr>
            <b/>
            <sz val="9"/>
            <rFont val="宋体"/>
            <charset val="0"/>
          </rPr>
          <t>石玉珍:</t>
        </r>
        <r>
          <rPr>
            <sz val="9"/>
            <rFont val="宋体"/>
            <charset val="0"/>
          </rPr>
          <t xml:space="preserve">
8/5上 QR贴纸 506 pcs</t>
        </r>
        <r>
          <rPr>
            <b/>
            <sz val="9"/>
            <rFont val="宋体"/>
            <charset val="0"/>
          </rPr>
          <t xml:space="preserve">
石玉珍:</t>
        </r>
        <r>
          <rPr>
            <sz val="9"/>
            <rFont val="宋体"/>
            <charset val="0"/>
          </rPr>
          <t xml:space="preserve">
8/14上 进口商贴纸 506 pcs
EAN条码贴纸 506 pcs</t>
        </r>
      </text>
    </comment>
    <comment ref="AD885" authorId="1">
      <text>
        <r>
          <rPr>
            <b/>
            <sz val="9"/>
            <rFont val="宋体"/>
            <charset val="0"/>
          </rPr>
          <t>石玉珍:</t>
        </r>
        <r>
          <rPr>
            <sz val="9"/>
            <rFont val="宋体"/>
            <charset val="0"/>
          </rPr>
          <t xml:space="preserve">
8/5上 进口商贴纸 440 pcs
UPC贴纸 440 pcs</t>
        </r>
      </text>
    </comment>
    <comment ref="AD886" authorId="1">
      <text>
        <r>
          <rPr>
            <b/>
            <sz val="9"/>
            <rFont val="宋体"/>
            <charset val="0"/>
          </rPr>
          <t>石玉珍:</t>
        </r>
        <r>
          <rPr>
            <sz val="9"/>
            <rFont val="宋体"/>
            <charset val="0"/>
          </rPr>
          <t xml:space="preserve">
8/11上 通用贴纸 792 pcs</t>
        </r>
      </text>
    </comment>
    <comment ref="AD888" authorId="1">
      <text>
        <r>
          <rPr>
            <b/>
            <sz val="9"/>
            <rFont val="宋体"/>
            <charset val="0"/>
          </rPr>
          <t>石玉珍:</t>
        </r>
        <r>
          <rPr>
            <sz val="9"/>
            <rFont val="宋体"/>
            <charset val="0"/>
          </rPr>
          <t xml:space="preserve">
8/17上 PDQ欧盟地址贴纸 500 pcs</t>
        </r>
      </text>
    </comment>
    <comment ref="AD892" authorId="1">
      <text>
        <r>
          <rPr>
            <b/>
            <sz val="9"/>
            <rFont val="宋体"/>
            <charset val="0"/>
          </rPr>
          <t>石玉珍:</t>
        </r>
        <r>
          <rPr>
            <sz val="9"/>
            <rFont val="宋体"/>
            <charset val="0"/>
          </rPr>
          <t xml:space="preserve">
8/6上 客供价格贴纸 504 pcs</t>
        </r>
      </text>
    </comment>
    <comment ref="AD897" authorId="1">
      <text>
        <r>
          <rPr>
            <b/>
            <sz val="9"/>
            <rFont val="宋体"/>
            <charset val="0"/>
          </rPr>
          <t>石玉珍:</t>
        </r>
        <r>
          <rPr>
            <sz val="9"/>
            <rFont val="宋体"/>
            <charset val="0"/>
          </rPr>
          <t xml:space="preserve">
7/14上 QR+SSCC贴纸 27 pcs</t>
        </r>
        <r>
          <rPr>
            <b/>
            <sz val="9"/>
            <rFont val="宋体"/>
            <charset val="0"/>
          </rPr>
          <t xml:space="preserve">
石玉珍:</t>
        </r>
        <r>
          <rPr>
            <sz val="9"/>
            <rFont val="宋体"/>
            <charset val="0"/>
          </rPr>
          <t xml:space="preserve">
7/21上 进口商贴纸 648 pcs
EAN条码贴纸 648 pcs</t>
        </r>
      </text>
    </comment>
    <comment ref="AD898" authorId="1">
      <text>
        <r>
          <rPr>
            <b/>
            <sz val="9"/>
            <rFont val="宋体"/>
            <charset val="0"/>
          </rPr>
          <t>石玉珍:</t>
        </r>
        <r>
          <rPr>
            <sz val="9"/>
            <rFont val="宋体"/>
            <charset val="0"/>
          </rPr>
          <t xml:space="preserve">
7/14上 QR+SSCC贴纸 10 pcs</t>
        </r>
        <r>
          <rPr>
            <b/>
            <sz val="9"/>
            <rFont val="宋体"/>
            <charset val="0"/>
          </rPr>
          <t xml:space="preserve">
石玉珍:</t>
        </r>
        <r>
          <rPr>
            <sz val="9"/>
            <rFont val="宋体"/>
            <charset val="0"/>
          </rPr>
          <t xml:space="preserve">
7/21上 进口商贴纸 240 pcs
EAN条码贴纸 240 pcs</t>
        </r>
      </text>
    </comment>
  </commentList>
</comments>
</file>

<file path=xl/comments2.xml><?xml version="1.0" encoding="utf-8"?>
<comments xmlns="http://schemas.openxmlformats.org/spreadsheetml/2006/main">
  <authors>
    <author>admin</author>
  </authors>
  <commentList>
    <comment ref="AB27" authorId="0">
      <text>
        <r>
          <rPr>
            <b/>
            <sz val="9"/>
            <rFont val="宋体"/>
            <charset val="134"/>
          </rPr>
          <t>admin:</t>
        </r>
        <r>
          <rPr>
            <sz val="9"/>
            <rFont val="宋体"/>
            <charset val="134"/>
          </rPr>
          <t xml:space="preserve">
实单订购-过渡</t>
        </r>
      </text>
    </comment>
    <comment ref="AJ44" authorId="0">
      <text>
        <r>
          <rPr>
            <b/>
            <sz val="9"/>
            <rFont val="宋体"/>
            <charset val="134"/>
          </rPr>
          <t>根据实单订购</t>
        </r>
      </text>
    </comment>
    <comment ref="U58" authorId="0">
      <text>
        <r>
          <rPr>
            <b/>
            <sz val="9"/>
            <rFont val="宋体"/>
            <charset val="134"/>
          </rPr>
          <t>admin:</t>
        </r>
        <r>
          <rPr>
            <sz val="9"/>
            <rFont val="宋体"/>
            <charset val="134"/>
          </rPr>
          <t xml:space="preserve">
滞留121PCS A版本PDQ
</t>
        </r>
      </text>
    </comment>
    <comment ref="J76" authorId="0">
      <text>
        <r>
          <rPr>
            <sz val="9"/>
            <rFont val="宋体"/>
            <charset val="134"/>
          </rPr>
          <t>报废14000PCS-A版本-3L膜</t>
        </r>
      </text>
    </comment>
    <comment ref="AK270" authorId="0">
      <text>
        <r>
          <rPr>
            <sz val="9"/>
            <rFont val="宋体"/>
            <charset val="134"/>
          </rPr>
          <t>144pcs=4500118238 &amp; 4500120423</t>
        </r>
      </text>
    </comment>
  </commentList>
</comments>
</file>

<file path=xl/comments3.xml><?xml version="1.0" encoding="utf-8"?>
<comments xmlns="http://schemas.openxmlformats.org/spreadsheetml/2006/main">
  <authors>
    <author>admin</author>
  </authors>
  <commentList>
    <comment ref="B5" authorId="0">
      <text>
        <r>
          <rPr>
            <b/>
            <sz val="9"/>
            <rFont val="宋体"/>
            <charset val="134"/>
          </rPr>
          <t>admin:</t>
        </r>
        <r>
          <rPr>
            <sz val="9"/>
            <rFont val="宋体"/>
            <charset val="134"/>
          </rPr>
          <t xml:space="preserve">
第一批已入系统 </t>
        </r>
      </text>
    </comment>
  </commentList>
</comments>
</file>

<file path=xl/comments4.xml><?xml version="1.0" encoding="utf-8"?>
<comments xmlns="http://schemas.openxmlformats.org/spreadsheetml/2006/main">
  <authors>
    <author>Administrator</author>
    <author>Unknown User</author>
  </authors>
  <commentList>
    <comment ref="AD3" authorId="0">
      <text>
        <r>
          <rPr>
            <b/>
            <sz val="16"/>
            <rFont val="宋体"/>
            <charset val="134"/>
          </rPr>
          <t>Administrator:</t>
        </r>
        <r>
          <rPr>
            <sz val="16"/>
            <rFont val="宋体"/>
            <charset val="134"/>
          </rPr>
          <t xml:space="preserve">
8/17 上客供外箱贴纸2525pcs</t>
        </r>
      </text>
    </comment>
    <comment ref="AD6" authorId="0">
      <text>
        <r>
          <rPr>
            <b/>
            <sz val="14"/>
            <rFont val="宋体"/>
            <charset val="134"/>
          </rPr>
          <t>Administrator:</t>
        </r>
        <r>
          <rPr>
            <sz val="14"/>
            <rFont val="宋体"/>
            <charset val="134"/>
          </rPr>
          <t xml:space="preserve">
3/7上 WIC贴纸 900 pcs
  PDQ折纸 75 pcs</t>
        </r>
      </text>
    </comment>
    <comment ref="AD7" authorId="0">
      <text>
        <r>
          <rPr>
            <b/>
            <sz val="14"/>
            <rFont val="宋体"/>
            <charset val="134"/>
          </rPr>
          <t>Administrator:</t>
        </r>
        <r>
          <rPr>
            <sz val="14"/>
            <rFont val="宋体"/>
            <charset val="134"/>
          </rPr>
          <t xml:space="preserve">
3/7上 WIC贴纸 948 pcs
  PDQ折纸 79 pcs</t>
        </r>
      </text>
    </comment>
    <comment ref="AB15" authorId="0">
      <text>
        <r>
          <rPr>
            <b/>
            <sz val="16"/>
            <rFont val="宋体"/>
            <charset val="134"/>
          </rPr>
          <t>Administrator:</t>
        </r>
        <r>
          <rPr>
            <sz val="16"/>
            <rFont val="宋体"/>
            <charset val="134"/>
          </rPr>
          <t xml:space="preserve">
0000017 7/10 1958 pcs华兴三楼B10
</t>
        </r>
      </text>
    </comment>
    <comment ref="AD15" authorId="0">
      <text>
        <r>
          <rPr>
            <b/>
            <sz val="16"/>
            <rFont val="宋体"/>
            <charset val="134"/>
          </rPr>
          <t>Administrator:</t>
        </r>
        <r>
          <rPr>
            <sz val="16"/>
            <rFont val="宋体"/>
            <charset val="134"/>
          </rPr>
          <t xml:space="preserve">
6/14上 价格贴纸 1958 pcs</t>
        </r>
      </text>
    </comment>
    <comment ref="AB18" authorId="0">
      <text>
        <r>
          <rPr>
            <b/>
            <sz val="16"/>
            <rFont val="宋体"/>
            <charset val="134"/>
          </rPr>
          <t>Administrator:</t>
        </r>
        <r>
          <rPr>
            <sz val="16"/>
            <rFont val="宋体"/>
            <charset val="134"/>
          </rPr>
          <t xml:space="preserve">
0001840 4/8 648 pcs 华兴三楼B10</t>
        </r>
      </text>
    </comment>
    <comment ref="AD18" authorId="0">
      <text>
        <r>
          <rPr>
            <b/>
            <sz val="16"/>
            <rFont val="宋体"/>
            <charset val="134"/>
          </rPr>
          <t>Administrator:</t>
        </r>
        <r>
          <rPr>
            <sz val="16"/>
            <rFont val="宋体"/>
            <charset val="134"/>
          </rPr>
          <t xml:space="preserve">
12/31上 进口商贴纸 648 pcs
  EAN条码贴纸 648 pcs</t>
        </r>
      </text>
    </comment>
    <comment ref="AB19" authorId="0">
      <text>
        <r>
          <rPr>
            <b/>
            <sz val="16"/>
            <rFont val="宋体"/>
            <charset val="134"/>
          </rPr>
          <t>Administrator:</t>
        </r>
        <r>
          <rPr>
            <sz val="16"/>
            <rFont val="宋体"/>
            <charset val="134"/>
          </rPr>
          <t xml:space="preserve">
0001840 4/8 264 pcs 华兴三楼B10</t>
        </r>
      </text>
    </comment>
    <comment ref="AD19" authorId="0">
      <text>
        <r>
          <rPr>
            <b/>
            <sz val="16"/>
            <rFont val="宋体"/>
            <charset val="134"/>
          </rPr>
          <t>Administrator:</t>
        </r>
        <r>
          <rPr>
            <sz val="16"/>
            <rFont val="宋体"/>
            <charset val="134"/>
          </rPr>
          <t xml:space="preserve">
12/31上 进口商贴纸 264 pcs
  EAN条码贴纸 264 pcs</t>
        </r>
      </text>
    </comment>
    <comment ref="AD20" authorId="0">
      <text>
        <r>
          <rPr>
            <b/>
            <sz val="16"/>
            <rFont val="宋体"/>
            <charset val="134"/>
          </rPr>
          <t>Administrator:</t>
        </r>
        <r>
          <rPr>
            <sz val="16"/>
            <rFont val="宋体"/>
            <charset val="134"/>
          </rPr>
          <t xml:space="preserve">
12/31上 进口商贴纸 1944 pcs
  EAN条码贴纸 1944 pcs</t>
        </r>
      </text>
    </comment>
    <comment ref="AD21" authorId="0">
      <text>
        <r>
          <rPr>
            <b/>
            <sz val="16"/>
            <rFont val="宋体"/>
            <charset val="134"/>
          </rPr>
          <t>Administrator:</t>
        </r>
        <r>
          <rPr>
            <sz val="16"/>
            <rFont val="宋体"/>
            <charset val="134"/>
          </rPr>
          <t xml:space="preserve">
12/31上 进口商贴纸 744 pcs
  EAN条码贴纸 744 pcs</t>
        </r>
      </text>
    </comment>
    <comment ref="AB22" authorId="0">
      <text>
        <r>
          <rPr>
            <b/>
            <sz val="16"/>
            <rFont val="宋体"/>
            <charset val="134"/>
          </rPr>
          <t>Administrator:</t>
        </r>
        <r>
          <rPr>
            <sz val="16"/>
            <rFont val="宋体"/>
            <charset val="134"/>
          </rPr>
          <t xml:space="preserve">
0001590 3/28 336 pcs 华兴三楼B8</t>
        </r>
      </text>
    </comment>
    <comment ref="AD22" authorId="0">
      <text>
        <r>
          <rPr>
            <b/>
            <sz val="16"/>
            <rFont val="宋体"/>
            <charset val="134"/>
          </rPr>
          <t>Administrator:</t>
        </r>
        <r>
          <rPr>
            <sz val="16"/>
            <rFont val="宋体"/>
            <charset val="134"/>
          </rPr>
          <t xml:space="preserve">
3/4上 UPC贴纸 336 pcs
3/12上 亚马逊外箱贴纸 14 pcs
</t>
        </r>
      </text>
    </comment>
    <comment ref="AB23" authorId="0">
      <text>
        <r>
          <rPr>
            <b/>
            <sz val="16"/>
            <rFont val="宋体"/>
            <charset val="134"/>
          </rPr>
          <t>Administrator:</t>
        </r>
        <r>
          <rPr>
            <sz val="16"/>
            <rFont val="宋体"/>
            <charset val="134"/>
          </rPr>
          <t xml:space="preserve">
0001388 3/26 384 pcs 华兴三楼A27</t>
        </r>
      </text>
    </comment>
    <comment ref="AD23" authorId="0">
      <text>
        <r>
          <rPr>
            <b/>
            <sz val="16"/>
            <rFont val="宋体"/>
            <charset val="134"/>
          </rPr>
          <t>Administrator:</t>
        </r>
        <r>
          <rPr>
            <sz val="16"/>
            <rFont val="宋体"/>
            <charset val="134"/>
          </rPr>
          <t xml:space="preserve">
3/4上 UPC贴纸 384 pcs
3/12上 亚马逊外箱贴纸 16 pcs
</t>
        </r>
      </text>
    </comment>
    <comment ref="AB24" authorId="0">
      <text>
        <r>
          <rPr>
            <b/>
            <sz val="16"/>
            <rFont val="宋体"/>
            <charset val="134"/>
          </rPr>
          <t>Administrator:</t>
        </r>
        <r>
          <rPr>
            <sz val="16"/>
            <rFont val="宋体"/>
            <charset val="134"/>
          </rPr>
          <t xml:space="preserve">
0001388 3/26 264 pcs 华兴三楼A27</t>
        </r>
      </text>
    </comment>
    <comment ref="AD24" authorId="0">
      <text>
        <r>
          <rPr>
            <b/>
            <sz val="16"/>
            <rFont val="宋体"/>
            <charset val="134"/>
          </rPr>
          <t>Administrator:</t>
        </r>
        <r>
          <rPr>
            <sz val="16"/>
            <rFont val="宋体"/>
            <charset val="134"/>
          </rPr>
          <t xml:space="preserve">
3/4上 UPC贴纸 264 pcs
3/12上 亚马逊外箱贴纸 11 pcs
</t>
        </r>
      </text>
    </comment>
    <comment ref="AB25" authorId="0">
      <text>
        <r>
          <rPr>
            <b/>
            <sz val="16"/>
            <rFont val="宋体"/>
            <charset val="134"/>
          </rPr>
          <t>Administrator:</t>
        </r>
        <r>
          <rPr>
            <sz val="16"/>
            <rFont val="宋体"/>
            <charset val="134"/>
          </rPr>
          <t xml:space="preserve">
0001590 3/28 864 pcs 华兴三楼B8</t>
        </r>
      </text>
    </comment>
    <comment ref="AD25" authorId="0">
      <text>
        <r>
          <rPr>
            <b/>
            <sz val="16"/>
            <rFont val="宋体"/>
            <charset val="134"/>
          </rPr>
          <t>Administrator:</t>
        </r>
        <r>
          <rPr>
            <sz val="16"/>
            <rFont val="宋体"/>
            <charset val="134"/>
          </rPr>
          <t xml:space="preserve">
3/4上 UPC贴纸 864 pcs
3/12上 亚马逊外箱贴纸 36 pcs
</t>
        </r>
      </text>
    </comment>
    <comment ref="AB26" authorId="0">
      <text>
        <r>
          <rPr>
            <b/>
            <sz val="16"/>
            <rFont val="宋体"/>
            <charset val="134"/>
          </rPr>
          <t>Administrator:</t>
        </r>
        <r>
          <rPr>
            <sz val="16"/>
            <rFont val="宋体"/>
            <charset val="134"/>
          </rPr>
          <t xml:space="preserve">
0001388 3/26 312 pcs 华兴三楼A27</t>
        </r>
      </text>
    </comment>
    <comment ref="AD26" authorId="0">
      <text>
        <r>
          <rPr>
            <b/>
            <sz val="16"/>
            <rFont val="宋体"/>
            <charset val="134"/>
          </rPr>
          <t>Administrator:</t>
        </r>
        <r>
          <rPr>
            <sz val="16"/>
            <rFont val="宋体"/>
            <charset val="134"/>
          </rPr>
          <t xml:space="preserve">
3/4上 UPC贴纸 312 pcs
3/12上 亚马逊外箱贴纸 13 pcs</t>
        </r>
      </text>
    </comment>
    <comment ref="AD35" authorId="0">
      <text>
        <r>
          <rPr>
            <b/>
            <sz val="16"/>
            <rFont val="宋体"/>
            <charset val="134"/>
          </rPr>
          <t>Administrator:</t>
        </r>
        <r>
          <rPr>
            <sz val="16"/>
            <rFont val="宋体"/>
            <charset val="134"/>
          </rPr>
          <t xml:space="preserve">
6/6上 E款UPC贴纸 72 pcs
6/11上 客供亚马逊外箱贴纸 3 pcs</t>
        </r>
      </text>
    </comment>
    <comment ref="AD36" authorId="0">
      <text>
        <r>
          <rPr>
            <b/>
            <sz val="16"/>
            <rFont val="宋体"/>
            <charset val="134"/>
          </rPr>
          <t>Administrator:</t>
        </r>
        <r>
          <rPr>
            <sz val="16"/>
            <rFont val="宋体"/>
            <charset val="134"/>
          </rPr>
          <t xml:space="preserve">
12/3上 进口商贴纸 1824 pcs
  EAN条码贴纸 1824 pcs</t>
        </r>
      </text>
    </comment>
    <comment ref="AD37" authorId="0">
      <text>
        <r>
          <rPr>
            <b/>
            <sz val="16"/>
            <rFont val="宋体"/>
            <charset val="134"/>
          </rPr>
          <t>Administrator:</t>
        </r>
        <r>
          <rPr>
            <sz val="16"/>
            <rFont val="宋体"/>
            <charset val="134"/>
          </rPr>
          <t xml:space="preserve">
12/3上 进口商贴纸 792 pcs
  EAN条码贴纸 792 pcs</t>
        </r>
      </text>
    </comment>
    <comment ref="AB38" authorId="0">
      <text>
        <r>
          <rPr>
            <b/>
            <sz val="16"/>
            <rFont val="宋体"/>
            <charset val="134"/>
          </rPr>
          <t>Administrator:</t>
        </r>
        <r>
          <rPr>
            <sz val="16"/>
            <rFont val="宋体"/>
            <charset val="134"/>
          </rPr>
          <t xml:space="preserve">
20006882 5/28 1656 pcs 华兴三楼B3</t>
        </r>
      </text>
    </comment>
    <comment ref="AD38" authorId="0">
      <text>
        <r>
          <rPr>
            <b/>
            <sz val="16"/>
            <rFont val="宋体"/>
            <charset val="134"/>
          </rPr>
          <t>Administrator:</t>
        </r>
        <r>
          <rPr>
            <sz val="16"/>
            <rFont val="宋体"/>
            <charset val="134"/>
          </rPr>
          <t xml:space="preserve">
12/31上 进口商贴纸 1656 pcs
  EAN条码贴纸 1656 pcs</t>
        </r>
      </text>
    </comment>
    <comment ref="AB39" authorId="0">
      <text>
        <r>
          <rPr>
            <b/>
            <sz val="16"/>
            <rFont val="宋体"/>
            <charset val="134"/>
          </rPr>
          <t>Administrator:</t>
        </r>
        <r>
          <rPr>
            <sz val="16"/>
            <rFont val="宋体"/>
            <charset val="134"/>
          </rPr>
          <t xml:space="preserve">
20006882 5/28 648 pcs 华兴三楼B4</t>
        </r>
      </text>
    </comment>
    <comment ref="AD39" authorId="0">
      <text>
        <r>
          <rPr>
            <b/>
            <sz val="16"/>
            <rFont val="宋体"/>
            <charset val="134"/>
          </rPr>
          <t>Administrator:</t>
        </r>
        <r>
          <rPr>
            <sz val="16"/>
            <rFont val="宋体"/>
            <charset val="134"/>
          </rPr>
          <t xml:space="preserve">
12/31上 进口商贴纸 648 pcs
  EAN条码贴纸 648 pcs</t>
        </r>
      </text>
    </comment>
    <comment ref="AB40" authorId="0">
      <text>
        <r>
          <rPr>
            <b/>
            <sz val="16"/>
            <rFont val="宋体"/>
            <charset val="134"/>
          </rPr>
          <t>Administrator:</t>
        </r>
        <r>
          <rPr>
            <sz val="16"/>
            <rFont val="宋体"/>
            <charset val="134"/>
          </rPr>
          <t xml:space="preserve">
2002370 6/5 1680 pcs 新仓库一楼B3</t>
        </r>
      </text>
    </comment>
    <comment ref="AD40" authorId="0">
      <text>
        <r>
          <rPr>
            <b/>
            <sz val="16"/>
            <rFont val="宋体"/>
            <charset val="134"/>
          </rPr>
          <t>Administrator:</t>
        </r>
        <r>
          <rPr>
            <sz val="16"/>
            <rFont val="宋体"/>
            <charset val="134"/>
          </rPr>
          <t xml:space="preserve">
12/3上 进口商贴纸 1680 pcs
  EAN条码贴纸 1680 pcs</t>
        </r>
      </text>
    </comment>
    <comment ref="AB41" authorId="0">
      <text>
        <r>
          <rPr>
            <b/>
            <sz val="16"/>
            <rFont val="宋体"/>
            <charset val="134"/>
          </rPr>
          <t>Administrator:</t>
        </r>
        <r>
          <rPr>
            <sz val="16"/>
            <rFont val="宋体"/>
            <charset val="134"/>
          </rPr>
          <t xml:space="preserve">
2002360 6/6 840 pcs 莫四楼B9</t>
        </r>
      </text>
    </comment>
    <comment ref="AD41" authorId="0">
      <text>
        <r>
          <rPr>
            <b/>
            <sz val="16"/>
            <rFont val="宋体"/>
            <charset val="134"/>
          </rPr>
          <t>Administrator:</t>
        </r>
        <r>
          <rPr>
            <sz val="16"/>
            <rFont val="宋体"/>
            <charset val="134"/>
          </rPr>
          <t xml:space="preserve">
12/3上 进口商贴纸 840 pcs
  EAN条码贴纸 840 pcs</t>
        </r>
      </text>
    </comment>
    <comment ref="AB43" authorId="0">
      <text>
        <r>
          <rPr>
            <b/>
            <sz val="16"/>
            <rFont val="宋体"/>
            <charset val="134"/>
          </rPr>
          <t>Administrator:</t>
        </r>
        <r>
          <rPr>
            <sz val="16"/>
            <rFont val="宋体"/>
            <charset val="134"/>
          </rPr>
          <t xml:space="preserve">
5000463 9/30 1920 pcs 华兴三楼B8</t>
        </r>
      </text>
    </comment>
    <comment ref="AD43" authorId="0">
      <text>
        <r>
          <rPr>
            <b/>
            <sz val="16"/>
            <rFont val="宋体"/>
            <charset val="134"/>
          </rPr>
          <t>Administrator:</t>
        </r>
        <r>
          <rPr>
            <sz val="16"/>
            <rFont val="宋体"/>
            <charset val="134"/>
          </rPr>
          <t xml:space="preserve">
9/9上 WEEE不带电池走货欧洲30语通用黑白说明书 1920 pcs</t>
        </r>
      </text>
    </comment>
    <comment ref="AC44" authorId="0">
      <text>
        <r>
          <rPr>
            <b/>
            <sz val="16"/>
            <rFont val="宋体"/>
            <charset val="134"/>
          </rPr>
          <t>Administrator:</t>
        </r>
        <r>
          <rPr>
            <sz val="16"/>
            <rFont val="宋体"/>
            <charset val="134"/>
          </rPr>
          <t xml:space="preserve">
12/15上 黑白说明书 2607 pcs
 A款EAN贴纸 593 pcs
 B款EAN贴纸 711 pcs
 D款EAN贴纸 711 pcs
 E款EAN贴纸 593 pcs
12/18上 多语警语折叠贴纸 2607 pcs</t>
        </r>
      </text>
    </comment>
    <comment ref="AD45" authorId="0">
      <text>
        <r>
          <rPr>
            <b/>
            <sz val="14"/>
            <rFont val="宋体"/>
            <charset val="134"/>
          </rPr>
          <t>Administrator:</t>
        </r>
        <r>
          <rPr>
            <sz val="14"/>
            <rFont val="宋体"/>
            <charset val="134"/>
          </rPr>
          <t xml:space="preserve">
3/16上 UPC贴纸 96 pcs
3/18上 客供亚马逊外箱贴纸 4 pcs
</t>
        </r>
      </text>
    </comment>
    <comment ref="AD46" authorId="0">
      <text>
        <r>
          <rPr>
            <b/>
            <sz val="14"/>
            <rFont val="宋体"/>
            <charset val="134"/>
          </rPr>
          <t>Administrator:</t>
        </r>
        <r>
          <rPr>
            <sz val="14"/>
            <rFont val="宋体"/>
            <charset val="134"/>
          </rPr>
          <t xml:space="preserve">
3/16上 UPC贴纸 48 pcs
3/18上 客供亚马逊外箱贴纸 2 pcs
</t>
        </r>
      </text>
    </comment>
    <comment ref="AD47" authorId="0">
      <text>
        <r>
          <rPr>
            <b/>
            <sz val="14"/>
            <rFont val="宋体"/>
            <charset val="134"/>
          </rPr>
          <t>Administrator:</t>
        </r>
        <r>
          <rPr>
            <sz val="14"/>
            <rFont val="宋体"/>
            <charset val="134"/>
          </rPr>
          <t xml:space="preserve">
3/16上 UPC贴纸 120 pcs
3/18上 客供亚马逊外箱贴纸 5 pcs
</t>
        </r>
      </text>
    </comment>
    <comment ref="AD48" authorId="0">
      <text>
        <r>
          <rPr>
            <b/>
            <sz val="14"/>
            <rFont val="宋体"/>
            <charset val="134"/>
          </rPr>
          <t>Administrator:</t>
        </r>
        <r>
          <rPr>
            <sz val="14"/>
            <rFont val="宋体"/>
            <charset val="134"/>
          </rPr>
          <t xml:space="preserve">
3/16上 UPC贴纸 24 pcs
3/18上 客供亚马逊外箱贴纸 1 pcs
</t>
        </r>
      </text>
    </comment>
    <comment ref="AD50" authorId="0">
      <text>
        <r>
          <rPr>
            <b/>
            <sz val="14"/>
            <rFont val="宋体"/>
            <charset val="134"/>
          </rPr>
          <t>Administrator:</t>
        </r>
        <r>
          <rPr>
            <sz val="14"/>
            <rFont val="宋体"/>
            <charset val="134"/>
          </rPr>
          <t xml:space="preserve">
4/13上 UPC贴纸 24 pcs
</t>
        </r>
      </text>
    </comment>
    <comment ref="AD51" authorId="0">
      <text>
        <r>
          <rPr>
            <b/>
            <sz val="14"/>
            <rFont val="宋体"/>
            <charset val="134"/>
          </rPr>
          <t>Administrator:</t>
        </r>
        <r>
          <rPr>
            <sz val="14"/>
            <rFont val="宋体"/>
            <charset val="134"/>
          </rPr>
          <t xml:space="preserve">
4/13上 UPC贴纸 24 pcs
</t>
        </r>
      </text>
    </comment>
    <comment ref="AD52" authorId="0">
      <text>
        <r>
          <rPr>
            <b/>
            <sz val="14"/>
            <rFont val="宋体"/>
            <charset val="134"/>
          </rPr>
          <t>Administrator:</t>
        </r>
        <r>
          <rPr>
            <sz val="14"/>
            <rFont val="宋体"/>
            <charset val="134"/>
          </rPr>
          <t xml:space="preserve">
4/13上 UPC贴纸 24 pcs
</t>
        </r>
      </text>
    </comment>
    <comment ref="AA53" authorId="1">
      <text>
        <r>
          <rPr>
            <b/>
            <sz val="9"/>
            <rFont val="宋体"/>
            <charset val="0"/>
          </rPr>
          <t>石玉珍:</t>
        </r>
        <r>
          <rPr>
            <sz val="9"/>
            <rFont val="宋体"/>
            <charset val="0"/>
          </rPr>
          <t xml:space="preserve">
2801179 6/9 480 pcs 欣泰B1</t>
        </r>
      </text>
    </comment>
    <comment ref="AC53" authorId="0">
      <text>
        <r>
          <rPr>
            <sz val="9"/>
            <rFont val="宋体"/>
            <charset val="0"/>
          </rPr>
          <t>Administrator:
5/15上 亚马逊外箱贴纸 20 pcs
5/23上 环保标贴纸 480 pcs</t>
        </r>
        <r>
          <rPr>
            <b/>
            <sz val="9"/>
            <rFont val="宋体"/>
            <charset val="0"/>
          </rPr>
          <t xml:space="preserve">
石玉珍:</t>
        </r>
        <r>
          <rPr>
            <sz val="9"/>
            <rFont val="宋体"/>
            <charset val="0"/>
          </rPr>
          <t xml:space="preserve">
前面上的邮购盒贴纸是错的/有更新
6/4上 邮购盒贴纸 480 pcs</t>
        </r>
      </text>
    </comment>
  </commentList>
</comments>
</file>

<file path=xl/sharedStrings.xml><?xml version="1.0" encoding="utf-8"?>
<sst xmlns="http://schemas.openxmlformats.org/spreadsheetml/2006/main" count="16998" uniqueCount="4307">
  <si>
    <t>ZURU  Hamster Mania 仓鼠生产排期表 #9543</t>
  </si>
  <si>
    <t>（黃色表示更改或增加）</t>
  </si>
  <si>
    <t>（蓝色表示已完货）</t>
  </si>
  <si>
    <t>（綠色表示調整貨期）</t>
  </si>
  <si>
    <t>收縮膜</t>
  </si>
  <si>
    <t>收缩膜</t>
  </si>
  <si>
    <t>收藏指南</t>
  </si>
  <si>
    <t>PDQ版本</t>
  </si>
  <si>
    <t>PDQ 1L</t>
  </si>
  <si>
    <t>PDQ 3L</t>
  </si>
  <si>
    <t>GQ1配比：</t>
  </si>
  <si>
    <t>接单期</t>
  </si>
  <si>
    <t>第三方客户名称</t>
  </si>
  <si>
    <t>国家</t>
  </si>
  <si>
    <t>PO</t>
  </si>
  <si>
    <t>客户PO号</t>
  </si>
  <si>
    <t>SKU号</t>
  </si>
  <si>
    <t>货号</t>
  </si>
  <si>
    <t>名称</t>
  </si>
  <si>
    <t>数量</t>
  </si>
  <si>
    <t>内箱装箱数量(pcs)</t>
  </si>
  <si>
    <t>装箱数（PCS）</t>
  </si>
  <si>
    <t>总箱数</t>
  </si>
  <si>
    <t>计划出货期</t>
  </si>
  <si>
    <t>计划验货期</t>
  </si>
  <si>
    <t>第三方验货期</t>
  </si>
  <si>
    <t>驗貨結果</t>
  </si>
  <si>
    <t>船期SO</t>
  </si>
  <si>
    <t>箱唛资料(收到日期)</t>
  </si>
  <si>
    <t>外箱贴纸</t>
  </si>
  <si>
    <t>PMC订购
说明书纸</t>
  </si>
  <si>
    <t>贴纸AI(收到日期)</t>
  </si>
  <si>
    <t>客供物料</t>
  </si>
  <si>
    <t>日期码</t>
  </si>
  <si>
    <t>备注</t>
  </si>
  <si>
    <t>ZURU 跟单</t>
  </si>
  <si>
    <t>单价USD</t>
  </si>
  <si>
    <t>金额USD</t>
  </si>
  <si>
    <t>送回情况</t>
  </si>
  <si>
    <t>欠数</t>
  </si>
  <si>
    <t>贴纸</t>
  </si>
  <si>
    <t>系统货号</t>
  </si>
  <si>
    <t>是否入系统</t>
  </si>
  <si>
    <t>系统出单</t>
  </si>
  <si>
    <t>發票號</t>
  </si>
  <si>
    <r>
      <rPr>
        <b/>
        <sz val="12"/>
        <rFont val="宋体"/>
        <charset val="0"/>
        <scheme val="minor"/>
      </rPr>
      <t>MA  1</t>
    </r>
    <r>
      <rPr>
        <b/>
        <sz val="12"/>
        <rFont val="宋体"/>
        <charset val="134"/>
        <scheme val="minor"/>
      </rPr>
      <t>語收縮膜</t>
    </r>
    <r>
      <rPr>
        <b/>
        <sz val="12"/>
        <rFont val="宋体"/>
        <charset val="0"/>
        <scheme val="minor"/>
      </rPr>
      <t xml:space="preserve">
A</t>
    </r>
    <r>
      <rPr>
        <b/>
        <sz val="12"/>
        <rFont val="宋体"/>
        <charset val="134"/>
        <scheme val="minor"/>
      </rPr>
      <t>版本</t>
    </r>
  </si>
  <si>
    <t>MA  1語收縮膜
B版本</t>
  </si>
  <si>
    <t>MA  1語收縮膜
C版本</t>
  </si>
  <si>
    <t>MA  1語收縮膜
D版本</t>
  </si>
  <si>
    <t>MA  1語收縮膜
E版本</t>
  </si>
  <si>
    <t>MA 3语收缩膜</t>
  </si>
  <si>
    <t>MA  3語收縮膜
C版本</t>
  </si>
  <si>
    <t>MA  3語收縮膜
D版本</t>
  </si>
  <si>
    <t>客版收縮膜</t>
  </si>
  <si>
    <t>MA 9语
收藏指南
A版本</t>
  </si>
  <si>
    <t>MA 9语
收藏指南
B版本</t>
  </si>
  <si>
    <t>MA 5语
收藏指南
A版本</t>
  </si>
  <si>
    <t>MA 5语
收藏指南
B版本</t>
  </si>
  <si>
    <t>客版收藏指南</t>
  </si>
  <si>
    <t>GQ1-MA 1L</t>
  </si>
  <si>
    <t>GQ1-MA 1L-B版本</t>
  </si>
  <si>
    <t>GQ1-MA 1L-C版本</t>
  </si>
  <si>
    <t>GQ1-MA 3L</t>
  </si>
  <si>
    <t>GQ1-MA 3L-B版本</t>
  </si>
  <si>
    <t>GQ1-MA 3L-C版本</t>
  </si>
  <si>
    <t>GQ2-MA 3L          KM单+WM-CA-A版本</t>
  </si>
  <si>
    <t>GQ2-MA 3L          KM单+WM-CA-B版本</t>
  </si>
  <si>
    <t>GQ2-MA 3L          KM单+WM-CA-C版本</t>
  </si>
  <si>
    <t>GQ3-
客版 1L</t>
  </si>
  <si>
    <t>GQ3-客版 1L-B版本</t>
  </si>
  <si>
    <t>GQ3-客版 1L-C版本</t>
  </si>
  <si>
    <t>GQ4-MA 1L        TG单-A版本</t>
  </si>
  <si>
    <t>GQ4-MA 1L        TG单-B版本</t>
  </si>
  <si>
    <t>GQ4-MA 1L        TG单-C版本</t>
  </si>
  <si>
    <t>GQ4-MA 1L        TG单-D版本</t>
  </si>
  <si>
    <t>TQ1             WM单</t>
  </si>
  <si>
    <t>TQ2-3PCS</t>
  </si>
  <si>
    <t>TQ2-B 版本</t>
  </si>
  <si>
    <t>GQ5-A版本</t>
  </si>
  <si>
    <t>GQ5-B版本</t>
  </si>
  <si>
    <t>GQ6</t>
  </si>
  <si>
    <t>GQ6-B版本</t>
  </si>
  <si>
    <t>SK-S001-3L  无底座</t>
  </si>
  <si>
    <t>SK-S002 -3L有底座</t>
  </si>
  <si>
    <t>客版PDQ</t>
  </si>
  <si>
    <t>布標</t>
  </si>
  <si>
    <t>蓝色仓鼠(Blue)（A)</t>
  </si>
  <si>
    <t>粉色仓鼠(Pink)（B)</t>
  </si>
  <si>
    <t>紫色仓鼠(Purple)(D)</t>
  </si>
  <si>
    <t>土黄色仓鼠(Orange)(E)</t>
  </si>
  <si>
    <t>透明球</t>
  </si>
  <si>
    <t>无功能                    粉色仓鼠</t>
  </si>
  <si>
    <t>总数</t>
  </si>
  <si>
    <t>相差</t>
  </si>
  <si>
    <t>DM LLC</t>
  </si>
  <si>
    <t>俄罗斯</t>
  </si>
  <si>
    <t>Ural</t>
  </si>
  <si>
    <t>4500137881-90</t>
  </si>
  <si>
    <t>9543-S001</t>
  </si>
  <si>
    <t>仓鼠</t>
  </si>
  <si>
    <t>PASS</t>
  </si>
  <si>
    <t>预计7/31出</t>
  </si>
  <si>
    <t>6/26收到</t>
  </si>
  <si>
    <t>7/9收到进口商贴纸+EAN条码贴纸</t>
  </si>
  <si>
    <t>日期码格式：彩卡/收缩膜/PDQ/外箱不要打ZURU标准日期码！ 日期：
Packaging Info: 
9543 优先1L MA 收缩膜+进口商贴纸+EAN条码贴纸; MA 说明书/指南(如有);
注意 ：彩卡/收缩膜/PDQ/外箱不要打ZURU标准日期码！！
Remark: 1. 出 Bekasovo 2和Ural;</t>
  </si>
  <si>
    <t>Ann Zhang</t>
  </si>
  <si>
    <t>ok</t>
  </si>
  <si>
    <t>已入</t>
  </si>
  <si>
    <t>88869-1.4</t>
  </si>
  <si>
    <t>增加移印布标内容</t>
  </si>
  <si>
    <t>ZMPO24801</t>
  </si>
  <si>
    <t>9543GQ1-S001</t>
  </si>
  <si>
    <t>周转箱</t>
  </si>
  <si>
    <t>无</t>
  </si>
  <si>
    <t>备注： 收到样品订单后尽快安排 ，注意样板品质质量要求要高于大货品质要求 ，送货时必须要附带送货单(没有送货单和QC检验合格报告的仓库一律拒绝收货)，请知悉，谢谢！                                                                                                                                   Remark:大货最新ZURU Logo版本/款号平均/请用大货标准箱装箱22PCS/箱共10箱/箱唛请参照邮件附件</t>
  </si>
  <si>
    <t>Angus</t>
  </si>
  <si>
    <t>出Bekasovo 2</t>
  </si>
  <si>
    <t>4500143263-10</t>
  </si>
  <si>
    <t>2/10出</t>
  </si>
  <si>
    <t>10/28收到</t>
  </si>
  <si>
    <t>进口商贴纸+EAN条码贴纸（翻4500143236）</t>
  </si>
  <si>
    <t>外包装 (指: 收缩膜/彩卡/吊牌/PDQ) /外箱不要打ZURU标准日期码！</t>
  </si>
  <si>
    <t>日期码格式：注意:外包装(指: 收缩膜/彩卡/吊牌/PDQ)/外箱不要打ZURU标准日期码！ 日期：
Packaging Info: 出Bekasovo 2 和Ural 2 个港口；
LC 货期不可延期有罚款 ；
1. 1L MA 收缩膜 or 彩卡+进口商贴纸（翻4500143236）+EAN条码贴纸（翻4500143236）; MA 说明书/指南（如有）;
注意 ：外包装 (指: 收缩膜/彩卡/吊牌/PDQ) /外箱不要打ZURU标准日期码！
Remark: 标准配比</t>
  </si>
  <si>
    <t>OK</t>
  </si>
  <si>
    <t>94200-2.10</t>
  </si>
  <si>
    <t>出Ural</t>
  </si>
  <si>
    <t>4500143263-40</t>
  </si>
  <si>
    <t>日期码格式：注意:外包装(指: 收缩膜/彩卡/吊牌/PDQ)/外箱不要打ZURU标准日期码！ 日期：
Packaging Info: 出Bekasovo 2 和Ural 2 个港口；
LC 货期不可延期有罚款 ；
1.9543 ： 1L MA 收缩膜 or 彩卡+进口商贴纸（翻4500143236）+EAN条码贴纸（翻4500143236）; MA 说明书/指南（如有）;
注意 ：外包装 (指: 收缩膜/彩卡/吊牌/PDQ) /外箱不要打ZURU标准日期码！
Remark: 标准配比</t>
  </si>
  <si>
    <t>Amazon Mexico, S. DE R.L. DE CV</t>
  </si>
  <si>
    <t>墨西哥</t>
  </si>
  <si>
    <t>64SP3ZYY</t>
  </si>
  <si>
    <t>4500151559-30</t>
  </si>
  <si>
    <t>9543A-S001</t>
  </si>
  <si>
    <t>空白外箱加印ZURU Logo+MADE IN CHINA+SSCC LABEL(客供贴纸）</t>
  </si>
  <si>
    <t>UPC贴纸翻4500098824+12/4-进口商贴纸</t>
  </si>
  <si>
    <t>12/6-SSCC贴纸</t>
  </si>
  <si>
    <t>日期码格式：ZURU INC(BVI) 标准格式 日期：按实际生产日期
Packaging Info: 
9543: MA 加UPC贴纸， UPC贴纸跟翻单4500098824+进口商贴纸+SSCC贴纸。
Remark: Amazon FOB订单，出口Mexico，外箱最长边不能超过25" （超过了，case pack只能为1），不符合要求的大货，一律不接受。
1.空白外箱加印ZURU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2. 日期码使用ZURU标准版
3. 客户PO备注在remark处
6.9543: 2PCS AAA Batteries(Not Include)</t>
  </si>
  <si>
    <t>Zoe Luo</t>
  </si>
  <si>
    <t>9543A-S001-MTS</t>
  </si>
  <si>
    <t>88897-1.6</t>
  </si>
  <si>
    <t>4500151559-40</t>
  </si>
  <si>
    <t>9543D-S001</t>
  </si>
  <si>
    <t>9543D-S001-MTS</t>
  </si>
  <si>
    <t>Amazon EU SARL, Ndl Deutschland</t>
  </si>
  <si>
    <t>德国</t>
  </si>
  <si>
    <t>5WJDQBAA</t>
  </si>
  <si>
    <t>4500148999-30</t>
  </si>
  <si>
    <t>1/4-1/8出</t>
  </si>
  <si>
    <t>空白外箱（加印带Zuru字样的最新logo，除了邮包盒直接做外箱的产品） + SSCC LABEL一张, 无箱唛’MADE IN CHINA 外箱只印一正一侧。</t>
  </si>
  <si>
    <t>UPC+IT sorting labe翻4500120504+ZURU邮箱贴纸翻4500149035</t>
  </si>
  <si>
    <t>11/21收到客供外箱贴纸</t>
  </si>
  <si>
    <t>日期码格式：ZURU INC(BVI) 标准格式 日期：按实际生产日期
Packaging Info: Amazon DE 9543D
3.9543D: 9543D 24pcs/ctn, no inner, purple; MA 3L（9L warning）C版收缩膜+4张贴纸(1张UPC#，参考翻单PO#4500120504；1张IT环保标，参考翻单PO#4500120
504；1张ES回收标, 参考翻单PO#4500149035；1张ZURU邮箱，参考翻单PO#4500149035)+5L(9L warning)说明书；
5. ZURU 验货最迟不得晚于2024/12/26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</si>
  <si>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Zoe Chen</t>
  </si>
  <si>
    <t>9543D-S001-3L</t>
  </si>
  <si>
    <t>88946-1.8</t>
  </si>
  <si>
    <t>Amazon ES</t>
  </si>
  <si>
    <t>西班牙</t>
  </si>
  <si>
    <t>5KXG56ZT</t>
  </si>
  <si>
    <t>4500151280-10</t>
  </si>
  <si>
    <t>9543B-S001</t>
  </si>
  <si>
    <t>1/5-1/9出</t>
  </si>
  <si>
    <t>空白外箱（加印带Zuru字样的最新logo，除了邮包盒直接做外箱的产品） + SSCC LABEL一张, 无箱唛。</t>
  </si>
  <si>
    <t>11/15收到UPC+IT 翻4500120504+ES回收标+ZURU邮箱贴纸</t>
  </si>
  <si>
    <t>11/29-外箱贴纸</t>
  </si>
  <si>
    <t>日期码格式：ZURU INC(BVI) 标准格式 日期：按实际生产日期 Tracking Code:
Packaging Info: Amazon ES(9543B, 7150B)
 1. 9543B：9543B 24pcs/ctn, no inner, pink; MA 3L（9L warning）C版收缩膜+4张贴纸(1张#UPC+1张IT sorting label，参考翻单PO#4500120504；1张ES回收标
，参考翻单PO#4500151280；1张ZURU邮箱)+5L(9L warning)A说明书；
 3. 最迟验货不得晚于2024/12/27;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</si>
  <si>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Mandy Hu</t>
  </si>
  <si>
    <t>9543B-S001-3L</t>
  </si>
  <si>
    <t>88939-1.8</t>
  </si>
  <si>
    <t>AMAZON FR</t>
  </si>
  <si>
    <t>法国</t>
  </si>
  <si>
    <t>59XSZYJX</t>
  </si>
  <si>
    <t>4500151278-20</t>
  </si>
  <si>
    <t>UPC+IT翻4500120504</t>
  </si>
  <si>
    <t>12/5-外箱贴纸</t>
  </si>
  <si>
    <t>日期码格式：ZURU INC(BVI) 标准格式 日期：按实际生产日期
Packaging Info: Amazon FR(7150B, 9543B)
2. 9543B：9543B 24pcs/ctn, no inner, pink; MA 3L（9L warning）C版收缩膜+2张贴纸(含1张#UPC；1张IT sorting label)+5L(9L warning)A说明书；参考翻单P
O#4500120504；
3. 最迟验货不得晚于2024/12/27;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</si>
  <si>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Crystal Chen</t>
  </si>
  <si>
    <t>88956-1.9</t>
  </si>
  <si>
    <t>Amazon CA (Vendor Center)</t>
  </si>
  <si>
    <t>加拿大</t>
  </si>
  <si>
    <t>3NHSHWDA</t>
  </si>
  <si>
    <t>4500150978-30</t>
  </si>
  <si>
    <t>1/1-1/7出</t>
  </si>
  <si>
    <t>11/12收到</t>
  </si>
  <si>
    <t>UPC贴纸跟翻4500098824</t>
  </si>
  <si>
    <t>日期码格式：ZURU INC(BVI) 标准格式 日期：按实际生产日期
Packaging Info: 出口加拿大，包装需要至少2/3L UPC版，无硼版本
 #9543: MA 3L UPC版本加UPC贴纸，UPC贴纸跟翻单4500098824。A:193052051776, B:193052051783, 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</si>
  <si>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Kelly/Mia</t>
  </si>
  <si>
    <t>88919-1.7</t>
  </si>
  <si>
    <t>3A8P5CWW</t>
  </si>
  <si>
    <t>4500150978-40</t>
  </si>
  <si>
    <t>9543E-S001</t>
  </si>
  <si>
    <t>9543E-S001-3L</t>
  </si>
  <si>
    <t>2IK4A3AH</t>
  </si>
  <si>
    <t>4500150978-50</t>
  </si>
  <si>
    <t>9543A-S001-3L</t>
  </si>
  <si>
    <t>Dirk Rossmann GmbH</t>
  </si>
  <si>
    <t>30241146A</t>
  </si>
  <si>
    <t>4500149853-50</t>
  </si>
  <si>
    <t>12/25 第三方</t>
  </si>
  <si>
    <t>1/2出</t>
  </si>
  <si>
    <t>11/18收到                                                                                                                                                                                                外箱需要是5层瓦楞纸，厚度在5-9mm。</t>
  </si>
  <si>
    <t>EAN条码贴纸翻4500116318+德语callout贴纸翻4500122326+客版黑白WEEE声明说明书纸翻4500145491</t>
  </si>
  <si>
    <t>日期码格式：ZURU INC(BVI) 标准格式 日期：按实际生产日期
Packaging Info:9543: 最新MA 1L+多语收缩膜+EAN条码贴纸(翻单4500116318)+德语callout贴纸(翻单4500122326)+ 5L+9L说明书+客版黑白WEEE声明说明书纸(翻单#4500145491)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10.标准配比。</t>
  </si>
  <si>
    <t>Shirley Zhou</t>
  </si>
  <si>
    <t>94159-1.23</t>
  </si>
  <si>
    <t>Inventive Toys</t>
  </si>
  <si>
    <t>俄罗斯联邦</t>
  </si>
  <si>
    <t>4500150797-20</t>
  </si>
  <si>
    <t>1/3出</t>
  </si>
  <si>
    <t>11/26收到</t>
  </si>
  <si>
    <t>12/3-进口商贴纸+EAN 条码贴纸</t>
  </si>
  <si>
    <t>外包装/外箱不要打ZURU标准日期码</t>
  </si>
  <si>
    <t>日期码格式：外包装/外箱不要打ZURU标准日期码 日期：
Packaging Info: 注意 ：外包装 (指: 收缩膜/彩卡/铝箔袋/挂卡/PDQ) /外箱不要打ZURU标准日期码！胶件可以打日期码。
外包装（包括收缩膜/彩卡/PDQ）都不能含Instagram and facebook logo等社交logo;
1L MA 收缩膜+ 进口商贴纸； MA PDQ+ EAN 条码贴纸 ， MA 指南/说明书（如有）
Remark: 标准配比 ；</t>
  </si>
  <si>
    <t>94064-1.16</t>
  </si>
  <si>
    <t>DD’S DISCOUNTS</t>
  </si>
  <si>
    <t>美国</t>
  </si>
  <si>
    <t>4500150186-10</t>
  </si>
  <si>
    <t>1/7出</t>
  </si>
  <si>
    <t>ROSS指定箱唛格式</t>
  </si>
  <si>
    <t>11/20-客供价格贴纸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</si>
  <si>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</si>
  <si>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Taylor Liao</t>
  </si>
  <si>
    <t>88920-1.7</t>
  </si>
  <si>
    <t>ToyChamp Belgium nv</t>
  </si>
  <si>
    <t>比利时</t>
  </si>
  <si>
    <t>4500151401-40</t>
  </si>
  <si>
    <t>1/19出</t>
  </si>
  <si>
    <t>11/21收到</t>
  </si>
  <si>
    <t>11/21收到EAN条码贴纸</t>
  </si>
  <si>
    <t>日期码格式：ZURU INC(BVI) 标准格式 日期：按实际生产日期
Packaging Info:
9543GQ1: MA C版 3L（9L warning）收缩膜+1张EAN条码贴纸，MA 5L说明书（9L warning），MA B版 3L PDQ
Remark: 1.外箱需要印条码，请确保条码可以清晰扫描，且条码内容正确
2.出欧洲，微塑料需合规（如item本身不含微塑料,则忽略此要求）
3.STD配比</t>
  </si>
  <si>
    <t>Amber Zhang</t>
  </si>
  <si>
    <t>9543GQ1-S001-3L</t>
  </si>
  <si>
    <t>94107-1.18</t>
  </si>
  <si>
    <t>N.V. DREAMLAND</t>
  </si>
  <si>
    <t>4500151832-10</t>
  </si>
  <si>
    <t>1/6出</t>
  </si>
  <si>
    <t>11/20收到</t>
  </si>
  <si>
    <t>11/20收到EAN条码贴纸</t>
  </si>
  <si>
    <t>日期码格式：ZURU INC(BVI) 标准格式 日期：按实际生产日期
Packaging Info: 9543GQ1: MA C版 3L（9L warning）收缩膜+1张EAN条码贴纸，MA 5L说明书（9L warning），MA B版 3L PDQ
Remark: 1.外箱需要印条码，请确保条码可以清晰扫描，且条码内容正确
2.出欧洲，微塑料需合规（如item本身不含微塑料,则忽略此要求）
3.STD配比
4. 所有产品符合REACH申明</t>
  </si>
  <si>
    <t>88874-1.4</t>
  </si>
  <si>
    <t>«Market Group» LLC</t>
  </si>
  <si>
    <t>4500152880-10</t>
  </si>
  <si>
    <t>9543GQ1-S002</t>
  </si>
  <si>
    <t>11/29收到</t>
  </si>
  <si>
    <t>12/6-进口商贴纸+ EAN条码贴纸</t>
  </si>
  <si>
    <t>日期码格式：ZURU INC(BVI) 标准格式 日期：按实际生产日期
Packaging Info: 1. 9543GQ1 : 1L MA 收缩膜 or 彩卡 + 进口商贴纸+ EAN条码贴纸，MA 指南 /说明书/PDQ 如有;
2. 货期不能延后，客人有罚金。
3. 需要安排3套大货样，请多备料。
Remark: 标准配比</t>
  </si>
  <si>
    <t>88935-1.8</t>
  </si>
  <si>
    <t>BIG W</t>
  </si>
  <si>
    <t>澳大利亚</t>
  </si>
  <si>
    <t>CUS
PO#47779210
SYD</t>
  </si>
  <si>
    <t>4500152763-10</t>
  </si>
  <si>
    <t>11/28收到</t>
  </si>
  <si>
    <t>进口商贴纸翻4500106537</t>
  </si>
  <si>
    <t>日期码格式：ZURU INC(BVI) 标准格式 日期：按实际生产日期
Packaging Info: 1. 包装
9543GQ1：英文MA包装 (UPC版本，首选1L，无1L可用多L含英语)+1张进口商贴纸，贴纸翻单4500106537
2. 产品和包装上的日期码一致，请按要求在包装上打日期码（进口商贴纸不覆盖日期码）
3. 使用ZURU标准日期码
Remark: 1. 共出4港口(SYD, BNE, MEL, FRE), 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t>
  </si>
  <si>
    <t>Christine Liao</t>
  </si>
  <si>
    <t>88832-1.2</t>
  </si>
  <si>
    <t>CUS
PO#47779211
BNE</t>
  </si>
  <si>
    <t>4500152763-30</t>
  </si>
  <si>
    <t>1/4出</t>
  </si>
  <si>
    <t>88853-1.3</t>
  </si>
  <si>
    <t>CUS
PO#47779212
MEL</t>
  </si>
  <si>
    <t>4500152763-50</t>
  </si>
  <si>
    <t>1/8出</t>
  </si>
  <si>
    <t>88887-1.6</t>
  </si>
  <si>
    <t>CUS
PO#47779213
FRE</t>
  </si>
  <si>
    <t>4500152763-70</t>
  </si>
  <si>
    <t>88867-1.4</t>
  </si>
  <si>
    <t>THE WAREHOUSE LIMITED</t>
  </si>
  <si>
    <t>新西兰</t>
  </si>
  <si>
    <t>4500151669-10</t>
  </si>
  <si>
    <t>1/14出</t>
  </si>
  <si>
    <t>11/19收到</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</si>
  <si>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此单出AKL
9543GQ1: bule/purple/pink/orange =5:6:6:5; 2PCS AAA Batteries(Not Include)</t>
  </si>
  <si>
    <t>Abby Liang</t>
  </si>
  <si>
    <t>94011-1.13</t>
  </si>
  <si>
    <t>CRG</t>
  </si>
  <si>
    <t>哥斯达黎加</t>
  </si>
  <si>
    <t>ZU01-25</t>
  </si>
  <si>
    <t>4500152087-80</t>
  </si>
  <si>
    <t>11/25收到</t>
  </si>
  <si>
    <t>进口商贴纸翻4500098650</t>
  </si>
  <si>
    <t>日期码格式：ZURU INC(BVI) 标准格式 日期：按实际生产日期
Packaging Info:
 9543GQ1:MA 1L包装+MA 5L说明书+进口商贴纸+箱唛，进口商贴纸翻单PO4500098650
Remark:</t>
  </si>
  <si>
    <t>Ava Liang</t>
  </si>
  <si>
    <t>88961-1.9</t>
  </si>
  <si>
    <t>4500151670-10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</si>
  <si>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此单出LYT
9543GQ1: bule/purple/pink/orange =5:6:6:5; 2PCS AAA Batteries(Not Include)</t>
  </si>
  <si>
    <t>94012-1.13</t>
  </si>
  <si>
    <t>FREDMEYER INC</t>
  </si>
  <si>
    <t>4500152951-10</t>
  </si>
  <si>
    <t>日期码格式：ZURU INC(BVI) 标准格式 日期：按实际生产日期
Packaging Info: 1、包装方式： MA UPC优先1L最新版，出口美国
Remark: 2、无第三方测试验货要求。
3、纸箱4面印ZURU LOGO + 箱唛。
4、日期码请按ZURU标准版执行即可。
5、ZURU QC验货
6、REMARK: 2pcs *AAA battery not Includedd; Integral single ratio=bule/purple/pink/orange =5:6:6:5;
IF Kroger/Fredmeyer need new GTIN:60193052050320</t>
  </si>
  <si>
    <t>Vicky Wu</t>
  </si>
  <si>
    <t>88886-1.6</t>
  </si>
  <si>
    <t>ATLAS AMBASSADOR</t>
  </si>
  <si>
    <t>摩洛哥</t>
  </si>
  <si>
    <t>4500152205-10</t>
  </si>
  <si>
    <t>1/15出</t>
  </si>
  <si>
    <t>11/27收到</t>
  </si>
  <si>
    <t>12/11-进口商贴纸+说明书贴纸</t>
  </si>
  <si>
    <t>日期码格式：ZURU INC(BVI) 标准格式 日期：按实际生产日期 
Packaging Info: 1.9543GQ1:1L MA UPC收缩膜+进口商贴纸;MA说明书;MA PDQ
 2.此客户需要进行COC认证，装柜前在主拼工厂会有第三方验货，每款item需备2pcs 验货备品。
Remark: 标准产品标准配比</t>
  </si>
  <si>
    <t>Lena Huang</t>
  </si>
  <si>
    <t>94106-1.18</t>
  </si>
  <si>
    <t>Ansaldo Chile</t>
  </si>
  <si>
    <t>智利</t>
  </si>
  <si>
    <t>2024-HKC0026</t>
  </si>
  <si>
    <t>4500146540-30</t>
  </si>
  <si>
    <t>1/10出</t>
  </si>
  <si>
    <t>10/15收到</t>
  </si>
  <si>
    <t>进口商贴纸翻450014636</t>
  </si>
  <si>
    <t>日期码格式：ZURU INC(BVI) 标准格式 日期：按实际生产日期
Packaging Info: 9543GQ1:MA 3L UPC包装+进口商贴纸+箱唛,进口商贴纸翻单PO4500146361
Remark:</t>
  </si>
  <si>
    <t>88980-1.10</t>
  </si>
  <si>
    <t>Wonderland Toys Inc DBA The Zoofy G</t>
  </si>
  <si>
    <t>4500151635-10</t>
  </si>
  <si>
    <t>1/20出</t>
  </si>
  <si>
    <t>11/27-价格贴纸+要UCC贴纸</t>
  </si>
  <si>
    <t>日期码格式：ZURU INC(BVI) 标准格式 日期：按实际生产日期
Packaging Info: 1. 出口美国，MA UPC 版本包装，优先1L。
#9543GQ1: PRICER TICK-10.99; Shipped without batteries; operated by 2PCS AAA batteries;
2. 产品需要价格贴纸， 贴纸资料后面提供。
3. 外箱需要UCC贴纸。贴纸资料后面提供。
Remark: 4. Zuru QC 验货即可。</t>
  </si>
  <si>
    <t>Abby Mai, Lluviazeng</t>
  </si>
  <si>
    <t>94108-1.18</t>
  </si>
  <si>
    <t>Ambiental Paraguay</t>
  </si>
  <si>
    <t>巴拉圭</t>
  </si>
  <si>
    <t>4500153347-50</t>
  </si>
  <si>
    <t>1/11出</t>
  </si>
  <si>
    <t>12/5收到</t>
  </si>
  <si>
    <t>12/5-进口商贴纸</t>
  </si>
  <si>
    <t>日期码格式：ZURU INC(BVI) 标准格式 日期：按实际生产日期
Packaging Info: 
9543GQ1:MA 3L UPC包装+进口商贴纸+箱唛，进口商贴纸贴于位置"B"</t>
  </si>
  <si>
    <t>94049-1.15</t>
  </si>
  <si>
    <t>4500150314-10</t>
  </si>
  <si>
    <t>12/2-客供价格贴纸</t>
  </si>
  <si>
    <t>日期码格式：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</si>
  <si>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94127-1.21</t>
  </si>
  <si>
    <t>6QVOH9XX</t>
  </si>
  <si>
    <t>4500152544-70</t>
  </si>
  <si>
    <t>1/16-1/21出</t>
  </si>
  <si>
    <t>12/20-客供外箱贴纸</t>
  </si>
  <si>
    <t>日期码格式：ZURU INC(BVI) 标准格式 日期：按实际生产日期
Packaging Info: 出口加拿大，包装需要至少2/3L UPC版，无硼版本。
#9543: MA 3L UPC版本。A:193052051776, B:193052051783, 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</si>
  <si>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94134-1.21</t>
  </si>
  <si>
    <t>741V7UML</t>
  </si>
  <si>
    <t>4500152544-90</t>
  </si>
  <si>
    <t>1OGZNF3F</t>
  </si>
  <si>
    <t>4500152544-120</t>
  </si>
  <si>
    <t>6GPK2DAR</t>
  </si>
  <si>
    <t>4500152544-130</t>
  </si>
  <si>
    <t>2SPNAMFN</t>
  </si>
  <si>
    <t>4500152544-140</t>
  </si>
  <si>
    <t>6ZIX89BO</t>
  </si>
  <si>
    <t>4500152544-180</t>
  </si>
  <si>
    <t>SUCKOT SAC</t>
  </si>
  <si>
    <t>秘鲁</t>
  </si>
  <si>
    <t>4500152261-100</t>
  </si>
  <si>
    <t>12/19-进口商贴纸</t>
  </si>
  <si>
    <t>日期码格式：ZURU INC(BVI) 标准格式 日期：按实际生产日期 Tracking Code:
Packaging Info:
 9543GQ1：MA 3L UPC包装+MA PDQ包装+MA 多语说明书+进口商贴纸+箱唛
Remark: 
9543GQ1：bule/purple/pink/orange =5:6:6:5; 2PCS AAA Batteries(Not Include)
 出货前要提供大货照片给客户确认后才能出货，请按期完货</t>
  </si>
  <si>
    <t>88921-1.7</t>
  </si>
  <si>
    <t>WABRO</t>
  </si>
  <si>
    <t>阿根廷</t>
  </si>
  <si>
    <t>4500152720-190</t>
  </si>
  <si>
    <t>12/3收到</t>
  </si>
  <si>
    <t>12/6-进口商贴纸+ITEM NO.贴纸</t>
  </si>
  <si>
    <t>日期码格式：ZURU INC(BVI) 标准格式 日期：按实际生产日期
Packaging Info: 
9543GQ1:MA 3L包装+MA 5L说明书+进口商贴纸+箱唛+ITEM NO.贴纸
Remark: LR44 电池品牌为ONLY</t>
  </si>
  <si>
    <t>88958-1.9</t>
  </si>
  <si>
    <t>VM INTERNATIONAL</t>
  </si>
  <si>
    <t>4500151779-20</t>
  </si>
  <si>
    <t>1/13出</t>
  </si>
  <si>
    <t>12/12收到</t>
  </si>
  <si>
    <t>日期码格式：ZURU INC(BVI) 标准格式 日期：按实际生产日期
Packaging Info: 1.ZURU 标准日期码格式，
2.无第三方测试和验货，ZURU 内部QC验货即可出货
Remark: 3. 优先 MA 1L UPC包装;
4. 纸箱印ZURU LOGO，出口美国；</t>
  </si>
  <si>
    <t>Iris Yuan</t>
  </si>
  <si>
    <t>94112-1.18</t>
  </si>
  <si>
    <t>APOLLO D.O.O.</t>
  </si>
  <si>
    <t>斯洛文尼亚</t>
  </si>
  <si>
    <t>4500153179-10</t>
  </si>
  <si>
    <t>收到SO</t>
  </si>
  <si>
    <t>进口商贴纸(翻4500119045</t>
  </si>
  <si>
    <t>日期码格式：ZURU INC(BVI) 标准格式 日期：按实际生产日期
Packaging Info: 9543GQ1: MA最新包装含UPC条码+进口商贴纸(翻4500119045）+MA PDQ
Remark: 此单出欧洲斯洛文尼亚， 需满足EU测试标准要求，不能含微塑料，需出无闪粉版本
9543GQ1:bule/purple/pink/orange =5:6:6:5; 2PCS AAA Batteries(Not Include)</t>
  </si>
  <si>
    <t>Sharon</t>
  </si>
  <si>
    <t>94148-1.22</t>
  </si>
  <si>
    <t>Gabriel Brothers</t>
  </si>
  <si>
    <t>4500148873-10</t>
  </si>
  <si>
    <t>1/21出</t>
  </si>
  <si>
    <t>10/29收到</t>
  </si>
  <si>
    <t>日期码格式：ZURU INC(BVI) 标准格式 日期：按实际生产日期
Packaging Info: ZURU MA UPC (首选1L / 多语可以接受)包装,
Remark: 1. ZURU MA UPC (首选1L / 多语可以接受)包装,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</si>
  <si>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Jessi Xu</t>
  </si>
  <si>
    <t>94092-1.18</t>
  </si>
  <si>
    <t>AMAZON UK</t>
  </si>
  <si>
    <t>英国</t>
  </si>
  <si>
    <t>Amazon
UK:8VVMR8EI</t>
  </si>
  <si>
    <t>4500151302-70</t>
  </si>
  <si>
    <t>9543B-S001-PKC</t>
  </si>
  <si>
    <t>仓鼠                                                                                                                                                                                                                    1只胶袋装</t>
  </si>
  <si>
    <t>1/22-1/26出</t>
  </si>
  <si>
    <t>UPC+IT翻单4500120504+ES回收标翻4500151280+1/10-胶袋UPC贴纸</t>
  </si>
  <si>
    <t>12/9-外箱贴纸</t>
  </si>
  <si>
    <t>日期码格式：ZURU INC(BVI) 标准格式 日期：按实际生产日期 
Packaging Info: Amazon UK(9543B, 71126, 71109B)/DE(9543B, 7150B)
 1. 9543B：9543B 24pcs/ctn, no inner, pink; MA 3L（9L warning）C版收缩膜+4张贴纸(1张#UPC+1张IT sorting label，参考翻单PO#4500120504；1张ES回收标
，参考翻单PO#4500151280；1张ZURU邮箱，参考翻单PO#4500151280)+5L(9L warning)A说明书+Polybag(含防窒息5L警示语+塑料循环标) +1张贴纸(UPC#，参考翻单P
 O#4500120504，贴在polybag)；
 5. 最迟验货不得晚于2024/1/13;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</si>
  <si>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94154-1.22</t>
  </si>
  <si>
    <t>Amazon
DE:6WL9FEON</t>
  </si>
  <si>
    <t>4500151302-80</t>
  </si>
  <si>
    <t>1/21-1/25出</t>
  </si>
  <si>
    <t>Amazon DE:
PO#4HNJ87AR</t>
  </si>
  <si>
    <t>4500153435-80</t>
  </si>
  <si>
    <t>9543A-S001-PKC</t>
  </si>
  <si>
    <t>2/7-2/11出</t>
  </si>
  <si>
    <t>空白外箱（加印带Zuru字样的最新logo，除了邮包盒直接做外箱的产品） + SSCC LABEL一张, 无箱唛.</t>
  </si>
  <si>
    <t>UPC+IT翻4500120504+ZURU邮箱贴纸翻4500149035）；+1/10-胶袋UPC贴纸</t>
  </si>
  <si>
    <t>12/18-外箱贴纸</t>
  </si>
  <si>
    <t>日期码格式：ZURU INC(BVI) 标准格式 日期：按实际生产日期
Packaging Info: Amazon UK/DE (92104HG/9279B/9296A/9543A)
 4. 9543A: 9543A 24pcs/ctn, no inner, blue; MA 3L（9L warning）C版收缩膜+2张贴纸(1张#UPC, 1张IT sorting label&lt;(&gt;,&lt;)&gt; 参考翻单PO#4500120504)+MA 5L
 (9L warning) A 说明书 +1张ZURU邮箱贴纸（参考翻单PO#4500149035）+Polybag(含防窒息5L警示语+塑料循环标) +1张贴纸(UPC#，参考翻单PO#4500120504，贴在p
 olybag)；
 5. ZURU验货最迟不得晚于2025/1/27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</si>
  <si>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94210-2.11</t>
  </si>
  <si>
    <t>ZMPO24996</t>
  </si>
  <si>
    <t>完成</t>
  </si>
  <si>
    <t>大货版/只需要仓鼠球球壳和里面白色的底托  备注：收到样品订单后尽快安排 ，谢谢！</t>
  </si>
  <si>
    <t>*</t>
  </si>
  <si>
    <t>过渡</t>
  </si>
  <si>
    <t>SUBURBIA S DE R. L. DE C. V.</t>
  </si>
  <si>
    <t>4500145574-30</t>
  </si>
  <si>
    <t>1/17出</t>
  </si>
  <si>
    <t>.外箱只需四面印Zuru logo</t>
  </si>
  <si>
    <t>1/2-进口商贴纸+价标贴纸+说明书贴纸</t>
  </si>
  <si>
    <t>日期码格式：ZURU INC(BVI) 标准格式 日期：按实际生产日期
Packaging Info: 
9543GQ1: MA 3L UPC包装+MA PDQ包装+MA多语说明书+进口商贴纸+价标贴纸+说明书贴纸
1.外箱只需四面印Zuru logo，再加2张贴纸，1张Hu贴纸（条码贴），1张ASN贴纸（尺寸6.5cm*6.3cm,潘通色号2597C），都贴于侧唛，只需贴1面(备注HU'S &lt;(&gt;&amp;
&lt;)&gt; ASN贴纸客供）
2. 一个外箱对应一个HU’S(条形码),不可以混条码包装
3.含有说明书需要增加说明书贴纸
4.价格贴纸覆盖原有彩盒的条形码
Remark:
9543GQ1:2PCS AAA Batteries(Not Include)
bule/purple/pink/orange =5:6:6:5;
此单有监柜要求，需要每款多准备一套完整物料，用于监柜，不可以随大货走</t>
  </si>
  <si>
    <t>94085-1.17</t>
  </si>
  <si>
    <t>TOYS "R" US – JAPAN, LTD</t>
  </si>
  <si>
    <t>日本</t>
  </si>
  <si>
    <t>47:0003109948</t>
  </si>
  <si>
    <t>4500153105-10</t>
  </si>
  <si>
    <t>2/17出</t>
  </si>
  <si>
    <t>12/2收到</t>
  </si>
  <si>
    <t>12/4-日语贴纸</t>
  </si>
  <si>
    <t>日期码格式：ZURU INC(BVI) 标准格式 日期：按实际生产日期
Packaging Info: 9543GQ1： MA 1L PKG D版包装+MA 说明书+1张日语贴纸（贴纸AW待提供）（位置图翻单4500122471）
(9543GQ1)PDQ: MA 1L PDQ PKG B 版包装
Remark: 9543GQ1的大货的产品品质跟内容需跟4500129603这单一致，有任何更新（含包装）需提前告知。</t>
  </si>
  <si>
    <t>Doris Shou</t>
  </si>
  <si>
    <t>94235-2.13</t>
  </si>
  <si>
    <t>SAINSBURY'S SUPERMARKET LTD</t>
  </si>
  <si>
    <t>PO#2700206-SK
U#143951840</t>
  </si>
  <si>
    <t>4500150157-10</t>
  </si>
  <si>
    <t>9543GQ3-S001</t>
  </si>
  <si>
    <t>2/11出</t>
  </si>
  <si>
    <t>12/16收到</t>
  </si>
  <si>
    <t>日期码格式：ZURU INC(BVI) 标准格式 日期：按实际生产日期
Packaging Info: -9543GQ3: MA-1L包装配套+ ZURU客版PDQ（2Facing7pcs/Gravity PDQ; 参考翻单PO#4500123744）
产品信息: 7product+demo;2pcs *AAA battery not Include; Integral single ratio=bule/purple/pink/orange =1:1:1:1
-订单对应客户1个PO号 ，备注有显示
Remark: *胶带最少宽度要保证6.0CM,厚度最少0.05毫米,外箱不可以打钉/扎带；以工字型封箱；
*如果重量超过5KGS，箱唛需加黄色警示图标志 ，有疑问请与ZURU跟单同事联系,十分重要！
*订单出英国，请注意检查产品及包装应带UKCA图标，包装显示ZURU UK LTD信息，QC同事请查核，如有问题与跟单确认。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，请安排生产前先核对再生产或者与Sherry 复核再安排 。
*外箱上的条码请确保清晰可扫描 ，否则到目的仓无法扫描入仓由工厂承担责任 。
*所有产品按符合欧洲标准走货，需要是不含微塑料版本 。
*涉及到硼的，请使用低硼版本
*客户不接受PVC材质</t>
  </si>
  <si>
    <t>94208-2.11</t>
  </si>
  <si>
    <t>ARGOS LIMITED</t>
  </si>
  <si>
    <t>PO#361486-SKU
#3428775</t>
  </si>
  <si>
    <t>4500150417-10</t>
  </si>
  <si>
    <t>12/6客人白色Cat.label 1张覆盖ZURU条码</t>
  </si>
  <si>
    <t>日期码格式：ZURU INC(BVI) 标准格式 日期：按实际生产日期
Packaging Info: 9543: MA -1L 包装+客人白色Cat.label 1张覆盖ZURU条码
注意Cat.label (要求易撕类贴纸，但是粘性不能过低），同时此贴纸每个订单都是不相同的(会显示客户对应的订单号），切勿翻旧订单购买，该贴纸由工厂自行
购买。
订单对应客户1个PO号 ，备注有显示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*所有产品按符合欧洲标准走货，需要是不含微塑料版本 。
*涉及到硼的，请使用低硼版本
*客户不接受PVC材质包装</t>
  </si>
  <si>
    <t>94267-2.17</t>
  </si>
  <si>
    <t>4500151558-10</t>
  </si>
  <si>
    <t>3/21出</t>
  </si>
  <si>
    <t>1/3-客供价格贴纸</t>
  </si>
  <si>
    <t>ZB00018-3.20</t>
  </si>
  <si>
    <t>Toynova GmbH</t>
  </si>
  <si>
    <t>4500154198-10</t>
  </si>
  <si>
    <t>12/18收到</t>
  </si>
  <si>
    <t>EAN条码贴纸翻4500137714</t>
  </si>
  <si>
    <t>日期码格式：ZURU INC(BVI) 标准格式 日期：按实际生产日期 
Packaging Info: 9543A：MA 1L 收缩膜+EAN条码贴纸(翻单：4500137714）+MA 5L说明书
Remark: "1.需要在完货当天提供验货图片供客人放货
 2.此单出德国，需准时出货
 3.此单出欧洲需要出无闪粉版本
 4.此单符合欧洲 8 PAH 标准即可"</t>
  </si>
  <si>
    <t>Amy Xiao</t>
  </si>
  <si>
    <t>94209-2.11</t>
  </si>
  <si>
    <t>4500154198-20</t>
  </si>
  <si>
    <t>日期码格式：ZURU INC(BVI) 标准格式 日期：按实际生产日期
Packaging Info: 
 9543B：MA 1L 收缩膜+EAN条码贴纸(翻单：4500137714）+MA 5L说明书
Remark: "1.需要在完货当天提供验货图片供客人放货
 2.此单出德国，需准时出货
 3.此单出欧洲需要出无闪粉版本
 4.此单符合欧洲 8 PAH 标准即可"</t>
  </si>
  <si>
    <t>9543B-S001-MTS</t>
  </si>
  <si>
    <t>4500154198-30</t>
  </si>
  <si>
    <t>日期码格式：ZURU INC(BVI) 标准格式 日期：按实际生产日期 
Packaging Info: 
 9543D：MA 1L 收缩膜+EAN条码贴纸(翻单：4500137714）+MA 5L说明书
Remark: "1.需要在完货当天提供验货图片供客人放货
 2.此单出德国，需准时出货
 3.此单出欧洲需要出无闪粉版本
 4.此单符合欧洲 8 PAH 标准即可"</t>
  </si>
  <si>
    <t>4500154198-40</t>
  </si>
  <si>
    <t>日期码格式：ZURU INC(BVI) 标准格式 日期：按实际生产日期 Tracking Code:
Packaging Info:
 9543E：MA 1L 收缩膜+EAN条码贴纸(翻单：4500137714）+MA 5L说明书
Remark: "1.需要在完货当天提供验货图片供客人放货
 2.此单出德国，需准时出货
 3.此单出欧洲需要出无闪粉版本
 4.此单符合欧洲 8 PAH 标准即可"</t>
  </si>
  <si>
    <t>9543E-S001-MTS</t>
  </si>
  <si>
    <t>VEDES Grosshandel</t>
  </si>
  <si>
    <t>4500153900-10</t>
  </si>
  <si>
    <t>2/24出</t>
  </si>
  <si>
    <t>12/25收到- 外箱上下需加隔板</t>
  </si>
  <si>
    <t>EAN条码贴纸(翻4500117969)+PDQ条码贴纸+客版黑白WEEE声明说明书纸(翻#4500144419)</t>
  </si>
  <si>
    <t>183563/02/2025</t>
  </si>
  <si>
    <t>日期码格式：183563/02/2025 日期：
Packaging Info: 9543GQ1：最新MA 3LPDQ+ 3L+9L包装+5L+9L说明书+EAN条码贴纸(翻#4500117969)+1张PDQ条码贴纸(翻#4500144419)+客版黑白WEEE声明说明书纸(翻#4500144419)
 EAN: 4894680026995, 请先检查条码是否正确再安排做货
Remark: 1，出欧洲，微塑料需符合法规
 2，产品，包装，外箱Batch code:183563/02/2025，另外包装上的Batch code位置图在EAN条码位置旁边
 如产品位置太小印不下日期码则按照标准即可；
 如产品上有足够位置，请把每个item的款号#也印上，如无位置则可不加。
 3，塑料袋的厚度（单层）应在0.038～0.042mm之间,如含吸塑材料必须是非邻苯二甲酸酯材料或塑料包装编码的PET
 3. 外箱上下需加隔板，以保护开箱时不被划破产品。外箱不可打釘及打帶。 每箱不得超过5立方英尺，重量不得超过15公斤。
 4. 封箱胶带不能为PVC材质，需为PP 或者 OPP胶或者non-phthalate材料
 5. 此单出货前需要提供两套样品给客人确认放货，需准时寄出避免影响出货。
 6. 此单需准时出货，推期会有罚款
 7. 任何彩盒及陳列盒一定要用文書膠紙貼於開口的位置 , 不能使用封箱膠紙
 8. 外箱不可打釘及打帶
 9. 标准配比</t>
  </si>
  <si>
    <t>94316-2.21</t>
  </si>
  <si>
    <t>MTA Trade</t>
  </si>
  <si>
    <t>哈萨克斯坦</t>
  </si>
  <si>
    <t>4500151799-50</t>
  </si>
  <si>
    <t>2/21出</t>
  </si>
  <si>
    <t>2/18出</t>
  </si>
  <si>
    <t>11/22收到</t>
  </si>
  <si>
    <t>进口商贴纸翻4500142077</t>
  </si>
  <si>
    <t>日期码格式：ZURU INC(BVI) 标准格式 日期：按实际生产日期 Tracking Code:
Packaging Info:
 9543GQ1：MA 1L 收缩膜+进口商贴纸（翻4500142077）； MA 说明书/指南（如有）；MA PDQ;
Remark: 标准配比</t>
  </si>
  <si>
    <t>94747-4.10</t>
  </si>
  <si>
    <t>Amazon
FR:27YNNSMM</t>
  </si>
  <si>
    <t>4500154798-90</t>
  </si>
  <si>
    <t>增加增加胶袋</t>
  </si>
  <si>
    <t>2/27-3/3出</t>
  </si>
  <si>
    <t>空白外箱（加印带Zuru字样的最新logo，除了邮包盒直接做外箱的产品） + SSCC LABEL一张, 无箱唛，MADE IN CHINA 外箱只印一正一侧。</t>
  </si>
  <si>
    <t>UPC+IT环保标翻单4500120504ES环保标翻4500151280；ZURU邮箱+1/10-胶袋UPC贴纸</t>
  </si>
  <si>
    <t>1/3-外箱贴纸</t>
  </si>
  <si>
    <t>日期码格式：ZURU INC(BVI) 标准格式 日期：按实际生产日期 
Packaging Info: Amazon UK(71126/9543A/9297G/71109B)/FR(9543A)/DE(9543A/71126)
 1. 9543A：9543A 24pcs/ctn, no inner, blue; MA 3L（9L warning）C版收缩膜+3张贴纸(1张#UPC，1张IT环保标，参考翻单PO#4500120504；1张ES环保标, 参考翻单PO#4500151280；ZURU邮箱)+MA 5L(9L warning) A 说明书+Polybag(含防窒息5L警示语+塑料循环标，参考翻单PO#4500153435) +1张贴纸(UPC#，参考翻单PO#4500120504，贴在polybag)；
 5. 最迟验货不得晚于2025/02/18;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</si>
  <si>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94424-3.4</t>
  </si>
  <si>
    <t>Amazon
DE:5N9BLBJF</t>
  </si>
  <si>
    <t>4500154798-100</t>
  </si>
  <si>
    <t>Amazon
UK:5HVCIB6O</t>
  </si>
  <si>
    <t>4500154798-110</t>
  </si>
  <si>
    <t>3/1-3/5出</t>
  </si>
  <si>
    <t>94444-3.5</t>
  </si>
  <si>
    <t>AMAZON.COM.DEDC,LLC</t>
  </si>
  <si>
    <t>2ELMN5VZ</t>
  </si>
  <si>
    <t>4500153992-20</t>
  </si>
  <si>
    <t>2/21-2/27出</t>
  </si>
  <si>
    <t>UPC贴纸翻4500098824</t>
  </si>
  <si>
    <t>1/17-客供外箱贴纸</t>
  </si>
  <si>
    <t>日期码格式： 标准格式 日期：按实际生产日期 
Packaging Info: 
 #9543：MA 1L 加UPC贴纸，UPC贴纸跟翻单4500098824。A:193052051776。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邮包盒上要打上日期码
 LCL散货， 直接送货到CDS保税仓</t>
  </si>
  <si>
    <t>kelly/Mia</t>
  </si>
  <si>
    <t>94376-2.27</t>
  </si>
  <si>
    <t>57KK746V</t>
  </si>
  <si>
    <t>4500154101-80</t>
  </si>
  <si>
    <t>2/25出</t>
  </si>
  <si>
    <t>日期码格式： 标准格式 日期：按实际生产日期 
Packaging Info: 
 #9543：MA 1L 加UPC贴纸，UPC贴纸跟翻单4500098824。A:193052051776，B:193052051783。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</si>
  <si>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94337-2.24</t>
  </si>
  <si>
    <t>53V1YVGR</t>
  </si>
  <si>
    <t>4500154101-90</t>
  </si>
  <si>
    <t>5MDMZZ1L</t>
  </si>
  <si>
    <t>4500154032-90</t>
  </si>
  <si>
    <t>日期码格式： 标准格式 日期：按实际生产日期 
Packaging Info:
 #9543：MA 1L 加UPC贴纸，UPC贴纸跟翻单4500098824。B:193052051783。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</si>
  <si>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94313-2.21</t>
  </si>
  <si>
    <t>5SZOOR9N</t>
  </si>
  <si>
    <t>4500154144-90</t>
  </si>
  <si>
    <t>94314-2.21</t>
  </si>
  <si>
    <t>2MBG7DRK</t>
  </si>
  <si>
    <t>4500154124-70</t>
  </si>
  <si>
    <t>日期码格式：ZURU INC(BVI) 标准格式 日期：按实际生产日期 
Packaging Info: 
 #9543：MA 1L 加UPC贴纸，UPC贴纸跟翻单4500098824。A:193052051776，B:193052051783。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</si>
  <si>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94315-2.21</t>
  </si>
  <si>
    <t>Amazon ES:
4X81GPHP</t>
  </si>
  <si>
    <t>4500154883-10</t>
  </si>
  <si>
    <t>2/28-3/4出</t>
  </si>
  <si>
    <t>UPC+IT环保标翻单4500120504+ES环保标+ZURU邮箱翻4500151280</t>
  </si>
  <si>
    <t>1/2-外箱贴纸</t>
  </si>
  <si>
    <t>日期码格式：ZURU INC(BVI) 标准格式 日期：按实际生产日期 
Packaging Info: Amazon ES(9543A/9298A)
 1. 9543A：9543A 24pcs/ctn, no inner, blue; MA 3L（9L warning）C版收缩膜+3张贴纸(1张#UPC，1张IT环保标，参考翻单PO#4500120504；1张ES环保标，1张ZUR
 U邮箱, 参考翻单PO#4500151280)+MA 5L(9L warning) A 说明书；
 3. 最迟验货不得晚于2025/02/18;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</si>
  <si>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94425-3.4</t>
  </si>
  <si>
    <t>CUS
PO#47786999
SYD</t>
  </si>
  <si>
    <t>4500155680-10</t>
  </si>
  <si>
    <t>2/20出</t>
  </si>
  <si>
    <t>1/10收到</t>
  </si>
  <si>
    <t>日期码格式：ZURU INC(BVI) 标准格式 日期：按实际生产日期 
Packaging Info: 1. 9543GQ1：英文MA包装 (UPC版本，首选1L，无1L可用多L含英语)+1张进口商贴纸，贴纸翻单4500106537
 2. 产品和包装上的日期码一致，请按要求在包装上打日期码（进口商贴纸不覆盖日期码）
 3. 使用ZURU标准日期码
Remark: 1. 共出4港口(SYD, BNE, MEL, FRE), 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t>
  </si>
  <si>
    <t>94305-2.20</t>
  </si>
  <si>
    <t>CUS
PO#47787500
BNE</t>
  </si>
  <si>
    <t>4500155680-20</t>
  </si>
  <si>
    <t>94317-2.21</t>
  </si>
  <si>
    <t>CUS
PO#47788295
MEL</t>
  </si>
  <si>
    <t>4500155680-30</t>
  </si>
  <si>
    <t>94368-2.27</t>
  </si>
  <si>
    <t>CUS
PO#47788296
FRE</t>
  </si>
  <si>
    <t>4500155680-40</t>
  </si>
  <si>
    <t>30241146B</t>
  </si>
  <si>
    <t>4500150125-50</t>
  </si>
  <si>
    <t>11/21收到                                                                                                                                                                                                外箱需要是5层瓦楞纸，厚度在5-9mm。</t>
  </si>
  <si>
    <t>日期码格式：ZURU INC(BVI) 标准格式 日期：按实际生产日期 Tracking Code:
Packaging Info:
 9543: 最新MA 1L+多语收缩膜+EAN条码贴纸(翻单4500116318)+德语callout贴纸(翻单4500122326)+ 5L+9L说明书+客版黑白WEEE声明说明书纸(翻单#4500145491)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10.标准配比。</t>
  </si>
  <si>
    <t>94348-2.25</t>
  </si>
  <si>
    <t>8Y3X63QD</t>
  </si>
  <si>
    <t>4500154964-10</t>
  </si>
  <si>
    <t>2/27-3/5出</t>
  </si>
  <si>
    <t>12/30收到</t>
  </si>
  <si>
    <t>2/8-客供外箱贴纸</t>
  </si>
  <si>
    <t>日期码格式：ZURU INC(BVI) 标准格式 日期：按实际生产日期 
Packaging Info: #9543：MA 3L 加UPC贴纸，UPC贴纸跟翻单4500098824。A:193052051776。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</si>
  <si>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94433-3.4</t>
  </si>
  <si>
    <t>1DHPRYQN</t>
  </si>
  <si>
    <t>4500154964-20</t>
  </si>
  <si>
    <t>8CD1IN7I</t>
  </si>
  <si>
    <t>4500154964-30</t>
  </si>
  <si>
    <t>51VDTOVN</t>
  </si>
  <si>
    <t>4500154964-40</t>
  </si>
  <si>
    <t>AMIC TRADING (PTY) LTD</t>
  </si>
  <si>
    <t>南非</t>
  </si>
  <si>
    <t>PO#6006-00522
6PI#110002571
5-2</t>
  </si>
  <si>
    <t>4500154694-50</t>
  </si>
  <si>
    <t>12/25收到</t>
  </si>
  <si>
    <t>1/2-进口商贴纸</t>
  </si>
  <si>
    <t>日期码格式：ZURU INC(BVI) 标准格式 日期：按实际生产日期
Packaging Info: MA PKG, 优先1L +1张进口商贴纸（贴条码附近空白处，不得遮挡日期码）
 该客户只有一款进口商贴纸，所有款通用，进口商贴纸AW可翻此客户旧订单</t>
  </si>
  <si>
    <t>94351-2.25</t>
  </si>
  <si>
    <t>TESCO CE</t>
  </si>
  <si>
    <t>斯洛伐克</t>
  </si>
  <si>
    <t>999-29068</t>
  </si>
  <si>
    <t>4500150411-10</t>
  </si>
  <si>
    <t>9543GQ3-S002</t>
  </si>
  <si>
    <t>11/13收到</t>
  </si>
  <si>
    <t>四国语言警告语贴纸翻4500115674</t>
  </si>
  <si>
    <t>日期码格式：ZURU INC(BVI) 标准格式 日期：按实际生产日期
Packaging Info: 1.9543GQ3-S002：9543GQ3：MA最新1L 收缩膜+一张四国语言警告语贴纸( Czech-Hugarian-Polish-Slovak不能覆盖GB)，贴纸跟位置图翻4500115674，MA3L+9L说明
书
客版 PDQ 1L版（2Facing7pcs/Gravity PDQ)新稿
UPC#193052050328，请先检查包装条码是否正确再安排做货;
7product+demo;2pcs *AAA battery not include; Integral single
ratio=bule/purple/pink/orange =1:1:1:1"
Remark: 1. 此单出EU，需满足EU测试标准要求，不含微塑料。
产品及包装需要印UKCA图标，包装需要有ZURU UK LTD/ZURU France地址信息，QC同事请核查，如有问题与跟单确认。
2.裝櫃必須按TPND順序 (條形碼貼紙或正嘜必須要朝外向車門外)
3.外箱上有条码要求，排版时请留意并请确保条码清晰可扫描（封箱胶不要黏到条码上), 否则客人会有罚款；
4. 如含硼的话， 需用低硼版本(小于300ppm),硼含量需要符合欧洲标准,否则客人会退货有罚款产生</t>
  </si>
  <si>
    <t>94497-3.10</t>
  </si>
  <si>
    <t>WM MORRISON SUPERMARKET PLC</t>
  </si>
  <si>
    <t>4500147426-10</t>
  </si>
  <si>
    <t>9543GQ1-S004</t>
  </si>
  <si>
    <t>2/26出</t>
  </si>
  <si>
    <t>12/26收到</t>
  </si>
  <si>
    <t>日期码格式：ZURU INC(BVI) 标准格式 日期：按实际生产日期
Packaging Info: 1.9543GQ1：MA 1L UPC版收缩膜+MA 1L PDQ+MA其他包装
UPC#193052050328请先检查条码是否正确再安排做货如有问题请告知
2.配比跟MA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
5）需要符合欧洲标准不能含有闪粉和微塑料，否则不和法规会有客诉产生</t>
  </si>
  <si>
    <t>Sheba Ye</t>
  </si>
  <si>
    <t>94387-2.27</t>
  </si>
  <si>
    <t>Amazon UK:
7IO721HP</t>
  </si>
  <si>
    <t>4500154803-40</t>
  </si>
  <si>
    <t>9543E-S001-PKC</t>
  </si>
  <si>
    <t>3/10-3/14出</t>
  </si>
  <si>
    <t>12/30-客供外箱贴纸</t>
  </si>
  <si>
    <t>日期码格式：ZURU INC(BVI) 标准格式 日期：按实际生产日期
Packaging Info: Amazon UK(9543E)/DE(9543E/77515)
 1. 9543E：9543E 24pcs/ctn, no inner, orange; MA 3L（9L warning）C版收缩膜+3张贴纸(1张#UPC，1张IT环保标，参考翻单PO#4500120504；1张ES环保标, 参
 考翻单PO#4500151280；ZURU邮箱)+MA 5L(9L warning)A说明书+Polybag(含防窒息5L警示语+塑料循环标) +1张贴纸(UPC#，参考翻单PO#4500120504，贴在polybag)；
 3. 最迟验货不得晚于2025/02/28;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</si>
  <si>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94665-3.28</t>
  </si>
  <si>
    <t>Amazon DE:
72LLHRBA</t>
  </si>
  <si>
    <t>4500154803-50</t>
  </si>
  <si>
    <t>Coop Danmark A/S</t>
  </si>
  <si>
    <t>丹麦</t>
  </si>
  <si>
    <t>4500155889-10</t>
  </si>
  <si>
    <t>3/5出</t>
  </si>
  <si>
    <t>1/15收到</t>
  </si>
  <si>
    <t>EAN贴纸翻4500133308</t>
  </si>
  <si>
    <t>日期码格式：ZURU INC(BVI) 标准格式 日期：按实际生产日期
Packaging Info: 9543GQ1-3L MA C版包装+MA5L-9L Warning A版说明书+EAN贴纸 （贴纸翻单4500133308）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9543GQ1-2pcs *AAA battery not Includedd; Integral single ratio=bule/purple/pink/orange =5:6:6:5
 8. SKU-客户SKU-EAN-GTIN
9543GQ1-1000448977-4894680026995-10193052050325
 9. 工厂需要在2025-3-1 提供客户模板的验货资料
 10.此单出丹麦，订单上包装上需要显示ZURU Denmark ApS 地址，说明书/包装需要有丹麦语(DK)警告语</t>
  </si>
  <si>
    <t>Luna Lin</t>
  </si>
  <si>
    <t>9543GQ1-S002-3L</t>
  </si>
  <si>
    <t>94482-3.7</t>
  </si>
  <si>
    <t>I-VISION TOYS.INC</t>
  </si>
  <si>
    <t>韩国</t>
  </si>
  <si>
    <t>IVI-0107SKH</t>
  </si>
  <si>
    <t>4500155860-10</t>
  </si>
  <si>
    <t>3/7出</t>
  </si>
  <si>
    <t>箱唛（翻单4500133472）</t>
  </si>
  <si>
    <t>1/15-韩语贴纸（新稿）</t>
  </si>
  <si>
    <t>客版说明书翻单4500125430</t>
  </si>
  <si>
    <t>日期码格式：ZURU INC(BVI) 标准格式 日期：按实际生产日期 
Packaging Info: MA 1L PKG+韩语贴纸（新稿）+ MA PDQ+客版说明书翻单4500133472+箱唛（翻单4500133472）
 请确保大货包装的生产年月 信息跟到到贴纸上的一致。生产日信息不做特别要求，可安排统一日期，但必须确保生产年份"2025" 月份"02" 谢谢！
Remark: 由于韩国法律法规要求，吸塑需PET材质, 产品需符合韩国KC测试标准。
 9543GQ1大货板需严格跟上单4500133472一致</t>
  </si>
  <si>
    <t>9543GQ1-S002-3</t>
  </si>
  <si>
    <t>94443-3.5</t>
  </si>
  <si>
    <t>4500155723-110</t>
  </si>
  <si>
    <t>3/4出</t>
  </si>
  <si>
    <t>1/16收到</t>
  </si>
  <si>
    <t>2/7-进口商贴纸</t>
  </si>
  <si>
    <t>日期码格式：ZURU INC(BVI) 标准格式 日期：按实际生产日期 
Packaging Info:
 9543GQ1：MA 3L UPC包装+MA 3L PDQ包装+MA 多语说明书+进口商贴纸+箱唛
Remark: 
9543GQ1：bule/purple/pink/orange =5:6:6:5; 2PCS AAA Batteries(Not Include)</t>
  </si>
  <si>
    <t>94426-3.4</t>
  </si>
  <si>
    <t>Smyths Toys HQ UC IE</t>
  </si>
  <si>
    <t>爱尔兰</t>
  </si>
  <si>
    <t>4500156774-10</t>
  </si>
  <si>
    <t>3/10出</t>
  </si>
  <si>
    <t>2/6收到</t>
  </si>
  <si>
    <t>德语callout翻译贴纸翻4500125086</t>
  </si>
  <si>
    <t>日期码格式：ZURU INC(BVI) 标准格式 日期：按实际生产日期
Packaging Info: 9543GQ1：MA 3L(9L warning) UPC版收缩膜+德语callout翻译贴纸+MA5L+9L Warning说明书+MA 3L PDQ
BULE/PURPLE/PINK/ORANGE =5:6:6:5;贴纸和位置图翻#4500125086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需要完全符合欧洲标准(符合微塑料法规)，否则不合法规会有客诉产生
Order Modifiable</t>
  </si>
  <si>
    <t>May Wu</t>
  </si>
  <si>
    <t>94493-3.10</t>
  </si>
  <si>
    <t>PPTOYS PTE LTD (SG)</t>
  </si>
  <si>
    <t>新加坡</t>
  </si>
  <si>
    <t>ZU24120901SG</t>
  </si>
  <si>
    <t>4500154572-20</t>
  </si>
  <si>
    <t>1/6收到</t>
  </si>
  <si>
    <t>进口商贴纸翻-4500139381</t>
  </si>
  <si>
    <t>日期码格式：ZURU INC(BVI) 标准格式 日期：按实际生产日期 
Packaging Info: MA UPC包装（优先1L)+1张进口商贴纸
 贴纸AW、位置图翻单如下：
 9543-4500139381
 所有item的贴纸图稿一模一样，请一起订购节省成本。
Remark: 
 9543-2pcs *AAA battery not include; bule/pink/purple/orange =1:1:1:1
9543GQ1-bule/purple/pink/orange =5:6:6:5;2PCS AAA Batteries(Not Include)</t>
  </si>
  <si>
    <t>Emma Wu</t>
  </si>
  <si>
    <t>94491-3.7</t>
  </si>
  <si>
    <t>4500154572-30</t>
  </si>
  <si>
    <t>4500155330-50</t>
  </si>
  <si>
    <t>1/14收到</t>
  </si>
  <si>
    <t>2/17-进口商贴纸</t>
  </si>
  <si>
    <t>日期码格式：ZURU INC(BVI) 标准格式 日期：按实际生产日期 
Packaging Info: 
 9543GQ1:MA 1L包装+MA 5L说明书+进口商贴纸+箱唛</t>
  </si>
  <si>
    <t>94485-3.7</t>
  </si>
  <si>
    <t>47:0003119219</t>
  </si>
  <si>
    <t>4500156900-10</t>
  </si>
  <si>
    <t>2/7收到</t>
  </si>
  <si>
    <t>日语贴纸翻4500122471</t>
  </si>
  <si>
    <t>日期码格式：ZURU INC(BVI) 标准格式 日期：按实际生产日期
Packaging Info: 9543GQ1： MA 1L PKG D版包装+MA 说明书+1张日语贴纸（贴纸内容及位置翻单4500122471）
(9543GQ1)PDQ: MA 1L PDQ PKG B 版包装
Remark: 9543GQ1的大货的产品品质跟内容需跟4500129603这单一致，有任何更新（含包装）需提前告知。</t>
  </si>
  <si>
    <t>94462-3.6</t>
  </si>
  <si>
    <t>KMART AUSTRALIA LTD</t>
  </si>
  <si>
    <t>4500156224-10</t>
  </si>
  <si>
    <t>9543GQ2-S001</t>
  </si>
  <si>
    <t>3/12-3/14出</t>
  </si>
  <si>
    <t>1/20收到</t>
  </si>
  <si>
    <t>2/10-防盗贴纸+2/17-外箱贴纸</t>
  </si>
  <si>
    <t>日期码格式：ZURU INC(BVI) 标准格式 日期：按实际生产日期
Packaging Info: 9543GQ1: MA英语UPC版本包装（首选1LUPC，如果无1L可用多语含英语UPC版本）+ 客版PDQ (翻单4500124321)+ 防盗贴纸（贴纸以及位置图翻单4500116403） +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</si>
  <si>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Lydia Wu</t>
  </si>
  <si>
    <t>94538-3.13</t>
  </si>
  <si>
    <t>Bol.com</t>
  </si>
  <si>
    <t>4500156115-100</t>
  </si>
  <si>
    <t>3/17出</t>
  </si>
  <si>
    <t>EAN#贴纸翻4500137487</t>
  </si>
  <si>
    <t>日期码格式：ZURU INC(BVI) 标准格式 日期：按实际生产日期 
Packaging Info: BOL NL(9543ABDE)
 11. 9543ABDE
 ---9543A: 24pcs/ctn, no inner, Blue, 2PCS AAA BATTERIES(NOT INCLUDED); MA 3L(9L warning UPC)C收缩膜+1张EAN#贴纸(参考翻单PO#4500137487)+MA 5L(9L
 warning)A 说明书;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</si>
  <si>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94548-3.14</t>
  </si>
  <si>
    <t>4500156115-110</t>
  </si>
  <si>
    <t>日期码格式：ZURU INC(BVI) 标准格式 日期：按实际生产日期 
Packaging Info: BOL NL(9543ABDE)
 11. 9543ABDE
 ---9543E: 24pcs/ctn, no inner, Orange, 2PCS AAA BATTERIES(NOT INCLUDED); MA 3L(9L warning UPC)C收缩膜+1张EAN#贴纸(参考翻单PO#4500137487)+MA 5L(9
 L warning)A 说明书;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</si>
  <si>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4500156115-120</t>
  </si>
  <si>
    <t>日期码格式：ZURU INC(BVI) 标准格式 日期：按实际生产日期 
Packaging Info: BOL NL(9543ABDE)
 11. 9543ABDE
 ---9543D: 24pcs/ctn, no inner, Purple, 2PCS AAA BATTERIES(NOT INCLUDED); MA 3L(9L warning UPC)C收缩膜+1张EAN#贴纸(参考翻单PO#4500137487)+MA 5L(9
 L warning)A 说明书;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</si>
  <si>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4500156115-130</t>
  </si>
  <si>
    <t>CUS
PO#47786981
SYD</t>
  </si>
  <si>
    <t>4500156306-10</t>
  </si>
  <si>
    <t>3/26出</t>
  </si>
  <si>
    <t>日期码格式：ZURU INC(BVI) 标准格式 日期：按实际生产日期
Packaging Info: 1. 9543GQ1：英文MA包装 (UPC版本，首选1L，无1L可用多L含英语)+1张进口商贴纸，贴纸翻单4500106537
2. 产品和包装上的日期码一致，请按要求在包装上打日期码（进口商贴纸不覆盖日期码）
3. 使用ZURU标准日期码
Remark: 1.共出4港口(SYD,BNE,MEL,FRE)， 不同港口数量信息请见订单行项目，并请参考箱唛资料，港口不同，箱唛资料也不同；
2. 箱唛不可出现任何手写内容（箱数除外），重量与实际一致且不可手写
3.此单出澳大利亚，请按澳洲标准生产并满足当地法规要求
4.出无闪粉版本，需符合欧洲微塑料法规</t>
  </si>
  <si>
    <t>94628-3.25</t>
  </si>
  <si>
    <t>CUS
PO#47786982
BNE</t>
  </si>
  <si>
    <t>4500156306-20</t>
  </si>
  <si>
    <t>3/24出</t>
  </si>
  <si>
    <t>94596-3.21</t>
  </si>
  <si>
    <t>CUS
PO#47786983
MEL</t>
  </si>
  <si>
    <t>4500156306-30</t>
  </si>
  <si>
    <t>3/20出</t>
  </si>
  <si>
    <t>94581-3.19</t>
  </si>
  <si>
    <t>CUS
PO#47786984
FRE</t>
  </si>
  <si>
    <t>4500156306-40</t>
  </si>
  <si>
    <t>3/18出</t>
  </si>
  <si>
    <t>94574-3.17</t>
  </si>
  <si>
    <t>47:0003109949</t>
  </si>
  <si>
    <t>4500153106-10</t>
  </si>
  <si>
    <t>日期码格式：ZURU INC(BVI) 标准格式 日期：按实际生产日期
Packaging Info: 9543GQ1： MA 1L PKG D版包装+MA 说明书+1张日语贴纸（贴纸内容及位置翻单4500153105）
(9543GQ1)PDQ: MA 1L PDQ PKG B 版包装
Remark: 9543GQ1的大货的产品品质跟内容需跟4500129603这单一致，有任何更新（含包装）需提前告知。</t>
  </si>
  <si>
    <t>94663-3.28</t>
  </si>
  <si>
    <t>4500156659-80</t>
  </si>
  <si>
    <t>3/27出</t>
  </si>
  <si>
    <t>2/17收到</t>
  </si>
  <si>
    <t>2/17收到-进口商贴纸</t>
  </si>
  <si>
    <t>日期码格式：ZURU INC(BVI) 标准格式 日期：按实际生产日期
Packaging Info: 
 9543GQ1：MA 1L 收缩膜+进口商贴纸(翻PO4500142077)； MA 说明书/指南（如有）；MA PDQ；
Remark: 标准配比</t>
  </si>
  <si>
    <t>94654-3.27</t>
  </si>
  <si>
    <t>PO#2700209-SK
U#143951840</t>
  </si>
  <si>
    <t>4500150158-10</t>
  </si>
  <si>
    <t>日期码格式：ZURU INC(BVI) 标准格式 日期：按实际生产日期
Packaging Info: -9543GQ3: MA-1L包装配套+ ZURU客版PDQ（2Facing7pcs/Gravity PDQ; 参考翻单PO#4500123744）
产品信息: 7product+demo;2pcs *AAA battery not Include; Integral single ratio=bule/purple/pink/orange =1:1:1:1
Remark: *胶带最少宽度要保证6.0CM,厚度最少0.05毫米,外箱不可以打钉/扎带；以工字型封箱；
*如果重量超过5KGS，箱唛需加黄色警示图标志 ，有疑问请与ZURU跟单同事联系,十分重要！
*订单出英国，请注意检查产品及包装应带UKCA图标，包装显示ZURU UK LTD信息，QC同事请查核，如有问题与跟单确认。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，请安排生产前先核对再生产或者与Sherry 复核再安排 。
*外箱上的条码请确保清晰可扫描 ，否则到目的仓无法扫描入仓由工厂承担责任 。
*所有产品按符合欧洲标准走货，需要是不含微塑料版本 。
*涉及到硼的，请使用低硼版本
*客户不接受PVC材质</t>
  </si>
  <si>
    <t>94618-3.24</t>
  </si>
  <si>
    <t>客户PO#361437</t>
  </si>
  <si>
    <t>4500154348-20</t>
  </si>
  <si>
    <t>1/17收到</t>
  </si>
  <si>
    <t>1/20-客人白色Cat.label</t>
  </si>
  <si>
    <t>日期码格式：ZURU INC(BVI) 标准格式 日期：按实际生产日期
Packaging Info: 9543: MA -1L UPC包装+客人白色Cat.label 1张覆盖ZURU条码
 注意Cat.label (要求易撕类贴纸，但是粘性不能过低），同时此贴纸每个订单都是不相同的(会显示客户对应的订单号），切勿翻旧订单购买，该贴纸由工厂自行
 购买。
 订单对应客户2个PO号 ，备注有显示 ，注意分开做货/验货/装柜 ，混装有罚款。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*所有产品按符合欧洲标准走货，需要是不含微塑料版本 。
 *涉及到硼的，请使用低硼版本
 *客户不接受PVC材质包装</t>
  </si>
  <si>
    <t>94614-3.24</t>
  </si>
  <si>
    <t>ANVOL LTD.</t>
  </si>
  <si>
    <t>爱沙尼亚</t>
  </si>
  <si>
    <t>4500156940-10</t>
  </si>
  <si>
    <t>日期码格式：ZURU INC(BVI) 标准格式 日期：按实际生产日期
Packaging Info: 9543GQ1：D 版 1L MA 收缩膜+进口商贴纸；A 版 5L MA 说明书/B 版 5L MA PDQ
Remark: 9543GQ1: Ratio: bule/purple/pink/orange =5:6:6:5; 2PCS AAA BATTERIES(NOT INCLUDED)
1、若产品有比例使用ZURU STD 比例
2、所有item 均用MA UPC 条码，若包装不是UPC 条码的请告知
3、此单出欧洲需满足EU测试标准要求</t>
  </si>
  <si>
    <t>Snowy</t>
  </si>
  <si>
    <t>94626-3.24</t>
  </si>
  <si>
    <t>TARGET AUSTRALIA PTY LTD</t>
  </si>
  <si>
    <t>4500157706-10</t>
  </si>
  <si>
    <t>3/19出</t>
  </si>
  <si>
    <t>2/14收到</t>
  </si>
  <si>
    <t>3/5-外箱贴纸</t>
  </si>
  <si>
    <t>日期码格式：ZURU INC(BVI) 标准格式 日期：按实际生产日期
Packaging Info: 9543GQ1: 英文MA包装(UPC版本，首选1L，无1L可用多L含英语)+箱唛+外箱贴纸
 Ratio: bule/purple/pink/orange =5:6:6:5;Shipped without batteries; operated by 2PCS AAA batteries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</si>
  <si>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94580-3.19</t>
  </si>
  <si>
    <t>WALGREEN CO.</t>
  </si>
  <si>
    <t>4500157168-50</t>
  </si>
  <si>
    <t>9543GQ4-S001</t>
  </si>
  <si>
    <t>3/25抽办-整单</t>
  </si>
  <si>
    <t>4/18出</t>
  </si>
  <si>
    <t>2/11收到</t>
  </si>
  <si>
    <t>WIC 贴纸翻4500130295+PDQ折页翻4500099653</t>
  </si>
  <si>
    <t>DG20250324</t>
  </si>
  <si>
    <t>日期码格式：ZURU INC(BVI) 标准格式 日期：03-24-2025 
Packaging Info:
Remark: MA 1L 包装 + WIC 贴纸（WIC # 280432 参考4500130295） + 客版PDQ(翻单4500130295) + PDQ折页 （翻单PO 4500099653，PDQ折页放在PDQ的正上方，开箱即可
 看到）
 产品和包装上面要有zuru标准格式的tracking code DG20250324
 请知悉20%数量需要在3/24完成，3/25抽板测试，测试通过后才可以出货。请确保所来来料测试符合美国联邦和各州法规后才可以做大货。</t>
  </si>
  <si>
    <t>Cara Li</t>
  </si>
  <si>
    <t>ZB00146-4.17</t>
  </si>
  <si>
    <t>4500157168-60</t>
  </si>
  <si>
    <t>6N699I6G</t>
  </si>
  <si>
    <t>4500156625-50</t>
  </si>
  <si>
    <t>3/31-4/4出</t>
  </si>
  <si>
    <t>1/26收到</t>
  </si>
  <si>
    <t>2/26-客供外箱贴纸</t>
  </si>
  <si>
    <t>日期码格式：ZURU INC(BVI) 标准格式 日期：按实际生产日期
Packaging Info:
#9543：MA 1L 加UPC贴纸，UPC贴纸跟翻单4500098824。A:193052051776，B:193052051783。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</si>
  <si>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 Shen</t>
  </si>
  <si>
    <t>ZB00097-4.2</t>
  </si>
  <si>
    <t>4500158843-10</t>
  </si>
  <si>
    <t>3/29出</t>
  </si>
  <si>
    <t>2/28收到</t>
  </si>
  <si>
    <t>警告语贴纸+EAN贴纸翻4500133308</t>
  </si>
  <si>
    <t>日期码格式：ZURU INC(BVI) 标准格式 日期：按实际生产日期
Packaging Info: 9543GQ1-3L MA C版包装+MA5L-9L Warning说明书+警告语贴纸+EAN贴纸 （2张贴纸翻单4500133308）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9543GQ1-2pcs *AAA battery not Includedd; Integral single ratio=bule/purple/pink/orange =5:6:6:5
 8. SKU-客户SKU-EAN-GTIN
9543GQ1-1000448977-4894680026995-10193052050325
 9. 工厂需要在2025-03-24 提供客户模板的验货资料</t>
  </si>
  <si>
    <t>94674-3.31</t>
  </si>
  <si>
    <t>IMPORTADORA CHICOCOS</t>
  </si>
  <si>
    <t>玻利维亚</t>
  </si>
  <si>
    <t>4500158356-80</t>
  </si>
  <si>
    <t>4/3出</t>
  </si>
  <si>
    <t>2/25收到</t>
  </si>
  <si>
    <t>日期码格式：ZURU INC(BVI) 标准格式 日期：按实际生产日期 
Packaging Info:
 9543GQ1: MA多语UPC包装+MA多语说明书+MA多语PDQ包装+箱唛
Remark: 
 9543GQ1:2PCS AAA BATTERIES(NOT INCLUDED)</t>
  </si>
  <si>
    <t>94687-4.1</t>
  </si>
  <si>
    <t>4500151398-20</t>
  </si>
  <si>
    <t>4/7出</t>
  </si>
  <si>
    <t>11/25收到进口商贴纸+ EAN条码贴纸</t>
  </si>
  <si>
    <t>日期码格式：外包装/外箱不要打ZURU标准日期码 日期：按实际生产日期
Packaging Info: 注意 ：外包装 (指: 收缩膜/彩卡/铝箔袋/挂卡/PDQ) /外箱不要打ZURU标准日期码！胶件可以打日期码。
9543: 1L MA 收缩膜 or 彩卡 + 进口商贴纸+ EAN条码贴纸，MA 指南 /说明书（如有）；
Remark: 标准配比
出BEKASOVO 2 和Ural 2 个港口；
货期不可延， 有罚金 。</t>
  </si>
  <si>
    <t>94894-4.30</t>
  </si>
  <si>
    <t>LLC CSI</t>
  </si>
  <si>
    <t>4500158125-70</t>
  </si>
  <si>
    <t>4/14出</t>
  </si>
  <si>
    <t>2/24收到</t>
  </si>
  <si>
    <t>3/6-进口商贴纸</t>
  </si>
  <si>
    <t>日期码格式：ZURU INC(BVI) 标准格式 日期：按实际生产日期
Packaging Info:
9543GQ1 ： 1L MA包装 （UPC 条码）+ 进口商贴纸(含客人条码），1L MA PDQ + 进口商贴纸 ； MA说明书/指南（如有）；
Remark: 标准配比
1.外箱有贴纸：
外箱正唛两面需要印产品黑白款式的图片；
外箱侧唛（两面）的右上角各贴一张外箱贴纸.
2.此客户验货时需要提供以下三种图片，请务必拍照清晰图片：
产品净重图片；
产品+包装毛重图片；
一箱产品的毛重图片。</t>
  </si>
  <si>
    <t>94829-4.22</t>
  </si>
  <si>
    <t>CUS
PO#47786997
SYD</t>
  </si>
  <si>
    <t>4500157965-10</t>
  </si>
  <si>
    <t>4/15出</t>
  </si>
  <si>
    <t>日期码格式：ZURU INC(BVI) 标准格式 日期：按实际生产日期
Packaging Info: 1. 9543GQ1：英文MA包装 (UPC版本，首选1L，无1L可用多L含英语)+1张进口商贴纸，贴纸翻单4500106537
 2. 进口商贴纸上已经去掉日期码，产品和包装上的日期码一致，请按要求在包装上打日期码（进口商贴纸不覆盖日期码）
 3. 原指定日期码DDMMYY可改用ZURU标准日期码
Remark: 1.共出4港口(SYD,BNE,MEL,FRE)， 不同港口数量信息请见订单行项目，并请参考箱唛资料，港口不同，箱唛资料也不同；
 2. 箱唛不可出现任何手写内容（箱数除外），重量与实际一致且不可手写
 3.此单出澳大利亚，请按澳洲标准生产并满足当地法规要求
 4.出无闪粉版本，需符合欧洲微塑料法规</t>
  </si>
  <si>
    <t>94778-4.16</t>
  </si>
  <si>
    <t>CUS
PO#47786998
BNE</t>
  </si>
  <si>
    <t>4500157965-20</t>
  </si>
  <si>
    <t>CUS
PO#47788297
MEL</t>
  </si>
  <si>
    <t>4500157965-30</t>
  </si>
  <si>
    <t>CUS
PO#47788298
FRE</t>
  </si>
  <si>
    <t>4500157965-40</t>
  </si>
  <si>
    <t>ZURU Germany GMBH</t>
  </si>
  <si>
    <t>4500157858-40</t>
  </si>
  <si>
    <t>9543GQ1-S002-MTS</t>
  </si>
  <si>
    <t>4/9出</t>
  </si>
  <si>
    <t>2/19收到</t>
  </si>
  <si>
    <t>EAN条码贴纸翻4500124220+2/27-WEEE通用黑白书纸</t>
  </si>
  <si>
    <t>日期码格式：ZURU INC(BVI) 标准格式 日期：按实际生产日期 
Packaging Info: 
 9543GQ1：MA C版3L+9Lwarming 收缩膜+一张EAN条码贴纸（贴纸翻单4500124220）+MA 5L说明书+WEEE通用黑白书纸+MA最新版PDQ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</si>
  <si>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SD82</t>
  </si>
  <si>
    <t>94704-4.7</t>
  </si>
  <si>
    <t>47:0003119221</t>
  </si>
  <si>
    <t>4500156906-10</t>
  </si>
  <si>
    <t>日语贴纸翻4500153105</t>
  </si>
  <si>
    <t>日期码格式：ZURU INC(BVI) 标准格式 日期：按实际生产日期
Packaging Info: 9543GQ1： MA 1L PKG D版包装+MA 说明书+1张日语贴纸（贴纸内容及位置翻单4500153105）
 (9543GQ1)PDQ: MA 1L PDQ PKG B 版包装
Remark: 9543GQ1的大货的产品品质跟内容需跟4500129603这单一致，有任何更新（含包装）需提前告知。</t>
  </si>
  <si>
    <t>94781-4.17</t>
  </si>
  <si>
    <t>4500159418-10</t>
  </si>
  <si>
    <t>4/25出</t>
  </si>
  <si>
    <t>3/7收到</t>
  </si>
  <si>
    <t>德语callout翻译贴纸翻4500156774</t>
  </si>
  <si>
    <t>日期码格式：ZURU INC(BVI) 标准格式 日期：按实际生产日期
Packaging Info: 9543GQ1: MA 3L(9L warning) UPC版收缩膜+德语callout翻译贴纸翻4500156774+MA5L+9L Warning说明书+MA 3L PDQ
BULE/PURPLE/PINK/ORANGE =5:6:6:5;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</si>
  <si>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Ula Zhao</t>
  </si>
  <si>
    <t>94830-4.22</t>
  </si>
  <si>
    <t>4500151398-100</t>
  </si>
  <si>
    <t>4/8出</t>
  </si>
  <si>
    <t>4500158832-20</t>
  </si>
  <si>
    <t>4/10出</t>
  </si>
  <si>
    <t>3/3收到</t>
  </si>
  <si>
    <t>日期码格式：ZURU INC(BVI) 标准格式 日期：按实际生产日期
Packaging Info:
 9543GQ1:MA C版3L+9Lwarming 收缩膜+一张EAN条码贴纸（贴纸翻单4500124220）+MA 5L说明书+WEEE通用黑白书纸+MA最新版PDQ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
 35.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</si>
  <si>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94705-4.7</t>
  </si>
  <si>
    <t>ZMPO250252</t>
  </si>
  <si>
    <t>Remark:大货最新版本/产品按大货比例入PDQ/大货标准箱装箱/箱唛请参照邮件附件；备注： 收到样品订单后尽快安排 ，注意样板品质质量要求要高于大货品质要求 ，送货时必须要附带送货单(没有送货单和QC检验合格报告的仓库一律拒绝收货)，请知悉，谢谢！</t>
  </si>
  <si>
    <t>ZURU LLC</t>
  </si>
  <si>
    <t>4500159706-10</t>
  </si>
  <si>
    <t>土黄色仓鼠</t>
  </si>
  <si>
    <t>4/16出</t>
  </si>
  <si>
    <t>3/4收到</t>
  </si>
  <si>
    <t>加UPC贴纸翻4500098824</t>
  </si>
  <si>
    <t>日期码格式：ZURU INC(BVI) 标准格式 日期：按实际生产日期
Packaging Info: #9543: MA加UPC贴纸, UPC贴纸跟翻单4500098824. E:193052051806, B:193052051783, D:193052051790
Remark: 1.Amazon domestic 订单。出口美国。外箱最长边不能超过25" （超过了，case pack只能为1），不符合要求的大货，一律不接受。
2.无第三方验货/测试要求。
3.日期码使用ZURU标准版本。</t>
  </si>
  <si>
    <t>Kelly Shen/Mia Pan/P</t>
  </si>
  <si>
    <t>ZB00142-4.16</t>
  </si>
  <si>
    <t>Walmart Central America-NI</t>
  </si>
  <si>
    <t>尼加拉瓜</t>
  </si>
  <si>
    <t>4500158358-30</t>
  </si>
  <si>
    <t>4/28出</t>
  </si>
  <si>
    <t>3/24-使用双坑外箱</t>
  </si>
  <si>
    <t>3/21-进口商贴纸</t>
  </si>
  <si>
    <t>日期码格式：ZURU INC(BVI) 标准格式 日期：按实际生产日期
Packaging Info: 
 2. 9543GQ1：MA 3L UPC包装+MA 3L PDQ包装+MA 多语说明书+进口商贴纸+箱唛
 所有贴纸翻单PO 4500158302
Remark: 1.使用双坑外箱
 2.请注意产品包装条形码必须是UPC
 3.无第三方验货</t>
  </si>
  <si>
    <t>Ever Li</t>
  </si>
  <si>
    <t>94934-5.6</t>
  </si>
  <si>
    <t>Walmart Central America-CR</t>
  </si>
  <si>
    <t>4500158535-50</t>
  </si>
  <si>
    <t>4/29出</t>
  </si>
  <si>
    <t>日期码格式：ZURU INC(BVI) 标准格式 日期：按实际生产日期 
Packaging Info: 
 3. 9543GQ1：MA 3L UPC包装+MA 3L PDQ包装+MA 多语说明书+进口商贴纸+箱唛
 以上贴纸翻单PO 4500158302
Remark: 1.使用双坑外箱
 2.请注意产品包装条形码必须是UPC
 3.无第三方验货</t>
  </si>
  <si>
    <t>94882-4.29</t>
  </si>
  <si>
    <t>Walmart Central America-HN</t>
  </si>
  <si>
    <t>洪都拉斯</t>
  </si>
  <si>
    <t>4500158415-50</t>
  </si>
  <si>
    <t>日期码格式：ZURU INC(BVI) 标准格式 日期：按实际生产日期 
Packaging Info: 
 3. 9543GQ1：MA 3L UPC包装+MA 3L PDQ包装+MA 多语说明书+进口商贴纸+箱唛
 以上所有贴纸翻单PO4500158302
Remark: 1.使用双坑外箱
 2.请注意产品包装条形码必须是UPC
 3.无第三方验货</t>
  </si>
  <si>
    <t>94891-4.30</t>
  </si>
  <si>
    <t>Walmart Central America</t>
  </si>
  <si>
    <t>萨尔瓦多</t>
  </si>
  <si>
    <t>4500158302-50</t>
  </si>
  <si>
    <t>日期码格式：ZURU INC(BVI) 标准格式 日期：按实际生产日期 
Packaging Info: 
 3. 9543GQ1：MA 3L UPC包装+MA 3L PDQ包装+MA 多语说明书+进口商贴纸+箱唛
Remark: 1.使用双坑外箱
 2.请注意产品包装条形码必须是UPC
 3.无第三方验货</t>
  </si>
  <si>
    <t>94865-4.28</t>
  </si>
  <si>
    <t>Walmart Central America-GT</t>
  </si>
  <si>
    <t>危地马拉</t>
  </si>
  <si>
    <t>4500158447-50</t>
  </si>
  <si>
    <t>94923-5.5</t>
  </si>
  <si>
    <t>1PPP2KQV</t>
  </si>
  <si>
    <t>4500158946-40</t>
  </si>
  <si>
    <t>4/20-4/26出</t>
  </si>
  <si>
    <t>3/21-客供外箱贴纸</t>
  </si>
  <si>
    <t>日期码格式：ZURU INC(BVI) 标准格式 日期：按实际生产日期
Packaging Info: 出口加拿大，包装需要至少2/3L UPC版，无硼版本。
 #9543：MA 3L 加UPC贴纸，UPC贴纸跟翻单4500098824。A:193052051776。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</si>
  <si>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94861-4.28</t>
  </si>
  <si>
    <t>44TNTDBY</t>
  </si>
  <si>
    <t>4500158946-50</t>
  </si>
  <si>
    <t>4500157168-10</t>
  </si>
  <si>
    <t>4500157168-20</t>
  </si>
  <si>
    <t>4500157168-30</t>
  </si>
  <si>
    <t>4500157168-40</t>
  </si>
  <si>
    <t>4500157168-70</t>
  </si>
  <si>
    <t>4500157168-80</t>
  </si>
  <si>
    <t>Amazon ES:
64A9CTYO</t>
  </si>
  <si>
    <t>4500159385-10</t>
  </si>
  <si>
    <t>9543D-S001-PKC</t>
  </si>
  <si>
    <t>仓鼠胶袋装</t>
  </si>
  <si>
    <t>4/27-4/30出</t>
  </si>
  <si>
    <t>UPC+IT环保标翻4500120504+ES回收标翻+ZURU邮箱翻4500149035</t>
  </si>
  <si>
    <t>Polybag(含防窒息5L警示语+塑料循环标翻4500153435</t>
  </si>
  <si>
    <t>日期码格式：ZURU INC(BVI) 标准格式 日期：按实际生产日期
Packaging Info: Amazon ES(9543D)
 1. 9543D：9543D 24pcs/ctn, no inner, purple; MA 3L（9L warning）C版收缩膜+4张贴纸(1张UPC#，参考翻单PO#4500120504；1张IT环保标，参考翻单PO#45001
 20504；1张ES回收标, 参考翻单PO#4500149035；1张ZURU邮箱，参考翻单PO#4500149035)+MA 5L(9L warning)说明书+Polybag(含防窒息5L警示语+塑料循环标，参考
 翻单PO#4500153435)；
 2. 最迟验货不得晚于2025/4/18;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</si>
  <si>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 xml:space="preserve"> Mandy Hu</t>
  </si>
  <si>
    <t>9543D-S001-PKC-3L</t>
  </si>
  <si>
    <t>94883-4.30</t>
  </si>
  <si>
    <t>4500157168-90</t>
  </si>
  <si>
    <t>Smyths Toys EU HQ UC</t>
  </si>
  <si>
    <t>4500159614-10</t>
  </si>
  <si>
    <t>4/24出</t>
  </si>
  <si>
    <t>3/10收到</t>
  </si>
  <si>
    <t>德语callout翻译贴纸翻4500156774+产品贴纸(ZURU FRANCE 地址)翻4500136411+3/10-客版WEEE声明通用8L说明书(不带电池)</t>
  </si>
  <si>
    <t>日期码格式：ZURU INC(BVI) 标准格式 日期：按实际生产日期
Packaging Info: 最新MA 3L PDQ + 3L(9L warning)收缩膜+德语callout翻译贴纸(翻单#4500156774)+ 产品贴纸(ZURU FRANCE 地址)翻单#4500136411 +5L+9L Warning说明书+客版WE
 EE声明通用8L说明书(不带电池)
 UPC#:193052050328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所有出往德国订单的电子产品需增加一张客版WEEE声明说明书，区分带电池和不带电池版本, 如已做客版说明书可忽略此要求。
6. 标准配比</t>
  </si>
  <si>
    <t>94810-4.22</t>
  </si>
  <si>
    <t>Amazon UK:
4CH8E1NS</t>
  </si>
  <si>
    <t>4500159542-50</t>
  </si>
  <si>
    <t>空白外箱（加印带Zuru字样的最新logo，除了邮包盒直接做外箱的产品） + 无箱唛，MADE IN CHINA 外箱只印一正一侧。</t>
  </si>
  <si>
    <t>UPC+IT环保标翻4500120504+ES回收标+ZURU邮箱翻4500151280+Polybag含防窒息5L警示语+塑料循环标翻单4500151302</t>
  </si>
  <si>
    <t>日期码格式：ZURU INC(BVI) 标准格式 日期：按实际生产日期
Packaging Info: Amazon UK(9548/92104G/71126/9279EG/9543BD)
5. 9543BD
--9543D：9543D 24pcs/ctn, no inner, purple; MA 3L（9L warning）C版收缩膜+4张贴纸(1张UPC#，参考翻单PO#4500120504；1张IT环保标，参考翻单PO#4500120
504；1张ES回收标, 参考翻单PO#4500149035；1张ZURU邮箱，参考翻单PO#4500149035)+MA 5L(9L warning)说明书+Polybag(含防窒息5L警示语+塑料循环标，参考翻
单PO#4500153435)；
6.最迟验货不得晚于2025/4/21;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</si>
  <si>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94872-4.29</t>
  </si>
  <si>
    <t>4500159542-60</t>
  </si>
  <si>
    <t>日期码格式：ZURU INC(BVI) 标准格式 日期：按实际生产日期
Packaging Info: Amazon UK(9548/92104G/71126/9279EG/9543BD)
5. 9543BD
--9543B：9543B 24pcs/ctn, no inner, pink; MA 3L（9L warning）C版收缩膜+4张贴纸(1张#UPC+1张IT环保标，参考翻单PO#4500120504；1张ES回收标，参考翻单
PO#4500151280；1张ZURU邮箱，参考翻单PO#4500151280)+MA 5L(9L warning)A说明书+Polybag(含防窒息5L警示语+塑料循环标，参考翻单PO#4500151302)；
6.最迟验货不得晚于2025/4/21;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</si>
  <si>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9543B-S001-PKC-3L</t>
  </si>
  <si>
    <t>Smyths Toys HQ UC UK</t>
  </si>
  <si>
    <t>4500159411-10</t>
  </si>
  <si>
    <t>日期码格式：ZURU INC(BVI) 标准格式 日期：按实际生产日期
Packaging Info: 9543GQ1:MA 3L(9L warning) UPC版收缩膜+德语callout翻译贴纸翻4500156774+MA5L+9L Warning说明书+MA 3L PDQ
BULE/PURPLE/PINK/ORANGE =5:6:6:5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</si>
  <si>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94860-4.28</t>
  </si>
  <si>
    <t>TOY KINGDOM (PTY) LTD</t>
  </si>
  <si>
    <t>4500161136-10</t>
  </si>
  <si>
    <t>3/21收到</t>
  </si>
  <si>
    <t>日期码格式：ZURU INC(BVI) 标准格式 日期：按实际生产日期
Packaging Info: MA PKG ,优先1L
Remark:</t>
  </si>
  <si>
    <t>94837-4.24</t>
  </si>
  <si>
    <t>4500160284-20</t>
  </si>
  <si>
    <t>4/28-4/30出</t>
  </si>
  <si>
    <t>3/25收到</t>
  </si>
  <si>
    <t>3/31防盗贴纸+4/7-外箱贴纸</t>
  </si>
  <si>
    <t>日期码格式：ZURU INC(BVI) 标准格式 日期：按实际生产日期
Packaging Info:
9543GQ1: MA英语UPC版本包装（首选1LUPC，如果无1L可用多语含英语UPC版本）+ 客版PDQ (翻单4500124321)+ 防盗贴纸（贴纸以及位置图翻单4500116403） +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</si>
  <si>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94887-4.30</t>
  </si>
  <si>
    <t>KMART AUSTRALIA LTD(NEW ZEALAND)</t>
  </si>
  <si>
    <t>4500160289-20</t>
  </si>
  <si>
    <t>日期码格式：ZURU INC(BVI) 标准格式 日期：按实际生产日期
Packaging Info: 
9543GQ1: MA英语UPC版本包装（首选1LUPC，如果无1L可用多语含英语UPC版本）+ 客版PDQ (翻单4500124321)+ 防盗贴纸（贴纸以及位置图翻单4500116403） +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</si>
  <si>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94886-4.30</t>
  </si>
  <si>
    <t>PERTINI TOYS doo</t>
  </si>
  <si>
    <t>塞尔维亚/蒙特内</t>
  </si>
  <si>
    <t>4500158989-20</t>
  </si>
  <si>
    <t>5/6出</t>
  </si>
  <si>
    <t>3/20-EAN条码贴纸+进口商贴纸翻4500144349</t>
  </si>
  <si>
    <t>日期码格式：ZURU INC(BVI) 标准格式 日期：按实际生产日期 Tracking Code:
Packaging Info:
 9543GQ1: MA D版1L UPC 收缩膜+EAN条码贴纸+进口商贴纸(翻4500144349);MA 5L+9L警语/说明书;MA B版 1L PDQ
Remark: 此单出EU，需满足EU测试标准要求，不能含微塑料。
 2. 9543GQ1-S001: Ratio:bule/purple/pink/orange =5:6:6:5; 2PCS AAA BATTERIES(NOT INCLUDED)</t>
  </si>
  <si>
    <t>Sharon Zhao</t>
  </si>
  <si>
    <t>94930-5.6</t>
  </si>
  <si>
    <t>PO#38933068</t>
  </si>
  <si>
    <t>4500160963-50</t>
  </si>
  <si>
    <t>5/8出</t>
  </si>
  <si>
    <t>日期码格式：ZURU INC(BVI) 标准格式 日期：按实际生产日期
Packaging Info: 1、包装方式: MA UPC优先1L最新版本，出口美国
Remark: 2、无测试无第三方验货要求。
3、纸箱4面印ZURU LOGO + 箱唛
4、日期码请按ZURU标准版执行即可。
5、ZURU QC验货。
6、Ratio:
#9543GQ1: 2pcs *AAA battery not Includedd; Integral single ratio=bule/purple/pink/orange =5:6:6:5</t>
  </si>
  <si>
    <t>ZB00421-6.6</t>
  </si>
  <si>
    <t>76R1R5HK</t>
  </si>
  <si>
    <t>4500159357-10</t>
  </si>
  <si>
    <t>5/11-5/15出</t>
  </si>
  <si>
    <t>4/1-UPC贴纸+进口商贴纸</t>
  </si>
  <si>
    <t>4/12-客供外箱贴纸</t>
  </si>
  <si>
    <t>日期码格式：ZURU INC(BVI) 标准格式 日期：按实际生产日期 
Packaging Info: 9543：3L MA包装+UPC条码贴纸+进口商贴纸+SSCC贴纸。
Remark: Amazon FOB订单，出口Mexico，外箱最长边不能超过25" （超过了，case pack只能为1），不符合要求的大货，一律不接受。
 1.空白外箱加印ZURU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2. 日期码使用ZURU标准版
 3. 9543: 2PCS AAA Batteries(Not Include)</t>
  </si>
  <si>
    <t>CORPORACION FAVORITA C.A.</t>
  </si>
  <si>
    <t>厄瓜多尔</t>
  </si>
  <si>
    <t>25-2101100JEC</t>
  </si>
  <si>
    <t>4500160092-220</t>
  </si>
  <si>
    <t>5/12出</t>
  </si>
  <si>
    <t>3/24收到</t>
  </si>
  <si>
    <t>4/14-进口商贴纸</t>
  </si>
  <si>
    <t>日期码格式：2025-05</t>
  </si>
  <si>
    <t>日期码格式：2025-05 日期：
Packaging Info:
 9543GQ1: MA多语UPC包装+MA多语说明书+MA多语PDQ包装+进口商贴纸+箱唛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9543GQ1:2PCS AAA BATTERIES(NOT INCLUDED)</t>
  </si>
  <si>
    <t>ZURU Denmark ApS</t>
  </si>
  <si>
    <t>4500162346-30</t>
  </si>
  <si>
    <t>4/10收到</t>
  </si>
  <si>
    <t>4L警告语EAN条码贴纸翻4500148788+4/15-北欧6语通
 用不带电池出货黑白电池说明书</t>
  </si>
  <si>
    <t>客版说明书（翻4500129315）</t>
  </si>
  <si>
    <t>日期码格式：ZURU INC(BVI) 标准格式 日期：按实际生产日期
Packaging Info:
9543GQ1: MA 3L B版PDQ + 3L+9L警语 C版收缩膜 + 4L(DK+NO+SE+FI)警告语EAN条码贴纸（贴纸翻单4500148788） + 客版说明书（翻单4500129315） + 北欧6语通
用不带电池出货黑白电池说明书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</si>
  <si>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SD04</t>
  </si>
  <si>
    <t>9543GQ1-S002-5</t>
  </si>
  <si>
    <t>94941-5.7</t>
  </si>
  <si>
    <t>HOBBY LOBBY INC.</t>
  </si>
  <si>
    <t>W0709914</t>
  </si>
  <si>
    <t>4500158761-10</t>
  </si>
  <si>
    <t>正常出货</t>
  </si>
  <si>
    <t>3/3-价格贴纸+外箱贴纸</t>
  </si>
  <si>
    <t>日期码格式：ZURU INC(BVI) 标准格式 日期：按实际生产日期
Packaging Info: 1. MA UPC版包装，优先1L，需要加贴价格贴纸(价格贴纸文档跟单提供)，出美国。
 2. 外箱正唛右下角贴条码贴纸2张，贴纸大小：2.75 x 1.5 inch。(跟单提供文档，工厂采购)
Remark: 1. 产品外包装及产品本身都必须有日期跟踪码，格式为：ZURU 标准日期码。
 2. ZURU QC验货，无测试。</t>
  </si>
  <si>
    <t>Eleven Zhang</t>
  </si>
  <si>
    <t>4500161489-20</t>
  </si>
  <si>
    <t>5/14出</t>
  </si>
  <si>
    <t>3/27收到</t>
  </si>
  <si>
    <t>德语callout翻译贴纸翻4500156774+产品贴纸(ZURU FRANCE 地址)翻4500136411+客版WEEE声明通用8L说明书不带电池翻4500159614</t>
  </si>
  <si>
    <t>日期码格式：ZURU INC(BVI) 标准格式 日期：按实际生产日期
Packaging Info: 
9543GQ1:最新MA 3L PDQ + 3L(9L warning)收缩膜+德语callout翻译贴纸(翻单#4500156774)+ 产品贴纸(ZURU FRANCE 地址)翻单#4500136411 +5L+9L Warning说明
书+客版WEEE声明通用8L说明书(不带电池，翻4500159614)，UPC 条码：193052050328
请核对条码后再做货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所有出往德国订单的电子产品需增加一张客版WEEE声明说明书，区分带电池和不带电池版本, 如已做客版说明书可忽略此要求。
6. 所有出往德国订单，化学品需无堋无香版本。
7. 标准配比</t>
  </si>
  <si>
    <t>AB Gee of Ripley Ltd.</t>
  </si>
  <si>
    <t>777 1MAY25</t>
  </si>
  <si>
    <t>4500161792-10</t>
  </si>
  <si>
    <t>9543GQ1-S003</t>
  </si>
  <si>
    <t>4/14收到</t>
  </si>
  <si>
    <t>日期码格式：ZURU INC(BVI) 标准格式 日期：按实际生产日期
Packaging Info: MA 最新UPC包装，各款的条码如下，请先检查条码是否正确再安排做货，如有问题请告知
9543GQ1-S003:193052050328
配比跟MA
Remark: 1.产品及包装需要印UKCA图标，包装需要有ZURU UK LTD/ZURU France地址信息，QC同事请核查，如有问题与跟单确认。
2. 需要符合欧洲标准不能含有闪粉和微塑料，否则不和法规会有客诉产生</t>
  </si>
  <si>
    <t>Yoga Huang</t>
  </si>
  <si>
    <t>MEIJER DISTRIBUTION, INC.</t>
  </si>
  <si>
    <t>4500162669-20</t>
  </si>
  <si>
    <t>4/11收到</t>
  </si>
  <si>
    <t>日期码格式：ZURU INC(BVI) 标准格式 日期：
Packaging Info: 1. MA 1L 包装
2. 客人指定箱唛排版
Remark: 出货前 Zuru QC 验货</t>
  </si>
  <si>
    <t>Cherie Li</t>
  </si>
  <si>
    <t>ZB00252-5.14</t>
  </si>
  <si>
    <t>4500162658-20</t>
  </si>
  <si>
    <t>5/15出</t>
  </si>
  <si>
    <t>ZB00261-5.15</t>
  </si>
  <si>
    <t>包装要求参考4
500159461, 45
00159526全部
出Bekasovo 2
（部分货外箱
显示Ural 不需
要返工）</t>
  </si>
  <si>
    <t>4500164028-10</t>
  </si>
  <si>
    <t>原4500159461&amp;4500159526合并-不要重复生产</t>
  </si>
  <si>
    <t>6/14出</t>
  </si>
  <si>
    <t>3/13收到</t>
  </si>
  <si>
    <t>进口商贴纸+EAN条码贴纸翻4500159461</t>
  </si>
  <si>
    <t>日期码格式：外包装/外箱不要打ZURU标准日期码 日期：
Packaging Info: 取代4500159461, 4500159526,4500158036,4500161032,4500158543中 对应的款 ;
包装要求参考4500159461, 4500159526,4500158036,4500161032,4500158543
Remark:</t>
  </si>
  <si>
    <t>Ann</t>
  </si>
  <si>
    <t>ROSS PROCUREMENT.INC</t>
  </si>
  <si>
    <t>4500160416-10</t>
  </si>
  <si>
    <t>5/9出</t>
  </si>
  <si>
    <t>3/17收到</t>
  </si>
  <si>
    <t>3/31-客供价格贴纸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</si>
  <si>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</si>
  <si>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Sharon Yang</t>
  </si>
  <si>
    <t>ZB00211-5.9/ZB00211-5.9</t>
  </si>
  <si>
    <t>Amazon ES:
59ENSAHE</t>
  </si>
  <si>
    <t>4500162293-10</t>
  </si>
  <si>
    <t>仓鼠                                                                                                                                                                                                                1只胶袋装</t>
  </si>
  <si>
    <t>5/25-5/30出</t>
  </si>
  <si>
    <t>UPC+IT环保标翻4500120504+ES回收标+ZURU邮箱4500151280+客版Polybag(含防窒息5L警示语+塑料循环标翻单4500151302</t>
  </si>
  <si>
    <t>4/21-客供外箱贴纸</t>
  </si>
  <si>
    <t>日期码格式：ZURU INC(BVI) 标准格式 日期：按实际生产日期
Packaging Info: Amazon ES(9543BD)
1. 9543BD
--9543D：9543D 24pcs/ctn, no inner, purple; MA 3L（9L warning）C版收缩膜+4张贴纸(1张UPC#，1张IT环保标，参考翻单PO#4500120504；1张ES回收标，1张ZU
RU邮箱，参考翻单PO#4500149035)+MA 5L(9L warning)说明书+客版Polybag(含防窒息5L警示语+塑料循环标，参考翻单PO#4500153435)；
2. 最迟验货不得晚于2025/5/16;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</si>
  <si>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4500162293-20</t>
  </si>
  <si>
    <t>日期码格式：ZURU INC(BVI) 标准格式 日期：按实际生产日期
Packaging Info: Amazon ES(9543BD)
1. 9543BD
--9543B：9543B 24pcs/ctn, no inner, pink; MA 3L（9L warning）C版收缩膜+4张贴纸(1张#UPC，1张IT环保标，参考翻单PO#4500120504；1张ES回收标，1张ZURU
邮箱，参考翻单PO#4500151280)+MA 5L(9L warning)A说明书+客版Polybag(含防窒息5L警示语+塑料循环标，参考翻单PO#4500151302)；
2. 最迟验货不得晚于2025/5/16;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</si>
  <si>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Amazon DE:
4FQ3QE5Q</t>
  </si>
  <si>
    <t>4500162456-40</t>
  </si>
  <si>
    <t>5/27-5/31出</t>
  </si>
  <si>
    <t>空白外箱（加印带Zuru字样的最新logo，除了邮包盒直接做外箱的产品） + SSCC LABEL一张, 无箱唛，MADE IN CHINA 外箱只印一正一侧</t>
  </si>
  <si>
    <t>UPC+IT环保标翻4500120504+ES回收标+ZURU邮箱翻单4500149035+客版Polybag(含防窒息5L警示语+塑料循环标翻4500153435</t>
  </si>
  <si>
    <t>日期码格式：ZURU INC(BVI) 标准格式 日期：按实际生产日期
Packaging Info: Amazon UK(71126/9283D)/FR(9543BD)/DE(92104GH/9543BD)
3. 9543BD
--9543D：9543D 24pcs/ctn, no inner, purple; MA 3L（9L warning）C版收缩膜+4张贴纸(1张UPC#，1张IT环保标，参考翻单PO#4500120504；1张ES回收标，1张ZU
RU邮箱，参考翻单PO#4500149035)+MA 5L(9L warning)说明书+客版Polybag(含防窒息5L警示语+塑料循环标，参考翻单PO#4500153435)；
5.最迟验货不得晚于2025/5/16;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</si>
  <si>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4500162456-50</t>
  </si>
  <si>
    <t>UPC+IT环保标翻4500120504+ES回收标+ZURU邮箱翻4500151280+客版Polybag(含防窒息5L警示语+塑料循环标翻4500151302</t>
  </si>
  <si>
    <t>日期码格式：ZURU INC(BVI) 标准格式 日期：按实际生产日期
Packaging Info: Amazon UK(71126/9283D)/FR(9543BD)/DE(92104GH/9543BD)
3. 9543BD
--9543B：9543B 24pcs/ctn, no inner, pink; MA 3L（9L warning）C版收缩膜+4张贴纸(1张#UPC，1张IT环保标，参考翻单PO#4500120504；1张ES回收标，1张ZURU
邮箱，参考翻单PO#4500151280)+MA 5L(9L warning)A说明书+客版Polybag(含防窒息5L警示语+塑料循环标，参考翻单PO#4500151302)；
5.最迟验货不得晚于2025/5/16;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</si>
  <si>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Amazon FR:
8QMH2PYC</t>
  </si>
  <si>
    <t>4500162456-70</t>
  </si>
  <si>
    <t>4500162456-80</t>
  </si>
  <si>
    <t>ESAL TRADING L.L.C.</t>
  </si>
  <si>
    <t>阿拉伯联合酋长国</t>
  </si>
  <si>
    <t>4500162345-30</t>
  </si>
  <si>
    <t>报返工</t>
  </si>
  <si>
    <t>4/15收到</t>
  </si>
  <si>
    <t>4/28-贴纸</t>
  </si>
  <si>
    <t>日期码格式：ZURU INC(BVI) 标准格式 日期：按实际生产日期
Packaging Info: 
 9543GQ1：MA+进口商贴纸；PDQ+进口商贴纸
Remark:</t>
  </si>
  <si>
    <t>ESAL ENTERPRISES FZC</t>
  </si>
  <si>
    <t>卡塔尔</t>
  </si>
  <si>
    <t>QATAR</t>
  </si>
  <si>
    <t>4500162472-20</t>
  </si>
  <si>
    <t>6/23出</t>
  </si>
  <si>
    <t>NUEVOS ALMACENES, S.A.</t>
  </si>
  <si>
    <t>4500162922-40</t>
  </si>
  <si>
    <t>5/16第三方</t>
  </si>
  <si>
    <t>日期码格式：ZURU INC(BVI) 标准格式 日期：按实际生产日期
Packaging Info:
9543GQ1:MA 3L UPC包装+箱唛，无进口商贴纸
Remark: 订单需第三方（QIMA)验货，无需签板，请多备料。
外箱上的箱唛资料会显示日期30-MAY-2025,产品/包装/外箱可以按ZURU 标准日期码打，也可以跟回外箱日期码，工厂自行选择,两者均可接受</t>
  </si>
  <si>
    <t>ZU25032701SG</t>
  </si>
  <si>
    <t>4500163177-30</t>
  </si>
  <si>
    <t>5/27出</t>
  </si>
  <si>
    <t>进口商贴纸翻4500139381</t>
  </si>
  <si>
    <t>日期码格式：ZURU INC(BVI) 标准格式 日期：按实际生产日期
Packaging Info:
2. 9543GQ1-MA UPC包装（优先1L)+1张进口商贴纸
9543GQ1-进口商贴纸AW、位置图翻单4500139381
Remark: 
9543GQ1-bule/purple/pink/orange =5:6:6:5; 2PCS AAA BATTERIES(NOT INCLUDED)</t>
  </si>
  <si>
    <t>TAS IMPORT AS(Lekekassen)</t>
  </si>
  <si>
    <t>挪威</t>
  </si>
  <si>
    <t>4500161075-40</t>
  </si>
  <si>
    <t>5/28出</t>
  </si>
  <si>
    <t>4/11-EAN/挪威瑞典语警告语/客人进口商贴纸做成一张贴纸+北欧五语通用不带电池出货黑白电池说明书</t>
  </si>
  <si>
    <t>日期码格式：ZURU INC(BVI) 标准格式 日期：按实际生产日期
Packaging Info:
4. 9543GQ1: MA 3L(9L warning) UPC版收缩膜+EAN(4894680026995)/挪威&lt;(&gt;&amp;&lt;)&gt;瑞典语警告语/客人进口商贴纸做成一张贴纸+不带电池走货北欧六语通用黑白
电池说明书+MA 3L PDQ
16.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9543GQ1:4894680026995</t>
  </si>
  <si>
    <t>Sheba</t>
  </si>
  <si>
    <t>4500162312-10</t>
  </si>
  <si>
    <t>5/20出</t>
  </si>
  <si>
    <t>4/2收到</t>
  </si>
  <si>
    <t>4/14-客人白色Cat.label 1张覆盖ZURU条码</t>
  </si>
  <si>
    <t>日期码格式：ZURU INC(BVI) 标准格式 日期：按实际生产日期
Packaging Info: 9543：MA -1L UPC包装+客人白色Cat.label 1张覆盖ZURU条码
-注意Cat.label (要求易撕类贴纸，但是粘性不能过低），同时此贴纸每个订单都是不相同的(会显示客户对应的订单号），切勿翻旧订单购买，该贴纸由工厂自行
购买。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</si>
  <si>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TOYS "R" US (CANADA) LTD.</t>
  </si>
  <si>
    <t>4500161332-40</t>
  </si>
  <si>
    <t>5/27第三方</t>
  </si>
  <si>
    <t>4/7收到</t>
  </si>
  <si>
    <t>日期码格式：ZURU INC(BVI) 标准格式 日期：按实际生产日期
Packaging Info: 1. 出口加拿大市场，MA UPC版本包装。
#9543GQ1： MA 3L UPC 版本; 2PCS AAA BATTERIES(NOT INCLUDED)
2. 产品、包装、外箱上面tracking code的时间格式需要一致
Remark: 3. 需要第三方SGS验货，验货时间2025/05/19，每款每色请备1PC完整带包装样品供验货人员参考。用完后若无损坏可以放回大货里。</t>
  </si>
  <si>
    <t>Abby Mai,Lluvia Zeng</t>
  </si>
  <si>
    <t>4500162692-10</t>
  </si>
  <si>
    <t>5/21-5/23出</t>
  </si>
  <si>
    <t>4/17收到</t>
  </si>
  <si>
    <t>4/25-防盗贴纸+4/28-外箱贴纸</t>
  </si>
  <si>
    <t>日期码格式：ZURU INC(BVI) 标准格式 日期：按实际生产日期
Packaging Info: 9543GQ1: MA英语UPC版本包装（首选1LUPC，如果无1L可用多语含英语UPC版本）+ 客版PDQ (翻单4500124321)+ 防盗贴纸（贴纸以及位置图翻单4500116403） +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</si>
  <si>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4500162690-20</t>
  </si>
  <si>
    <t>日期码格式：ZURU INC(BVI) 标准格式 日期：按实际生产日期
Packaging Info: 
9543GQ1: MA英语UPC版本包装（首选1LUPC，如果无1L可用多语含英语UPC版本）+ 客版PDQ (翻单4500124321)+ 防盗贴纸（贴纸以及位置图翻单4500116403） +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</si>
  <si>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Outlet Drift AS</t>
  </si>
  <si>
    <t>4500162375-50</t>
  </si>
  <si>
    <t>5/22出</t>
  </si>
  <si>
    <t>4/3收到</t>
  </si>
  <si>
    <t>4/19-不带电池走货北欧六语通用黑白电池说明书+警示语贴纸（带EAN）</t>
  </si>
  <si>
    <t>日期码格式：ZURU INC(BVI) 标准格式 日期：按实际生产日期
Packaging Info: 
 9543GQ1:收缩膜MA UPC 3L C+说明书MA 5L+PDQ MA 3L B+不带电池走货北欧六语通用黑白电池说明书+1张警示语贴纸（带EAN）
Remark: 1/配比:
 9543GQ1: Integral single ratio=bule/purple/pink/orange =5:6:6:5;
 2/产品和包装要求无硼无香，包装不能含有PVC
 3/如有微塑料，必须合规欧洲标准，闪粉也是微塑料的一种，目前仅接受三张方式1.去除，2.用可降解材料，和3.永久封印在固体。
4/带电池出货的产品，所用到的电池需要符合欧洲电池新规(EU)2023-1542</t>
  </si>
  <si>
    <t>Zoe Zhou</t>
  </si>
  <si>
    <t>SCHEEL'S ALL SPORTS, INC.</t>
  </si>
  <si>
    <t>PO#019848185</t>
  </si>
  <si>
    <t>4500159089-30</t>
  </si>
  <si>
    <t>3/6收到</t>
  </si>
  <si>
    <t>日期码格式：ZURU INC(BVI) 标准格式 日期：按实际生产日期
Packaging Info: 1. 包装：ZURU MA 1L 最新UPC版本；出口美国&lt;(&gt;&amp;&lt;)&gt;CA；
Remark: 2. 日期跟踪码：产品包装及产品本身都必须有日期跟踪码，并且确保两者的日期跟踪码要一致；ZURU标准格式日期码(请自行调整具体年月日生产期，但不能为周
末）。
3. 此单有4个客户PO， 请见侧边备注；
4. 出货配比: Zuru 标版配比。</t>
  </si>
  <si>
    <t>Mila Yao</t>
  </si>
  <si>
    <t>ZB00320-5.24</t>
  </si>
  <si>
    <t>K􀃤rkk􀃤inen Oy /Centrawla rehouse</t>
  </si>
  <si>
    <t>芬兰</t>
  </si>
  <si>
    <t>4500161573-120</t>
  </si>
  <si>
    <t>6/4出</t>
  </si>
  <si>
    <t>4/22收到</t>
  </si>
  <si>
    <t>4/16-瑞典芬兰爱沙尼亚语警告语/MADE IN CHINA翻译成瑞典芬兰爱沙尼亚语言/E-Mail:care@zuru.com贴纸+北欧五语通用不带电池出货黑白电池说明书</t>
  </si>
  <si>
    <t>日期码格式：ZURU INC(BVI) 标准格式 日期：按实际生产日期
Packaging Info: 
12. 9543GQ1: MA 3L(9L warning) UPC版收缩膜+EAN(4894680026995)/瑞典芬兰爱沙尼亚语警告语/MADE IN CHINA翻译成瑞典芬兰爱沙尼亚语言/E-Mail:care@zuru.
com做成一张贴纸+MA 5L+9L Warning说明书+不带电池走货北欧六语通用黑白电池说明书+MA 3L PDQ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9543GQ1:4894680026995</t>
  </si>
  <si>
    <t>4500162968-10</t>
  </si>
  <si>
    <t>5/27-5/30出</t>
  </si>
  <si>
    <t>5/12-防盗贴纸+5/6外箱贴纸</t>
  </si>
  <si>
    <t>日期码格式：ZURU INC(BVI) 标准格式 日期：按实际生产日期
Packaging Info: 9543GQ1: MA英语UPC版本包装（首选1LUPC，如果无1L可用多语含英语UPC版本）+ 客版PDQ (翻单4500124321)+ 防盗贴纸（贴纸以及位置图翻单4500116403） +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</si>
  <si>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4500162969-30</t>
  </si>
  <si>
    <t>B&amp;M RETAIL LIMITED</t>
  </si>
  <si>
    <t>客户PO:019236
80/1</t>
  </si>
  <si>
    <t>4500159586-10</t>
  </si>
  <si>
    <t>日期码格式：ZURU INC(BVI) 标准格式 日期：按实际生产日期
Packaging Info: 标准配比(UPC版本， 优先1L)
Remark: 订单对应2个PO，请分开做货，一个PO一个柜， 不要混装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</si>
  <si>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CORA ZHOU</t>
  </si>
  <si>
    <t>客户PO:019236
85/1</t>
  </si>
  <si>
    <t>4500159586-20</t>
  </si>
  <si>
    <t>4500165268-10</t>
  </si>
  <si>
    <t>4/28收到</t>
  </si>
  <si>
    <t>5/14-外箱贴纸</t>
  </si>
  <si>
    <t>日期码格式：ZURU INC(BVI) 标准格式 日期：按实际生产日期
Packaging Info: 9543GQ1: 英文MA包装(UPC版本，首选1L，无1L可用多L含英语)+箱唛+外箱贴纸
Ratio: bule/purple/pink/orange =5:6:6:5;Shipped without batteries; operated by 2PCS AAA batteries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</si>
  <si>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FAMILY DOLLAR SERVICES, INC</t>
  </si>
  <si>
    <t>客户PO#376255
47</t>
  </si>
  <si>
    <t>4500159561-10</t>
  </si>
  <si>
    <t>3/31收到</t>
  </si>
  <si>
    <t>4/15-客版可移动不粘胶价格贴+产品彩色贴纸</t>
  </si>
  <si>
    <t>4/10-客办PDQ文档</t>
  </si>
  <si>
    <t>DG20250428</t>
  </si>
  <si>
    <t>日期码格式：ZURU INC(BVI) 标准格式 日期：2025-04-28
Packaging Info: 1)ZURU MA UPC 收缩膜包装, 优先1L英语包装, 出口美国。如有说明书请使用ZURU MA说明书, 优先放1L英语。6pcs/PDQ/CTN。
2)客版PDQ(印刷价格标)
3) 客版可移动不粘胶价格贴＄12(需要贴在收缩膜上, 每个贴1张), 可移动价格贴以及具体位置, 待跟单提供。
4)ZURU标准日期码格式：工厂城市缩写+生产年月日(做产前样前需和跟单确认产品包装日期码和产品上日期码的打码位置+格式, 日期码需和大货日期码一样), 此单
指定日期码如下:
收缩膜指定日期码: DG20250428
布标日期码: 待工厂确认后提供给跟单更新PO备注
5)外箱箱唛正侧相邻两面粘贴产品彩色贴纸+印刷黑色标, 每箱两张彩色贴纸, 彩色产品贴纸待跟单提供。如侧唛位置放不下彩贴和唛头信息, 可改为放两个正唛。
无论是正唛+侧唛或者是两个正唛, 唛头信息和彩贴需放在同一个面。箱唛需排版给跟单确认。
Remark: 客户PO# 37625547
客户SKU#1096144
1) Item#9543GQ2-S001
2) 样品
产前样5套：产前样5套要求在 2025/04/08 前寄给深圳办公室跟单Jenny Liu, 需转寄给美国客户确认, 客户确认了产前样之后, 会寄回一套给工厂, 工厂需按照已
确认的产前样安排大货生产。做产前样前需和跟单确认产品包装日期码和产品上日期码的打码位置+格式, 要求是和大货一样的日期码, 指定大货日期码为：DG20250
428) 。此单的客版物料"客版PDQ","可移动不粘胶价格贴"需等客户确认产前样后才可以开始大货印刷。
大货样2套：大货样2套满PDQ+1套光身样散件需在大货物料到厂后开始上线第一天寄出给深圳办公室；大货样需要同大货一个产线, 所有东西完全同大货一样(大货
样外箱没有要求), 1套我们需转寄客人审批出货；1套跟单需留样(请尽量安排早点寄出以便客人早点批出货！)
一套样品=1套满PDQ的产品 (包含6pcs*球, 一个PDQ里面需要包含4个不同的assortments，其余2个assortment随机)+1套光身样散件(4 assortment*1pcs)
注意：球需要带价格贴和指定日期码
3) 此单无第三方验货+抽样测试, ZURU QC验货PASS后, 跟单得到客户的approval之后方可安排出货
4) 大货外箱材积绝对不可大于下述数据, 材积只接受3%的变小；重量正负不得超过以下列出数据的5%, 接受外箱以印章方式印上实际毛重。
大货外箱尺寸请保持：36.0 x 13.5 x 25.5 cm (即14.17 x 5.31 x 10.04 inch), 材积必须不能大于0.4379 CubeFeet(即0.0124CBM); 外箱毛重 3.0 LBS(即1.36 K
GS)
5) 大货配比：
#9543GQ2-S001
S001-PETS ALIVE-HAMSTERMANIA- SERIES 1 CAPSULE,3Facing6pcs/Gravity PDQ,6pcs/CTN,No Inner,STD Color Assortment
3W*1D*2H=6pcs/PDQ;
Integral single ratio=bule/purple/pink/orange =1:1:1:1;
Ratio:
PDQ A: bule/purple/pink/orange =2:2:1: 1
PDQ B: bule/purple/pink/orange =1:1:2: 2
PDQ shipping without demo.
UPC：193052050328
2pcs *AAA battery not Includedd; shipped without batteries; operated by 2PCS AAA batteries
6) 客户Family Dollar不允许少数出货, 必须按照PO上的数量出货, 也不允许延期, 否则会有罚款
7) 客户要求:"产品和包装不能含有PFAS 物质以及1,4 dioxane",请确保产品可以过美国标准测试。
8) 任何产品包装和日期码的变更，在收到ZURU的订单后，不管是MA包装还是客版包装，都需要及时告知跟单并在生产前重新签板留样。ZURU验货员验货以Family D
ollar跟单寄给工厂的签板为准。如因工厂不及时告知变更而导致的无法出货，客诉或者罚款等，将保留对工厂追责的权利。请工厂务必重视和配合，避免任何额外
费用的产生。</t>
  </si>
  <si>
    <t>Jenny Liu/Shirley</t>
  </si>
  <si>
    <t>9543GQ2-S001-1</t>
  </si>
  <si>
    <t>ZB00434-6.9</t>
  </si>
  <si>
    <t>FAMILY DOLLAR SERVICES, INC,</t>
  </si>
  <si>
    <t>4500159561-20</t>
  </si>
  <si>
    <t>6/12出</t>
  </si>
  <si>
    <t>ZB00442-6.10  ZB00451-6.11</t>
  </si>
  <si>
    <t>Planet of Toys Ltd</t>
  </si>
  <si>
    <t>吉尔吉斯斯坦</t>
  </si>
  <si>
    <t>4500164616-20</t>
  </si>
  <si>
    <t>4/23收到</t>
  </si>
  <si>
    <t>4/30-通用贴纸</t>
  </si>
  <si>
    <t>日期码格式：ZURU INC(BVI) 标准格式 日期：按实际生产日期
Packaging Info: 1L MA UPC 包装 + 通用贴纸 ， MA 说明书/指南/PDQ （如有）；
Remark: 标准配比</t>
  </si>
  <si>
    <t>4500164950-10</t>
  </si>
  <si>
    <t>ZB00392-6.3</t>
  </si>
  <si>
    <t>4500164979-10</t>
  </si>
  <si>
    <t>5/29出</t>
  </si>
  <si>
    <t>ZB00393-6.3</t>
  </si>
  <si>
    <t>SHOPRITE CHECKERS (PTY) LTD</t>
  </si>
  <si>
    <t>BRK1177448301</t>
  </si>
  <si>
    <t>4500163907-10</t>
  </si>
  <si>
    <t>4/16收到</t>
  </si>
  <si>
    <t>日期码格式：ZURU INC(BVI) 标准格式 日期：按实际生产日期
Packaging Info: 9543GQ1: MA PDQ, MA 说明书, MA PKG, 优先1L
Remark: 9543GQ1: bule/purple/pink/orange =5:6:6:5;
请留意箱唛色带高度为40mm, 色带顶部需留出10mm高空白地方
Customer PO#BRK1177448301</t>
  </si>
  <si>
    <t>Lekia AB</t>
  </si>
  <si>
    <t>瑞典</t>
  </si>
  <si>
    <t>156653-2</t>
  </si>
  <si>
    <t>4500164226-170</t>
  </si>
  <si>
    <t>4/21收到</t>
  </si>
  <si>
    <t>不带电池走货北欧六语通用黑白电池说明书翻4500162375+5/9-EAN/警告语+进口商贴纸</t>
  </si>
  <si>
    <t>日期码格式：ZURU INC(BVI) 标准格式 日期：按实际生产日期
Packaging Info:
 9543GQ1-S002:MA 3L(9L warning) UPC版收缩膜+不带电池走货北欧六语通用黑白电池说明书+MA 3L PDQ+EAN/警告语/进口商贴纸+MA 说明书
 北欧五语通用Slime黑白说明书
 带纽扣电池走货北欧六语通用黑白电池说明书
 不带电池走货北欧六语通用黑白电池说明书
上述说明书翻单4500162375,之前已通知按照MA采购，不要重复订购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9543GQ1-S002//100-64109556//4894680026995</t>
  </si>
  <si>
    <t>ALBERTSONS LLC</t>
  </si>
  <si>
    <t>PO: 409376</t>
  </si>
  <si>
    <t>4500165031-200</t>
  </si>
  <si>
    <t>5/28抽办50%-6/18第三方</t>
  </si>
  <si>
    <t>7/5出</t>
  </si>
  <si>
    <t>5/5收到</t>
  </si>
  <si>
    <t>日期码格式：ZURU INC(BVI) 标准格式 日期：按实际生产日期
Packaging Info: 1. MA UPC 包装(优先1L)，出口美国。
2. 产品和包装上面要有ZURU格式tracking code。
3. ZURU标准日期码格式。
Remark: 1. 05/28 4款分别寄出3套大货样（带PDQ包装的大货样3套（每套PDQ里面随机附4个球）款式本身无PPQ则不用寄PDQ,只寄大货带包装的大货样4个
05/28抽板测试（要求订单每一行货好入箱50%以上方可抽板），需要拿到测试报告才可以出货
这4款有多个PO会分期出货，但请按订单要求交期生产做好大货，以便一次性抽板去测试，节省工厂样品和ITS抽板费用。
2. ZURU QC验货OK + 客户QC验货OK + 抽板测试报告OK后方可出货。客户QC去验货时，注意多个PO同一款大货放置一堆或者二堆，不要四处货架堆放，避免点数问题
导致客户QC无法验货。
3. 产品和包装不能含有PFAS物质。
4. 产品和包装须符合俄勒冈州HPCCCH测试要求。
5.产品和包装不能含有1,4-二氧六环。
6. 不得从新疆维吾尔自治区采购任何物品或材料。</t>
  </si>
  <si>
    <t>Annie Huang</t>
  </si>
  <si>
    <t>ZB00695-7.9</t>
  </si>
  <si>
    <t>PO: 869371</t>
  </si>
  <si>
    <t>4500165031-210</t>
  </si>
  <si>
    <t>7/23出</t>
  </si>
  <si>
    <t>ZB00905-7.28</t>
  </si>
  <si>
    <t>PO: 947724</t>
  </si>
  <si>
    <t>4500165031-220</t>
  </si>
  <si>
    <t>7/22出</t>
  </si>
  <si>
    <t>ZB00851-7.24</t>
  </si>
  <si>
    <t>PO: 074649</t>
  </si>
  <si>
    <t>4500165031-230</t>
  </si>
  <si>
    <t>7/1出</t>
  </si>
  <si>
    <t>ZB00665-7.7</t>
  </si>
  <si>
    <t>PO: 185747</t>
  </si>
  <si>
    <t>4500165031-240</t>
  </si>
  <si>
    <t>ZB00634-7.3</t>
  </si>
  <si>
    <t>PO: 899729</t>
  </si>
  <si>
    <t>4500165031-250</t>
  </si>
  <si>
    <t>7/19出</t>
  </si>
  <si>
    <t>ZB00855-7.24</t>
  </si>
  <si>
    <t>PO: 735764</t>
  </si>
  <si>
    <t>4500165031-260</t>
  </si>
  <si>
    <t>7/29出</t>
  </si>
  <si>
    <t>ZB00906-7.28</t>
  </si>
  <si>
    <t>PO: 647219</t>
  </si>
  <si>
    <t>4500165031-270</t>
  </si>
  <si>
    <t>7/18出</t>
  </si>
  <si>
    <t>ZB00856-7.24</t>
  </si>
  <si>
    <t>PO: 628261</t>
  </si>
  <si>
    <t>4500165031-280</t>
  </si>
  <si>
    <t>7/15出</t>
  </si>
  <si>
    <t>ZB00812-7.21</t>
  </si>
  <si>
    <t>4500165064-30</t>
  </si>
  <si>
    <t>6/13出</t>
  </si>
  <si>
    <t>4/27收到</t>
  </si>
  <si>
    <t>德语callout翻译贴纸翻450015677+WEEE电池通用30L说明书（不带电池）</t>
  </si>
  <si>
    <t>日期码格式：ZURU INC(BVI) 标准格式 日期：按实际生产日期
Packaging Info:
9543GQ1：最新MA 3L PDQ + 3L(9L warning)收缩膜+德语callout翻译贴纸(翻单#4500156774)+5L-9L Warning说明书+WEEE电池通用30L说明书（不带电池）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</si>
  <si>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5K7XXSZF</t>
  </si>
  <si>
    <t>4500163057-40</t>
  </si>
  <si>
    <t>多备1pcs 兼柜</t>
  </si>
  <si>
    <t>6/11出</t>
  </si>
  <si>
    <t>空白外箱加印ZURU Logo+MADE IN CHINA+SSCC LABEL(客供贴纸），无shipping mark,日期使用ZURU 标准版本。SSCC Label显示的是客人自己的item#，</t>
  </si>
  <si>
    <t>进口商贴纸+baby upc翻4500151559</t>
  </si>
  <si>
    <t>5/21-客供外箱贴纸</t>
  </si>
  <si>
    <t>日期码格式：ZURU INC(BVI) 标准格式 日期：按实际生产日期
Packaging Info:
4. 9543D：MA 3L包装+baby upc条码贴纸+MA 多语说明书+进口商贴纸+SSCC label，进口商贴纸和baby upc条码贴纸翻单PO 4500151559
Remark: 1. Amazon FOB订单，出口Mexico，外箱最长边不能超过25" （超过了，case pack只能为1），不符合要求的大货，一律不接受。
2. 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3. 日期码使用ZURU标准版</t>
  </si>
  <si>
    <t>Amazon ES:
51VYO7TZ</t>
  </si>
  <si>
    <t>4500164165-10</t>
  </si>
  <si>
    <t>6/15-6/19出</t>
  </si>
  <si>
    <t>UPC+IT/ES环保标+ZURU邮箱+客版Polybag(含防窒息5L警示语+塑料循环标翻单4500153435</t>
  </si>
  <si>
    <t>5/7-客供外箱贴纸</t>
  </si>
  <si>
    <t>日期码格式：ZURU INC(BVI) 标准格式 日期：按实际生产日期
Packaging Info: Amazon ES(9543D)
1. 9543D：9543D 24pcs/ctn, no inner, purple; MA 3L（9L warning UPC#）C收缩膜+2张贴纸(1张UPC#，1张IT/ES环保标+ZURU邮箱)+MA 5L(9L warning)说明书+
客版Polybag(含防窒息5L警示语+塑料循环标，参考翻单PO#4500153435)；
2.最迟验货不得晚于2025/6/5;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</si>
  <si>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LLC SALUS</t>
  </si>
  <si>
    <t>PI:1100028524
出RU</t>
  </si>
  <si>
    <t>4500162852-210</t>
  </si>
  <si>
    <t>6/10出</t>
  </si>
  <si>
    <t>4/9收到</t>
  </si>
  <si>
    <t>5/7-进口商贴纸</t>
  </si>
  <si>
    <t>日期码格式：ZURU INC(BVI) 标准格式 日期：按实际生产日期
Packaging Info:
9543GQ1:MA 1L 收缩膜+进口商贴纸; MA 说明书/PDQ
Remark: 标准配比
出两个国家 ；</t>
  </si>
  <si>
    <t>Amazon
DE:73Y37Y9W</t>
  </si>
  <si>
    <t>4500164250-10</t>
  </si>
  <si>
    <t>.空白外箱（加印带Zuru字样的最新logo，除了邮包盒直接做外箱的产品） + SSCC LABEL一张, 无箱唛，MADE IN CHINA 外箱只印一正一侧</t>
  </si>
  <si>
    <t>UPC+IT/ES环保标+ZURU邮箱翻4500164165)</t>
  </si>
  <si>
    <t>5/12-客供外箱贴纸</t>
  </si>
  <si>
    <t>Polybag(含防窒息5L警示语+塑料循环标，参考翻单PO#4500154803)；</t>
  </si>
  <si>
    <t>日期码格式：ZURU INC(BVI) 标准格式 日期：按实际生产日期
Packaging Info: Amazon UK(15714K/7150B/77673/77723/92119AH/9279B/9561)/FR(9543D)/DE(71126/77555/77731/92104G/9543E)
12. 9543DE
--9543E: 9543E 24pcs/ctn, no inner, orange; MA 3L（9L warning UPC#）C收缩膜+2张贴纸(1张UPC#，1张IT/ES环保标+ZURU邮箱，参考翻单PO#4500164165)+MA
5L(9L warning)A说明书+Polybag(含防窒息5L警示语+塑料循环标，参考翻单PO#4500154803)；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</si>
  <si>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Amazon
FR:3ZO2OPUI</t>
  </si>
  <si>
    <t>4500164250-50</t>
  </si>
  <si>
    <t>客版Polybag(含防窒息5L警示语+塑料循环标，参考翻单PO#4500153435)</t>
  </si>
  <si>
    <t>日期码格式：ZURU INC(BVI) 标准格式 日期：按实际生产日期
Packaging Info: Amazon UK(15714K/7150B/77673/77723/92119AH/9279B/9561)/FR(9543D)/DE(71126/77555/77731/92104G/9543E)
12. 9543DE
--9543D: 9543D 24pcs/ctn, no inner, purple; MA 3L（9L warning UPC#）C收缩膜+2张贴纸(1张UPC#，1张IT/ES环保标+ZURU邮箱，参考翻单PO#4500164165)+MA
5L(9L warning)说明书+客版Polybag(含防窒息5L警示语+塑料循环标，参考翻单PO#4500153435)；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</si>
  <si>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4500165774-10</t>
  </si>
  <si>
    <t>6/5出</t>
  </si>
  <si>
    <t>5/8收到</t>
  </si>
  <si>
    <t>德语callout贴纸翻4500156774+ 产品贴纸翻4500136411+WEEE声明通用30L说明书(不带电池)</t>
  </si>
  <si>
    <t>日期码格式：ZURU INC(BVI) 标准格式 日期：按实际生产日期
Packaging Info: 9543GQ1:最新MA 3L PDQ + 3L(9L warning)收缩膜+德语callout贴纸(翻单#4500156774)+ 产品贴纸(ZURU FRANCE 地址)翻单#4500136411 +MA 5L+9L Warning说明书
+WEEE声明通用30L说明书(不带电池)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所有出往德国订单的电子产品需增加一张客版WEEE声明说明书，区分带电池和不带电池版本, 如已做客版说明书可忽略此要求。
 6. 标准配比</t>
  </si>
  <si>
    <t xml:space="preserve"> Joan Wang</t>
  </si>
  <si>
    <t>Indeks Retail A/S</t>
  </si>
  <si>
    <t>4500164118-50</t>
  </si>
  <si>
    <t>6/16出</t>
  </si>
  <si>
    <t>4/28-EAN贴纸+不带电池走货北欧六语通用黑白电池说明书翻4500161075</t>
  </si>
  <si>
    <t>日期码格式：ZURU INC(BVI) 标准格式 日期：按实际生产日期
Packaging Info: 
 5. 9543GQ1-S002: MA 3L(9L warning) UPC版收缩膜+EAN(4894680026995)+不带电池走货北欧六语通用黑白电池说明书(翻Po#4500161075)+MA 3L PDQ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9543GQ1-S002:4894680026995</t>
  </si>
  <si>
    <t>999-44517 999-44528</t>
  </si>
  <si>
    <t>4500164228-20</t>
  </si>
  <si>
    <t>6/9-6/13出</t>
  </si>
  <si>
    <t>日期码格式：ZURU INC(BVI) 标准格式 日期：按实际生产日期
Packaging Info:
- 9543GQ3：MA最新1L 收缩膜+一张四国语言警告语贴纸( Czech-Hugarian-Polish-Slovak不能覆盖GB)，贴纸跟位置图翻4500115674，MA3L+9L说明书
客版 PDQ 1L版（2Facing7pcs/Gravity PDQ)-翻单4500133062
UPC#193052050328，请先检查包装条码是否正确再安排做货;
7product+demo;2pcs *AAA battery not include; Integral single
ratio=bule/purple/pink/orange =1:1:1:1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</si>
  <si>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PO#2734214--C
ustomer
SKU#143951840</t>
  </si>
  <si>
    <t>4500163262-10</t>
  </si>
  <si>
    <t>6/9出</t>
  </si>
  <si>
    <t>日期码格式：ZURU INC(BVI) 标准格式 日期：按实际生产日期
Packaging Info:
MA UPC包装；客版PDQ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</si>
  <si>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Cora Zhou</t>
  </si>
  <si>
    <t xml:space="preserve"> NORDIC TOY TEAM AS - DOM</t>
  </si>
  <si>
    <t>4500164402-70</t>
  </si>
  <si>
    <t>5/17收到</t>
  </si>
  <si>
    <t>5/17-进口商贴纸+EAN贴纸+WEEE_不带电池走货 _ 说明书北欧EN+30L</t>
  </si>
  <si>
    <t>日期码格式：ZURU INC(BVI) 标准格式 日期：按实际生产日期
Packaging Info: 
 9543GQ1: MA UPC 3L C+MA 3L PDQ+1进口商贴纸+1EAN贴纸+说明书MA 5L+WEEE_不带电池走货 _ 说明书北欧EN+30L
Remark: 1/产品和包装要求无硼无香，包装不能含有PVC
 2/如有微塑料，必须合规欧洲标准，闪粉也是微塑料的一种，目前仅接受三张方式1.去除，2.用可降解材料，和3.永久封印在固体。
3/带电池出货的产品，所用到的电池需要符合欧洲电池新规(EU)2023-1542
 4/产品配比
 9543GQ1: bule/purple/pink/orange =5:6:6:5;</t>
  </si>
  <si>
    <t xml:space="preserve"> Zoe Zhou</t>
  </si>
  <si>
    <t>Meloman Home Video LLP</t>
  </si>
  <si>
    <t>4500164596-10</t>
  </si>
  <si>
    <t>5/8-通用进口商贴纸</t>
  </si>
  <si>
    <t>日期码格式：ZURU INC(BVI) 标准格式 日期：按实际生产日期
Packaging Info: 1L MA UPC 包装+ 通用进口商贴纸， MA 指南/说明书（如果有的话）
Remark: 标准配比</t>
  </si>
  <si>
    <t>MILLS FLEET FARM</t>
  </si>
  <si>
    <t>PO#4647601</t>
  </si>
  <si>
    <t>4500160726-130</t>
  </si>
  <si>
    <t>3/26收到</t>
  </si>
  <si>
    <t>3/26-外箱贴纸</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</si>
  <si>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</si>
  <si>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4500164331-30</t>
  </si>
  <si>
    <t>7/4出</t>
  </si>
  <si>
    <t>5/6-进口商贴纸</t>
  </si>
  <si>
    <t>客版指南(翻4500119045）</t>
  </si>
  <si>
    <t>日期码格式：ZURU INC(BVI) 标准格式 日期：按实际生产日期
Packaging Info: 
9543: MA最新包装含UPC条码+进口商贴纸/客版指南(翻4500119045）
Remark: 此单出欧洲斯洛文尼亚， 需满足EU测试标准要求，不能含微塑料，需出无闪粉版本
9543: 2pcs *AAA battery not include; bule/pink/purple/orange =1:1:1:1</t>
  </si>
  <si>
    <t>9543-S001-3</t>
  </si>
  <si>
    <t>95572-7.7</t>
  </si>
  <si>
    <t>Amazon
ES:43R6BUFJ</t>
  </si>
  <si>
    <t>4500165342-20</t>
  </si>
  <si>
    <t>6/27-7/1出</t>
  </si>
  <si>
    <t>UPC+IT/ES环保标+ZURU邮箱翻4500164165+客版Polybag(含防窒息5L警示语+塑料循环标翻单4500151302+WEEE电子产品说明书(不带电池走货版)；</t>
  </si>
  <si>
    <t>5/19-客供外箱贴纸</t>
  </si>
  <si>
    <t>客版Polybag(含防窒息5L警示语+塑料循环标，参考翻单PO#4500151302</t>
  </si>
  <si>
    <t>日期码格式：ZURU INC(BVI) 标准格式 日期：按实际生产日期
Packaging Info: Amazon ES(9279AE/9543B/77555)
2. 9543B：9543B 24pcs/ctn, no inner, pink; MA 3L（9L warning UPC#）C收缩膜+2张贴纸(1张UPC#，1张IT/ES环保标+ZURU邮箱，参考翻单PO#4500164165)+MA 5
L(9L warning)A说明书+客版Polybag(含防窒息5L警示语+塑料循环标，参考翻单PO#4500151302)+WEEE电子产品说明书(不带电池走货版)；
4.最迟验货不得晚于2025/6/16;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</si>
  <si>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95520-7.1</t>
  </si>
  <si>
    <t>Hobby Lobby Stores, Inc.</t>
  </si>
  <si>
    <t>W0717925</t>
  </si>
  <si>
    <t>4500165256-10</t>
  </si>
  <si>
    <t>6/19出</t>
  </si>
  <si>
    <t>5/9收到</t>
  </si>
  <si>
    <t>5/9-价格贴纸+外箱贴纸</t>
  </si>
  <si>
    <t xml:space="preserve"> Eleven Zhang/Yvonne</t>
  </si>
  <si>
    <t>SUOMEN OSUUSKAUPPOJEN KESKUSKUNTA</t>
  </si>
  <si>
    <t>4500161056-50</t>
  </si>
  <si>
    <t>6/30出</t>
  </si>
  <si>
    <t>5/20-EAN条码和care@zuru.com做成一张贴纸+瑞典芬兰爱沙尼亚语警告语/MADE IN CHINA和产品包含信息翻译成瑞典芬兰爱沙尼亚语言做成一张贴纸</t>
  </si>
  <si>
    <t>5/20-客版6L说明书(英语丹麦瑞典芬兰挪威爱沙尼亚语言)</t>
  </si>
  <si>
    <t>日期码格式：ZURU INC(BVI) 标准格式 日期：按实际生产日期
Packaging Info:
5. 9543GQ1: MA 3L(9L warning) UPC版收缩膜+EAN(4894680026995)条码和care@zuru.com做成一张贴纸+瑞典芬兰爱沙尼亚语警告语/MADE IN CHINA和产品包含信息
翻译成瑞典芬兰爱沙尼亚语言做成一张贴纸+客版6L说明书(英语丹麦瑞典芬兰挪威爱沙尼亚语言)+MA3L PDQ
Remark: *. 71152+15704UQ1 需要在6/11安排ITS第三方验货，请多备料
请在6/2之前各提供一套大货签板给我们签回供第三方验货用，签板必须跟大货完全一致，否则验货会不合格
*.71152+7166+15704UQ1+15733+15728新款: 请在6/2之前各提供两套大货样给我们寄给客人留底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*.产品/包装不含PFAS成分
*.产品条码如下: 请先检查条码是否正确再安排做货，如有问题请告知
ZURU ITEM#&lt;(&gt;&amp;&lt;)&gt;EAN
9543GQ1-S002:4894680026995</t>
  </si>
  <si>
    <t>9543GQ1-S002-4</t>
  </si>
  <si>
    <t>95518-7.1</t>
  </si>
  <si>
    <t>4500165567-10</t>
  </si>
  <si>
    <t>6/18-6/20出</t>
  </si>
  <si>
    <t>5/16收到</t>
  </si>
  <si>
    <t>5/19-防盗贴纸+5/19-外箱贴纸</t>
  </si>
  <si>
    <t>日期码格式：ZURU INC(BVI) 标准格式 日期：按实际生产日期
Packaging Info: 9543GQ1: MA英语UPC版本包装（首选1LUPC，如果无1L可用多语含英语UPC版本）+ 客版PDQ (翻单4500124321)+ 防盗贴纸（贴纸以及位置图翻单4500116403） +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</si>
  <si>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 xml:space="preserve"> Lydia Wu</t>
  </si>
  <si>
    <t>4500165566-10</t>
  </si>
  <si>
    <t>PL Handelsgesellschaft mbH</t>
  </si>
  <si>
    <t>奥地利</t>
  </si>
  <si>
    <t>301909-01-25 EVD+XMS</t>
  </si>
  <si>
    <t>4500165723-30</t>
  </si>
  <si>
    <t>EAN贴纸翻4500116318+WEEE 不带电池走货 通用30L 说明书+ZURU FRANCE 地址贴</t>
  </si>
  <si>
    <t>日期码格式：ZURU INC(BVI) 标准格式 日期：按实际生产日期
Packaging Info:
"9543GQ1-S001：MA UPC 1L+9L D版本收缩膜+EAN贴纸（翻单：4500116318）+MA 5L+9L A版本产品说明书+ MA 3L B版本PDQ+WEEE 不带电池走货 通用30L 说明书
EAN 4894680026995"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t>
  </si>
  <si>
    <t>Winnie zhong</t>
  </si>
  <si>
    <t>4500163172-10</t>
  </si>
  <si>
    <t>减少为188箱</t>
  </si>
  <si>
    <t>日期码格式：ZURU INC(BVI) 标准格式 日期：按实际生产日期
Packaging Info: 1、包装方式: MA UPC优先1L最新版本，出口美国
Remark: 2、无测试无第三方验货要求
3、纸箱4面印ZURU LOGO + 箱唛
4、日期码请按ZURU标准版执行即可
5、ZURU QC验货
6、Ratio:
#9543GQ1: 2pcs *AAA battery not Includedd; Integral single ratio=bule/purple/pink/orange =5:6:6:5</t>
  </si>
  <si>
    <t>客户PO:019236
89/1</t>
  </si>
  <si>
    <t>4500159588-10</t>
  </si>
  <si>
    <t>日期码格式：ZURU INC(BVI) 标准格式 日期：按实际生产日期
Packaging Info: 订单对应2个PO，请分开做货，一个PO一个柜， 不要混装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标准配比(UPC版本， 优先1L)</t>
  </si>
  <si>
    <t>客户PO;019236
90/1</t>
  </si>
  <si>
    <t>4500159588-20</t>
  </si>
  <si>
    <t>Amazon
UK:4AUYIIYZ</t>
  </si>
  <si>
    <t>4500165439-30</t>
  </si>
  <si>
    <t>6/28-7/2出</t>
  </si>
  <si>
    <t>UPC+IT/ES环保标+ZURU邮箱翻4500164165+WEEE电子产品说明书(不带电池走货版)；</t>
  </si>
  <si>
    <t>Polybag(含防窒息5L警示语+塑料循环标，参考翻单PO#4500153435)</t>
  </si>
  <si>
    <t>日期码格式：ZURU INC(BVI) 标准格式 日期：按实际生产日期
Packaging Info: Amazon UK(71137/92104G/9296B/9543A)/DE(9279AE/9543BE)
4. 9543ABE
--9543A：9543A 24pcs/ctn, no inner, blue; MA 3L（9L warning UPC#）C收缩膜+2张贴纸(1张UPC#，1张IT/ES环保标+ZURU邮箱，参考翻单PO#4500164165)+MA 5
L(9L warning) A 说明书+Polybag(含防窒息5L警示语+塑料循环标，参考翻单PO#4500153435)+WEEE电子产品说明书(不带电池走货版)；
6. 最迟验货不得晚于2025/6/18;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</si>
  <si>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Amazon
DE:7EE1AJES</t>
  </si>
  <si>
    <t>4500165439-40</t>
  </si>
  <si>
    <t>日期码格式：ZURU INC(BVI) 标准格式 日期：按实际生产日期
Packaging Info: Amazon UK(71137/92104G/9296B/9543A)/DE(9279AE/9543BE)
4. 9543ABE
--9543E：9543E 24pcs/ctn, no inner, orange; MA 3L（9L warning UPC#）C收缩膜+2张贴纸(1张UPC#，1张IT/ES环保标+ZURU邮箱，参考翻单PO#4500164165)+MA
5L(9L warning)A说明书+Polybag(含防窒息5L警示语+塑料循环标，参考翻单PO#4500154803)+WEEE电子产品说明书(不带电池走货版)；
6. 最迟验货不得晚于2025/6/18;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</si>
  <si>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95532-7.2</t>
  </si>
  <si>
    <t>Amazon
DE:6ZO7E7MK</t>
  </si>
  <si>
    <t xml:space="preserve"> </t>
  </si>
  <si>
    <t>日期码格式：ZURU INC(BVI) 标准格式 日期：按实际生产日期
Packaging Info: Amazon UK(71137/92104G/9296B/9543A)/DE(9279AE/9543BE)
4. 9543ABE
--9543B：9543B 24pcs/ctn, no inner, pink; MA 3L（9L warning UPC#）C收缩膜+2张贴纸(1张UPC#，1张IT/ES环保标+ZURU邮箱，参考翻单PO#4500164165)+MA 5
L(9L warning)A说明书+客版Polybag(含防窒息5L警示语+塑料循环标，参考翻单PO#4500151302)+WEEE电子产品说明书(不带电池走货版)；
6. 最迟验货不得晚于2025/6/18;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</si>
  <si>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Salling Group A/S</t>
  </si>
  <si>
    <t>4500165307-30</t>
  </si>
  <si>
    <t>EAN贴纸翻4500164118</t>
  </si>
  <si>
    <t>客版说明书翻4500161056</t>
  </si>
  <si>
    <t>日期码格式：ZURU INC(BVI) 标准格式 日期：按实际生产日期
Packaging Info: 
3. 9543GQ1: MA 3L(9L warning) UPC版收缩膜+EAN(4894680026995)(贴纸和位置图翻Indeks PO#4500164118)+客版6L说明书(英语丹麦瑞典芬兰挪威爱沙尼亚语言-
客版说明书翻SOK PO#4500161056)+MA3L PDQ
Remark: 9561： 是新品，请在6/2前寄两套大货样给客人留底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SKU-EAN-外箱条码
9543GQ1-S002:489468002699510193052050325</t>
  </si>
  <si>
    <t>95676-7.17</t>
  </si>
  <si>
    <t>777 24APR2526</t>
  </si>
  <si>
    <t>4500166127-60</t>
  </si>
  <si>
    <t>6/20出</t>
  </si>
  <si>
    <t>5/20收到</t>
  </si>
  <si>
    <t>WEEE不带电池走货欧洲30语通用黑白说明书</t>
  </si>
  <si>
    <t>日期码格式：ZURU INC(BVI) 标准格式 日期：按实际生产日期
Packaging Info: 各款的条码如下，配比请跟MA, 请先检查条码是否正确再安排做货，如有问题请告知
9543GQ1-S003 193052050328(MA 最新UPC包装+WEEE不带电池走货欧洲30语通用黑白说明书)
Remark: 1.产品及包装需要印UKCA图标，包装需要有ZURU UK LTD/ZURU France地址信息，QC同事请核查，如有问题与跟单确认。
2. 需要符合欧洲标准不能含有闪粉和微塑料，否则不合法规会有客诉产生</t>
  </si>
  <si>
    <t xml:space="preserve"> Yoga Huang</t>
  </si>
  <si>
    <t xml:space="preserve"> 6006-007111</t>
  </si>
  <si>
    <t>4500165851-10</t>
  </si>
  <si>
    <t>6/22出</t>
  </si>
  <si>
    <t>5/12收到</t>
  </si>
  <si>
    <t>5/14-进口商贴纸</t>
  </si>
  <si>
    <t>日期码格式：ZURU INC(BVI) 标准格式 日期：按实际生产日期
Packaging Info: MA 1L PKG ;
 MA 5L 收藏指南， MA说明书+ 1 张进口商贴纸（不得遮挡日期码）
(进口商贴纸新稿，后续新单以新版进口商贴纸为准，适用该客户订单的所有产品）
Remark</t>
  </si>
  <si>
    <t xml:space="preserve"> Doris Shou</t>
  </si>
  <si>
    <t>CORPORACION EL ROSADO S.A. 9</t>
  </si>
  <si>
    <t>2025-0347</t>
  </si>
  <si>
    <t>4500164432-30</t>
  </si>
  <si>
    <t>6/26出</t>
  </si>
  <si>
    <t>日期码格式：ZURU INC(BVI) 标准格式 日期：按实际生产日期
Packaging Info:
9543GQ1：MA 3L UPC包装+MA 5L说明书+MA 3L PDQ+进口商贴纸+箱唛
Remark:
9543GQ1：bule/purple/pink/orange =5:6:6:5;2PCS AAA BATTERIES(NOT INCLUDED)</t>
  </si>
  <si>
    <t>Distruibuciones Universales, SA - D</t>
  </si>
  <si>
    <t>4500167533-90</t>
  </si>
  <si>
    <t>5/22收到</t>
  </si>
  <si>
    <t>日期码格式：ZURU INC(BVI) 标准格式 日期：按实际生产日期
Packaging Info: 
7. 9543GQ1: MA 多语UPC包装+MA多语说明书+MA PDQ包装纸+箱唛
Remark:
9. 9543GQ1: BULE/PURPLE/PINK/ORANGE =5:6:6:5; 2PCS AAA BATTERIES(NOT INCLUDED)</t>
  </si>
  <si>
    <t>4500168889-20</t>
  </si>
  <si>
    <t>4500166083转单</t>
  </si>
  <si>
    <t>5/21收到</t>
  </si>
  <si>
    <t xml:space="preserve"> MEIJER DISTRIBUTION, INC.</t>
  </si>
  <si>
    <t>4500168832-10</t>
  </si>
  <si>
    <t>4500166087转单</t>
  </si>
  <si>
    <t xml:space="preserve"> Cherie Li</t>
  </si>
  <si>
    <t>47833874 SYD</t>
  </si>
  <si>
    <t>4500167015-10</t>
  </si>
  <si>
    <t>日期码格式：ZURU INC(BVI) 标准格式 日期：按实际生产日期
Packaging Info: 1. 包装：9543GQ1：英文MA包装 (UPC版本，首选1L，无1L可用多L含英语)+1张进口商贴纸，贴纸翻单4500106537
2. 进口商贴纸上已经去掉日期码，产品和包装上的日期码一致，请按要求在包装上打日期码（进口商贴纸不覆盖日期码）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</si>
  <si>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Yvonne Liu</t>
  </si>
  <si>
    <t>47833875 BNE</t>
  </si>
  <si>
    <t>4500167015-20</t>
  </si>
  <si>
    <t>47833876 MEL</t>
  </si>
  <si>
    <t>4500167015-30</t>
  </si>
  <si>
    <t>47833374 FRE</t>
  </si>
  <si>
    <t>4500167015-40</t>
  </si>
  <si>
    <t>7/7出</t>
  </si>
  <si>
    <t>95557-7.5</t>
  </si>
  <si>
    <t>Fun Time Enterprises Incorporated</t>
  </si>
  <si>
    <t>菲律宾</t>
  </si>
  <si>
    <t>ZUR-F250217-01</t>
  </si>
  <si>
    <t>4500162445-10</t>
  </si>
  <si>
    <t>6/27出</t>
  </si>
  <si>
    <t>日期码格式：ZURU INC(BVI) 标准格式 日期：按实际生产日期
Packaging Info: 9543GQ1: MA 1L PKG, MA PDQ, MA 说明书
Remark:</t>
  </si>
  <si>
    <t>4500167072-10</t>
  </si>
  <si>
    <t>EAN/care@zuru.com贴纸+不带电池走货北欧六语通用黑白电池说明书翻4500162375</t>
  </si>
  <si>
    <t>日期码格式：ZURU INC(BVI) 标准格式 日期：按实际生产日期
Packaging Info: 9543GQ1-3L MA D版包装+MA5L-9L Warning说明书+MA 3L PDQ+EAN4894680026995/care@zuru.com 合并一张贴纸+不带电池走货北欧六语通用黑白电池说明书（翻单45
00162375）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9543GQ1-2pcs *AAA battery not Includedd; Integral single ratio=bule/purple/pink/orange =5:6:6:5
8. SKU-客户SKU-EAN-GTIN
9543GQ1-1000448977-4894680026995-10193052050325</t>
  </si>
  <si>
    <t>ALL BRANDS TOYS PTY LTD</t>
  </si>
  <si>
    <t>4500167017-20</t>
  </si>
  <si>
    <t>客人通用进口商贴纸翻4500093524</t>
  </si>
  <si>
    <t>日期码格式：ZURU INC(BVI) 标准格式 日期：按实际生产日期
Packaging Info:
2.9543GQ1：英文MA包装UPC版本（首选1L,无1L可选多语含英语）+ 客人通用进口商贴纸(翻单4500093524)+箱唛
Remark: 1.按实际生产日期;
2.出澳大利亚，请按照相应标准生产;</t>
  </si>
  <si>
    <t>IVI-0513PM</t>
  </si>
  <si>
    <t>4500166969-10</t>
  </si>
  <si>
    <t>5/2-韩语贴纸（新稿）</t>
  </si>
  <si>
    <t>客版说明书翻单4500133472</t>
  </si>
  <si>
    <t>日期码格式：ZURU INC(BVI) 标准格式 日期：按实际生产日期
Packaging Info: 9543GQ1: MA 1L PKG+韩语贴纸（新稿）+ MA PDQ 优先1L+客版说明书翻单4500133472
箱唛（翻单4500133472）
Remark: 由于韩国法律法规要求，吸塑需PET材质, 产品需符合韩国KC测试标准。
With 1PCS demo(130g)/PDQ
Integral single ratio=bule/purple/pink/orange =5:6:6:5;</t>
  </si>
  <si>
    <t>CONTINENTE S.A.</t>
  </si>
  <si>
    <t>哥伦比亚</t>
  </si>
  <si>
    <t>COL66-25-FALL</t>
  </si>
  <si>
    <t>4500163691-180</t>
  </si>
  <si>
    <t>6/28出</t>
  </si>
  <si>
    <t>5/7收到</t>
  </si>
  <si>
    <t>6/5-进口商贴纸</t>
  </si>
  <si>
    <t>日期码格式：DG20250520 日期：
Packaging Info:9543GQ1::MA 3L UPC 包装+进口商贴纸+箱唛
Remark:</t>
  </si>
  <si>
    <t>5CDW68JW</t>
  </si>
  <si>
    <t>4500167361-10</t>
  </si>
  <si>
    <t>6/11-客供外箱贴纸</t>
  </si>
  <si>
    <t>日期码格式：ZURU INC(BVI) 标准格式 日期：按实际生产日期
Packaging Info: 出口加拿大，包装需要至少2/3L UPC版，无硼版本。
#9543: MA 3L 加UPC贴纸， UPC贴纸跟翻单4500098824。A:193052051776, B:193052051783,E:193052051806;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</si>
  <si>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6UP2OGFT</t>
  </si>
  <si>
    <t>4500167361-20</t>
  </si>
  <si>
    <t>251U5YQG</t>
  </si>
  <si>
    <t>4500167361-30</t>
  </si>
  <si>
    <t>87611K5F</t>
  </si>
  <si>
    <t>4500167361-50</t>
  </si>
  <si>
    <t>8L744RSP</t>
  </si>
  <si>
    <t>4500167361-60</t>
  </si>
  <si>
    <t>8LNBPNJS</t>
  </si>
  <si>
    <t>4500167361-110</t>
  </si>
  <si>
    <t>44X1QPDJ</t>
  </si>
  <si>
    <t>4500167361-120</t>
  </si>
  <si>
    <t>8LCJKV3P</t>
  </si>
  <si>
    <t>4500167361-130</t>
  </si>
  <si>
    <t>5W9XF64F</t>
  </si>
  <si>
    <t>4500167361-140</t>
  </si>
  <si>
    <t>2EAN6J1D</t>
  </si>
  <si>
    <t>4500167361-150</t>
  </si>
  <si>
    <t>27D1WRKS</t>
  </si>
  <si>
    <t>4500167361-160</t>
  </si>
  <si>
    <t>G.N MOUSTAKAS SA</t>
  </si>
  <si>
    <t>希腊</t>
  </si>
  <si>
    <t>4500166058-10</t>
  </si>
  <si>
    <t>5/15收到</t>
  </si>
  <si>
    <t>EAN条码贴纸+客人警语贴纸+一张欧洲通用30L WEEE说明书纸+黑白明书翻4500133441</t>
  </si>
  <si>
    <t>客版说明书；翻4500133441</t>
  </si>
  <si>
    <t>日期码格式：ZURU INC(BVI) 标准格式 日期：按实际生产日期
Packaging Info: 1.9543: 最新MA 3L包装/PDQ+一张EAN条码贴纸+最新MA 5L说明书+一张客人警语贴纸+客版说明书；翻4500133441+一张欧洲通用30L WEEE说明书纸（not include）
Remark: 1. 此单出希腊，需要满足EU标准； 产品均符合EU微塑料法规要求：不能含有微塑料闪粉
2. 本订单所有 具有 baby items / assorted items 的款式，零售包装上都要用 母 EAN;</t>
  </si>
  <si>
    <t>Christine He</t>
  </si>
  <si>
    <t>95573-7.7</t>
  </si>
  <si>
    <t>Gabriel Brothers, Inc.</t>
  </si>
  <si>
    <t>客人PO:
84006557</t>
  </si>
  <si>
    <t>4500167294-10</t>
  </si>
  <si>
    <t>8/12出</t>
  </si>
  <si>
    <t>日期码格式：ZURU INC(BVI) 标准格式 日期：按实际生产日期
Packaging Info: 1. ZURU MA UPC (首选1L / 多语可以接受)包装,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</si>
  <si>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ZB01057R1-8.5</t>
  </si>
  <si>
    <t>W0720644</t>
  </si>
  <si>
    <t>4500167259-10</t>
  </si>
  <si>
    <t>6/3收到</t>
  </si>
  <si>
    <t>6/3-价格贴纸+外箱贴纸</t>
  </si>
  <si>
    <t>日期码格式：ZURU INC(BVI) 标准格式 日期：按实际生产日期
Packaging Info: 1. MA UPC版包装，优先1L，需要加贴价格贴纸,贴纸产品正面右上角(价格贴纸文档跟单提供)，出美国。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3.#9543:bule/pink/purple/orange =1:1:1:1</t>
  </si>
  <si>
    <t>Eleven Zhang/Yvonne</t>
  </si>
  <si>
    <t>ZB00760-7.16</t>
  </si>
  <si>
    <t>4500163450-10</t>
  </si>
  <si>
    <t>5/22-WEEE不带电池走货说明书北欧+客人白色Cat.label贴纸</t>
  </si>
  <si>
    <t>日期码格式：ZURU INC(BVI) 标准格式 日期：按实际生产日期
Packaging Info: 9543:
1.MA 1L UPC包装+WEEE不带电池走货说明书北欧+客人白色Cat.label 1张覆盖ZURU条码
2.注意Cat.label （要求易撕类贴纸，但是粘性不能过低），同时此贴纸每个订单都是不相同的（会显示客户对应的订单号），切勿翻旧订单购买。此贴纸由ZURU
提供贴纸图稿和贴纸位置图给工厂后，工厂自行购买。
3.请先检查条码是否正确再安排做，标签上的目录编号数字高度必须至少为5mm （14.17pt），条码扫描结果应为3428775。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</si>
  <si>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Ina Song</t>
  </si>
  <si>
    <t>4500167193-10</t>
  </si>
  <si>
    <t>德语callout翻译贴纸翻4500156774+WEEE电池通用30L说明书（不带电池）</t>
  </si>
  <si>
    <t>日期码格式：ZURU INC(BVI) 标准格式 日期：按实际生产日期
Packaging Info: 9543GQ1：最新MA 3L PDQ + 3L(9L warning)收缩膜+德语callout翻译贴纸(翻单#4500156774)+5L-9L Warning说明书+WEEE电池通用30L说明书（不带电池）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</si>
  <si>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95626-7.12</t>
  </si>
  <si>
    <t>30250713A</t>
  </si>
  <si>
    <t>4500168067-50</t>
  </si>
  <si>
    <t>9543-S003-PKC</t>
  </si>
  <si>
    <t>仓鼠-干燥剂</t>
  </si>
  <si>
    <t>7/10第三方</t>
  </si>
  <si>
    <t>6/3- 外箱上下需加保护卡+双坑材质</t>
  </si>
  <si>
    <t>EAN条码贴纸翻4500116318+德语callout贴纸翻4500122326+欧洲通用WEEE声明30L说明书(不带电池)+ZURU FRANCE 地址贴</t>
  </si>
  <si>
    <t>日期码格式：ZURU INC(BVI) 标准格式 日期：按实际生产日期
Packaging Info: 
9543: 最新MA 1L+多语收缩膜+EAN条码贴纸(翻单4500116318)+德语callout贴纸(翻单4500122326)+ 5L+9L说明书+欧洲通用WEEE声明30L说明书(不带电池)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所有电子产品身上需要加字唛，为ZURU FRANCE 地址 (如无电子产品，产品布标有此地址，或产品太小无法增加可忽略此信息)
ZURU France 1/3, Rue d'Argenteuil 95210 SAINT-GRATIEN, FRANCE
12. 所有出往德国订单的电子产品需增加一张欧洲通用WEEE声明说明书，区分带电池和不带电池版本, 如已做客版说明书可忽略此要求。</t>
  </si>
  <si>
    <t>沙特阿拉伯</t>
  </si>
  <si>
    <t>KSA</t>
  </si>
  <si>
    <t>4500162474-30</t>
  </si>
  <si>
    <t>MPLB11-S001-9543</t>
  </si>
  <si>
    <t>4/23收到贴纸</t>
  </si>
  <si>
    <t>日期码格式：ZURU INC(BVI) 标准格式 日期：按实际生产日期
Packaging Info:
9543GQ1：MA+进口商贴纸；PDQ+进口商贴纸
71152：MA+进口商贴纸+说明书（加贴纸）
77673TQ1：MA PDQ+彩色贴纸+进口商贴纸；MA收藏指南+彩色贴纸；收缩膜+进口商贴纸；MA说明书+一张客制黑白说明书纸
1. 9561PLB：9561-S001 4pcs/CTN (Carton Size: 39.2x39.2x34.2CM); 6*5H=30CTN=30*4pcs=120pcs/pallet; 9561（共120箱）:每层6箱，装5层。装4个pallet。
2. 9548PLB：9548-S001 4pcs/CTN (Carton Size: 57.7x38.5x32.2CM); 5*6H=30CTN=30*4pcs=120pcs/pallet；9548（共36箱）:每层5箱，装6层。装1个pallet 装3
0箱，剩36-30=6箱。
3. MPLB11：9548-S001 4pcs/CTN (Carton Size: 57.7x38.5x32.2CM); 9543GQ1-S001 22PCS/2PDQ/CTN (Carton Size: 48.4x36.6x27.2CM); 6*4H=24-2=22CTN+6CTN
(9548)，total 508pcs/pallet；9548-S001 4*6CTN=24pcs, 9543GQ1-S001 22*22CTN=484pcs;
9543GQ1（22箱）:每层6箱，装4层。装1个pallet，最上面1层少装2箱，其余空间装6箱9548-S001。
4. 71152PLB：71152-S001 6PCS/CTN (Carton Size: 31.7x29.2x43.3CM); 8*5H=40CTN=40*6pcs=240pcs/pallet；
71152（80箱）：每层8箱，装5层。装2个pallet。
5. 77673PLB：77673TQ1-S002 16PCS/4PDQ/CTN(SIZE:41.7*26.8*40.1CM)8*4H-2=30CTN=480PCS；
77673TQ1（30箱）：每层8箱，装4层。装1个pallet，最上面一层少放2箱。
6. 77803PLB：77803GQ2-S001-PRODCC-INT 50PCS/2PDQ/CTN(SIZE:42.6*33*41CM)8*4H-3=29CTN=1450PCS；
77803GQ2-S001（29箱）：每层8箱，装4层，装1个pallet ，最上面1层少装3箱。
7. 77803PLD：77803SK1-S002-PRODCC-INT 30PCS/SIDEKICK/CTN(SIZE:14.5*33.5*112.5CM)22*1H+6*2H+1=35CTN=1050PCS；
77803SK1-S002（35箱）：总高度（1290+670+145=2105mm）装1个pallet，竖放22箱+横放12箱，最上层再平放1箱
Remark: 9548:1 assorment,3pcs AAA batteries(not included)</t>
  </si>
  <si>
    <t>96584-9.30</t>
  </si>
  <si>
    <t>4500166289-30</t>
  </si>
  <si>
    <t>7/9-7/11出</t>
  </si>
  <si>
    <t>5/26收到</t>
  </si>
  <si>
    <t>6/18-防盗贴纸+6/16-外箱贴纸</t>
  </si>
  <si>
    <t>95857-7.31</t>
  </si>
  <si>
    <t>4500166290-30</t>
  </si>
  <si>
    <t>5/28收到</t>
  </si>
  <si>
    <t>日期码格式：ZURU INC(BVI) 标准格式 日期：按实际生产日期
Packaging Info:
9543GQ1: MA英语UPC版本包装（首选1LUPC，如果无1L可用多语含英语UPC版本）+ 客版PDQ (翻单4500124321)+ 防盗贴纸（贴纸以及位置图翻单4500116403） +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</si>
  <si>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95858-7.31</t>
  </si>
  <si>
    <t>4500167444-40</t>
  </si>
  <si>
    <t>消耗取消订单4500156588-2160PCS</t>
  </si>
  <si>
    <t>7/10出</t>
  </si>
  <si>
    <t>日期码格式：ZURU INC(BVI) 标准格式 日期：按实际生产日期
Packaging Info:
#9543：MA 1L 加UPC贴纸，UPC贴纸跟翻单4500098824。A:193052051776，B:193052051783。可消耗取消订单4500156588-2160PCS.
Remark: 1.Amazon domestic 订单。出口美国。外箱最长边不能超过25" （超过了，case pack只能为1），不符合要求的大货，一律不接受。
2.无第三方验货/测试要求。
3.日期码使用ZURU标准版本。
4.邮包盒要印刷日期码。</t>
  </si>
  <si>
    <t>ZB00719-7.10</t>
  </si>
  <si>
    <t>4500168910-10</t>
  </si>
  <si>
    <t>外箱只需四面印Zurulogo</t>
  </si>
  <si>
    <t>6/20-进口商贴纸+价标贴纸+说明书贴纸</t>
  </si>
  <si>
    <t>6/24-Hu贴纸+ASN贴纸</t>
  </si>
  <si>
    <t>日期码格式：ZURU INC(BVI) 标准格式 日期：按实际生产日期
Packaging Info: 9543GQ1:MA 多语UPC包装+MA多语说明书+MA 3L PDQ+进口商贴纸+价标贴纸+说明书贴纸
1. 外箱只需四面印Zurulogo，再加2张贴纸，1张Hu贴纸（条码贴,尺寸103*51mm），1张ASN贴纸（尺寸6.5cm*6.3cm,潘通色号2597C），都贴于侧唛，只需贴1面(HU
贴纸和ASN贴纸客供）
2. 一个外箱对应一个HU’S(条形码),不可以混条码包装
3.含有说明书需要增加说明书贴纸
4.价格贴纸覆盖原有包装的条形码
Remark: 9543GQ1:BULE/PURPLE/PINK/ORANGE =5:6:6:5; 2PCS AAA BATTERIES(NOT INCLUDED)
此单有监柜要求，需要每款多准备一套完整物料，用于监柜，不可以随大货走</t>
  </si>
  <si>
    <t>95616-7.11</t>
  </si>
  <si>
    <t>Wonderland Toys, Inc.</t>
  </si>
  <si>
    <t>4500167544-110</t>
  </si>
  <si>
    <t>日期码格式：ZURU INC(BVI) 标准格式 日期：按实际生产日期
Packaging Info: 1. 出口美国，MA UPC 版本包装，优先1L。
#9543GQ1: Integral single ratio=bule/purple/pink/orange =5:6:6:5; 2PCS AAA BATTERIES(NOT INCLUDED);
Remark: 2. Zuru QC 验货即可</t>
  </si>
  <si>
    <t>ZB00805-7.18</t>
  </si>
  <si>
    <t>47:0003130853</t>
  </si>
  <si>
    <t>4500165299-10</t>
  </si>
  <si>
    <t>4/30收到</t>
  </si>
  <si>
    <t>张日语贴纸翻4500153105</t>
  </si>
  <si>
    <t>Aimee Huang</t>
  </si>
  <si>
    <t>95684-7.18
95685-7.18</t>
  </si>
  <si>
    <t>COMERCIALIZADORA MEXICO AMERICANA S</t>
  </si>
  <si>
    <t>4500168907-20</t>
  </si>
  <si>
    <t>仓鼠干燥剂</t>
  </si>
  <si>
    <t>7/16出</t>
  </si>
  <si>
    <t>6/11收到</t>
  </si>
  <si>
    <t>6/18-进口商贴纸+6/9-保证书</t>
  </si>
  <si>
    <t>例如(LOTDG20240920)</t>
  </si>
  <si>
    <t>日期码格式：LOTDGYYYYMMDD 日期：按实际生产日期
Packaging Info: 9543GQ1: MA 3L UPC包装+MA 3L PDQ包装+MA 多语说明书+进口商贴纸+箱唛+保证书，产品/包装/说明书上各贴一张进口商贴纸
Remark: 1.客版日期码要求：LOT+ZURU标准日期码格式。东莞生产的格式：LOTDGYYYYMMDD, DG是东莞拼音首字母，
YYYYMMDD是实际的年月日，例如(LOTDG20240920)
2. 9543GQ1: 2PCS AAA Batteries(Not Include); bule/purple/pink/orange =5:6:6:5
3. 此单有第三方监柜，至少多备一套完整的物料用于监柜，请多备料。
4.WM墨西哥防霉的新要求:货物必须在出货主箱和集装箱中按要求放置干燥剂，干燥剂指定品牌干霸
9543GQ1：需要在每箱放入6小包干燥剂，每包干燥剂重量2g
5.如走柜货等loading plan 确认后再通知集装箱干燥剂数量</t>
  </si>
  <si>
    <t>95663-7.16</t>
  </si>
  <si>
    <t>4500168730-50</t>
  </si>
  <si>
    <t>7/17出</t>
  </si>
  <si>
    <t>6/6收到</t>
  </si>
  <si>
    <t>6/18-进口商贴纸</t>
  </si>
  <si>
    <t>日期码格式：ZURU INC(BVI) 标准格式 日期：按实际生产日期
Packaging Info:;
9543GQ1：MA UPC收缩膜+进口商贴纸；MA PDQ;
Remark: 标准配比</t>
  </si>
  <si>
    <t>96586-9.30
95667-7.17</t>
  </si>
  <si>
    <t>KINGSKY CLEAN-TECH CO., LTD.</t>
  </si>
  <si>
    <t>香港</t>
  </si>
  <si>
    <t>ZU25051501HK</t>
  </si>
  <si>
    <t>4500168159-10</t>
  </si>
  <si>
    <t>进口商贴纸
 贴纸翻4500131664</t>
  </si>
  <si>
    <t>日期码格式：ZURU INC(BVI) 标准格式 日期：按实际生产日期
Packaging Info: MA UPC包装（优先1L)+1张进口商贴纸
贴纸AW、位置图翻单4500131664
Remark: bule/purple/pink/orange =5:6:6:5; 2PCS AAA BATTERIES(NOT INCLUDED)</t>
  </si>
  <si>
    <t>95669-7.17</t>
  </si>
  <si>
    <t>4500168536-10</t>
  </si>
  <si>
    <t>7/16-7/18出</t>
  </si>
  <si>
    <t>5/30收到</t>
  </si>
  <si>
    <t>日期码格式：ZURU INC(BVI) 标准格式 日期：按实际生产日期
Packaging Info: 9543GQ1: 英文MA包装(UPC版本，首选1L，无1L可用多L含英语)+箱唛+外箱贴纸
Ratio: bule/purple/pink/orange =5:6:6:5; 2PCS AAA BATTERIES(NOT INCLUDED)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</si>
  <si>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95668-7.17</t>
  </si>
  <si>
    <t>INTERBRANDS ORBICO</t>
  </si>
  <si>
    <t>罗马尼亚</t>
  </si>
  <si>
    <t>4500170216-10</t>
  </si>
  <si>
    <t>8/13出</t>
  </si>
  <si>
    <t>6/25收到</t>
  </si>
  <si>
    <t>7/3-进口商贴纸</t>
  </si>
  <si>
    <t>日期码格式：ZURU INC(BVI) 标准格式 日期：按实际生产日期
Packaging Info: 9543: MA D版 1L UPC 收缩膜+进口商贴纸
Remark: 1、若产品有比例使用ZURU STD 比例
2、所有item 均用MA UPC 条码，若包装不是UPC 条码的请告知
3、此单出欧洲需满足EU测试标准要求，另外不能出闪粉（若产品本身不含闪粉则忽略这句话）
9543: 2PCS AAA BATTERIES(NOT INCLUDED)</t>
  </si>
  <si>
    <t>4500165899-70</t>
  </si>
  <si>
    <t>6/25-进口商贴纸</t>
  </si>
  <si>
    <t>日期码格式：ZURU INC(BVI) 标准格式 日期：按实际生产日期
Packaging Info:
 5. 9543GQ1: MA 多语UPC包装+MA多语说明书+MA PDQ包装+进口商贴纸+箱唛
Remark:
 6. 9543GQ1：BULE/PURPLE/PINK/ORANGE =5:6:6:5;</t>
  </si>
  <si>
    <t xml:space="preserve"> Ava Liang</t>
  </si>
  <si>
    <t>4500163522-10</t>
  </si>
  <si>
    <t>7/24出</t>
  </si>
  <si>
    <t>WEEE通用说明书（不带电池走货）</t>
  </si>
  <si>
    <t>日期码格式：ZURU INC(BVI) 标准格式 日期：按实际生产日期
Packaging Info: MA UPC 收缩膜，客版PDQ
需要增加WEEE通用说明书（不带电池走货）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</si>
  <si>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95759-7.24</t>
  </si>
  <si>
    <t>RED APPLE STORES INC.</t>
  </si>
  <si>
    <t>2876931-00</t>
  </si>
  <si>
    <t>4500165126-20</t>
  </si>
  <si>
    <t>7/2-UPC贴纸+PDQ英法贴纸</t>
  </si>
  <si>
    <t>日期码格式：ZURU INC(BVI) 标准格式 日期：按实际生产日期
Packaging Info:
9543GQ1 MA多语含英法（说明书E版本+收缩膜UPC版本193052050328+PDQ）全部加英法贴纸
Remark: 出加拿大
日期跟踪码：产品外包装及产品本身都必须有日期跟踪码，并且确保两者的日期跟踪码要一致；ZURU标准格式日期码(请自行调整具体年月日生产期，但不能为周末
）</t>
  </si>
  <si>
    <t>Summer Mo</t>
  </si>
  <si>
    <t>95775-7.25</t>
  </si>
  <si>
    <t>SHIRRA PANWEST</t>
  </si>
  <si>
    <t>MPO 8071</t>
  </si>
  <si>
    <t>4500169209-30</t>
  </si>
  <si>
    <t>6/17收到</t>
  </si>
  <si>
    <t>英法贴纸和UPC贴纸翻单4500165126</t>
  </si>
  <si>
    <t>日期码格式： 标准格式 日期：按实际生产日期
Packaging Info: 
9543GQ1 MA多语含英法（说明书E版本+收缩膜UPC版本 193052050328+PDQ）全部加英法贴纸，英法贴纸翻单4500165126
Remark: 出加拿大
日期跟踪码：产品外包装及产品本身都必须有日期跟踪码，ZURU标准格式日期码.
不晚于7/9 号提供大货图片， 大货图片要包含外箱，箱唛， 产品带包装/不带包装图片， 尺寸测量， 称重等，请注意 客人看了大货图片才会放SO。</t>
  </si>
  <si>
    <t>95741-7.23</t>
  </si>
  <si>
    <t>ZU03-25</t>
  </si>
  <si>
    <t>4500167463-100</t>
  </si>
  <si>
    <t>8/1出</t>
  </si>
  <si>
    <t>6/5收到</t>
  </si>
  <si>
    <t>日期码格式：ZURU INC(BVI) 标准格式 日期：按实际生产日期
Packaging Info: 
10. 9543GQ1: MA 多语UPC包装+MA多语说明书+MA PDQ+进口商贴纸+箱唛，进口商贴纸翻单4500098650
Remark:
10. 9543GQ1：BULE/PURPLE/PINK/ORANGE =5:6:6:5; 2PCS AAA BATTERIES(NOT INCLUDED)</t>
  </si>
  <si>
    <t>MPO03611</t>
  </si>
  <si>
    <t>单款装箱外箱注明</t>
  </si>
  <si>
    <t>Remark: 1.此子件由兴信客供带包装成品给超邦组装，7/18号送货到超邦；
2.兴信子件#9543：MA 1L UPC D版收缩膜+MA 5L+9L warning A版说明书+WEEE不带电池走货欧洲30语通用黑白说明书，UPC#193052050328，请先检查条码是否正确
再安排做货
3. 产品及包装需要印UKCA图标，包装需要有ZURU UK LTD/ZURU France地址信息，QC同事请核查，如有问题与跟单确认
4.需要符合欧洲标准不能含有闪粉和微塑料，否则不符合法规会有客诉产生
5.请在7/1提供8pcs按照配比配好的带包装的样板给超邦组装一套展示架样板寄给客人UK办公室审批；
6. 请在7/1提供各5套带包装的样板+5整套所有assortment的散配件，每套散配件装一个袋子给香港办公室审批了才能安排验货，所有样板需要同大货一致，否则第三方验货
会不合格，请务必按时寄出所有样板；
7. 每座展示架放8个# 9543，请务必按照每座展示架数量配好每个assortment的配比，方便组装厂直接组装展示架，配比跟MA标准款，如有不清楚的请找客制部和跟单核查
8.外箱可以直接用周转箱或者其他，工厂自行安排即可，请在外箱上写好每箱装多少和总箱数方便点数；
9.送货到超邦时请在送货单上备注客供给Aldi UK PO#4500163105/MEC362组装展示架用
10.组装厂会安排最终验货，请准备好备品，验货后需要马上安排补货，届时请务必按时送货到超邦。</t>
  </si>
  <si>
    <t>95847-7.31</t>
  </si>
  <si>
    <t>30250713B</t>
  </si>
  <si>
    <t>4500168346-50</t>
  </si>
  <si>
    <t>8/3出</t>
  </si>
  <si>
    <t>6/11- 外箱上下需加保护卡-双坑材质</t>
  </si>
  <si>
    <t>EAN条码贴纸(翻4500116318)+德语callout贴纸(翻4500122326)+ 欧洲通用WEEE声明30L说明书(不带电池)+ZURU FRANCE 地址</t>
  </si>
  <si>
    <t>日期码格式：ZURU INC(BVI) 标准格式 日期：按实际生产日期
Packaging Info:
9543: 最新MA 1L+多语收缩膜+EAN条码贴纸(翻单4500116318)+德语callout贴纸(翻单4500122326)+ 5L+9L说明书+欧洲通用WEEE声明30L说明书(不带电池)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所有电子产品身上需要加字唛，为ZURU FRANCE 地址 (如无电子产品，产品布标有此地址，或产品太小无法增加可忽略此信息)
ZURU France 1/3, Rue d'Argenteuil 95210 SAINT-GRATIEN, FRANCE
11. 所有出往德国订单的电子产品需增加一张欧洲通用WEEE声明说明书，区分带电池和不带电池版本, 如已做客版说明书可忽略此要求。
12. 标准配比</t>
  </si>
  <si>
    <t>B0BS8RRZVB</t>
  </si>
  <si>
    <t>4500169495-130</t>
  </si>
  <si>
    <t>紫色仓鼠</t>
  </si>
  <si>
    <t>6/10收到</t>
  </si>
  <si>
    <t>UPC贴纸翻4500139622</t>
  </si>
  <si>
    <t>日期码格式：ZURU INC(BVI) 标准格式 日期：按实际生产日期
Packaging Info:
#9543: MA加UPC贴纸, UPC贴纸跟翻单4500139622.D:193052051790
Remark: 1.Amazon domestic 订单。出口美国。外箱最长边不能超过25" （超过了，case pack只能为1），不符合要求的大货，一律不接受。
2.无第三方验货/测试要求。
3.日期码使用ZURU标准版本。
4.邮包盒要印刷日期码。</t>
  </si>
  <si>
    <t>ZB01104R1-8.6</t>
  </si>
  <si>
    <t>B0BS8CP1QY</t>
  </si>
  <si>
    <t>4500169495-140</t>
  </si>
  <si>
    <t>日期码格式：ZURU INC(BVI) 标准格式 日期：按实际生产日期
Packaging Info:
#9543: MA加UPC贴纸, UPC贴纸跟翻单4500139622. E:193052051806, 
Remark: 1.Amazon domestic 订单。出口美国。外箱最长边不能超过25" （超过了，case pack只能为1），不符合要求的大货，一律不接受。
2.无第三方验货/测试要求。
3.日期码使用ZURU标准版本。
4.邮包盒要印刷日期码。</t>
  </si>
  <si>
    <t>B0BS8RLJYQ</t>
  </si>
  <si>
    <t>4500169495-150</t>
  </si>
  <si>
    <t>蓝色仓鼠</t>
  </si>
  <si>
    <t>日期码格式：ZURU INC(BVI) 标准格式 日期：按实际生产日期
Packaging Info:
#9543: MA加UPC贴纸, UPC贴纸跟翻单4500139622. 
Remark: 1.Amazon domestic 订单。出口美国。外箱最长边不能超过25" （超过了，case pack只能为1），不符合要求的大货，一律不接受。
2.无第三方验货/测试要求。
3.日期码使用ZURU标准版本。
4.邮包盒要印刷日期码。</t>
  </si>
  <si>
    <t>54DJPMRD</t>
  </si>
  <si>
    <t>4500169697-70</t>
  </si>
  <si>
    <t>6/13收到</t>
  </si>
  <si>
    <t>7/11-外箱贴纸</t>
  </si>
  <si>
    <t>日期码格式：ZURU INC(BVI) 标准格式 日期：按实际生产日期
Packaging Info:
#9543: MA 3L 加UPC贴纸， UPC贴纸跟翻单4500098824。B:193052051783,E:193052051806;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</si>
  <si>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5SKR8R3T</t>
  </si>
  <si>
    <t>4500169697-80</t>
  </si>
  <si>
    <t>2BIYND1A</t>
  </si>
  <si>
    <t>4500169697-90</t>
  </si>
  <si>
    <t>51QSDUPI</t>
  </si>
  <si>
    <t>4500169697-100</t>
  </si>
  <si>
    <t>2LUJJCYG</t>
  </si>
  <si>
    <t>4500169697-120</t>
  </si>
  <si>
    <t>4ZL75RPA</t>
  </si>
  <si>
    <t>4500169697-360</t>
  </si>
  <si>
    <t>5XNTG7WJ</t>
  </si>
  <si>
    <t>4500169697-370</t>
  </si>
  <si>
    <t>44APCZFF</t>
  </si>
  <si>
    <t>4500169697-380</t>
  </si>
  <si>
    <t>2TKD3KUR</t>
  </si>
  <si>
    <t>4500169697-390</t>
  </si>
  <si>
    <t>6LJT1AAT</t>
  </si>
  <si>
    <t>4500169697-400</t>
  </si>
  <si>
    <t>7DOPNADQ</t>
  </si>
  <si>
    <t>4500169697-410</t>
  </si>
  <si>
    <t>811CWROG</t>
  </si>
  <si>
    <t>4500169697-420</t>
  </si>
  <si>
    <t>AMAZON CA (VENDOR CENTER)</t>
  </si>
  <si>
    <t>4C8H27KA</t>
  </si>
  <si>
    <t>4500169928-10</t>
  </si>
  <si>
    <t>日期码格式：ZURU INC(BVI) 标准格式 日期：按实际生产日期
Packaging Info: #9543: MA 3L 加UPC贴纸， UPC贴纸跟翻单4500098824。B:193052051783, D:193052051790; 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</si>
  <si>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7A882IGZ</t>
  </si>
  <si>
    <t>4500169928-20</t>
  </si>
  <si>
    <t>4UVIJEFU</t>
  </si>
  <si>
    <t>4500169928-30</t>
  </si>
  <si>
    <t>1MXMKUJU</t>
  </si>
  <si>
    <t>4500169928-40</t>
  </si>
  <si>
    <t>7K3KCMNC</t>
  </si>
  <si>
    <t>4500169928-50</t>
  </si>
  <si>
    <t>76DD6LKS</t>
  </si>
  <si>
    <t>4500169928-60</t>
  </si>
  <si>
    <t>1459EYIX</t>
  </si>
  <si>
    <t>4500169928-70</t>
  </si>
  <si>
    <t>8BZ6LWJK</t>
  </si>
  <si>
    <t>4500169928-80</t>
  </si>
  <si>
    <t>2ANW25TN</t>
  </si>
  <si>
    <t>4500169928-90</t>
  </si>
  <si>
    <t>8C5IALPN</t>
  </si>
  <si>
    <t>4500169928-100</t>
  </si>
  <si>
    <t>7TN5HYEC</t>
  </si>
  <si>
    <t>4500169928-110</t>
  </si>
  <si>
    <t>8PUT91WU</t>
  </si>
  <si>
    <t>4500169928-120</t>
  </si>
  <si>
    <t>2X6W7NOL</t>
  </si>
  <si>
    <t>4500169928-130</t>
  </si>
  <si>
    <t>1GBKW3BS</t>
  </si>
  <si>
    <t>4500169928-140</t>
  </si>
  <si>
    <t>3FQVXIPL</t>
  </si>
  <si>
    <t>4500169928-150</t>
  </si>
  <si>
    <t>7WVJVPHA</t>
  </si>
  <si>
    <t>4500169928-160</t>
  </si>
  <si>
    <t>1Z4QI64V</t>
  </si>
  <si>
    <t>4500169928-170</t>
  </si>
  <si>
    <t>6UA4D67F</t>
  </si>
  <si>
    <t>4500169928-180</t>
  </si>
  <si>
    <t>6I9C4JSH</t>
  </si>
  <si>
    <t>4500169928-190</t>
  </si>
  <si>
    <t>78OCDL6K</t>
  </si>
  <si>
    <t>4500169928-200</t>
  </si>
  <si>
    <t>79G8BU9T</t>
  </si>
  <si>
    <t>4500169928-210</t>
  </si>
  <si>
    <t>3UUQW71E</t>
  </si>
  <si>
    <t>4500169928-220</t>
  </si>
  <si>
    <t>7OUUFB1P</t>
  </si>
  <si>
    <t>4500169928-230</t>
  </si>
  <si>
    <t>7EJAJB3J</t>
  </si>
  <si>
    <t>4500169928-240</t>
  </si>
  <si>
    <t>7LXFQ5MO</t>
  </si>
  <si>
    <t>4500169928-250</t>
  </si>
  <si>
    <t>69GMWH5Q</t>
  </si>
  <si>
    <t>4500169928-260</t>
  </si>
  <si>
    <t>8KM7S3OH</t>
  </si>
  <si>
    <t>4500169928-270</t>
  </si>
  <si>
    <t>1BJ71ZTI</t>
  </si>
  <si>
    <t>4500169928-280</t>
  </si>
  <si>
    <t>2PRQZT5G</t>
  </si>
  <si>
    <t>4500169928-290</t>
  </si>
  <si>
    <t>4G8JTEIN</t>
  </si>
  <si>
    <t>4500169928-300</t>
  </si>
  <si>
    <t>1C5QBKQO</t>
  </si>
  <si>
    <t>4500169928-310</t>
  </si>
  <si>
    <t>17TNTS4E</t>
  </si>
  <si>
    <t>4500169928-320</t>
  </si>
  <si>
    <t>JUGUESAL S.A. DE C.V.</t>
  </si>
  <si>
    <t>25-1068242JUS</t>
  </si>
  <si>
    <t>4500159848-220</t>
  </si>
  <si>
    <t>8/7出</t>
  </si>
  <si>
    <t>7/2-进口商贴纸</t>
  </si>
  <si>
    <t>日期码格式：2025-07 日期：
Packaging Info: 
9543GQ1: MA多语UPC包装+MA多语说明书+MA多语PDQ包装+进口商贴纸+箱唛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9543GQ1:2PCS AAA BATTERIES(NOT INCLUDED)
Hershey's-Chocolate Syrup 24 oz
Hershey's-Mini Chocolate Syrup 24 oz
Hershey's-Strawberry Syrup 22 oz</t>
  </si>
  <si>
    <t>96592-5-9.30</t>
  </si>
  <si>
    <t>4500170206-10</t>
  </si>
  <si>
    <t>22DQR4VD</t>
  </si>
  <si>
    <t>4500170130-60</t>
  </si>
  <si>
    <t>日期码格式：ZURU INC(BVI) 标准格式 日期：按实际生产日期
Packaging Info:
#9543: MA 3L 加UPC贴纸， UPC贴纸跟翻单4500098824。B:193052051783, D:193052051790; 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</si>
  <si>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11CKXCRZ</t>
  </si>
  <si>
    <t>4500170130-80</t>
  </si>
  <si>
    <t>3J4L49FE</t>
  </si>
  <si>
    <t>4500170130-90</t>
  </si>
  <si>
    <t>4ECMJ6ZT</t>
  </si>
  <si>
    <t>4500170130-100</t>
  </si>
  <si>
    <t>7XNOC4ER</t>
  </si>
  <si>
    <t>4500170130-110</t>
  </si>
  <si>
    <t>57851DZF</t>
  </si>
  <si>
    <t>4500170130-120</t>
  </si>
  <si>
    <t>8WLAFKUP</t>
  </si>
  <si>
    <t>4500170130-270</t>
  </si>
  <si>
    <t>6/16收到</t>
  </si>
  <si>
    <t>6Q8R4GHQ</t>
  </si>
  <si>
    <t>4500170130-280</t>
  </si>
  <si>
    <t>1WCALCLR</t>
  </si>
  <si>
    <t>4500170130-290</t>
  </si>
  <si>
    <t>1TK7KVDT</t>
  </si>
  <si>
    <t>4500170130-300</t>
  </si>
  <si>
    <t>4TR9MMRP</t>
  </si>
  <si>
    <t>4500170130-310</t>
  </si>
  <si>
    <t>6BACLVGX</t>
  </si>
  <si>
    <t>4500170130-320</t>
  </si>
  <si>
    <t>35JPLWIX</t>
  </si>
  <si>
    <t>4500170130-330</t>
  </si>
  <si>
    <t>85B3YSQB</t>
  </si>
  <si>
    <t>4500170130-420</t>
  </si>
  <si>
    <t>2TIHQSPR</t>
  </si>
  <si>
    <t>4500170130-430</t>
  </si>
  <si>
    <t>2GPLZ4ZQ</t>
  </si>
  <si>
    <t>4500170130-440</t>
  </si>
  <si>
    <t>5Z4UQQ1Z</t>
  </si>
  <si>
    <t>4500170130-450</t>
  </si>
  <si>
    <t>6DQNHK8S</t>
  </si>
  <si>
    <t>4500170130-460</t>
  </si>
  <si>
    <t>5Y7JCDNQ</t>
  </si>
  <si>
    <t>4500170130-470</t>
  </si>
  <si>
    <t>2GPPRJ4N</t>
  </si>
  <si>
    <t>4500170130-480</t>
  </si>
  <si>
    <t>1YCHNJQG</t>
  </si>
  <si>
    <t>4500170130-490</t>
  </si>
  <si>
    <t>74YXV46R</t>
  </si>
  <si>
    <t>4500170130-500</t>
  </si>
  <si>
    <t>AMAZON.COM SERVICES LLC</t>
  </si>
  <si>
    <t>4Q5ZE76Y</t>
  </si>
  <si>
    <t>4500168600-100</t>
  </si>
  <si>
    <t>7/28出</t>
  </si>
  <si>
    <t>7/11-客供外箱贴纸</t>
  </si>
  <si>
    <t>日期码格式：ZURU INC(BVI) 标准格式 日期：按实际生产日期
Packaging Info:
#9543: MA加UPC贴纸, UPC贴纸跟翻单4500139622. E:193052051806, B:193052051783, D:193052051790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</si>
  <si>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ZB00888-7.26</t>
  </si>
  <si>
    <t>61KK1XCQ</t>
  </si>
  <si>
    <t>4500168600-110</t>
  </si>
  <si>
    <t>ZU25060601SG</t>
  </si>
  <si>
    <t>4500170947-10</t>
  </si>
  <si>
    <t>6/24收到</t>
  </si>
  <si>
    <t>固定进口商贴纸翻4500154572</t>
  </si>
  <si>
    <t>日期码格式：ZURU INC(BVI) 标准格式 日期：按实际生产日期
Packaging Info: MA 1L UPC包装+1张固定进口商贴纸,贴纸位置图及图稿翻单如下;
9543GQ1-4500154572
Remark: 9543GQ1-bule/purple/pink/orange =5:6:6:5;</t>
  </si>
  <si>
    <t>TOYS WORLD FREIZEITARTIKEL UND</t>
  </si>
  <si>
    <t>4500170385-10</t>
  </si>
  <si>
    <t>6/24-EAN条码贴纸+欧洲通用B版 30L WEEE不带电池走货说明书</t>
  </si>
  <si>
    <t>日期码格式：ZURU INC(BVI) 标准格式 日期：按实际生产日期
Packaging Info: 9543GQ1：最新MA 3L B版PDQ+最新MA 3L+9L C版收缩膜+EAN条码贴纸(4894680026995)+最新MA 5L+9L A版说明书+欧洲通用B版 30L WEEE不带电池走货说明书
Remark: 1. 此单出德国，需要满足Zuru Standard欧洲标准测试要求；
2. 请准时出货，推期会有罚款；
3. 出口欧洲，微塑料需符合法规；
4. 配比：标准配比；
5. 所有包装警语部分需含德语警语；
6. 大货样品每个item一个，CRD前一周寄到深圳办公室；
7. ZURU验货标准，验货通过后出货；
8. 所有电子产品身上需要加字唛，为ZURU FRANCE 地址 (如无电子产品，产品布标有此地址，或产品太小无法增加可忽略此信息)
ZURU France 1/3, Rue d'Argenteuil 95210 SAINT-GRATIEN, FRANCE
9. 所有出往德国订单的电子产品需增加一张欧洲通用WEEE声明说明书，区分带电池和不带电池版本, 如已做客版说明书可忽略此要求。
10. 所有出往德国订单，化学品需无堋无香版本</t>
  </si>
  <si>
    <t>Niki Chen</t>
  </si>
  <si>
    <t>95797-7.28</t>
  </si>
  <si>
    <t>AB GEE OF RIPLEY LTD.</t>
  </si>
  <si>
    <t>777 2AUG</t>
  </si>
  <si>
    <t>4500170043-50</t>
  </si>
  <si>
    <t>日期码格式：ZURU INC(BVI) 标准格式 日期：按实际生产日期
Packaging Info: 
5. 9543GQ1-S003: MA 最新UPC包装&lt;(&gt;,&lt;)&gt; UPC# 193052050328，请先检查条码是否正确再安排做货
6. 以上产品如果是电子产品带电池出货，请加上WEEE带电池走货欧洲30语通用黑白说明书&lt;(&gt;,&lt;)&gt; 如果是电子产品不带电池出货，请加上WEEE不带电池走货欧洲30
语通用黑白说明书
Remark: 1.产品及包装需要印UKCA图标，包装需要有ZURU UK LTD/ZURU France地址信息，QC同事请核查，如有问题与跟单确认。
2. 需要符合欧洲标准不能含有闪粉和微塑料，否则不合法规会有客诉产生</t>
  </si>
  <si>
    <t>95786-7.26</t>
  </si>
  <si>
    <t>4500169355-80</t>
  </si>
  <si>
    <t>8/6出</t>
  </si>
  <si>
    <t>6/18收到</t>
  </si>
  <si>
    <t>7/1-进口商贴纸(含客人条码）+进口商贴纸(含客人条码)+外箱贴纸</t>
  </si>
  <si>
    <t>日期码格式：ZURU INC(BVI) 标准格式 日期：按实际生产日期
Packaging Info:
2. 9543GQ1 ： 1L MA UPC 包装+进口商贴纸(含客人条码），1L MA PDQ +进口商贴纸(含客人条码） ， MA 说明书/指南（如有）；
Remark: 标准配比
1.外箱有贴纸：
外箱正唛两面需要印产品黑白款式的图片；
外箱侧唛（两面）的右上角各贴一张外箱贴纸.
2.此客户验货时需要提供以下三种图片，请务必拍照清晰图片：
产品净重图片；
产品+包装毛重图片；
一箱产品的毛重图片。</t>
  </si>
  <si>
    <t>96594-2-9.30</t>
  </si>
  <si>
    <t>4500169031-50</t>
  </si>
  <si>
    <t>8/4出</t>
  </si>
  <si>
    <t>ZB01037-8.4</t>
  </si>
  <si>
    <t>4500169878-20</t>
  </si>
  <si>
    <t>7/30-8/1出</t>
  </si>
  <si>
    <t>6/18-防盗贴纸+7/7外箱贴纸</t>
  </si>
  <si>
    <t>日期码格式：ZURU INC(BVI) 标准格式 日期：按实际生产日期
Packaging Info:
9543GQ1: MA英语UPC版本包装（首选1LUPC，如果无1L可用多语含英语UPC版本）+ 客版PDQ (翻单4500124321)+ 防盗贴纸（贴纸以及位置图翻单4500116403） + 箱
唛 + 外箱SSCC Label
配比信息：Integral single ratio=bule/purple/pink/orange =1:1:1:1;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</si>
  <si>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4500169879-10</t>
  </si>
  <si>
    <t>日期码格式：ZURU INC(BVI) 标准格式 日期：按实际生产日期
Packaging Info: 9543GQ1: MA英语UPC版本包装（首选1LUPC，如果无1L可用多语含英语UPC版本）+ 客版PDQ (翻单4500124321)+ 防盗贴纸（贴纸以及位置图翻单4500116403） + 箱
唛 + 外箱SSCC Label
配比信息：Integral single ratio=bule/purple/pink/orange =1:1:1:1;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</si>
  <si>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GEKAS ULLAREED AB</t>
  </si>
  <si>
    <t>4500171058-70</t>
  </si>
  <si>
    <t>7/30出</t>
  </si>
  <si>
    <t>7/3-EAN贴纸+瑞典语/进口商贴纸</t>
  </si>
  <si>
    <t>日期码格式：ZURU INC(BVI) 标准格式 日期：按实际生产日期
Packaging Info: 
9543GQ1:3L C版收缩膜+MA 其它包装+EAN贴纸+瑞典语/进口商贴纸+客版说明书（MA1000029215）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9543GQ1-S002-4894680026995</t>
  </si>
  <si>
    <t>96588-2-9.30</t>
  </si>
  <si>
    <t>47836236 SYD</t>
  </si>
  <si>
    <t>4500170710-10</t>
  </si>
  <si>
    <t>6/20收到</t>
  </si>
  <si>
    <t>日期码格式：ZURU INC(BVI) 标准格式 日期：按实际生产日期
Packaging Info: 1. 包装:
9543GQ1：英文MA包装 (UPC版本，首选1L，无1L可用多L含英语)+1张进口商贴纸；贴纸及位置翻单4500106537
2. 进口商贴纸上已经去掉日期码，产品和包装上的日期码一致，请按要求在包装上打日期码（进口商贴纸不覆盖日期码）
3. 原指定日期码DDMMYY可改用ZURU标准日期码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</si>
  <si>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47836237 BNE</t>
  </si>
  <si>
    <t>4500170710-20</t>
  </si>
  <si>
    <t>47836238 MEL</t>
  </si>
  <si>
    <t>4500170710-30</t>
  </si>
  <si>
    <t>47836239 FRE</t>
  </si>
  <si>
    <t>4500170710-40</t>
  </si>
  <si>
    <t>SMYTHS TOYS HQ UC IE</t>
  </si>
  <si>
    <t>4500170866-10</t>
  </si>
  <si>
    <t>德语callout翻译贴纸翻4500156774++WEEE_不带电池走货 _ 说明书欧洲EN+30L-B版</t>
  </si>
  <si>
    <t>日期码格式：ZURU INC(BVI) 标准格式 日期：按实际生产日期
Packaging Info: 9543GQ1：最新MA 3L PDQ + MA 3L(9L warning)收缩膜+德语callout翻译贴纸(翻单#4500156774)+5L-9L Warning说明书+WEEE_不带电池走货 _ 说明书欧洲EN+30LB
版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</si>
  <si>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4500164451-20</t>
  </si>
  <si>
    <t>8/5出</t>
  </si>
  <si>
    <t>5/28-进口商贴纸（含EAN条码）</t>
  </si>
  <si>
    <t>注意:外包装(指:收缩膜/彩卡/铝箔袋/挂卡/PDQ)/外箱不要打ZURU标准日期码!胶件可以打日期码。</t>
  </si>
  <si>
    <t>日期码格式：外包装/外箱不要打ZURU标准日期码 日期：
Packaging Info: 注意:外包装(指:收缩膜/彩卡/铝箔袋/挂卡/PDQ)/外箱不要打ZURU标准日期码!胶件可以打日期码。
9543 ： 1L MA UPC 包装+进口商贴纸（含EAN条码）， MA 指南/说明书（如有）；
Remark: 标准配比
请按期完货， 会有罚金。
出2个港口Bekasovo 2 &lt;(&gt;&amp;&lt;)&gt; Ural</t>
  </si>
  <si>
    <t>4500164451-110</t>
  </si>
  <si>
    <t>4500164221-20</t>
  </si>
  <si>
    <t>8/18出</t>
  </si>
  <si>
    <t>6/30收到</t>
  </si>
  <si>
    <t>WEEE不带电池走货说明书北欧B版+6/30-客人白色Cat.label ZURU条码</t>
  </si>
  <si>
    <t>日期码格式：ZURU INC(BVI) 标准格式 日期：按实际生产日期
Packaging Info: 9543：
1.MA -1L UPC包装+WEEE不带电池走货说明书北欧B版+客人白色Cat.label 1张覆盖ZURU条码
2.注意Cat.label （要求易撕类贴纸，但是粘性不能过低），同时此贴纸每个订单都是不相同的（会显示客户对应的订单号），切勿翻旧订单购买。此贴纸由ZURU
提供贴纸图稿和贴纸位置图给工厂后，工厂自行购买。
3.请先检查条码是否正确再安排做，标签上的目录编号数字高度必须至少为5mm （14.17pt），条码扫描结果应为3428775。
-订单对应客户2个PO号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</si>
  <si>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SALLING GROUP A/S</t>
  </si>
  <si>
    <t>4500169773-50</t>
  </si>
  <si>
    <t>8/11出</t>
  </si>
  <si>
    <t>EAN翻4500164118</t>
  </si>
  <si>
    <t>日期码格式：ZURU INC(BVI) 标准格式 日期：按实际生产日期
Packaging Info: 
5. 9543GQ1-S002:MA 3L(9L warning) UPC版收缩膜+EAN(4894680026995)(贴纸和位置图翻Indeks PO#4500164118)+客版6L说明书(英语丹麦瑞典芬兰挪威爱沙尼亚
语言-客版说明书翻SOK PO#4500161056)+MA3L PDQ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sku-ean-外箱条码
9543GQ1-S002:10492986-4894680026995-10193052050325</t>
  </si>
  <si>
    <t>4500171253-130</t>
  </si>
  <si>
    <t>8/14出</t>
  </si>
  <si>
    <t>7/11收到</t>
  </si>
  <si>
    <t>7/18-进口商贴纸+客款ITEM NO. 贴纸</t>
  </si>
  <si>
    <t>日期码格式：ZURU INC(BVI) 标准格式 日期：按实际生产日期
Packaging Info:
9543GQ1 MA 多语UPC包装+MA多语说明书 MA 3L PDQ+进口商贴纸+客款ITEM NO. 贴纸(同UPC贴纸合并一张）+箱唛
Remark: LR44 BATTERY 指定品牌 NEW LEADER；AAA BATTERIES 指定品牌 VINNIC
9543GQ1：BULE/PURPLE/PINK/ORANGE =5:6:6:5; 2PCS AAA BATTERIES(NOT INCLUDED)</t>
  </si>
  <si>
    <t>96587-3-9.30</t>
  </si>
  <si>
    <t>SMYTHS TOYS HQ UC UK</t>
  </si>
  <si>
    <t xml:space="preserve"> 
4400493538</t>
  </si>
  <si>
    <t>4500170963-10</t>
  </si>
  <si>
    <t>HOLD</t>
  </si>
  <si>
    <t>6/23收到</t>
  </si>
  <si>
    <t>日期码格式：ZURU INC(BVI) 标准格式 日期：按实际生产日期
Packaging Info: 9543GQ1：MA 3L PDQ +MA 3L(9L warning)收缩膜+德语callout翻译贴纸(翻单#4500156774)+MA 5L-9L Warning说明书+WEEE_不带电池走货 _ 说明书欧洲EN+30L-B
版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</si>
  <si>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NASA PANAMA</t>
  </si>
  <si>
    <t>巴拿马</t>
  </si>
  <si>
    <t>4500172103-100</t>
  </si>
  <si>
    <t>7/7收到</t>
  </si>
  <si>
    <t>日期码格式：ZURU INC(BVI) 标准格式 日期：按实际生产日期
Packaging Info: 请确保包装上的条形码是UPC，如果是babyUPC，需要用mother UPC覆盖，如有不一致，请及时提出。谢谢!
9543GQ1 MA 多语UPC包装+MA多语说明书+MA MA 3L PDQ+箱唛
Remark: 
9543GQ1,,9543GQ1：BULE/PURPLE/PINK/ORANGE =5:6:6:5; 2PCS AAA BATTERIES(NOT INCLUDED),,</t>
  </si>
  <si>
    <t>96595-3-9.30</t>
  </si>
  <si>
    <t>4500164457-20</t>
  </si>
  <si>
    <t>进口商贴纸翻4500164451（含EAN条码）</t>
  </si>
  <si>
    <t>日期码格式：外包装/外箱不要打ZURU标准日期码 日期：
Packaging Info: 注意:外包装(指:收缩膜/彩卡/铝箔袋/挂卡/PDQ)/外箱不要打ZURU标准日期码!胶件可以打日期码。
9543 ： 1L MA UPC 包装+进口商贴纸翻4500164451（含EAN条码）， MA 指南/说明书（如有）；
Remark: 标准配比
请按期完货， 会有罚金。
出2个港口Bekasovo 2 &lt;(&gt;&amp;&lt;)&gt; Ural</t>
  </si>
  <si>
    <t>4500164457-110</t>
  </si>
  <si>
    <t>8/10出</t>
  </si>
  <si>
    <t>6P6KMCKX</t>
  </si>
  <si>
    <t>4500172604-10</t>
  </si>
  <si>
    <t>7/3收到</t>
  </si>
  <si>
    <t>7/23-客供外箱贴纸</t>
  </si>
  <si>
    <t>日期码格式：ZURU INC(BVI) 标准格式 日期：按实际生产日期
Packaging Info: 出口加拿大，包装需要至少2/3L UPC版，无硼版本。
#9543: MA 3L 加UPC贴纸， UPC贴纸跟翻单4500098824。B:193052051783, D:193052051790; 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</si>
  <si>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7AP5QGND</t>
  </si>
  <si>
    <t>4500172604-20</t>
  </si>
  <si>
    <t>4500172604-30</t>
  </si>
  <si>
    <t>5NAN9K8C</t>
  </si>
  <si>
    <t>4500172604-220</t>
  </si>
  <si>
    <t>23CQDU5Y</t>
  </si>
  <si>
    <t>4500172604-230</t>
  </si>
  <si>
    <t>89644FWK</t>
  </si>
  <si>
    <t>4500172604-240</t>
  </si>
  <si>
    <t>682ILH4P</t>
  </si>
  <si>
    <t>4500172604-250</t>
  </si>
  <si>
    <t>5N5BKV2Z</t>
  </si>
  <si>
    <t>4500172604-260</t>
  </si>
  <si>
    <t>4500172604-270</t>
  </si>
  <si>
    <t>4500172604-280</t>
  </si>
  <si>
    <t>4500172604-290</t>
  </si>
  <si>
    <t>41A7PH9N</t>
  </si>
  <si>
    <t>4500172604-300</t>
  </si>
  <si>
    <t>4500172356-10</t>
  </si>
  <si>
    <t>9564-S001</t>
  </si>
  <si>
    <t>仓鼠2pk圆筒装</t>
  </si>
  <si>
    <t>7/8收到</t>
  </si>
  <si>
    <t>7/16-客供价格贴纸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</si>
  <si>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</si>
  <si>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ZB01259R1-8.14</t>
  </si>
  <si>
    <t>THE KROGER CO.</t>
  </si>
  <si>
    <t>PO#500-35703</t>
  </si>
  <si>
    <t>4500172487-20</t>
  </si>
  <si>
    <t>7/2收到</t>
  </si>
  <si>
    <t>ZB01326-8.18</t>
  </si>
  <si>
    <t>PO#600-67068</t>
  </si>
  <si>
    <t>4500172487-40</t>
  </si>
  <si>
    <t>8/15出</t>
  </si>
  <si>
    <t>ZB01302-8.16</t>
  </si>
  <si>
    <t>4500172367-10</t>
  </si>
  <si>
    <t>ZB01261R1-8.15</t>
  </si>
  <si>
    <t>4500172379-10</t>
  </si>
  <si>
    <t>ZB01260R1-8.15</t>
  </si>
  <si>
    <t>4500171263-20</t>
  </si>
  <si>
    <t>8/13-8/15出</t>
  </si>
  <si>
    <t>7/30-外箱贴纸</t>
  </si>
  <si>
    <t>日期码格式：ZURU INC(BVI) 标准格式 日期：按实际生产日期
Packaging Info:
2. 9543GQ1: 英文MA包装(UPC版本，首选1L，无1L可用多L含英语)+箱唛+外箱贴纸;
Ratio: bule/purple/pink/orange =5:6:6:5; 2PCS AAA BATTERIES(NOT INCLUDED)
Ratio: Kitten:Bunny:Puppy:Cow:Elephant:Flamingo=1:1:1:1:1:1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</si>
  <si>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MASSTORES PTY LTD – MAKRO</t>
  </si>
  <si>
    <t>4500172189-30</t>
  </si>
  <si>
    <t>8/21出</t>
  </si>
  <si>
    <t>日期码格式：ZURU INC(BVI) 标准格式 日期：按实际生产日期
Packaging Info: MA UPC pkg （1L优先）
Remark: 
9543GQ1:BULE/PURPLE/PINK/ORANGE =5:6:6:5;</t>
  </si>
  <si>
    <t>SMYTHS TOYS EU HQ UC</t>
  </si>
  <si>
    <t>CUS
PO#4400494414</t>
  </si>
  <si>
    <t>4500173336-10</t>
  </si>
  <si>
    <t>8/17出</t>
  </si>
  <si>
    <t>7/10收到</t>
  </si>
  <si>
    <t>德语callout翻译贴纸翻4500156774+产品贴纸(ZURU FRANCE 地址翻4500136411+WEEE声明通用30L-B版说明书(不带电池)</t>
  </si>
  <si>
    <t>日期码格式：ZURU INC(BVI) 标准格式 日期：按实际生产日期
Packaging Info: 9543GQ1: 最新MA 3L PDQ + 3L(9L warning)收缩膜+德语callout翻译贴纸(翻单#4500156774)+ 产品贴纸(ZURU FRANCE 地址)翻单#4500136411 +5L+9L Warning说明
书+WEEE声明通用30L-B版说明书(不带电池)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</si>
  <si>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Sherry Lu</t>
  </si>
  <si>
    <t>HOBBY LOBBY STORES, INC.</t>
  </si>
  <si>
    <t>W0726956</t>
  </si>
  <si>
    <t>4500171299-10</t>
  </si>
  <si>
    <t>8/20出</t>
  </si>
  <si>
    <t>7/3-价格贴纸+外箱贴纸</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</si>
  <si>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</si>
  <si>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Yvonne Feng</t>
  </si>
  <si>
    <t>4500172944-20</t>
  </si>
  <si>
    <t>8/22-8/22出</t>
  </si>
  <si>
    <t>7/18收到</t>
  </si>
  <si>
    <t>7/16-防盗贴纸+7/28-外箱贴纸</t>
  </si>
  <si>
    <t>4500172946-20</t>
  </si>
  <si>
    <t>日期码格式：ZURU INC(BVI) 标准格式 日期：按实际生产日期
Packaging Info:
9543GQ1: MA英语UPC版本包装（首选1LUPC，如果无1L可用多语含英语UPC版本）+ 客版PDQ (翻单4500124321)+ 防盗贴纸（贴纸以及位置图翻单4500116403） + 箱
唛 + 外箱SSCC Label
配比信息：Integral single ratio=bule/purple/pink/orange =1:1:1:1;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</si>
  <si>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4500170226-10</t>
  </si>
  <si>
    <t>8/22出</t>
  </si>
  <si>
    <t>4500172388-10</t>
  </si>
  <si>
    <t>通用箱唛模板</t>
  </si>
  <si>
    <t>8/14-客供价格贴纸</t>
  </si>
  <si>
    <t>4500172382-10</t>
  </si>
  <si>
    <t>DD'S DISCOUNTS</t>
  </si>
  <si>
    <t>4500172984-10</t>
  </si>
  <si>
    <t>8/29出</t>
  </si>
  <si>
    <t>8/2-客供价格贴纸</t>
  </si>
  <si>
    <t>ZURU GERMANY GMBH</t>
  </si>
  <si>
    <t>4500173920-50</t>
  </si>
  <si>
    <t>8/24出</t>
  </si>
  <si>
    <t>7/16收到</t>
  </si>
  <si>
    <t>7/21-EAN贴纸+7/25-多语折叠警告语贴纸 + B版 WEEE 30L不带电池走货说明书</t>
  </si>
  <si>
    <t>日期码格式：ZURU INC(BVI) 标准格式 日期：按实际生产日期
Packaging Info:
5.9543GQ1: MA 3L+9L警语 最新版UPC 收缩膜 +1*BABY EAN贴纸+1张多语折叠警告语贴纸 + MA 5L+9L 说明书 + 1张B版 WEEE 30L不带电池走货说明书 +MA 3L B
版PDQ。
产品用baby EAN&lt;(&gt;,&lt;)&gt;外箱用mother EAN
baby EAN:
9543
9543A Blue 4894680038127
9543B Pink 4894680038134
9543D Purple 4894680038141
9543E Orange 4894680038158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</si>
  <si>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4500164521-10</t>
  </si>
  <si>
    <t>OTTO SIMON B.V.</t>
  </si>
  <si>
    <t>荷兰</t>
  </si>
  <si>
    <t>IO-2501981</t>
  </si>
  <si>
    <t>4500174183-140</t>
  </si>
  <si>
    <t>7/24-客人款号带EAN条码贴纸+WEEE_不带电池走货 _ 说明书欧洲EN+30L</t>
  </si>
  <si>
    <t>日期码格式：ZURU INC(BVI) 标准格式 日期：按实际生产日期
Packaging Info: 
9543GQ1:MA C版3L+9L警语收缩膜+1张客人款号带EAN条码（4894680026995）贴纸,MA A版5L+9L说明书，MA B版3LPDDQ,WEEE_不带电池走货 _ 说明书欧洲EN+30L
Remark: 1.所有产品按符合欧洲标准走货，微塑料需合规。
2.所有包装材料都不允许PVC, 请用PET代替
3.样板需求： 每个item 需要寄出1 PC 大货样，请多备料
4.日期码和批次号都要打在产品和包装上，日期码按ZURU标准格式，批次号是IO-2501981（IO是大写英文字母）
5.所有出往欧洲市场订单的电子产品需增加一张WEEE声明说明书，区分带电池和不带电池版本, 如已做客版说明书可忽略此要求。
6. 客人款号:
9543GQ1:576-9543</t>
  </si>
  <si>
    <t>47850538 SYD</t>
  </si>
  <si>
    <t>4500173679-10</t>
  </si>
  <si>
    <t>8/30出</t>
  </si>
  <si>
    <t>7/14收到</t>
  </si>
  <si>
    <t>日期码格式：ZURU INC(BVI) 标准格式 日期：按实际生产日期
Packaging Info: 1. 包装
7151：英文MA包装 (UPC版本，首选1L，无1L可用多L含英语) + 1张小的警告语贴纸（贴在包装正面）+ 2张大警告语贴纸带进口商信息（分别贴在彩盒和说明书上
）, 翻单PO#4500114758
9296: MA UPC PKG+1张进口商贴纸，贴纸翻单4500116231
92104TQ1：MA UPC PKG+1张进口商贴纸，贴纸翻单4500124257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</si>
  <si>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Leah Li</t>
  </si>
  <si>
    <t>47850539 BNE</t>
  </si>
  <si>
    <t>4500173679-20</t>
  </si>
  <si>
    <t>9/1出</t>
  </si>
  <si>
    <t>96306-9.3</t>
  </si>
  <si>
    <t>47850540 MEL</t>
  </si>
  <si>
    <t>4500173679-30</t>
  </si>
  <si>
    <t>9/4出</t>
  </si>
  <si>
    <t>47850548 FRE</t>
  </si>
  <si>
    <t>4500173679-40</t>
  </si>
  <si>
    <t>H&amp;D RETAIL PTY LTD T/AS TOYMATE</t>
  </si>
  <si>
    <t>PO1132544-YTF
CL-MELB</t>
  </si>
  <si>
    <t>4500173377-10</t>
  </si>
  <si>
    <t>7/10-进口商贴纸</t>
  </si>
  <si>
    <t>日期码格式：ZURU INC(BVI) 标准格式 日期：按实际生产日期
Packaging Info: 1. 9543GQ1: 英文MA包装(UPC版本，首选1L，无1L可用多L含英语)+箱唛+1张进口商贴纸
Ratio: bule/purple/pink/orange =5:6:6:5; 2PCS AAA BATTERIES(NOT INCLUDED)"
Remark: 1. 此单出澳大利亚，请按澳洲标准生产并满足当地法规要求</t>
  </si>
  <si>
    <t>PO1132543-YTF
CL-BRIS</t>
  </si>
  <si>
    <t>4500173375-10</t>
  </si>
  <si>
    <t>PO1132541-YTF
C1-SYD</t>
  </si>
  <si>
    <t>4500173373-10</t>
  </si>
  <si>
    <t>8/28出</t>
  </si>
  <si>
    <t>4500164293-50</t>
  </si>
  <si>
    <t>8/25出</t>
  </si>
  <si>
    <t>6/30-WEEE不带电池走货说明书北欧B版+客人白色Cat.label 1张覆盖ZURU条码</t>
  </si>
  <si>
    <t>日期码格式：ZURU INC(BVI) 标准格式 日期：按实际生产日期
Packaging Info: 
9543：
1.MA -1L UPC包装+WEEE不带电池走货说明书北欧B版+客人白色Cat.label 1张覆盖ZURU条码
2.注意Cat.label （要求易撕类贴纸，但是粘性不能过低），同时此贴纸每个订单都是不相同的（会显示客户对应的订单号），切勿翻旧订单购买。此贴纸由ZURU
提供贴纸图稿和贴纸位置图给工厂后，工厂自行购买。
3.请先检查条码是否正确再安排做，标签上的目录编号数字高度必须至少为5mm （14.17pt），条码扫描结果应为3428775。
-此订单对应客户7个PO号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</si>
  <si>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FRATELLO (PTY) LTD</t>
  </si>
  <si>
    <t>1100029671-3</t>
  </si>
  <si>
    <t>4500173241-100</t>
  </si>
  <si>
    <t>8/26出</t>
  </si>
  <si>
    <t>7/15收到</t>
  </si>
  <si>
    <t>日期码格式：ZURU INC(BVI) 标准格式 日期：按实际生产日期
Packaging Info: MA PKG , 优先1L
Remark:</t>
  </si>
  <si>
    <t>4500174290-20</t>
  </si>
  <si>
    <t>8/27出</t>
  </si>
  <si>
    <t>EAN贴纸+多语折叠警告语贴纸+B版 WEEE 30L不带电池走货说明书 翻4500173920</t>
  </si>
  <si>
    <t>日期码格式：ZURU INC(BVI) 标准格式 日期：按实际生产日期
Packaging Info: 9543GQ1: MA 3L+9L警语 最新版UPC 收缩膜 +1*EAN贴纸+1张多语折叠警告语贴纸 + MA 5L+9L 说明书 + 1张B版 WEEE 30L不带电池走货说明书 +MA 3L B版PDQ。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</si>
  <si>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AMY XIAO</t>
  </si>
  <si>
    <t>4500164464-20</t>
  </si>
  <si>
    <t>96370-9.9</t>
  </si>
  <si>
    <t>4500164464-110</t>
  </si>
  <si>
    <t>96321-9.4</t>
  </si>
  <si>
    <t>4500174290-10</t>
  </si>
  <si>
    <t>9/11出</t>
  </si>
  <si>
    <t>96392-9.11</t>
  </si>
  <si>
    <t>CUS
PO#4400500009</t>
  </si>
  <si>
    <t>4500175135-20</t>
  </si>
  <si>
    <t>9/9出</t>
  </si>
  <si>
    <t>7/25收到</t>
  </si>
  <si>
    <t>德语callout翻译贴纸(翻单#4500156774)+WEEE电池通用30L-B版说明书（不带电池）</t>
  </si>
  <si>
    <t>日期码格式：ZURU INC(BVI) 标准格式 日期：按实际生产日期
Packaging Info: 
9543GQ1: 最新MA 3L PDQ + 3L(9L warning)收缩膜+德语callout翻译贴纸(翻单#4500156774)+5L-9L Warning说明书+WEEE电池通用30L-B版说明书（不带电池）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</si>
  <si>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96375-9.9</t>
  </si>
  <si>
    <t>CUS
PO#4400500007</t>
  </si>
  <si>
    <t>4500175148-30</t>
  </si>
  <si>
    <t>9/8出</t>
  </si>
  <si>
    <t>96354-9.8</t>
  </si>
  <si>
    <t>W0730434</t>
  </si>
  <si>
    <t>4500174788-10</t>
  </si>
  <si>
    <t>7/31收到</t>
  </si>
  <si>
    <t>7/31-价格贴纸+外箱条码贴纸</t>
  </si>
  <si>
    <t>ZB01848-9.11</t>
  </si>
  <si>
    <t>8OZFL5MD 76PHTVYI</t>
  </si>
  <si>
    <t>意大利</t>
  </si>
  <si>
    <t>Amazon IT:
76PHTVYI</t>
  </si>
  <si>
    <t>4500174900-40</t>
  </si>
  <si>
    <t>9543B-S002-MB</t>
  </si>
  <si>
    <t>粉色仓鼠（邮包盒）</t>
  </si>
  <si>
    <t>客版邮包盒翻单4500175025</t>
  </si>
  <si>
    <t>空白外箱（加印带Zuru字样的最新logo，除了邮包盒直接做外箱的产品） 无箱唛，MADE IN CHINA 外箱只印一正一侧。</t>
  </si>
  <si>
    <t>WEEE电子产品说明书30L(不带电池走货B版)</t>
  </si>
  <si>
    <t>8/4-客供外箱贴纸</t>
  </si>
  <si>
    <t>日期码格式：ZURU INC(BVI) 标准格式 日期：按实际生产日期
Packaging Info: Amazon ES(71109D)/IT(9279ABD/9543B)
2. 9543B：9543B 24pcs/ctn, no inner, pink; 客版邮包盒(UPC#+英法德意西5L警示语+FR/ES/IT环保标+GPSR邮箱care@zuru.com，参考翻单PO#4500175025)+MA 3
L（9L warning UPC#）C收缩膜+MA 5L(9L warning)A说明书+WEEE电子产品说明书30L(不带电池走货B版)；
4.最迟验货不得晚于2025/8/29;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</si>
  <si>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96443-9.16</t>
  </si>
  <si>
    <t>Amazon DE:
87KWRP2J</t>
  </si>
  <si>
    <t>4500175025-110</t>
  </si>
  <si>
    <t>客版邮包盒(UPC#+英法德意西5L警示语+FR/ES/IT环保标+GPSR邮箱care@zuru.com)+MA 3L（9L warning UPC#）</t>
  </si>
  <si>
    <t>9/13-9/17出</t>
  </si>
  <si>
    <t>WEEE电子产品说明书30L(不带电池走货B版)；</t>
  </si>
  <si>
    <t>8/4-客供价外箱贴纸</t>
  </si>
  <si>
    <t>日期码格式：ZURU INC(BVI) 标准格式 日期：按实际生产日期
Packaging Info: Amazon UK(71126/7190/92104G/9279BD)/DE(71109D/71126/92104H/9279AB/9543B)/FR(71126/92104H/9279ABD/9543BE)
6. 9543BE:
---9543B: 9543B 24pcs/ctn, no inner, pink; 客版邮包盒(UPC#+英法德意西5L警示语+FR/ES/IT环保标+GPSR邮箱care@zuru.com)+MA 3L（9L warning UPC#）C收
缩膜+MA 5L(9L warning)A说明书+WEEE电子产品说明书30L(不带电池走货B版)；
---9543E: 9543E 24pcs/ctn, no inner, orange; 客版邮包盒(UPC#+英法德意西5L警示语+FR/ES/IT环保标+GPSR邮箱care@zuru.com)+MA 3L（9L warning UPC#）C
收缩膜+MA 5L(9L warning)A说明书+WEEE电子产品说明书30L(不带电池走货B版)；
7. 验货时间不迟于2025/9/2.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</si>
  <si>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96442-9.16</t>
  </si>
  <si>
    <t>Amazon DE:4PDQ7IVU</t>
  </si>
  <si>
    <t>4500175025-130</t>
  </si>
  <si>
    <t>9/12-9/16出</t>
  </si>
  <si>
    <t>96369-9.9</t>
  </si>
  <si>
    <t>Amazon FR:
5UD89VQJ</t>
  </si>
  <si>
    <t>4500175025-180</t>
  </si>
  <si>
    <t>9/10出</t>
  </si>
  <si>
    <t>4500175025-200</t>
  </si>
  <si>
    <t>9543E-S002-MB</t>
  </si>
  <si>
    <t>土黄色仓鼠（邮包盒）</t>
  </si>
  <si>
    <t>日期码格式：ZURU INC(BVI) 标准格式 日期：按实际生产日期
Packaging Info: Amazon UK(71126/7190/92104G/9279BD)/DE(71109D/71126/92104H/9279AB/9543B)/FR(71126/92104H/9279ABD/9543BE)
6. 9543BE:
---9543E: 9543E 24pcs/ctn, no inner, orange; 客版邮包盒(UPC#+英法德意西5L警示语+FR/ES/IT环保标+GPSR邮箱care@zuru.com)+MA 3L（9L warning UPC#）C
收缩膜+MA 5L(9L warning)A说明书+WEEE电子产品说明书30L(不带电池走货B版)；
7. 验货时间不迟于2025/9/2.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</si>
  <si>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96455-9.17</t>
  </si>
  <si>
    <t>ASDA STORES LTD</t>
  </si>
  <si>
    <t>4500176452-30</t>
  </si>
  <si>
    <t>9543SLB-S002</t>
  </si>
  <si>
    <t>仓鼠卡板装</t>
  </si>
  <si>
    <t>8/8收到</t>
  </si>
  <si>
    <t>8/8-slip sheet贴纸</t>
  </si>
  <si>
    <t>日期码格式：ZURU INC(BVI) 标准格式 日期：按实际生产日期
Packaging Info:
9543SLB-S002
9543GQ6-S001: MA最新UPC包装，UPC: 193052050328 ，请先检查条码是否正确再安排做货。
Slip sheet: 8pcs/CTN(Carton Size:24.5x24.5x25.5CM);16*5=80cartons=640pcs/Slip Sheet;;一共需要10套slip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</si>
  <si>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Aaron Xia</t>
  </si>
  <si>
    <t>96376-9.9</t>
  </si>
  <si>
    <t>PO#40745504</t>
  </si>
  <si>
    <t>4500175521-40</t>
  </si>
  <si>
    <t>9/11-9/12出</t>
  </si>
  <si>
    <t>7/30收到</t>
  </si>
  <si>
    <t>日期码格式：ZURU INC(BVI) 标准格式 日期：按实际生产日期
Packaging Info: 包装方式：其他items: MA UPC优先1L最新版，出口美国
Remark: 2、无测试无验货要求
3、纸箱4面印ZURU LOGO + 箱唛
4、日期码请按ZURU标准版执行即可
5、ZURU OQC验货</t>
  </si>
  <si>
    <t>ZB01841-9.11</t>
  </si>
  <si>
    <t>11MPNPWP</t>
  </si>
  <si>
    <t>4500175030-120</t>
  </si>
  <si>
    <t>9/12出</t>
  </si>
  <si>
    <t>8/18-客供价外箱贴纸</t>
  </si>
  <si>
    <t>日期码格式：ZURU INC(BVI) 标准格式 日期：按实际生产日期
Packaging Info: 
#9543: MA 3L 加UPC贴纸， UPC贴纸跟翻单4500098824。B:193052051783, D:193052051790; 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</si>
  <si>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96445-9.16</t>
  </si>
  <si>
    <t>7BYWH7JA</t>
  </si>
  <si>
    <t>4500175030-130</t>
  </si>
  <si>
    <t>1BI2XU4S</t>
  </si>
  <si>
    <t>4500175030-140</t>
  </si>
  <si>
    <t>AMBIENTAL PARAGUAY</t>
  </si>
  <si>
    <t>4500173750-30</t>
  </si>
  <si>
    <t>8/7-进口商贴纸</t>
  </si>
  <si>
    <t>日期码格式：ZURU INC(BVI) 标准格式 日期：按实际生产日期
Packaging Info: 
9543GQ1:MA 多语UPC包装+进口商贴纸+箱唛
Remark:</t>
  </si>
  <si>
    <t>96400-9.11</t>
  </si>
  <si>
    <t>4500175221-10</t>
  </si>
  <si>
    <t>7/28收到</t>
  </si>
  <si>
    <t>8/27-外箱贴纸</t>
  </si>
  <si>
    <t>日期码格式：ZURU INC(BVI) 标准格式 日期：按实际生产日期
Packaging Info: 1. 9543GQ1: 英文MA包装(UPC版本，首选1L，无1L可用多L含英语)+箱唛+外箱贴纸
Ratio: bule/purple/pink/orange =5:6:6:5; 2PCS AAA BATTERIES(NOT INCLUDED)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</si>
  <si>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96409-9.12</t>
  </si>
  <si>
    <t>4500174858-10</t>
  </si>
  <si>
    <t>9/18出</t>
  </si>
  <si>
    <t>8/11收到</t>
  </si>
  <si>
    <t>8/13-客供价格贴纸</t>
  </si>
  <si>
    <t>ZB01956-9.17</t>
  </si>
  <si>
    <t>4500176308-60</t>
  </si>
  <si>
    <t>9/14出</t>
  </si>
  <si>
    <t>8/13收到</t>
  </si>
  <si>
    <t>baby EAN贴纸(四种条码）+多语折叠警告语贴纸翻4500173920+ 8/25-5L(PL+HU+CZ+SK+RO)说明书+ B版 WEEE 30L不带电池走货说明书翻4500173920</t>
  </si>
  <si>
    <t>日期码格式：ZURU INC(BVI) 标准格式 日期：按实际生产日期
Packaging Info:
9543GQ1: MA 3L+9L警语 最新版UPC 收缩膜 +1*baby EAN贴纸（翻单4500173920）+1*多语折叠警告语贴纸（翻单4500173920） + MA 5L+9LWarning 说明书+1*5L(
PL+HU+CZ+SK+RO)说明书+ 1张B版 WEEE 30L不带电池走货说明书（翻单4500173920） +MA 3L B版PDQ；
产品用BABY EAN,外箱用mother EAN
9543GQ1 MOTHER EAN:4894680026995
9543GQ1 Baby EAN:
9543A RUNNING HAMSTER Blue 4894680038127
9543B RUNNING HAMSTER Pink 4894680038134
9543D RUNNING HAMSTER Purple 4894680038141
9543E RUNNING HAMSTER Orange 4894680038158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</si>
  <si>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96464-9.18</t>
  </si>
  <si>
    <t>CDM TRADE LLC</t>
  </si>
  <si>
    <t>4500175614-30</t>
  </si>
  <si>
    <t>10/15出</t>
  </si>
  <si>
    <t>8/13-进口商贴纸</t>
  </si>
  <si>
    <t>日期码格式：ZURU INC(BVI) 标准格式 日期：按实际生产日期
Packaging Info: 1L MA UPC 包装+ 进口商贴纸， MA PDQ/指南/说明书 （如STD 产品包含）
Remark:</t>
  </si>
  <si>
    <t>4500174842-10</t>
  </si>
  <si>
    <t>8/14收到</t>
  </si>
  <si>
    <t>ZB02013-9.20</t>
  </si>
  <si>
    <t>4500175925-60</t>
  </si>
  <si>
    <t>9/17-9/19出</t>
  </si>
  <si>
    <t>8/21-防盗贴纸+8/25-外箱贴纸</t>
  </si>
  <si>
    <t>日期码格式：ZURU INC(BVI) 标准格式 日期：按实际生产日期
Packaging Info: 
9543GQ1: MA英语UPC版本包装（首选1LUPC，如果无1L可用多语含英语UPC版本）+ 客版PDQ (翻单4500124321)+ 防盗贴纸（贴纸以及位置图翻单4500116403） + 箱
唛 + 外箱SSCC Label
配比信息：Integral single ratio=bule/purple/pink/orange =1:1:1:1;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</si>
  <si>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测试</t>
  </si>
  <si>
    <t>4500175924-60</t>
  </si>
  <si>
    <t>日期码格式：ZURU INC(BVI) 标准格式 日期：按实际生产日期
Packaging Info: 
9543GQ1: MA英语UPC版本包装（首选1LUPC，如果无1L可用多语含英语UPC版本）+ 客版PDQ (翻单4500124321)+ 防盗贴纸（贴纸以及位置图翻单4500116403） + 箱
唛 + 外箱SSCC Label
配比信息：Integral single ratio=bule/purple/pink/orange =1:1:1:1;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</si>
  <si>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4500172386-10</t>
  </si>
  <si>
    <t>ZB02075-9.25</t>
  </si>
  <si>
    <t>4500173612-10</t>
  </si>
  <si>
    <t>8/13客供价格贴纸</t>
  </si>
  <si>
    <t>ZB02324(REV1)-10.10</t>
  </si>
  <si>
    <t>4500174700-10</t>
  </si>
  <si>
    <t>10/11出</t>
  </si>
  <si>
    <t>ZB02265-10.8</t>
  </si>
  <si>
    <t>FUN TIME ENTERPRISES INCORPORATED</t>
  </si>
  <si>
    <t>ZUR-F250707-02</t>
  </si>
  <si>
    <t>4500174129-10</t>
  </si>
  <si>
    <t>9/15出</t>
  </si>
  <si>
    <t>日期码格式：ZURU INC(BVI) 标准格式 日期：按实际生产日期
Packaging Info: MA 1L PKG
Remark:</t>
  </si>
  <si>
    <t>Chelsea Luo</t>
  </si>
  <si>
    <t>96485-9.20</t>
  </si>
  <si>
    <t>4500177772-10</t>
  </si>
  <si>
    <t>8/28收到</t>
  </si>
  <si>
    <t>9/8-防盗贴纸+9/1-外箱贴纸</t>
  </si>
  <si>
    <t>日期码格式：ZURU INC(BVI) 标准格式 日期：按实际生产日期
Packaging Info: 9543GQ1: MA英语UPC版本包装（首选1LUPC，如果无1L可用多语含英语UPC版本）+ 客版PDQ (翻单4500124321)+ 防盗贴纸（贴纸以及位置图翻单4500116403） + 箱
唛 + 外箱SSCC Label
配比信息：Integral single ratio=bule/purple/pink/orange =1:1:1:1;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</si>
  <si>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96472-9.19</t>
  </si>
  <si>
    <t>4500178041-10</t>
  </si>
  <si>
    <t>96473-9.19</t>
  </si>
  <si>
    <t>47850541 SYD</t>
  </si>
  <si>
    <t>4500176747-10</t>
  </si>
  <si>
    <t>9/20出</t>
  </si>
  <si>
    <t>8/12收到</t>
  </si>
  <si>
    <t>日期码格式：ZURU INC(BVI) 标准格式 日期：按实际生产日期
Packaging Info: 1. 包装
9543GQ1：英文MA包装 (UPC版本，首选1L，无1L可用多L含英语)+1张进口商贴纸；贴纸及位置翻单4500106537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</si>
  <si>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96487-9.20</t>
  </si>
  <si>
    <t>47850542 BNE</t>
  </si>
  <si>
    <t>4500176747-20</t>
  </si>
  <si>
    <t>9/25出</t>
  </si>
  <si>
    <t>96513-9.25</t>
  </si>
  <si>
    <t>47850543 MEL</t>
  </si>
  <si>
    <t>4500176747-30</t>
  </si>
  <si>
    <t>UPD, INC.</t>
  </si>
  <si>
    <t>PO# 35308</t>
  </si>
  <si>
    <t>4500176907-20</t>
  </si>
  <si>
    <t>8/19收到</t>
  </si>
  <si>
    <t>日期码格式：ZURU INC(BVI) 标准格式 日期：按实际生产日期
Packaging Info: 1. 包装方式：MA UPC 优先1L 最新包装，出口美国
Remark: 2. 外箱箱唛红色和黑色双色印刷
3. 产品和包装上印刷tracking code信息，格式为ZURU常规</t>
  </si>
  <si>
    <t>Angel Lin</t>
  </si>
  <si>
    <t>ZB02184-9.27</t>
  </si>
  <si>
    <t>1100030564-2</t>
  </si>
  <si>
    <t>4500176300-10</t>
  </si>
  <si>
    <t>9/24出</t>
  </si>
  <si>
    <t>8/7收到</t>
  </si>
  <si>
    <t>日期码格式：ZURU INC(BVI) 标准格式 日期：按实际生产日期
Packaging Info: MA PKG,优先1L
Remark:</t>
  </si>
  <si>
    <t>96512-9.23</t>
  </si>
  <si>
    <t>MELOMAN HOME VIDEO LLP</t>
  </si>
  <si>
    <t>4500176381-10</t>
  </si>
  <si>
    <t>9/26出</t>
  </si>
  <si>
    <t>8/8-通用进口商贴纸</t>
  </si>
  <si>
    <t>日期码格式：ZURU INC(BVI) 标准格式 日期：按实际生产日期
Packaging Info: MA UPC最新包装+ 通用进口商贴纸 ， MA PDQ ，MA 指南/说明书（如果有的话）
Remark: 标准配比</t>
  </si>
  <si>
    <t>Joyce</t>
  </si>
  <si>
    <t>WALGREENS CO.</t>
  </si>
  <si>
    <t>4500177536-10</t>
  </si>
  <si>
    <t>9/22抽办20%</t>
  </si>
  <si>
    <t>8/21收到</t>
  </si>
  <si>
    <t>WIC 贴纸翻 4500130295+ PDQ折页翻4500099653</t>
  </si>
  <si>
    <t>DG20250922</t>
  </si>
  <si>
    <t>日期码格式：ZURU INC(BVI) 标准格式 日期：09-22-2025
Packaging Info:
Remark: MA 1L 包装 + WIC 贴纸（WIC # 280432 参考4500130295） + 客版PDQ(翻单4500130295) + PDQ折页 （翻单PO 4500099653，PDQ折页放在PDQ的正上方，开箱即可
看到）
产品和包装上面要有zuru标准格式的tracking code DG20250922
请知悉20%数量需要在9/22完成，9/23抽板测试，测试通过后才可以出货。请确保所来来料测试符合美国联邦和各州法规后才可以做大货。</t>
  </si>
  <si>
    <t>ZB02433-10.15</t>
  </si>
  <si>
    <t>4500177536-20</t>
  </si>
  <si>
    <t>ZB02410-10.14</t>
  </si>
  <si>
    <t>4500177536-30</t>
  </si>
  <si>
    <t>ZB02434-10.15</t>
  </si>
  <si>
    <t>4500177536-40</t>
  </si>
  <si>
    <t>ZB02435-10.15</t>
  </si>
  <si>
    <t>4500177536-50</t>
  </si>
  <si>
    <t>ZB02436-10.15</t>
  </si>
  <si>
    <t>4500177536-60</t>
  </si>
  <si>
    <t>ZB02437-10.15</t>
  </si>
  <si>
    <t>4500177536-70</t>
  </si>
  <si>
    <t>ZB02438-10.15</t>
  </si>
  <si>
    <t>4500177536-80</t>
  </si>
  <si>
    <t>ZB0177536-10.15</t>
  </si>
  <si>
    <t>4500177536-90</t>
  </si>
  <si>
    <t>ZB02440-10.15</t>
  </si>
  <si>
    <t>4500174854-10</t>
  </si>
  <si>
    <t>9/12-客供价格贴纸</t>
  </si>
  <si>
    <t>ZB02340-10.11</t>
  </si>
  <si>
    <t>4500177451-10</t>
  </si>
  <si>
    <t>8/20收到</t>
  </si>
  <si>
    <t>9/16-外箱贴纸</t>
  </si>
  <si>
    <t>日期码格式：ZURU INC(BVI) 标准格式 日期：按实际生产日期
Packaging Info: 1. 9543GQ1: 英文MA包装(UPC版本，首选1L，无1L可用多L含英语)+箱唛+外箱贴纸
Ratio: bule/purple/pink/orange =5:6:6:5; 2PCS AAA BATTERIES(NOT INCLUDED)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</si>
  <si>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777 4OCT</t>
  </si>
  <si>
    <t>4500175112-10</t>
  </si>
  <si>
    <t>8/25收到</t>
  </si>
  <si>
    <t>B版 WEEE声明不带电池走货欧洲 30 语通用黑白说明书</t>
  </si>
  <si>
    <t>日期码格式：ZURU INC(BVI) 标准格式 日期：按实际生产日期
Packaging Info: 9543GQ1:最新MA UPC包装+B版 WEEE声明不带电池走货欧洲 30 语通用黑白说明书，UPC#193052050328 ,配比都跟MA
Remark: 1.产品及包装需要印UKCA图标，包装需要有ZURU UK LTD/ZURU France地址信息，QC同事请核查，如有问题与跟单确认。
2. 需要符合欧洲标准不能含有闪粉和微塑料，否则不合法规会有客诉产生</t>
  </si>
  <si>
    <t>68RWUHIG</t>
  </si>
  <si>
    <t>4500177996-90</t>
  </si>
  <si>
    <t>8/27收到</t>
  </si>
  <si>
    <t>UPC贴纸翻4500167444</t>
  </si>
  <si>
    <t>9/18-客供外箱贴纸</t>
  </si>
  <si>
    <t>日期码格式：ZURU INC(BVI) 标准格式 日期：按实际生产日期
Packaging Info: 
#9543：MA 1L 加UPC贴纸，UPC贴纸跟翻单4500167444。A:193052051776，B:193052051783。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</si>
  <si>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ZB02421-10.14</t>
  </si>
  <si>
    <t>2D2XCZRH</t>
  </si>
  <si>
    <t>4500177996-110</t>
  </si>
  <si>
    <t>53ZCADKP</t>
  </si>
  <si>
    <t>4500178020-30</t>
  </si>
  <si>
    <t>ZB02447-10.15</t>
  </si>
  <si>
    <t>4ZKJU8CW</t>
  </si>
  <si>
    <t>4500178020-190</t>
  </si>
  <si>
    <t>4UMTBGOJ</t>
  </si>
  <si>
    <t>4500178034-90</t>
  </si>
  <si>
    <t>10/20出</t>
  </si>
  <si>
    <t>ZB02522-10.20</t>
  </si>
  <si>
    <t>4500174719-10</t>
  </si>
  <si>
    <t>10/18出</t>
  </si>
  <si>
    <t>ZB02468-10.16</t>
  </si>
  <si>
    <t>MARKET GROUP􀂻 LLC</t>
  </si>
  <si>
    <t>Order 19</t>
  </si>
  <si>
    <t>4500178086-10</t>
  </si>
  <si>
    <t>9/1收到</t>
  </si>
  <si>
    <t>进口商贴纸含EAN条码贴纸翻4500178070</t>
  </si>
  <si>
    <t>日期码格式：ZURU INC(BVI) 标准格式 日期：按实际生产日期
Packaging Info: 1.9543GQ1 : MA 1L UPC收缩膜+进口商贴纸(含EAN条码）翻4500178070, MA说明书/1L MA PDQ ;
2. 货期不能延后，客人有罚金。
Remark: 1.标准配比;
2.分两批出货; 需要提供self inspection report 给客户review 确认后才能放货；</t>
  </si>
  <si>
    <t>order 18</t>
  </si>
  <si>
    <t>4500178070-10</t>
  </si>
  <si>
    <t>日期码格式：ZURU INC(BVI) 标准格式 日期：按实际生产日期
Packaging Info: 1.9543GQ1 : MA 1L UPC收缩膜+进口商贴纸(含EAN条码）, MA说明书/1L MA PDQ ;
2. 货期不能延后，客人有罚金。
Remark: 1.标准配比;
2.分两批出货; 需要提供self inspection report 给客户review 确认后才能放货；</t>
  </si>
  <si>
    <t>PO1132545-YTF
CL-PER</t>
  </si>
  <si>
    <t>4500176225-10</t>
  </si>
  <si>
    <t>10/13出</t>
  </si>
  <si>
    <t>日期码格式：ZURU INC(BVI) 标准格式 日期：按实际生产日期
Packaging Info: 1. 9543GQ1: 英文MA包装(UPC版本，首选1L，无1L可用多L含英语)+箱唛+1张进口商贴纸；
Ratio: bule/purple/pink/orange =5:6:6:5; 2PCS AAA BATTERIES(NOT INCLUDED)
Remark: 此单出澳大利亚，请按澳洲标准生产并满足当地法规要求</t>
  </si>
  <si>
    <t>PO1132546-YTF
CL-SYD</t>
  </si>
  <si>
    <t>4500176225-50</t>
  </si>
  <si>
    <t>10/14出</t>
  </si>
  <si>
    <t>BABYHOUSE</t>
  </si>
  <si>
    <t>乌兹别克斯坦</t>
  </si>
  <si>
    <t>4500177534-10</t>
  </si>
  <si>
    <t>8/22收到</t>
  </si>
  <si>
    <t>8/22-进口商贴纸</t>
  </si>
  <si>
    <t>日期码格式：ZURU INC(BVI) 标准格式 日期：按实际生产日期
Packaging Info: 
9543GQ1：MA UPC 彩卡+ 进口商贴纸 ,MA 指南 /PDQ ；
Remark: 标准配比</t>
  </si>
  <si>
    <t>4500176193-10</t>
  </si>
  <si>
    <t>10/25出</t>
  </si>
  <si>
    <t>9/4收到</t>
  </si>
  <si>
    <t>ZB02558-10.23</t>
  </si>
  <si>
    <t>PO#600-73031</t>
  </si>
  <si>
    <t>4500177678-70</t>
  </si>
  <si>
    <t>10/17出</t>
  </si>
  <si>
    <t>9/2收到</t>
  </si>
  <si>
    <t>日期码格式：ZURU INC(BVI) 标准格式 日期：按实际生产日期
Packaging Info: 1、包装方式: MA UPC 优先1L最新版，出口美国
Remark: 2、无测试无验货要求
3、纸箱4面印ZURU LOGO + 箱唛
4、日期码请按ZURU标准版执行即可
5、ZURU OQC验货</t>
  </si>
  <si>
    <t>ZB02469(REV1)-10.16</t>
  </si>
  <si>
    <t>4500174743-10</t>
  </si>
  <si>
    <t>9/22-客供价格贴纸</t>
  </si>
  <si>
    <t>ZB02567-10.23</t>
  </si>
  <si>
    <t>4500178496-100</t>
  </si>
  <si>
    <t>9/12收到</t>
  </si>
  <si>
    <t>9/17-进口商贴纸含EAN 条码+PDQ+进口商贴纸</t>
  </si>
  <si>
    <t>日期码格式：ZURU INC(BVI) 标准格式 日期：按实际生产日期
Packaging Info: 1. 外箱侧唛（两面）的右上角各贴一张外箱贴纸.
9543GQ1 ：1L MA UPC 收缩膜+进口商贴纸含EAN 条码， 1 L MA PDQ+进口商贴纸 , MA 说明书 ；
Remark: 1. 标准配比
2. 此客户验货时需要提供以下三种图片，请务必拍照清晰图片：
产品净重图片；
产品+包装毛重图片；
一箱产品的毛重图片。</t>
  </si>
  <si>
    <t>4500173979-10</t>
  </si>
  <si>
    <t>ZB02599-10.24</t>
  </si>
  <si>
    <t>ZUR-F250814-03</t>
  </si>
  <si>
    <t>4500178685-10</t>
  </si>
  <si>
    <t>11/10出</t>
  </si>
  <si>
    <t>PO# 33036</t>
  </si>
  <si>
    <t>4500179366-10</t>
  </si>
  <si>
    <t>10/27出</t>
  </si>
  <si>
    <t>纸箱印ZURU LOGO</t>
  </si>
  <si>
    <t>日期码格式：ZURU INC(BVI) 标准格式 日期：按实际生产日期
Packaging Info: 1. ZURU 标准日期码格式，
2. 无第三方测试和验货，ZURU 内部QC验货即可出货
Remark: 3. 优先 MA 1L UPC包装;
4. 纸箱印ZURU LOGO，出口美国；</t>
  </si>
  <si>
    <t>ZB02660-10.27</t>
  </si>
  <si>
    <t>W0738938</t>
  </si>
  <si>
    <t>4500179747-10</t>
  </si>
  <si>
    <t>9/26收到</t>
  </si>
  <si>
    <t>9/28-贴价格贴纸+外箱条码贴纸</t>
  </si>
  <si>
    <t>ZB03096-11-25</t>
  </si>
  <si>
    <t>CUS
PO#4400509462</t>
  </si>
  <si>
    <t>4500179831-10</t>
  </si>
  <si>
    <t>11/5出</t>
  </si>
  <si>
    <t>9/27收到</t>
  </si>
  <si>
    <t>德语callout翻译贴纸(翻单#4500156774)+WEEE声明(不带电池)走货欧洲通用30L-B版说明书</t>
  </si>
  <si>
    <t>日期码格式：ZURU INC(BVI) 标准格式 日期：按实际生产日期
Packaging Info: 9543GQ1：最新MA 3L PDQ + 3L(9L warning)收缩膜+德语callout翻译贴纸(翻单#4500156774)+5L-9L Warning说明书+WEEE声明(不带电池)走货欧洲通用30L-B版说明
书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</si>
  <si>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TOYNOVA GMBH</t>
  </si>
  <si>
    <t>BE3194ZUR04</t>
  </si>
  <si>
    <t>4500179516-10</t>
  </si>
  <si>
    <t>9543A-S002-MB</t>
  </si>
  <si>
    <t>蓝色色仓鼠（邮包盒）</t>
  </si>
  <si>
    <t>邮包盒新稿</t>
  </si>
  <si>
    <t>11/3出</t>
  </si>
  <si>
    <t>9/18收到</t>
  </si>
  <si>
    <t>EAN贴纸(翻单：4500165723)+WEEE 不带电池走货 B版通用30L 说明书</t>
  </si>
  <si>
    <t>日期码格式：ZURU INC(BVI) 标准格式 日期：按实际生产日期
Packaging Info: 9543：客版邮包盒MA UPC 1L+9L D版本收缩膜+EAN贴纸(翻单：4500165723)+MA 5L+9L A版本产品说明书+ MA 3L B版本PDQ+WEEE 不带电池走货 B版通用30L 说明书
"77673: 12pcs/ctn;
客版邮包盒+MA 3L B收缩膜+MA 23L warning B说明书+MA 5L A收藏指南+WEEE电子产品说明书30L(带电池走货B版)+1张贴纸（Spielzeugpreis Alles fürs Kinderh
erz参考翻单PO#4500166480）"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QC验货,验货ok才能出货
5. 需准时完成生产，推期出货会有罚款。</t>
  </si>
  <si>
    <t>9543A-S002-MB-1L</t>
  </si>
  <si>
    <t>4500180088-10</t>
  </si>
  <si>
    <t>11/5-11/7出</t>
  </si>
  <si>
    <t>9/22收到</t>
  </si>
  <si>
    <t>10/22-外箱贴纸</t>
  </si>
  <si>
    <t>日期码格式：ZURU INC(BVI) 标准格式 日期：按实际生产日期
Packaging Info: 9543GQ1: 英文MA包装(UPC版本，首选1L，无1L可用多L含英语)+箱唛+外箱贴纸
Ratio: bule/purple/pink/orange =5:6:6:5; 2PCS AAA BATTERIES(NOT INCLUDED)
Remark: 1. 客人要求箱唛不可出现任何手写内容，重量与实际一致且不可手写;
2. 此单去澳大利亚，请按相应澳新标准生产;
3. 使用普通透明封箱胶封箱 (如有客版封箱胶带库存可消耗库存);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</si>
  <si>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AMAZON ES</t>
  </si>
  <si>
    <t>Amazon
ES:1BDHPG3S</t>
  </si>
  <si>
    <t>4500179692-80</t>
  </si>
  <si>
    <t>客版邮包盒单翻4500175025)</t>
  </si>
  <si>
    <t>11/18出</t>
  </si>
  <si>
    <t>9/19-贴纸（洗涤说明西班牙语）+WEEE电子产品说明书30L(不带电池走货B版)；</t>
  </si>
  <si>
    <t>10/15出外箱贴纸</t>
  </si>
  <si>
    <t>日期码格式：ZURU INC(BVI) 标准格式 日期：按实际生产日期
Packaging Info: Amazon ES(71126/71137/92104A/9279H/9543E/15701A/15710AB/15726E/15728B/15763BD/77515)/IT(77731/92104H/9543E/15711B)
5. 9543E：9543E 24pcs/ctn, no inner, orange; 客版邮包盒(UPC#+英法德意西5L警示语+FR/ES/IT环保标+GPSR邮箱care@zuru.com，参考翻单PO#4500175025)+1张
贴纸（洗涤说明西班牙语）+MA 3L（9L warning UPC#）C收缩膜+MA 5L(9L warning)A说明书+WEEE电子产品说明书30L(不带电池走货B版)；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</si>
  <si>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IT:2MAESEVE</t>
  </si>
  <si>
    <t>4500179692-100</t>
  </si>
  <si>
    <t>9/19-贴纸（洗涤说明西班牙语）+WEEE电子产品说明书30L(不带电池走货B版)；+邮包盒警语贴纸</t>
  </si>
  <si>
    <t>Amazon UK:
17T7EIFU</t>
  </si>
  <si>
    <t>4500179736-50</t>
  </si>
  <si>
    <t>11/17出</t>
  </si>
  <si>
    <t>WEEE电子产品说明书30L(不带电池走货B版+邮包盒警语贴纸</t>
  </si>
  <si>
    <t>日期码格式：ZURU INC(BVI) 标准格式 日期：按实际生产日期
Packaging Info: Amazon UK(15701B/15710B/15714DKMN/15726ABDEJLM/15728AG/71137/71152/77515/77731/9279EH/9543AE)/DE(15726BJLM/15728AG/15762BD/77731/92119EGH/9543E)
/FR(15728E/15763E/77673/77731)
11. 9543AE:
---9543A: 9543A 24pcs/ctn, no inner, blue; 客版邮包盒(UPC#+英法德意西5L警示语+FR/ES/IT环保标+GPSR邮箱care@zuru.com，参考翻单PO#4500175025)+MA 3
L（9L warning UPC#）C收缩膜+MA 5L(9L warning) A 说明书+WEEE电子产品说明书30L(不带电池走货B版)；
16.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</si>
  <si>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4500179736-70</t>
  </si>
  <si>
    <t>日期码格式：ZURU INC(BVI) 标准格式 日期：按实际生产日期
Packaging Info: Amazon UK(15701B/15710B/15714DKMN/15726ABDEJLM/15728AG/71137/71152/77515/77731/9279EH/9543AE)/DE(15726BJLM/15728AG/15762BD/77731/92119EGH/9543E)
/FR(15728E/15763E/77673/77731)
11. 9543AE:
---9543E: 9543E 24pcs/ctn, no inner, orange; 客版邮包盒(UPC#+英法德意西5L警示语+FR/ES/IT环保标+GPSR邮箱care@zuru.com，参考翻单PO#4500175025)+MA
3L（9L warning UPC#）C收缩膜+MA 5L(9L warning)A说明书+WEEE电子产品说明书30L(不带电池走货B版)；
16.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</si>
  <si>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DE:
8TYLY5NB</t>
  </si>
  <si>
    <t>4500179736-80</t>
  </si>
  <si>
    <t>4500175934-40</t>
  </si>
  <si>
    <t>9/15收到</t>
  </si>
  <si>
    <t>EAN(4894680026995)条码和care@zuru.com贴纸+瑞典芬兰爱沙尼亚语警告语/MADE IN CHINA和产品包含信息翻译成瑞典芬兰爱沙尼亚语言做成一张贴纸翻4500161056+客版说明书翻4500161056</t>
  </si>
  <si>
    <t>日期码格式：ZURU INC(BVI) 标准格式 日期：按实际生产日期
Packaging Info: 
4. 9543GQ1: MA 3L(9L warning) UPC版收缩膜+EAN(4894680026995)条码和care@zuru.com做成一张贴纸(贴纸和位置图翻PO#4500161056)+瑞典芬兰爱沙尼亚语警告
语/MADE IN CHINA和产品包含信息翻译成瑞典芬兰爱沙尼亚语言做成一张贴纸(贴纸和位置图翻PO#4500161056)+客版6L说明书(英语丹麦瑞典芬兰挪威爱沙尼亚语言
客版说明书翻PO#4500161056))+MA3L PDQ
5. 配比都跟MA
Remark: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*.产品/包装不含PFAS成分
*.产品条码如下: 请先检查条码是否正确再安排做货，如有问题请告知
ZURU ITEM#&lt;(&gt;&amp;&lt;)&gt;EAN
9543GQ1-S002:4894680026995</t>
  </si>
  <si>
    <t>A97064-11-29</t>
  </si>
  <si>
    <t>Amazon ES:
1XZQXBGA</t>
  </si>
  <si>
    <t>4500180299-30</t>
  </si>
  <si>
    <t>不需要贴纸（洗涤说明西班牙语翻4500179692</t>
  </si>
  <si>
    <t>11/24-11/28出</t>
  </si>
  <si>
    <t>贴纸（洗涤说明西班牙语翻4500179692+WEEE电子产品说明书30L(不带电池走货B版)+邮包盒警语贴纸</t>
  </si>
  <si>
    <t>10/21-外箱贴纸</t>
  </si>
  <si>
    <t>日期码格式：ZURU INC(BVI) 标准格式 日期：按实际生产日期
Packaging Info: Amazon ES(15701B/92104H/9543AE)
3. 9543AE
--9543A：9543A 24pcs/ctn, no inner, blue; 客版邮包盒(UPC#+英法德意西5L警示语+FR/ES/IT环保标+GPSR邮箱care@zuru.com，参考翻单PO#4500175025) +1张贴
纸（洗涤说明西班牙语，参考翻单PO#4500179692）+MA 3L（9L warning UPC#）C收缩膜+MA 5L(9L warning) A 说明书+WEEE电子产品说明书30L(不带电池走货B版)
；
--9543E：9543E 24pcs/ctn, no inner, orange; 客版邮包盒(UPC#+英法德意西5L警示语+FR/ES/IT环保标+GPSR邮箱care@zuru.com，参考翻单PO#4500175025) +1张
贴纸（洗涤说明西班牙语，参考翻单PO#4500179692）+MA 3L（9L warning UPC#）C收缩膜+MA 5L(9L warning)A说明书+WEEE电子产品说明书30L(不带电池走货B版)
；
4.最迟验货不得晚于2025/11/14;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</si>
  <si>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A97042-11-27</t>
  </si>
  <si>
    <t>4500180299-40</t>
  </si>
  <si>
    <t>ROFU KINDERLAND SPIELWARENHANDELSGE</t>
  </si>
  <si>
    <t>4500180918-40</t>
  </si>
  <si>
    <t>11/25出</t>
  </si>
  <si>
    <t>10/11收到</t>
  </si>
  <si>
    <t>1016-EAN贴纸+WEEE 不带电池走货 通用B版 30L 说明书</t>
  </si>
  <si>
    <t>日期码格式：ZURU INC(BVI) 标准格式 日期：按实际生产日期
Packaging Info: 
9543GQ1：MA UPC 1L+9L D版本收缩膜+EAN贴纸+价格贴纸+MA 5L+9L A版本产品说明书+ MA 3L B版本PDQ+WEEE 不带电池走货 通用B版 30L 说明书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</si>
  <si>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Winnie Zhong</t>
  </si>
  <si>
    <t>A97008-11-24</t>
  </si>
  <si>
    <t>OUTLET DRIFT AS</t>
  </si>
  <si>
    <t>4500181980-30</t>
  </si>
  <si>
    <t>客版6L说明书（4500161056）</t>
  </si>
  <si>
    <t>11/24出</t>
  </si>
  <si>
    <t>警语贴纸（翻单4500162375）</t>
  </si>
  <si>
    <t>日期码格式：ZURU INC(BVI) 标准格式 日期：按实际生产日期
Packaging 
9543GQ1: MA EAN 3L+ 警语贴纸（翻单4500162375）+客版6L说明书（4500161056）
Remark: 1/配比:
9543GQ1: Integral single ratio=bule/purple/pink/orange =5:6:6:5;
2/产品和包装要求无硼无香，包装不能含有PVC
3/如有微塑料，必须合规欧洲标准，并增加微塑料合规IFUD声明在说明书上
4/带电池出货的产品，所用到的电池需要符合欧洲电池新规(EU)2023-1542，并增加对应WEEE 说明书</t>
  </si>
  <si>
    <t>A96999-11-22</t>
  </si>
  <si>
    <t>ZURU DENMARK APS</t>
  </si>
  <si>
    <t>4500181278-150</t>
  </si>
  <si>
    <t>11/28出</t>
  </si>
  <si>
    <t>10/17收到</t>
  </si>
  <si>
    <t>10/21-EAN条码贴纸+1*黑白简易说明书(DK+NO+SE+FI) +多语警语折叠贴纸+ WEEE B 30L 通用不带电池出货黑白电池说明书</t>
  </si>
  <si>
    <t>日期码格式：ZURU INC(BVI) 标准格式 日期：按实际生产日期
Packaging Info: 
9543GQ1 ： 最新MA 3L PDQ+最新MA 3L收缩膜+1*EAN条码贴纸+1*多语警语折叠贴纸+最新MA 5L+9L警语说明书+1*黑白简易说明书(DK+NO+SE+FI) + WEEE B 30L 通
用不带电池出货黑白电池说明书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10.所有电子产品身上需要加字唛(与包装上的法国地址一致），为ZURU FRANCE 地址 (如无电子产品，或者产品布标有此地址，可忽略此信息)
ZURU FRANCE 33 rue Paul Meurice 75020 Paris, France.；</t>
  </si>
  <si>
    <t>A97063-11-29</t>
  </si>
  <si>
    <t>4500180068-60</t>
  </si>
  <si>
    <t>12/1出</t>
  </si>
  <si>
    <t>10/10收到</t>
  </si>
  <si>
    <t>日期码格式：ZURU INC(BVI) 标准格式 日期：按实际生产日期
Packaging Info: 
6. 9543GQ1: MA 3L(9L warning) UPC版收缩膜+EAN(4894680026995)(贴纸和位置图翻Indeks PO#4500164118)+客版6L说明书(英语丹麦瑞典芬兰挪威爱沙尼亚语言-
客版说明书翻SOK PO#4500161056)+MA3L PDQ
Remark: *92129+9565是新品，请在11/3前各寄两套大货样给客人留底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9543GQ1-S002:4894680026995</t>
  </si>
  <si>
    <t>A97111-12-1</t>
  </si>
  <si>
    <t>UAE</t>
  </si>
  <si>
    <t>4500180436-180</t>
  </si>
  <si>
    <t>10/31收到</t>
  </si>
  <si>
    <t>PDQ进口商贴纸+进口商贴纸翻单4500162345+WEEE声明（不带电池走货版本的通用30L说明书）</t>
  </si>
  <si>
    <t>日期码格式：ZURU INC(BVI) 标准格式 日期：按实际生产日期
Packaging Info: 
9543GQ1: 1. MA 收缩膜+进口商贴纸 (含G Mark, QR code, 阿拉伯警语)(贴纸翻单4500162345); 贴纸上的QR code需微信可扫，扫描结果另外通知; UPC条码显示1
93052050328; MA PDQ+进口商贴纸(贴纸翻单4500162345)；产品年龄3+;
2. bule/purple/pink/orange =5:6:6:5，
3. 客人箱唛排版，印4面，条码内容193052050328；
需要增加一张WEEE声明（不带电池走货版本的通用30L说明书）
Remark:</t>
  </si>
  <si>
    <t>Nora Pan</t>
  </si>
  <si>
    <t>A97537-1.14</t>
  </si>
  <si>
    <t>4500181762-40</t>
  </si>
  <si>
    <t>10/20收到</t>
  </si>
  <si>
    <t>EAN条码贴纸+多语折叠警告语贴纸+B版 WEEE 30L不带电池走货说明书 （全部翻单4500173920</t>
  </si>
  <si>
    <t>日期码格式：ZURU INC(BVI) 标准格式 日期：按实际生产日期
Packaging Info: 
9543GQ1: 最新MA PDQ+最新MA 3L+9L收缩膜 +1*EAN条码贴纸+1张多语折叠警告语贴纸 + 最新MA 5L+9L 说明书 + 1张B版 WEEE 30L不带电池走货说明书 （全部翻
单4500173920）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33 rue Paul Meurice 75020 Paris,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</si>
  <si>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A97054-11-28</t>
  </si>
  <si>
    <t>Amazon UK:
1ZSKG69R</t>
  </si>
  <si>
    <t>4500180750-30</t>
  </si>
  <si>
    <t>12/9-12/13出</t>
  </si>
  <si>
    <t>客版邮包盒翻单P4500175025)+WEEE电子产品说明书30L(不带电池走货B版)+邮包盒贴纸</t>
  </si>
  <si>
    <t>11/6-外箱贴纸</t>
  </si>
  <si>
    <t>日期码格式：ZURU INC(BVI) 标准格式 日期：按实际生产日期
Packaging Info: Amazon UK(71109D/77515/9543AE)/DE(77555/9543E)/FR(92104H/9543AE)
3. 9543AE:
---9543A: 9543A 24pcs/ctn, no inner, blue; 客版邮包盒(UPC#+英法德意西5L警示语+FR/ES/IT环保标+GPSR邮箱care@zuru.com，参考翻单PO#4500175025)+1张
贴纸（洗涤说明西班牙语，参考翻单PO#4500179692，出ES需要）+MA 3L（9L warning UPC#）C收缩膜+MA 5L(9L warning) A 说明书+WEEE电子产品说明书30L(不带
电池走货B版)；
6. 验货时间不迟于2025/12/1.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</si>
  <si>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4500180750-40</t>
  </si>
  <si>
    <t>日期码格式：ZURU INC(BVI) 标准格式 日期：按实际生产日期
Packaging Info: Amazon UK(71109D/77515/9543AE)/DE(77555/9543E)/FR(92104H/9543AE)
3. 9543AE:
---9543E: 9543E 24pcs/ctn, no inner, orange; 客版邮包盒(UPC#+英法德意西5L警示语+FR/ES/IT环保标+GPSR邮箱care@zuru.com，参考翻单PO#4500175025)+1张
贴纸（洗涤说明西班牙语，参考翻单PO#4500179692，出ES需要）+MA 3L（9L warning UPC#）C收缩膜+MA 5L(9L warning)A说明书+WEEE电子产品说明书30L(不带电
池走货B版)；
6. 验货时间不迟于2025/12/1.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</si>
  <si>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DE:
8A5LN1RH</t>
  </si>
  <si>
    <t>4500180750-60</t>
  </si>
  <si>
    <t>Amazon FR:
6R6N2E8R</t>
  </si>
  <si>
    <t>4500180750-80</t>
  </si>
  <si>
    <t>12/11-12/15出</t>
  </si>
  <si>
    <t>4500180750-90</t>
  </si>
  <si>
    <t>W0742708</t>
  </si>
  <si>
    <t>4500181807-20</t>
  </si>
  <si>
    <t>11/27出</t>
  </si>
  <si>
    <t>10/20-贴价格贴纸+外箱贴纸</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</si>
  <si>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
9281: 清尾阶段， 不是STD 比例，按工厂实际库存来出货</t>
  </si>
  <si>
    <t>ZB03127-11-27</t>
  </si>
  <si>
    <t>4500182488-20</t>
  </si>
  <si>
    <t>11/30出</t>
  </si>
  <si>
    <t>10/28-警告语贴纸+B版WEEE不带电池走货说明书</t>
  </si>
  <si>
    <t>日期码格式：ZURU INC(BVI) 标准格式 日期：按实际生产日期
Packaging Info:
9543GQ1:3L MA收缩膜+警告语贴纸; MA说明书+B版WEEE不带电池走货说明书; MA PDQ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</si>
  <si>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A97067-11-29</t>
  </si>
  <si>
    <t>PO#195973</t>
  </si>
  <si>
    <t>4500183152-20</t>
  </si>
  <si>
    <t>11/29-12/3出</t>
  </si>
  <si>
    <t>10/24收到</t>
  </si>
  <si>
    <t>10/31-客人白色Cat.label+B版WEEE不带电池走货说明书</t>
  </si>
  <si>
    <t>日期码格式：ZURU INC(BVI) 标准格式 日期：按实际生产日期
Packaging Info: 
9543:1L MA 包装+客人白色Cat.label 1张覆盖ZURU条码; MA说明书+B版WEEE不带电池走货说明书。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3.请先检查条码是否正确再安排做，标签上的目录编号数字（9162475和3428775 7699926）高度必须至少为5mm （14.17pt）
9543扫描结果为3428775
Remark: *MA包装最新版本(MA包装上含英文信息)。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*出欧洲的电子产品需要有WEEE电池说明书，区分带电池版本和不带电池版本，如果不是电子产品可以忽略。
*整柜的装柜工厂需要准备紧密的安全网，否则会有客人罚款。</t>
  </si>
  <si>
    <t>A97108-12-1</t>
  </si>
  <si>
    <t>AMAZON ITALY</t>
  </si>
  <si>
    <t>Amazon
IT:25ZJOVYR</t>
  </si>
  <si>
    <t>4500180308-10</t>
  </si>
  <si>
    <t>客版邮包盒翻4500175025</t>
  </si>
  <si>
    <t>12/10-12/14出</t>
  </si>
  <si>
    <t>WEEE电子产品说明书30L(不带电池走货B版)+邮包盒警语贴纸</t>
  </si>
  <si>
    <t>日期码格式：ZURU INC(BVI) 标准格式 日期：按实际生产日期
Packaging Info: Amazon IT(9543AE)
1. 9543AE
--9543A：9543A 24pcs/ctn, no inner, blue; 客版邮包盒(UPC#+英法德意西5L警示语+FR/ES/IT环保标+GPSR邮箱care@zuru.com，参考翻单PO#4500175025)+MA 3L
（9L warning UPC#）C收缩膜+MA 5L(9L warning) A 说明书+WEEE电子产品说明书30L(不带电池走货B版)；
2. 最迟验货不得晚于2025/11/30;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</si>
  <si>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IT:
25ZJOVYR</t>
  </si>
  <si>
    <t>4500180308-20</t>
  </si>
  <si>
    <t>日期码格式：ZURU INC(BVI) 标准格式 日期：按实际生产日期
Packaging Info: Amazon IT(9543AE)
1. 9543AE
--9543E：9543E 24pcs/ctn, no inner, orange; 客版邮包盒(UPC#+英法德意西5L警示语+FR/ES/IT环保标+GPSR邮箱care@zuru.com，参考翻单PO#4500175025)+MA 3
L（9L warning UPC#）C收缩膜+MA 5L(9L warning)A说明书+WEEE电子产品说明书30L(不带电池走货B版)；
2. 最迟验货不得晚于2025/11/30;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</si>
  <si>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DIRK ROSSMANN GMBH</t>
  </si>
  <si>
    <t>30251376B</t>
  </si>
  <si>
    <t>4500183138-40</t>
  </si>
  <si>
    <t>12/3第三方</t>
  </si>
  <si>
    <t>12/8出</t>
  </si>
  <si>
    <t>10/31收到 
外箱上下需加保护卡，以防开箱时产品被划破</t>
  </si>
  <si>
    <t>EAN条码贴纸(翻单4500116318)+德语callout贴纸(翻单4500122326)+欧洲通用30L B版WEEE说明书(不带电池)</t>
  </si>
  <si>
    <t>日期码格式：ZURU INC(BVI) 标准格式 日期：按实际生产日期
Packaging Info: 
9543: 最新MA 1L+9L收缩膜+EAN条码贴纸(翻单4500116318)+德语callout贴纸(翻单4500122326)+ 5L+9L说明书+欧洲通用30L B版WEEE说明书(不带电池)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</si>
  <si>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A97168-12-9</t>
  </si>
  <si>
    <t>TJX UK</t>
  </si>
  <si>
    <t>PO#50427369</t>
  </si>
  <si>
    <t>4500180135-50</t>
  </si>
  <si>
    <t>9543TQ2-S001</t>
  </si>
  <si>
    <t>12/9出</t>
  </si>
  <si>
    <t>9/23收到</t>
  </si>
  <si>
    <t>11/5-客供价格贴纸+WEEE不带电池走货欧洲30语通用黑白说明书</t>
  </si>
  <si>
    <t>日期码格式：ZURU INC(BVI) 标准格式 日期：按实际生产日期
Packaging Info:
9543TQ2: MA 3L(9L warning) 最新EAN包装+一张客供价格贴纸+WEEE不带电池走货欧洲30语通用黑白说明书9298: MA 3L(9L warning)最新EAN包装version B+一张客
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</si>
  <si>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AaronXia</t>
  </si>
  <si>
    <t>9543TQ2-S001-3L</t>
  </si>
  <si>
    <t>A97159-12-8</t>
  </si>
  <si>
    <t>TJX UK C/O TJX DISTRIBUTION LTD &amp; C</t>
  </si>
  <si>
    <t>PO#55427738</t>
  </si>
  <si>
    <t>4500180187-60</t>
  </si>
  <si>
    <t>11/5-客供价格贴纸+WEEE不带电池走货欧洲30语通用黑白说明书+9/26-波兰语警告语贴纸</t>
  </si>
  <si>
    <t>日期码格式：ZURU INC(BVI) 标准格式 日期：按实际生产日期
Packaging Info: 
9543TQ2: MA 3L(9L warning) 最新EAN包装+一张客供价格贴纸+WEEE不带电池走货欧洲30语通用黑白说明书+一张波兰语警告语贴纸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</si>
  <si>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4500176686-40</t>
  </si>
  <si>
    <t>9543-S004</t>
  </si>
  <si>
    <t>10/16收到</t>
  </si>
  <si>
    <t>瑞典语/EAN贴纸+说明书（6L)翻单4500161056</t>
  </si>
  <si>
    <t>日期码格式：ZURU INC(BVI) 标准格式 日期：按实际生产日期
Packaging Info: 
9543-S004:9543-S004:MA C 3L UPC 收缩膜+瑞典语贴纸+EAN条码翻单4500170385+说明书（6L)翻单4500161056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
9543-S004-4894680026995</t>
  </si>
  <si>
    <t>TOYCHAMP BELGIUM NV</t>
  </si>
  <si>
    <t>4500182640-20</t>
  </si>
  <si>
    <t>12/3出</t>
  </si>
  <si>
    <t>10/28收到警告语贴纸+B版WEEE不带电池走货说明书+EAN条码贴纸翻4500167072</t>
  </si>
  <si>
    <t>日期码格式：ZURU INC(BVI) 标准格式 日期：按实际生产日期
Packaging Info: 
9543GQ1:3L MA UPC 收缩膜+警告语贴纸+EAN条码贴纸翻4500167072; MA说明书+B版WEEE不带电池走货说明书; MA PDQ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</si>
  <si>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A97147-12-5</t>
  </si>
  <si>
    <t>4500176590-10</t>
  </si>
  <si>
    <t>11/11收到</t>
  </si>
  <si>
    <t>11/11-客供价格贴纸</t>
  </si>
  <si>
    <t>ZMPO251008</t>
  </si>
  <si>
    <t>Remark:大货最新版本/产品按大货比例入PDQ/大货标准箱装箱/箱唛请参照邮件附件
备注： 收到样品订单后尽快安排 ，/注意样板品质质量要求要高于大货品质质量 ，送货时必须要附带送货单(没有送货单和QC检验合格报告的仓库一律拒绝收货)，请知悉，谢谢！</t>
  </si>
  <si>
    <t xml:space="preserve">Angus </t>
  </si>
  <si>
    <t>LEKIA AB</t>
  </si>
  <si>
    <t>4500183825-260</t>
  </si>
  <si>
    <t>12/22出</t>
  </si>
  <si>
    <t>11/18-+EAN/丹麦瑞典芬兰挪威语警告语 care@zuru.com贴纸+MA C版说明书+WEEE_不带电池走货 _ 说明书欧洲EN+30L-B版</t>
  </si>
  <si>
    <t>日期码格式：ZURU INC(BVI) 标准格式 日期：按实际生产日期
Packaging Info: 
9543GQ1-S002//C_3L UPC 收缩膜+EAN#4894680026995/ 丹麦瑞典芬兰挪威语警告语 care@zuru.com贴纸+MA C版说明书+WEEE_不带电池走货 _ 说明书欧洲EN+30L-B
版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"9543GQ1-S002//Integral single ratio=bule/purple/pink/orange =5:6:6:5;
2PCS AAA BATTERIES(NOT INCLUDED)"</t>
  </si>
  <si>
    <t>Luna</t>
  </si>
  <si>
    <t>QAT</t>
  </si>
  <si>
    <t>4500180735-250</t>
  </si>
  <si>
    <t>1/12出</t>
  </si>
  <si>
    <t>进口商贴纸+PDQ进口商贴纸 翻4500162345+张WEEE声明（不带电池走货版本的通用30L说明书）</t>
  </si>
  <si>
    <t>日期码格式：ZURU INC(BVI) 标准格式 日期：按实际生产日期
Packaging Info:
9543GQ1：MA收缩膜+进口商贴纸(含G Mark, QR code, 阿拉伯警语) (贴纸翻单4500162345)；贴纸上的QR code需微信可扫，扫描结果另外通知; MA说明书；MA PDQ+
进口商贴纸(贴纸翻单4500162345); 产品年龄3+;
4 assortment, bule/purple/pink/orange =5:6:6:5;
客人箱唛排版，印4面，条码内容：193052050328；
需要增加一张WEEE声明（不带电池走货版本的通用30L说明书）
Remark
Qatar的订单需要寄样品给客户进行slime测试（产品含slime的每个item分别准备完整的4套样品）</t>
  </si>
  <si>
    <t>A97503-1.12</t>
  </si>
  <si>
    <t>4500180866-110</t>
  </si>
  <si>
    <t>12/18出</t>
  </si>
  <si>
    <t>9/29收到</t>
  </si>
  <si>
    <t>进口商贴纸+保证书翻单PO4500168907</t>
  </si>
  <si>
    <t>日期码格式：LOTDGYYYYMMDD 日期：按实际生产日期
Packaging Info: 
9. 9543GQ1: MA 3L UPC包装+进口商贴纸+MA 3L PDQ包装+MA 多语说明书+保证书+箱唛，3张不同进口商贴纸分别贴到产品/包装/说明书上, 此款所有贴纸和保证书
翻单PO4500168907。
注意所有带电产品所用的保证书是通用的。
Remark: 1. 客版日期码要求：LOT+ZURU标准日期码格式。东莞生产的格式：LOTDGYYYYMMDD, DG是东莞拼音首字母，
YYYYMMDD是实际的年月日，例如(LOTDG20240920)
2. 
9543GQ1： 2PCS AAA Batteries(Not Include); bule/purple/pink/orange =5:6:6:5
4. 此单有第三方监柜，至少多备一套完整的物料用于监柜，请多备料。
5. WM墨西哥防霉的新要求:货物必须在出货主箱和集装箱中按要求放置干燥剂，干燥剂指定品牌干霸
9543GQ1：需要在每箱放入6小包干燥剂，每包干燥剂重量2g
如走柜货等loading plan 确认后再通知集装箱干燥剂数量
此单会和其他工厂订单合并出4*40HC，每个HC需要放置20包干燥剂，每包干燥剂1KG</t>
  </si>
  <si>
    <t>A97572-1.20</t>
  </si>
  <si>
    <t>DISTRIBUIDORA LIVERPOOL S.A DE C.V.</t>
  </si>
  <si>
    <t>4500177857-40</t>
  </si>
  <si>
    <t>10/21收到</t>
  </si>
  <si>
    <t>12/26-进口商贴纸+保证书，包装/说明书都需要贴一张进口商贴纸</t>
  </si>
  <si>
    <t>12/1-价标贴纸</t>
  </si>
  <si>
    <t>日期码格式：ZURU INC(BVI) 标准格式 日期：按实际生产日期
Packaging Info:
9543GQ1:MA 多语UPC 包装+MA 多语说明书（含西语）+进口商贴纸+价标贴纸+保证书+箱唛，包装/说明书都需要贴一张进口商贴纸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</si>
  <si>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4500185200-10</t>
  </si>
  <si>
    <t>WIC 贴纸翻4500130295+ PDQ折页翻4500099653</t>
  </si>
  <si>
    <t>日期码格式：ZURU INC(BVI) 标准格式 日期：12-18-2025
Packaging Info: MA 1L 包装 + WIC 贴纸（WIC # 280432 参考4500130295） + 客版PDQ(翻单4500130295) + PDQ折页 （翻单PO 4500099653，PDQ折页放在PDQ的正上方，开箱即可
看到）
Remark: 产品和包装上面要有zuru标准格式的tracking code DG20251218</t>
  </si>
  <si>
    <t>4500185200-20</t>
  </si>
  <si>
    <t>4500185200-30</t>
  </si>
  <si>
    <t>4500185200-40</t>
  </si>
  <si>
    <t>4500185200-50</t>
  </si>
  <si>
    <t>4500185200-60</t>
  </si>
  <si>
    <t>4500185200-70</t>
  </si>
  <si>
    <t>4500185200-80</t>
  </si>
  <si>
    <t>4500185200-90</t>
  </si>
  <si>
    <t>BINGO GLOBAL GROUP FOR TRADING SUPP</t>
  </si>
  <si>
    <t>埃及</t>
  </si>
  <si>
    <t>4500178856-50</t>
  </si>
  <si>
    <t>1/22出</t>
  </si>
  <si>
    <t>11/13-进口商贴纸+张WEEE声明（不带电池走货版本的通用30L说明书）</t>
  </si>
  <si>
    <t>日期码格式：ZURU INC(BVI) 标准格式 日期：按实际生产日期
Packaging Info: 
9543GQ1：包装MA EAN收缩膜+进口商贴纸，MA PDQ，收缩膜EAN条码显示4894680026995，产品年龄3+；
客人箱唛排版，印4面，条码内容4894680026995;
需要增加一张WEEE声明（不带电池走货版本的通用30L说明书）
Remark: 
9543GQ1：bule/purple/pink/orange =5:6:6:5;</t>
  </si>
  <si>
    <t>A97555-1.17</t>
  </si>
  <si>
    <t>3WN2P4OZ</t>
  </si>
  <si>
    <t>4500184839-330</t>
  </si>
  <si>
    <t>12/21-12/27出</t>
  </si>
  <si>
    <t>外箱正面印ZURU Logo + SSCC LABEL（客供贴纸)，侧面印item#（订单上显示的SKU#) + carton size(以工厂实际尺寸为准，单位: inch) + MADE IN CHINA，</t>
  </si>
  <si>
    <t>11/26-外箱贴纸</t>
  </si>
  <si>
    <t>日期码格式：ZURU INC(BVI) 标准格式 日期：按实际生产日期
Packaging Info: 出口加拿大，包装需要至少2/3L UPC版，无硼版本。
#9543: MA 3L 加UPC贴纸， UPC贴纸跟翻单4500098824。B:193052051783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</si>
  <si>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8BIMURIH</t>
  </si>
  <si>
    <t>4500184839-340</t>
  </si>
  <si>
    <t>日期码格式：ZURU INC(BVI) 标准格式 日期：按实际生产日期
Packaging Info: 出口加拿大，包装需要至少2/3L UPC版，无硼版本。
#9543: MA 3L 加UPC贴纸， UPC贴纸跟翻单4500098824。 D:193052051790;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</si>
  <si>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2X4LN7RT</t>
  </si>
  <si>
    <t>4500184839-350</t>
  </si>
  <si>
    <t>7PYVPZ5W</t>
  </si>
  <si>
    <t>4500184839-360</t>
  </si>
  <si>
    <t>4500186101-10</t>
  </si>
  <si>
    <t>含德语callout/荷兰语警示语贴纸(翻#4500186101)+ 产品贴纸(ZURU FRANCE 地址)翻单#4500136411+WEEE声明(不带电池)走货欧洲通用30L-B版说明书+通用收缩膜警示贴纸</t>
  </si>
  <si>
    <t>日期码格式：ZURU INC(BVI) 标准格式 日期：按实际生产日期
Packaging Info: 9543GQ1：最新MA 3L PDQ + 3L(5L warning)收缩膜+1张含德语callout/荷兰语警示语贴纸(翻#4500186101)+ 产品贴纸(ZURU FRANCE 地址)翻单#4500136411 +5L(9
L Warning)说明书+WEEE声明(不带电池)走货欧洲通用30L-B版说明书+1张通用说明书警示贴纸(按QA-Angus邮件资料)+1张通用收缩膜警示贴纸(按QA-Angus邮件资料)
bule/purple/pink/orange =5:6:6:5;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</si>
  <si>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4500186101-20</t>
  </si>
  <si>
    <t>12/29出</t>
  </si>
  <si>
    <t>WALMART CENTRAL AMERICA-HN</t>
  </si>
  <si>
    <t>4500184422-60</t>
  </si>
  <si>
    <t>进口商贴纸翻4500158302+UPC贴纸翻4500184316</t>
  </si>
  <si>
    <t>日期码格式：ZURU INC(BVI) 标准格式 日期：按实际生产日期
Packaging Info: 
5. 9543GQ1：MA 3L 包装+UPC条码贴纸+MA 3L PDQ包装+MA 多语说明书+进口商贴纸+箱唛，进口商贴纸翻单PO4500158302，UPC贴纸翻单PO4500184316
Remark: 1.请注意产品包装条形码必须是UPC
2.无第三方验货
8. 9543GQ1：bule/purple/pink/orange =5:6:6:5;2PCS AAA BATTERIES(NOT INCLUDED)</t>
  </si>
  <si>
    <t>WALMART CENTRAL AMERICA-CR</t>
  </si>
  <si>
    <t>4500184316-60</t>
  </si>
  <si>
    <t>进口商贴纸翻4500158302+11/24-UPC贴纸</t>
  </si>
  <si>
    <t>日期码格式：ZURU INC(BVI) 标准格式 日期：按实际生产日期
Packaging Info: 
5. 9543GQ1：MA 3L 包装+UPC条码贴纸+MA 3L PDQ包装+MA 多语说明书+进口商贴纸+箱唛，进口商贴纸翻单PO4500158302，UPC贴纸待跟单提供
Remark: 1.请注意产品包装条形码必须是UPC
2.无第三方验货
8. 9543GQ1：bule/purple/pink/orange =5:6:6:5;2PCS AAA BATTERIES(NOT INCLUDED)</t>
  </si>
  <si>
    <t>WALMART CENTRAL AMERICA-GT</t>
  </si>
  <si>
    <t>4500184355-60</t>
  </si>
  <si>
    <t>12/31出</t>
  </si>
  <si>
    <t>W0746341</t>
  </si>
  <si>
    <t>4500184811-30</t>
  </si>
  <si>
    <t>11/14收到</t>
  </si>
  <si>
    <t>11/13-价格贴纸+外箱贴纸</t>
  </si>
  <si>
    <t>4500182713-60</t>
  </si>
  <si>
    <t>仓鼠(干燥剂）</t>
  </si>
  <si>
    <t>12/26出</t>
  </si>
  <si>
    <t>11/24-UPC条码贴纸+进口商贴纸+保证书翻单4500168907</t>
  </si>
  <si>
    <t>日期码格式：LOTDGYYYYMMDD 日期：按实际生产日期
Packaging Info: 
9543GQ1: MA 3L 包装+UPC条码贴纸+进口商贴纸+MA 3L PDQ包装+MA 多语说明书+保证书+箱唛，3张不同进口商贴纸分别贴到产品/包装/说明书上, 此款进口商贴纸
和保证书翻单PO4500168907，UPC贴纸跟单提供
Remark: 1. 客版日期码要求：LOT+ZURU标准日期码格式。东莞生产的格式：LOTDGYYYYMMDD, DG是东莞拼音首字母，
YYYYMMDD是实际的年月日，例如(LOTDG20240920)
2.
9543GQ1： 2PCS AAA Batteries(Not Include); bule/purple/pink/orange =5:6:6:5
4. 此单有第三方监柜，至少多备一套完整的物料用于监柜，请多备料。
5.WM墨西哥防霉的新要求:货物必须在出货主箱和集装箱中按要求放置干燥剂，干燥剂指定品牌干霸
9543GQ1: 需要在每箱放入6小包干燥剂，每包干燥剂重量2-3g
如走柜货等loading plan 确认后再通知集装箱干燥剂数量
此单工厂将安排1*40HC+1*20GP，每个柜子需要放置20包干燥剂，每包干燥剂1KG</t>
  </si>
  <si>
    <t>4500185877-10</t>
  </si>
  <si>
    <t>12/25出</t>
  </si>
  <si>
    <t>WEEE声明(不带电池)走货欧洲通用30L-B版说明书</t>
  </si>
  <si>
    <t>日期码格式：ZURU INC(BVI) 标准格式 日期：按实际生产日期
Packaging Info: 9543GQ1: 最新MA 3L PDQ + 3L(9L warning)收缩膜+MA 5L-9L Warning说明书+WEEE声明(不带电池)走货欧洲通用30L-B版说明书
bule/purple/pink/orange =5:6:6:5;
EAN#4894680026995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</si>
  <si>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4500180758-200</t>
  </si>
  <si>
    <t>9543SK-S002</t>
  </si>
  <si>
    <t>进口商贴纸+PDQ 进口商贴纸(贴纸翻单4500162345)+WEEE声明（不带电池走货版本的通用30L说明书）</t>
  </si>
  <si>
    <t>日期码格式：ZURU INC(BVI) 标准格式 日期：按实际生产日期
Packaging Info: 
9543SK：MA收缩膜+进口商贴纸(含G Mark, QR code, 阿拉伯警语) (贴纸翻单4500162345)；贴纸上的QR code需微信可扫，扫描结果另外通知; MA说明书；MA 展示
架+进口商贴纸(贴纸翻单4500162345); 产品年龄3+;
4 assortment, bule/purple/pink/orange =5:6:6:5;
客人箱唛排版，印4面，条码内容：193052050328；
需要增加一张WEEE声明（不带电池走货版本的通用30L说明书）
Remark:</t>
  </si>
  <si>
    <t>A97522-1.13</t>
  </si>
  <si>
    <t>4500180758-190</t>
  </si>
  <si>
    <t>日期码格式：ZURU INC(BVI) 标准格式 日期：按实际生产日期
Packaging Info: 
9543GQ1：MA收缩膜+进口商贴纸(含G Mark, QR code, 阿拉伯警语) (贴纸翻单4500162345)；贴纸上的QR code需微信可扫，扫描结果另外通知; MA说明书；MA PDQ+
进口商贴纸(贴纸翻单4500162345); 产品年龄3+;
4 assortment, bule/purple/pink/orange =5:6:6:5;
客人箱唛排版，印4面，条码内容：193052050328；
需要增加一张WEEE声明（不带电池走货版本的通用30L说明书）
Remark:</t>
  </si>
  <si>
    <t>ESAL TRADING LLC</t>
  </si>
  <si>
    <t>约旦</t>
  </si>
  <si>
    <t>4500189510-120</t>
  </si>
  <si>
    <t>4500180758拆单</t>
  </si>
  <si>
    <t>日期码格式：ZURU INC(BVI) 标准格式 日期：按实际生产日期
Packaging Info: 
9543GQ1: 1. MA 收缩膜+进口商贴纸 (含G Mark, QR code, 阿拉伯警语)(贴纸翻单4500162345); 贴纸上的QR code需微信可扫，扫描结果另外通知; UPC条码显示1
93052050328; MA PDQ+进口商贴纸(贴纸翻单4500162345)；产品年龄3+;
2. bule/purple/pink/orange =5:6:6:5，
3. 客人箱唛排版，印4面，条码内容193052050328；
需要增加一张WEEE声明（不带电池走货版本的通用30L说明书）
Remark</t>
  </si>
  <si>
    <t>4500183736-10</t>
  </si>
  <si>
    <t>12/27出</t>
  </si>
  <si>
    <t>11/5收到</t>
  </si>
  <si>
    <t>10/31-通用进口商贴纸</t>
  </si>
  <si>
    <t>A97517-1.13</t>
  </si>
  <si>
    <t>斯洛瓦克</t>
  </si>
  <si>
    <t>999-62142</t>
  </si>
  <si>
    <t>4500186548-80</t>
  </si>
  <si>
    <t>12/1-四国语言警告语贴纸+说明书贴纸</t>
  </si>
  <si>
    <t>日期码格式：ZURU INC(BVI) 标准格式 日期：按实际生产日期
Packaging Info:
9543GQ3：最新MA 1L UPC版本包装+1 张四国语言警告语贴纸( Czech-Hugarian-Polish-Slovak) +最新MA 5L说明书+一张说明书贴纸+MA 1L PDQ；
Remark: 1.此单出EU国家，需满足EU测试标准，不含微塑料，无闪粉；
2.产品及包装需要印UKCA图标，包装需要有ZURU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t>
  </si>
  <si>
    <t>Grace He</t>
  </si>
  <si>
    <t>A97486</t>
  </si>
  <si>
    <t>4500185851-50</t>
  </si>
  <si>
    <t>消耗-4500177833成品,尾数96pc按取消单日期一致</t>
  </si>
  <si>
    <t>11/17收到</t>
  </si>
  <si>
    <t>11/20-客人白色Cat.label 1张覆盖ZURU条码; +B版WEEE不带电池走货说明书</t>
  </si>
  <si>
    <t>日期码格式：ZURU INC(BVI) 标准格式 日期：按实际生产日期
Packaging Info: 1.
9543:-1L UPC包装+客人白色Cat.label 1张覆盖ZURU条码; MA说明书+B版WEEE不带电池走货说明书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9543条码扫描结果应为3428775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</si>
  <si>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A97452-1.6</t>
  </si>
  <si>
    <t>QD COMMERCIAL GROUP HOLDINGS LIMITE</t>
  </si>
  <si>
    <t>4500186127-10</t>
  </si>
  <si>
    <t>12/5-易撕价格贴纸+WEEE声明(不带电池)走货欧洲通用30L-B版说明书</t>
  </si>
  <si>
    <t>日期码格式：ZURU INC(BVI) 标准格式 日期：按实际生产日期
Packaging Info: 9543GQ1: 最新 MA 1L UPC配套包装+1张易撕价格贴纸+WEEE声明(不带电池)走货欧洲通用30L-B版说明书
UPC#193052050328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6.产品包装上需加一张价格贴纸，贴纸材质需为"易撕”
7.做货前请先复核包装条码与订单是否一致再安排，对不上的需与ZURU跟单确认再安排。</t>
  </si>
  <si>
    <t>A97556-1.17</t>
  </si>
  <si>
    <t>4500185851-60</t>
  </si>
  <si>
    <t>12/1收到</t>
  </si>
  <si>
    <t>12/2-客人白色Cat.label +B版WEEE不带电池走货说明书</t>
  </si>
  <si>
    <t>4500189939-30</t>
  </si>
  <si>
    <t>4500186834转单5L(PL+HU+CZ+SK+RO)说明书（翻单4500176308）</t>
  </si>
  <si>
    <t>baby EAN贴纸+多语折叠警告语贴纸+ B版 WEEE 30L不带电池走货说明书（翻单4500173920）</t>
  </si>
  <si>
    <t>日期码格式：ZURU INC(BVI) 标准格式 日期：按实际生产日期
Packaging Info: 
9543GQ1：MA 3L PDQ +MA 3L+9L警语 UPC 收缩膜 +1*baby EAN贴纸（翻单4500173920）+1*多语折叠警告语贴纸（翻单4500173920） + MA 5L+9LWarning 说明书+1*
5L(PL+HU+CZ+SK+RO)说明书（翻单4500176308）+ 1张B版 WEEE 30L不带电池走货说明书（翻单4500173920）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所有出往波兰订单的电子产品需增加一张欧洲通用WEEE声明说明书，区分带电池和不带电池版本, 如已做客版说明书可忽略此要求。</t>
  </si>
  <si>
    <t>A97466-1.7</t>
  </si>
  <si>
    <t>47:0003176750</t>
  </si>
  <si>
    <t>4500185066-10</t>
  </si>
  <si>
    <t>1/11-1/17出</t>
  </si>
  <si>
    <t>日语贴纸翻单4500153105</t>
  </si>
  <si>
    <t>日期码格式：ZURU INC(BVI) 标准格式 日期：按实际生产日期
Packaging Info: 9543GQ1： MA 1L UPC PKG D版包装+MA 说明书+1张日语贴纸（不要遮挡日期码)，贴纸内容及位置翻单4500153105
(9543GQ1)PDQ: MA 1L PDQ PKG B 版包装
Remark: 1. 9543GQ1的大货的产品品质跟内容需跟4500129603这单一致，有任何更新（含包装）需提前告知。
2.9543GQ1请安排寄3 套样板到SGS 实验室安排测试，测试pass 后才能出货。大货样需严格跟到测试样。</t>
  </si>
  <si>
    <t>A97514-1.13</t>
  </si>
  <si>
    <t>GABRIEL BROTHERS, INC.</t>
  </si>
  <si>
    <t>4500181546-10</t>
  </si>
  <si>
    <t>10/13收到</t>
  </si>
  <si>
    <t>ZU25111801SG</t>
  </si>
  <si>
    <t>4500187915-20</t>
  </si>
  <si>
    <t>日期码格式：ZURU INC(BVI) 标准格式 日期：按实际生产日期
Packaging Info: MA UPC包装(优先1L)+1张固定进口商贴纸,贴纸图稿及位置图翻单如下
9543-要求使用新风格包材(黄色+粉色)
Remark:
9543-bule/purple/pink/orange =5:6:6:5;</t>
  </si>
  <si>
    <t>A97498-1.12</t>
  </si>
  <si>
    <t>4500186877-10</t>
  </si>
  <si>
    <t>客版指南(翻4500119045</t>
  </si>
  <si>
    <t>11/25-进口商贴纸</t>
  </si>
  <si>
    <t>日期码格式：ZURU INC(BVI) 标准格式 日期：按实际生产日期
Packaging Info: 9543GQ1: MA D版 1L UPC收缩膜+进口商贴纸/客版指南(翻4500119045）
Remark: 此单出欧洲斯洛文尼亚， 需满足EU测试标准要求，不能含微塑料，需出无闪粉版本
-9543GQ1: Ratio: bule/purple/pink/orange =5:6:6:5
2PCS AAA BATTERIES(NOT INCLUDED): 加WEEE不带电池走货欧洲30语通用黑白说明书 B版</t>
  </si>
  <si>
    <t>#</t>
  </si>
  <si>
    <t>A97582-1.20</t>
  </si>
  <si>
    <t>4500187426-10</t>
  </si>
  <si>
    <t>日期码格式：ZURU INC(BVI) 标准格式 日期：按实际生产日期
Packaging Info: "9543GQ1：最新MA 3L PDQ + 3L(5L warning) EAN收缩膜+MA 5L-9L Warning说明书+WEEE声明(不带电池)走货欧洲通用30L-B版说明书
bule/purple/pink/orange =5:6:6:5;
EAN#4894680026995"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</si>
  <si>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A97496-1.12</t>
  </si>
  <si>
    <t>ZU02-26</t>
  </si>
  <si>
    <t>4500183616-120</t>
  </si>
  <si>
    <t>12/10-进口商贴纸+UPC贴纸</t>
  </si>
  <si>
    <t xml:space="preserve">日期码格式：ZURU INC(BVI) 标准格式 日期：按实际生产日期
Packaging Info: 
其余item：MA 多语EAN包装+进口商贴纸+UPC贴纸+箱唛
Remark: </t>
  </si>
  <si>
    <t>A97525-1.13</t>
  </si>
  <si>
    <t>85CJNNWQ</t>
  </si>
  <si>
    <t>4500186530-130</t>
  </si>
  <si>
    <t>1/18-1/21出</t>
  </si>
  <si>
    <t>UPC贴纸跟翻单4500098824</t>
  </si>
  <si>
    <t>12/22-外箱贴纸</t>
  </si>
  <si>
    <t>日期码格式：ZURU INC(BVI) 标准格式 日期：按实际生产日期
Packaging Info: 
#9543: MA 3L 加UPC贴纸， UPC贴纸跟翻单4500098824。B:193052051783, D:193052051790; 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</si>
  <si>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5F7O8LAO</t>
  </si>
  <si>
    <t>4500186530-140</t>
  </si>
  <si>
    <t>TJX AUSTRALIA PTY LIMITED</t>
  </si>
  <si>
    <t>4500188305-20</t>
  </si>
  <si>
    <t>1/31出</t>
  </si>
  <si>
    <t>日期码格式：ZURU INC(BVI) 标准格式 日期：按实际生产日期
Packaging Info: 1. 9543GQ1: 英文MA包装(UPC版本，首选1L，无1L可用多L含英语)；
Ratio: bule/purple/pink/orange =5:6:6:5; 2PCS AAA BATTERIES(NOT INCLUDED)
Remark: 1. 箱唛不可出现任何手写内容（箱数除外），重量与实际一致且不可手写；
2. 此单去澳大利亚，请按相应澳新标准生产并满足当地法规要求;
3. ZURU QC验货。
4. 产品和包装上要有tracking label信息：日期码格式为Zuru标准格式；</t>
  </si>
  <si>
    <t>4500188305-40</t>
  </si>
  <si>
    <t>4500188305-50</t>
  </si>
  <si>
    <t>2XWC1XRB</t>
  </si>
  <si>
    <t>4500184679-130</t>
  </si>
  <si>
    <t>11/10收到</t>
  </si>
  <si>
    <t>UPC贴纸翻4500178034</t>
  </si>
  <si>
    <t>1/5-外箱贴纸</t>
  </si>
  <si>
    <t>日期码格式：ZURU INC(BVI) 标准格式 日期：按实际生产日期
#9543：MA 1L 加UPC贴纸，UPC贴纸跟翻单4500178034。A:193052051776，B:193052051783。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</si>
  <si>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69GNLLRY</t>
  </si>
  <si>
    <t>4500184640-140</t>
  </si>
  <si>
    <t>日期码格式：ZURU INC(BVI) 标准格式 日期：按实际生产日期
Packaging Info: 
#9543：MA 1L 加UPC贴纸，UPC贴纸跟翻单4500178034。A:193052051776，B:193052051783。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</si>
  <si>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6PNAFPQA</t>
  </si>
  <si>
    <t>4500184640-150</t>
  </si>
  <si>
    <t>4500187623-30</t>
  </si>
  <si>
    <t>12/8收到</t>
  </si>
  <si>
    <t>12/18-UPC贴纸</t>
  </si>
  <si>
    <t>日期码格式：ZURU INC(BVI) 标准格式 日期：按实际生产日期
Packaging Info: 
/9543GQ1:MA 多语 EAN包装+UPC贴纸+箱唛，无客户贴纸
Remark: 订单需第三方（QIMA)验货，无需签板，请多备料。
外箱上的箱唛资料会显示客户指定日期01-FEB-2026,产品/包装/外箱可以按ZURU 标准日期码打，也可以跟回外箱日期码，工厂自行选择,两者均可接受</t>
  </si>
  <si>
    <t>4500186566-60</t>
  </si>
  <si>
    <t>1/23出</t>
  </si>
  <si>
    <t>11/24收到</t>
  </si>
  <si>
    <t>12/15-客供价格贴纸</t>
  </si>
  <si>
    <t>日期码格式：ZURU INC(BVI) 标准格式 日期：按实际生产日期
Packaging Info: 1. STD Items: ZURU MA UPC 现有包装+客供价格贴纸，优先使用MA 1L最新版本（可接受多语）,出口美国
Remark: 1. Cus Item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</si>
  <si>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Blanche Huang</t>
  </si>
  <si>
    <t>8PK9UZQC</t>
  </si>
  <si>
    <t>4500187446-160</t>
  </si>
  <si>
    <t>8987KSHA</t>
  </si>
  <si>
    <t>4500187446-170</t>
  </si>
  <si>
    <t>AMSLER SPIELWAREN AG</t>
  </si>
  <si>
    <t>瑞士</t>
  </si>
  <si>
    <t>4500187921-20</t>
  </si>
  <si>
    <t>12/14收到</t>
  </si>
  <si>
    <t>B版不带电池走货EU通用30L WEEE说明书</t>
  </si>
  <si>
    <t>日期码格式：ZURU INC(BVI) 标准格式 日期：按实际生产日期
Packaging Info:
9543GQ1：MA D版3L+5L警语 EAN收缩膜，MA C版5L+9L警语说明书，B版不带电池走货EU通用30L WEEE说明书，MA C版3L PDQ
Remark: 1.此单出瑞士，走整柜。
2.出口欧洲，微塑料需符合法规；化学品无硼无香；电池符合欧洲法规要求(如有)。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5.STD配比</t>
  </si>
  <si>
    <t>Nicole Ye</t>
  </si>
  <si>
    <t>A97583-1.20</t>
  </si>
  <si>
    <t>MULTIHEXA SDN BHD</t>
  </si>
  <si>
    <t>马来西亚</t>
  </si>
  <si>
    <t>4500188846-150</t>
  </si>
  <si>
    <t>12/22收到</t>
  </si>
  <si>
    <t>12/22-进口商贴纸</t>
  </si>
  <si>
    <t>日期码格式：ZURU INC(BVI) 标准格式 日期：按实际生产日期
Packaging Info: MA UPC包装(优先1L)+进口商贴纸,Fuggler的items需mother UPC barcode 信息,会跟进口商贴纸做在一起
贴纸图稿及位置图翻单如下,其他items待提供
Remark: 
9543GQ1-bule/purple/pink/orange =5:6:6:5;</t>
  </si>
  <si>
    <t>A97578-1.20</t>
  </si>
  <si>
    <t>Amazon UK:
7ITEM2NA</t>
  </si>
  <si>
    <t>4500187205-20</t>
  </si>
  <si>
    <t>9543D-S002-MB</t>
  </si>
  <si>
    <t>紫色仓鼠邮包盒</t>
  </si>
  <si>
    <t>1/29-2/2出</t>
  </si>
  <si>
    <t>.空白外箱（加印带Zuru字样的最新logo，除了邮包盒直接做外箱的产品） + SSCC LABEL一张, 无箱唛，MADE IN CHINA 外箱只印一正一侧。</t>
  </si>
  <si>
    <t>WEEE电子产品说明书30L(不带电池走货B版)；+邮包盒贴纸+FR/IT环保标翻4500175025</t>
  </si>
  <si>
    <t>12/16-外箱贴纸</t>
  </si>
  <si>
    <t>日期码格式：ZURU INC(BVI) 标准格式 日期：按实际生产日期
Packaging Info: Amazon UK(9543D)
2.9543D:
---9543D:9543D 24pcs/ctn, no inner, purple; 客版邮包盒(UPC#+英法德意西5L警示语+FR/ES/IT环保标+GPSR邮箱care@zuru.com+新FR&lt;(&gt;&amp;&lt;)&gt;DK地址,参考翻单PO
#4500175025)+1张贴纸(含FR/IT环保标, 参考翻单PO#4500175025)+MA 3L（5L warning EAN#）D收缩膜+MA 5L(9L warning) C 说明书+WEEE电子产品说明书30L(不带
电池走货B版)；
3.最晚验货不得晚于2026/1/20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9.无论是工厂自检还是ZURU验货，验货报告中必须有产品6面图(正面/背面/左面/右面/顶部/底部，不带包装);</t>
  </si>
  <si>
    <t>4500187205-30</t>
  </si>
  <si>
    <t>WEEE电子产品说明书30L(不带电池走货B版)；+邮包盒贴纸)+FR/IT环保标翻4500175025</t>
  </si>
  <si>
    <t>日期码格式：ZURU INC(BVI) 标准格式 日期：按实际生产日期
Packaging Info: Amazon UK(9543B)
1. 77555:1pc/mailbox, 24mailboxes/CTN; MA 3L (5L WARNING, EAN#) B收缩膜+MA 5L (23L warning) B 收藏指南+MA 其他最新配套包装+客版邮包盒(参考翻单PO
#4500180750)；
2.9543BD:
---9543B:9543B 24pcs/ctn, no inner, pink; 客版邮包盒(UPC#+英法德意西5L警示语+FR/ES/IT环保标+GPSR邮箱care@zuru.com+新FR&lt;(&gt;&amp;&lt;)&gt;DK地址,参考翻单PO#4
500175025)+1张贴纸(含FR/IT环保标, 参考翻单PO#4500175025)+MA 3L（5L warning EAN#）D收缩膜+MA 5L(9L warning) C 说明书+WEEE电子产品说明书30L(不带电
池走货B版)；；
---9543D:9543D 24pcs/ctn, no inner, purple; 客版邮包盒(UPC#+英法德意西5L警示语+FR/ES/IT环保标+GPSR邮箱care@zuru.com+新FR&lt;(&gt;&amp;&lt;)&gt;DK地址,参考翻单PO
#4500175025)+1张贴纸(含FR/IT环保标, 参考翻单PO#4500175025)+MA 3L（5L warning EAN#）D收缩膜+MA 5L(9L warning) C 说明书+WEEE电子产品说明书30L(不带
电池走货B版)；
3.最晚验货不得晚于2026/1/20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9.无论是工厂自检还是ZURU验货，验货报告中必须有产品6面图(正面/背面/左面/右面/顶部/底部，不带包装);</t>
  </si>
  <si>
    <t>Amazon FR:
7HQY3TCI</t>
  </si>
  <si>
    <t>4500187205-40</t>
  </si>
  <si>
    <t>日期码格式：ZURU INC(BVI) 标准格式 日期：按实际生产日期
Packaging Info: Amazon FR(9543D)
2.9543D:
---9543D:9543D 24pcs/ctn, no inner, purple; 客版邮包盒(UPC#+英法德意西5L警示语+FR/ES/IT环保标+GPSR邮箱care@zuru.com+新FR&lt;(&gt;&amp;&lt;)&gt;DK地址,参考翻单PO
#4500175025)+1张贴纸(含FR/IT环保标, 参考翻单PO#4500175025)+MA 3L（5L warning EAN#）D收缩膜+MA 5L(9L warning) C 说明书+WEEE电子产品说明书30L(不带
电池走货B版)；
3.最晚验货不得晚于2026/1/20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9.无论是工厂自检还是ZURU验货，验货报告中必须有产品6面图(正面/背面/左面/右面/顶部/底部，不带包装);</t>
  </si>
  <si>
    <t>Amazon DE:
5DN2QYFN</t>
  </si>
  <si>
    <t>4500187205-50</t>
  </si>
  <si>
    <t>1/28-2/1出</t>
  </si>
  <si>
    <t>日期码格式：ZURU INC(BVI) 标准格式 日期：按实际生产日期
Packaging Info: Amazon UK(77755/9543BD)/FR(9543D)/DE(9543D)/IT(9543D)
2.9543BD:
---9543B:9543B 24pcs/ctn, no inner, pink; 客版邮包盒(UPC#+英法德意西5L警示语+FR/ES/IT环保标+GPSR邮箱care@zuru.com+新FR&lt;(&gt;&amp;&lt;)&gt;DK地址,参考翻单PO#4
500175025)+1张贴纸(含FR/IT环保标, 参考翻单PO#4500175025)+MA 3L（5L warning EAN#）D收缩膜+MA 5L(9L warning) C 说明书+WEEE电子产品说明书30L(不带电
池走货B版)；；
3.最晚验货不得晚于2026/1/20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9.无论是工厂自检还是ZURU验货，验货报告中必须有产品6面图(正面/背面/左面/右面/顶部/底部，不带包装);</t>
  </si>
  <si>
    <t>Amazon IT:
8PF14G1R</t>
  </si>
  <si>
    <t>4500187205-60</t>
  </si>
  <si>
    <t>1/30-2/3出</t>
  </si>
  <si>
    <t>日期码格式：ZURU INC(BVI) 标准格式 日期：按实际生产日期
Packaging Info: AmazonIT(9543D)
2.9543D:
---9543D:9543D 24pcs/ctn, no inner, purple; 客版邮包盒(UPC#+英法德意西5L警示语+FR/ES/IT环保标+GPSR邮箱care@zuru.com+新FR&lt;(&gt;&amp;&lt;)&gt;DK地址,参考翻单PO
#4500175025)+1张贴纸(含FR/IT环保标, 参考翻单PO#4500175025)+MA 3L（5L warning EAN#）D收缩膜+MA 5L(9L warning) C 说明书+WEEE电子产品说明书30L(不带
电池走货B版)；
3.最晚验货不得晚于2026/1/20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9.无论是工厂自检还是ZURU验货，验货报告中必须有产品6面图(正面/背面/左面/右面/顶部/底部，不带包装);</t>
  </si>
  <si>
    <t>COL-15-26-SPR</t>
  </si>
  <si>
    <t>4500187640-60</t>
  </si>
  <si>
    <t>12/19-进口商贴纸+UPC贴纸</t>
  </si>
  <si>
    <t>指定日期码：DG20260120</t>
  </si>
  <si>
    <t>日期码格式：DG20260120 日期：按实际生产日期
Packaging Info: 其余item：MA 多语包装+进口商贴纸+UPC贴纸+箱唛
Remark: 外箱/产品/包装-指定日期码：DG20260120</t>
  </si>
  <si>
    <t>W0750693</t>
  </si>
  <si>
    <t>4500188454-40</t>
  </si>
  <si>
    <t>2/5出</t>
  </si>
  <si>
    <t>12/17收到</t>
  </si>
  <si>
    <t>12/17-价格贴纸+外箱贴纸</t>
  </si>
  <si>
    <t>4500189190-40</t>
  </si>
  <si>
    <t>2/2出</t>
  </si>
  <si>
    <t>进口商贴纸翻4500170216+WEEE不带电池走货欧洲30语通用黑白说明书 B版</t>
  </si>
  <si>
    <t>日期码格式：ZURU INC(BVI) 标准格式 日期：按实际生产日期
Packaging Info: 
9543GQ1: MA E版1L收缩膜+进口商贴纸(翻单4500170216); MA C版1L PDQ
Remark: 1、若产品有比例使用ZURU STD 比例
2、所有item 均用MA UPC 条码，若包装不是UPC 条码的请告知
3、此单出欧洲需满足EU测试标准要求，另外不能出闪粉（若产品本身不含闪粉则忽略这句话）
9543GQ1: 2PCS AAA BATTERIES(NOT INCLUDED); 加WEEE不带电池走货欧洲30语通用黑白说明书 B版</t>
  </si>
  <si>
    <t>KAUFHAUS MARTIN STOLZ GMBH</t>
  </si>
  <si>
    <t>26-129</t>
  </si>
  <si>
    <t>4500189626-30</t>
  </si>
  <si>
    <t>2/4出</t>
  </si>
  <si>
    <t>1/13-客供价格贴纸</t>
  </si>
  <si>
    <t>日期码格式：ZURU INC(BVI) 标准格式 日期：按实际生产日期
Packaging Info:
此单有客供价格贴纸，预计1/5前提供
9543GQ1：MA D版3L+5L警语 EAN收缩膜，MA C版5L+9L警语说明书，B版不带电池走货EU通用30L WEEE说明书，MA C版3L PDQ
Remark: 1.此单出德国，需要满足Zuru Standard欧洲标准测试要求；微塑料需符合法规；化学品无硼无香；电池符合欧洲法规要求(如有)。所有包装警语部分需含德语警语
。
2.请准时完货，推期会有罚款。请验货后马上上传验货报告和图片，需提供ZURU标准验货报告和验货图片给客人确认后才可以安排出货。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5.大货样品一套
6.STD配比</t>
  </si>
  <si>
    <t>4500187736-20</t>
  </si>
  <si>
    <t>12/4收到</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</si>
  <si>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
6.所有产品和包装须符合华盛顿州及俄勒冈州HPCCCH测试要求。</t>
  </si>
  <si>
    <t>4500188307-90</t>
  </si>
  <si>
    <t xml:space="preserve">日期码格式：ZURU INC(BVI) 标准格式 日期：按实际生产日期
Packaging Info: 1.请确保包装上的条形码是UPC，如果是babyUPC，需要用mother UPC覆盖，如有不一致，请及时提出。谢谢!
2. 包材请按照ZURU MA 生产 +语言必须含有西语+箱唛
3. 如果是EAN条码请用UPC 贴纸覆盖
Remark: </t>
  </si>
  <si>
    <t>4500190234-100</t>
  </si>
  <si>
    <t>日期码格式：ZURU INC(BVI) 标准格式 日期：按实际生产日期
Packaging Info: 1.优先多语 MA UPC或者3L/5L MA EAN 包装
2.请确保包装上的条形码是UPC，如果是babyUPC、需要用mother UPC覆盖，如有不一致，请及时提出。谢谢!
Remark: 
9543GQ1：bule/purple/pink/orange =5:6:6:5</t>
  </si>
  <si>
    <t>4500189126-20</t>
  </si>
  <si>
    <t>2/6出</t>
  </si>
  <si>
    <t>baby EAN贴纸翻4500173920+多语折叠警告语贴纸翻4500173920）+*5L(PL+HU+CZ+SK+RO)说明书翻单4500176308+ B版 WEEE 30L不带电池走货说明书翻4500173920</t>
  </si>
  <si>
    <t>日期码格式：ZURU INC(BVI) 标准格式 日期：按实际生产日期
Packaging Info: 
9543GQ1：最新MA 3L PDQ +最新MA 3L+9L警语 UPC 收缩膜 +1*baby EAN贴纸（翻单4500173920）+1*多语折叠警告语贴纸（翻单4500173920） + MA 5L+9LWarning
说明书+1*5L(PL+HU+CZ+SK+RO)说明书（翻单4500176308）+ 1张B版 WEEE 30L不带电池走货说明书（翻单4500173920）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France.；(地址需与包装上的地址一致）
7.所有出往波兰订单的电子产品需增加一张欧洲通用WEEE声明说明书，区分带电池和不带电池版本, 如已做客版说明书可忽略此要求。
8.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</si>
  <si>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4500189430-20</t>
  </si>
  <si>
    <t>2/3出</t>
  </si>
  <si>
    <t>12/29收到</t>
  </si>
  <si>
    <t>1/6-进口商贴纸+ QR code (一物一码)</t>
  </si>
  <si>
    <t>日期码格式：ZURU INC(BVI) 标准格式 日期：按实际生产日期
Packaging Info:
9543GQ1 ： 1L MA UPC 收缩膜+ 进口商贴纸+ QR code (一物一码) ，MA说明书/PDQ ；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t>
  </si>
  <si>
    <t>ANSALDO CHILE</t>
  </si>
  <si>
    <t>2026-HKC066</t>
  </si>
  <si>
    <t>4500189773-50</t>
  </si>
  <si>
    <t>3/6出</t>
  </si>
  <si>
    <t>1/4收到</t>
  </si>
  <si>
    <t>1/13-进口商贴纸+UPC贴纸</t>
  </si>
  <si>
    <t>日期码格式：ZURU INC(BVI) 标准格式 日期：按实际生产日期
Packaging Info: MA 多语包装+进口商贴纸+UPC贴纸+箱唛
Remark:</t>
  </si>
  <si>
    <t>BEZUR2601</t>
  </si>
  <si>
    <t>4500190188-10</t>
  </si>
  <si>
    <t>客版邮包盒(翻单: 4500179516)</t>
  </si>
  <si>
    <t>12/30-EAN 条码贴纸+警告语贴纸+WEEE 不带电池走货 B版通用30L 说明书</t>
  </si>
  <si>
    <t>日期码格式：ZURU INC(BVI) 标准格式 日期：按实际生产日期
Packaging Info: 9543：客版邮包盒(翻单: 4500179516)+EAN 条码贴纸 +MAD_3L+5L警告语 EAN 收缩膜+警告语贴纸+MA5L+9L Warning_C 说明书+WEEE 不带电池走货 B版通用30L 说
明书
9543B: 4894680038134
9543D: 4894680038141
9543E: 4894680038158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4. 此单需要在CRD前一天预约ZURU QC验货,验货ok才能出货
5. 需准时完成生产，推期出货会有罚款。"</t>
  </si>
  <si>
    <t>4500190188-20</t>
  </si>
  <si>
    <t>4500190188-30</t>
  </si>
  <si>
    <t>4500187897-30</t>
  </si>
  <si>
    <t>12/15-客供价格贴纸+WEEE带电池走货欧洲30语通用黑白说明书</t>
  </si>
  <si>
    <t>日期码格式：ZURU INC(BVI) 标准格式 日期：按实际生产日期
Packaging Info:
9543TQ2:MA 3L(5L warning)最新UPC包装+一张客供价格贴纸+WEEE带电池走货欧洲30语通用黑白说明书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</si>
  <si>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Meyya Liu</t>
  </si>
  <si>
    <t>4500187795-30</t>
  </si>
  <si>
    <t>日期码格式：ZURU INC(BVI) 标准格式 日期：按实际生产日期
Packaging Info: 
9543TQ2-S001:MA 3L(5L warning)最新UPC包装+一张客供价格贴纸+WEEE带电池走货欧洲30语通用黑白说明书+一张警告语贴纸（波兰语&lt;(&gt;&amp;&lt;)&gt;荷兰语）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</si>
  <si>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IVI-1226PM</t>
  </si>
  <si>
    <t>4500190407-10</t>
  </si>
  <si>
    <t>1/9-说明书</t>
  </si>
  <si>
    <t>1/8收到</t>
  </si>
  <si>
    <t>1/9-韩语贴纸（新稿）</t>
  </si>
  <si>
    <t>日期码格式：ZURU INC(BVI) 标准格式 日期：按实际生产日期
Packaging Info: 9543GQ1: MA 1L PKG+韩语贴纸（新稿）+ MA PDQ 优先1L+客版说明书 （新稿), 箱唛翻单4500133472
Remark: 由于韩国法律法规要求，吸塑需PET材质, 产品需符合韩国KC测试标准。
With 1PCS demo(130g)/PDQ
Integral single ratio=bule/purple/pink/orange =5:6:6:5;</t>
  </si>
  <si>
    <t>7WVIFO2I</t>
  </si>
  <si>
    <t>4500190063-200</t>
  </si>
  <si>
    <t>3/1出</t>
  </si>
  <si>
    <t>1/27-外箱贴纸</t>
  </si>
  <si>
    <t>日期码格式：ZURU INC(BVI) 标准格式 日期：按实际生产日期
Packaging Info:
#9543: MA 3L 加UPC贴纸， UPC贴纸跟翻单4500098824。A:193052051776, B:193052051783, D:193052051790; 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</si>
  <si>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8K7S21GN</t>
  </si>
  <si>
    <t>4500190063-210</t>
  </si>
  <si>
    <t>3A1H7UJW</t>
  </si>
  <si>
    <t>4500190063-220</t>
  </si>
  <si>
    <t>4JPCTK3T</t>
  </si>
  <si>
    <t>4500190063-230</t>
  </si>
  <si>
    <t>1QFVV6JX</t>
  </si>
  <si>
    <t>4500190063-240</t>
  </si>
  <si>
    <t>47DH3XVB</t>
  </si>
  <si>
    <t>4500190063-250</t>
  </si>
  <si>
    <t>7V77ANHT</t>
  </si>
  <si>
    <t>4500190063-260</t>
  </si>
  <si>
    <t>289BEFFN</t>
  </si>
  <si>
    <t>4500190063-270</t>
  </si>
  <si>
    <t>59WIJUVX</t>
  </si>
  <si>
    <t>4500190063-280</t>
  </si>
  <si>
    <t>4500186630-40</t>
  </si>
  <si>
    <t>1/15-客供价格贴纸</t>
  </si>
  <si>
    <t>Blanche</t>
  </si>
  <si>
    <t>AMAZON EU SARL, NDL DEUTSCHLAND</t>
  </si>
  <si>
    <t>7UPKSA3M</t>
  </si>
  <si>
    <t>4500190053-40</t>
  </si>
  <si>
    <t>客版邮包盒(UPC#+英法德意西5L警示语+ES环保标+GPSR邮箱care@zuru.com，翻单PO#4500175025)</t>
  </si>
  <si>
    <t>.空白外箱（加印带Zuru字样的最新logo，除了邮包盒直接做外箱的产品）</t>
  </si>
  <si>
    <t>FR/IT 环保标翻4500175025+WEEE电子产品说明书30L(不带电池走货B版)；</t>
  </si>
  <si>
    <t>1/19-外箱贴纸</t>
  </si>
  <si>
    <t>日期码格式：ZURU INC(BVI) 标准格式 日期：按实际生产日期
Packaging Info: Amazon DE（9543B）-7UPKSA3M
4. 9543B:9543B 24pcs/ctn, no inner, pink; 客版邮包盒(UPC#+英法德意西5L警示语+ES环保标+GPSR邮箱care@zuru.com，参考翻单PO#4500175025)+2张贴纸（1张
FR/IT 环保标，参考翻单4500175025；1张洗涤说明西班牙语，参考翻单PO#4500179692，只出ES需要）+MA 3L（5L warning EAN#）D收缩膜+MA 5L(9L warning) C
说明书+WEEE电子产品说明书30L(不带电池走货B版)；
最迟验货不得晚于2025/2/27;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</si>
  <si>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7UL867XI</t>
  </si>
  <si>
    <t>4500190053-50</t>
  </si>
  <si>
    <t>FR/IT 环保标翻4500175025+洗涤说明西班牙语翻PO#4500179692，只出ES需要+WEEE电子产品说明书30L(不带电池走货B版)；</t>
  </si>
  <si>
    <t>日期码格式：ZURU INC(BVI) 标准格式 日期：按实际生产日期
Packaging Info
Amazon ES（9543B）-7UL867XI
4. 9543B:9543B 24pcs/ctn, no inner, pink; 客版邮包盒(UPC#+英法德意西5L警示语+ES环保标+GPSR邮箱care@zuru.com，参考翻单PO#4500175025)+2张贴纸（1张
FR/IT 环保标，参考翻单4500175025；1张洗涤说明西班牙语，参考翻单PO#4500179692，只出ES需要）+MA 3L（5L warning EAN#）D收缩膜+MA 5L(9L warning) C
说明书+WEEE电子产品说明书30L(不带电池走货B版)；
最迟验货不得晚于2025/2/27;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</si>
  <si>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6WGJAVRA</t>
  </si>
  <si>
    <t>4500190053-60</t>
  </si>
  <si>
    <t>3/11-3/15出</t>
  </si>
  <si>
    <t>日期码格式：ZURU INC(BVI) 标准格式 日期：按实际生产日期
Packaging Info: 
Amazon UK（9543B）-6WGJAVRA
4. 9543B:9543B 24pcs/ctn, no inner, pink; 客版邮包盒(UPC#+英法德意西5L警示语+ES环保标+GPSR邮箱care@zuru.com，参考翻单PO#4500175025)+2张贴纸（1张
FR/IT 环保标，参考翻单4500175025；1张洗涤说明西班牙语，参考翻单PO#4500179692，只出ES需要）+MA 3L（5L warning EAN#）D收缩膜+MA 5L(9L warning) C
说明书+WEEE电子产品说明书30L(不带电池走货B版)；
最迟验货不得晚于2025/2/27;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</si>
  <si>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2OXDNY7V</t>
  </si>
  <si>
    <t>4500190053-80</t>
  </si>
  <si>
    <t>日期码格式：ZURU INC(BVI) 标准格式 日期：按实际生产日期
Packaging Info:
Amazon IT（77555/9543B）-2OXDNY7V
4. 9543B:9543B 24pcs/ctn, no inner, pink; 客版邮包盒(UPC#+英法德意西5L警示语+ES环保标+GPSR邮箱care@zuru.com，参考翻单PO#4500175025)+2张贴纸（1张
FR/IT 环保标，参考翻单4500175025；1张洗涤说明西班牙语，参考翻单PO#4500179692，只出ES需要）+MA 3L（5L warning EAN#）D收缩膜+MA 5L(9L warning) C
说明书+WEEE电子产品说明书30L(不带电池走货B版)；
最迟验货不得晚于2025/2/27;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</si>
  <si>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4AR9EHXM</t>
  </si>
  <si>
    <t>4500190053-90</t>
  </si>
  <si>
    <t>3/9-3/13出</t>
  </si>
  <si>
    <t>日期码格式：ZURU INC(BVI) 标准格式 日期：按实际生产日期
Packaging Info:
Amazon FR（9543B）-4AR9EHXM
4. 9543B:9543B 24pcs/ctn, no inner, pink; 客版邮包盒(UPC#+英法德意西5L警示语+ES环保标+GPSR邮箱care@zuru.com，参考翻单PO#4500175025)+2张贴纸（1张
FR/IT 环保标，参考翻单4500175025；1张洗涤说明西班牙语，参考翻单PO#4500179692，只出ES需要）+MA 3L（5L warning EAN#）D收缩膜+MA 5L(9L warning) C
说明书+WEEE电子产品说明书30L(不带电池走货B版)；
最迟验货不得晚于2025/2/27;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</si>
  <si>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4500184740-50</t>
  </si>
  <si>
    <t>3/4第三方</t>
  </si>
  <si>
    <t>3/13出</t>
  </si>
  <si>
    <t>12/26-
外箱上下需加保护卡，</t>
  </si>
  <si>
    <t>EAN条码贴纸翻4500116318+德语callout贴纸翻4500122326)+欧洲通用30L B版WEEE说明书(不带电池)</t>
  </si>
  <si>
    <t>日期码格式：ZURU INC(BVI) 标准格式 日期：按实际生产日期
9543: 最新MA 1L+9L收缩膜+EAN条码贴纸(翻单4500116318)+德语callout贴纸(翻单4500122326)+ 5L+9L说明书+欧洲通用30L B版WEEE说明书(不带电池)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</si>
  <si>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999-62159</t>
  </si>
  <si>
    <t>4500189742-70</t>
  </si>
  <si>
    <t>客户减少数量700pcs</t>
  </si>
  <si>
    <t>3/16出</t>
  </si>
  <si>
    <t>1/7收到</t>
  </si>
  <si>
    <t>四国语言警告语贴纸+说明书贴纸翻4500186548</t>
  </si>
  <si>
    <t>日期码格式：ZURU INC(BVI) 标准格式 日期：按实际生产日期
Packaging Info: 
9543GQ3：最新MA 1L UPC版本包装+1 张四国语言警告语贴纸( Czech-Hugarian-Polish-Slovak) +最新MA 5L说明书+一张说明书贴纸+MA 1L PDQ；
此单贴纸资料都翻4500186548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t>
  </si>
  <si>
    <t>6ZIMPTXD</t>
  </si>
  <si>
    <t>4500184806-30</t>
  </si>
  <si>
    <t>日期码格式：ZURU INC(BVI) 标准格式 日期：按实际生产日期
Packaging Info:
#9543：MA 1L 加UPC贴纸，UPC贴纸跟翻单4500178034。A:193052051776，B:193052051783。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</si>
  <si>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Amazon DE：
2UKFWG5A</t>
  </si>
  <si>
    <t>4500189251-10</t>
  </si>
  <si>
    <t xml:space="preserve"> 客版邮包盒翻4500175025</t>
  </si>
  <si>
    <t>3/16-3/20出</t>
  </si>
  <si>
    <t>日期码格式：ZURU INC(BVI) 标准格式 日期：按实际生产日期
Packaging Info: Amazon UK(9548)/DE(9543D)
1. 9548: MAMA DUCK, 1pc/window box, 4windowboxes/ctn; MA 5L(23L warning EAN# 新FR/DK地址 )E 开窗彩盒+MA 5L(9L warning) D收藏指南+MA 其他最新配
套包装+2张贴纸(1张UPC#+1张IT环保标, 参考翻单PO#4500169077)+WEEE电子产品说明书30L(不带电池走货B版)；
2. 9543D: 9543D 24pcs/ctn, no inner, purple; 客版邮包盒(UPC#+英法德意西5L警示语+FR/ES/IT环保标+GPSR邮箱care@zuru.com+新FR/DK地址，参考翻单PO#450
0175025)+MA 3L（9L warning EAN# 新FR/DK地址）D收缩膜+MA 5L(9L warning)C说明书+WEEE电子产品说明书30L(不带电池走货B版)；
3. 验货时间不迟于2026/3/6.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</si>
  <si>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6FMLGWDU</t>
  </si>
  <si>
    <t>4500184897-110</t>
  </si>
  <si>
    <t>3/12出</t>
  </si>
  <si>
    <t>1/30-外箱贴纸</t>
  </si>
  <si>
    <t>695VGTBV</t>
  </si>
  <si>
    <t>4500184902-50</t>
  </si>
  <si>
    <t>4500189585-80</t>
  </si>
  <si>
    <t>警语贴纸翻4500162375+WEEE 30L B 不带电池说明书</t>
  </si>
  <si>
    <t>日期码格式：ZURU INC(BVI) 标准格式 日期：按实际生产日期
Packaging Info: 
9543GQ1: MA EAN 3L+ 警语贴纸（翻单4500162375）+MA 5L+9L C 说明书+WEEE 30L B 不带电池说明书
Remark: 1. 产品配比：
9543GQ1: Integral single ratio=bule/purple/pink/orange =5:6:6:5;
2. 产品和包装要求无硼无香，包装不能含有PVC
3. 如有微塑料，必须合规欧洲标准，并增加微塑料合规IFUD声明在说明书上
4. 带电池出货的产品，所用到的电池需要符合欧洲电池新规(EU)2023-1542，并增加对应WEEE 说明书</t>
  </si>
  <si>
    <t>W0754362</t>
  </si>
  <si>
    <t>4500190546-10</t>
  </si>
  <si>
    <t>1/8-贴价格贴纸+外箱 贴纸</t>
  </si>
  <si>
    <t>日期码格式：ZURU INC(BVI) 标准格式 日期：按实际生产日期
Packaging Info: 1. MA 优先1L UPC版包装,需要加贴价格贴纸,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</si>
  <si>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2MLDUOQX</t>
  </si>
  <si>
    <t>4500191206-60</t>
  </si>
  <si>
    <t>3/13-3/19出</t>
  </si>
  <si>
    <t>1/13收到</t>
  </si>
  <si>
    <t>日期码格式：ZURU INC(BVI) 标准格式 日期：按实际生产日期
Packaging Info: 出口加拿大，包装需要至少2/3L UPC版，无硼版本。
#9543: MA 3L 加UPC贴纸， UPC贴纸跟翻单4500098824。A:193052051776, B:193052051783, D:193052051790; 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</si>
  <si>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2P2SIRMP</t>
  </si>
  <si>
    <t>4500191206-70</t>
  </si>
  <si>
    <t>8MQD1MLA</t>
  </si>
  <si>
    <t>4500191206-80</t>
  </si>
  <si>
    <t>6BJQHIVW</t>
  </si>
  <si>
    <t>4500191206-90</t>
  </si>
  <si>
    <t>296XTG4Q</t>
  </si>
  <si>
    <t>4500191206-100</t>
  </si>
  <si>
    <t>1D3H34HU</t>
  </si>
  <si>
    <t>4500191206-110</t>
  </si>
  <si>
    <t>32VKULTN</t>
  </si>
  <si>
    <t>4500191206-120</t>
  </si>
  <si>
    <t>8JSPRNYF</t>
  </si>
  <si>
    <t>4500191206-130</t>
  </si>
  <si>
    <t>3PP9DI1R</t>
  </si>
  <si>
    <t>4500191206-140</t>
  </si>
  <si>
    <t>6H41AUGP</t>
  </si>
  <si>
    <t>4500191206-150</t>
  </si>
  <si>
    <t>2MW5ZH7A</t>
  </si>
  <si>
    <t>4500191206-160</t>
  </si>
  <si>
    <t>2MQTBS1X</t>
  </si>
  <si>
    <t>4500191206-170</t>
  </si>
  <si>
    <t>8B6KT3PL</t>
  </si>
  <si>
    <t>4500191206-180</t>
  </si>
  <si>
    <t>ARCHIBRAND, S.A. DE C.V.</t>
  </si>
  <si>
    <t>4500191234-160</t>
  </si>
  <si>
    <t>1/20-baby UPC条码贴纸+进口商贴纸</t>
  </si>
  <si>
    <t>日期码格式：ZURU INC(BVI) 标准格式 日期：按实际生产日期
Packaging Info:
9. 9543B：MA 3L包装+baby UPC条码贴纸+进口商贴纸+保证书+箱唛
9543B：2PCS AAA BATTERIES(NOT INCLUDED)</t>
  </si>
  <si>
    <t>4500191234-170</t>
  </si>
  <si>
    <t>日期码格式：ZURU INC(BVI) 标准格式 日期：按实际生产日期
Packaging Info: 
9. 9543E：MA 3L包装+baby UPC条码贴纸+进口商贴纸+保证书+箱唛
Remark: 
9543E：2PCS AAA BATTERIES(NOT INCLUDED)</t>
  </si>
  <si>
    <t>4500190821-10</t>
  </si>
  <si>
    <t>WIC 贴纸 翻45001302+PDQ折页翻4500099653</t>
  </si>
  <si>
    <t>日期码格式：ZURU INC(BVI) 标准格式 日期：03-17-2026
Packaging Info: MA 1L 包装 + WIC 贴纸（WIC # 280432 参考4500130295） + 客版PDQ(翻单4500130295) + PDQ折页 （翻单PO 4500099653，PDQ折页放在PDQ的正上方，开箱即可
看到）
Remark: 产品和包装上面要有zuru标准格式的tracking code DG20260317</t>
  </si>
  <si>
    <t>4500190821-20</t>
  </si>
  <si>
    <t>4500190821-30</t>
  </si>
  <si>
    <t>4500190821-40</t>
  </si>
  <si>
    <t>4500190821-50</t>
  </si>
  <si>
    <t>4500190821-60</t>
  </si>
  <si>
    <t>4500190821-70</t>
  </si>
  <si>
    <t>4 KIDZ SP Z O.O.</t>
  </si>
  <si>
    <t>波兰</t>
  </si>
  <si>
    <t>4500191714-10</t>
  </si>
  <si>
    <t>2/3-客户进口商贴纸+欧洲通用30L WEEE_不带电池走货声明书</t>
  </si>
  <si>
    <t>日期码格式：ZURU INC(BVI) 标准格式 日期：按实际生产日期
Packaging Info: 1.9543GQ1:MA 1L UPC 收缩膜+1张客户进口商贴纸+MA 5L-9L C 版产品说明书+1张欧洲通用30L WEEE_不带电池走货声明书+MA1L PDQ
Remark: 1. 请备多1套大货样品；
2. 此票大货需符合EU市场法规；
3. 此票使用UPC条码;</t>
  </si>
  <si>
    <t>Carrefour SS 2026</t>
  </si>
  <si>
    <t>4500191674-20</t>
  </si>
  <si>
    <t>1/27收到</t>
  </si>
  <si>
    <t>2/3-进口商贴纸+欧洲通用30LWEEE声明(不带电池版)</t>
  </si>
  <si>
    <t>日期码格式：ZURU INC(BVI) 标准格式 日期：按实际生产日期
Packaging Info:
2.9543GQ1:MA1 UPC收缩膜+1张进口商贴纸+MA5L说明书+1张欧洲通用30LWEEE声明(不带电池版)+MAPDQ
Remark: 1. 请备多1套大货样品；
2. 此票大货需符合EU市场法规；
3. 此票使用UPC条码，assortment产品用baby条码；</t>
  </si>
  <si>
    <t>4ECUDIIU</t>
  </si>
  <si>
    <t>4500193346-20</t>
  </si>
  <si>
    <t>日期码格式：ZURU INC(BVI) 标准格式 日期：按实际生产日期
Packaging Info: 
#9543: MA 加UPC贴纸， UPC贴纸跟翻单4500098824。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</si>
  <si>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34D1D5UU</t>
  </si>
  <si>
    <t>4500193346-30</t>
  </si>
  <si>
    <t>4500192711-90</t>
  </si>
  <si>
    <t>2/4收到客办说明书</t>
  </si>
  <si>
    <t>4/13出</t>
  </si>
  <si>
    <t>2/6-警告语贴纸</t>
  </si>
  <si>
    <t>日期码格式：ZURU INC(BVI) 标准格式 日期：按实际生产日期
Packaging Info:
9.9543GQ1:MA D_3L+5L EAN版收缩膜+警告语/MADE IN CHINA/产品包含信息全部信息翻译成丹麦瑞典芬兰挪威爱沙尼亚语做成一张贴纸贴在收缩膜上+客版C6L 版说
明书(英语丹麦瑞典芬兰挪威爱沙尼亚语言/WEEE信息直接印刷在说明书上)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
7.产品条码如下: 请先检查条码是否正确再安排做货，如有问题请告知
ZURU ITEM#&lt;(&gt;&amp;&lt;)&gt;EAN
9543GQ1-S002:4894680026995</t>
  </si>
  <si>
    <t>4500193317-30</t>
  </si>
  <si>
    <t>消耗4500189510，纸箱和PDQ,产品重新安排一批</t>
  </si>
  <si>
    <t>4/30出</t>
  </si>
  <si>
    <t>消耗4500189510纸箱</t>
  </si>
  <si>
    <t>进口商贴纸翻4500162345+PDQ进口商贴纸翻4500162345</t>
  </si>
  <si>
    <t>日期码格式：ZURU INC(BVI) 标准格式 日期：按实际生产日期
Packaging Info:
9543GQ1: 1. MA 收缩膜+进口商贴纸 (含G Mark, QR code, 阿拉伯警语)(贴纸翻单4500162345); 贴纸上的QR code需微信可扫，扫描结果另外通知; UPC条码显示1
93052050328; MA PDQ+进口商贴纸(贴纸翻单4500162345)；产品年龄3+;
2. bule/purple/pink/orange =5:6:6:5，
3. 客人箱唛排版，印4面，条码内容193052050328；
所有包装需要不含希伯来语/Hebrew/(He) 语言
外箱消耗取消订单PO4500189510的库存</t>
  </si>
  <si>
    <t>4500193110-10</t>
  </si>
  <si>
    <t>2/5收到</t>
  </si>
  <si>
    <t>WIC 贴纸翻4500130295 PDQ折页翻4500099653</t>
  </si>
  <si>
    <t>日期码格式：ZURU INC(BVI) 标准格式 日期：04-07-2026
Packaging Info: 9543GQ4：MA 1L 包装 + WIC 贴纸（WIC # 280432 参考4500130295） + 客版PDQ(翻单4500130295) + PDQ折页 （翻单PO 4500099653，PDQ折页放在PDQ的正上方，
开箱即可看到）
Remark: 产品和包装上面要有zuru标准格式的tracking code DG20260407
Order</t>
  </si>
  <si>
    <t>4500193110-20</t>
  </si>
  <si>
    <t>4500193110-30</t>
  </si>
  <si>
    <t>4500193110-40</t>
  </si>
  <si>
    <t>4500193110-60</t>
  </si>
  <si>
    <t>4500193110-70</t>
  </si>
  <si>
    <t>4500193110-80</t>
  </si>
  <si>
    <t>4500193110-90</t>
  </si>
  <si>
    <t>4500193110-100</t>
  </si>
  <si>
    <t>4500194251-20</t>
  </si>
  <si>
    <t>2/27收到</t>
  </si>
  <si>
    <t>3/9-进口商贴纸+ 2/27-QR code (一物一码)</t>
  </si>
  <si>
    <t>日期码格式：ZURU INC(BVI) 标准格式 日期：按实际生产日期
Packaging Info: MA UPC 收缩膜或者彩卡+ 进口商贴纸+ QR code (一物一码) ，MA 说明书/指南（如有） ；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</si>
  <si>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4500195521-50</t>
  </si>
  <si>
    <t>4/23出</t>
  </si>
  <si>
    <t>3/12收到</t>
  </si>
  <si>
    <t>进口商贴纸4500188846</t>
  </si>
  <si>
    <t>日期码格式：ZURU INC(BVI) 标准格式 日期：按实际生产日期
Packaging Info: MA UPC包装(优先1L)+进口商贴纸,Fuggler的items需mother UPC barcode 信息,会跟进口商贴纸做在一起
进口商贴纸图稿及位置图翻单如下,其他items待提供
/9543-4500188846
Remark: 
9543GQ1-bule/purple/pink/orange =5:6:6:5;</t>
  </si>
  <si>
    <t>DISTRUIBUCIONES UNIVERSALES, SA - D</t>
  </si>
  <si>
    <t>4500194168-100</t>
  </si>
  <si>
    <t>4/11出</t>
  </si>
  <si>
    <t>2/25-UPC贴纸</t>
  </si>
  <si>
    <t>日期码格式：ZURU INC(BVI) 标准格式 日期：按实际生产日期
Packaging Info: 
其余item：MA 多语包装+UPC贴纸+箱唛
Remark:</t>
  </si>
  <si>
    <t>2H5P3QYJ</t>
  </si>
  <si>
    <t>4500194885-310</t>
  </si>
  <si>
    <t>4/27出</t>
  </si>
  <si>
    <t>3/2收到</t>
  </si>
  <si>
    <t>日期码格式：ZURU INC(BVI) 标准格式 日期：按实际生产日期
Packaging Info: 出口加拿大，包装需要至少2/3L UPC版，无硼版本.
#9543: MA 3L 加UPC贴纸， UPC贴纸跟翻单4500098824。A:193052051776, B:193052051783, D:193052051790; 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</si>
  <si>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4500193668-90</t>
  </si>
  <si>
    <t>3/11收到</t>
  </si>
  <si>
    <t>8NXMM85V</t>
  </si>
  <si>
    <t>4500195135-200</t>
  </si>
  <si>
    <t>3/18-外箱贴纸</t>
  </si>
  <si>
    <t>7N4PSG9P</t>
  </si>
  <si>
    <t>4500195135-210</t>
  </si>
  <si>
    <t>42EAVLSM</t>
  </si>
  <si>
    <t>4500195135-220</t>
  </si>
  <si>
    <t>1J8TULLN</t>
  </si>
  <si>
    <t>4500195135-230</t>
  </si>
  <si>
    <t>686D2YLX</t>
  </si>
  <si>
    <t>4500195135-240</t>
  </si>
  <si>
    <t>4500195833-80</t>
  </si>
  <si>
    <t>4/22出</t>
  </si>
  <si>
    <t>3/14收到</t>
  </si>
  <si>
    <t>WEEE声明(不带电池)走货欧洲通用29L-C版说明书+通用说明书警示贴纸翻4500186101</t>
  </si>
  <si>
    <t>日期码格式：ZURU INC(BVI) 标准格式 日期：按实际生产日期
Packaging Info:
"9543GQ1: 最新MA 3L PDQ +MA-3L(5L warning)EAN收缩膜+5L(9L Warning)说明书+WEEE声明(不带电池)走货欧洲通用29L-C版说明书+1张通用说明书警示贴纸(按QAAngus
邮件资料,翻PO#4500186101)+1张通用收缩膜警示贴纸(按QA-Angus邮件资料,翻PO#4500186101)
bule/purple/pink/orange =5:6:6:5;
EAN#4894680026995"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</si>
  <si>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W0762195</t>
  </si>
  <si>
    <t>4500194714-20</t>
  </si>
  <si>
    <t>3/9收到</t>
  </si>
  <si>
    <t>3/9-贴价格贴纸+外箱贴纸</t>
  </si>
  <si>
    <t>日期码格式：ZURU INC(BVI) 标准格式 日期：按实际生产日期
Packaging Info: 1. MA 优先1L UPC版本包装,需要加贴价格贴纸,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</si>
  <si>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4500195859-30</t>
  </si>
  <si>
    <t>客办说明书翻4500192711</t>
  </si>
  <si>
    <t>警告语翻4500192711</t>
  </si>
  <si>
    <t>日期码格式：ZURU INC(BVI) 标准格式 日期：按实际生产日期
Packaging Info:
3. 9543GQ1: MA D_3L+5L EAN版收缩膜+警告语/MADE IN CHINA/产品包含信息全部信息翻译成丹麦瑞典芬兰挪威爱沙尼亚语做成一张贴纸贴在收缩膜上(贴纸和位置
图翻PO#4500192711)+客版C6L 版说明书(英语丹麦瑞典芬兰挪威爱沙尼亚语言/WEEE信息直接印刷在说明书上--翻PO#4500192711)
---客版说明书消耗客版MA#1000036508库存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9543GQ1-S002:4894680026995</t>
  </si>
  <si>
    <t>26-1073773JEC</t>
  </si>
  <si>
    <t>4500195950-180</t>
  </si>
  <si>
    <t>6/2出</t>
  </si>
  <si>
    <t>3/18收到</t>
  </si>
  <si>
    <t>4/1-进口商贴纸+UPC贴纸</t>
  </si>
  <si>
    <t>日期码格式：ZURU INC(BVI) 标准格式 日期：按实际生产日期
Packaging Info:
其余item：MA 多语包装+进口商贴纸+UPC贴纸+箱唛
Remark: 1.进口商贴纸内容会显示日期码为：2026-04，包装/产品/外箱可按照ZURU标准日期码，无需跟回进口商贴纸上的日期码。
2.所有item包装上的条码必须是UPC，如果已将进口商贴纸和UPC条码合并到一张，则不需再订购UPC贴纸，仅订购一张进口商贴纸即
可。</t>
  </si>
  <si>
    <t>Grace Zhang</t>
  </si>
  <si>
    <t>26-1073775JUS</t>
  </si>
  <si>
    <t>4500196056-80</t>
  </si>
  <si>
    <t>5/11出</t>
  </si>
  <si>
    <t>CENTRO CUESTA NACIONAL</t>
  </si>
  <si>
    <t>多米尼加共和国</t>
  </si>
  <si>
    <t>26-1073774JDO</t>
  </si>
  <si>
    <t>4500196119-220</t>
  </si>
  <si>
    <t>4500196469-50</t>
  </si>
  <si>
    <t>德语callout/荷兰语警示语贴纸翻4500186101+ 产品贴纸(ZURU FRANCE 新地址)贴纸位参考#4500136411+WEEE声明(不带电池)走货欧洲通用29L-C版说明书+通用说明书警示贴纸翻4500186101)</t>
  </si>
  <si>
    <t>日期码格式：ZURU INC(BVI) 标准格式 日期：按实际生产日期
Packaging Info:
"9543GQ1: 最新MA 3L PDQ +MA-3L(5L warning)收缩膜+1张含德语callout/荷兰语警示语贴纸(翻#4500186101)+ 产品贴纸(ZURU FRANCE 新地址)贴纸位参考#450013
6411&lt;(&gt;,&lt;)&gt;地址信息按通用法国新地址图档 +5L(9L Warning)说明书+WEEE声明(不带电池)走货欧洲通用29L-C版说明书+1张通用说明书警示贴纸(按QA-Angus邮件
资料)+1张通用收缩膜警示贴纸(按QA-Angus邮件资料&lt;(&gt;,&lt;)&gt;翻PO#4500186101)
bule/purple/pink/orange =5:6:6:5;
EAN#4894680026995"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电子产品需增加一张C版WEEE声明29L通用黑白说明书(不接受A版本，翻译有误)，区分带电池和不带电池出货版本, 如已做客版说明书可忽略此要求；如包装备注
上缺少此部分信息，请提醒跟单更新备注。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</si>
  <si>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4500196469-60</t>
  </si>
  <si>
    <t>5/4出</t>
  </si>
  <si>
    <t>6N7FQ4BO</t>
  </si>
  <si>
    <t>4500194506-90</t>
  </si>
  <si>
    <t>外箱正面印ZURU Logo</t>
  </si>
  <si>
    <t>UPC贴纸翻4500169495</t>
  </si>
  <si>
    <t>4/14-外箱贴纸</t>
  </si>
  <si>
    <t>日期码格式：ZURU INC(BVI) 标准格式 日期：按实际生产日期
Packaging Info: 
#9543: MA 加UPC贴纸， UPC贴纸跟翻单4500169495。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</si>
  <si>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6RNXNZ8Y</t>
  </si>
  <si>
    <t>4500194506-120</t>
  </si>
  <si>
    <t>35DTD5IT</t>
  </si>
  <si>
    <t>4500194497-30</t>
  </si>
  <si>
    <t>1O3UKB7B</t>
  </si>
  <si>
    <t>4500194497-110</t>
  </si>
  <si>
    <t>6TD297KT</t>
  </si>
  <si>
    <t>4500194501-10</t>
  </si>
  <si>
    <t>日期码格式：ZURU INC(BVI) 标准格式 日期：按实际生产日期
Packaging Info: #9543: MA 加UPC贴纸， UPC贴纸跟翻单4500169495。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</si>
  <si>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3JF516EX</t>
  </si>
  <si>
    <t>4500194501-80</t>
  </si>
  <si>
    <t>61WMW5EZ</t>
  </si>
  <si>
    <t>4500194511-60</t>
  </si>
  <si>
    <t>56CNVJ3X</t>
  </si>
  <si>
    <t>4500194511-90</t>
  </si>
  <si>
    <t>68ZW6SDE</t>
  </si>
  <si>
    <t>4500194509-30</t>
  </si>
  <si>
    <t>日期码格式：ZURU INC(BVI) 标准格式 日期：按实际生产日期
Packaging Info:
#9543: MA 加UPC贴纸， UPC贴纸跟翻单4500169495。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</si>
  <si>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59A7D3LV</t>
  </si>
  <si>
    <t>4500194509-40</t>
  </si>
  <si>
    <t>4500195843-10</t>
  </si>
  <si>
    <t>WEEE声明(不带电池)走货欧洲通用29L-C版说明书+通用说明书警示贴纸(翻4500186101)</t>
  </si>
  <si>
    <t>日期码格式：ZURU INC(BVI) 标准格式 日期：按实际生产日期
Packaging Info: "9543GQ1: 最新MA 3L PDQ +MA-3L(5L warning)EAN收缩膜+5L(9L Warning)说明书+WEEE声明(不带电池)走货欧洲通用29L-C版说明书+1张通用说明书警示贴纸(按QAAngus
邮件资料,翻PO#4500186101)+1张通用收缩膜警示贴纸(按QA-Angus邮件资料,翻PO#4500186101)
bule/purple/pink/orange =5:6:6:5;
EAN#4894680026995"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</si>
  <si>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order 5145
Bekasovo 2</t>
  </si>
  <si>
    <t>4500193519-10</t>
  </si>
  <si>
    <t>3/8收到</t>
  </si>
  <si>
    <t>4/3-进口商贴纸+ EAN条码贴纸+QR code 贴纸</t>
  </si>
  <si>
    <t>日期码格式：外包装/外箱不要打ZURU标准日期 日期：
Packaging Info: 9543 ： 1L MA UPC 包装+进口商贴纸+ EAN条码贴纸+QR code 贴纸 （一物一码）， MA 指南/说明书（如有）；
15731：MA 彩卡 + 进口商贴纸(含EAN条码）+QR code 贴纸 （一物一码）
15714：MA 彩卡 + 进口商贴纸(含EAN条码）+QR code 贴纸 （一物一码）
Remark: 客户DM订单注意事项:
1. 标准配比
2. 请按期完货， 会有罚金。
3. 出2 个仓库-Bekasovo 2 &lt;(&gt;&amp;&lt;)&gt; Ural
4. 外包装(指:收缩膜/彩卡/铝箔袋/挂卡/PDQ)/外箱不要打ZURU标准日期码!胶件可以打日期码。
5. 零售包装上的QR code贴纸（要求一物一码，每PCS的二维码不一样，二维码可扫描区域尺寸要大于15x15mm ， 整张贴纸尺寸25X40MM &lt;(&gt;&lt;&lt;)&gt;含二维码下序列号
/Art/size等&gt;,白底黑字，分辨率要大于300dpi，位置要远离条码。 可贴零售 包装的侧面右下角/背面的右上角/挂卡的背面/正面的右上角，距离边距5mm）;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t>
  </si>
  <si>
    <t>Amy xiao/Niki chen</t>
  </si>
  <si>
    <t>4500193519-70</t>
  </si>
  <si>
    <t>5/13出</t>
  </si>
  <si>
    <t>4500197857-70</t>
  </si>
  <si>
    <t>3/20收到</t>
  </si>
  <si>
    <t>日期码格式：ZURU INC(BVI) 标准格式                  日期：按实际生产日期
Packaging Info: MA PKG , 优先1L
Remark: 15756UQ1:5 Assortments even ratio
15760UQ1: 10 Assortment even ratio
92129TQ1:7  assortments, Ratio: Elephant: Toucan: Zebra: Sloth: Giraffe: Tiger: Peacock=10: 10: 10: 10: 10: 8: 2
15733: 9 Assortment=1:1:1:1:1:1:1:1:1
9543GQ1:bule/purple/pink/orange =5:6:6:5;
92104TQ2:MUNCHKIN(RARE): HIMALAYAN: PERSIAN: MAINE COON: RAGDOLL: RAGAMUFFIN: NORWEGIAN FOREST CAT = 2: 8: 10: 10: 10: 10: 10
92119: 7 Assortment, Polar bear: Penguin: Walrus: Mammoth: Owl: Seal: Snow man=10:10:10:10:10:8:2. Snow man is the rare item.
25282：  Baby Shark(yellow)/ Mummy Shark(pink)/ Daddy Shark(blue) =1:1:1;</t>
  </si>
  <si>
    <t>4500196523-110</t>
  </si>
  <si>
    <t>客版PDQ(翻单4500130295)</t>
  </si>
  <si>
    <t>WIC 贴纸翻4500130295+PDQ折页翻单4500099653</t>
  </si>
  <si>
    <t>日期码格式：ZURU INC(BVI) 标准格式 日期：04-28-2026
Packaging Info: 
9543GQ4：MA 1L 包装 + WIC 贴纸（WIC # 280432 参考4500130295） + 客版PDQ(翻单4500130295) + PDQ折页 （翻单PO 4500099653，PDQ折页放在PDQ的正上方，
开箱即可看到）
Remark: 产品和包装上面要有zuru标准格式的tracking code DG20260428</t>
  </si>
  <si>
    <t>4500196523-120</t>
  </si>
  <si>
    <t>4500196523-130</t>
  </si>
  <si>
    <t>4500196523-140</t>
  </si>
  <si>
    <t>4500196523-150</t>
  </si>
  <si>
    <t>KANDYTOYS LIMITED</t>
  </si>
  <si>
    <t>AS191225ZUR15274</t>
  </si>
  <si>
    <t>4500190991-70</t>
  </si>
  <si>
    <t>WEEE 30L B 不带电池说明书+1/15-PDQ底部条码贴</t>
  </si>
  <si>
    <t>日期码格式：ZURU INC(BVI) 标准格式 日期：按实际生产日期
Packaging Info:
9543GQ1: MA UPC 1L+WEEE 30L B 不带电池说明书+PDQ底部贴一张带条码35063389172559并可扫描的贴纸(ZURU 跟单提供模板）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4.产品条码以订单显示为准 ，请安排生产前先核对再生产。
5.外箱上的条码请确保清晰可扫描，有PDQ， 需要在PDQ底部贴一张带条码并可扫描的贴纸(ZURU 跟单提供模板）。
6.所有产品按符合欧洲标准走货，微塑料需合规并增加IFUD声明，含电池的需要增加WEEE说明书。
7.涉及到硼的，需要符合欧洲标准
8.包装不能用PVC材质</t>
  </si>
  <si>
    <t>OUTLET GROUP AS</t>
  </si>
  <si>
    <t>4500199666-40</t>
  </si>
  <si>
    <t>客版C6L 版说明书4500192711</t>
  </si>
  <si>
    <t>日期码格式：ZURU INC(BVI) 标准格式                  日期：按实际生产日期
Packaging Info: 9283:MA C 3L(EAN)收缩膜+挪威/瑞典/芬兰语警告语&lt;(&gt;&amp;&lt;)&gt;care@zuru.com全部信息做成一张贴纸(贴纸和位置图翻PO#4500183592)
9565GQ1:MA_3L_版 EAN收缩膜+警告语/MADE IN CHINA/收缩膜上的布标信息/电池信息都翻译成丹麦瑞典芬兰挪威爱沙尼亚语言做成一张贴纸(贴纸和位置图翻SOK P
O#4500176306)+客版说明书（翻单4500176306）
92104TQ2-S002-NB:MA B 3L(Warning 13L)_EAN版收缩膜+丹麦瑞典芬兰挪威警告语贴纸(贴纸和位置图翻ICA PO#4500169371)+MA B 5L(warning 23L)收藏指南+MA C 
5L(warning 9L) Slime Polybag+丹麦瑞典芬兰挪威爱沙尼亚警告语贴纸贴在袋子上(贴纸和位置图翻Kärkkäine O#4500179713)+MA PDQ+MA 布标/贴纸/吊牌+MA B
版PDQ
9543GQ1-S002:MA D_3L+5L EAN版收缩膜+警告语/MADE IN CHINA/收缩膜上的布标信息全部信息翻译成丹麦瑞典芬兰挪威爱沙尼亚语做成一张贴纸贴在收缩膜上(贴
纸和位置图翻Lekia PO#4500192711)+客版C6L 版说明书(英语丹麦瑞典芬兰挪威爱沙尼亚语言/WEEE信息直接印刷在说明书上--翻Lekia PO#4500192711)
92119-S001-NB:MA_B Version_3L(EAN)-Warning 23L收缩膜+MA_B Version_5L(23L warning)收藏指南+MA B Version_5L(WARNING 9L) SLIME POLYBAG+丹麦瑞典芬兰
挪威爱沙尼亚警告语贴纸贴在slime袋子上+MA B5L BEADS BAG+丹麦瑞典芬兰挪威爱沙尼亚警告语贴纸贴在bead袋子上+MA布标(所有贴纸和位置翻单4500198652)
9574-S001:MA A3L(23L warning) EAN版彩盒+客版6L说明书(英语丹麦瑞典芬兰挪威爱沙尼亚语言/WEEE信息直接印刷在说明书上--翻Salling Group PO#4500193716
))
Remark: 1. 配比：
9565GQ1-S002:4 assortment, Orange:blue:pink:brown=5:5:6:6
92104TQ2-S002-NB:MUNCHKIN(RARE): HIMALAYAN: PERSIAN: MAINE COON: RAGDOLL: RAGAMUFFIN: NORWEGIAN FOREST CAT = 2: 8: 10: 10: 10: 10: 10
"9543GQ1-S002:Integral single ratio=bule/purple/pink/orange =5:6:6:5;
"
92119-S001-NB:7 Assortment, Polar bear: Penguin: Walrus: Mammoth: Owl: Seal: Snow man=10:10:10:10:10:8:2. Snow man is the rare item.
9574-S001:2pcs baby capybara: 3pcs baby capybara= 5:1
2.产品和包装要求无硼无香，包装不能含有PVC
3.如有微塑料，必须合规欧洲标准，并增加微塑料合规IFUD声明在说明书上
4.带电池出货的产品，所用到的电池需要符合欧洲电池新规(EU)2023-1542，并增加对应WEEE 说明书</t>
  </si>
  <si>
    <t>4T6P1JFC</t>
  </si>
  <si>
    <t>4500197925-90</t>
  </si>
  <si>
    <t>5/10-5/17出</t>
  </si>
  <si>
    <t>4/16-外箱贴纸</t>
  </si>
  <si>
    <t>日期码格式：ZURU INC(BVI) 标准格式                  日期：按实际生产日期
Packaging Info: 出口加拿大，包装需要至少2/3L UPC版，无硼版本。
#9298: MA 3L  C版本加UPC贴纸，UPC贴纸图稿跟返单4500113996。需混入稀有款，  常规款：稀有款=58：2。  D:193052062642, E:193052062659,G:193052062666,
H:193052062673;
#9543: MA 3L 加UPC贴纸，  UPC贴纸跟翻单4500098824。B:193052051783, D:193052051790;
#9548: MA 5L D版本 加UPC贴纸，MA 5L-D版本收缩膜配套使用最新版本的包材，贴纸资料跟翻单#4500146603，UPC：193052064196。
#9572: MA 3L包装入邮包盒，邮包盒图稿翻单4500177315, A: 2PK 9565 (Pink + Brown), B: 2PK 9565 (Blue + Orange)。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</si>
  <si>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2DJT6ASD</t>
  </si>
  <si>
    <t>4500197925-100</t>
  </si>
  <si>
    <t>8WIVIMBD</t>
  </si>
  <si>
    <t>4500197925-110</t>
  </si>
  <si>
    <t>4RBXFFKN</t>
  </si>
  <si>
    <t>4500197925-120</t>
  </si>
  <si>
    <t>53EVCTEQ</t>
  </si>
  <si>
    <t>4500197925-130</t>
  </si>
  <si>
    <t>6MLQJCXP</t>
  </si>
  <si>
    <t>4500197925-140</t>
  </si>
  <si>
    <t>1CGMBMAR</t>
  </si>
  <si>
    <t>4500197925-150</t>
  </si>
  <si>
    <t>02428637/1</t>
  </si>
  <si>
    <t>4500195606-10</t>
  </si>
  <si>
    <t>WEEE_不带电池走货 _ 说明书欧洲EN+29L_C版</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</si>
  <si>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9543GQ1:WEEE_不带电池走货 _ 说明书欧洲EN+29L_C版</t>
  </si>
  <si>
    <t>02428638/1</t>
  </si>
  <si>
    <t>4500195606-30</t>
  </si>
  <si>
    <t>5/19出</t>
  </si>
  <si>
    <t>4500201071-40</t>
  </si>
  <si>
    <t>5/18出</t>
  </si>
  <si>
    <t>WEEE声明(不带电池)走货欧洲通用29L-C版说明书</t>
  </si>
  <si>
    <t>日期码格式：ZURU INC(BVI) 标准格式                  日期：按实际生产日期
Packaging Info: "15758G: 最新MA 5L UPC吊牌
UPC#193052088215
*外箱四面需要贴一张限制上架日期贴纸(GLOBAL ONSHELF DATE:2026/7/9)*"
"15797B: 最新MA 5L UPC吊牌
UPC#193052099815
*外箱四面需要贴一张限制上架日期贴纸(GLOBAL ONSHELF DATE:2026/6/14)*"
"9565: 最新MA3L-5L EAN收缩膜+MA5L-6Lwarning收藏指南+MA PDQ+ WEEE声明(不带电池)走货欧洲 29L-C版通用黑白说明书
4 assortment, Orange:blue:pink:brown=5:5:6:6"
"9543GQ1: 最新MA 3L PDQ +MA-3L(5L warning)EAN收缩膜+5L(9L Warning)说明书+WEEE声明(不带电池)走货欧洲通用29L-C版说明书+1张通用说明书警示贴纸(按QA-
Angus邮件资料,翻PO#4500186101)+1张通用收缩膜警示贴纸(按QA-Angus邮件资料,翻PO#4500186101)
bule/purple/pink/orange =5:6:6:5;
EAN#4894680026995"
"9574: MA 3L-23Lwarning EAN彩盒+MA 5L-9Lwarning说明书+C版WEEE声明(不带电池)走货欧洲通用29L说明书
EAN#4894680057265
Ratio：2pcs baby capybara: 3pcs baby capybara= 5:1
3PCS AAA BATTERIES(NOT INCLUDED)"
25282D: 最新MA3L+23L警告语 MA彩盒+一张新的UPC条码贴纸(25282D#193052063199; 翻PO#4500116913)+最新MA 9L说明书+WEEE声明通用29L-C版说明书（带电池）
25282B: 最新MA3L+23L警告语 MA彩盒+一张新的UPC条码贴纸(25282B#193052063182; 翻PO#4500116913)+最新MA 9L说明书+WEEE声明通用29L-C版说明书（带电池）
25282A: 最新MA3L+23L警告语 MA彩盒(25282A UPC#193052062611)+最新MA 9L说明书+WEEE声明通用29L-C版说明书（带电池）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</si>
  <si>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DM  LLC</t>
  </si>
  <si>
    <t>order  5145
Bekasovo  2</t>
  </si>
  <si>
    <t>4500196739-10</t>
  </si>
  <si>
    <t>5/30出</t>
  </si>
  <si>
    <t>进口商贴纸+EAN条码贴纸翻4500193519+3/18-QR code 贴纸</t>
  </si>
  <si>
    <t>日期码格式：外包装/外箱不要打ZURU标准日期 日期：
Packaging Info: 9543 ： 1L MA UPC 包装+进口商贴纸翻4500193519+EAN条码贴纸翻4500193519+QR code 贴纸 （一物一码）， MA 指南/说明书（如有）；
15731：MA 彩卡 + 进口商贴纸(含EAN条码）翻4500193519 + QR code 贴纸 （一物一码）
15714：MA 彩卡 + 进口商贴纸(含EAN条码）翻4500193519 + QR code 贴纸 （一物一码）
Remark: 客户DM订单注意事项:
1. 标准配比
2. 请按期完货， 会有罚金。
3. 出2 个仓库-Bekasovo 2 &lt;(&gt;&amp;&lt;)&gt; Ural
4. 外包装(指:收缩膜/彩卡/铝箔袋/挂卡/PDQ)/外箱不要打ZURU标准日期码!胶件可以打日期码。
5. 零售包装上的QR code贴纸（要求一物一码，每PCS的二维码不一样，二维码可扫描区域尺寸要大于15x15mm ， 整张贴纸尺寸25X40MM &lt;(&gt;&lt;&lt;)&gt;含二维码下序列号
/Art/size等&gt;,白底黑字，分辨率要大于300dpi，位置要远离条码。 可贴零售 包装的侧面右下角/背面的右上角/挂卡的背面/正面的右上角，距离边距5mm）;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t>
  </si>
  <si>
    <t>order  5145
Ural</t>
  </si>
  <si>
    <t>4500196739-70</t>
  </si>
  <si>
    <t/>
  </si>
  <si>
    <t>4500201352-30</t>
  </si>
  <si>
    <t>4/13收到</t>
  </si>
  <si>
    <t>4/22-进口商贴纸</t>
  </si>
  <si>
    <t>日期码格式：ZURU INC(BVI) 标准格式 日期：按实际生产日期
Packaging Info: 1L MA UPC 收缩膜或者彩卡+ 进口商贴纸， MA 指南/PDQ/说明书（如有） ；
 9543GQ1/9565GQ1 ：需要加不带电池WEEE说明书 ；
Remark: 1.若产品有比例使用ZURU STD 比例
 2.此单出欧洲需满足EU测试标准要求，另外不能出闪粉（若产品本身不含闪粉则忽略这句话）;
 3.包装上需要有CE logo .
4.如果产品需要电池才能运作，带电池出货需要配带电池出货WEEE 说明书/ 不带电池出货的需要配不带电池出货WEEE 说明书 -如没有AW，请找跟单提供；</t>
  </si>
  <si>
    <t>4500201369-10</t>
  </si>
  <si>
    <t>进口商贴纸（翻4500201352）</t>
  </si>
  <si>
    <t>日期码格式：ZURU INC(BVI) 标准格式 日期：按实际生产日期
Packaging Info: 9543GQ1/9565GQ1 : 1L MA UPC 收缩膜+ 进口商贴纸（翻4500201352）， MA 指南/PDQ ；
 需要加不带电池WEEE说明书 ；
Remark: 1.若产品有比例使用ZURU STD 比例
 2.此单出欧洲需满足EU测试标准要求，另外不能出闪粉（若产品本身不含闪粉则忽略这句话）;
 3.包装上需要有CE logo .
4.如果产品需要电池才能运作，带电池出货需要配带电池出货WEEE 说明书/ 不带电池出货的需要配不带电池出货WEEE 说明书 -如没有AW，请找跟单提供；</t>
  </si>
  <si>
    <t>4500198705-150</t>
  </si>
  <si>
    <t>4/29-收到进口商贴纸+UPC贴纸</t>
  </si>
  <si>
    <t>指定日期码为DG20260515</t>
  </si>
  <si>
    <t>日期码格式：DG20260515                  日期：
Packaging Info: 7132:MA 多语包装+ UPC贴纸+进口商贴纸+箱唛
15789UQ1、15782UQ1:MA 多语包装+进口商贴纸+箱唛
15750、15788、15746:MA 多语包装+进口商贴纸+箱唛（进口商贴纸和mother UPC贴纸合并为一张）
其余item：MA 多语包装+进口商贴纸+UPC贴纸+箱唛
Remark: 1.包装/产品/外箱/进口商贴纸 指定日期码为DG20260515
.所有item包装上的条码必须是UPC，如果已将进口商贴纸和UPC条码合并到一张，则不需再订购UPC贴纸，仅订购一张进口商贴纸即可。</t>
  </si>
  <si>
    <t>GIFI  DIFFUSION</t>
  </si>
  <si>
    <t>4500197249-10</t>
  </si>
  <si>
    <t>最新欧洲通用29L WEEE电池声明书(不带电池版本)</t>
  </si>
  <si>
    <t>日期码格式：05/2026</t>
  </si>
  <si>
    <t>日期码格式：05/2026 日期：
Packaging Info: 9543GQ1:MA最新3L EAN收缩膜+MA5L说明书+最新欧洲通用29L WEEE电池声明书(不带电池版本)+MA3LPDQ
7133:MA最新多语包装+1张EAN条码贴纸翻4500133097+1张法国回收logo贴纸+MA5L说明书+最新欧洲通用29L WEEE电池声明书(不带电池版本)
92104TQ1:MA最新5L EAN收缩膜+MA5L袋子+MAPDQ/布标/贴纸
Remark: 1. 通过ZURU OQC验货即可出货; 需要大货样5套在CRD前一周备好, 请多备料;
2. 请确保产品/包装/外箱都日期码保持一致；
3. 此票出法国，请确保所有产品需符合EU法规；
4. 逾期出货罚款细则，8-14天罚款发票金额的3%，15-21天罚款发票金额的5%，22-28天罚款发票金额的7%，超过28天罚款发票金额的10%或空运由supplier承担空运
费用；</t>
  </si>
  <si>
    <t>Ula  Zhao</t>
  </si>
  <si>
    <t>4500199774-40</t>
  </si>
  <si>
    <t>4/15-进口商贴纸+QR code</t>
  </si>
  <si>
    <t>日期码格式：ZURU INC(BVI) 标准格式                  日期：按实际生产日期
Packaging Info: 9283/9296/9298/9565/92104: MA UPC收缩膜+MA 收藏指南+ 进口商贴纸+QR code (一物一码)
9543: MA UPC收缩膜+MA 说明书+ 进口商贴纸+QR code (一物一码)
71152: MA UPC彩盒+MA 说明书+ 进口商贴纸+QR code (一物一码)
9561: MA  UPC收缩膜+MA 收藏指南+MA说明书+ 进口商贴纸+QR code (一物一码)
15757: MA UPC 彩盒+ 进口商贴纸+QR code (一物一码)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
 5. 整张单走EXW。</t>
  </si>
  <si>
    <t>4500201617-20</t>
  </si>
  <si>
    <t>德语callout/荷兰语警示语贴纸翻4500186101+ 产品贴纸(ZURU FRANCE 新地址)贴纸位参考#4500136411,地址信息按通用法国新地址图档+WEEE声明(不带电池)走货欧洲通用29L-C版说明书</t>
  </si>
  <si>
    <t>日期码格式：ZURU INC(BVI) 标准格式                  日期：按实际生产日期
Packaging Info: "9565: 最新MA3L-5L EAN收缩膜+德语call out/荷兰语警语贴纸(翻4500174376)+MA5L-6Lwarning收藏指南+MA PDQ+ WEEE声明(不带电池)走货欧洲 29L-C版通用黑白
说明书
4 assortment, Orange:blue:pink:brown=5:5:6:6"
"9543GQ1: 最新MA 3L PDQ +MA-3L(5L warning)收缩膜+1张含德语callout/荷兰语警示语贴纸(翻#4500186101)+ 产品贴纸(ZURU FRANCE 新地址)贴纸位参考#450013
6411,地址信息按通用法国新地址图档 +5L(9L Warning)说明书+WEEE声明(不带电池)走货欧洲通用29L-C版说明书+1张通用说明书警示贴纸(按QA-Angus邮件资料)+1
张通用收缩膜警示贴纸(按QA-Angus邮件资料,翻PO#4500186101)
bule/purple/pink/orange =5:6:6:5;
EAN#4894680026995"
"9574: MA 3L-23Lwarning EAN彩盒+1张德语callout贴纸(翻单PO#4500191427)+MA 5L-9Lwarning说明书+C版WEEE声明(不带电池)走货欧洲通用29L说明书
EAN#4894680057265
Ratio：2pcs baby capybara: 3pcs baby capybara= 5:1
3PCS AAA BATTERIES(NOT INCLUDED)"
"92146TQ1: MA3L-13Lwarning EAN收缩膜+1张德语callout贴纸(翻PO#4500192949 )+MA布标+MA贴纸+MA5L-19L收藏指南
Ratio: Cat:Raccoon:Deer:Tiger:Pigeon:Owl=1:1:1:1:1:1"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电子产品需增加一张C版WEEE声明29L通用黑白说明书(不接受A版本，翻译有误)，区分带电池和不带电池出货版本, 如已做客版说明书可忽略此要求；如包装备注
上缺少此部分信息，请提醒跟单更新备注。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</si>
  <si>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4500201617-60</t>
  </si>
  <si>
    <t>4500201621-10</t>
  </si>
  <si>
    <t>5/25出</t>
  </si>
  <si>
    <t>4/17-cat label 1张;MA 说明书+WEEE不带电池说明书</t>
  </si>
  <si>
    <t>日期码格式：ZURU INC(BVI) 标准格式                  日期：按实际生产日期
Packaging Info: 1. 9543：1L MA UPC 包装+cat label 1张;MA 说明书+WEEE不带电池说明书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*主拼工厂需要提前准备密网用于装柜，装柜拉网请务必按照客人要求固定好，避免货物在运输过程中坍塌，不规范的拉网或者漏掉都会导致客人罚款</t>
  </si>
  <si>
    <t>4500200402-90</t>
  </si>
  <si>
    <t>进口商贴纸翻4500165899+5/5-UPC贴纸</t>
  </si>
  <si>
    <t>日期码格式：ZURU INC(BVI) 标准格式 日期：按实际生产日期
Packaging Info: 77782GQ1:客版收缩膜+客版收藏指南+客版PDQ+进口商贴纸+箱唛，客版物料翻单PO4500161302,进口商贴纸翻单PO4500183983
77785:客版彩盒+进口商贴纸+箱唛（77673:MA 多语收缩膜/77711：MA 多语收缩膜+空白贴纸）,客版彩盒翻单PO4500194447
7151、7152：MA 1L包装+MA多语说明书+进口商贴纸+箱唛，进口商贴纸翻单PO4500165899
9543GQ1:MA 多语包装+进口商贴纸+UPC贴纸+箱唛，进口商贴纸翻单PO4500165899
71126:MA 多语包装+进口商贴纸+箱唛，进口商贴纸翻单PO4500166157
77673:MA 多语包装+进口商贴纸+UPC贴纸+箱唛，进口商贴纸翻单PO4500183983
15789UQ1:MA 多语包装+进口商贴纸+箱唛
其余item：MA多语包装+进口商贴纸+UPC贴纸+箱唛</t>
  </si>
  <si>
    <t>4500201059-20</t>
  </si>
  <si>
    <t>日期码格式：ZURU INC(BVI) 标准格式                  日期：按实际生产日期
Packaging Info: 25282D: 最新MA3L+23L警告语 MA彩盒+一张新的UPC条码贴纸(25282D#193052063199; 翻PO#4500116913)+最新MA 9L说明书+WEEE声明通用29L-C版说明书（带电池）
"9543GQ1: 最新MA 3L PDQ +MA-3L(5L warning)EAN收缩膜+5L(9L Warning)说明书+WEEE声明(不带电池)走货欧洲通用29L-C版说明书+1张通用说明书警示贴纸(按QA-
Angus邮件资料,翻PO#4500186101)+1张通用收缩膜警示贴纸(按QA-Angus邮件资料,翻PO#4500186101)
bule/purple/pink/orange =5:6:6:5;
EAN#4894680026995"
"9574: MA 3L-23Lwarning EAN彩盒+MA 5L-9Lwarning说明书+C版WEEE声明(不带电池)走货欧洲通用29L说明书
EAN#4894680057265
Ratio：2pcs baby capybara: 3pcs baby capybara= 5:1
3PCS AAA BATTERIES(NOT 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</si>
  <si>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LEKEKASSEN AS</t>
  </si>
  <si>
    <t>4500197359-20</t>
  </si>
  <si>
    <t>客版C6L 版说明书翻4500192711</t>
  </si>
  <si>
    <t>4/3-客人进口商地址信息做成贴纸</t>
  </si>
  <si>
    <t>日期码格式：ZURU INC(BVI) 标准格式                  日期：按实际生产日期
Packaging Info: 1. 92104TQ2: MA B_3L(Warning 13L)_EAN版收缩膜+警告语和MADE IN CHINA翻译成丹麦瑞典挪威语/客人进口商地址信息做成一张贴纸贴在收缩膜上+MA_B_5L(warn
 ing 23L)收藏指南+MA_C_5L(warning 9L) Slime Polybag+丹麦瑞典芬兰挪威爱沙尼亚警告语贴纸贴在袋子上(贴纸和位置图翻Kärkkäine O#4500179713)+MA PDQ+
 MA 布标/贴纸/吊牌+MA B版PDQ
 2. 9543GQ1: MA D_3L+5L EAN版收缩膜+警告语和MADE IN CHINA翻译成丹麦瑞典挪威语/客人进口商地址信息做成一张贴纸贴在收缩膜上+客版C6L 版说明书(英语丹
麦瑞典芬兰挪威爱沙尼亚语言/WEEE信息直接印刷在说明书上--翻Lekia PO#4500192711)
--客版说明书消耗客版MA#1000036508库存"</t>
  </si>
  <si>
    <t>4500200368-40</t>
  </si>
  <si>
    <t>4/8收到</t>
  </si>
  <si>
    <t>4/15-cat label 贴纸 +WEEE不带电池说明书</t>
  </si>
  <si>
    <t>日期码格式：ZURU INC(BVI) 标准格式                  日期：按实际生产日期
Packaging Info: 1.7196：MA彩盒+cat label 1张+客版说明书+WEEE不带电池说明书
7140：MA彩盒+cat label 1张+MA说明书+WEEE不带电池说明书
77673：1L MA UPC 包装+cat label 1张
9543：1L MA UPC 包装+cat label 1张;MA 说明书+WEEE不带电池说明书
9298/92147/92146:1L MA UPC 包装+cat label 1张;MA 指南
77711：3L MA包装+cat label 1张+UPC条码贴纸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*主拼工厂需要提前准备密网用于装柜，装柜拉网请务必按照客人要求固定好，避免货物在运输过程中坍塌，不规范的拉网或者漏掉都会导致客人罚款</t>
  </si>
  <si>
    <t>4500200725-40</t>
  </si>
  <si>
    <t>4/29-PDQ贴纸+WEEE 30L 不带电池说明书</t>
  </si>
  <si>
    <t>日期码格式：ZURU INC(BVI) 标准格式                  日期：按实际生产日期
Packaging Info: 157117UQ1:MA UPC 最新版本+MA PDQ+条码贴纸+PDQ 贴纸
15792:MA UPC 最新版本+条码贴纸
77711GQ2:MA UPC 最新版本+PDQ贴纸+MA PDQ
9543GQ1:MA UPC 最新版+MA PDQ+PDQ贴纸+WEEE 30L 不带电池说明书
Remark: 1.订单出英国，请注意检查产品及包装应带CE/UKCA图标，包装需要显示ZURU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4.不接受一个款有多个条码，存在这个情况请让ZURU提供条码贴纸
5.外箱上的条码请确保清晰可扫描，有PDQ，  需要在PDQ底部贴一张带条码并可扫描的贴纸(ZURU 跟单提供模板）。
6.所有产品按符合欧洲标准走货，微塑料需合规并增加IFUD声明，含电池的需要增加WEEE说明书。
7. 订单需要准备一套大货样</t>
  </si>
  <si>
    <t>999-76648</t>
  </si>
  <si>
    <t>4500200650-50</t>
  </si>
  <si>
    <t>四国语言警告语贴纸翻4500186548+WEEE不带电池走货欧洲29语通用黑白说明书</t>
  </si>
  <si>
    <t>日期码格式：ZURU INC(BVI) 标准格式                  日期：按实际生产日期
Packaging Info: "92129TQ2：  MA B版3L-23L收缩膜含4国警告语贴纸(Czech-Hugarian-Polish-Slovak）贴纸翻单4500186548+1张UPC条码贴纸193052088925+MA 5L收藏指南+MA PDQ；
"
"9565GQ1：  最新MA B 1L UPC版本+一张四国语言警告语贴纸( Czech-Hugarian-Polish-Slovak)贴纸翻单4500186548+MA 6L说明书+WEEE不带电池走货欧洲29语通用
黑白说明书+客版PDQ  （3FACING11PCS/PDQ WITHDEMO）；UPC#193052084545，请先检查包装条码是否正确再安排做货
3W*2D*2H-1DEMO=11PCS/PDQ
4 assortment, Orange:blue:pink:brown=5:5:6:6
2PCS AAA BATTERIES（NOT INCLUDED）"
92106：  MA 最新版1L UPC包装+1张4国警告语贴纸Czech-Hugarian-Polish-Slovak),请先检查包装条码#193052064905是否正确再安排做货)
92107：MA B版1L UPC收缩膜+1张4国警告语贴纸Czech-Hugarian-Polish-Slovak贴纸翻单4500186548,先检查包装条码#193052064738是否正确再安排做货)，其中150
0pcs是原4500189742取消的数量，可以优先消耗原PO物料
"9543GQ3：MA最新1L E版包装+一张四国语言警告语贴纸( Czech-Hugarian-Polish-Slovak不能覆盖GB)贴纸翻单PO#4500186548+客版 PDQ 1L版（2Facing7pcs/Gravi
ty PDQ)翻单PO#4500186548+WEEE不带电池走货欧洲29语通用黑白说明书
UPC#193052050328，请先检查包装条码是否正确再安排做货;
7product+demo;2pcs *AAA battery not include; Integral single
ratio=bule/purple/pink/orange =1:1:1:1"
"92104TQ4: 客版收缩膜，基于最新MA 1L UPC版本包装+1 张四国语言警告语( Czech-Hugarian-Polish-Slovak) +最新MA 5L收藏指南+客版 1L 版PDQ (2Facing4pcs
/PDQ) 翻单4500171042；
UPC#193052064417，请先检查包装条码是否正确再安排做货"，   其中3000pcs是原4500189742取消的数量，可以优先消耗原PO物料
"77673TQ1：MA 最新版1L UPC包装+1张4国警告语贴纸Czech-Hugarian-Polish-Slovak)+MA 最新 1L PDQ
UPC#193052079404，请先检查包装条码是否正确再安排做货
"77711GQ1：  MA 最新版3L UPC包装(加4国警告语贴纸Czech-Hugarian-Polish-Slovak),
UPC#193052080134，请先检查包装条码是否正确再安排做货, MA 最新版3L PDQ"
92119：  MA B版3L-23L收缩膜含4国警告语(Czech-Hugarian-Polish-Slovak）贴纸翻单4500186548 +1张UPC条码贴纸193052078391，  其中480pcs是原4500189742取
消的数量，可以优先消耗原PO物料
"92125: MA 最新版1L UPC收缩膜+1张四国警告语贴纸Czech-Hugarian-Polish-Slovak)，MA 收藏指南+挂卡+贴纸+袋子
UPC#193052083951，请先检查包装条码是否正确再安排做货"
9561: MA 最新版1L收缩膜+4国警告语贴纸(Czech-Hugarian-Polish-Slovak，不能覆盖GB语言），UPC#93052078902，请先检查条码是否正确再安排做货；
71152：  MA B版1L彩卡含4国警告语贴纸(Czech-Hugarian-Polish-Slovak）贴纸翻单4500186548+WEEE不带电池走货欧洲29语通用黑白说明书，UPC#193052079190，
请先检查包装条码是否正确再安排做货，可以优先消耗原PO4500189742物料
9283：MA最新版1L包装+一张四国语言警告语贴纸( Czech-Hugarian-Polish-Slovak)，贴纸跟贴纸位置图翻4500100986，   MA最新藏宝图+MA证书/纸袋+MA布标
UPC#193052050106，请先检查包装条码是否正确再安排做货;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
8.请多备料，需安排2套大货样寄到深圳办公室</t>
  </si>
  <si>
    <t>MaryZhong</t>
  </si>
  <si>
    <t>SUOMEN  OSUUSKAUPPOJEN  KESKUSKUNTA</t>
  </si>
  <si>
    <t>4500196453-20</t>
  </si>
  <si>
    <t>客版6L 版说明书翻4500192711</t>
  </si>
  <si>
    <t>收到so</t>
  </si>
  <si>
    <t>警告语贴纸贴翻4500192711</t>
  </si>
  <si>
    <t>日期码格式：ZURU INC(BVI) 标准格式 日期：按实际生产日期
Packaging Info: 
2. 9543GQ1: MA D_3L+5L EAN版收缩膜+警告语/MADE IN CHINA/收缩膜上的布标信息全部信息翻译成丹麦瑞典芬兰挪威爱沙尼亚语做成一张贴纸贴在收缩膜上(贴纸
和位置图翻Lekia PO#4500192711)+客版C6L 版说明书(英语丹麦瑞典芬兰挪威爱沙尼亚语言/WEEE信息直接印刷在说明书上--翻Lekia PO#4500192711)
Remark: *. 92147+92146TQ1+9574+77843GQ1+77794UQ1+77772GQ1+77858 新款: 请在5/15各提供三套大货样给客人留底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 and/or Bisfenol成分, 以及不含石棉成分
*.产品条码如下: 请先检查条码是否正确再安排做货，如有问题请告知
ZURU ITEM#&lt;(&gt;&amp;&lt;)&gt;EAN
9543GQ1-S002:4894680026995</t>
  </si>
  <si>
    <t>4500202308-70</t>
  </si>
  <si>
    <t>客版北欧6L说明书翻4500192711</t>
  </si>
  <si>
    <t>多语折叠警语贴纸翻4500173920+WEEE不带电走货说明书</t>
  </si>
  <si>
    <t>日期码格式：ZURU INC(BVI) 标准格式 日期：按实际生产日期
Packaging Info: 
9543GQ1：MA 最新版 3L+5L EAN 收缩膜+1*多语折叠警语贴纸（翻单4500173920）+MA 5L+6L 说明书+客版北欧6L说明书（翻单4500192711）+MA 最新版 3L PDQ+1*
最新版WEEE不带电走货说明书
Remark: 1.北欧内销单，需要通过ZURU 验货结果后才能出货 (工厂需要主动提前同ZURU QC预约验货避免延期出货造成不必要麻烦)；
2. 产品如含有化学品，需要无硼无香，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</si>
  <si>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Faye Lei,Amy Xiao</t>
  </si>
  <si>
    <t>IDEN HAMBURG GMBH</t>
  </si>
  <si>
    <t>4500202309-60</t>
  </si>
  <si>
    <t>6/5-6/11出</t>
  </si>
  <si>
    <t>4/25收到</t>
  </si>
  <si>
    <t>C版不带电池走货EU通用29L WEEE说明书</t>
  </si>
  <si>
    <t>日期码格式：ZURU INC(BVI) 标准格式                  日期：按实际生产日期
Packaging Info: 71126：MA 3L+23L警语 EAN彩盒 + 贴纸，MA B版5L+9L警语说明书，C版不带电池走货EU通用29L WEEE说明书
77673TQ1：MA B版 3L EAN收缩膜+DE IT警语贴纸（翻4500187921），MA 5L收藏指南，MA配件袋，C版带电池走货EU通用29L WEEE说明书，MA 3L PDQ
92104TQ1（NB版）：MA B版3L+13L警语EAN收缩膜，MA B版 5L+23L警语收藏指南，MA C版5L+9L警语史莱姆袋子，MA B版 PDQ
92146TQ1：MA 3L+8L警语EAN收缩膜，MA 5L+19L警语收藏指南，MA 5L+13L警语 FOAM袋子，MA 5L贴纸，MA布标，MA PDQ
9298TQ2（2025 NB版）：MA D版3L+23L警语EAN收缩膜，MA C版5L+23L经验与收藏指南，MA D版5L+9L警语 POOP袋子，MA D版布标，MA B版 PDQ
9543GQ1：MA D版3L+5L警语 EAN收缩膜，MA C版5L+9L警语说明书，C版不带电池走货EU通用29L WEEE说明书，MA C版3L PDQ
Remark: 1.外箱上下需加保护卡，以防开箱时产品被划破。（保护卡需要是整面）
2.此单出德国，走整柜。
3.如有推期会有罚款，请务必按时完货，并提醒QC需要在5月29号当天上传好ZURU STD验货报告，需要发给客人批放货。
4.出口欧洲，微塑料需符合法规；电池符合欧洲法规要求(如有)；化学品无硼无香。
5.所有出往GAS市场(德国/奥地利/瑞士)的电子产品身上需要加字唛，为ZURU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6.所有出往德国订单的电子产品需增加一张C版通用29L WEEE声明说明书，区分带电池出货和不带电池出货版本, 如已做客版说明书可忽略此要求。
7.STD配比</t>
  </si>
  <si>
    <t>4500196767-10</t>
  </si>
  <si>
    <t>日期码格式：外包装/外箱不要打ZURU标准日期 日期：
Packaging Info: 9543 ： 1L MA UPC 包装+进口商贴纸翻4500193519+EAN条码贴纸翻4500193519+QR code 贴纸 （一物一码）， MA 指南/说明书（如有）；
Remark: 客户DM订单注意事项:
1. 标准配比
2. 请按期完货， 会有罚金。
3. 出2 个仓库-Bekasovo 2 &lt;(&gt;&amp;&lt;)&gt; Ural
4. 外包装(指:收缩膜/彩卡/铝箔袋/挂卡/PDQ)/外箱不要打ZURU标准日期码!胶件可以打日期码。
5. 零售包装上的QR code贴纸（要求一物一码，每PCS的二维码不一样，二维码可扫描区域尺寸要大于15x15mm ， 整张贴纸尺寸25X40MM &lt;(&gt;&lt;&lt;)&gt;含二维码下序列号
/Art/size等&gt;,白底黑字，分辨率要大于300dpi，位置要远离条码。 可贴零售 包装的侧面右下角/背面的右上角/挂卡的背面/正面的右上角，距离边距5mm）;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t>
  </si>
  <si>
    <t>Amy  xiao</t>
  </si>
  <si>
    <t>4500196767-90</t>
  </si>
  <si>
    <t>4500201913-60</t>
  </si>
  <si>
    <t>进口商贴纸翻4500188846</t>
  </si>
  <si>
    <t>日期码格式：ZURU INC(BVI) 标准格式                  日期：按实际生产日期
Packaging Info: MA UPC包装(优先1L)+进口商贴纸,Fuggler的items需mother UPC barcode 信息,会跟进口商贴纸做在一起;除了15751无需条码贴纸,只需进口商贴纸;
贴纸图稿和位置图翻单如下;
待提供77843的贴纸资料
77803GQ2/77673-4500180194
77773GQ2/9565GQ1/9543GQ1/15752/15751/15733-4500188846
9543GQ1-请使用最新版黄色+粉色的包装
77803GQ2是基于STD版本77711GQ2-S001-INT建立的客制spec,移除掉了提到猪肉"pork"的2个minis和4个有license的minis：Veggie Original Sausage Patties(Co
ntains pork words)
Singles The Original- Pepperoni (Contains pork words)
Kikkoman-Soy Sauce (license)
Hershey's-Chocolate Syrup 24 oz (license)
Hershey's-Mini Chocolate Syrup 24 oz (license)
Hershey's-Strawberry Syrup 22 oz (license)
除了PDQ和收藏指南，其他包材如收缩膜等都跟STD版本77711GQ2-S001-INT- MA 3L版。
所以，77803GQ2-MA EAN包装（3L)+1张进口商贴纸+1张UPC条码贴纸覆盖原条码(UPC贴纸显示款号77803，条码193052092403）。贴纸资料翻单4500165640。
客版PDQ+收藏指南跟回拉美的订单4500161302,但是收藏指南要加贴纸遮住以下两个LOGOs,贴纸资料翻单4500165640;
Veggie Original Sausage Patties(Contains pork words)
Singles The Original- Pepperoni (Contains pork words)
Remark: 77673-Fixed Collection
"77773GQ2-Rare: 1/48
Common: Equal ratio"
77843GQ2-Ratio: PIZZA: HAMBURGER: PANCAKES: BUBBLE TEA:  Matcha TEA: TACO: SUSHI: DONUT: Charcuterie Board: RAINBOW CAKE(Rare)=10.88%: 10.88%: 1
0.88%: 10.88%: 10.88%: 10.88%: 10.88%: 10.88%: 10.88%: 2.08%=68:68:68:68:68:68:68:68:68:13
9565GQ1-4 assortment, Orange:blue:pink:brown=5:5:6:6
9543GQ1-bule/purple/pink/orange =5:6:6:5;
15752-6 Assortments, even ratio
15751-Taco:Donut:Pizza:Sushi:Hamburger:Hotdog:Icecream=7:6:7:7:8:7:615733-去除J款，其余款式平均RATIO</t>
  </si>
  <si>
    <t>4500203533-10</t>
  </si>
  <si>
    <t>6/5第三方</t>
  </si>
  <si>
    <t>6/8出</t>
  </si>
  <si>
    <t>4/23收到 外箱上下需加保护卡</t>
  </si>
  <si>
    <t>4/27-EAN条码贴纸+德语callout警语贴纸+欧洲通用30L B版或29L C版WEEE说明书(不带电池)</t>
  </si>
  <si>
    <t>日期码格式：ZURU INC(BVI) 标准格式                  日期：按实际生产日期
Packaging Info: 9543: 最新MA 1L UPC包装+EAN条码贴纸+德语callout警语贴纸+5L+9L说明书+欧洲通用30L B版或29L C版WEEE说明书(不带电池)
9565: 最新MA 1L UPC包装+EAN条码贴纸+德语callout/警语贴纸+ 5L+6L警语收藏指南+欧洲通用30L B版或29L C版WEEE说明书(不带电池)(全部资料翻单#450018313
8)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此单出德国，需包含德语警语。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ZURU France 33 rue Paul Meurice 75020 Paris, France
12. 所有出往GAS市场(德国/奥地利/瑞士)的电子产品需增加一张欧洲通用WEEE声明说明书，区分带电池和不带电池版本, 如已做客版说明书可忽略此要求。</t>
  </si>
  <si>
    <t>4500200490-30</t>
  </si>
  <si>
    <t>日期码格式：ZURU INC(BVI) 标准格式                  日期：按实际生产日期
Packaging Info: MA UPC PKG(优先1L)
Remark: 请留意箱唛顶部色带高度要求40mm, 色带上方需留空10mm高.
箱唛色带的数字代表生产年份"2026"
出南非市场，需符合当地法规</t>
  </si>
  <si>
    <t>47:0003198276</t>
  </si>
  <si>
    <t>4500200303-10</t>
  </si>
  <si>
    <t>日期码格式：ZURU INC(BVI) 标准格式                  日期：按实际生产日期
Packaging Info: 9543GQ1：  MA 1L UPC PKG D版包装+MA 说明书+1张日语贴纸（不要遮挡日期码)，贴纸内容及位置翻单4500153105
(9543GQ1)PDQ: MA 1L PDQ PKG B 版包装
Remark: 1. 9543GQ1的大货的产品品质跟内容需跟4500129603这单一致，有任何更新（含包装）需提前告知</t>
  </si>
  <si>
    <t>4500201701-10</t>
  </si>
  <si>
    <t>5/11-客办说明书</t>
  </si>
  <si>
    <t>6/6出</t>
  </si>
  <si>
    <t>进口商贴纸翻4500119045+ D 版 29L不带电池走货通用WEEE说明书</t>
  </si>
  <si>
    <t>日期码格式：ZURU INC(BVI) 标准格式                  日期：按实际生产日期
Packaging Info: 9543GQ1：E 版 1L MA 收缩膜+进口商贴纸（翻4500119045）；斯洛文尼亚语客版说明书（翻4500119045）+ D 版 29L不带电池走货通用WEEE说明书
9565GQ1：B 版1L MA 收缩膜+进口商贴纸（翻4500186877）；B 版6L MA 收藏指南+含斯洛文尼亚语言的黑白说明书书纸（翻4500186877）+B 版3L MA PDQ+D 版29L
   不带电池走货WEEE通用说明书
9561：B 版 1L MA 收缩膜+进口商贴纸（翻4500164331）;斯洛文尼亚语言客版收藏指南（翻4500164331）+ 斯洛文尼亚语言客版guide book（翻4500164331）+ D
  版 29L带电池走货通用WEEE说明书
9574：A 版 1L MA 彩盒+进口商贴纸；A 版 5L MA 收藏指南+D 版29L  不带电池走货WEEE通用说明书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</si>
  <si>
    <t>Snowy Wu</t>
  </si>
  <si>
    <t>9543GQ1-S001-8</t>
  </si>
  <si>
    <t>DISTRIBUIDORA COMERCIAL IMEXPORTA,</t>
  </si>
  <si>
    <t>4500202265-130</t>
  </si>
  <si>
    <t>5/12-UPC贴纸+进口商贴纸</t>
  </si>
  <si>
    <t xml:space="preserve">日期码格式：ZURU INC(BVI) 标准格式 日期：按实际生产日期
Packaging Info: 7152、7151、7149、7127：MA 1L包装+MA 多语说明书+进口商贴纸+箱唛
15760UQ1、15756UQ1、15754:MA 多语UPC包装+MOTHER UPC贴纸+进口商贴纸+ 箱唛
其余item：MA 多语EAN包装+ UPC贴纸+进口商贴纸+箱唛
Remark:
</t>
  </si>
  <si>
    <t>KÄRKKÄINEN OY /CENTRA AREHOUSE</t>
  </si>
  <si>
    <t>4500200583-30</t>
  </si>
  <si>
    <t>6/24出</t>
  </si>
  <si>
    <t>警告语/MADE IN CHINA翻4500192711)</t>
  </si>
  <si>
    <t>日期码格式：ZURU INC(BVI) 标准格式                  日期：按实际生产日期
Packaging Info: 1. 92125: MA A 3L(23L warning) EAN版收缩膜+MA KITTY LITTER BAG_MA_A_5L(Warning 9L)+挪威瑞典丹麦芬兰爱沙尼亚警告语贴纸贴在袋子上(贴纸和位置图翻Sa
 lling Group PO#4500166233)+MA_A Version_5L(WARNING 23L)收藏指南+MA布标+MA ACCESSORIES BAGS_MA_A_5L(23L warning)
 2. 92147: MA A3L EAN版+产品includs信息/警告语/MADE IN CHINA都翻译成丹麦瑞典芬兰挪威爱沙尼亚警告语做成一张贴纸贴在收缩膜上(贴纸和位置图翻Salling
 Group PO#4500193716)+MA A5L(19L warning) guide book+警告语/how to make your magic potion全部信息都翻译成丹麦瑞典芬兰挪威爱沙尼亚语做成贴纸贴在
 guide book上(不能覆盖英语---贴纸和位置图翻Salling Group PO#4500193716)+MA A5L(19L warning)收藏指南+瑞典芬兰挪威爱沙尼亚警告语贴纸贴在收藏指南上(
不能覆盖英语和丹麦语--贴纸和位置图翻Salling Group PO#4500193716)+MA A5L(23L warning) ACCESSORIES BAGS+MA布标+MA FOAM POWDER BAG_MA A 5L+丹麦瑞典
芬兰挪威爱沙尼亚语警告语贴纸贴在powder袋子上(-贴纸和位置图翻SOK PO#4500196453)
 3. 9543GQ1: MA D_3L+5L EAN版收缩膜+警告语/MADE IN CHINA/收缩膜上的布标信息全部信息翻译成丹麦瑞典芬兰挪威爱沙尼亚语做成一张贴纸贴在收缩膜上(贴纸
和位置图翻Lekia PO#4500192711)+客版C6L 版说明书(英语丹麦瑞典芬兰挪威爱沙尼亚语言/WEEE信息直接印刷在说明书上--翻Lekia PO#4500192711)
 4. 77555GQ1: MA B3L EAN版收缩膜+收缩膜和纸袋上和UV胶警告语都翻译成瑞典芬兰爱沙尼亚语贴在收缩膜上/MADE IN CHINA翻译成瑞典芬兰爱沙尼亚语言/E-Mail:
 care@zuru.com/ZURU Denmark地址做成一张贴纸(贴纸和位置图翻PO#4500160378)+MA 9L纸袋+MA B5L(23L warning)收藏指南+MA 23L说明书+MA Mini+home+UV+GL_B5
 L版+MA B3L PDQ
 5. 77673TQ1: MA 3L EAN B版收缩膜+丹麦瑞典芬兰挪威警告语贴纸(贴纸和位置图翻Lekia PO#4500192711)+MA paper bag+丹麦/挪威/瑞典/芬兰语警告语贴在纸袋
子上(贴纸和位置图翻PO#4500183825-共用#77111袋子的贴纸文档)+MA 5L收藏指南+MA B23L（电池+UV胶警告语-23L）说明书+MA 3L PDQ+WEEE_带电池走货 _ 说明书
欧洲EN+29L_C版
 6. 77711GQ1: MA 3L EAN版收缩膜+丹麦瑞典芬兰挪威警告语贴纸(贴纸和位置图翻Lekia PO#4500192711)+MA paper bag+丹麦/挪威/瑞典/芬兰语警告语贴在纸袋子
上(贴纸和位置图翻PO#4500183825)+MA 3L PDQ+MA 5L(23L warning)收藏指南+MA 23L说明书
 7. 77843GQ1: MA A3L EAN收缩膜+警告语和MADE IN CHINA都翻译成丹麦瑞典芬兰挪威爱沙尼亚语做成一张贴纸(贴纸和位置图翻ICA PO#4500195091)+MA A5L ACCES
 SORY BAG+丹麦瑞典芬兰挪威爱沙尼亚警告语贴纸贴在袋子上((贴纸和位置图翻ICA PO#4500195091))+MA A5L收藏指南+MA A23L警告语和胶水说明书+WEEE_带电池走
货 _ 说明书欧洲EN+29L_C版+MA 3L PDQ
 8. 15733: MA 5L_A_UPC 吊牌+丹麦瑞典芬兰挪威警告语/care@zuru.com邮箱做成一张贴纸(--贴纸和位置图翻Lekia PO#4500183592)+A/B/H/J/K/L baby EAN条码贴
纸(贴纸和位置图翻Lekia PO#4500183592)+MA布标
--此单消耗库存只出A/B/H/J/K/L 款
 9. 15757: MA B3L UPC版彩盒+EAN#4894680049017/瑞典芬兰语警告语做成一张贴纸贴在彩盒上+MA布标
 10. 15783UQ1: MA B5L UPC彩盒+EAN#4894680058330条码贴纸(贴纸和位置图翻Lekia PO#4500200006)+警告语和MADE IN CHINA翻译成丹麦瑞典芬兰挪威爱沙尼亚语
贴纸(贴纸和位置图翻Lekia PO#4500200006+MA C版PDQ+MA布标
 11. 15758: MA A5L UPC吊牌+baby EAN条码贴纸(-条码贴纸和位置图翻LEKEKASSEN PO#4500197359)+警告语和MADE IN CHINA翻译成丹麦瑞典芬兰挪威语贴纸贴在吊
牌上+MA布标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Bisfenol成分,以及不含石棉成分
7.产品条码如下: 请先检查条码是否正确再安排做货，如有问题请告知
ZURU ITEM#&lt;(&gt;&amp;&lt;)&gt;EAN:
92125-S005:4894680046306
92147-S001:4894680058941
9543GQ1-S002:4894680026995
77555GQ1-S002:4894680033429
77673TQ1-S001:4894680042773
77711GQ1-S002-INT:4894680043350
77843GQ1-S002:4894680057753
15733-S001:15733A:4894680042322,15733B:4894680042339, 15733H:4894680042599; 15733J:4894680048591; 15733K:4894680048607; 15733L:4894680048614
15757-S003:4894680049017
15783UQ1-S002:4894680058330
"15758-S001:15758A:4894680049338
15758B:4894680049345
15758D:4894680049352
15758E:4894680049369
15758G:4894680049376
15758H:4894680058378"</t>
  </si>
  <si>
    <t>7UONNMJW</t>
  </si>
  <si>
    <t>4500198659-20</t>
  </si>
  <si>
    <t>4/8-新邮包盒</t>
  </si>
  <si>
    <t>6/10-6/14出</t>
  </si>
  <si>
    <t>IT环保标+西班牙洗涤+贴邮包盒+WEEE_不带电池走货 _ 说明书欧洲EN+30L_B版；</t>
  </si>
  <si>
    <t>4/30-外箱贴纸</t>
  </si>
  <si>
    <t>日期码格式：ZURU INC(BVI) 标准格式 日期：按实际生产日期
Packaging Info: Amazon UK: 5XCD1V9S
Amazon DE: 36DXX2LP
Amazon ES: 7UONNMJW
Amazon UK(9543A)/DE(92104H)/ES(9543A)
1. 9543A: 9543A 24pcs/ctn, no inner, blue; 客版邮包盒(UPC#+英法德意西5L警示语+FR/ES/IT环保标+GPSR邮箱care@zuru.com+UK/FR/DK新地址+ES洗涤说明)+1
张贴纸（含IT环保标+西班牙洗涤,贴邮包盒)+MA 3L（5L warning EAN#）D收缩膜+MA 5L(9L warning) C 说明书+WEEE_不带电池走货 _ 说明书欧洲EN+30L_B版；
3. 验货时间不迟于2026/6/3.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</si>
  <si>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5XCD1V9S</t>
  </si>
  <si>
    <t>4500198659-30</t>
  </si>
  <si>
    <t>2U1DLVJZ</t>
  </si>
  <si>
    <t>4500202512-20</t>
  </si>
  <si>
    <t>客版邮包盒翻4500198659</t>
  </si>
  <si>
    <t>6/18-6/22出</t>
  </si>
  <si>
    <t>贴纸（含FR/IT环保标，贴邮包盒，翻单4500175025+WEEE_不带电池走货 _ 说明书+5/12-外箱贴纸</t>
  </si>
  <si>
    <t>日期码格式：ZURU INC(BVI) 标准格式 日期：按实际生产日期
Packaging Info: Amazon DE :2U1DLVJZ
DE(9543AD)
1. 9543AD:
--9543A:9543A 24pcs/ctn, no inner, blue; 客版邮包盒(UPC#+英法德意西5L警示语+FR/ES/IT环保标+GPSR邮箱care@zuru.com+UK/FR/DK新地址, 参考翻单PO#450
0198659)+1张贴纸（含IT环保标+西班牙洗涤,贴邮包盒,翻单4500198659)+MA 3L（5L warning EAN#）D收缩膜+MA 5L(9L warning) C 说明书+WEEE_不带电池走货 _
说明书欧洲EN+30L_B版；
2. 最迟验货不得晚于6/9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</si>
  <si>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4500203679-70</t>
  </si>
  <si>
    <t>6/18出</t>
  </si>
  <si>
    <t>日期码格式：ZURU INC(BVI) 标准格式                  日期：按实际生产日期
Packaging Info: 
 6. 9543GQ1：MA 3L EAN包装+UPC贴纸+进口商贴纸+MA 3L PDQ包装+箱唛，进口商贴纸翻单PO4500158302，UPC贴纸翻单PO4500184316
Remark: 1.请注意产品包装条形码必须是UPC
2.无第三方验货
 3. 7127：Green/Grey=1:1，2PCS AAA BATTERIES(NOT INCLUDED)
 4. 71152：2PCS AAA BATTERIES(NOT INCLUDED)
 5. 71126：1 assortment，3PCS LR44 BATTERIES(INCLUDED)
 6. 77673：Fixed Collection，3PCS AG13 BATTERIES(INCLUDED)
 7. 9543GQ1：BULE/PURPLE/PINK/ORANGE =5:6:6:5;，2PCS AAA BATTERIES(NOT INCLUDED)
 8. 9298TQ1：(B) Poodle:(G) Brown Dalnatian:(D) Dalmatian:(H)  Hound Dog:(E) Schnauzer:(A)  Shepherd:Corgi=10：7：5：7：12：10：9
 9. 92129TQ1：7  assortments, Ratio: Elephant: Toucan: Zebra: Sloth: Giraffe: Tiger: Peacock=10: 10: 10: 10: 10: 8: 2
 10. 9296：COW:MONKEY:PANDA:ZEBRA:AXOLOTL;CHIKEN:=1:1:1:1:1:1;</t>
  </si>
  <si>
    <t>WALMART CENTRAL AMERICA</t>
  </si>
  <si>
    <t>4500203765-70</t>
  </si>
  <si>
    <t>4500203765拆单，总数不变</t>
  </si>
  <si>
    <t>4500204007-70</t>
  </si>
  <si>
    <t>预计6/16出</t>
  </si>
  <si>
    <t>日期码格式：ZURU INC(BVI) 标准格式                  日期：按实际生产日期
Packaging Info:
 6. 9543GQ1：MA 3L EAN包装+UPC贴纸+进口商贴纸+MA 3L PDQ包装+箱唛，进口商贴纸翻单PO4500158302，UPC贴纸翻单PO4500184316
Remark: 1.请注意产品包装条形码必须是UPC
2.无第三方验货
 3. 7127：Green/Grey=1:1，2PCS AAA BATTERIES(NOT INCLUDED)
 4. 71152：2PCS AAA BATTERIES(NOT INCLUDED)
 5. 71126：1 assortment，3PCS LR44 BATTERIES(INCLUDED)
 6. 77673：Fixed Collection，3PCS AG13 BATTERIES(INCLUDED)
 7. 9543GQ1：BULE/PURPLE/PINK/ORANGE =5:6:6:5;，2PCS AAA BATTERIES(NOT INCLUDED)
 8. 9298TQ1：(B) Poodle:(G) Brown Dalnatian:(D) Dalmatian:(H)  Hound Dog:(E) Schnauzer:(A)  Shepherd:Corgi=10：7：5：7：12：10：9
 9. 92129TQ1：7  assortments, Ratio: Elephant: Toucan: Zebra: Sloth: Giraffe: Tiger: Peacock=10: 10: 10: 10: 10: 8: 2
 10. 9296：COW:MONKEY:PANDA:ZEBRA:AXOLOTL;CHIKEN:=1:1:1:1:1:1;</t>
  </si>
  <si>
    <t>4500205650-70</t>
  </si>
  <si>
    <t xml:space="preserve">日期码格式：ZURU INC(BVI) 标准格式                  日期：按实际生产日期
Packaging Info: 
 6. 9543GQ1：MA 3L EAN包装+UPC贴纸+进口商贴纸+MA 3L PDQ包装+箱唛，进口商贴纸翻单PO4500158302，UPC贴纸翻单PO4500184316
Remark: 1.请注意产品包装条形码必须是UPC
2.无第三方验货
 7. 9543GQ1：BULE/PURPLE/PINK/ORANGE =5:6:6:5;，2PCS AAA BATTERIES(NOT INCLUDED)
</t>
  </si>
  <si>
    <t>4500204363-40</t>
  </si>
  <si>
    <t>多语折叠警语贴纸翻4500173920+1*最新版 29L C版 WEEE不带电走货说明书</t>
  </si>
  <si>
    <t>日期码格式：ZURU INC(BVI) 标准格式                  日期：按实际生产日期
Packaging Info: 
9543GQ1：MA 最新版 3L+5L EAN 收缩膜+1*多语折叠警语贴纸（翻单4500173920）+MA 5L+6L 说明书+MA 最新版 3L PDQ+1*最新版 29L C版 WEEE不带电走货说明书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</si>
  <si>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ZUR-F260312-01</t>
  </si>
  <si>
    <t>4500200831-10</t>
  </si>
  <si>
    <t>6/17出</t>
  </si>
  <si>
    <t xml:space="preserve">日期码格式：ZURU INC(BVI) 标准格式 日期：按实际生产日期
Packaging Info: MA PKG 1L
Remark:
</t>
  </si>
  <si>
    <t>8I5LJDDC</t>
  </si>
  <si>
    <t>4500202513-40</t>
  </si>
  <si>
    <t>4/27-客版邮包盒</t>
  </si>
  <si>
    <t>6/20-6/24出</t>
  </si>
  <si>
    <t>贴纸（含IT环保标+西班牙洗涤,贴邮包盒,翻单4500198659)+WEEE_不带电池走货 _ 说明欧洲EN+30L_B版；</t>
  </si>
  <si>
    <t>5/12-外箱贴</t>
  </si>
  <si>
    <t>日期码格式：ZURU INC(BVI) 标准格式 日期：按实际生产日期
Packaging Info: Amazon UK:8I5LJDDC
UK(9543E/9279EH/92104H)
1. 9543E:9543E 24pcs/ctn, no inner, orange; 客版邮包盒(UPC#+英法德意西5L警示语+FR/ES/IT环保标+GPSR邮箱care@zuru.com+新FR/DK/UK地址+西班牙洗涤说
明)+1张贴纸（含IT环保标+西班牙洗涤,贴邮包盒,翻单4500198659)+MA 3L（5L warning EAN#）D收缩膜+MA 5L(9L warning) C 说明书+WEEE_不带电池走货 _ 说明
书欧洲EN+30L_B版；
3. 最迟验货不得晚于6/12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</si>
  <si>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UPD,  INC.</t>
  </si>
  <si>
    <t>4500205714-40</t>
  </si>
  <si>
    <t>5/14收到</t>
  </si>
  <si>
    <t>日期码格式：ZURU INC(BVI) 标准格式 日期：按实际生产日期
Packaging Info: 1. 包装方式：MA UPC 优先1L 最新包装，出口美国
Remark: 2. 外箱箱唛红色和黑色双色印刷
3. 产品和包装上印刷tracking code信息，格式为ZURU常规
4. ITEM 15828-S001-FUGGLER-FART FACE 9"-ZURU SERIES 1-PLUSH-WINDOW BOX-12PCS/CTN
** 4 assortments: A:B:E:G, even ratio
5. ITEM 15714-S001-FUGGLER-NON LICENSED 9" CORE-SERIES 1-VACAY VIBES PLUSH 9"-WINDOW BOX-12PCS/CTN
** 5 assortments: B:D:E:G:M, even ratio</t>
  </si>
  <si>
    <t>Angel  Lin</t>
  </si>
  <si>
    <t>4500206793-40</t>
  </si>
  <si>
    <t>6/29出</t>
  </si>
  <si>
    <t>5/18收到</t>
  </si>
  <si>
    <t>德语callout/荷兰语警示语贴纸(翻4500186101)+ 5/19-产品贴纸+WEEE声明(不带电池)走货欧洲通用29L-C版说明书</t>
  </si>
  <si>
    <t>日期码格式：ZURU INC(BVI) 标准格式                  日期：按实际生产日期
Packaging Info: 
"9543GQ1: 最新MA 3L PDQ +MA-3L(5L warning)收缩膜+1张含德语callout/荷兰语警示语贴纸(翻#4500186101)+ 产品贴纸(ZURU FRANCE 新地址)贴纸位参考#450013
6411,地址信息按通用法国新地址图档 +C版5L(9L Warning)说明书+WEEE声明(不带电池)走货欧洲通用29L-C版说明书
bule/purple/pink/orange =5:6:6:5;
EAN#4894680026995"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电子产品需增加一张C版WEEE声明29L通用黑白说明书(不接受A版本，翻译有误)，区分带电池和不带电池出货版本, 如已做客版说明书可忽略此要求；如包装备注
上缺少此部分信息，请提醒跟单更新备注。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</si>
  <si>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Mary Qu</t>
  </si>
  <si>
    <t>4500206793-80</t>
  </si>
  <si>
    <t>ET-GROUP A/S</t>
  </si>
  <si>
    <t>4500202539-40</t>
  </si>
  <si>
    <t>预计6/23出</t>
  </si>
  <si>
    <t>5/11收到</t>
  </si>
  <si>
    <t>日期码格式：ZURU INC(BVI) 标准格式                  日期：按实际生产日期
Packaging Info: 1. 9283: MA_C_3L(EAN)收缩膜+挪威/瑞典/芬兰语警告语&lt;(&gt;&amp;&lt;)&gt;care@zuru.com全部信息做成一张贴纸(贴纸和位置图翻PO#4500183592)
 2. 7150B: MA1L_B 彩盒+三岁以下警告语翻译成挪威语警告语&lt;(&gt;&amp;&lt;)&gt;7150B EAN#4894680021143&lt;(&gt;&amp;&lt;)&gt;care@zuru.com做成一张贴纸贴在彩盒上+彩盒上的瑞典语电
池信息错误,更新为Batterier ingårinte，做丹麦/芬兰/瑞典/挪威电池信息贴纸覆盖错误的部分(--贴纸和位置图翻PO#4500183825)+客版6L说明书(英语丹麦瑞典
芬兰挪威爱沙尼亚语言翻PO#4500162375)
--客版说明书消耗客版MA#1000032704库存
 3. 92129TQ2: MA_A_3L(Warning 23L)-EAN版收缩膜+MA A Version_5L(WARNING 9L) POOP POLYBAG_+丹麦瑞典芬兰挪威爱沙尼亚语警告语贴纸贴在polybag上(贴纸和
位置图翻SOK PO#4500175934)+MA 2L布标+MA_A_5L(Warning 23L)收藏指南+MA A版PDQ
 4. 9543GQ1: MA D_3L+5L EAN版收缩膜+警告语/MADE IN CHINA/收缩膜上的布标信息全部信息翻译成丹麦瑞典芬兰挪威爱沙尼亚语做成一张贴纸贴在收缩膜上(贴纸
和位置图翻Lekia PO#4500192711)+客版C6L 版说明书(英语丹麦瑞典芬兰挪威爱沙尼亚语言/WEEE信息直接印刷在说明书上--翻Lekia PO#4500192711)
 5. 9565GQ1: MA A3L EAN版收缩膜+警告语/MADE IN CHINA/收缩膜上的布标信息/电池信息都翻译成丹麦瑞典芬兰挪威爱沙尼亚语言做成一张贴纸(贴纸和位置图翻S
 OK PO#4500176306)+客版6L收藏指南(英语丹麦瑞典芬兰挪威爱沙尼亚语言/WEEE信息/EN: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swallowed一并加上这句警告语并翻译成丹麦瑞典芬兰挪威爱沙尼亚语言全部信息印刷在收藏指南上翻SOK PO#45001
 76306)+MA PDQ
--客版收藏海南消耗客版MA#1000038567库存
6. 77843GQ1: MA A3L EAN收缩膜+警告语和MADE IN CHINA都翻译成丹麦瑞典芬兰挪威爱沙尼亚语做成一张贴纸(贴纸和位置图翻ICA PO#4500195091)+MA A5L ACCES
SORY BAG+丹麦瑞典芬兰挪威爱沙尼亚警告语贴纸贴在袋子上(贴纸和位置图翻ICA PO#4500195091)+MA A5L收藏指南+MA A23L警告语和胶水说明书+WEEE_带电池走货
    说明书欧洲EN+29L_C版+MA 3L PDQ
7. 9258: MA_B_3L(warning 9L) UPC版收缩膜+EAN#4894680021082/丹麦瑞典芬兰挪威语警告语做成一张贴纸+slime polybag_MA_C_5L-9L warning+瑞典芬兰挪威语
警告语贴纸贴在slime袋子上+MA_B_5L(9L warning)收藏指南+MA_B beads bag+挪威瑞典丹麦芬兰爱沙尼亚警告语贴在beads bag袋子上(翻TAS PO#4500161075)+MA
布标
 8. 92104TQ2: MA_B_3L(Warning 13L)_EAN版收缩膜+丹麦瑞典芬兰挪威警告语贴纸(贴纸和位置图翻ICA PO#4500169371)+MA_B_5L(warning 23L)收藏指南+MA_C_5L(w
 arning 9L) Slime Polybag+丹麦瑞典芬兰挪威爱沙尼亚警告语贴纸贴在袋子上(贴纸和位置图翻Kärkkäine O#4500179713)+MA PDQ+MA 布标/贴纸/吊牌+MA B版PDQ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 and/or Bisfenol成分, 以及不含石棉成分
7. 产品条码如下: 请先检查条码是否正确再安排做货，如有问题请告知:
9283-S001:4894680026841
7150B-S002:4894680021143
92129TQ2-S002-NB:4894680049888
9543GQ1-S002:4894680026995
9565GQ1-S002:4894680046511
77843GQ1-S002:4894680057753
9258-S004-CA:4894680021082
92104TQ2-S002-NB:4894680033542</t>
  </si>
  <si>
    <t>4500204025-70</t>
  </si>
  <si>
    <t>4/29收到</t>
  </si>
  <si>
    <t>日期码格式：ZURU INC(BVI) 标准格式                  日期：按实际生产日期
Packaging Info: 
"9543GQ1: 最新MA 3L PDQ +MA-3L(5L warning)EAN收缩膜+C版5L(9L Warning)说明书+WEEE声明(不带电池)走货欧洲通用29L-C版说明书
bule/purple/pink/orange =5:6:6:5;
EAN#4894680026995"
 7 Assortments; Rare assortment 1/24, others even ratio
 *外箱四面需要贴一张限制上架日期贴纸(GLOBAL ONSHELF DATE:2026/6/14), 翻PO#4500203953*"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</si>
  <si>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4500200123-10</t>
  </si>
  <si>
    <t>4/20收到</t>
  </si>
  <si>
    <t>5/26-UPC条码贴纸+进口商贴纸产品/包装/说明书+保证书翻4500168907</t>
  </si>
  <si>
    <t>日期码格式：LOTDGYYYYMMDD                  日期：按实际生产日期
Packaging Info: 9543GQ1: MA 3L EAN包装+UPC条码贴纸+进口商贴纸+MA 3L PDQ包装+MA 多语说明书+保证书+箱唛，3张不同进口商贴纸分别贴到产品/包装/说明书上, 仅保证书翻
单PO4500168907，其他贴纸请等我们提供
Remark: 1.  客版日期码要求：LOT+ZURU标准日期码格式。东莞生产的格式：LOTDGYYYYMMDD, DG是东莞拼音首字母，
 YYYYMMDD是实际的年月日，例如(LOTDG20240920)
 2. 9543GQ1：  2PCS AAA Batteries(Not Include); bule/purple/pink/orange =5:6:6:5
 4. 此单有第三方监柜，至少多备一套完整的物料用于监柜，请多备料。
 5. WM墨西哥防霉的新要求:货物必须在出货主箱和集装箱中按要求放置干燥剂，干燥剂指定品牌干霸
 9543GQ1：需要在每箱放入6小包干燥剂，每包干燥剂重量2g
如走柜货等loading plan 确认后再通知集装箱干燥剂数量</t>
  </si>
  <si>
    <t>4500200123-20</t>
  </si>
  <si>
    <t>4500200614-110</t>
  </si>
  <si>
    <t>进口商贴纸翻4500165899+UPC贴纸翻4500200402</t>
  </si>
  <si>
    <t>日期码格式：ZURU INC(BVI) 标准格式 日期：按实际生产日期
Packaging Info: 9543GQ1: MA 多语包装+进口商贴纸+UPC贴纸+箱唛，进口商贴纸翻单PO4500165899，UPC贴纸翻单PO4500200402
Remark: 如某个item的进口商贴纸和UPC贴纸合并为一张，请忽略UPC贴纸的需求，包装上的条码必须是UPC</t>
  </si>
  <si>
    <t>02428639/1</t>
  </si>
  <si>
    <t>4500195607-10</t>
  </si>
  <si>
    <t>7/8出</t>
  </si>
  <si>
    <t xml:space="preserve">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Remark:9543GQ1:WEEE_不带电池走货 _ 说明书欧洲EN+29L_C版
</t>
  </si>
  <si>
    <t>02428640/1</t>
  </si>
  <si>
    <t>4500195607-30</t>
  </si>
  <si>
    <t>4500206937-20</t>
  </si>
  <si>
    <t>5/27收到</t>
  </si>
  <si>
    <t>5/29-多语折叠警语贴纸+最新版 29L C版 WEEE不带电走货说明书</t>
  </si>
  <si>
    <t xml:space="preserve">日期码格式：ZURU INC(BVI) 标准格式                  日期：按实际生产日期
Packaging Info:9543GQ1：MA 最新版 3L+5L EAN 收缩膜+1*多语折叠警语贴纸+MA 5L+6L 说明书+MA 最新版 3L PDQ+1*最新版 29L C版 WEEE不带电走货说明书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
</t>
  </si>
  <si>
    <t>4500204290-50</t>
  </si>
  <si>
    <t>7/3出</t>
  </si>
  <si>
    <t>日期码格式： ZURU INC(BVI) 标准格式 日期：按实际生产日期
Packaging Info: 1. ZURU MA UPC (首选1L / 多语可以接受)包装,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</si>
  <si>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BREIMEIR  GMBH</t>
  </si>
  <si>
    <t>4500207460-10</t>
  </si>
  <si>
    <t>7/2出</t>
  </si>
  <si>
    <t>5/29收到</t>
  </si>
  <si>
    <t>日期码格式：ZURU  INC(BVI)  标准格式                                    日期：按实际生产日期
Packaging Info: 9543GQ1：MA  D版3L+5L警语  EAN收缩膜，MA  C版5L+9L警语说明书，C版不带电池走货EU通用29L  WEEE说明书，MA  C版3L  PDQ
Remark: 1.  此单出德国，走整柜；需准时完货，如有推期会有罚款；
   2.  出口欧洲，微塑料需符合法规，电池符合欧洲法规要求(如有)；
   3.  所有出往GAS市场(德国/奥地利/瑞士)订单，化学品需无硼无香版本；涉及到车仔的item都不出军事车仔；
   4.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5.  所有出往欧洲订单的电子产品需增加一张通用  29L  WEEE声明说明书，区分带电池出货和不带电池出货版本，如已做客版说明书可忽略此要求；
   6.  对于欧洲带电池的玩具，使用新标识的电池以及新说明书
   7.  STD配比。</t>
  </si>
  <si>
    <t>Nicole  Ye</t>
  </si>
  <si>
    <t>8SIZHHZW</t>
  </si>
  <si>
    <t>4500204860-40</t>
  </si>
  <si>
    <t>客版邮包盒翻4500202513</t>
  </si>
  <si>
    <t>邮包盒贴纸翻单4500198659MA+WEEE不带电池走货_说明书欧洲EN+29L_C版+6/8-外箱贴</t>
  </si>
  <si>
    <t>日期码格式：ZURU INC(BVI) 标准格式                  日期：按实际生产日期
Packaging Info: Amazon UK：8SIZHHZW
UK(77555/77486/77515/9543E)
4.9543E:9543E 24pcs/ctn, no inner, orange; 客版邮包盒(UPC#+英法德意西5L警示语+FR/ES/IT环保标+GPSR邮箱care@zuru.com+新UK地址，参考翻单PO#4500202
513)+1张贴纸（1张含FR/IT环保标+西班牙洗涤说明， 贴邮包盒，翻单4500198659）+MA 3L（5L warning EAN#）D收缩膜+MA 5L(9L warning) C 说明书+WEEE_不带
电池走货 _ 说明书欧洲EN+29L_C版；
5.验货时间不迟于2026/6/29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</si>
  <si>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BEALL'S  OUTLET  STORES,  INC.</t>
  </si>
  <si>
    <t>4500207784-220</t>
  </si>
  <si>
    <t>6/3-客供价格贴纸</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</si>
  <si>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
3.#15714-S001比例：b:d:e:g:h:k:m=1：1：1：2：1：1：5
        #15727-S001比例：d:l:m=1:1:1</t>
  </si>
  <si>
    <t>Hailey  Yu</t>
  </si>
  <si>
    <t>4500207784-230</t>
  </si>
  <si>
    <t>1627461 ALBERTA LTD C/O SHOPVILLE</t>
  </si>
  <si>
    <t>9010 Zuru Apr 28</t>
  </si>
  <si>
    <t>4500208801-10</t>
  </si>
  <si>
    <t>6/2收到</t>
  </si>
  <si>
    <t>6/6-UPC贴纸</t>
  </si>
  <si>
    <t>日期码格式：ZURU INC(BVI) 标准格式 日期：按实际生产日期
Packaging Info: 9543GQ1 MA 多语C版加UPC贴纸
Remark: 出加拿大
Zuru验货.日期跟踪码：产品外包装及产品本身都必须有日期跟踪码，ZURU标准格式日期码</t>
  </si>
  <si>
    <t>Bella Tan</t>
  </si>
  <si>
    <t>LLC  SALUS</t>
  </si>
  <si>
    <t>4500206895-110</t>
  </si>
  <si>
    <t>5/23收到</t>
  </si>
  <si>
    <t>6/9-进口商贴纸+5/23-QR code</t>
  </si>
  <si>
    <t>日期码格式：ZURU INC(BVI) 标准格式 日期：按实际生产日期
Packaging Info: MA UPC 包装+进口商贴纸+QR code (一物一码)+MA PDQ(如有）
配比：标准配比
包装上年龄需与进口商贴纸上的一致，若不一致需加上相对应的年龄贴纸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</si>
  <si>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Ann  Zhang</t>
  </si>
  <si>
    <t>OTTO  SIMON  B.V.</t>
  </si>
  <si>
    <t>IO-2601069</t>
  </si>
  <si>
    <t>4500208595-80</t>
  </si>
  <si>
    <t>7/11出</t>
  </si>
  <si>
    <t>5/29-客人款号EAN条码贴纸+NL警语贴纸+WEE最新版不带电池走货说明书</t>
  </si>
  <si>
    <t>批次号是IO-2601069</t>
  </si>
  <si>
    <t>9543GQ1:MA 最新版3L+5L收缩膜+1张带客人款号的 EAN条码（4894680026995）贴纸+NL警语贴纸，MA 最新版5L+9L说明书，MA最新版3LPDQ，WEE最新版不带电池走
货说明书
Remark: 1.所有产品按符合欧洲标准走货，微塑料需合规。
2.所有包装材料都不允许PVC, 请用PET代替
3.样板需求： 每个item 需要寄出1 PC 大货样，请多备料
4.日期码和批次号都要打在产品和包装上，日期码按ZURU标准格式，批次号是IO-2601069（客人PO#， 其中IO是大写英文字母）
5.所有出往欧洲市场订单的电子产品需增加一张WEEE声明说明书，区分带电池和不带电池版本, 如已做客版说明书可忽略此要求。
6. 客人款号:
576-9998 92129TQ1
576-2146 92146
576-9214 92147
581-8330 15783UQ1
581-8354 15789UQ1
581-8439 15797
576-7265 9574
576-9543 9543GQ1
861-1133 77772GQ2</t>
  </si>
  <si>
    <t>Amber  Zhang</t>
  </si>
  <si>
    <t>MELOMAN  HOME  VIDEO  LLP</t>
  </si>
  <si>
    <t>4500207968-10</t>
  </si>
  <si>
    <t>7/13出</t>
  </si>
  <si>
    <t>5/25收到</t>
  </si>
  <si>
    <t>5/25-通用贴纸</t>
  </si>
  <si>
    <t>日期码格式：ZURU  INC(BVI)  标准格式                                    日期：按实际生产日期
Packaging Info: MA  UPC  包装+通用贴纸，MA  PDQ/说明书（如有）
Remark: 标准配比；</t>
  </si>
  <si>
    <t>4500207210-30</t>
  </si>
  <si>
    <t>日期码格式：ZURU INC(BVI) 标准格式                  日期：按实际生产日期
Packaging Info:
9543GQ1: 最新MA 3L PDQ +MA-3L(5L warning)EAN收缩膜+C版5L(9L Warning)说明书+WEEE声明(不带电池)走货欧洲通用29L-C版说明书
bule/purple/pink/orange =5:6:6:5;
EAN#4894680026995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7.做货前请先复核包装条码与订单是否一致再安排，对不上的需与ZURU跟单确认再安排。</t>
  </si>
  <si>
    <t>已下</t>
  </si>
  <si>
    <t>4NAZ95EU</t>
  </si>
  <si>
    <t>4500206329-170</t>
  </si>
  <si>
    <t>6/24-外箱贴</t>
  </si>
  <si>
    <t>日期码格式：ZURU INC(BVI) 标准格式 日期：按实际生产日期
Packaging Info:
#9543: MA 3L 加UPC贴纸， UPC贴纸跟翻单4500098824。B:193052051783, 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</si>
  <si>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7YFATNJE</t>
  </si>
  <si>
    <t>4500206414-60</t>
  </si>
  <si>
    <t>日期码格式：ZURU INC(BVI) 标准格式                  日期：按实际生产日期
Packaging Info: 
 3. #9543: MA 3L 加UPC贴纸，  UPC贴纸跟翻单4500098824。B:193052051783, 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</si>
  <si>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3DRWOV2I</t>
  </si>
  <si>
    <t>4500206414-70</t>
  </si>
  <si>
    <t>3D6DFB5C</t>
  </si>
  <si>
    <t>4500206414-80</t>
  </si>
  <si>
    <t>42VAN71T</t>
  </si>
  <si>
    <t>4500206414-90</t>
  </si>
  <si>
    <t>2XZ2L71W</t>
  </si>
  <si>
    <t>4500206414-100</t>
  </si>
  <si>
    <t>37BBH74G</t>
  </si>
  <si>
    <t>4500206414-110</t>
  </si>
  <si>
    <t>2RICL3YX</t>
  </si>
  <si>
    <t>4500206414-120</t>
  </si>
  <si>
    <t>5Z5LI73L</t>
  </si>
  <si>
    <t>4500206414-130</t>
  </si>
  <si>
    <t>AMAZON  CA  (VENDOR  CENTER)</t>
  </si>
  <si>
    <t>184P76JM</t>
  </si>
  <si>
    <t>4500208384-10</t>
  </si>
  <si>
    <t>日期码格式：ZURU  INC(BVI)  标准格式                                    日期：按实际生产日期
Packaging Info: #9543:  MA  3L  加UPC贴纸，    UPC贴纸跟翻单4500098824。A:193052051776,B:193052051783,  D:193052051790;
#9543:  MA  3L  加UPC贴纸，    UPC贴纸跟翻单4500098824。B:193052051783,  E:193052051806;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</si>
  <si>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Kelly  Shen</t>
  </si>
  <si>
    <t>1BD4KWMK</t>
  </si>
  <si>
    <t>4500208384-20</t>
  </si>
  <si>
    <t>5X5U8FWK</t>
  </si>
  <si>
    <t>4500208384-30</t>
  </si>
  <si>
    <t>3SXP93YQ</t>
  </si>
  <si>
    <t>4500208384-40</t>
  </si>
  <si>
    <t>31NMKPYZ</t>
  </si>
  <si>
    <t>4500208384-50</t>
  </si>
  <si>
    <t>7DBUORWL</t>
  </si>
  <si>
    <t>4500208384-60</t>
  </si>
  <si>
    <t>3NPBCXYX</t>
  </si>
  <si>
    <t>4500208384-70</t>
  </si>
  <si>
    <t>69O2H1GU</t>
  </si>
  <si>
    <t>4500208384-80</t>
  </si>
  <si>
    <t>8LIH88AP</t>
  </si>
  <si>
    <t>4500208384-90</t>
  </si>
  <si>
    <t>6TPJ72BD</t>
  </si>
  <si>
    <t>4500208384-100</t>
  </si>
  <si>
    <t>1ILPJ9RS</t>
  </si>
  <si>
    <t>4500208384-110</t>
  </si>
  <si>
    <t>5MYPSJ9E</t>
  </si>
  <si>
    <t>4500208384-120</t>
  </si>
  <si>
    <t>7GPLR86M</t>
  </si>
  <si>
    <t>4500208384-130</t>
  </si>
  <si>
    <t>82EBWJSP</t>
  </si>
  <si>
    <t>4500208384-140</t>
  </si>
  <si>
    <t>8SWEU9LA</t>
  </si>
  <si>
    <t>4500208384-150</t>
  </si>
  <si>
    <t>3DOILQHU</t>
  </si>
  <si>
    <t>4500208384-160</t>
  </si>
  <si>
    <t>2MSHP37Q</t>
  </si>
  <si>
    <t>4500208384-170</t>
  </si>
  <si>
    <t>1TULTM3H</t>
  </si>
  <si>
    <t>4500208384-180</t>
  </si>
  <si>
    <t>3BZ7GPWF</t>
  </si>
  <si>
    <t>4500208384-190</t>
  </si>
  <si>
    <t>7RIAGOQY</t>
  </si>
  <si>
    <t>4500208384-200</t>
  </si>
  <si>
    <t>4500207067-50</t>
  </si>
  <si>
    <t>欠客供价格贴纸</t>
  </si>
  <si>
    <t>日期码格式：ZURU INC(BVI) 标准格式                  日期：按实际生产日期
Packaging Info: 1.  STD Items: ZURU MA UPC 现有包装+客供价格贴纸，优先使用MA 1L最新版本（可接受多语）,出口美国
Cus Item: #9579, #9564:   MA UPC 现有包装+PVC桶, 铜板纸+客供价格贴纸，优先使用MA 1L最新版本（可接受多语），出口美国。
Remark: #15714 Ratio —   b:d:e:g:m=2:2:2:2:4
#15733 去除K款，其余平均
#92107 Ratio —   蝴蝶D: 长颈鹿B：大象A= 1:1:2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</si>
  <si>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MUELLER HANDELS GMBH &amp; CO. KG</t>
  </si>
  <si>
    <t>4500208808-40</t>
  </si>
  <si>
    <t>7/14出</t>
  </si>
  <si>
    <t>6/1收到</t>
  </si>
  <si>
    <t>5/26-警语贴纸+客版黑白说明书+欧洲通用29L WEEE说明书(不带电池)</t>
  </si>
  <si>
    <t>日期码格式：07/2026 日期：
Packaging Info: 
9543GQ1: 最新MA 3L PDQ+3L+5L警语EAN包装+HR(克罗地亚)/SI(斯洛维尼亚))/HU(匈牙利)/CZ(捷克语)/SK(斯洛伐克)警语贴纸+5L+6L警语说明书+客版HR(克罗地亚)
/SI(斯洛维尼亚))/HU(匈牙利)/CZ(捷克语)/SK(斯洛伐克)黑白说明书+欧洲通用29L WEEE说明书(不带电池)
Remark: 1.外箱上下需要加保护卡，如纸箱本身也能保护可不用, 以便在开箱的时候胶袋和产品不会被划破。（保护卡需要是整面）
2.此单需要在7月2日提供验货图片给客户确认ok后，才能放货。
3.此单出口德国，需要15PAHs.需要符合德国的测试标准。
4.此单客人要求吸塑要求使用PET材质。
5.此单生产指定日期：07/2026 【格式为：month/ year (mm/yyyy)】产品、包装、外箱需保持一致。
6.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7. 所有出往GAS市场(德国/奥地利/瑞士)的电子产品需增加一张欧洲通用WEEE声明说明书，区分带电池和不带电池版本, 如已做客版说明书可忽略此要求。
8. 所有出往GAS市场(德国/奥地利/瑞士)订单，化学品需无堋无香版本。
9. 大货样品3套，请多备料。
10. 所有包装需包含西班牙logo及10L警语(DE(德语)/HR(克罗地亚)/SI(SLO斯洛维尼亚))/HU(匈牙利)/ES(西班牙)/FR(法国)/IT(意大利)/GB(英语)/SK(斯洛伐克)/C
Z(捷克语)</t>
  </si>
  <si>
    <t>AS191225ZUR15275</t>
  </si>
  <si>
    <t>4500208771-30</t>
  </si>
  <si>
    <t>7/12出</t>
  </si>
  <si>
    <t>6/13-PDQ 底部贴纸(35063389172559)+WEEE 29L不带电池说明书最新版</t>
  </si>
  <si>
    <t>日期码格式：ZURU INC(BVI) 标准格式                  日期：按实际生产日期
Packaging Info: 
9543GQ1:MA UPC 最新包装-产品条码-193052050328+PDQ 底部贴纸(35063389172559)+WEEE 29L 不带电池说明书最新版;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
7.请额外准备一套大货样</t>
  </si>
  <si>
    <r>
      <rPr>
        <sz val="12"/>
        <color rgb="FF0000FF"/>
        <rFont val="宋体"/>
        <charset val="134"/>
        <scheme val="minor"/>
      </rPr>
      <t>AMAZON</t>
    </r>
    <r>
      <rPr>
        <sz val="12"/>
        <color rgb="FF0000FF"/>
        <rFont val="宋体"/>
        <charset val="134"/>
      </rPr>
      <t xml:space="preserve">  CA  (VENDOR  CENTER)</t>
    </r>
  </si>
  <si>
    <t>4Q7FP9EB</t>
  </si>
  <si>
    <t>4500210757-20</t>
  </si>
  <si>
    <t>6/4收到</t>
  </si>
  <si>
    <t>日期码格式：ZURU  INC(BVI)  标准格式                                    日期：按实际生产日期
Packaging Info: #9543:  MA  3L  加UPC贴纸，    UPC贴纸跟翻单4500098824。A:193052051776,B:193052051783,  D:193052051790;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</si>
  <si>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r>
      <rPr>
        <sz val="12"/>
        <color rgb="FF0000FF"/>
        <rFont val="宋体"/>
        <charset val="134"/>
        <scheme val="minor"/>
      </rPr>
      <t>Kelly</t>
    </r>
    <r>
      <rPr>
        <sz val="11"/>
        <color rgb="FF0000FF"/>
        <rFont val="宋体"/>
        <charset val="134"/>
      </rPr>
      <t xml:space="preserve">  Shen</t>
    </r>
  </si>
  <si>
    <t>8HV7IMHU</t>
  </si>
  <si>
    <t>4500210757-30</t>
  </si>
  <si>
    <t>6CMUEKUC</t>
  </si>
  <si>
    <t>4500210757-40</t>
  </si>
  <si>
    <t>4D3RSS8X</t>
  </si>
  <si>
    <t>4500210757-50</t>
  </si>
  <si>
    <t>7I6QX84S</t>
  </si>
  <si>
    <t>4500210757-60</t>
  </si>
  <si>
    <t>42WJLHGU</t>
  </si>
  <si>
    <t>4500210757-70</t>
  </si>
  <si>
    <t>4SIEW8ZT</t>
  </si>
  <si>
    <t>4500210757-80</t>
  </si>
  <si>
    <t>43TYS8XA</t>
  </si>
  <si>
    <t>4500210757-90</t>
  </si>
  <si>
    <t>4500203225-130</t>
  </si>
  <si>
    <t>6/15-UPC贴纸</t>
  </si>
  <si>
    <t xml:space="preserve">日期码格式：ZURU INC(BVI) 标准格式                  日期：按实际生产日期
Packaging Info: 1.优先多语 MA UPC或者3L/5L MA EAN 包装
2.请确保包装上的条形码是UPC，如果是babyUPC、需要用mother UPC覆盖，如有不一致，请及时提出。谢谢!
9543GQ1 MA 多语EAN 包装+UPC 贴纸+MA 多语PDQ+箱唛
Remark: 
9543GQ1 "2PCS AAA BATTERIES(NOT INCLUDED)
" BULE/PURPLE/PINK/ORANGE =5:6:6:5;
</t>
  </si>
  <si>
    <t>4500205041-180</t>
  </si>
  <si>
    <t>进口商贴纸/保证书翻4500177857+6/22-价标贴纸</t>
  </si>
  <si>
    <t>日期码格式：ZURU INC(BVI) 标准格式 日期：按实际生产日期
Packaging Info: 
9543GQ1:MA多语 包装+MA 多语说明书（含西语）+进口商贴纸+价标贴纸+保证书+箱唛，包装/说明书都需要贴一张进口商贴纸，进口商贴纸,保证书翻单4500177857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3.如进口商贴纸和UPC贴纸合并为一张，请忽略UPC贴纸文档的需求</t>
  </si>
  <si>
    <t>05542-MVS</t>
  </si>
  <si>
    <t>4500206023-70</t>
  </si>
  <si>
    <t>6/24-UPC贴纸+进口商贴纸</t>
  </si>
  <si>
    <t>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包装需要用UPC贴纸覆盖）+箱唛+进口商贴纸
15759UQ1  mother UPC:193052087867
15760UQ1  mother UPC:193052087874
15756UQ1 mother UPC:193052087881
 15749  mother UPC:193052087904
 15750  mother UPC:193052087911
 15752  mother UPC:193052087928
 15755  mother UPC:193052087959
 15746 "mother UPC:193052086228
Remark: 15759UQ1 6 Assortments=1:1:1:1:1:1
15760UQ1 10 Assortment even ratio
15756UQ1 5 Assortment even ratio
15749 6 Assortments=A:B:D:E:G:H=1:1:1:1:1:1
15750 6 Assortments, even ratio
15752 6 Assortments, even ratio
15755 4 Assortments; even ratio
15746 4 Assortment=1:1:1:1</t>
  </si>
  <si>
    <t>4500206551-10</t>
  </si>
  <si>
    <t>6/9-客供价格贴纸</t>
  </si>
  <si>
    <t>日期码格式：ZURU INC(BVI) 标准格式                  日期：按实际生产日期
Packaging Info: 1.  STD Items: ZURU MA UPC 现有包装+客供价格贴纸，优先使用MA 1L最新版本（可接受多语）,出口美国
Cus Item: MA UPC 现有包装+PVC桶,铜板纸+客供价格贴纸，优先使用MA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</si>
  <si>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1S5OWWQF</t>
  </si>
  <si>
    <t>4500209931-410</t>
  </si>
  <si>
    <t>7/25出</t>
  </si>
  <si>
    <t>7/1外箱贴纸</t>
  </si>
  <si>
    <t>日期码格式：ZURU  INC(BVI)  标准格式                                    日期：按实际生产日期
Packaging Info: 
#9543:  MA  3L  加UPC贴纸，    UPC贴纸跟翻单4500098824。A:193052051776,B:193052051783,  D:193052051790;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</si>
  <si>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r>
      <rPr>
        <sz val="12"/>
        <color rgb="FF0000FF"/>
        <rFont val="宋体"/>
        <charset val="134"/>
        <scheme val="minor"/>
      </rPr>
      <t>Kelly</t>
    </r>
    <r>
      <rPr>
        <sz val="10"/>
        <color rgb="FF0000FF"/>
        <rFont val="等线"/>
        <charset val="134"/>
      </rPr>
      <t xml:space="preserve">  Shen</t>
    </r>
  </si>
  <si>
    <t>5D4VVOZE</t>
  </si>
  <si>
    <t>4500209931-420</t>
  </si>
  <si>
    <t>6989H1JX</t>
  </si>
  <si>
    <t>4500209931-430</t>
  </si>
  <si>
    <t>54CBH1GK</t>
  </si>
  <si>
    <t>4500209931-440</t>
  </si>
  <si>
    <t>18V7XK3C</t>
  </si>
  <si>
    <t>4500209931-450</t>
  </si>
  <si>
    <t>5R5YYWNO</t>
  </si>
  <si>
    <t>4500209931-460</t>
  </si>
  <si>
    <t>7MO48I8I</t>
  </si>
  <si>
    <t>4500209931-470</t>
  </si>
  <si>
    <t>4500205370-40</t>
  </si>
  <si>
    <t>8/19出</t>
  </si>
  <si>
    <t>5/21-客人白色Cat.label+最新版WEEE 不带电池说明书</t>
  </si>
  <si>
    <t>日期码格式：ZURU INC(BVI) 标准格式                  日期：按实际生产日期
Packaging Info: 1.
7140/9543:MA UPC包装+客人白色Cat.label 1张; MA说明书+最新版WEEE 不带电池说明书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*主拼工厂需要提前准备密网用于装柜，装柜拉网请务必按照客人要求固定好，避免货物在运输过程中坍塌，不规范的拉网或者漏掉都会导致客人罚款</t>
  </si>
  <si>
    <r>
      <rPr>
        <sz val="12"/>
        <color rgb="FF0000FF"/>
        <rFont val="宋体"/>
        <charset val="134"/>
        <scheme val="minor"/>
      </rPr>
      <t>TOYS</t>
    </r>
    <r>
      <rPr>
        <sz val="12"/>
        <color rgb="FF0000FF"/>
        <rFont val="宋体"/>
        <charset val="134"/>
      </rPr>
      <t xml:space="preserve">  WORLD  FREIZEITARTIKEL  UND  SPIE</t>
    </r>
  </si>
  <si>
    <t>4500209355-40</t>
  </si>
  <si>
    <t>欧洲通用29L WEEE说明书(不带电池)</t>
  </si>
  <si>
    <t>日期码格式：ZURU INC(BVI) 标准格式 日期：按实际生产日期
Packaging Info: 
9543GQ1: 最新MA 3L PDQ+3L+5L警语EAN包装+5L+6L警语说明书+欧洲通用29L WEEE说明书(不带电池)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3. 所有出往GAS市场(德国/奥地利/瑞士)的电子产品需增加一张欧洲通用WEEE声明说明书，区分带电池和不带电池版本, 如已做客版说明书可忽略此要求。
4. 所有出往GAS市场(德国/奥地利/瑞士)订单，化学品需无堋无香版本。
5. 大货样品2套，请多备料
6. 标准配比</t>
  </si>
  <si>
    <r>
      <rPr>
        <sz val="12"/>
        <color rgb="FF0000FF"/>
        <rFont val="宋体"/>
        <charset val="134"/>
        <scheme val="minor"/>
      </rPr>
      <t>Shirley</t>
    </r>
    <r>
      <rPr>
        <sz val="10"/>
        <color rgb="FF0000FF"/>
        <rFont val="宋体"/>
        <charset val="134"/>
      </rPr>
      <t xml:space="preserve">  Zhou</t>
    </r>
  </si>
  <si>
    <t>4  KIDZ  SP  Z  O.O.</t>
  </si>
  <si>
    <t>Auchan  AW2026</t>
  </si>
  <si>
    <t>4500207334-70</t>
  </si>
  <si>
    <t>进口商贴纸翻4500191714+WEEE不带电池走货声明书</t>
  </si>
  <si>
    <t>日期码格式：ZURU INC(BVI) 标准格式 日期：按实际生产日期
Packaging Info: 
6.9543GQ1:MA1LUPC收缩膜+1张进口商贴纸翻4500191714+MA5L说明书+WEEE不带电池走货声明书+MA1LPDQ
Remark: 1. 请备多1套大货样品；
2. 此票大货需符合EU市场法规；
3. 此票使用UPC条码;</t>
  </si>
  <si>
    <r>
      <rPr>
        <sz val="12"/>
        <color rgb="FF0000FF"/>
        <rFont val="宋体"/>
        <charset val="134"/>
        <scheme val="minor"/>
      </rPr>
      <t>Ula</t>
    </r>
    <r>
      <rPr>
        <sz val="12"/>
        <color rgb="FF0000FF"/>
        <rFont val="宋体"/>
        <charset val="134"/>
      </rPr>
      <t xml:space="preserve">  Zhao</t>
    </r>
  </si>
  <si>
    <t>4500207581-80</t>
  </si>
  <si>
    <t>日期码格式：ZURU INC(BVI) 标准格式                  日期：按实际生产日期
Packaging Info: 
9543GQ1: 最新MA 3L PDQ +MA-3L(5L warning)EAN收缩膜+C版5L(9L Warning)说明书+WEEE声明(不带电池)走货欧洲通用29L-C版说明书
bule/purple/pink/orange =5:6:6:5;
EAN#4894680026995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</si>
  <si>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r>
      <rPr>
        <sz val="12"/>
        <color rgb="FF0000FF"/>
        <rFont val="宋体"/>
        <charset val="134"/>
        <scheme val="minor"/>
      </rPr>
      <t>SMYTHS</t>
    </r>
    <r>
      <rPr>
        <sz val="12"/>
        <color rgb="FF0000FF"/>
        <rFont val="宋体"/>
        <charset val="134"/>
      </rPr>
      <t xml:space="preserve">  TOYS  EU  HQ  UC</t>
    </r>
  </si>
  <si>
    <t>4500212131</t>
  </si>
  <si>
    <t>4400577311</t>
  </si>
  <si>
    <t>4500212131-40</t>
  </si>
  <si>
    <t>7/27出</t>
  </si>
  <si>
    <t>6/12收到</t>
  </si>
  <si>
    <t>含德语callout/荷兰语警示语贴纸(翻#4500186101)+ 产品贴纸4500136411+WEEE声明(不带电池)走货欧洲通用29L-C版说明书</t>
  </si>
  <si>
    <t>ZURU  INC(BVI)  标准格式                                    日期：按实际生产日期</t>
  </si>
  <si>
    <t>日期码格式：ZURU  INC(BVI)  标准格式                                    日期：按实际生产日期
Packaging Info:
"9543GQ1:  最新MA  3L  PDQ  +MA-3L(5L  warning)收缩膜+1张含德语callout/荷兰语警示语贴纸(翻#4500186101)+  产品贴纸(ZURU  FRANCE  新地址)贴纸位参考#450013
6411,地址信息按通用法国新地址图档  +C版5L(9L  Warning)说明书+WEEE声明(不带电池)走货欧洲通用29L-C版说明书
bule/purple/pink/orange  =5:6:6:5;
EAN#4894680026995"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</si>
  <si>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r>
      <rPr>
        <sz val="12"/>
        <color rgb="FF0000FF"/>
        <rFont val="宋体"/>
        <charset val="0"/>
        <scheme val="minor"/>
      </rPr>
      <t>Mary</t>
    </r>
    <r>
      <rPr>
        <sz val="10"/>
        <color rgb="FF0000FF"/>
        <rFont val="等线"/>
        <charset val="134"/>
      </rPr>
      <t xml:space="preserve">  Qu</t>
    </r>
  </si>
  <si>
    <t>4400577312</t>
  </si>
  <si>
    <t>4500212131-50</t>
  </si>
  <si>
    <t>7/26出</t>
  </si>
  <si>
    <t>1FUUXUTQ</t>
  </si>
  <si>
    <t>4500208740-10</t>
  </si>
  <si>
    <t>7/10-外箱贴纸</t>
  </si>
  <si>
    <t>日期码格式：ZURU  INC(BVI)  标准格式                                    日期：按实际生产日期
Packaging Info: #9543:  MA  3L  加UPC贴纸，    UPC贴纸跟翻单4500098824。B:193052051783,  E:193052051806;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</si>
  <si>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43HIKJLI</t>
  </si>
  <si>
    <t>4500208740-20</t>
  </si>
  <si>
    <t>33LGWR2L</t>
  </si>
  <si>
    <t>4500208740-30</t>
  </si>
  <si>
    <t>2TYFVYIY</t>
  </si>
  <si>
    <t>4500208740-40</t>
  </si>
  <si>
    <t>3THVSHTT</t>
  </si>
  <si>
    <t>4500208740-50</t>
  </si>
  <si>
    <t>7I2W78XL</t>
  </si>
  <si>
    <t>4500208740-60</t>
  </si>
  <si>
    <t>6VDQOSML</t>
  </si>
  <si>
    <t>4500208740-70</t>
  </si>
  <si>
    <t>5T4NYDBB</t>
  </si>
  <si>
    <t>4500208740-80</t>
  </si>
  <si>
    <t>7M37J94S</t>
  </si>
  <si>
    <t>4500208740-90</t>
  </si>
  <si>
    <t>5AN6F5ED</t>
  </si>
  <si>
    <t>4500209617-120</t>
  </si>
  <si>
    <t>6Z4L43TQ</t>
  </si>
  <si>
    <t>4500209617-130</t>
  </si>
  <si>
    <t>79XC75VE</t>
  </si>
  <si>
    <t>4500209617-140</t>
  </si>
  <si>
    <t>47KJAUQD</t>
  </si>
  <si>
    <t>4500209617-150</t>
  </si>
  <si>
    <t>3DOQ6JPO</t>
  </si>
  <si>
    <t>4500209617-160</t>
  </si>
  <si>
    <t>45PROQVO</t>
  </si>
  <si>
    <t>4500209617-170</t>
  </si>
  <si>
    <t>3WYBXBHO</t>
  </si>
  <si>
    <t>4500209617-180</t>
  </si>
  <si>
    <t>4MDM4QLT</t>
  </si>
  <si>
    <t>4500209617-190</t>
  </si>
  <si>
    <t>2N9T3D2Q</t>
  </si>
  <si>
    <t>4500209617-200</t>
  </si>
  <si>
    <t>3ZFJ1L5M</t>
  </si>
  <si>
    <t>4500209617-210</t>
  </si>
  <si>
    <t>7LY886EZ</t>
  </si>
  <si>
    <t>4500209617-220</t>
  </si>
  <si>
    <t>5QJ14GWC</t>
  </si>
  <si>
    <t>4500209617-230</t>
  </si>
  <si>
    <t>4O89XGCL</t>
  </si>
  <si>
    <t>4500209617-240</t>
  </si>
  <si>
    <t>38QZMS2B</t>
  </si>
  <si>
    <t>4500209617-250</t>
  </si>
  <si>
    <t>4QJ95FXD</t>
  </si>
  <si>
    <t>4500209617-260</t>
  </si>
  <si>
    <t>7P7ITIDA</t>
  </si>
  <si>
    <t>4500209617-270</t>
  </si>
  <si>
    <t>131QR4TT</t>
  </si>
  <si>
    <t>4500209617-280</t>
  </si>
  <si>
    <r>
      <rPr>
        <sz val="12"/>
        <color rgb="FF0000FF"/>
        <rFont val="宋体"/>
        <charset val="134"/>
        <scheme val="minor"/>
      </rPr>
      <t>AMAZON</t>
    </r>
    <r>
      <rPr>
        <sz val="12"/>
        <color rgb="FF0000FF"/>
        <rFont val="宋体"/>
        <charset val="134"/>
      </rPr>
      <t xml:space="preserve">  UK</t>
    </r>
  </si>
  <si>
    <t>5DUFVPTZ</t>
  </si>
  <si>
    <t>4500209704-40</t>
  </si>
  <si>
    <t>白外箱（加印带Zuru字样的最新logo，除了邮包盒直接做外箱的产品） + SSCC LABEL一张, 无箱唛，MADE IN CHINA 外箱只印一正一侧。</t>
  </si>
  <si>
    <t>邮包盒贴纸翻4500198659+WEEE_不带电池走货 _ 说明书欧洲EN+29L_C版+6/18-外箱贴</t>
  </si>
  <si>
    <t>日期码格式：ZURU  INC(BVI)  标准格式                                    日期：按实际生产日期
Packaging Info: Amazon  UK：3PQWTD1L/5DUFVPTZ
UK(77858/77555/77486/9543AE)
   4.  9543AE:
--9543A:9543A  24pcs/ctn,  no  inner,  blue;  客版邮包盒(UPC#+英法德意西5L警示语+FR/ES/IT环保标+GPSR邮箱care@zuru.com+UK/FR/DK新地址,  参考翻单PO#450
0198659)+1张贴纸（1张含FR/IT环保标+西班牙洗涤说明，贴邮包盒，翻单4500198659）+MA  3L（5L  warning  EAN#）D收缩膜+MA  5L(9L  warning)  C  说明书+WEEE_不
带电池走货 _  说明书欧洲EN+29L_C版；
   5.  最晚验货时间7/23
   6.  77858验货时需要将产品六面图，     邮包盒(含产品)测量尺寸图片&lt;(&gt;&amp;&lt;)&gt;重量图片放进验货报告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 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</si>
  <si>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r>
      <rPr>
        <sz val="12"/>
        <color rgb="FF0000FF"/>
        <rFont val="宋体"/>
        <charset val="134"/>
        <scheme val="minor"/>
      </rPr>
      <t>Crystal</t>
    </r>
    <r>
      <rPr>
        <sz val="10"/>
        <color rgb="FF0000FF"/>
        <rFont val="等线"/>
        <charset val="134"/>
      </rPr>
      <t xml:space="preserve">  Chen</t>
    </r>
  </si>
  <si>
    <t>4500209704-50</t>
  </si>
  <si>
    <t>邮包盒贴纸翻4500198659+WEEE_不带 电池走货 _ 说明书欧洲EN+29L_C版+6/18-外箱贴</t>
  </si>
  <si>
    <t>日期码格式：ZURU  INC(BVI)  标准格式                                    日期：按实际生产日期
Packaging Info: Amazon  UK：3PQWTD1L/5DUFVPTZ
UK(77858/77555/77486/9543AE)
   4.  9543AE:
--9543A:9543A  24pcs/ctn,  no  inner,  blue;  客版邮包盒(UPC#+英法德意西5L警示语+FR/ES/IT环保标+GPSR邮箱care@zuru.com+UK/FR/DK新地址,  参考翻单PO#450
0198659)+1张贴纸（1张含FR/IT环保标+西班牙洗涤说明，贴邮包盒，翻单4500198659）+MA  3L（5L  warning  EAN#）D收缩膜+MA  5L(9L  warning)  C  说明书+WEEE_不
带电池走货 _  说明书欧洲EN+29L_C版；
--9543E:9543E  24pcs/ctn,  no  inner,  orange;  客版邮包盒(UPC#+英法德意西5L警示语+FR/ES/IT环保标+GPSR邮箱care@zuru.com+新UK地址，参考翻单PO#4500202
513)+1张贴纸（1张含FR/IT环保标+西班牙洗涤说明，   贴邮包盒，翻单4500198659）+MA  3L（5L  warning  EAN#）D收缩膜+MA  5L(9L  warning)  C  说明书+WEEE_不带
电池走货 _  说明书欧洲EN+29L_C版；
   5.  最晚验货时间7/23
   6.  77858验货时需要将产品六面图，     邮包盒(含产品)测量尺寸图片&lt;(&gt;&amp;&lt;)&gt;重量图片放进验货报告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 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</si>
  <si>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04197-BOD-12-FALL</t>
  </si>
  <si>
    <t>4500203233-100</t>
  </si>
  <si>
    <t>6/22-UPC贴纸</t>
  </si>
  <si>
    <t xml:space="preserve">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4.此单MA 3L UPC/EAN 包装（EAN 包装需要用UPC贴纸覆盖）+箱唛
77794UQ1 MA多语EAN包装+UPC贴纸+MA 多语说明书+MA多语收藏指南+MA 多语PDQ +箱唛
Remark: 
9543GQ1 "2PCS AAA BATTERIES(NOT INCLUDED)
" BULE/PURPLE/PINK/ORANGE =5:6:6:5;
</t>
  </si>
  <si>
    <t>4500211468</t>
  </si>
  <si>
    <t>4500211468-50</t>
  </si>
  <si>
    <t>7/8-进口商贴纸+QR 贴纸</t>
  </si>
  <si>
    <t>日期码格式：ZURU INC(BVI) 标准格式                  日期：按实际生产日期
Packaging Info: 最新MA UPC包装+进口商贴纸+QR 贴纸（一物一码）
条码：注意独立款要用独立款的条码，不可用混装的条码。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</si>
  <si>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Anna Lian</t>
  </si>
  <si>
    <t>4500211508-40</t>
  </si>
  <si>
    <t>7/7-进口商贴纸+6/26-QR 贴纸</t>
  </si>
  <si>
    <t>日期码格式：ZURU INC(BVI) 标准格式 日期：按实际生产日期</t>
  </si>
  <si>
    <t>日期码格式：ZURU INC(BVI) 标准格式                  日期：按实际生产日期
Packaging Info: 最新MA UPC包装+进口商贴纸+QR 贴纸（一物一码）
条码：独立款必须用独立款的条码，不可以用混装的条码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</si>
  <si>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4500211590</t>
  </si>
  <si>
    <t>4500211590-80</t>
  </si>
  <si>
    <t>6/29-UPC贴纸+进口商贴纸</t>
  </si>
  <si>
    <t>日期码格式：ZURU INC(BVI) 标准格式                  日期：按实际生产日期</t>
  </si>
  <si>
    <t xml:space="preserve">日期码格式：ZURU INC(BVI) 标准格式                  日期：按实际生产日期
Packaging Info: 请确保包装上的条形码是UPC，如果是babyUPC，需要用mother UPC覆盖，如有不一致，请及时提出。谢谢!
9543GQ1 MA 多语EAN包装+UPC贴纸+MA 多语说明书+MA多语PDQ+进口商贴纸+箱唛
Remark: 
9543GQ1 "2PCS AAA BATTERIES(NOT INCLUDED)
" BULE/PURPLE/PINK/ORANGE =5:6:6:5;
</t>
  </si>
  <si>
    <t>4500206232-60</t>
  </si>
  <si>
    <t>8/5第三方</t>
  </si>
  <si>
    <t>EAN条码贴纸翻4500203533+德语callout警语贴纸翻4500203533+欧洲通用30L B版或29L WEEE说明书(不带电池)</t>
  </si>
  <si>
    <t>日期码格式：ZURU INC(BVI) 标准格式                  日期：按实际生产日期
Packaging Info: 
9543: 最新MA 1L UPC包装+EAN条码贴纸+德语callout警语贴纸+5L+9L说明书+欧洲通用30L B版或29L WEEE说明书(不带电池)所有资料翻单#4500203533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此单出德国，需包含德语警语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</si>
  <si>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4500211226-40</t>
  </si>
  <si>
    <t>6/9收到</t>
  </si>
  <si>
    <t>日期码格式：ZURU INC(BVI) 标准格式                  日期：按实际生产日期
Packaging Info: 
9543GQ1: 最新MA 3L PDQ +MA-3L(5L warning)EAN收缩膜+C版5L(9L Warning)说明书+WEEE声明(不带电池)走货欧洲通用29L-C版说明书
bule/purple/pink/orange =5:6:6:5;
EAN#4894680026995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</si>
  <si>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r>
      <rPr>
        <sz val="12"/>
        <color rgb="FF0000FF"/>
        <rFont val="宋体"/>
        <charset val="134"/>
        <scheme val="minor"/>
      </rPr>
      <t>OTTO</t>
    </r>
    <r>
      <rPr>
        <sz val="12"/>
        <color rgb="FF0000FF"/>
        <rFont val="宋体"/>
        <charset val="134"/>
      </rPr>
      <t xml:space="preserve">  SIMON  B.V.</t>
    </r>
  </si>
  <si>
    <t>4500211775</t>
  </si>
  <si>
    <t>IO-2601397</t>
  </si>
  <si>
    <t>4500211775-50</t>
  </si>
  <si>
    <t>日期码和批次号都要打在产品和包装上，日期码按ZURU标准格式，批次号是IO-2601397（客人PO#， 其中IO是大写英文字母）</t>
  </si>
  <si>
    <t>客人款号的 EAN条码贴纸翻4500208595+WEE最新版不带电池走货说明书</t>
  </si>
  <si>
    <r>
      <rPr>
        <sz val="12"/>
        <color rgb="FF0000FF"/>
        <rFont val="宋体"/>
        <charset val="134"/>
      </rPr>
      <t>日期码格式：ZURU</t>
    </r>
    <r>
      <rPr>
        <sz val="12"/>
        <color rgb="FF0000FF"/>
        <rFont val="宋体"/>
        <charset val="0"/>
      </rPr>
      <t xml:space="preserve">  INC(BVI)  标准格式                                    日期：按实际生产日期
Packaging Info:
9543GQ1:MA  最新版3L+5L  EAN收缩膜+1张带客人款号的  EAN条码（4894680026995）贴纸-翻PO#4500208595，MA  最新版5L+9L说明书，MA最新版3LPDQ，WEE最新版不
带电池走货说明书
Remark: 1.所有产品按符合欧洲标准走货，微塑料需合规。
2.所有包装材料都不允许PVC,  请用PET代替
3.样板需求：     每个item  需要寄出1  PC  大货样，请多备料
4. 日期码和批次号都要打在产品和包装上，日期码按ZURU标准格式，批次号是IO-2601397（客人PO#，     其中IO是大写英文字母）
5.所有出往欧洲市场订单的电子产品需增加一张WEEE声明说明书，区分带电池和不带电池版本,  如已做客版说明书可忽略此要求。
6.  客人款号:
576-9543  9543GQ1
</t>
    </r>
  </si>
  <si>
    <r>
      <rPr>
        <sz val="12"/>
        <color rgb="FF0000FF"/>
        <rFont val="宋体"/>
        <charset val="0"/>
        <scheme val="minor"/>
      </rPr>
      <t>Amber</t>
    </r>
    <r>
      <rPr>
        <sz val="10"/>
        <color rgb="FF0000FF"/>
        <rFont val="等线"/>
        <charset val="134"/>
      </rPr>
      <t xml:space="preserve">  Zhang</t>
    </r>
  </si>
  <si>
    <t>EL  REGALO  UNIVERSAL  C.A.</t>
  </si>
  <si>
    <t>委内瑞拉</t>
  </si>
  <si>
    <t>4500214106</t>
  </si>
  <si>
    <t>4500214106-90</t>
  </si>
  <si>
    <t>7/1收到</t>
  </si>
  <si>
    <t>7/6-进口商贴纸+UPC贴纸</t>
  </si>
  <si>
    <t>日期码格式：ZURU INC(BVI) 标准格式 日期：按实际生产日期
Packaging Info: 71152/71126/7132/71101/77685GQ2/9543GQ1/9565GQ1/9574: MA 3L EAN包装+UPC条码贴纸+进口商贴纸+箱唛
Remark:</t>
  </si>
  <si>
    <t>Doris  Shou</t>
  </si>
  <si>
    <t>4500211828</t>
  </si>
  <si>
    <t>7PTKZ6NS</t>
  </si>
  <si>
    <t>4500211828-30</t>
  </si>
  <si>
    <t>8/13-8/17出</t>
  </si>
  <si>
    <t>邮包盒贴纸翻单4500198659+WEEE_不带电池走货 _ 说明书欧洲EN+29L_C版；</t>
  </si>
  <si>
    <t>ZURU INC(BVI) 标准格式                  日期：按实际生产日期</t>
  </si>
  <si>
    <r>
      <rPr>
        <sz val="12"/>
        <color rgb="FF0000FF"/>
        <rFont val="宋体"/>
        <charset val="134"/>
      </rPr>
      <t>日期码格式：ZURU INC(BVI) 标准格式 日期：按实际生产日期
Packaging Info: Amazon UK:7PTKZ6NS
Amazon DE:4FR81SGO
UK(9543E/77555)/DE(77876)
1. 954E: 9543E 24pcs/ctn, no inner, orange; 客版邮包盒(UPC#+英法德意西5L警示语+FR/ES/IT环保标+GPSR邮箱</t>
    </r>
    <r>
      <rPr>
        <sz val="12"/>
        <color rgb="FF000000"/>
        <rFont val="宋体"/>
        <charset val="134"/>
      </rPr>
      <t>care@zuru.com+</t>
    </r>
    <r>
      <rPr>
        <sz val="12"/>
        <color rgb="FF0000FF"/>
        <rFont val="宋体"/>
        <charset val="134"/>
      </rPr>
      <t>新UK地址，参考翻单PO#4500202
513)+1张贴纸（1张含FR/IT环保标+西班牙洗涤说明，贴邮包盒，翻单4500198659）+MA 3L（5L warning EAN#）D收缩膜+MA 5L(9L warning) C 说明书+WEEE_不带
电池走货 _ 说明书欧洲EN+29L_C版；
4. 最晚验货时间8/4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</si>
  <si>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t>Aria Zhou</t>
  </si>
  <si>
    <t>02428641/1</t>
  </si>
  <si>
    <t>4500195634-10</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</si>
  <si>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9548/9543GQ1:WEEE_不带电池走货 _ 说明书欧洲EN+29L_C版</t>
  </si>
  <si>
    <t>02428642/1</t>
  </si>
  <si>
    <t>4500195634-30</t>
  </si>
  <si>
    <t>8/25 拼柜</t>
  </si>
  <si>
    <t>4500210228-110</t>
  </si>
  <si>
    <t>7/17收到</t>
  </si>
  <si>
    <t>7/24-保证书</t>
  </si>
  <si>
    <t>7/24-UPC 贴纸+进口商贴纸</t>
  </si>
  <si>
    <t>日期码格式：ZURU INC(BVI) 标准格式 日期：按实际生产日期 Tracking Code:
Packaging Info:
 9543GQ1: MA 3L PDQ包装+MA 3L EAN包装+UPC 贴纸+进口商贴纸+箱唛+保证书
Remark:</t>
  </si>
  <si>
    <t>4500210229-180</t>
  </si>
  <si>
    <t>日期码格式：ZURU INC(BVI) 标准格式 日期：按实际生产日期 Tracking Code:
Packaging Info: 77843/77794/9543B/9543E：MA 3L EAN包装+UPC 贴纸+进口商贴纸+箱唛+保证书
Remark:</t>
  </si>
  <si>
    <t>4500210229-190</t>
  </si>
  <si>
    <t>4500210231-60</t>
  </si>
  <si>
    <t>保证书翻4500210228 WEEE_不带电池走货 _ 说明书
欧洲EN</t>
  </si>
  <si>
    <t>UPC 贴纸和进口商贴纸翻4500210228</t>
  </si>
  <si>
    <t>日期码格式：ZURU INC(BVI) 标准格式 日期：按实际生产日期 Tracking Code:
Packaging Info:
 9543GQ1: MA 3L PDQ包装+MA 3L EAN包装+UPC 贴纸+进口商贴纸+箱唛+保证书，贴纸和保证书翻单PO4500210228
Remark:</t>
  </si>
  <si>
    <t>4500214331</t>
  </si>
  <si>
    <t>6XZAWXNI</t>
  </si>
  <si>
    <t>4500214331-150</t>
  </si>
  <si>
    <t>7/28-客供外箱贴纸</t>
  </si>
  <si>
    <t>日期码格式：ZURU INC(BVI) 标准格式                  日期：按实际生产日期
Packaging Info: 
#9543: MA 3L 加UPC贴纸，  UPC贴纸跟翻单4500098824。B:193052051783, 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</si>
  <si>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4G3MMJAV</t>
  </si>
  <si>
    <t>4500214331-160</t>
  </si>
  <si>
    <t>75WWPOOL</t>
  </si>
  <si>
    <t>4500214331-170</t>
  </si>
  <si>
    <t>阿联酋</t>
  </si>
  <si>
    <t>4500204716-60</t>
  </si>
  <si>
    <t>7/4收到</t>
  </si>
  <si>
    <t>进口商贴纸+QR code+PDQ进口商贴纸翻4500162345</t>
  </si>
  <si>
    <r>
      <rPr>
        <sz val="12"/>
        <color rgb="FF000000"/>
        <rFont val="宋体"/>
        <charset val="134"/>
      </rPr>
      <t xml:space="preserve">日期码格式：ZURU INC(BVI) 标准格式 日期：按实际生产日期
Packaging Info: 出UAE, 包装不能有希伯来语
所有RBC的产品（内外）包装上不能有彩虹。
9543GQ1:1. MA 1L 收缩膜+进口商贴纸 (含G Mark, QR code, 阿拉伯警语)(贴纸翻单4500162345); 贴纸上的QR code需微信可扫，扫描结果另外通知; UPC条码显
示193052050328; MA PDQ+进口商贴纸(贴纸翻单4500162345)；产品年龄3+;
2. bule/purple/pink/orange =5:6:6:5，
3. 客人箱唛排版，印4面，条码内容193052050328；
所有包装需要不含希伯来语/Hebrew/(He) 语言
</t>
    </r>
    <r>
      <rPr>
        <sz val="12"/>
        <color rgb="FFFF0000"/>
        <rFont val="宋体"/>
        <charset val="134"/>
      </rPr>
      <t>需消耗4500189510此单取消的库存（去除WEEE说明书出货）,剩余数量新生产，贴纸和位置图需一致</t>
    </r>
    <r>
      <rPr>
        <sz val="12"/>
        <color rgb="FF000000"/>
        <rFont val="宋体"/>
        <charset val="134"/>
      </rPr>
      <t xml:space="preserve">
Remark: 77772GQ2-S001-PRODCC2:
WITH 4PCS DEMO/PDQ; Remove ？？ mini vinyls(squabble up/Low Down/Brick House/Last Friday Night (T.G.I.F.)/Not Like Us/Woah/Messy/Delicious/Good
Luck, Babe!/Pink Pony Club/Super Freak/Man! I Feel Like a Woman!/Thunder( rainbow and ？？)/Shake your Groove Thing" ( Kissing)/Sweet Home Alab
ama ( Rainbow))</t>
    </r>
  </si>
  <si>
    <t>4500204719-70</t>
  </si>
  <si>
    <t>日期码格式：ZURU INC(BVI) 标准格式                  日期：按实际生产日期
Packaging Info: 出QATAR, 包装不能有希伯来语
所有RBC的产品（内外）包装上不能有彩虹。
9543GQ1:1. MA  1L 收缩膜+进口商贴纸 (含G Mark, QR code, 阿拉伯警语)(贴纸翻单4500162345); 贴纸上的QR code需微信可扫，扫描结果另外通知; UPC条码显
示193052050328; MA PDQ+进口商贴纸(贴纸翻单4500162345)；产品年龄3+;
 2. bule/purple/pink/orange =5:6:6:5，
 3. 客人箱唛排版，印4面，条码内容193052050328；
所有包装需要不含希伯来语/Hebrew/(He) 语言
Remark</t>
  </si>
  <si>
    <t>沙特</t>
  </si>
  <si>
    <t>4500204723-70</t>
  </si>
  <si>
    <t>日期码格式：ZURU INC(BVI) 标准格式                  日期：按实际生产日期
Packaging Info: 出KSA 包装不能有希伯来语，
所有RBC的产品（内外）包装上不能有彩虹。
9543GQ1:1. MA  1L 收缩膜+进口商贴纸 (含G Mark, QR code, 阿拉伯警语)(贴纸翻单4500162345); 贴纸上的QR code需微信可扫，扫描结果另外通知; UPC条码显
示193052050328; MA PDQ+进口商贴纸(贴纸翻单4500162345)；产品年龄3+;
2. bule/purple/pink/orange =5:6:6:5，
3. 客人箱唛排版，印4面，条码内容193052050328；
所有包装需要不含希伯来语/Hebrew/(He) 语言
Remark</t>
  </si>
  <si>
    <t xml:space="preserve"> ZMPO260866</t>
  </si>
  <si>
    <t xml:space="preserve"> ZMPO260866-10</t>
  </si>
  <si>
    <t>40个满PDQ(440PCS)</t>
  </si>
  <si>
    <t>7/21收到</t>
  </si>
  <si>
    <t>Remark：大货最新版本/产品按大货比例入PDQ/大货标准箱装箱/箱唛请参照邮件附件，备注： 收到样品订单后尽快安排 ，/注意样板品质质量要求要高于大货品质质量 ，送货时必须要附带送货单(没有送货单和QC检验合格报告的仓库一律拒绝收货)，请知悉，谢谢！</t>
  </si>
  <si>
    <r>
      <rPr>
        <sz val="12"/>
        <color rgb="FF000000"/>
        <rFont val="宋体"/>
        <charset val="134"/>
        <scheme val="minor"/>
      </rPr>
      <t>Angus</t>
    </r>
    <r>
      <rPr>
        <sz val="10"/>
        <color rgb="FF000000"/>
        <rFont val="宋体"/>
        <charset val="134"/>
      </rPr>
      <t xml:space="preserve"> </t>
    </r>
  </si>
  <si>
    <t>4500213967</t>
  </si>
  <si>
    <t>8PL7G3UG</t>
  </si>
  <si>
    <t>4500213967-20</t>
  </si>
  <si>
    <r>
      <rPr>
        <sz val="12"/>
        <color rgb="FF000000"/>
        <rFont val="宋体"/>
        <charset val="0"/>
      </rPr>
      <t>粉色仓鼠（邮包盒）</t>
    </r>
    <r>
      <rPr>
        <sz val="12"/>
        <color rgb="FFFF0000"/>
        <rFont val="宋体"/>
        <charset val="0"/>
      </rPr>
      <t>新稿邮包盒</t>
    </r>
  </si>
  <si>
    <t>8/26 出</t>
  </si>
  <si>
    <t>空白外箱（加印带Zuru字样的最新logo，除了邮包盒直接做外箱的产品）</t>
  </si>
  <si>
    <t>邮包盒贴纸翻单4500198659+7/28-外箱贴纸</t>
  </si>
  <si>
    <t>日期码格式：ZURU INC(BVI) 标准格式                  日期：按实际生产日期
Packaging Info: Amazon UK: 8PL7G3UG
Amazon UK(77555/9543B)
2. 9543B: 9543B 24pcs/ctn, no inner, pink; 客版邮包盒(UPC#+英法德意西5L警示语+ES环保标+GPSR邮箱care@zuru.com+新UK地址)+1张贴纸（1
张含FR/IT环保标+西班牙洗涤说明，贴邮包盒，翻单4500198659）+MA 3L（5L warning EAN#）D收缩膜+MA 5L(9L warning) C 说明书+WEEE_不带电池走货 _ 说明书
欧洲EN+29L_C版；
3.  验货时间不迟于2026/08/18.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</si>
  <si>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H&amp;D  RETAIL  PTY  LTD  T/AS  TOYMATE</t>
  </si>
  <si>
    <t>PO1161851-USZCFS</t>
  </si>
  <si>
    <t>4500215299-10</t>
  </si>
  <si>
    <t>8/19-8/25出</t>
  </si>
  <si>
    <t>进口商贴纸翻4500173373</t>
  </si>
  <si>
    <t>日期码格式：ZURU INC(BVI) 标准格式 日期：按实际生产日期
Packaging Info: 9543GQ1：英文MA包装UPC版本（首选1L，无1L可选多语）+1张进口商贴纸 (贴纸以及位置图翻单PO#4500173373)；
Ratio: bule/pink/purple/orange =1:1:1:1
Remark: 此单出澳大利亚，请按澳洲标准生产并满足当地法规要求; 如产品含纽扣电池出货, 包装前面和说明书上需加纽扣电池警语贴纸；</t>
  </si>
  <si>
    <r>
      <rPr>
        <sz val="12"/>
        <color rgb="FF000000"/>
        <rFont val="宋体"/>
        <charset val="134"/>
        <scheme val="minor"/>
      </rPr>
      <t>Christine</t>
    </r>
    <r>
      <rPr>
        <sz val="12"/>
        <color rgb="FF000000"/>
        <rFont val="宋体"/>
        <charset val="134"/>
      </rPr>
      <t xml:space="preserve">  Liao</t>
    </r>
  </si>
  <si>
    <t>AMEISE'N  FELDER  S.A.  DE  C.V.</t>
  </si>
  <si>
    <t>4500215644-70</t>
  </si>
  <si>
    <t>此单有监柜，每款请多备1pc样板用于监装</t>
  </si>
  <si>
    <t>7/30-UPC 条码贴纸+进口商贴纸</t>
  </si>
  <si>
    <r>
      <rPr>
        <sz val="10"/>
        <color rgb="FF000000"/>
        <rFont val="等线"/>
        <charset val="134"/>
      </rPr>
      <t>日期码格式：ZURU INC(BVI) 标准格式 日期：按实际生产日期
Packaging Info: 
157117UQ1:MA 3L 包装+MOTHER UPC 条码贴纸+进口商贴纸+ MA PDQ+箱唛
Remark</t>
    </r>
    <r>
      <rPr>
        <sz val="10"/>
        <color rgb="FFFF0000"/>
        <rFont val="等线"/>
        <charset val="134"/>
      </rPr>
      <t>: 1. 此单有监柜，每款请多备1pc样板用于监装</t>
    </r>
  </si>
  <si>
    <r>
      <rPr>
        <sz val="12"/>
        <color rgb="FF000000"/>
        <rFont val="宋体"/>
        <charset val="134"/>
        <scheme val="minor"/>
      </rPr>
      <t>Ever</t>
    </r>
    <r>
      <rPr>
        <sz val="10"/>
        <color rgb="FF000000"/>
        <rFont val="宋体"/>
        <charset val="134"/>
      </rPr>
      <t xml:space="preserve">  </t>
    </r>
    <r>
      <rPr>
        <sz val="10"/>
        <color rgb="FF000000"/>
        <rFont val="宋体"/>
        <charset val="134"/>
      </rPr>
      <t>Li</t>
    </r>
  </si>
  <si>
    <t>4500208038-50</t>
  </si>
  <si>
    <t>7/10-客供价格贴纸</t>
  </si>
  <si>
    <t>日期码格式：ZURU INC(BVI) 标准格式                  日期：按实际生产日期
Packaging Info: 1.  STD Items: ZURU MA UPC 现有包装+客供价格贴纸，优先使用MA 1L最新版本（可接受多语）,出口美国
Cus Item: MA UPC 现有包装+PVC桶,铜板纸+客供价格贴纸，优先使用MA 1L最新版本
#15714，ratio-b:d:e:g:m=2:2:2:2:4
#15733，去除K款，其余平均
#77516，消耗AMAZON.COM SERVICES LLC取消单，订单PO4500156588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</si>
  <si>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r>
      <rPr>
        <sz val="12"/>
        <color rgb="FF000000"/>
        <rFont val="宋体"/>
        <charset val="134"/>
      </rPr>
      <t>FRATELLO</t>
    </r>
    <r>
      <rPr>
        <sz val="12"/>
        <color rgb="FF000000"/>
        <rFont val="宋体"/>
        <charset val="134"/>
      </rPr>
      <t xml:space="preserve">  </t>
    </r>
    <r>
      <rPr>
        <sz val="12"/>
        <color rgb="FF000000"/>
        <rFont val="宋体"/>
        <charset val="134"/>
      </rPr>
      <t>(PTY)</t>
    </r>
    <r>
      <rPr>
        <sz val="12"/>
        <color rgb="FF000000"/>
        <rFont val="宋体"/>
        <charset val="134"/>
      </rPr>
      <t xml:space="preserve">  </t>
    </r>
    <r>
      <rPr>
        <sz val="12"/>
        <color rgb="FF000000"/>
        <rFont val="宋体"/>
        <charset val="134"/>
      </rPr>
      <t>LTD</t>
    </r>
  </si>
  <si>
    <t>4500216202</t>
  </si>
  <si>
    <t>4500216202-10</t>
  </si>
  <si>
    <t>7/13收到</t>
  </si>
  <si>
    <r>
      <rPr>
        <sz val="12"/>
        <color rgb="FF000000"/>
        <rFont val="宋体"/>
        <charset val="134"/>
      </rPr>
      <t>日期码格式：ZURU INC(BVI) 标准格式 日期：按实际生产日期 Tracking Code:
Packaging Info: 9543GQ1：</t>
    </r>
    <r>
      <rPr>
        <sz val="12"/>
        <color rgb="FFFF0000"/>
        <rFont val="宋体"/>
        <charset val="134"/>
      </rPr>
      <t>MA UPC 1L PKG,3L PDQ
 其余：MA UPC 1L PKG</t>
    </r>
    <r>
      <rPr>
        <sz val="12"/>
        <color rgb="FF000000"/>
        <rFont val="宋体"/>
        <charset val="134"/>
      </rPr>
      <t xml:space="preserve">
Remark:</t>
    </r>
  </si>
  <si>
    <r>
      <rPr>
        <sz val="10"/>
        <color rgb="FF000000"/>
        <rFont val="宋体"/>
        <charset val="134"/>
      </rPr>
      <t>Lillian</t>
    </r>
    <r>
      <rPr>
        <sz val="10"/>
        <color rgb="FF000000"/>
        <rFont val="宋体"/>
        <charset val="134"/>
      </rPr>
      <t xml:space="preserve">  </t>
    </r>
    <r>
      <rPr>
        <sz val="10"/>
        <color rgb="FF000000"/>
        <rFont val="宋体"/>
        <charset val="134"/>
      </rPr>
      <t>Li</t>
    </r>
  </si>
  <si>
    <t>TOY  KINGDOM  (PTY)  LTD</t>
  </si>
  <si>
    <t>4500214857</t>
  </si>
  <si>
    <t>4500214857-20</t>
  </si>
  <si>
    <t>Chelsea  Luo</t>
  </si>
  <si>
    <t>AMAZON  ES</t>
  </si>
  <si>
    <t>1X7ZQMVY</t>
  </si>
  <si>
    <t>4500215818-20</t>
  </si>
  <si>
    <t>客版邮包盒(UPC#+英法德意西5L警示语+ES环保标+GPSR邮箱care@zuru.com+新UK地址，翻单PO4500213967)</t>
  </si>
  <si>
    <t>9/5出</t>
  </si>
  <si>
    <t>空白外箱（加印带Zuru字样的最新logo，除了邮包盒直接做外箱的产品） + SSCC LABEL一张, 无箱唛，MADE IN CHINA 外箱只印一正一侧。箱唛资料按照给定的
 标准去做即可，无需发回我方再行审批(新标准将另行通知)。</t>
  </si>
  <si>
    <t>7/31-邮包盒贴纸+7/38外箱贴纸</t>
  </si>
  <si>
    <t>日期码格式：ZURU  INC(BVI)  标准格式                                    日期：按实际生产日期
Packaging Info: Amazon  ES:  41ZQAF2I
Amazon  UK:  1X7ZQMVY
Amazon  ES  (77486)/  UK(9543BE)
2.9543BE:
--9543B:9543B  24pcs/ctn,  no  inner,  pink;  客版邮包盒(UPC#+英法德意西5L警示语+ES环保标+GPSR邮箱care@zuru.com+新UK地址，翻单PO4500213967)+1张贴纸
（1张含FR/IT环保标+洗涤说明，贴邮包盒）+MA  3L（5L  warning  EAN#）D收缩膜+MA  5L(9L  warning)  C  说明书+WEEE_不带电池走货  _  说明书欧洲EN+29L_C版；
--9543E:9543E  24pcs/ctn,  no  inner,  orange;  客版邮包盒(UPC#+英法德意西5L警示语+FR/ES/IT环保标+GPSR邮箱care@zuru.com+新UK地址，参考翻单PO#4500202
513)+1张贴纸（1张含FR/IT环保标+洗涤说明，贴邮包盒）+MA  3L（5L  warning  EAN#）D收缩膜+MA  5L(9L  warning)  C  说明书+WEEE_不带电池走货 _  说明书欧洲EN+
29L_C版；
3.  验货时间不迟于2026/08/28.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 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</si>
  <si>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r>
      <rPr>
        <sz val="12"/>
        <color rgb="FF000000"/>
        <rFont val="宋体"/>
        <charset val="134"/>
        <scheme val="minor"/>
      </rPr>
      <t>Aria</t>
    </r>
    <r>
      <rPr>
        <sz val="10"/>
        <color rgb="FF000000"/>
        <rFont val="宋体"/>
        <charset val="134"/>
      </rPr>
      <t xml:space="preserve">  Zhou</t>
    </r>
  </si>
  <si>
    <t>4500215818-30</t>
  </si>
  <si>
    <t>;客版邮包盒(UPC#+英法德意西5L警示语+FR/ES/IT环保标+GPSR邮箱care@zuru.com+新UK地址，参考翻单PO#4500202513)</t>
  </si>
  <si>
    <t>4500217070-20</t>
  </si>
  <si>
    <r>
      <rPr>
        <sz val="12"/>
        <color rgb="FF000000"/>
        <rFont val="宋体"/>
        <charset val="134"/>
      </rPr>
      <t>日期码格式：ZURU INC(BVI) 标准格式 日期：按实际生产日期 Tracking Code:
Packaging Info: 9543GQ1：</t>
    </r>
    <r>
      <rPr>
        <sz val="12"/>
        <color rgb="FFFF0000"/>
        <rFont val="宋体"/>
        <charset val="134"/>
      </rPr>
      <t>MA UPC 1L PKG,3L PDQ
 其余：MA UPC PKG,优先1L</t>
    </r>
    <r>
      <rPr>
        <sz val="12"/>
        <color rgb="FF000000"/>
        <rFont val="宋体"/>
        <charset val="134"/>
      </rPr>
      <t xml:space="preserve">
Remark: 请留意箱唛顶部色带高度要求40mm,色带上方需留空10mm高.
 箱唛色带的数字代表生产年份"2026"
 出南非市场，需符合当地法规</t>
    </r>
  </si>
  <si>
    <r>
      <rPr>
        <sz val="12"/>
        <color rgb="FF000000"/>
        <rFont val="宋体"/>
        <charset val="134"/>
        <scheme val="minor"/>
      </rPr>
      <t>Lillian</t>
    </r>
    <r>
      <rPr>
        <sz val="10"/>
        <color rgb="FF000000"/>
        <rFont val="宋体"/>
        <charset val="134"/>
      </rPr>
      <t xml:space="preserve">  </t>
    </r>
    <r>
      <rPr>
        <sz val="10"/>
        <color rgb="FF000000"/>
        <rFont val="宋体"/>
        <charset val="134"/>
      </rPr>
      <t>Li</t>
    </r>
  </si>
  <si>
    <t>Warehouse 1</t>
  </si>
  <si>
    <t>4500216583-290</t>
  </si>
  <si>
    <t>7/20订购-UPC贴纸</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</si>
  <si>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9543GQ1 MA 多语EAN包装+UPC贴纸+MA 多语说明书+MA多语PDQ+箱唛
Remark: 
Common: Equal ratio"
9543GQ1 "2PCS AAA BATTERIES(NOT INCLUDED)
" BULE/PURPLE/PINK/ORANGE =5:6:6:5;</t>
  </si>
  <si>
    <t>AMSLER  SPIELWAREN  AG</t>
  </si>
  <si>
    <t>4500214248</t>
  </si>
  <si>
    <t>4500214248-30</t>
  </si>
  <si>
    <t>7/29收到</t>
  </si>
  <si>
    <t>7/29-PDQ ZURU 地址</t>
  </si>
  <si>
    <r>
      <rPr>
        <sz val="12"/>
        <color rgb="FF000000"/>
        <rFont val="宋体"/>
        <charset val="134"/>
      </rPr>
      <t xml:space="preserve">日期码格式：ZURU INC(BVI) 标准格式 日期：按实际生产日期 Tracking Code:
Packaging Info:
 9543GQ1：MA D版3L+5L警语 EAN收缩膜，MA C版5L+9L警语说明书，C版不带电池走货EU通用29L WEEE说明书，MA C版3L PDQ + ZURU 地址贴纸
 77711GQ1(INT版)：MA 3L EAN收缩膜 + DE, IT警语贴纸（翻单4500187019），MA B版5L收藏指南，MA 5L玩法说明书，MA B版 23L UV胶黑白警告语说明书，MA配件
 袋，MA 3L PDQ </t>
    </r>
    <r>
      <rPr>
        <sz val="12"/>
        <color rgb="FFFF0000"/>
        <rFont val="宋体"/>
        <charset val="134"/>
      </rPr>
      <t>+ ZURU 地址贴纸</t>
    </r>
    <r>
      <rPr>
        <sz val="12"/>
        <color rgb="FF000000"/>
        <rFont val="宋体"/>
        <charset val="134"/>
      </rPr>
      <t xml:space="preserve">
Remark: 1.此单出瑞士，包装及说明书需要包含德语，法语，意大利语警语
 2.微塑料需符合法规；化学品无硼无香；电池符合欧洲法规要求(如有)。
 3.所有出往欧洲订单的电子产品需增加一张通用29L WEEE声明说明书，区分带电池出货和不带电池出货版本，如已做客版说明书可忽略此要求
 4.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5.对于欧洲带电池的玩具，使用新标识的电池以及新说明书
 6.标准配比</t>
    </r>
  </si>
  <si>
    <t>VEDES GROSSHANDEL GMBH</t>
  </si>
  <si>
    <t>4500217222</t>
  </si>
  <si>
    <t>4500194549</t>
  </si>
  <si>
    <t>4500217222-80</t>
  </si>
  <si>
    <t>指定日期码 产品，包装，外箱Batch code: 194549/09/2026, 布标按MA日期码即可。</t>
  </si>
  <si>
    <t>7/27收到</t>
  </si>
  <si>
    <t>7/24-PDQ条码贴纸+ZURU地址_PDQ通用贴纸</t>
  </si>
  <si>
    <t>产品，包装，外箱Batch code: 194549/09/2026, 布标按MA日期码即可。</t>
  </si>
  <si>
    <t>日期码格式：194549/09/2026                                    日期：
Packaging Info: 
9543GQ1: 最新MA 3LPDQ+1张PDQ条码贴纸+ZURU地址_PDQ通用贴纸+3L+5L警语EAN包装+5L+9L警语说明书+欧洲通用29L WEEE说明书(不带电池)
Remark: 1. 出口欧洲，微塑料需符合法规。
  2. 产品，包装，外箱Batch  code: 194549/09/2026, 布标按MA日期码即可。
  3. 外箱上方需加隔板，如纸箱本身也能保护可不用加，以保护开箱时不被划破产品。外箱不可打釘及打帶。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此客户要求产品身上需要加字唛，为ZURU FRANCE 地址，需跟包装上的地址一致  (如产品布标有此地址，或产品太小无法增加可忽略此信息。如电子产品无法加
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所有出往GAS市场(德国/奥地利/瑞士)的电子产品需增加一张欧洲通用WEEE声明说明书，区分带电池和不带电池版本,如已做客版说明书可忽略此要求。
  11. 所有出往GAS市场(德国/奥地利/瑞士)订单，化学品需无堋无香版本
  12. 标准配比"</t>
  </si>
  <si>
    <r>
      <rPr>
        <sz val="12"/>
        <color rgb="FF000000"/>
        <rFont val="宋体"/>
        <charset val="0"/>
        <scheme val="minor"/>
      </rPr>
      <t>Shirley</t>
    </r>
    <r>
      <rPr>
        <sz val="10"/>
        <color rgb="FF000000"/>
        <rFont val="等线"/>
        <charset val="134"/>
      </rPr>
      <t xml:space="preserve">  </t>
    </r>
    <r>
      <rPr>
        <sz val="10"/>
        <color rgb="FF000000"/>
        <rFont val="等线"/>
        <charset val="134"/>
      </rPr>
      <t>Zhou</t>
    </r>
  </si>
  <si>
    <t>4500217640</t>
  </si>
  <si>
    <t>3S9IK5XD</t>
  </si>
  <si>
    <t>4500217640-200</t>
  </si>
  <si>
    <t>7/24收到</t>
  </si>
  <si>
    <t>UPC贴纸翻单4500098824</t>
  </si>
  <si>
    <t>8/14客供外箱贴纸</t>
  </si>
  <si>
    <r>
      <rPr>
        <sz val="12"/>
        <color rgb="FF000000"/>
        <rFont val="宋体"/>
        <charset val="134"/>
      </rPr>
      <t xml:space="preserve">日期码格式：ZURU INC(BVI) 标准格式 日期：按实际生产日期 Tracking Code:
Packaging Info: 
 #9543: MA 3L 加UPC贴纸， UPC贴纸跟翻单4500098824。B:193052051783, E:193052051806;
Remark: </t>
    </r>
    <r>
      <rPr>
        <sz val="12"/>
        <color rgb="FFFF0000"/>
        <rFont val="宋体"/>
        <charset val="134"/>
      </rPr>
      <t>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r>
  </si>
  <si>
    <t>BEALL'S OUTLET STORES, INC.</t>
  </si>
  <si>
    <t>4500211833</t>
  </si>
  <si>
    <t>1904370</t>
  </si>
  <si>
    <t>4500211833-180</t>
  </si>
  <si>
    <t>8/7-客供价格贴纸</t>
  </si>
  <si>
    <t>所有产品外包装及产品本身都必须有日期跟踪码(ZURU标准日期码格式，年月日的日期自行调整，但不能为周末)，并且确保产品及外包装的日期跟踪码要一致</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</si>
  <si>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</si>
  <si>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Hailey Yu</t>
  </si>
  <si>
    <t>1904369</t>
  </si>
  <si>
    <t>4500211833-190</t>
  </si>
  <si>
    <t>4500211904</t>
  </si>
  <si>
    <t>4400563571</t>
  </si>
  <si>
    <t>4500211904-80</t>
  </si>
  <si>
    <t>外箱增加地址信息，消耗4500201059漏装的968pcs(44箱)成品包括纸箱，只需生产1232pcs（56箱）</t>
  </si>
  <si>
    <t>额外增加PDQ贴纸</t>
  </si>
  <si>
    <t>KANDYTOYS  LIMITED</t>
  </si>
  <si>
    <t>PH290726ZUR15594</t>
  </si>
  <si>
    <t>4500218950-20</t>
  </si>
  <si>
    <t>WEEE 29L不带电池说明书最新版</t>
  </si>
  <si>
    <t>8/13-PDQ底部贴纸（35063389172559）+PDQ地址通用贴纸</t>
  </si>
  <si>
    <t>生产日期按实际的（法定工作日），按ZURU标准格式即可，并需要在出货前提供每个产品外包上对应的生产日期明细</t>
  </si>
  <si>
    <t>日期码格式：ZURU  INC(BVI)  标准格式                                    日期：按实际生产日期
Packaging Info: 
【行项目90】
9543GQ1：MA  E1L  UPC收缩膜（193052050328）+MA  C5L说明书+WEEE  29L不带电池说明书最新版+MA  C1L  PDQ+PDQ底部贴纸（35063389172559）+PDQ地址通用贴纸
--------------------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
7.请额外准备一套大货样</t>
  </si>
  <si>
    <r>
      <rPr>
        <sz val="12"/>
        <color rgb="FF000000"/>
        <rFont val="宋体"/>
        <charset val="134"/>
        <scheme val="minor"/>
      </rPr>
      <t>Zoe</t>
    </r>
    <r>
      <rPr>
        <sz val="11"/>
        <color rgb="FF000000"/>
        <rFont val="宋体"/>
        <charset val="134"/>
      </rPr>
      <t xml:space="preserve">  </t>
    </r>
    <r>
      <rPr>
        <sz val="11"/>
        <color rgb="FF000000"/>
        <rFont val="宋体"/>
        <charset val="134"/>
      </rPr>
      <t>Zhou</t>
    </r>
  </si>
  <si>
    <t>order 5462Bekasovo 2</t>
  </si>
  <si>
    <t>4500211065-10</t>
  </si>
  <si>
    <t>7/9-进口商贴纸/EAN条码贴纸+6/12-QR code 贴纸+SSCC labe条码</t>
  </si>
  <si>
    <t>外包装(指:收缩膜/彩卡/铝箔袋/挂卡/PDQ)/外箱不要打ZURU标准日期码!胶件可以打日期码。</t>
  </si>
  <si>
    <t>日期码格式：外包装/外箱不要打ZURU标准日期                  日期：
Packaging Info: 注意:   除了9543 ，此单的其他款的进口商贴纸，EAN条码贴纸翻4500211021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出仓库-BEKASOVO 2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</si>
  <si>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order 5462Ural</t>
  </si>
  <si>
    <t>4500211083-10</t>
  </si>
  <si>
    <t>7/9-进口商贴纸/EAN条码贴纸翻4500211065+6/12-QR code 贴纸+SSCC labe条码</t>
  </si>
  <si>
    <t>日期码格式：外包装/外箱不要打ZURU标准日期                  日期：
Packaging Info: 注意:  此单9543进口商贴纸，EAN条码贴纸翻4500211065 ;
        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</si>
  <si>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r>
      <rPr>
        <sz val="12"/>
        <color rgb="FF000000"/>
        <rFont val="宋体"/>
        <charset val="134"/>
        <scheme val="minor"/>
      </rPr>
      <t>AMAZON</t>
    </r>
    <r>
      <rPr>
        <sz val="11"/>
        <color rgb="FF000000"/>
        <rFont val="宋体"/>
        <charset val="134"/>
      </rPr>
      <t xml:space="preserve">  </t>
    </r>
    <r>
      <rPr>
        <sz val="11"/>
        <color rgb="FF000000"/>
        <rFont val="宋体"/>
        <charset val="134"/>
      </rPr>
      <t>EU</t>
    </r>
    <r>
      <rPr>
        <sz val="11"/>
        <color rgb="FF000000"/>
        <rFont val="宋体"/>
        <charset val="134"/>
      </rPr>
      <t xml:space="preserve">  </t>
    </r>
    <r>
      <rPr>
        <sz val="11"/>
        <color rgb="FF000000"/>
        <rFont val="宋体"/>
        <charset val="134"/>
      </rPr>
      <t>SARL,</t>
    </r>
    <r>
      <rPr>
        <sz val="11"/>
        <color rgb="FF000000"/>
        <rFont val="宋体"/>
        <charset val="134"/>
      </rPr>
      <t xml:space="preserve">  </t>
    </r>
    <r>
      <rPr>
        <sz val="11"/>
        <color rgb="FF000000"/>
        <rFont val="宋体"/>
        <charset val="134"/>
      </rPr>
      <t>NDL</t>
    </r>
    <r>
      <rPr>
        <sz val="11"/>
        <color rgb="FF000000"/>
        <rFont val="宋体"/>
        <charset val="134"/>
      </rPr>
      <t xml:space="preserve">  </t>
    </r>
    <r>
      <rPr>
        <sz val="11"/>
        <color rgb="FF000000"/>
        <rFont val="宋体"/>
        <charset val="134"/>
      </rPr>
      <t>DEUTSCHLAND</t>
    </r>
  </si>
  <si>
    <t>4500217589</t>
  </si>
  <si>
    <t>5966T6TF</t>
  </si>
  <si>
    <t>4500217589-520</t>
  </si>
  <si>
    <t>客版邮包盒(UPC+英法德意西5L警示语+FR/ES/IT环保标+GPSR邮箱care@zuru.com+新UK地址，参考翻单PO#4500202513)</t>
  </si>
  <si>
    <t>空白外箱（加印带Zuru字样的最新logo，除了邮包盒直接做外箱的产品） +  SSCC  LABEL一张,  无箱唛，MADE  IN  CHINA  外箱只印一正一侧且正唛一面右下角需加
印法国地址：ZURU  FRANCE.  33  rue  Paul  Meurice  75020  Paris,  France及邮箱：care@zuru.com(满足EU&lt;(&gt;&amp;&lt;)&gt;UK  PPWR法规要求)。箱唛资料按照给定的标准去做
即可，无需发回我方再行审批(新标准将另行通知)</t>
  </si>
  <si>
    <t>WEEE_不带电池走货 _ 说明书欧洲
 EN+29L_C版</t>
  </si>
  <si>
    <t>欠外箱贴纸资料+邮包盒贴纸翻单4500215818</t>
  </si>
  <si>
    <r>
      <rPr>
        <sz val="12"/>
        <color rgb="FF000000"/>
        <rFont val="宋体"/>
        <charset val="134"/>
      </rPr>
      <t>日期码格式：ZURU  INC(BVI)  标准格式                                    日期：按实际生产日期
Packaging Info: Amazon  DE:  83HME98C/1CRFWQPD/5966T6TF
Amazon  UK:    7I9R6NFR/6PUA1B5K/4EYHRO8Q/43UX613E/2RV9F3UR/2QCSUS1Q/2BZEPRCS/1VFOYQSR/1P3VIQGH/1AR1AQCU/19ZKH3PZ
Amazon  ES:  5SHNFXHV/4NB6XODY
Amazon  FR:  88YIYPAJ/1PICA8SM/1BJCDLVR
Amazon  IT:  3XYWOJGN/2S7KGVVF
Amazon  DE(157124/157142/15785D/15788B/77878/9543E)/UK(157124/15746A/15749ABH/15750G/15752ABDH/15780BD/15787ABDE/15788G/71137/71152/77785/92119BD
/92125D/9565BE)/ES(15785AB/92146D/9565E)/FR(157140/15780B/15787DEG/15788AD/77876/92146D)/IT(15787B/15788DEGH/92146B)
  20. 9543E: 9543E 24pcs/ctn, no inner, orange; 客版邮包盒(UPC#+英法德意西5L警示语+FR/ES/IT环保标+GPSR邮箱care@zuru.com+新UK地址，参考翻单PO#45002
02513)+1张贴纸（1张含FR/IT环保标+洗涤说明，贴邮包盒,</t>
    </r>
    <r>
      <rPr>
        <sz val="12"/>
        <color rgb="FFFF0000"/>
        <rFont val="宋体"/>
        <charset val="134"/>
      </rPr>
      <t xml:space="preserve"> 翻单4500215818</t>
    </r>
    <r>
      <rPr>
        <sz val="12"/>
        <color rgb="FF000000"/>
        <rFont val="宋体"/>
        <charset val="134"/>
      </rPr>
      <t>）+MA 3L（5L warning EAN#）D收缩膜+MA 5L(9L warning) C 说明书+WEEE_不带电池走
货 _ 说明书欧洲EN+29L_C版；
22.  验货时间不迟于2026/9/10.
Remark: 1.空白外箱（加印带Zuru字样的最新logo，除了邮包盒直接做外箱的产品）    +  SSCC  LABEL一张,  无箱唛，MADE  IN  CHINA  外箱只印一正一侧且正唛一面右下角需加
印法国地址：ZURU  FRANCE.  33  rue  Paul  Meurice  75020  Paris,  France及邮箱：care@zuru.com(满足EU&lt;(&gt;&amp;&lt;)&gt;UK  PPWR法规要求)。箱唛资料按照给定的标准去做
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此要求只适用Amazon  UK/DE/FR/ES/
IT,不适用Amazon  GPE，Amazon  GPE无SSCC  label,  但是有对应箱唛，需印刷到外箱  。
应最新EU&lt;(&gt;&amp;&lt;)&gt;UK法规PPWR要求，所有外箱上都需要加印如下地址和邮箱，(具体位置：外箱正面右下角)
ZURU  FRANCE.  33  rue  Paul  Meurice  75020  Paris,  France.
care@zuru.com
2. 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</si>
  <si>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r>
      <rPr>
        <sz val="12"/>
        <color rgb="FF000000"/>
        <rFont val="宋体"/>
        <charset val="0"/>
        <scheme val="minor"/>
      </rPr>
      <t>Luna</t>
    </r>
    <r>
      <rPr>
        <sz val="10"/>
        <color rgb="FF000000"/>
        <rFont val="等线"/>
        <charset val="134"/>
      </rPr>
      <t xml:space="preserve">  </t>
    </r>
    <r>
      <rPr>
        <sz val="10"/>
        <color rgb="FF000000"/>
        <rFont val="等线"/>
        <charset val="134"/>
      </rPr>
      <t>Lin</t>
    </r>
  </si>
  <si>
    <r>
      <rPr>
        <sz val="12"/>
        <color rgb="FF000000"/>
        <rFont val="宋体"/>
        <charset val="134"/>
        <scheme val="minor"/>
      </rPr>
      <t>LIMITED</t>
    </r>
    <r>
      <rPr>
        <sz val="11"/>
        <color rgb="FF000000"/>
        <rFont val="宋体"/>
        <charset val="134"/>
      </rPr>
      <t xml:space="preserve">  </t>
    </r>
    <r>
      <rPr>
        <sz val="11"/>
        <color rgb="FF000000"/>
        <rFont val="宋体"/>
        <charset val="134"/>
      </rPr>
      <t>LIABILITY</t>
    </r>
    <r>
      <rPr>
        <sz val="11"/>
        <color rgb="FF000000"/>
        <rFont val="宋体"/>
        <charset val="134"/>
      </rPr>
      <t xml:space="preserve">  </t>
    </r>
    <r>
      <rPr>
        <sz val="11"/>
        <color rgb="FF000000"/>
        <rFont val="宋体"/>
        <charset val="134"/>
      </rPr>
      <t>COMPANY</t>
    </r>
    <r>
      <rPr>
        <sz val="11"/>
        <color rgb="FF000000"/>
        <rFont val="宋体"/>
        <charset val="134"/>
      </rPr>
      <t xml:space="preserve">   </t>
    </r>
    <r>
      <rPr>
        <sz val="11"/>
        <color rgb="FF000000"/>
        <rFont val="宋体"/>
        <charset val="134"/>
      </rPr>
      <t>“ARMOTOP”</t>
    </r>
  </si>
  <si>
    <t>4500217495</t>
  </si>
  <si>
    <t>4500217495-20</t>
  </si>
  <si>
    <t>8/10-进口商贴纸（含客户EAN条码）+7/28-QR贴纸</t>
  </si>
  <si>
    <r>
      <rPr>
        <sz val="12"/>
        <color rgb="FF000000"/>
        <rFont val="宋体"/>
        <charset val="134"/>
      </rPr>
      <t>日期码格式：ZURU INC(BVI) 标准格式 日期：按实际生产日期
Packaging Info: 77770GQ1/9543GQ1/71126：</t>
    </r>
    <r>
      <rPr>
        <sz val="12"/>
        <color rgb="FFFF0000"/>
        <rFont val="宋体"/>
        <charset val="134"/>
      </rPr>
      <t xml:space="preserve">1L </t>
    </r>
    <r>
      <rPr>
        <sz val="12"/>
        <color rgb="FF000000"/>
        <rFont val="宋体"/>
        <charset val="134"/>
      </rPr>
      <t>MA UPC包装+进口商贴纸</t>
    </r>
    <r>
      <rPr>
        <sz val="12"/>
        <color rgb="FFFF0000"/>
        <rFont val="宋体"/>
        <charset val="134"/>
      </rPr>
      <t>+EAN条码贴纸</t>
    </r>
    <r>
      <rPr>
        <sz val="12"/>
        <color rgb="FF000000"/>
        <rFont val="宋体"/>
        <charset val="134"/>
      </rPr>
      <t>+QR贴纸 ，MA 说明书/指南/PDQ (如有) ；
Remark: 1. QR code 贴纸 : 二维码要清晰可扫描，2年不褪色 ，强占不易脱落 ，材质同进口商贴纸纸。要求一物一码，每PCS的二维码不一样，尺寸可按包装尺寸适度调
整确保美观可扫,白底黑字，分辨率要大于300dpi，位置要远离条码。 可贴零售包装的侧面右下角/背面的右上角/挂卡的背面/正面的右上角，距离边距5mm）;
2. QR 二维码格式要求： DATA MATRIX GS1 ， 大货印刷前请发JPG 图片确认格式是否正确； 请用苹果手机下载 Честный знак 官方APP 进行扫描，必
须100%成功验证并显示正确商品信息 ; --ZURU QC 请留意 。
3.. 出货前需要按船务的指示提供零售包装上QR CODE 入外箱以及入货柜的明细清单供客户清关使用--用客户的模板（追踪到箱/到柜）；
4. 货期不能延,有罚金。
5. 若产品中的口水胶/棉花泥等配件已提前印刷好了日期码，需明确告知日期码是多少，客户要求距离货物到店时间至少还有三分之二的有效期（比如Slime有效期1
年，那到店后还需要8个月的有效） 。
6. 无特殊要求，按ZURU 标准比例；</t>
    </r>
  </si>
  <si>
    <t>DISTRIBUIDORA COMERCIAL DEL NORTE</t>
  </si>
  <si>
    <t>4500216424</t>
  </si>
  <si>
    <t>2026-2389</t>
  </si>
  <si>
    <t>4500216424-20</t>
  </si>
  <si>
    <t>7/23-UPC贴纸+进口商贴纸</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</si>
  <si>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9543GQ1 MA 多语EAN包装+UPC贴纸+MA 多语说明书+MA多语PDQ+进口商贴纸+箱唛
Remark: 15783UQ1  7 Assortments; Rare assortment 1/24, others even ratio
9543GQ1 "2PCS AAA BATTERIES(NOT INCLUDED)
" BULE/PURPLE/PINK/ORANGE =5:6:6:5;</t>
  </si>
  <si>
    <t>4500218324-10</t>
  </si>
  <si>
    <t>7/31-通用贴纸</t>
  </si>
  <si>
    <r>
      <rPr>
        <sz val="12"/>
        <color rgb="FF000000"/>
        <rFont val="宋体"/>
        <charset val="0"/>
        <scheme val="minor"/>
      </rPr>
      <t>Niki</t>
    </r>
    <r>
      <rPr>
        <sz val="10"/>
        <color rgb="FF000000"/>
        <rFont val="等线"/>
        <charset val="134"/>
      </rPr>
      <t xml:space="preserve">  Chen</t>
    </r>
  </si>
  <si>
    <r>
      <rPr>
        <sz val="12"/>
        <color rgb="FF000000"/>
        <rFont val="宋体"/>
        <charset val="134"/>
        <scheme val="minor"/>
      </rPr>
      <t>GIFI</t>
    </r>
    <r>
      <rPr>
        <sz val="11"/>
        <color rgb="FF000000"/>
        <rFont val="宋体"/>
        <charset val="134"/>
      </rPr>
      <t xml:space="preserve">  </t>
    </r>
    <r>
      <rPr>
        <sz val="11"/>
        <color rgb="FF000000"/>
        <rFont val="宋体"/>
        <charset val="134"/>
      </rPr>
      <t>DIFFUSION</t>
    </r>
  </si>
  <si>
    <t>4500218648</t>
  </si>
  <si>
    <t>4500107613</t>
  </si>
  <si>
    <t>4500218648-20</t>
  </si>
  <si>
    <t>8/4收到</t>
  </si>
  <si>
    <t>8/5-1张欧盟地址贴纸(贴PDQ背面空白处即可)</t>
  </si>
  <si>
    <t>指定日期码为09/2026, 请确保产品/包装/外箱都日期码保持一致(如做不到请提前沟通)</t>
  </si>
  <si>
    <t>日期码格式：09/2026 日期：
Packaging Info: 
2.9543GQ1：MA最新3L EAN收缩膜+MA5L说明书+最新欧洲通用29L WEEE电池声明书(不带电池版本)+MA3LPDQ+1张欧盟地址贴纸(贴PDQ背面空白处即可)
Remark: 1. 通过ZURU OQC验货即可出货; 需要大货样4套在CRD前一周备好, 请多备料;
2. 指定日期码为09/2026, 请确保产品/包装/外箱都日期码保持一致(如做不到请提前沟通)；
3. 此票出法国，请确保所有产品需符合EU法规；
4. 逾期出货罚款细则，8-14天罚款发票金额的3%，15-21天罚款发票金额的5%，22-28天罚款发票金额的7%，超过28天罚款发票金额的10%或空运由supplier承担空运
费用；
5. PDQ都需要增加1张欧盟地址贴纸(贴PDQ背面空白处即可)</t>
  </si>
  <si>
    <r>
      <rPr>
        <sz val="12"/>
        <color rgb="FF000000"/>
        <rFont val="宋体"/>
        <charset val="0"/>
        <scheme val="minor"/>
      </rPr>
      <t>Ula</t>
    </r>
    <r>
      <rPr>
        <sz val="11"/>
        <color rgb="FF000000"/>
        <rFont val="宋体"/>
        <charset val="134"/>
      </rPr>
      <t xml:space="preserve">  </t>
    </r>
    <r>
      <rPr>
        <sz val="11"/>
        <color rgb="FF000000"/>
        <rFont val="宋体"/>
        <charset val="134"/>
      </rPr>
      <t>Zhao</t>
    </r>
  </si>
  <si>
    <t>DIRK  ROSSMANN  GMBH</t>
  </si>
  <si>
    <t>4500210717-60</t>
  </si>
  <si>
    <t>9/17第三方</t>
  </si>
  <si>
    <t>7/31收到  外箱上下需加保护卡</t>
  </si>
  <si>
    <t>EAN条码贴纸+德语callout警语贴纸翻单4500203533</t>
  </si>
  <si>
    <t>日期码格式：ZURU  INC(BVI)  标准格式                                    日期：按实际生产日期
Packaging Info:
9543:  最新MA  1L  UPC包装+EAN条码贴纸+德语callout警语贴纸+5L+9L说明书+欧洲通用29L  WEEE说明书(不带电池)所有资料翻单#4500203533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此单出德国，需包含德语警语。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</si>
  <si>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4500218444-30</t>
  </si>
  <si>
    <t>日期码格式：ZURU  INC(BVI) 标准格式                                    日期：按实际生产日期
Packaging Info: 1. 包装方式：MA UPC 优先1L 最新包装，出口美国
Remark: 2. 外箱箱唛红色和黑色双色印刷
  3. 产品和包装上印刷tracking  code信息，格式为ZURU常规
  4. 15789UQ1消耗订单4500199607取消的15789U Q1，外箱箱唛用水贴纸覆盖</t>
  </si>
  <si>
    <t>4500217954-90</t>
  </si>
  <si>
    <t>8/6收到</t>
  </si>
  <si>
    <r>
      <rPr>
        <sz val="12"/>
        <rFont val="宋体"/>
        <charset val="134"/>
      </rPr>
      <t>日期码格式：ZURU</t>
    </r>
    <r>
      <rPr>
        <sz val="12"/>
        <color rgb="FF000000"/>
        <rFont val="宋体"/>
        <charset val="134"/>
      </rPr>
      <t xml:space="preserve">  INC(BVI) 标准格式                                    日期：按实际生产日期
Packaging Info: 1. ZURU MA UPC    (首选1L / 多语可以接受)包装,
Remark: 2. 产品和包装上印刷tracking  code信息，格式为ZURU常规
  3. 整柜FCL  出货，（装柜工厂）装柜时最后一箱正唛贴上装箱单  (不是装柜工厂忽略即可），装箱单需要用透明的袋子装好，    剩下三面贴上''PACKING LIST ENC
  LOSED  '' 的字样    （可以用A4  纸打印）- 船务会发出。
  4. 需ZURU QC 验货合格后方可出货</t>
    </r>
  </si>
  <si>
    <t>4500211572</t>
  </si>
  <si>
    <t>70089395</t>
  </si>
  <si>
    <t>4500211572-10</t>
  </si>
  <si>
    <t>8/6-客供价格贴纸</t>
  </si>
  <si>
    <t>日期码格式：ZURU INC(BVI) 标准格式                  日期：按实际生产日期
Packaging Info: 1.ZURU MA UPC 最新版本包装 + 客供价格贴纸，出口美国 , 优先1L，可接受多语 。
#9564,#77486 MA UPC 现有包装+PVC桶,铜板纸+客供价格贴纸，优先使用MA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</si>
  <si>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ARCHIBRAND,  S.A.  DE  C.V.</t>
  </si>
  <si>
    <t>4500220001-300</t>
  </si>
  <si>
    <t>保证书翻4500210229</t>
  </si>
  <si>
    <t>UPC 贴纸+进口商贴纸翻单4500210229</t>
  </si>
  <si>
    <r>
      <rPr>
        <sz val="12"/>
        <color rgb="FF000000"/>
        <rFont val="宋体"/>
        <charset val="134"/>
      </rPr>
      <t>日期码格式：ZURU</t>
    </r>
    <r>
      <rPr>
        <sz val="11"/>
        <color rgb="FF000000"/>
        <rFont val="宋体"/>
        <charset val="134"/>
      </rPr>
      <t xml:space="preserve">  </t>
    </r>
    <r>
      <rPr>
        <sz val="11"/>
        <color rgb="FF000000"/>
        <rFont val="宋体"/>
        <charset val="134"/>
      </rPr>
      <t>INC(BVI)</t>
    </r>
    <r>
      <rPr>
        <sz val="11"/>
        <color rgb="FF000000"/>
        <rFont val="宋体"/>
        <charset val="134"/>
      </rPr>
      <t xml:space="preserve">  </t>
    </r>
    <r>
      <rPr>
        <sz val="11"/>
        <color rgb="FF000000"/>
        <rFont val="宋体"/>
        <charset val="134"/>
      </rPr>
      <t>标准格式</t>
    </r>
    <r>
      <rPr>
        <sz val="11"/>
        <color rgb="FF000000"/>
        <rFont val="宋体"/>
        <charset val="134"/>
      </rPr>
      <t xml:space="preserve">                                    </t>
    </r>
    <r>
      <rPr>
        <sz val="11"/>
        <color rgb="FF000000"/>
        <rFont val="宋体"/>
        <charset val="134"/>
      </rPr>
      <t>日期：按实际生产日期</t>
    </r>
    <r>
      <rPr>
        <sz val="11"/>
        <color rgb="FF000000"/>
        <rFont val="宋体"/>
        <charset val="134"/>
      </rPr>
      <t xml:space="preserve">
</t>
    </r>
    <r>
      <rPr>
        <sz val="11"/>
        <color rgb="FF000000"/>
        <rFont val="宋体"/>
        <charset val="134"/>
      </rPr>
      <t>Packaging Info:</t>
    </r>
    <r>
      <rPr>
        <sz val="11"/>
        <color rgb="FF000000"/>
        <rFont val="宋体"/>
        <charset val="134"/>
      </rPr>
      <t xml:space="preserve">
</t>
    </r>
    <r>
      <rPr>
        <sz val="11"/>
        <color rgb="FF000000"/>
        <rFont val="宋体"/>
        <charset val="134"/>
      </rPr>
      <t xml:space="preserve">   </t>
    </r>
    <r>
      <rPr>
        <sz val="11"/>
        <color rgb="FF000000"/>
        <rFont val="宋体"/>
        <charset val="134"/>
      </rPr>
      <t>12.</t>
    </r>
    <r>
      <rPr>
        <sz val="11"/>
        <color rgb="FF000000"/>
        <rFont val="宋体"/>
        <charset val="134"/>
      </rPr>
      <t xml:space="preserve">  </t>
    </r>
    <r>
      <rPr>
        <sz val="11"/>
        <color rgb="FF000000"/>
        <rFont val="宋体"/>
        <charset val="134"/>
      </rPr>
      <t>9543B/E</t>
    </r>
    <r>
      <rPr>
        <sz val="11"/>
        <color rgb="FF000000"/>
        <rFont val="宋体"/>
        <charset val="134"/>
      </rPr>
      <t xml:space="preserve">  </t>
    </r>
    <r>
      <rPr>
        <sz val="11"/>
        <color rgb="FF000000"/>
        <rFont val="宋体"/>
        <charset val="134"/>
      </rPr>
      <t>MA</t>
    </r>
    <r>
      <rPr>
        <sz val="11"/>
        <color rgb="FF000000"/>
        <rFont val="宋体"/>
        <charset val="134"/>
      </rPr>
      <t xml:space="preserve">  </t>
    </r>
    <r>
      <rPr>
        <sz val="11"/>
        <color rgb="FF000000"/>
        <rFont val="宋体"/>
        <charset val="134"/>
      </rPr>
      <t>3L</t>
    </r>
    <r>
      <rPr>
        <sz val="11"/>
        <color rgb="FF000000"/>
        <rFont val="宋体"/>
        <charset val="134"/>
      </rPr>
      <t xml:space="preserve">  </t>
    </r>
    <r>
      <rPr>
        <sz val="11"/>
        <color rgb="FF000000"/>
        <rFont val="宋体"/>
        <charset val="134"/>
      </rPr>
      <t>EAN包装+UPC</t>
    </r>
    <r>
      <rPr>
        <sz val="11"/>
        <color rgb="FF000000"/>
        <rFont val="宋体"/>
        <charset val="134"/>
      </rPr>
      <t xml:space="preserve">  </t>
    </r>
    <r>
      <rPr>
        <sz val="11"/>
        <color rgb="FF000000"/>
        <rFont val="宋体"/>
        <charset val="134"/>
      </rPr>
      <t>贴纸+进口商贴纸+箱唛+保证书，贴纸和保证书翻单PO4500210229</t>
    </r>
    <r>
      <rPr>
        <sz val="11"/>
        <color rgb="FF000000"/>
        <rFont val="宋体"/>
        <charset val="134"/>
      </rPr>
      <t xml:space="preserve">
</t>
    </r>
    <r>
      <rPr>
        <sz val="11"/>
        <color rgb="FF000000"/>
        <rFont val="宋体"/>
        <charset val="134"/>
      </rPr>
      <t>Remark:</t>
    </r>
    <r>
      <rPr>
        <sz val="11"/>
        <color rgb="FF000000"/>
        <rFont val="宋体"/>
        <charset val="134"/>
      </rPr>
      <t xml:space="preserve"> </t>
    </r>
  </si>
  <si>
    <r>
      <rPr>
        <sz val="12"/>
        <color rgb="FF000000"/>
        <rFont val="宋体"/>
        <charset val="0"/>
        <scheme val="minor"/>
      </rPr>
      <t>Ever</t>
    </r>
    <r>
      <rPr>
        <sz val="11"/>
        <color rgb="FF000000"/>
        <rFont val="宋体"/>
        <charset val="134"/>
      </rPr>
      <t xml:space="preserve">  </t>
    </r>
    <r>
      <rPr>
        <sz val="11"/>
        <color rgb="FF000000"/>
        <rFont val="宋体"/>
        <charset val="134"/>
      </rPr>
      <t>Li</t>
    </r>
  </si>
  <si>
    <t>4500220001-310</t>
  </si>
  <si>
    <t>AMAZON  EU  SARL,  NDL  DEUTSCHLAND</t>
  </si>
  <si>
    <t>8CXL2SLG</t>
  </si>
  <si>
    <t>4500218996-10</t>
  </si>
  <si>
    <r>
      <rPr>
        <sz val="12"/>
        <color rgb="FF000000"/>
        <rFont val="宋体"/>
        <charset val="0"/>
      </rPr>
      <t>紫色仓鼠</t>
    </r>
    <r>
      <rPr>
        <sz val="12"/>
        <color rgb="FFFF0000"/>
        <rFont val="宋体"/>
        <charset val="0"/>
      </rPr>
      <t>（邮包盒）</t>
    </r>
  </si>
  <si>
    <t>客版邮包盒(UPC#+英法德意西5L警示语+ES环保标+GPSR邮箱care@zuru.com+新UK地址，参考翻单PO#4500202512)</t>
  </si>
  <si>
    <t>空白外箱（加印带Zuru字样的最新logo，除了邮包盒直接做外箱的产品） + SSCC LABEL一张, 无箱唛，MADE IN CHINA 外箱只印一正一侧且正唛一面右下角需加
 印法国地址：ZURU FRANCE. 33 rue Paul Meurice 75020 Paris, France及邮箱：care@zuru.com(满足EU&lt;(&gt;&amp;&lt;)&gt;UK PPWR法规要求)。箱唛资料按照给定的标准去做
 即可，无需发回我方再行审批(新标准将另行通知)。</t>
  </si>
  <si>
    <t>WEEE_不带电池走货 _ 说
 明书欧洲EN</t>
  </si>
  <si>
    <t>贴邮包盒贴纸翻单4500215818</t>
  </si>
  <si>
    <t>欠外箱贴纸</t>
  </si>
  <si>
    <r>
      <rPr>
        <sz val="12"/>
        <color rgb="FF000000"/>
        <rFont val="宋体"/>
        <charset val="134"/>
      </rPr>
      <t>日期码格式：ZURU</t>
    </r>
    <r>
      <rPr>
        <sz val="11"/>
        <color rgb="FF000000"/>
        <rFont val="宋体"/>
        <charset val="134"/>
      </rPr>
      <t xml:space="preserve">  </t>
    </r>
    <r>
      <rPr>
        <sz val="11"/>
        <color rgb="FF000000"/>
        <rFont val="宋体"/>
        <charset val="134"/>
      </rPr>
      <t>INC(BVI)</t>
    </r>
    <r>
      <rPr>
        <sz val="11"/>
        <color rgb="FF000000"/>
        <rFont val="宋体"/>
        <charset val="134"/>
      </rPr>
      <t xml:space="preserve">  </t>
    </r>
    <r>
      <rPr>
        <sz val="11"/>
        <color rgb="FF000000"/>
        <rFont val="宋体"/>
        <charset val="134"/>
      </rPr>
      <t>标准格式</t>
    </r>
    <r>
      <rPr>
        <sz val="11"/>
        <color rgb="FF000000"/>
        <rFont val="宋体"/>
        <charset val="134"/>
      </rPr>
      <t xml:space="preserve">                                    </t>
    </r>
    <r>
      <rPr>
        <sz val="11"/>
        <color rgb="FF000000"/>
        <rFont val="宋体"/>
        <charset val="134"/>
      </rPr>
      <t>日期：按实际生产日期</t>
    </r>
    <r>
      <rPr>
        <sz val="11"/>
        <color rgb="FF000000"/>
        <rFont val="宋体"/>
        <charset val="134"/>
      </rPr>
      <t xml:space="preserve">
</t>
    </r>
    <r>
      <rPr>
        <sz val="11"/>
        <color rgb="FF000000"/>
        <rFont val="宋体"/>
        <charset val="134"/>
      </rPr>
      <t>Packaging Info: Amazon</t>
    </r>
    <r>
      <rPr>
        <sz val="11"/>
        <color rgb="FF000000"/>
        <rFont val="宋体"/>
        <charset val="134"/>
      </rPr>
      <t xml:space="preserve">  </t>
    </r>
    <r>
      <rPr>
        <sz val="11"/>
        <color rgb="FF000000"/>
        <rFont val="宋体"/>
        <charset val="134"/>
      </rPr>
      <t>DE:</t>
    </r>
    <r>
      <rPr>
        <sz val="11"/>
        <color rgb="FF000000"/>
        <rFont val="宋体"/>
        <charset val="134"/>
      </rPr>
      <t xml:space="preserve">  </t>
    </r>
    <r>
      <rPr>
        <sz val="11"/>
        <color rgb="FF000000"/>
        <rFont val="宋体"/>
        <charset val="134"/>
      </rPr>
      <t>8CXL2SLG</t>
    </r>
    <r>
      <rPr>
        <sz val="11"/>
        <color rgb="FF000000"/>
        <rFont val="宋体"/>
        <charset val="134"/>
      </rPr>
      <t xml:space="preserve">
</t>
    </r>
    <r>
      <rPr>
        <sz val="11"/>
        <color rgb="FF000000"/>
        <rFont val="宋体"/>
        <charset val="134"/>
      </rPr>
      <t>Amazon</t>
    </r>
    <r>
      <rPr>
        <sz val="11"/>
        <color rgb="FF000000"/>
        <rFont val="宋体"/>
        <charset val="134"/>
      </rPr>
      <t xml:space="preserve">  </t>
    </r>
    <r>
      <rPr>
        <sz val="11"/>
        <color rgb="FF000000"/>
        <rFont val="宋体"/>
        <charset val="134"/>
      </rPr>
      <t>DE:</t>
    </r>
    <r>
      <rPr>
        <sz val="11"/>
        <color rgb="FF000000"/>
        <rFont val="宋体"/>
        <charset val="134"/>
      </rPr>
      <t xml:space="preserve">  </t>
    </r>
    <r>
      <rPr>
        <sz val="11"/>
        <color rgb="FF000000"/>
        <rFont val="宋体"/>
        <charset val="134"/>
      </rPr>
      <t>1ZNJXTJK</t>
    </r>
    <r>
      <rPr>
        <sz val="11"/>
        <color rgb="FF000000"/>
        <rFont val="宋体"/>
        <charset val="134"/>
      </rPr>
      <t xml:space="preserve">
</t>
    </r>
    <r>
      <rPr>
        <sz val="11"/>
        <color rgb="FF000000"/>
        <rFont val="宋体"/>
        <charset val="134"/>
      </rPr>
      <t>DE(9543DB)</t>
    </r>
    <r>
      <rPr>
        <sz val="11"/>
        <color rgb="FF000000"/>
        <rFont val="宋体"/>
        <charset val="134"/>
      </rPr>
      <t xml:space="preserve">
</t>
    </r>
    <r>
      <rPr>
        <sz val="11"/>
        <color rgb="FF000000"/>
        <rFont val="宋体"/>
        <charset val="134"/>
      </rPr>
      <t>1.9543DB</t>
    </r>
    <r>
      <rPr>
        <sz val="11"/>
        <color rgb="FF000000"/>
        <rFont val="宋体"/>
        <charset val="134"/>
      </rPr>
      <t xml:space="preserve">
</t>
    </r>
    <r>
      <rPr>
        <sz val="11"/>
        <color rgb="FF000000"/>
        <rFont val="宋体"/>
        <charset val="134"/>
      </rPr>
      <t>--9543D:</t>
    </r>
    <r>
      <rPr>
        <sz val="11"/>
        <color rgb="FF000000"/>
        <rFont val="宋体"/>
        <charset val="134"/>
      </rPr>
      <t xml:space="preserve">  </t>
    </r>
    <r>
      <rPr>
        <sz val="11"/>
        <color rgb="FF000000"/>
        <rFont val="宋体"/>
        <charset val="134"/>
      </rPr>
      <t>9543D</t>
    </r>
    <r>
      <rPr>
        <sz val="11"/>
        <color rgb="FF000000"/>
        <rFont val="宋体"/>
        <charset val="134"/>
      </rPr>
      <t xml:space="preserve">  </t>
    </r>
    <r>
      <rPr>
        <sz val="11"/>
        <color rgb="FF000000"/>
        <rFont val="宋体"/>
        <charset val="134"/>
      </rPr>
      <t>24pcs/ctn,</t>
    </r>
    <r>
      <rPr>
        <sz val="11"/>
        <color rgb="FF000000"/>
        <rFont val="宋体"/>
        <charset val="134"/>
      </rPr>
      <t xml:space="preserve">  </t>
    </r>
    <r>
      <rPr>
        <sz val="11"/>
        <color rgb="FF000000"/>
        <rFont val="宋体"/>
        <charset val="134"/>
      </rPr>
      <t>no</t>
    </r>
    <r>
      <rPr>
        <sz val="11"/>
        <color rgb="FF000000"/>
        <rFont val="宋体"/>
        <charset val="134"/>
      </rPr>
      <t xml:space="preserve">  </t>
    </r>
    <r>
      <rPr>
        <sz val="11"/>
        <color rgb="FF000000"/>
        <rFont val="宋体"/>
        <charset val="134"/>
      </rPr>
      <t>inner,</t>
    </r>
    <r>
      <rPr>
        <sz val="11"/>
        <color rgb="FF000000"/>
        <rFont val="宋体"/>
        <charset val="134"/>
      </rPr>
      <t xml:space="preserve">  </t>
    </r>
    <r>
      <rPr>
        <sz val="11"/>
        <color rgb="FF000000"/>
        <rFont val="宋体"/>
        <charset val="134"/>
      </rPr>
      <t>pink;</t>
    </r>
    <r>
      <rPr>
        <sz val="11"/>
        <color rgb="FF000000"/>
        <rFont val="宋体"/>
        <charset val="134"/>
      </rPr>
      <t xml:space="preserve">  </t>
    </r>
    <r>
      <rPr>
        <sz val="11"/>
        <color rgb="FF000000"/>
        <rFont val="宋体"/>
        <charset val="134"/>
      </rPr>
      <t>客版邮包盒(UPC#+英法德意西5L警示语+ES环保标+GPSR邮箱care@zuru.com+新UK地址，参考翻单PO#4500202512)+1张</t>
    </r>
    <r>
      <rPr>
        <sz val="11"/>
        <color rgb="FF000000"/>
        <rFont val="宋体"/>
        <charset val="134"/>
      </rPr>
      <t xml:space="preserve">
</t>
    </r>
    <r>
      <rPr>
        <sz val="11"/>
        <color rgb="FF000000"/>
        <rFont val="宋体"/>
        <charset val="134"/>
      </rPr>
      <t>贴纸（1张含FR/IT环保标+新洗涤说明，贴邮包盒，翻单4500215818）+MA</t>
    </r>
    <r>
      <rPr>
        <sz val="11"/>
        <color rgb="FF000000"/>
        <rFont val="宋体"/>
        <charset val="134"/>
      </rPr>
      <t xml:space="preserve">  </t>
    </r>
    <r>
      <rPr>
        <sz val="11"/>
        <color rgb="FF000000"/>
        <rFont val="宋体"/>
        <charset val="134"/>
      </rPr>
      <t>3L（5L</t>
    </r>
    <r>
      <rPr>
        <sz val="11"/>
        <color rgb="FF000000"/>
        <rFont val="宋体"/>
        <charset val="134"/>
      </rPr>
      <t xml:space="preserve">  </t>
    </r>
    <r>
      <rPr>
        <sz val="11"/>
        <color rgb="FF000000"/>
        <rFont val="宋体"/>
        <charset val="134"/>
      </rPr>
      <t>warning</t>
    </r>
    <r>
      <rPr>
        <sz val="11"/>
        <color rgb="FF000000"/>
        <rFont val="宋体"/>
        <charset val="134"/>
      </rPr>
      <t xml:space="preserve">  </t>
    </r>
    <r>
      <rPr>
        <sz val="11"/>
        <color rgb="FF000000"/>
        <rFont val="宋体"/>
        <charset val="134"/>
      </rPr>
      <t>EAN#）D收缩膜+MA</t>
    </r>
    <r>
      <rPr>
        <sz val="11"/>
        <color rgb="FF000000"/>
        <rFont val="宋体"/>
        <charset val="134"/>
      </rPr>
      <t xml:space="preserve">  </t>
    </r>
    <r>
      <rPr>
        <sz val="11"/>
        <color rgb="FF000000"/>
        <rFont val="宋体"/>
        <charset val="134"/>
      </rPr>
      <t>5L(9L</t>
    </r>
    <r>
      <rPr>
        <sz val="11"/>
        <color rgb="FF000000"/>
        <rFont val="宋体"/>
        <charset val="134"/>
      </rPr>
      <t xml:space="preserve">  </t>
    </r>
    <r>
      <rPr>
        <sz val="11"/>
        <color rgb="FF000000"/>
        <rFont val="宋体"/>
        <charset val="134"/>
      </rPr>
      <t>warning)</t>
    </r>
    <r>
      <rPr>
        <sz val="11"/>
        <color rgb="FF000000"/>
        <rFont val="宋体"/>
        <charset val="134"/>
      </rPr>
      <t xml:space="preserve">  </t>
    </r>
    <r>
      <rPr>
        <sz val="11"/>
        <color rgb="FF000000"/>
        <rFont val="宋体"/>
        <charset val="134"/>
      </rPr>
      <t>C</t>
    </r>
    <r>
      <rPr>
        <sz val="11"/>
        <color rgb="FF000000"/>
        <rFont val="宋体"/>
        <charset val="134"/>
      </rPr>
      <t xml:space="preserve">  </t>
    </r>
    <r>
      <rPr>
        <sz val="11"/>
        <color rgb="FF000000"/>
        <rFont val="宋体"/>
        <charset val="134"/>
      </rPr>
      <t>说明书+WEEE_不带电池走货 _</t>
    </r>
    <r>
      <rPr>
        <sz val="11"/>
        <color rgb="FF000000"/>
        <rFont val="宋体"/>
        <charset val="134"/>
      </rPr>
      <t xml:space="preserve">  </t>
    </r>
    <r>
      <rPr>
        <sz val="11"/>
        <color rgb="FF000000"/>
        <rFont val="宋体"/>
        <charset val="134"/>
      </rPr>
      <t>说</t>
    </r>
    <r>
      <rPr>
        <sz val="11"/>
        <color rgb="FF000000"/>
        <rFont val="宋体"/>
        <charset val="134"/>
      </rPr>
      <t xml:space="preserve">
</t>
    </r>
    <r>
      <rPr>
        <sz val="11"/>
        <color rgb="FF000000"/>
        <rFont val="宋体"/>
        <charset val="134"/>
      </rPr>
      <t>明书欧洲EN+29L_C版+最新MA</t>
    </r>
    <r>
      <rPr>
        <sz val="11"/>
        <color rgb="FF000000"/>
        <rFont val="宋体"/>
        <charset val="134"/>
      </rPr>
      <t xml:space="preserve">  </t>
    </r>
    <r>
      <rPr>
        <sz val="11"/>
        <color rgb="FF000000"/>
        <rFont val="宋体"/>
        <charset val="134"/>
      </rPr>
      <t>配套包装；</t>
    </r>
    <r>
      <rPr>
        <sz val="11"/>
        <color rgb="FF000000"/>
        <rFont val="宋体"/>
        <charset val="134"/>
      </rPr>
      <t xml:space="preserve">
</t>
    </r>
    <r>
      <rPr>
        <sz val="11"/>
        <color rgb="FF000000"/>
        <rFont val="宋体"/>
        <charset val="134"/>
      </rPr>
      <t>--9543B:9543B</t>
    </r>
    <r>
      <rPr>
        <sz val="11"/>
        <color rgb="FF000000"/>
        <rFont val="宋体"/>
        <charset val="134"/>
      </rPr>
      <t xml:space="preserve">  </t>
    </r>
    <r>
      <rPr>
        <sz val="11"/>
        <color rgb="FF000000"/>
        <rFont val="宋体"/>
        <charset val="134"/>
      </rPr>
      <t>24pcs/ctn,</t>
    </r>
    <r>
      <rPr>
        <sz val="11"/>
        <color rgb="FF000000"/>
        <rFont val="宋体"/>
        <charset val="134"/>
      </rPr>
      <t xml:space="preserve">  </t>
    </r>
    <r>
      <rPr>
        <sz val="11"/>
        <color rgb="FF000000"/>
        <rFont val="宋体"/>
        <charset val="134"/>
      </rPr>
      <t>no</t>
    </r>
    <r>
      <rPr>
        <sz val="11"/>
        <color rgb="FF000000"/>
        <rFont val="宋体"/>
        <charset val="134"/>
      </rPr>
      <t xml:space="preserve">  </t>
    </r>
    <r>
      <rPr>
        <sz val="11"/>
        <color rgb="FF000000"/>
        <rFont val="宋体"/>
        <charset val="134"/>
      </rPr>
      <t>inner,</t>
    </r>
    <r>
      <rPr>
        <sz val="11"/>
        <color rgb="FF000000"/>
        <rFont val="宋体"/>
        <charset val="134"/>
      </rPr>
      <t xml:space="preserve">  </t>
    </r>
    <r>
      <rPr>
        <sz val="11"/>
        <color rgb="FF000000"/>
        <rFont val="宋体"/>
        <charset val="134"/>
      </rPr>
      <t>pink;</t>
    </r>
    <r>
      <rPr>
        <sz val="11"/>
        <color rgb="FF000000"/>
        <rFont val="宋体"/>
        <charset val="134"/>
      </rPr>
      <t xml:space="preserve">  </t>
    </r>
    <r>
      <rPr>
        <sz val="11"/>
        <color rgb="FF000000"/>
        <rFont val="宋体"/>
        <charset val="134"/>
      </rPr>
      <t>客版邮包盒(UPC#+英法德意西5L警示语+ES环保标+GPSR邮箱care@zuru.com+新UK地址，翻单PO4500213967)+1张贴纸</t>
    </r>
    <r>
      <rPr>
        <sz val="11"/>
        <color rgb="FF000000"/>
        <rFont val="宋体"/>
        <charset val="134"/>
      </rPr>
      <t xml:space="preserve">
</t>
    </r>
    <r>
      <rPr>
        <sz val="11"/>
        <color rgb="FF000000"/>
        <rFont val="宋体"/>
        <charset val="134"/>
      </rPr>
      <t>（1张含FR/IT环保标+新洗涤说明，贴邮包盒，翻单4500215818）+MA</t>
    </r>
    <r>
      <rPr>
        <sz val="11"/>
        <color rgb="FF000000"/>
        <rFont val="宋体"/>
        <charset val="134"/>
      </rPr>
      <t xml:space="preserve">  </t>
    </r>
    <r>
      <rPr>
        <sz val="11"/>
        <color rgb="FF000000"/>
        <rFont val="宋体"/>
        <charset val="134"/>
      </rPr>
      <t>3L（5L</t>
    </r>
    <r>
      <rPr>
        <sz val="11"/>
        <color rgb="FF000000"/>
        <rFont val="宋体"/>
        <charset val="134"/>
      </rPr>
      <t xml:space="preserve">  </t>
    </r>
    <r>
      <rPr>
        <sz val="11"/>
        <color rgb="FF000000"/>
        <rFont val="宋体"/>
        <charset val="134"/>
      </rPr>
      <t>warning</t>
    </r>
    <r>
      <rPr>
        <sz val="11"/>
        <color rgb="FF000000"/>
        <rFont val="宋体"/>
        <charset val="134"/>
      </rPr>
      <t xml:space="preserve">  </t>
    </r>
    <r>
      <rPr>
        <sz val="11"/>
        <color rgb="FF000000"/>
        <rFont val="宋体"/>
        <charset val="134"/>
      </rPr>
      <t>EAN#）D收缩膜+MA</t>
    </r>
    <r>
      <rPr>
        <sz val="11"/>
        <color rgb="FF000000"/>
        <rFont val="宋体"/>
        <charset val="134"/>
      </rPr>
      <t xml:space="preserve">  </t>
    </r>
    <r>
      <rPr>
        <sz val="11"/>
        <color rgb="FF000000"/>
        <rFont val="宋体"/>
        <charset val="134"/>
      </rPr>
      <t>5L(9L</t>
    </r>
    <r>
      <rPr>
        <sz val="11"/>
        <color rgb="FF000000"/>
        <rFont val="宋体"/>
        <charset val="134"/>
      </rPr>
      <t xml:space="preserve">  </t>
    </r>
    <r>
      <rPr>
        <sz val="11"/>
        <color rgb="FF000000"/>
        <rFont val="宋体"/>
        <charset val="134"/>
      </rPr>
      <t>warning)</t>
    </r>
    <r>
      <rPr>
        <sz val="11"/>
        <color rgb="FF000000"/>
        <rFont val="宋体"/>
        <charset val="134"/>
      </rPr>
      <t xml:space="preserve">  </t>
    </r>
    <r>
      <rPr>
        <sz val="11"/>
        <color rgb="FF000000"/>
        <rFont val="宋体"/>
        <charset val="134"/>
      </rPr>
      <t>C</t>
    </r>
    <r>
      <rPr>
        <sz val="11"/>
        <color rgb="FF000000"/>
        <rFont val="宋体"/>
        <charset val="134"/>
      </rPr>
      <t xml:space="preserve">  </t>
    </r>
    <r>
      <rPr>
        <sz val="11"/>
        <color rgb="FF000000"/>
        <rFont val="宋体"/>
        <charset val="134"/>
      </rPr>
      <t>说明书+WEEE_不带电池走货 _</t>
    </r>
    <r>
      <rPr>
        <sz val="11"/>
        <color rgb="FF000000"/>
        <rFont val="宋体"/>
        <charset val="134"/>
      </rPr>
      <t xml:space="preserve">  </t>
    </r>
    <r>
      <rPr>
        <sz val="11"/>
        <color rgb="FF000000"/>
        <rFont val="宋体"/>
        <charset val="134"/>
      </rPr>
      <t>说明书</t>
    </r>
    <r>
      <rPr>
        <sz val="11"/>
        <color rgb="FF000000"/>
        <rFont val="宋体"/>
        <charset val="134"/>
      </rPr>
      <t xml:space="preserve">
</t>
    </r>
    <r>
      <rPr>
        <sz val="11"/>
        <color rgb="FF000000"/>
        <rFont val="宋体"/>
        <charset val="134"/>
      </rPr>
      <t>欧洲EN+29L_C版+最新MA</t>
    </r>
    <r>
      <rPr>
        <sz val="11"/>
        <color rgb="FF000000"/>
        <rFont val="宋体"/>
        <charset val="134"/>
      </rPr>
      <t xml:space="preserve">  </t>
    </r>
    <r>
      <rPr>
        <sz val="11"/>
        <color rgb="FF000000"/>
        <rFont val="宋体"/>
        <charset val="134"/>
      </rPr>
      <t>配套包装；</t>
    </r>
    <r>
      <rPr>
        <sz val="11"/>
        <color rgb="FF000000"/>
        <rFont val="宋体"/>
        <charset val="134"/>
      </rPr>
      <t xml:space="preserve">
</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最晚验货日期：2026/9/25</t>
    </r>
    <r>
      <rPr>
        <sz val="11"/>
        <color rgb="FF000000"/>
        <rFont val="宋体"/>
        <charset val="134"/>
      </rPr>
      <t xml:space="preserve">
</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请在CRD前提供9543D</t>
    </r>
    <r>
      <rPr>
        <sz val="11"/>
        <color rgb="FF000000"/>
        <rFont val="宋体"/>
        <charset val="134"/>
      </rPr>
      <t xml:space="preserve">  </t>
    </r>
    <r>
      <rPr>
        <sz val="11"/>
        <color rgb="FF000000"/>
        <rFont val="宋体"/>
        <charset val="134"/>
      </rPr>
      <t>六面图</t>
    </r>
    <r>
      <rPr>
        <sz val="11"/>
        <color rgb="FF000000"/>
        <rFont val="宋体"/>
        <charset val="134"/>
      </rPr>
      <t xml:space="preserve">
</t>
    </r>
    <r>
      <rPr>
        <sz val="11"/>
        <color rgb="FF000000"/>
        <rFont val="宋体"/>
        <charset val="134"/>
      </rPr>
      <t>Remark: 1.空白外箱（加印带Zuru字样的最新logo，除了邮包盒直接做外箱的产品）</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SSCC</t>
    </r>
    <r>
      <rPr>
        <sz val="11"/>
        <color rgb="FF000000"/>
        <rFont val="宋体"/>
        <charset val="134"/>
      </rPr>
      <t xml:space="preserve">  </t>
    </r>
    <r>
      <rPr>
        <sz val="11"/>
        <color rgb="FF000000"/>
        <rFont val="宋体"/>
        <charset val="134"/>
      </rPr>
      <t>LABEL一张,</t>
    </r>
    <r>
      <rPr>
        <sz val="11"/>
        <color rgb="FF000000"/>
        <rFont val="宋体"/>
        <charset val="134"/>
      </rPr>
      <t xml:space="preserve">  </t>
    </r>
    <r>
      <rPr>
        <sz val="11"/>
        <color rgb="FF000000"/>
        <rFont val="宋体"/>
        <charset val="134"/>
      </rPr>
      <t>无箱唛，MADE</t>
    </r>
    <r>
      <rPr>
        <sz val="11"/>
        <color rgb="FF000000"/>
        <rFont val="宋体"/>
        <charset val="134"/>
      </rPr>
      <t xml:space="preserve">  </t>
    </r>
    <r>
      <rPr>
        <sz val="11"/>
        <color rgb="FF000000"/>
        <rFont val="宋体"/>
        <charset val="134"/>
      </rPr>
      <t>IN</t>
    </r>
    <r>
      <rPr>
        <sz val="11"/>
        <color rgb="FF000000"/>
        <rFont val="宋体"/>
        <charset val="134"/>
      </rPr>
      <t xml:space="preserve">  </t>
    </r>
    <r>
      <rPr>
        <sz val="11"/>
        <color rgb="FF000000"/>
        <rFont val="宋体"/>
        <charset val="134"/>
      </rPr>
      <t>CHINA</t>
    </r>
    <r>
      <rPr>
        <sz val="11"/>
        <color rgb="FF000000"/>
        <rFont val="宋体"/>
        <charset val="134"/>
      </rPr>
      <t xml:space="preserve">  </t>
    </r>
    <r>
      <rPr>
        <sz val="11"/>
        <color rgb="FF000000"/>
        <rFont val="宋体"/>
        <charset val="134"/>
      </rPr>
      <t>外箱只印一正一侧且正唛一面右下角需加</t>
    </r>
    <r>
      <rPr>
        <sz val="11"/>
        <color rgb="FF000000"/>
        <rFont val="宋体"/>
        <charset val="134"/>
      </rPr>
      <t xml:space="preserve">
</t>
    </r>
    <r>
      <rPr>
        <sz val="11"/>
        <color rgb="FF000000"/>
        <rFont val="宋体"/>
        <charset val="134"/>
      </rPr>
      <t>印法国地址：ZURU</t>
    </r>
    <r>
      <rPr>
        <sz val="11"/>
        <color rgb="FF000000"/>
        <rFont val="宋体"/>
        <charset val="134"/>
      </rPr>
      <t xml:space="preserve">  </t>
    </r>
    <r>
      <rPr>
        <sz val="11"/>
        <color rgb="FF000000"/>
        <rFont val="宋体"/>
        <charset val="134"/>
      </rPr>
      <t>FRANCE.</t>
    </r>
    <r>
      <rPr>
        <sz val="11"/>
        <color rgb="FF000000"/>
        <rFont val="宋体"/>
        <charset val="134"/>
      </rPr>
      <t xml:space="preserve">  </t>
    </r>
    <r>
      <rPr>
        <sz val="11"/>
        <color rgb="FF000000"/>
        <rFont val="宋体"/>
        <charset val="134"/>
      </rPr>
      <t>33</t>
    </r>
    <r>
      <rPr>
        <sz val="11"/>
        <color rgb="FF000000"/>
        <rFont val="宋体"/>
        <charset val="134"/>
      </rPr>
      <t xml:space="preserve">  </t>
    </r>
    <r>
      <rPr>
        <sz val="11"/>
        <color rgb="FF000000"/>
        <rFont val="宋体"/>
        <charset val="134"/>
      </rPr>
      <t>rue</t>
    </r>
    <r>
      <rPr>
        <sz val="11"/>
        <color rgb="FF000000"/>
        <rFont val="宋体"/>
        <charset val="134"/>
      </rPr>
      <t xml:space="preserve">  </t>
    </r>
    <r>
      <rPr>
        <sz val="11"/>
        <color rgb="FF000000"/>
        <rFont val="宋体"/>
        <charset val="134"/>
      </rPr>
      <t>Paul</t>
    </r>
    <r>
      <rPr>
        <sz val="11"/>
        <color rgb="FF000000"/>
        <rFont val="宋体"/>
        <charset val="134"/>
      </rPr>
      <t xml:space="preserve">  </t>
    </r>
    <r>
      <rPr>
        <sz val="11"/>
        <color rgb="FF000000"/>
        <rFont val="宋体"/>
        <charset val="134"/>
      </rPr>
      <t>Meurice</t>
    </r>
    <r>
      <rPr>
        <sz val="11"/>
        <color rgb="FF000000"/>
        <rFont val="宋体"/>
        <charset val="134"/>
      </rPr>
      <t xml:space="preserve">  </t>
    </r>
    <r>
      <rPr>
        <sz val="11"/>
        <color rgb="FF000000"/>
        <rFont val="宋体"/>
        <charset val="134"/>
      </rPr>
      <t>75020</t>
    </r>
    <r>
      <rPr>
        <sz val="11"/>
        <color rgb="FF000000"/>
        <rFont val="宋体"/>
        <charset val="134"/>
      </rPr>
      <t xml:space="preserve">  </t>
    </r>
    <r>
      <rPr>
        <sz val="11"/>
        <color rgb="FF000000"/>
        <rFont val="宋体"/>
        <charset val="134"/>
      </rPr>
      <t>Paris,</t>
    </r>
    <r>
      <rPr>
        <sz val="11"/>
        <color rgb="FF000000"/>
        <rFont val="宋体"/>
        <charset val="134"/>
      </rPr>
      <t xml:space="preserve">  </t>
    </r>
    <r>
      <rPr>
        <sz val="11"/>
        <color rgb="FF000000"/>
        <rFont val="宋体"/>
        <charset val="134"/>
      </rPr>
      <t>France及邮箱：care@zuru.com(满足EU&lt;(&gt;&amp;&lt;)&gt;UK</t>
    </r>
    <r>
      <rPr>
        <sz val="11"/>
        <color rgb="FF000000"/>
        <rFont val="宋体"/>
        <charset val="134"/>
      </rPr>
      <t xml:space="preserve">  </t>
    </r>
    <r>
      <rPr>
        <sz val="11"/>
        <color rgb="FF000000"/>
        <rFont val="宋体"/>
        <charset val="134"/>
      </rPr>
      <t>PPWR法规要求)。箱唛资料按照给定的标准去做</t>
    </r>
    <r>
      <rPr>
        <sz val="11"/>
        <color rgb="FF000000"/>
        <rFont val="宋体"/>
        <charset val="134"/>
      </rPr>
      <t xml:space="preserve">
</t>
    </r>
    <r>
      <rPr>
        <sz val="11"/>
        <color rgb="FF000000"/>
        <rFont val="宋体"/>
        <charset val="134"/>
      </rPr>
      <t>即可，无需发回我方再行审批(新标准将另行通知)。</t>
    </r>
    <r>
      <rPr>
        <sz val="11"/>
        <color rgb="FF000000"/>
        <rFont val="宋体"/>
        <charset val="134"/>
      </rPr>
      <t xml:space="preserve">
</t>
    </r>
    <r>
      <rPr>
        <sz val="11"/>
        <color rgb="FF000000"/>
        <rFont val="宋体"/>
        <charset val="134"/>
      </rPr>
      <t>(SSCC</t>
    </r>
    <r>
      <rPr>
        <sz val="11"/>
        <color rgb="FF000000"/>
        <rFont val="宋体"/>
        <charset val="134"/>
      </rPr>
      <t xml:space="preserve">  </t>
    </r>
    <r>
      <rPr>
        <sz val="11"/>
        <color rgb="FF000000"/>
        <rFont val="宋体"/>
        <charset val="134"/>
      </rPr>
      <t>LABEL竖贴在外箱正面的正中间，贴一面即可,贴纸离外箱边距必须至少3.2CM。如竖贴无法满足要求，则横贴。如横贴也无法满足要求，则竖贴，遮到ZURU</t>
    </r>
    <r>
      <rPr>
        <sz val="11"/>
        <color rgb="FF000000"/>
        <rFont val="宋体"/>
        <charset val="134"/>
      </rPr>
      <t xml:space="preserve">  </t>
    </r>
    <r>
      <rPr>
        <sz val="11"/>
        <color rgb="FF000000"/>
        <rFont val="宋体"/>
        <charset val="134"/>
      </rPr>
      <t>lo</t>
    </r>
    <r>
      <rPr>
        <sz val="11"/>
        <color rgb="FF000000"/>
        <rFont val="宋体"/>
        <charset val="134"/>
      </rPr>
      <t xml:space="preserve">
</t>
    </r>
    <r>
      <rPr>
        <sz val="11"/>
        <color rgb="FF000000"/>
        <rFont val="宋体"/>
        <charset val="134"/>
      </rPr>
      <t>go无影响),</t>
    </r>
    <r>
      <rPr>
        <sz val="11"/>
        <color rgb="FF000000"/>
        <rFont val="宋体"/>
        <charset val="134"/>
      </rPr>
      <t xml:space="preserve">  </t>
    </r>
    <r>
      <rPr>
        <sz val="11"/>
        <color rgb="FF000000"/>
        <rFont val="宋体"/>
        <charset val="134"/>
      </rPr>
      <t>SSCC贴纸由工厂直接跟勤得采购或者工厂自行采购，每一张SSCC</t>
    </r>
    <r>
      <rPr>
        <sz val="11"/>
        <color rgb="FF000000"/>
        <rFont val="宋体"/>
        <charset val="134"/>
      </rPr>
      <t xml:space="preserve">  </t>
    </r>
    <r>
      <rPr>
        <sz val="11"/>
        <color rgb="FF000000"/>
        <rFont val="宋体"/>
        <charset val="134"/>
      </rPr>
      <t>Label都是唯一且有不同流水及条码，且需要检查条码是否能正常扫描，另外，此贴纸</t>
    </r>
    <r>
      <rPr>
        <sz val="11"/>
        <color rgb="FF000000"/>
        <rFont val="宋体"/>
        <charset val="134"/>
      </rPr>
      <t xml:space="preserve">
</t>
    </r>
    <r>
      <rPr>
        <sz val="11"/>
        <color rgb="FF000000"/>
        <rFont val="宋体"/>
        <charset val="134"/>
      </rPr>
      <t>印刷不可出现模糊，溢出及粘胶不牢易脱落等现象，如工厂不按此要求导致贴纸有任何问题产生的罚款将由工厂承担一切责任</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此要求只适用Amazon</t>
    </r>
    <r>
      <rPr>
        <sz val="11"/>
        <color rgb="FF000000"/>
        <rFont val="宋体"/>
        <charset val="134"/>
      </rPr>
      <t xml:space="preserve">  </t>
    </r>
    <r>
      <rPr>
        <sz val="11"/>
        <color rgb="FF000000"/>
        <rFont val="宋体"/>
        <charset val="134"/>
      </rPr>
      <t>UK/DE/FR/ES/</t>
    </r>
    <r>
      <rPr>
        <sz val="11"/>
        <color rgb="FF000000"/>
        <rFont val="宋体"/>
        <charset val="134"/>
      </rPr>
      <t xml:space="preserve">
</t>
    </r>
    <r>
      <rPr>
        <sz val="11"/>
        <color rgb="FF000000"/>
        <rFont val="宋体"/>
        <charset val="134"/>
      </rPr>
      <t>IT,不适用Amazon</t>
    </r>
    <r>
      <rPr>
        <sz val="11"/>
        <color rgb="FF000000"/>
        <rFont val="宋体"/>
        <charset val="134"/>
      </rPr>
      <t xml:space="preserve">  </t>
    </r>
    <r>
      <rPr>
        <sz val="11"/>
        <color rgb="FF000000"/>
        <rFont val="宋体"/>
        <charset val="134"/>
      </rPr>
      <t>GPE。</t>
    </r>
    <r>
      <rPr>
        <sz val="11"/>
        <color rgb="FF000000"/>
        <rFont val="宋体"/>
        <charset val="134"/>
      </rPr>
      <t xml:space="preserve">
</t>
    </r>
    <r>
      <rPr>
        <sz val="11"/>
        <color rgb="FF000000"/>
        <rFont val="宋体"/>
        <charset val="134"/>
      </rPr>
      <t>Amazon</t>
    </r>
    <r>
      <rPr>
        <sz val="11"/>
        <color rgb="FF000000"/>
        <rFont val="宋体"/>
        <charset val="134"/>
      </rPr>
      <t xml:space="preserve">  </t>
    </r>
    <r>
      <rPr>
        <sz val="11"/>
        <color rgb="FF000000"/>
        <rFont val="宋体"/>
        <charset val="134"/>
      </rPr>
      <t>GPE无SSCC</t>
    </r>
    <r>
      <rPr>
        <sz val="11"/>
        <color rgb="FF000000"/>
        <rFont val="宋体"/>
        <charset val="134"/>
      </rPr>
      <t xml:space="preserve">  </t>
    </r>
    <r>
      <rPr>
        <sz val="11"/>
        <color rgb="FF000000"/>
        <rFont val="宋体"/>
        <charset val="134"/>
      </rPr>
      <t>label,</t>
    </r>
    <r>
      <rPr>
        <sz val="11"/>
        <color rgb="FF000000"/>
        <rFont val="宋体"/>
        <charset val="134"/>
      </rPr>
      <t xml:space="preserve">  </t>
    </r>
    <r>
      <rPr>
        <sz val="11"/>
        <color rgb="FF000000"/>
        <rFont val="宋体"/>
        <charset val="134"/>
      </rPr>
      <t>但是有对应箱唛，需印刷到外箱</t>
    </r>
    <r>
      <rPr>
        <sz val="11"/>
        <color rgb="FF000000"/>
        <rFont val="宋体"/>
        <charset val="134"/>
      </rPr>
      <t xml:space="preserve">  </t>
    </r>
    <r>
      <rPr>
        <sz val="11"/>
        <color rgb="FF000000"/>
        <rFont val="宋体"/>
        <charset val="134"/>
      </rPr>
      <t>。GPE</t>
    </r>
    <r>
      <rPr>
        <sz val="11"/>
        <color rgb="FF000000"/>
        <rFont val="宋体"/>
        <charset val="134"/>
      </rPr>
      <t xml:space="preserve">  </t>
    </r>
    <r>
      <rPr>
        <sz val="11"/>
        <color rgb="FF000000"/>
        <rFont val="宋体"/>
        <charset val="134"/>
      </rPr>
      <t>case</t>
    </r>
    <r>
      <rPr>
        <sz val="11"/>
        <color rgb="FF000000"/>
        <rFont val="宋体"/>
        <charset val="134"/>
      </rPr>
      <t xml:space="preserve">  </t>
    </r>
    <r>
      <rPr>
        <sz val="11"/>
        <color rgb="FF000000"/>
        <rFont val="宋体"/>
        <charset val="134"/>
      </rPr>
      <t>pack为1的订单，有箱唛贴纸，无SSCC</t>
    </r>
    <r>
      <rPr>
        <sz val="11"/>
        <color rgb="FF000000"/>
        <rFont val="宋体"/>
        <charset val="134"/>
      </rPr>
      <t xml:space="preserve">  </t>
    </r>
    <r>
      <rPr>
        <sz val="11"/>
        <color rgb="FF000000"/>
        <rFont val="宋体"/>
        <charset val="134"/>
      </rPr>
      <t>LABEL</t>
    </r>
    <r>
      <rPr>
        <sz val="11"/>
        <color rgb="FF000000"/>
        <rFont val="宋体"/>
        <charset val="134"/>
      </rPr>
      <t xml:space="preserve">  </t>
    </r>
    <r>
      <rPr>
        <sz val="11"/>
        <color rgb="FF000000"/>
        <rFont val="宋体"/>
        <charset val="134"/>
      </rPr>
      <t>&lt;(&gt;&amp;&lt;)&gt;箱唛。</t>
    </r>
    <r>
      <rPr>
        <sz val="11"/>
        <color rgb="FF000000"/>
        <rFont val="宋体"/>
        <charset val="134"/>
      </rPr>
      <t xml:space="preserve">
</t>
    </r>
    <r>
      <rPr>
        <sz val="11"/>
        <color rgb="FF000000"/>
        <rFont val="宋体"/>
        <charset val="134"/>
      </rPr>
      <t>应最新EU&lt;(&gt;&amp;&lt;)&gt;UK法规PPWR要求，所有外箱上都需要加印如下地址和邮箱，(具体位置：外箱正面右下角)。GPE</t>
    </r>
    <r>
      <rPr>
        <sz val="11"/>
        <color rgb="FF000000"/>
        <rFont val="宋体"/>
        <charset val="134"/>
      </rPr>
      <t xml:space="preserve">  </t>
    </r>
    <r>
      <rPr>
        <sz val="11"/>
        <color rgb="FF000000"/>
        <rFont val="宋体"/>
        <charset val="134"/>
      </rPr>
      <t>case</t>
    </r>
    <r>
      <rPr>
        <sz val="11"/>
        <color rgb="FF000000"/>
        <rFont val="宋体"/>
        <charset val="134"/>
      </rPr>
      <t xml:space="preserve">  </t>
    </r>
    <r>
      <rPr>
        <sz val="11"/>
        <color rgb="FF000000"/>
        <rFont val="宋体"/>
        <charset val="134"/>
      </rPr>
      <t>pack为1的订单，请忽略此外箱加法国地址和</t>
    </r>
    <r>
      <rPr>
        <sz val="11"/>
        <color rgb="FF000000"/>
        <rFont val="宋体"/>
        <charset val="134"/>
      </rPr>
      <t xml:space="preserve">
</t>
    </r>
    <r>
      <rPr>
        <sz val="11"/>
        <color rgb="FF000000"/>
        <rFont val="宋体"/>
        <charset val="134"/>
      </rPr>
      <t>邮箱的要求。</t>
    </r>
    <r>
      <rPr>
        <sz val="11"/>
        <color rgb="FF000000"/>
        <rFont val="宋体"/>
        <charset val="134"/>
      </rPr>
      <t xml:space="preserve">
</t>
    </r>
    <r>
      <rPr>
        <sz val="11"/>
        <color rgb="FF000000"/>
        <rFont val="宋体"/>
        <charset val="134"/>
      </rPr>
      <t>ZURU</t>
    </r>
    <r>
      <rPr>
        <sz val="11"/>
        <color rgb="FF000000"/>
        <rFont val="宋体"/>
        <charset val="134"/>
      </rPr>
      <t xml:space="preserve">  </t>
    </r>
    <r>
      <rPr>
        <sz val="11"/>
        <color rgb="FF000000"/>
        <rFont val="宋体"/>
        <charset val="134"/>
      </rPr>
      <t>FRANCE.</t>
    </r>
    <r>
      <rPr>
        <sz val="11"/>
        <color rgb="FF000000"/>
        <rFont val="宋体"/>
        <charset val="134"/>
      </rPr>
      <t xml:space="preserve">  </t>
    </r>
    <r>
      <rPr>
        <sz val="11"/>
        <color rgb="FF000000"/>
        <rFont val="宋体"/>
        <charset val="134"/>
      </rPr>
      <t>33</t>
    </r>
    <r>
      <rPr>
        <sz val="11"/>
        <color rgb="FF000000"/>
        <rFont val="宋体"/>
        <charset val="134"/>
      </rPr>
      <t xml:space="preserve">  </t>
    </r>
    <r>
      <rPr>
        <sz val="11"/>
        <color rgb="FF000000"/>
        <rFont val="宋体"/>
        <charset val="134"/>
      </rPr>
      <t>rue</t>
    </r>
    <r>
      <rPr>
        <sz val="11"/>
        <color rgb="FF000000"/>
        <rFont val="宋体"/>
        <charset val="134"/>
      </rPr>
      <t xml:space="preserve">  </t>
    </r>
    <r>
      <rPr>
        <sz val="11"/>
        <color rgb="FF000000"/>
        <rFont val="宋体"/>
        <charset val="134"/>
      </rPr>
      <t>Paul</t>
    </r>
    <r>
      <rPr>
        <sz val="11"/>
        <color rgb="FF000000"/>
        <rFont val="宋体"/>
        <charset val="134"/>
      </rPr>
      <t xml:space="preserve">  </t>
    </r>
    <r>
      <rPr>
        <sz val="11"/>
        <color rgb="FF000000"/>
        <rFont val="宋体"/>
        <charset val="134"/>
      </rPr>
      <t>Meurice</t>
    </r>
    <r>
      <rPr>
        <sz val="11"/>
        <color rgb="FF000000"/>
        <rFont val="宋体"/>
        <charset val="134"/>
      </rPr>
      <t xml:space="preserve">  </t>
    </r>
    <r>
      <rPr>
        <sz val="11"/>
        <color rgb="FF000000"/>
        <rFont val="宋体"/>
        <charset val="134"/>
      </rPr>
      <t>75020</t>
    </r>
    <r>
      <rPr>
        <sz val="11"/>
        <color rgb="FF000000"/>
        <rFont val="宋体"/>
        <charset val="134"/>
      </rPr>
      <t xml:space="preserve">  </t>
    </r>
    <r>
      <rPr>
        <sz val="11"/>
        <color rgb="FF000000"/>
        <rFont val="宋体"/>
        <charset val="134"/>
      </rPr>
      <t>Paris,</t>
    </r>
    <r>
      <rPr>
        <sz val="11"/>
        <color rgb="FF000000"/>
        <rFont val="宋体"/>
        <charset val="134"/>
      </rPr>
      <t xml:space="preserve">  </t>
    </r>
    <r>
      <rPr>
        <sz val="11"/>
        <color rgb="FF000000"/>
        <rFont val="宋体"/>
        <charset val="134"/>
      </rPr>
      <t>France.</t>
    </r>
    <r>
      <rPr>
        <sz val="11"/>
        <color rgb="FF000000"/>
        <rFont val="宋体"/>
        <charset val="134"/>
      </rPr>
      <t xml:space="preserve">
</t>
    </r>
    <r>
      <rPr>
        <sz val="11"/>
        <color rgb="FF000000"/>
        <rFont val="宋体"/>
        <charset val="134"/>
      </rPr>
      <t>care@zuru.com</t>
    </r>
    <r>
      <rPr>
        <sz val="11"/>
        <color rgb="FF000000"/>
        <rFont val="宋体"/>
        <charset val="134"/>
      </rPr>
      <t xml:space="preserve">
</t>
    </r>
    <r>
      <rPr>
        <sz val="11"/>
        <color rgb="FF000000"/>
        <rFont val="宋体"/>
        <charset val="134"/>
      </rPr>
      <t>2. 出往UK的产品+包装务必打上UKCA</t>
    </r>
    <r>
      <rPr>
        <sz val="11"/>
        <color rgb="FF000000"/>
        <rFont val="宋体"/>
        <charset val="134"/>
      </rPr>
      <t xml:space="preserve">  </t>
    </r>
    <r>
      <rPr>
        <sz val="11"/>
        <color rgb="FF000000"/>
        <rFont val="宋体"/>
        <charset val="134"/>
      </rPr>
      <t>logo</t>
    </r>
    <r>
      <rPr>
        <sz val="11"/>
        <color rgb="FF000000"/>
        <rFont val="宋体"/>
        <charset val="134"/>
      </rPr>
      <t xml:space="preserve">  </t>
    </r>
    <r>
      <rPr>
        <sz val="11"/>
        <color rgb="FF000000"/>
        <rFont val="宋体"/>
        <charset val="134"/>
      </rPr>
      <t>，否则客人会退货且当地会有罚款。Amazon</t>
    </r>
    <r>
      <rPr>
        <sz val="11"/>
        <color rgb="FF000000"/>
        <rFont val="宋体"/>
        <charset val="134"/>
      </rPr>
      <t xml:space="preserve">  </t>
    </r>
    <r>
      <rPr>
        <sz val="11"/>
        <color rgb="FF000000"/>
        <rFont val="宋体"/>
        <charset val="134"/>
      </rPr>
      <t>GPE（包含UK/FR/ES/DE/IT）的订单也需满足此要求。</t>
    </r>
    <r>
      <rPr>
        <sz val="11"/>
        <color rgb="FF000000"/>
        <rFont val="宋体"/>
        <charset val="134"/>
      </rPr>
      <t xml:space="preserve">
</t>
    </r>
    <r>
      <rPr>
        <sz val="11"/>
        <color rgb="FF000000"/>
        <rFont val="宋体"/>
        <charset val="134"/>
      </rPr>
      <t>3.订单必须经过ZURU</t>
    </r>
    <r>
      <rPr>
        <sz val="11"/>
        <color rgb="FF000000"/>
        <rFont val="宋体"/>
        <charset val="134"/>
      </rPr>
      <t xml:space="preserve">  </t>
    </r>
    <r>
      <rPr>
        <sz val="11"/>
        <color rgb="FF000000"/>
        <rFont val="宋体"/>
        <charset val="134"/>
      </rPr>
      <t>QC验货或者工厂自检通过后方可出货，不涉及第三方验货。</t>
    </r>
    <r>
      <rPr>
        <sz val="11"/>
        <color rgb="FF000000"/>
        <rFont val="宋体"/>
        <charset val="134"/>
      </rPr>
      <t xml:space="preserve">
</t>
    </r>
    <r>
      <rPr>
        <sz val="11"/>
        <color rgb="FF000000"/>
        <rFont val="宋体"/>
        <charset val="134"/>
      </rPr>
      <t>4.法国订单要求包装不使用矿物油，请按要求提供以下其中一份文件再出货</t>
    </r>
    <r>
      <rPr>
        <sz val="11"/>
        <color rgb="FF000000"/>
        <rFont val="宋体"/>
        <charset val="134"/>
      </rPr>
      <t xml:space="preserve">  </t>
    </r>
    <r>
      <rPr>
        <sz val="11"/>
        <color rgb="FF000000"/>
        <rFont val="宋体"/>
        <charset val="134"/>
      </rPr>
      <t>，产品出到法国被相关部门抽检出现包装不符合此要求的，供应商需要为此承担责任，</t>
    </r>
    <r>
      <rPr>
        <sz val="11"/>
        <color rgb="FF000000"/>
        <rFont val="宋体"/>
        <charset val="134"/>
      </rPr>
      <t xml:space="preserve">
</t>
    </r>
    <r>
      <rPr>
        <sz val="11"/>
        <color rgb="FF000000"/>
        <rFont val="宋体"/>
        <charset val="134"/>
      </rPr>
      <t>故此请严格把关。Am~azon</t>
    </r>
    <r>
      <rPr>
        <sz val="11"/>
        <color rgb="FF000000"/>
        <rFont val="宋体"/>
        <charset val="134"/>
      </rPr>
      <t xml:space="preserve">  </t>
    </r>
    <r>
      <rPr>
        <sz val="11"/>
        <color rgb="FF000000"/>
        <rFont val="宋体"/>
        <charset val="134"/>
      </rPr>
      <t>GPE（包含UK/FR/ES/DE/IT）的订单也需满足此要求。</t>
    </r>
    <r>
      <rPr>
        <sz val="11"/>
        <color rgb="FF000000"/>
        <rFont val="宋体"/>
        <charset val="134"/>
      </rPr>
      <t xml:space="preserve">
</t>
    </r>
    <r>
      <rPr>
        <sz val="11"/>
        <color rgb="FF000000"/>
        <rFont val="宋体"/>
        <charset val="134"/>
      </rPr>
      <t>-油墨物质""""由1</t>
    </r>
    <r>
      <rPr>
        <sz val="11"/>
        <color rgb="FF000000"/>
        <rFont val="宋体"/>
        <charset val="134"/>
      </rPr>
      <t xml:space="preserve">      </t>
    </r>
    <r>
      <rPr>
        <sz val="11"/>
        <color rgb="FF000000"/>
        <rFont val="宋体"/>
        <charset val="134"/>
      </rPr>
      <t>7个芳香环组成的MOAH""""的包装检测报告，要求限值≤1.0%；</t>
    </r>
    <r>
      <rPr>
        <sz val="11"/>
        <color rgb="FF000000"/>
        <rFont val="宋体"/>
        <charset val="134"/>
      </rPr>
      <t xml:space="preserve">
</t>
    </r>
    <r>
      <rPr>
        <sz val="11"/>
        <color rgb="FF000000"/>
        <rFont val="宋体"/>
        <charset val="134"/>
      </rPr>
      <t xml:space="preserve">   </t>
    </r>
    <r>
      <rPr>
        <sz val="11"/>
        <color rgb="FF000000"/>
        <rFont val="宋体"/>
        <charset val="134"/>
      </rPr>
      <t>-包装材料清单，包括包装油墨或物质的信息；</t>
    </r>
    <r>
      <rPr>
        <sz val="11"/>
        <color rgb="FF000000"/>
        <rFont val="宋体"/>
        <charset val="134"/>
      </rPr>
      <t xml:space="preserve">
</t>
    </r>
    <r>
      <rPr>
        <sz val="11"/>
        <color rgb="FF000000"/>
        <rFont val="宋体"/>
        <charset val="134"/>
      </rPr>
      <t xml:space="preserve">   </t>
    </r>
    <r>
      <rPr>
        <sz val="11"/>
        <color rgb="FF000000"/>
        <rFont val="宋体"/>
        <charset val="134"/>
      </rPr>
      <t>-油墨制造商的证书；</t>
    </r>
    <r>
      <rPr>
        <sz val="11"/>
        <color rgb="FF000000"/>
        <rFont val="宋体"/>
        <charset val="134"/>
      </rPr>
      <t xml:space="preserve">
</t>
    </r>
    <r>
      <rPr>
        <sz val="11"/>
        <color rgb="FF000000"/>
        <rFont val="宋体"/>
        <charset val="134"/>
      </rPr>
      <t>5.每一批次出货只能有一个生产日期，不可多个生产日期混在同一批次出货；且零售包装上必须统一加上日期码；外箱对于日期码没有硬性规定；</t>
    </r>
    <r>
      <rPr>
        <sz val="11"/>
        <color rgb="FF000000"/>
        <rFont val="宋体"/>
        <charset val="134"/>
      </rPr>
      <t xml:space="preserve">
</t>
    </r>
    <r>
      <rPr>
        <sz val="11"/>
        <color rgb="FF000000"/>
        <rFont val="宋体"/>
        <charset val="134"/>
      </rPr>
      <t>6.涉及到相关款式会有闪粉的或者微塑料的，请统一默认出无闪粉或者不含微塑料版本；</t>
    </r>
    <r>
      <rPr>
        <sz val="11"/>
        <color rgb="FF000000"/>
        <rFont val="宋体"/>
        <charset val="134"/>
      </rPr>
      <t xml:space="preserve">
</t>
    </r>
    <r>
      <rPr>
        <sz val="11"/>
        <color rgb="FF000000"/>
        <rFont val="宋体"/>
        <charset val="134"/>
      </rPr>
      <t>7. 邮包盒及外箱封箱必须是工字型封箱方式；</t>
    </r>
    <r>
      <rPr>
        <sz val="11"/>
        <color rgb="FF000000"/>
        <rFont val="宋体"/>
        <charset val="134"/>
      </rPr>
      <t xml:space="preserve">
</t>
    </r>
    <r>
      <rPr>
        <sz val="11"/>
        <color rgb="FF000000"/>
        <rFont val="宋体"/>
        <charset val="134"/>
      </rPr>
      <t xml:space="preserve">   </t>
    </r>
    <r>
      <rPr>
        <sz val="11"/>
        <color rgb="FF000000"/>
        <rFont val="宋体"/>
        <charset val="134"/>
      </rPr>
      <t>8.5</t>
    </r>
    <r>
      <rPr>
        <sz val="11"/>
        <color rgb="FF000000"/>
        <rFont val="宋体"/>
        <charset val="134"/>
      </rPr>
      <t xml:space="preserve">  </t>
    </r>
    <r>
      <rPr>
        <sz val="11"/>
        <color rgb="FF000000"/>
        <rFont val="宋体"/>
        <charset val="134"/>
      </rPr>
      <t>Surprise</t>
    </r>
    <r>
      <rPr>
        <sz val="11"/>
        <color rgb="FF000000"/>
        <rFont val="宋体"/>
        <charset val="134"/>
      </rPr>
      <t xml:space="preserve">  </t>
    </r>
    <r>
      <rPr>
        <sz val="11"/>
        <color rgb="FF000000"/>
        <rFont val="宋体"/>
        <charset val="134"/>
      </rPr>
      <t>or</t>
    </r>
    <r>
      <rPr>
        <sz val="11"/>
        <color rgb="FF000000"/>
        <rFont val="宋体"/>
        <charset val="134"/>
      </rPr>
      <t xml:space="preserve">  </t>
    </r>
    <r>
      <rPr>
        <sz val="11"/>
        <color rgb="FF000000"/>
        <rFont val="宋体"/>
        <charset val="134"/>
      </rPr>
      <t>Mini</t>
    </r>
    <r>
      <rPr>
        <sz val="11"/>
        <color rgb="FF000000"/>
        <rFont val="宋体"/>
        <charset val="134"/>
      </rPr>
      <t xml:space="preserve">  </t>
    </r>
    <r>
      <rPr>
        <sz val="11"/>
        <color rgb="FF000000"/>
        <rFont val="宋体"/>
        <charset val="134"/>
      </rPr>
      <t>Brands涉及包装是2个及2个以上的球入PVC桶包装时，单个球上若有UPC#或者EAN#，请用空白贴纸覆盖住，贴纸尺寸自行测量能覆盖原条码即</t>
    </r>
    <r>
      <rPr>
        <sz val="11"/>
        <color rgb="FF000000"/>
        <rFont val="宋体"/>
        <charset val="134"/>
      </rPr>
      <t xml:space="preserve">
</t>
    </r>
    <r>
      <rPr>
        <sz val="11"/>
        <color rgb="FF000000"/>
        <rFont val="宋体"/>
        <charset val="134"/>
      </rPr>
      <t>可；</t>
    </r>
    <r>
      <rPr>
        <sz val="11"/>
        <color rgb="FF000000"/>
        <rFont val="宋体"/>
        <charset val="134"/>
      </rPr>
      <t xml:space="preserve">
</t>
    </r>
    <r>
      <rPr>
        <sz val="11"/>
        <color rgb="FF000000"/>
        <rFont val="宋体"/>
        <charset val="134"/>
      </rPr>
      <t xml:space="preserve">   </t>
    </r>
    <r>
      <rPr>
        <sz val="11"/>
        <color rgb="FF000000"/>
        <rFont val="宋体"/>
        <charset val="134"/>
      </rPr>
      <t>9.</t>
    </r>
    <r>
      <rPr>
        <sz val="11"/>
        <color rgb="FF000000"/>
        <rFont val="宋体"/>
        <charset val="134"/>
      </rPr>
      <t xml:space="preserve">  </t>
    </r>
    <r>
      <rPr>
        <sz val="11"/>
        <color rgb="FF000000"/>
        <rFont val="宋体"/>
        <charset val="134"/>
      </rPr>
      <t>无论是工厂自检还是ZURU验货，验货报告中必须有产品6面图(正面/背面/左面/右面/顶部/底部，不带包装);</t>
    </r>
    <r>
      <rPr>
        <sz val="11"/>
        <color rgb="FF000000"/>
        <rFont val="宋体"/>
        <charset val="134"/>
      </rPr>
      <t xml:space="preserve">
</t>
    </r>
    <r>
      <rPr>
        <sz val="11"/>
        <color rgb="FF000000"/>
        <rFont val="宋体"/>
        <charset val="134"/>
      </rPr>
      <t xml:space="preserve">   </t>
    </r>
    <r>
      <rPr>
        <sz val="11"/>
        <color rgb="FF000000"/>
        <rFont val="宋体"/>
        <charset val="134"/>
      </rPr>
      <t>10.</t>
    </r>
    <r>
      <rPr>
        <sz val="11"/>
        <color rgb="FF000000"/>
        <rFont val="宋体"/>
        <charset val="134"/>
      </rPr>
      <t xml:space="preserve">  </t>
    </r>
    <r>
      <rPr>
        <sz val="11"/>
        <color rgb="FF000000"/>
        <rFont val="宋体"/>
        <charset val="134"/>
      </rPr>
      <t>按空海运鉴定报告的要求，只要带锂电池出货，都需要加贴UN贴纸；</t>
    </r>
    <r>
      <rPr>
        <sz val="11"/>
        <color rgb="FF000000"/>
        <rFont val="宋体"/>
        <charset val="134"/>
      </rPr>
      <t xml:space="preserve">
</t>
    </r>
    <r>
      <rPr>
        <sz val="11"/>
        <color rgb="FF000000"/>
        <rFont val="宋体"/>
        <charset val="134"/>
      </rPr>
      <t xml:space="preserve">   </t>
    </r>
    <r>
      <rPr>
        <sz val="11"/>
        <color rgb="FF000000"/>
        <rFont val="宋体"/>
        <charset val="134"/>
      </rPr>
      <t>11.</t>
    </r>
    <r>
      <rPr>
        <sz val="11"/>
        <color rgb="FF000000"/>
        <rFont val="宋体"/>
        <charset val="134"/>
      </rPr>
      <t xml:space="preserve">  </t>
    </r>
    <r>
      <rPr>
        <sz val="11"/>
        <color rgb="FF000000"/>
        <rFont val="宋体"/>
        <charset val="134"/>
      </rPr>
      <t>所有出往GAS市场(德国/奥地利/瑞士)的电子产品身上需要加字唛，为ZURU</t>
    </r>
    <r>
      <rPr>
        <sz val="11"/>
        <color rgb="FF000000"/>
        <rFont val="宋体"/>
        <charset val="134"/>
      </rPr>
      <t xml:space="preserve">  </t>
    </r>
    <r>
      <rPr>
        <sz val="11"/>
        <color rgb="FF000000"/>
        <rFont val="宋体"/>
        <charset val="134"/>
      </rPr>
      <t>FRANCE</t>
    </r>
    <r>
      <rPr>
        <sz val="11"/>
        <color rgb="FF000000"/>
        <rFont val="宋体"/>
        <charset val="134"/>
      </rPr>
      <t xml:space="preserve">  </t>
    </r>
    <r>
      <rPr>
        <sz val="11"/>
        <color rgb="FF000000"/>
        <rFont val="宋体"/>
        <charset val="134"/>
      </rPr>
      <t>地址，需跟包装上的地址一致</t>
    </r>
    <r>
      <rPr>
        <sz val="11"/>
        <color rgb="FF000000"/>
        <rFont val="宋体"/>
        <charset val="134"/>
      </rPr>
      <t xml:space="preserve">  </t>
    </r>
    <r>
      <rPr>
        <sz val="11"/>
        <color rgb="FF000000"/>
        <rFont val="宋体"/>
        <charset val="134"/>
      </rPr>
      <t>(如无电子产品，产品布标有此地址，或产品</t>
    </r>
    <r>
      <rPr>
        <sz val="11"/>
        <color rgb="FF000000"/>
        <rFont val="宋体"/>
        <charset val="134"/>
      </rPr>
      <t xml:space="preserve">
</t>
    </r>
    <r>
      <rPr>
        <sz val="11"/>
        <color rgb="FF000000"/>
        <rFont val="宋体"/>
        <charset val="134"/>
      </rPr>
      <t>太小无法增加可忽略此信息。如产品无法加字唛，需让对应跟单提供产品贴纸资料);（Amazon</t>
    </r>
    <r>
      <rPr>
        <sz val="11"/>
        <color rgb="FF000000"/>
        <rFont val="宋体"/>
        <charset val="134"/>
      </rPr>
      <t xml:space="preserve">  </t>
    </r>
    <r>
      <rPr>
        <sz val="11"/>
        <color rgb="FF000000"/>
        <rFont val="宋体"/>
        <charset val="134"/>
      </rPr>
      <t>GPE的订单也需满足此要求）</t>
    </r>
    <r>
      <rPr>
        <sz val="11"/>
        <color rgb="FF000000"/>
        <rFont val="宋体"/>
        <charset val="134"/>
      </rPr>
      <t xml:space="preserve">
</t>
    </r>
    <r>
      <rPr>
        <sz val="11"/>
        <color rgb="FF000000"/>
        <rFont val="宋体"/>
        <charset val="134"/>
      </rPr>
      <t xml:space="preserve">   </t>
    </r>
    <r>
      <rPr>
        <sz val="11"/>
        <color rgb="FF000000"/>
        <rFont val="宋体"/>
        <charset val="134"/>
      </rPr>
      <t>12.</t>
    </r>
    <r>
      <rPr>
        <sz val="11"/>
        <color rgb="FF000000"/>
        <rFont val="宋体"/>
        <charset val="134"/>
      </rPr>
      <t xml:space="preserve">  </t>
    </r>
    <r>
      <rPr>
        <sz val="11"/>
        <color rgb="FF000000"/>
        <rFont val="宋体"/>
        <charset val="134"/>
      </rPr>
      <t>所有出往GAS德国</t>
    </r>
    <r>
      <rPr>
        <sz val="11"/>
        <color rgb="FF000000"/>
        <rFont val="宋体"/>
        <charset val="134"/>
      </rPr>
      <t xml:space="preserve">  </t>
    </r>
    <r>
      <rPr>
        <sz val="11"/>
        <color rgb="FF000000"/>
        <rFont val="宋体"/>
        <charset val="134"/>
      </rPr>
      <t>(瑞士，奥地利)。水弹枪系列必须使用EN71版本（电子和非电子水弹枪系列都需要符合);</t>
    </r>
    <r>
      <rPr>
        <sz val="11"/>
        <color rgb="FF000000"/>
        <rFont val="宋体"/>
        <charset val="134"/>
      </rPr>
      <t xml:space="preserve">  </t>
    </r>
    <r>
      <rPr>
        <sz val="11"/>
        <color rgb="FF000000"/>
        <rFont val="宋体"/>
        <charset val="134"/>
      </rPr>
      <t>护目镜需打日期码,</t>
    </r>
    <r>
      <rPr>
        <sz val="11"/>
        <color rgb="FF000000"/>
        <rFont val="宋体"/>
        <charset val="134"/>
      </rPr>
      <t xml:space="preserve">  </t>
    </r>
    <r>
      <rPr>
        <sz val="11"/>
        <color rgb="FF000000"/>
        <rFont val="宋体"/>
        <charset val="134"/>
      </rPr>
      <t>格式跟ZURU标准格式一样;</t>
    </r>
    <r>
      <rPr>
        <sz val="11"/>
        <color rgb="FF000000"/>
        <rFont val="宋体"/>
        <charset val="134"/>
      </rPr>
      <t xml:space="preserve">  </t>
    </r>
    <r>
      <rPr>
        <sz val="11"/>
        <color rgb="FF000000"/>
        <rFont val="宋体"/>
        <charset val="134"/>
      </rPr>
      <t>枪</t>
    </r>
    <r>
      <rPr>
        <sz val="11"/>
        <color rgb="FF000000"/>
        <rFont val="宋体"/>
        <charset val="134"/>
      </rPr>
      <t xml:space="preserve">
</t>
    </r>
    <r>
      <rPr>
        <sz val="11"/>
        <color rgb="FF000000"/>
        <rFont val="宋体"/>
        <charset val="134"/>
      </rPr>
      <t>身上增加ZURU</t>
    </r>
    <r>
      <rPr>
        <sz val="11"/>
        <color rgb="FF000000"/>
        <rFont val="宋体"/>
        <charset val="134"/>
      </rPr>
      <t xml:space="preserve">  </t>
    </r>
    <r>
      <rPr>
        <sz val="11"/>
        <color rgb="FF000000"/>
        <rFont val="宋体"/>
        <charset val="134"/>
      </rPr>
      <t>FRANCE公司名和地址。使用贴纸和辐射上去都可以。如果有位置，最好增加ZURU</t>
    </r>
    <r>
      <rPr>
        <sz val="11"/>
        <color rgb="FF000000"/>
        <rFont val="宋体"/>
        <charset val="134"/>
      </rPr>
      <t xml:space="preserve">  </t>
    </r>
    <r>
      <rPr>
        <sz val="11"/>
        <color rgb="FF000000"/>
        <rFont val="宋体"/>
        <charset val="134"/>
      </rPr>
      <t>Represented</t>
    </r>
    <r>
      <rPr>
        <sz val="11"/>
        <color rgb="FF000000"/>
        <rFont val="宋体"/>
        <charset val="134"/>
      </rPr>
      <t xml:space="preserve">  </t>
    </r>
    <r>
      <rPr>
        <sz val="11"/>
        <color rgb="FF000000"/>
        <rFont val="宋体"/>
        <charset val="134"/>
      </rPr>
      <t>by:</t>
    </r>
    <r>
      <rPr>
        <sz val="11"/>
        <color rgb="FF000000"/>
        <rFont val="宋体"/>
        <charset val="134"/>
      </rPr>
      <t xml:space="preserve">  </t>
    </r>
    <r>
      <rPr>
        <sz val="11"/>
        <color rgb="FF000000"/>
        <rFont val="宋体"/>
        <charset val="134"/>
      </rPr>
      <t>(此最好翻译德语，如果位置不允许，那么就只增</t>
    </r>
    <r>
      <rPr>
        <sz val="11"/>
        <color rgb="FF000000"/>
        <rFont val="宋体"/>
        <charset val="134"/>
      </rPr>
      <t xml:space="preserve">
</t>
    </r>
    <r>
      <rPr>
        <sz val="11"/>
        <color rgb="FF000000"/>
        <rFont val="宋体"/>
        <charset val="134"/>
      </rPr>
      <t>加ZURU法国和地址)。使用最新的EN71版包装和说明书）。Amazon</t>
    </r>
    <r>
      <rPr>
        <sz val="11"/>
        <color rgb="FF000000"/>
        <rFont val="宋体"/>
        <charset val="134"/>
      </rPr>
      <t xml:space="preserve">  </t>
    </r>
    <r>
      <rPr>
        <sz val="11"/>
        <color rgb="FF000000"/>
        <rFont val="宋体"/>
        <charset val="134"/>
      </rPr>
      <t>GPE（包含UK/FR/ES/DE/IT）的订单也需满足此要求。</t>
    </r>
  </si>
  <si>
    <t>Joanna.zhu</t>
  </si>
  <si>
    <t>1ZNJXTJK</t>
  </si>
  <si>
    <t>4500218996-20</t>
  </si>
  <si>
    <r>
      <rPr>
        <sz val="12"/>
        <color rgb="FF000000"/>
        <rFont val="宋体"/>
        <charset val="0"/>
      </rPr>
      <t>粉色仓鼠</t>
    </r>
    <r>
      <rPr>
        <sz val="12"/>
        <color rgb="FFFF0000"/>
        <rFont val="宋体"/>
        <charset val="0"/>
      </rPr>
      <t>（邮包盒）</t>
    </r>
  </si>
  <si>
    <t>CRD前提供9543D 六面图</t>
  </si>
  <si>
    <t>4500211160-10</t>
  </si>
  <si>
    <t>进口商贴纸/EAN条码贴纸翻4500211065(欠）+6/12-QR code 贴纸+SSCC labe条码</t>
  </si>
  <si>
    <t>日期码格式：外包装/外箱不要打ZURU标准日期                  日期：按实际生产日期
Packaging Info: 注意:  此单9543进口商贴纸，EAN条码贴纸翻4500211065 ;
        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</si>
  <si>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4500211176-10</t>
  </si>
  <si>
    <t>MINISO MEXICO</t>
  </si>
  <si>
    <t>4500217695</t>
  </si>
  <si>
    <t>4500217695-90</t>
  </si>
  <si>
    <t>欠UPC贴纸+1张客户贴纸</t>
  </si>
  <si>
    <t>日期码格式：ZURU  INC(BVI) 标准格式                                    日期：按实际生产日期
Packaging Info: 
9543GQ1/9565GQ1: MA3L PKG+1张UPC贴纸+1张客户贴纸
Remark: 出墨西哥，需符合墨西哥标准。</t>
  </si>
  <si>
    <t>货期</t>
  </si>
  <si>
    <t>.</t>
  </si>
  <si>
    <t>Description</t>
  </si>
  <si>
    <t>Ratio</t>
  </si>
  <si>
    <t>MA-RR-758</t>
  </si>
  <si>
    <t>MA-RR-784</t>
  </si>
  <si>
    <t>MA-RR-808</t>
  </si>
  <si>
    <t>MA-RR-858</t>
  </si>
  <si>
    <t>Total</t>
  </si>
  <si>
    <r>
      <rPr>
        <b/>
        <sz val="10"/>
        <color indexed="9"/>
        <rFont val="宋体"/>
        <charset val="134"/>
      </rPr>
      <t>下单日期</t>
    </r>
  </si>
  <si>
    <t>Bulk</t>
  </si>
  <si>
    <t>GQ1</t>
  </si>
  <si>
    <t>SK</t>
  </si>
  <si>
    <r>
      <rPr>
        <b/>
        <sz val="10"/>
        <color indexed="9"/>
        <rFont val="宋体"/>
        <charset val="134"/>
      </rPr>
      <t>要求完货日期</t>
    </r>
  </si>
  <si>
    <r>
      <rPr>
        <sz val="10"/>
        <rFont val="宋体"/>
        <charset val="134"/>
      </rPr>
      <t>透明球</t>
    </r>
  </si>
  <si>
    <t>SUM</t>
  </si>
  <si>
    <t>9543# Hamstermania</t>
  </si>
  <si>
    <r>
      <rPr>
        <sz val="10"/>
        <rFont val="宋体"/>
        <charset val="134"/>
      </rPr>
      <t>蓝色仓鼠</t>
    </r>
    <r>
      <rPr>
        <sz val="10"/>
        <rFont val="Times New Roman"/>
        <charset val="0"/>
      </rPr>
      <t>(Blue)</t>
    </r>
  </si>
  <si>
    <r>
      <rPr>
        <sz val="10"/>
        <rFont val="宋体"/>
        <charset val="134"/>
      </rPr>
      <t>粉色仓鼠</t>
    </r>
    <r>
      <rPr>
        <sz val="10"/>
        <rFont val="Times New Roman"/>
        <charset val="0"/>
      </rPr>
      <t>(Pink)</t>
    </r>
  </si>
  <si>
    <r>
      <rPr>
        <sz val="10"/>
        <rFont val="宋体"/>
        <charset val="134"/>
      </rPr>
      <t>紫色仓鼠</t>
    </r>
    <r>
      <rPr>
        <sz val="10"/>
        <rFont val="Times New Roman"/>
        <charset val="0"/>
      </rPr>
      <t>(Purple)</t>
    </r>
  </si>
  <si>
    <r>
      <rPr>
        <sz val="10"/>
        <rFont val="宋体"/>
        <charset val="134"/>
      </rPr>
      <t>土黄色仓鼠</t>
    </r>
    <r>
      <rPr>
        <sz val="10"/>
        <rFont val="Times New Roman"/>
        <charset val="0"/>
      </rPr>
      <t>(Orange)</t>
    </r>
  </si>
  <si>
    <r>
      <rPr>
        <sz val="10"/>
        <rFont val="Times New Roman"/>
        <charset val="0"/>
      </rPr>
      <t>9543GQ1/GQ3/SK Demo</t>
    </r>
    <r>
      <rPr>
        <sz val="10"/>
        <rFont val="宋体"/>
        <charset val="134"/>
      </rPr>
      <t>（无功能）</t>
    </r>
  </si>
  <si>
    <r>
      <rPr>
        <sz val="10"/>
        <rFont val="宋体"/>
        <charset val="134"/>
      </rPr>
      <t>粉色仓鼠</t>
    </r>
    <r>
      <rPr>
        <sz val="10"/>
        <rFont val="Times New Roman"/>
        <charset val="0"/>
      </rPr>
      <t>(Pink)-Demo</t>
    </r>
  </si>
  <si>
    <t>9543-仓鼠</t>
  </si>
  <si>
    <t>日期</t>
  </si>
  <si>
    <t>MA PO</t>
  </si>
  <si>
    <t>負責</t>
  </si>
  <si>
    <r>
      <rPr>
        <sz val="12"/>
        <color rgb="FFFF0000"/>
        <rFont val="宋体"/>
        <charset val="0"/>
      </rPr>
      <t>扣</t>
    </r>
    <r>
      <rPr>
        <sz val="12"/>
        <color rgb="FFFF0000"/>
        <rFont val="Arial"/>
        <charset val="0"/>
      </rPr>
      <t>MA</t>
    </r>
  </si>
  <si>
    <t>标准版</t>
  </si>
  <si>
    <t>客办</t>
  </si>
  <si>
    <r>
      <rPr>
        <sz val="12"/>
        <rFont val="Arial"/>
        <charset val="0"/>
      </rPr>
      <t>MA  1</t>
    </r>
    <r>
      <rPr>
        <sz val="12"/>
        <rFont val="宋体"/>
        <charset val="0"/>
      </rPr>
      <t>語收縮膜</t>
    </r>
  </si>
  <si>
    <r>
      <rPr>
        <sz val="12"/>
        <rFont val="Arial"/>
        <charset val="0"/>
      </rPr>
      <t>MA  1</t>
    </r>
    <r>
      <rPr>
        <sz val="12"/>
        <rFont val="宋体"/>
        <charset val="0"/>
      </rPr>
      <t>語收縮膜</t>
    </r>
    <r>
      <rPr>
        <sz val="12"/>
        <rFont val="Arial"/>
        <charset val="0"/>
      </rPr>
      <t>-B</t>
    </r>
    <r>
      <rPr>
        <sz val="12"/>
        <rFont val="宋体"/>
        <charset val="0"/>
      </rPr>
      <t>版本</t>
    </r>
  </si>
  <si>
    <r>
      <rPr>
        <sz val="12"/>
        <rFont val="Arial"/>
        <charset val="0"/>
      </rPr>
      <t>MA  1</t>
    </r>
    <r>
      <rPr>
        <sz val="12"/>
        <rFont val="宋体"/>
        <charset val="0"/>
      </rPr>
      <t>語收縮膜</t>
    </r>
    <r>
      <rPr>
        <sz val="12"/>
        <rFont val="Arial"/>
        <charset val="0"/>
      </rPr>
      <t>-C</t>
    </r>
    <r>
      <rPr>
        <sz val="12"/>
        <rFont val="宋体"/>
        <charset val="0"/>
      </rPr>
      <t>版本</t>
    </r>
  </si>
  <si>
    <r>
      <rPr>
        <sz val="12"/>
        <rFont val="Arial"/>
        <charset val="0"/>
      </rPr>
      <t>MA  1</t>
    </r>
    <r>
      <rPr>
        <sz val="12"/>
        <rFont val="宋体"/>
        <charset val="0"/>
      </rPr>
      <t>語收縮膜</t>
    </r>
    <r>
      <rPr>
        <sz val="12"/>
        <rFont val="Arial"/>
        <charset val="0"/>
      </rPr>
      <t>-D</t>
    </r>
    <r>
      <rPr>
        <sz val="12"/>
        <rFont val="宋体"/>
        <charset val="0"/>
      </rPr>
      <t>版本</t>
    </r>
  </si>
  <si>
    <r>
      <rPr>
        <sz val="12"/>
        <rFont val="Arial"/>
        <charset val="0"/>
      </rPr>
      <t>MA  1</t>
    </r>
    <r>
      <rPr>
        <sz val="12"/>
        <rFont val="宋体"/>
        <charset val="0"/>
      </rPr>
      <t>語收縮膜</t>
    </r>
    <r>
      <rPr>
        <sz val="12"/>
        <rFont val="Arial"/>
        <charset val="0"/>
      </rPr>
      <t>-</t>
    </r>
    <r>
      <rPr>
        <sz val="12"/>
        <color rgb="FFFF0000"/>
        <rFont val="Arial"/>
        <charset val="0"/>
      </rPr>
      <t>E</t>
    </r>
    <r>
      <rPr>
        <sz val="12"/>
        <color rgb="FFFF0000"/>
        <rFont val="宋体"/>
        <charset val="0"/>
      </rPr>
      <t>版本</t>
    </r>
  </si>
  <si>
    <r>
      <rPr>
        <sz val="12"/>
        <rFont val="Arial"/>
        <charset val="0"/>
      </rPr>
      <t>MA  3</t>
    </r>
    <r>
      <rPr>
        <sz val="12"/>
        <rFont val="宋体"/>
        <charset val="0"/>
      </rPr>
      <t>語收縮膜</t>
    </r>
    <r>
      <rPr>
        <sz val="12"/>
        <rFont val="Arial"/>
        <charset val="0"/>
      </rPr>
      <t>-A</t>
    </r>
    <r>
      <rPr>
        <sz val="12"/>
        <rFont val="宋体"/>
        <charset val="0"/>
      </rPr>
      <t>版本</t>
    </r>
  </si>
  <si>
    <r>
      <rPr>
        <sz val="12"/>
        <rFont val="Arial"/>
        <charset val="0"/>
      </rPr>
      <t>MA  3</t>
    </r>
    <r>
      <rPr>
        <sz val="12"/>
        <rFont val="宋体"/>
        <charset val="0"/>
      </rPr>
      <t>語收縮膜</t>
    </r>
    <r>
      <rPr>
        <sz val="12"/>
        <rFont val="Arial"/>
        <charset val="0"/>
      </rPr>
      <t>-C</t>
    </r>
    <r>
      <rPr>
        <sz val="12"/>
        <rFont val="宋体"/>
        <charset val="0"/>
      </rPr>
      <t>版本</t>
    </r>
  </si>
  <si>
    <r>
      <rPr>
        <sz val="12"/>
        <rFont val="Arial"/>
        <charset val="0"/>
      </rPr>
      <t>MA  3</t>
    </r>
    <r>
      <rPr>
        <sz val="12"/>
        <rFont val="宋体"/>
        <charset val="0"/>
      </rPr>
      <t>語收縮膜</t>
    </r>
    <r>
      <rPr>
        <sz val="12"/>
        <rFont val="Arial"/>
        <charset val="0"/>
      </rPr>
      <t>-</t>
    </r>
    <r>
      <rPr>
        <sz val="12"/>
        <color rgb="FFFF0000"/>
        <rFont val="Arial"/>
        <charset val="0"/>
      </rPr>
      <t>D</t>
    </r>
    <r>
      <rPr>
        <sz val="12"/>
        <color rgb="FFFF0000"/>
        <rFont val="宋体"/>
        <charset val="0"/>
      </rPr>
      <t>版本</t>
    </r>
  </si>
  <si>
    <r>
      <rPr>
        <sz val="12"/>
        <rFont val="Arial"/>
        <charset val="0"/>
      </rPr>
      <t>MA 9</t>
    </r>
    <r>
      <rPr>
        <sz val="12"/>
        <rFont val="宋体"/>
        <charset val="0"/>
      </rPr>
      <t>語收藏指南</t>
    </r>
    <r>
      <rPr>
        <sz val="12"/>
        <rFont val="Arial"/>
        <charset val="0"/>
      </rPr>
      <t>-A</t>
    </r>
    <r>
      <rPr>
        <sz val="12"/>
        <rFont val="宋体"/>
        <charset val="0"/>
      </rPr>
      <t>版本</t>
    </r>
  </si>
  <si>
    <r>
      <rPr>
        <sz val="12"/>
        <rFont val="Arial"/>
        <charset val="0"/>
      </rPr>
      <t>MA 9</t>
    </r>
    <r>
      <rPr>
        <sz val="12"/>
        <rFont val="宋体"/>
        <charset val="0"/>
      </rPr>
      <t>語收藏指南</t>
    </r>
    <r>
      <rPr>
        <sz val="12"/>
        <rFont val="Arial"/>
        <charset val="0"/>
      </rPr>
      <t>-B</t>
    </r>
    <r>
      <rPr>
        <sz val="12"/>
        <rFont val="宋体"/>
        <charset val="0"/>
      </rPr>
      <t>版本</t>
    </r>
  </si>
  <si>
    <r>
      <rPr>
        <sz val="12"/>
        <rFont val="Arial"/>
        <charset val="0"/>
      </rPr>
      <t>MA 5</t>
    </r>
    <r>
      <rPr>
        <sz val="12"/>
        <rFont val="宋体"/>
        <charset val="0"/>
      </rPr>
      <t>語收藏指南</t>
    </r>
    <r>
      <rPr>
        <sz val="12"/>
        <rFont val="Arial"/>
        <charset val="0"/>
      </rPr>
      <t>-A</t>
    </r>
    <r>
      <rPr>
        <sz val="12"/>
        <rFont val="宋体"/>
        <charset val="0"/>
      </rPr>
      <t>版本</t>
    </r>
  </si>
  <si>
    <r>
      <rPr>
        <sz val="12"/>
        <rFont val="Arial"/>
        <charset val="0"/>
      </rPr>
      <t>MA 5</t>
    </r>
    <r>
      <rPr>
        <sz val="12"/>
        <rFont val="宋体"/>
        <charset val="0"/>
      </rPr>
      <t>語收藏指南</t>
    </r>
    <r>
      <rPr>
        <sz val="12"/>
        <rFont val="Arial"/>
        <charset val="0"/>
      </rPr>
      <t>-</t>
    </r>
    <r>
      <rPr>
        <sz val="12"/>
        <color rgb="FFFF0000"/>
        <rFont val="Arial"/>
        <charset val="0"/>
      </rPr>
      <t>B</t>
    </r>
    <r>
      <rPr>
        <sz val="12"/>
        <color rgb="FFFF0000"/>
        <rFont val="宋体"/>
        <charset val="0"/>
      </rPr>
      <t>版本</t>
    </r>
  </si>
  <si>
    <t>客办说明书</t>
  </si>
  <si>
    <t>GQ1-1L-A版本</t>
  </si>
  <si>
    <t>GQ1-1L-B版本</t>
  </si>
  <si>
    <t>GQ1-1L-C版本</t>
  </si>
  <si>
    <t>GQ1-3L-A版本</t>
  </si>
  <si>
    <t>GQ1-3L-B版本</t>
  </si>
  <si>
    <t>GQ1-3L-C版本</t>
  </si>
  <si>
    <t>GQ2-3L-KM单-WMCA-A版本</t>
  </si>
  <si>
    <t>GQ2-3L-KM单-WMCA-B版本</t>
  </si>
  <si>
    <t>GQ2-3L-KM单-WMCA-C版本</t>
  </si>
  <si>
    <t>GQ2-3L-KM单-WMCA-D版本</t>
  </si>
  <si>
    <t>GQ3-1L-客办</t>
  </si>
  <si>
    <t>GQ3-1L-客办-B版本</t>
  </si>
  <si>
    <t>GQ4-3L-TG单-A版本</t>
  </si>
  <si>
    <t>GQ4-3L-TG单-B版本</t>
  </si>
  <si>
    <t>GQ4-3L-TG单-C版本</t>
  </si>
  <si>
    <t>GQ4-3L-TG单-D版本</t>
  </si>
  <si>
    <r>
      <rPr>
        <sz val="12"/>
        <rFont val="宋体"/>
        <charset val="134"/>
      </rPr>
      <t xml:space="preserve">TQ1             </t>
    </r>
    <r>
      <rPr>
        <sz val="12"/>
        <rFont val="Arial"/>
        <charset val="134"/>
      </rPr>
      <t>WM</t>
    </r>
    <r>
      <rPr>
        <sz val="12"/>
        <rFont val="宋体"/>
        <charset val="134"/>
      </rPr>
      <t>单</t>
    </r>
  </si>
  <si>
    <t>TQ2</t>
  </si>
  <si>
    <t>客办收缩膜</t>
  </si>
  <si>
    <t>客办PDQ</t>
  </si>
  <si>
    <r>
      <rPr>
        <sz val="12"/>
        <rFont val="Calibri"/>
        <charset val="0"/>
      </rPr>
      <t>9543 SK-S001</t>
    </r>
    <r>
      <rPr>
        <sz val="12"/>
        <rFont val="宋体"/>
        <charset val="0"/>
      </rPr>
      <t>展示架</t>
    </r>
    <r>
      <rPr>
        <sz val="12"/>
        <rFont val="Calibri"/>
        <charset val="0"/>
      </rPr>
      <t>-</t>
    </r>
    <r>
      <rPr>
        <sz val="12"/>
        <rFont val="宋体"/>
        <charset val="0"/>
      </rPr>
      <t>无底盒</t>
    </r>
    <r>
      <rPr>
        <sz val="12"/>
        <rFont val="Calibri"/>
        <charset val="0"/>
      </rPr>
      <t>-3L</t>
    </r>
  </si>
  <si>
    <r>
      <rPr>
        <sz val="12"/>
        <rFont val="Calibri"/>
        <charset val="0"/>
      </rPr>
      <t>9543 SK-S002</t>
    </r>
    <r>
      <rPr>
        <sz val="12"/>
        <rFont val="宋体"/>
        <charset val="0"/>
      </rPr>
      <t>展示架</t>
    </r>
    <r>
      <rPr>
        <sz val="12"/>
        <rFont val="Calibri"/>
        <charset val="0"/>
      </rPr>
      <t>-</t>
    </r>
    <r>
      <rPr>
        <sz val="12"/>
        <rFont val="宋体"/>
        <charset val="0"/>
      </rPr>
      <t>有底盒</t>
    </r>
    <r>
      <rPr>
        <sz val="12"/>
        <rFont val="Calibri"/>
        <charset val="0"/>
      </rPr>
      <t>-3L</t>
    </r>
  </si>
  <si>
    <r>
      <rPr>
        <sz val="12"/>
        <rFont val="宋体"/>
        <charset val="0"/>
      </rPr>
      <t>客办扣数</t>
    </r>
    <r>
      <rPr>
        <sz val="12"/>
        <rFont val="Arial"/>
        <charset val="0"/>
      </rPr>
      <t>PO</t>
    </r>
  </si>
  <si>
    <r>
      <rPr>
        <sz val="12"/>
        <rFont val="Arial"/>
        <charset val="0"/>
      </rPr>
      <t>A</t>
    </r>
    <r>
      <rPr>
        <sz val="12"/>
        <rFont val="宋体"/>
        <charset val="0"/>
      </rPr>
      <t>版本</t>
    </r>
  </si>
  <si>
    <r>
      <rPr>
        <sz val="12"/>
        <rFont val="Arial"/>
        <charset val="0"/>
      </rPr>
      <t>B</t>
    </r>
    <r>
      <rPr>
        <sz val="12"/>
        <rFont val="宋体"/>
        <charset val="0"/>
      </rPr>
      <t>版本</t>
    </r>
  </si>
  <si>
    <t>Emily</t>
  </si>
  <si>
    <t>@sara  4500095104                                                                                                                                                                                                                            4500095105                                                                                                                                                                                                        4500096539                                                                                                                                                                                       4500096550</t>
  </si>
  <si>
    <t>1000013403</t>
  </si>
  <si>
    <t>1000013397</t>
  </si>
  <si>
    <t>1000013402</t>
  </si>
  <si>
    <t>Daisy</t>
  </si>
  <si>
    <t>@Willow  4500097125 &amp; 4500097126 &amp; 4500097127 &amp; 4500097128 &amp; 4500097511 &amp; 4500103368 &amp; 4500103370 &amp; 4500105660 &amp; 4500105661 &amp; 4500106312  &amp; 4500111177 &amp; 4500111176</t>
  </si>
  <si>
    <r>
      <rPr>
        <sz val="12"/>
        <rFont val="Arial"/>
        <charset val="0"/>
      </rPr>
      <t xml:space="preserve">Effy </t>
    </r>
    <r>
      <rPr>
        <sz val="12"/>
        <rFont val="宋体"/>
        <charset val="0"/>
      </rPr>
      <t>用于订单</t>
    </r>
    <r>
      <rPr>
        <sz val="12"/>
        <rFont val="Arial"/>
        <charset val="0"/>
      </rPr>
      <t xml:space="preserve">  4500097065 4500097066</t>
    </r>
  </si>
  <si>
    <t>Peggy Wu</t>
  </si>
  <si>
    <t>Holly/Jaycee      4500095175</t>
  </si>
  <si>
    <t>1000013752</t>
  </si>
  <si>
    <t>1000013750</t>
  </si>
  <si>
    <t>1000013743</t>
  </si>
  <si>
    <t>1000013751</t>
  </si>
  <si>
    <t>Charine Chen</t>
  </si>
  <si>
    <t>Linda#PO#4500094401-4500097498-4500101349-4500102943-4500102361-4500101675</t>
  </si>
  <si>
    <t>Linda#PO#4500094401-4500097498-4500102943-4500102361</t>
  </si>
  <si>
    <t>1000014631</t>
  </si>
  <si>
    <t>1000014632</t>
  </si>
  <si>
    <t>1000014633</t>
  </si>
  <si>
    <t>1000014634</t>
  </si>
  <si>
    <t>1000014635</t>
  </si>
  <si>
    <r>
      <rPr>
        <sz val="12"/>
        <rFont val="Arial"/>
        <charset val="0"/>
      </rPr>
      <t>Effy</t>
    </r>
    <r>
      <rPr>
        <sz val="12"/>
        <rFont val="宋体"/>
        <charset val="0"/>
      </rPr>
      <t>用于订单</t>
    </r>
    <r>
      <rPr>
        <sz val="12"/>
        <rFont val="Arial"/>
        <charset val="0"/>
      </rPr>
      <t xml:space="preserve"> 4500101892 4500101897 4500101900 4500101913 4500101901 4500101920 4500101923 4500101925 4500101928</t>
    </r>
  </si>
  <si>
    <t>Sheba#TESCO UK NEW PO 4500096046 &amp; 4500100986 &amp; 4500106764</t>
  </si>
  <si>
    <t>1000014162</t>
  </si>
  <si>
    <t>1000014163</t>
  </si>
  <si>
    <t>1000014164</t>
  </si>
  <si>
    <t>@Holly/Jaycee   4500102786&amp;4500103118</t>
  </si>
  <si>
    <r>
      <rPr>
        <sz val="12"/>
        <rFont val="Calibri"/>
        <charset val="0"/>
      </rPr>
      <t>Coral</t>
    </r>
    <r>
      <rPr>
        <sz val="12"/>
        <rFont val="微软雅黑"/>
        <charset val="0"/>
      </rPr>
      <t>用于</t>
    </r>
    <r>
      <rPr>
        <sz val="12"/>
        <rFont val="Calibri"/>
        <charset val="0"/>
      </rPr>
      <t>PO#4500100969 4500099925</t>
    </r>
  </si>
  <si>
    <t>4500102945-4500104422-4500105374-4500105999-4500104088-4500106823-4500107294-4500108108-4500108130</t>
  </si>
  <si>
    <t>4500102945-4500104422</t>
  </si>
  <si>
    <r>
      <rPr>
        <sz val="12"/>
        <rFont val="Arial"/>
        <charset val="0"/>
      </rPr>
      <t>Effy</t>
    </r>
    <r>
      <rPr>
        <sz val="12"/>
        <rFont val="宋体"/>
        <charset val="0"/>
      </rPr>
      <t>用于订单</t>
    </r>
    <r>
      <rPr>
        <sz val="12"/>
        <rFont val="Arial"/>
        <charset val="0"/>
      </rPr>
      <t xml:space="preserve"> 4500104809 4500104811 4500104812 4500104814 4500104815 4500104820 4500104822 
4500104816 4500104817 4500104825 4500104828 4500104829 4500104830 4500104818 
4500104832</t>
    </r>
  </si>
  <si>
    <t>JayceePO#4500104446</t>
  </si>
  <si>
    <r>
      <rPr>
        <sz val="12"/>
        <rFont val="Arial"/>
        <charset val="0"/>
      </rPr>
      <t>Effy</t>
    </r>
    <r>
      <rPr>
        <sz val="12"/>
        <rFont val="宋体"/>
        <charset val="0"/>
      </rPr>
      <t>用于订单</t>
    </r>
    <r>
      <rPr>
        <sz val="12"/>
        <rFont val="Arial"/>
        <charset val="0"/>
      </rPr>
      <t xml:space="preserve"> 4500098420 4500098422 4500098423 4500098425 4500098426 4500098427 4500098434 4500098471 4500098473 4500098475 4500098476 4500099624 4500099625 4500099626 4500099627 4500099628 4500099629 4500099630 4500099631 4500099632</t>
    </r>
  </si>
  <si>
    <t>1000014944</t>
  </si>
  <si>
    <t>1000014945</t>
  </si>
  <si>
    <t>1000015122</t>
  </si>
  <si>
    <t>1000015123</t>
  </si>
  <si>
    <t>JayceePO#4500107612</t>
  </si>
  <si>
    <t>Daisy.Li</t>
  </si>
  <si>
    <r>
      <rPr>
        <sz val="12"/>
        <rFont val="Arial"/>
        <charset val="0"/>
      </rPr>
      <t>Effy</t>
    </r>
    <r>
      <rPr>
        <sz val="12"/>
        <rFont val="宋体"/>
        <charset val="0"/>
      </rPr>
      <t>用于订单</t>
    </r>
    <r>
      <rPr>
        <sz val="12"/>
        <rFont val="Arial"/>
        <charset val="0"/>
      </rPr>
      <t xml:space="preserve"> 4500108039 4500108041 4500108041 4500108042 4500108043 4500108044 4500108045 4500108047 4500108048 4500108048 4500108050</t>
    </r>
  </si>
  <si>
    <t>1000015258</t>
  </si>
  <si>
    <t xml:space="preserve"> Camilla Han</t>
  </si>
  <si>
    <t>4500106715 &amp; 4500106717 &amp; 4500107715 &amp; 4500107717</t>
  </si>
  <si>
    <t>1000015465</t>
  </si>
  <si>
    <t>1000015466</t>
  </si>
  <si>
    <t>1000015467</t>
  </si>
  <si>
    <t>JayceePO#4500108451</t>
  </si>
  <si>
    <t>JasminePO#4500107170-107175/4500107178/4500107178/4500107181/4500107185/4500107186/4500107187</t>
  </si>
  <si>
    <t>Sherry Smyths 4500108866-4500111219-4500110481-4500110417-4500108542</t>
  </si>
  <si>
    <r>
      <rPr>
        <sz val="12"/>
        <rFont val="Arial"/>
        <charset val="0"/>
      </rPr>
      <t>Linda VEDES 4500108685: 80</t>
    </r>
    <r>
      <rPr>
        <sz val="12"/>
        <rFont val="宋体"/>
        <charset val="0"/>
      </rPr>
      <t>个</t>
    </r>
    <r>
      <rPr>
        <sz val="12"/>
        <rFont val="Arial"/>
        <charset val="0"/>
      </rPr>
      <t>PDQ
Linda Smyths 4500108836: 182</t>
    </r>
    <r>
      <rPr>
        <sz val="12"/>
        <rFont val="宋体"/>
        <charset val="0"/>
      </rPr>
      <t>个</t>
    </r>
    <r>
      <rPr>
        <sz val="12"/>
        <rFont val="Arial"/>
        <charset val="0"/>
      </rPr>
      <t>PDQ</t>
    </r>
  </si>
  <si>
    <t>1000015641</t>
  </si>
  <si>
    <t>JayceePO#4500109494/4500109727</t>
  </si>
  <si>
    <t>1000015856</t>
  </si>
  <si>
    <t>1000015857</t>
  </si>
  <si>
    <t>1000015858</t>
  </si>
  <si>
    <t>Effy</t>
  </si>
  <si>
    <t>4500109531 &amp; 4500110379</t>
  </si>
  <si>
    <t>Camilla,</t>
  </si>
  <si>
    <t>4500109266 &amp; 4500109267 &amp; 4500110045 &amp; 4500110046 &amp; 4500111958</t>
  </si>
  <si>
    <t>Winnie</t>
  </si>
  <si>
    <t>JayceePO#4500110662</t>
  </si>
  <si>
    <t>`</t>
  </si>
  <si>
    <t>1000016000</t>
  </si>
  <si>
    <t>1000016001</t>
  </si>
  <si>
    <t>1000016002</t>
  </si>
  <si>
    <t>1000016226</t>
  </si>
  <si>
    <t>JayceePO#4500112629/4500112630</t>
  </si>
  <si>
    <t>1000016330</t>
  </si>
  <si>
    <t>1000016318</t>
  </si>
  <si>
    <t>Camilla</t>
  </si>
  <si>
    <t>Sheba#TESCO UK NEW PO#4500112525 #4500112527</t>
  </si>
  <si>
    <t>4500114715 &amp; 4500117791 &amp; 4500117793                                                                                                                                                                     4500124321-142pcs</t>
  </si>
  <si>
    <t>4500114804 &amp; 4500114815</t>
  </si>
  <si>
    <r>
      <rPr>
        <sz val="12"/>
        <rFont val="Arial"/>
        <charset val="0"/>
      </rPr>
      <t xml:space="preserve">JayceePO#4500113632-333pcs, </t>
    </r>
    <r>
      <rPr>
        <sz val="12"/>
        <rFont val="宋体"/>
        <charset val="0"/>
      </rPr>
      <t>多出的</t>
    </r>
    <r>
      <rPr>
        <sz val="12"/>
        <rFont val="Arial"/>
        <charset val="0"/>
      </rPr>
      <t xml:space="preserve">167pcs </t>
    </r>
    <r>
      <rPr>
        <sz val="12"/>
        <rFont val="宋体"/>
        <charset val="0"/>
      </rPr>
      <t>下次订单消耗</t>
    </r>
  </si>
  <si>
    <t>sheba#4500115674</t>
  </si>
  <si>
    <t>Daisy-Smyths-4500111219-176PCS
Winnie-ROFU Kinderland Spielwarenhandelsge-200pcs
Rose-SUOMEN OSUUSKAUPPOJEN-186pcs 4500113295</t>
  </si>
  <si>
    <t>JayceePO#4500114883 &amp; 4500116272</t>
  </si>
  <si>
    <t>Jaycee/KathyPO#4500116705/4500117622</t>
  </si>
  <si>
    <t>1000017194</t>
  </si>
  <si>
    <t>1000017202</t>
  </si>
  <si>
    <t>1000017196</t>
  </si>
  <si>
    <t>1000017197</t>
  </si>
  <si>
    <t>1000017198</t>
  </si>
  <si>
    <r>
      <rPr>
        <sz val="10"/>
        <rFont val="宋体"/>
        <charset val="134"/>
      </rPr>
      <t>用于</t>
    </r>
    <r>
      <rPr>
        <sz val="10"/>
        <rFont val="Calibri"/>
        <charset val="134"/>
      </rPr>
      <t>4500115741-192PCS; 4500115742-58PCS; 4500116403-470PCS; 4500116404-30PCS</t>
    </r>
  </si>
  <si>
    <r>
      <rPr>
        <sz val="10"/>
        <rFont val="宋体"/>
        <charset val="134"/>
      </rPr>
      <t>用于</t>
    </r>
    <r>
      <rPr>
        <sz val="10"/>
        <rFont val="Calibri"/>
        <charset val="134"/>
      </rPr>
      <t>4500114433/4500114438/4500114441/4500114443/4500114445/4500114447/4500114449/4500114450/4500114451/4500114452/4500114454/4500114456</t>
    </r>
  </si>
  <si>
    <t>4500118791 &amp; 4500118904 &amp; 4500117911</t>
  </si>
  <si>
    <r>
      <rPr>
        <sz val="10"/>
        <rFont val="Calibri"/>
        <charset val="134"/>
      </rPr>
      <t>4500120341-</t>
    </r>
    <r>
      <rPr>
        <sz val="10"/>
        <rFont val="宋体"/>
        <charset val="134"/>
      </rPr>
      <t>此客户</t>
    </r>
    <r>
      <rPr>
        <sz val="10"/>
        <rFont val="Calibri"/>
        <charset val="134"/>
      </rPr>
      <t>Rossmann</t>
    </r>
    <r>
      <rPr>
        <sz val="10"/>
        <rFont val="宋体"/>
        <charset val="134"/>
      </rPr>
      <t>订单</t>
    </r>
    <r>
      <rPr>
        <sz val="10"/>
        <rFont val="Calibri"/>
        <charset val="134"/>
      </rPr>
      <t>30231179B</t>
    </r>
    <r>
      <rPr>
        <sz val="10"/>
        <rFont val="宋体"/>
        <charset val="134"/>
      </rPr>
      <t>（货期明年三月份）</t>
    </r>
    <r>
      <rPr>
        <sz val="10"/>
        <rFont val="Calibri"/>
        <charset val="134"/>
      </rPr>
      <t xml:space="preserve"> &amp; 30231179C</t>
    </r>
    <r>
      <rPr>
        <sz val="10"/>
        <rFont val="宋体"/>
        <charset val="134"/>
      </rPr>
      <t>（货期明年五月份）</t>
    </r>
    <r>
      <rPr>
        <sz val="10"/>
        <rFont val="Calibri"/>
        <charset val="134"/>
      </rPr>
      <t xml:space="preserve"> 9543TQ2-S001</t>
    </r>
    <r>
      <rPr>
        <sz val="10"/>
        <rFont val="宋体"/>
        <charset val="134"/>
      </rPr>
      <t>各还有</t>
    </r>
    <r>
      <rPr>
        <sz val="10"/>
        <rFont val="Calibri"/>
        <charset val="134"/>
      </rPr>
      <t>1008pcs</t>
    </r>
    <r>
      <rPr>
        <sz val="10"/>
        <rFont val="宋体"/>
        <charset val="134"/>
      </rPr>
      <t>没有下，</t>
    </r>
    <r>
      <rPr>
        <sz val="10"/>
        <rFont val="Calibri"/>
        <charset val="134"/>
      </rPr>
      <t xml:space="preserve"> </t>
    </r>
    <r>
      <rPr>
        <sz val="10"/>
        <rFont val="宋体"/>
        <charset val="134"/>
      </rPr>
      <t>即此客户还有</t>
    </r>
    <r>
      <rPr>
        <sz val="10"/>
        <rFont val="Calibri"/>
        <charset val="134"/>
      </rPr>
      <t>2016pcs</t>
    </r>
    <r>
      <rPr>
        <sz val="10"/>
        <rFont val="宋体"/>
        <charset val="134"/>
      </rPr>
      <t>的订单，可以安排一起订购</t>
    </r>
    <r>
      <rPr>
        <sz val="10"/>
        <rFont val="Calibri"/>
        <charset val="134"/>
      </rPr>
      <t xml:space="preserve">PDQ. </t>
    </r>
    <r>
      <rPr>
        <sz val="10"/>
        <rFont val="宋体"/>
        <charset val="134"/>
      </rPr>
      <t>订单会尽快放给工厂，谢谢</t>
    </r>
  </si>
  <si>
    <r>
      <rPr>
        <sz val="10"/>
        <rFont val="Calibri"/>
        <charset val="134"/>
      </rPr>
      <t>Keira</t>
    </r>
    <r>
      <rPr>
        <sz val="10"/>
        <rFont val="宋体"/>
        <charset val="134"/>
      </rPr>
      <t>用于</t>
    </r>
    <r>
      <rPr>
        <sz val="10"/>
        <rFont val="Calibri"/>
        <charset val="134"/>
      </rPr>
      <t xml:space="preserve">4500120037-250PCS                                                                                                                                                                                 ; 4500118225-250PCS;                                                                                                                                                                           4500120530-250PCS;                                                                                                                                                                                        </t>
    </r>
    <r>
      <rPr>
        <sz val="10"/>
        <rFont val="宋体"/>
        <charset val="134"/>
      </rPr>
      <t>客户</t>
    </r>
    <r>
      <rPr>
        <sz val="10"/>
        <rFont val="Calibri"/>
        <charset val="134"/>
      </rPr>
      <t>PO19811933- 4500122382-250PCS</t>
    </r>
  </si>
  <si>
    <t>sheba#4500119772</t>
  </si>
  <si>
    <r>
      <rPr>
        <sz val="10"/>
        <rFont val="Calibri"/>
        <charset val="134"/>
      </rPr>
      <t>Effy</t>
    </r>
    <r>
      <rPr>
        <sz val="10"/>
        <rFont val="宋体"/>
        <charset val="134"/>
      </rPr>
      <t>用于订单</t>
    </r>
    <r>
      <rPr>
        <sz val="10"/>
        <rFont val="Calibri"/>
        <charset val="134"/>
      </rPr>
      <t xml:space="preserve"> 4500122017</t>
    </r>
  </si>
  <si>
    <t>4500122813-133pcs                                                                                                                                                                                    4500122052-3pcs                                                                                                                                                                                       4500124321-7pcs                                                                                                                                                                               4500123375-250pcs                                                                                                                                                                              4500124322-101pcs</t>
  </si>
  <si>
    <r>
      <rPr>
        <sz val="10"/>
        <rFont val="Calibri"/>
        <charset val="134"/>
      </rPr>
      <t>Effy</t>
    </r>
    <r>
      <rPr>
        <sz val="10"/>
        <rFont val="宋体"/>
        <charset val="134"/>
      </rPr>
      <t>用于订单</t>
    </r>
    <r>
      <rPr>
        <sz val="10"/>
        <rFont val="Calibri"/>
        <charset val="134"/>
      </rPr>
      <t xml:space="preserve"> 4500123207</t>
    </r>
  </si>
  <si>
    <r>
      <rPr>
        <sz val="10"/>
        <rFont val="Calibri"/>
        <charset val="134"/>
      </rPr>
      <t>Effy</t>
    </r>
    <r>
      <rPr>
        <sz val="10"/>
        <rFont val="宋体"/>
        <charset val="134"/>
      </rPr>
      <t>用于订单</t>
    </r>
    <r>
      <rPr>
        <sz val="10"/>
        <rFont val="Calibri"/>
        <charset val="134"/>
      </rPr>
      <t xml:space="preserve"> 4500124308</t>
    </r>
  </si>
  <si>
    <r>
      <rPr>
        <sz val="10"/>
        <rFont val="宋体"/>
        <charset val="134"/>
      </rPr>
      <t>用于</t>
    </r>
    <r>
      <rPr>
        <sz val="10"/>
        <rFont val="Calibri"/>
        <charset val="134"/>
      </rPr>
      <t>Jasmine#4500123425</t>
    </r>
  </si>
  <si>
    <r>
      <rPr>
        <sz val="10"/>
        <rFont val="Calibri"/>
        <charset val="134"/>
      </rPr>
      <t xml:space="preserve">4500123744  </t>
    </r>
    <r>
      <rPr>
        <sz val="10"/>
        <rFont val="宋体"/>
        <charset val="134"/>
      </rPr>
      <t>按需求数订购</t>
    </r>
  </si>
  <si>
    <r>
      <rPr>
        <sz val="10"/>
        <rFont val="Calibri"/>
        <charset val="134"/>
      </rPr>
      <t>Effy</t>
    </r>
    <r>
      <rPr>
        <sz val="10"/>
        <rFont val="宋体"/>
        <charset val="134"/>
      </rPr>
      <t>用于订单</t>
    </r>
    <r>
      <rPr>
        <sz val="10"/>
        <rFont val="Calibri"/>
        <charset val="134"/>
      </rPr>
      <t xml:space="preserve"> 4500126393</t>
    </r>
  </si>
  <si>
    <t>1000018894</t>
  </si>
  <si>
    <t>1000018895</t>
  </si>
  <si>
    <t>1000018896</t>
  </si>
  <si>
    <t>1000018897</t>
  </si>
  <si>
    <t>1000018898</t>
  </si>
  <si>
    <r>
      <rPr>
        <sz val="10"/>
        <rFont val="Calibri"/>
        <charset val="134"/>
      </rPr>
      <t>Sheba</t>
    </r>
    <r>
      <rPr>
        <sz val="10"/>
        <rFont val="宋体"/>
        <charset val="134"/>
      </rPr>
      <t>用于</t>
    </r>
    <r>
      <rPr>
        <sz val="10"/>
        <rFont val="Calibri"/>
        <charset val="134"/>
      </rPr>
      <t>#4500126146</t>
    </r>
    <r>
      <rPr>
        <sz val="10"/>
        <rFont val="宋体"/>
        <charset val="134"/>
      </rPr>
      <t>及</t>
    </r>
    <r>
      <rPr>
        <sz val="10"/>
        <rFont val="Calibri"/>
        <charset val="134"/>
      </rPr>
      <t>ASDA</t>
    </r>
    <r>
      <rPr>
        <sz val="10"/>
        <rFont val="宋体"/>
        <charset val="134"/>
      </rPr>
      <t>4500131413</t>
    </r>
  </si>
  <si>
    <r>
      <rPr>
        <sz val="10"/>
        <rFont val="宋体"/>
        <charset val="134"/>
      </rPr>
      <t>用于</t>
    </r>
    <r>
      <rPr>
        <sz val="10"/>
        <rFont val="Calibri"/>
        <charset val="134"/>
      </rPr>
      <t>Jasmine#4500126820</t>
    </r>
  </si>
  <si>
    <t>4500128659 4500128661</t>
  </si>
  <si>
    <t>1000019652</t>
  </si>
  <si>
    <t>1000019653</t>
  </si>
  <si>
    <t>1000019654</t>
  </si>
  <si>
    <t>1000019655</t>
  </si>
  <si>
    <r>
      <rPr>
        <sz val="10"/>
        <rFont val="Calibri"/>
        <charset val="134"/>
      </rPr>
      <t>Keira</t>
    </r>
    <r>
      <rPr>
        <sz val="10"/>
        <rFont val="宋体"/>
        <charset val="134"/>
      </rPr>
      <t>用于</t>
    </r>
    <r>
      <rPr>
        <sz val="10"/>
        <rFont val="Calibri"/>
        <charset val="134"/>
      </rPr>
      <t xml:space="preserve">4500129064-2pcs;                                                                                                                                                                                                               4500129060-248pcs;                                                                                                                                                             4500130307-250pcs;                                                                                                                                                                                          </t>
    </r>
    <r>
      <rPr>
        <sz val="10"/>
        <rFont val="宋体"/>
        <charset val="134"/>
      </rPr>
      <t>4500130748 &amp; 4500130759</t>
    </r>
    <r>
      <rPr>
        <sz val="10"/>
        <rFont val="Calibri"/>
        <charset val="134"/>
      </rPr>
      <t>-250pcs</t>
    </r>
  </si>
  <si>
    <r>
      <rPr>
        <sz val="10"/>
        <rFont val="Calibri"/>
        <charset val="134"/>
      </rPr>
      <t>Effy</t>
    </r>
    <r>
      <rPr>
        <sz val="10"/>
        <rFont val="宋体"/>
        <charset val="134"/>
      </rPr>
      <t>订单</t>
    </r>
    <r>
      <rPr>
        <sz val="10"/>
        <rFont val="Calibri"/>
        <charset val="134"/>
      </rPr>
      <t>4500131275  4500131129</t>
    </r>
  </si>
  <si>
    <t>4500132402&amp;4500132406</t>
  </si>
  <si>
    <t>1000020147</t>
  </si>
  <si>
    <t>1000020148</t>
  </si>
  <si>
    <t>1000020149</t>
  </si>
  <si>
    <r>
      <rPr>
        <sz val="10"/>
        <rFont val="Calibri"/>
        <charset val="134"/>
      </rPr>
      <t>Effy</t>
    </r>
    <r>
      <rPr>
        <sz val="10"/>
        <rFont val="宋体"/>
        <charset val="134"/>
      </rPr>
      <t>订单</t>
    </r>
    <r>
      <rPr>
        <sz val="10"/>
        <rFont val="Calibri"/>
        <charset val="134"/>
      </rPr>
      <t>4500134018 4500134020 4500134021 4500134025 4500133732</t>
    </r>
  </si>
  <si>
    <t>1000020803</t>
  </si>
  <si>
    <t>1000020804</t>
  </si>
  <si>
    <t>1000020805</t>
  </si>
  <si>
    <t>1000020806</t>
  </si>
  <si>
    <t>1000020807</t>
  </si>
  <si>
    <t>补欠数</t>
  </si>
  <si>
    <t>4500133662-231pcs                                                                                                                                                                4500133663-19pcs                                                                                                                                                                                      4500135946-600pcs</t>
  </si>
  <si>
    <t>实单订购</t>
  </si>
  <si>
    <t>1000021519</t>
  </si>
  <si>
    <t>1000021520</t>
  </si>
  <si>
    <t>1000021521</t>
  </si>
  <si>
    <t>1000021522</t>
  </si>
  <si>
    <t>1000021523</t>
  </si>
  <si>
    <r>
      <rPr>
        <sz val="10"/>
        <rFont val="Calibri"/>
        <charset val="134"/>
      </rPr>
      <t>Luna</t>
    </r>
    <r>
      <rPr>
        <sz val="10"/>
        <rFont val="宋体"/>
        <charset val="134"/>
      </rPr>
      <t>用于订单</t>
    </r>
    <r>
      <rPr>
        <sz val="10"/>
        <rFont val="Calibri"/>
        <charset val="134"/>
      </rPr>
      <t>4500138226</t>
    </r>
    <r>
      <rPr>
        <sz val="10"/>
        <rFont val="宋体"/>
        <charset val="134"/>
      </rPr>
      <t>（</t>
    </r>
    <r>
      <rPr>
        <sz val="10"/>
        <rFont val="Calibri"/>
        <charset val="134"/>
      </rPr>
      <t>792pcs</t>
    </r>
    <r>
      <rPr>
        <sz val="10"/>
        <rFont val="宋体"/>
        <charset val="134"/>
      </rPr>
      <t>）</t>
    </r>
    <r>
      <rPr>
        <sz val="10"/>
        <rFont val="Calibri"/>
        <charset val="134"/>
      </rPr>
      <t>/4500137433</t>
    </r>
    <r>
      <rPr>
        <sz val="10"/>
        <rFont val="宋体"/>
        <charset val="134"/>
      </rPr>
      <t>（</t>
    </r>
    <r>
      <rPr>
        <sz val="10"/>
        <rFont val="Calibri"/>
        <charset val="134"/>
      </rPr>
      <t>440pcs</t>
    </r>
    <r>
      <rPr>
        <sz val="10"/>
        <rFont val="宋体"/>
        <charset val="134"/>
      </rPr>
      <t>）</t>
    </r>
    <r>
      <rPr>
        <sz val="10"/>
        <rFont val="Calibri"/>
        <charset val="134"/>
      </rPr>
      <t>/4500138349</t>
    </r>
    <r>
      <rPr>
        <sz val="10"/>
        <rFont val="宋体"/>
        <charset val="134"/>
      </rPr>
      <t>（</t>
    </r>
    <r>
      <rPr>
        <sz val="10"/>
        <rFont val="Calibri"/>
        <charset val="134"/>
      </rPr>
      <t>616pcs</t>
    </r>
    <r>
      <rPr>
        <sz val="10"/>
        <rFont val="宋体"/>
        <charset val="134"/>
      </rPr>
      <t>）</t>
    </r>
  </si>
  <si>
    <r>
      <rPr>
        <sz val="10"/>
        <rFont val="Calibri"/>
        <charset val="134"/>
      </rPr>
      <t>Effy</t>
    </r>
    <r>
      <rPr>
        <sz val="10"/>
        <rFont val="宋体"/>
        <charset val="134"/>
      </rPr>
      <t>订单</t>
    </r>
    <r>
      <rPr>
        <sz val="10"/>
        <rFont val="Calibri"/>
        <charset val="134"/>
      </rPr>
      <t>4500140683 4500140692</t>
    </r>
  </si>
  <si>
    <t>4500135948 &amp; 4500135946 &amp; 4500137120 &amp; 4500142525 &amp; 4500142524</t>
  </si>
  <si>
    <r>
      <rPr>
        <sz val="10"/>
        <rFont val="Calibri"/>
        <charset val="134"/>
      </rPr>
      <t>4500144899</t>
    </r>
    <r>
      <rPr>
        <sz val="10"/>
        <rFont val="宋体"/>
        <charset val="134"/>
      </rPr>
      <t>、</t>
    </r>
    <r>
      <rPr>
        <sz val="10"/>
        <rFont val="Calibri"/>
        <charset val="134"/>
      </rPr>
      <t>4500144900</t>
    </r>
    <r>
      <rPr>
        <sz val="10"/>
        <rFont val="宋体"/>
        <charset val="134"/>
      </rPr>
      <t>、</t>
    </r>
    <r>
      <rPr>
        <sz val="10"/>
        <rFont val="Calibri"/>
        <charset val="134"/>
      </rPr>
      <t>4500145062</t>
    </r>
    <r>
      <rPr>
        <sz val="10"/>
        <rFont val="宋体"/>
        <charset val="134"/>
      </rPr>
      <t>、</t>
    </r>
    <r>
      <rPr>
        <sz val="10"/>
        <rFont val="Calibri"/>
        <charset val="134"/>
      </rPr>
      <t>4500145063</t>
    </r>
  </si>
  <si>
    <r>
      <rPr>
        <sz val="10"/>
        <rFont val="Calibri"/>
        <charset val="134"/>
      </rPr>
      <t>4500146710</t>
    </r>
    <r>
      <rPr>
        <sz val="10"/>
        <rFont val="宋体"/>
        <charset val="134"/>
      </rPr>
      <t>、</t>
    </r>
    <r>
      <rPr>
        <sz val="10"/>
        <rFont val="Calibri"/>
        <charset val="134"/>
      </rPr>
      <t>4500146709</t>
    </r>
    <r>
      <rPr>
        <sz val="10"/>
        <rFont val="宋体"/>
        <charset val="134"/>
      </rPr>
      <t>、</t>
    </r>
    <r>
      <rPr>
        <sz val="10"/>
        <rFont val="Calibri"/>
        <charset val="134"/>
      </rPr>
      <t>4500148472</t>
    </r>
    <r>
      <rPr>
        <sz val="10"/>
        <rFont val="宋体"/>
        <charset val="134"/>
      </rPr>
      <t>、</t>
    </r>
    <r>
      <rPr>
        <sz val="10"/>
        <rFont val="Calibri"/>
        <charset val="134"/>
      </rPr>
      <t>4500148978</t>
    </r>
    <r>
      <rPr>
        <sz val="10"/>
        <rFont val="宋体"/>
        <charset val="134"/>
      </rPr>
      <t>、</t>
    </r>
    <r>
      <rPr>
        <sz val="10"/>
        <rFont val="Calibri"/>
        <charset val="134"/>
      </rPr>
      <t>4500148982</t>
    </r>
  </si>
  <si>
    <t>4500150157&amp;4500149887&amp;4500150157&amp;4500150158</t>
  </si>
  <si>
    <t>4500160284 &amp; 4500160289 &amp; 4500162692 &amp; 4500162690 &amp; 4500162968 &amp; 4500162969</t>
  </si>
  <si>
    <t>Nellie用于PO#4500159561</t>
  </si>
  <si>
    <t>4500163522 &amp; 4500164521</t>
  </si>
  <si>
    <t>4500165567 &amp; 4500165566 &amp;4500166289 &amp; 4500166290</t>
  </si>
  <si>
    <r>
      <rPr>
        <sz val="10"/>
        <rFont val="Calibri"/>
        <charset val="134"/>
      </rPr>
      <t>Sharon</t>
    </r>
    <r>
      <rPr>
        <sz val="10"/>
        <rFont val="宋体"/>
        <charset val="134"/>
      </rPr>
      <t>用于</t>
    </r>
    <r>
      <rPr>
        <sz val="10"/>
        <rFont val="Calibri"/>
        <charset val="134"/>
      </rPr>
      <t>4500164331-2616PCS</t>
    </r>
  </si>
  <si>
    <r>
      <rPr>
        <sz val="10"/>
        <rFont val="Calibri"/>
        <charset val="134"/>
      </rPr>
      <t>4500169773 -1001PCS,
PI#1100029874-1507PCS,
4500171058-946 PCS
Gekas</t>
    </r>
    <r>
      <rPr>
        <sz val="10"/>
        <rFont val="宋体"/>
        <charset val="134"/>
      </rPr>
      <t>：</t>
    </r>
    <r>
      <rPr>
        <sz val="10"/>
        <rFont val="Calibri"/>
        <charset val="134"/>
      </rPr>
      <t>605pcs</t>
    </r>
    <r>
      <rPr>
        <sz val="10"/>
        <rFont val="宋体"/>
        <charset val="134"/>
      </rPr>
      <t>（</t>
    </r>
    <r>
      <rPr>
        <sz val="10"/>
        <rFont val="Calibri"/>
        <charset val="134"/>
      </rPr>
      <t xml:space="preserve"> CRD 12/2</t>
    </r>
    <r>
      <rPr>
        <sz val="10"/>
        <rFont val="宋体"/>
        <charset val="134"/>
      </rPr>
      <t>）</t>
    </r>
  </si>
  <si>
    <t>1000029930</t>
  </si>
  <si>
    <t>1000029931</t>
  </si>
  <si>
    <t>1000029929</t>
  </si>
  <si>
    <t>1000030515</t>
  </si>
  <si>
    <t>1000030516</t>
  </si>
  <si>
    <t>1000030517</t>
  </si>
  <si>
    <t>1000030519</t>
  </si>
  <si>
    <t>1000030520</t>
  </si>
  <si>
    <t>1000031169</t>
  </si>
  <si>
    <t>1000031170</t>
  </si>
  <si>
    <r>
      <rPr>
        <sz val="10"/>
        <rFont val="Calibri"/>
        <charset val="134"/>
      </rPr>
      <t>Aaron</t>
    </r>
    <r>
      <rPr>
        <sz val="10"/>
        <rFont val="宋体"/>
        <charset val="134"/>
      </rPr>
      <t>用于英国</t>
    </r>
    <r>
      <rPr>
        <sz val="10"/>
        <rFont val="Calibri"/>
        <charset val="134"/>
      </rPr>
      <t>ASDA-NEW ORDER PO#4500177833</t>
    </r>
  </si>
  <si>
    <r>
      <rPr>
        <sz val="10"/>
        <rFont val="Calibri"/>
        <charset val="134"/>
      </rPr>
      <t>4500169878</t>
    </r>
    <r>
      <rPr>
        <sz val="10"/>
        <rFont val="宋体"/>
        <charset val="134"/>
      </rPr>
      <t>、</t>
    </r>
    <r>
      <rPr>
        <sz val="10"/>
        <rFont val="Calibri"/>
        <charset val="134"/>
      </rPr>
      <t>4500169879</t>
    </r>
    <r>
      <rPr>
        <sz val="10"/>
        <rFont val="宋体"/>
        <charset val="134"/>
      </rPr>
      <t>、</t>
    </r>
    <r>
      <rPr>
        <sz val="10"/>
        <rFont val="Calibri"/>
        <charset val="134"/>
      </rPr>
      <t>4500172944</t>
    </r>
    <r>
      <rPr>
        <sz val="10"/>
        <rFont val="宋体"/>
        <charset val="134"/>
      </rPr>
      <t>、</t>
    </r>
    <r>
      <rPr>
        <sz val="10"/>
        <rFont val="Calibri"/>
        <charset val="134"/>
      </rPr>
      <t>4500172946</t>
    </r>
  </si>
  <si>
    <r>
      <rPr>
        <sz val="10"/>
        <rFont val="Calibri"/>
        <charset val="134"/>
      </rPr>
      <t>4500175925</t>
    </r>
    <r>
      <rPr>
        <sz val="10"/>
        <rFont val="宋体"/>
        <charset val="134"/>
      </rPr>
      <t>、</t>
    </r>
    <r>
      <rPr>
        <sz val="10"/>
        <rFont val="Calibri"/>
        <charset val="134"/>
      </rPr>
      <t>4500175924</t>
    </r>
    <r>
      <rPr>
        <sz val="10"/>
        <rFont val="宋体"/>
        <charset val="134"/>
      </rPr>
      <t>、</t>
    </r>
    <r>
      <rPr>
        <sz val="10"/>
        <rFont val="Calibri"/>
        <charset val="134"/>
      </rPr>
      <t>4500177772</t>
    </r>
    <r>
      <rPr>
        <sz val="10"/>
        <rFont val="宋体"/>
        <charset val="134"/>
      </rPr>
      <t>、</t>
    </r>
    <r>
      <rPr>
        <sz val="10"/>
        <rFont val="Calibri"/>
        <charset val="134"/>
      </rPr>
      <t>4500178041</t>
    </r>
  </si>
  <si>
    <t>1000031772</t>
  </si>
  <si>
    <t>1000031773</t>
  </si>
  <si>
    <t>1000033342</t>
  </si>
  <si>
    <t>1000033341</t>
  </si>
  <si>
    <t>1000034100</t>
  </si>
  <si>
    <t>1000034101</t>
  </si>
  <si>
    <t>1000034102</t>
  </si>
  <si>
    <t>1000034103</t>
  </si>
  <si>
    <t>1000034104</t>
  </si>
  <si>
    <t>1000034962</t>
  </si>
  <si>
    <t>1000034963</t>
  </si>
  <si>
    <t>1000034964</t>
  </si>
  <si>
    <t>1000034965</t>
  </si>
  <si>
    <t>1000035221</t>
  </si>
  <si>
    <t>1000035222</t>
  </si>
  <si>
    <t>1000035223</t>
  </si>
  <si>
    <t>1000035224</t>
  </si>
  <si>
    <r>
      <rPr>
        <sz val="10"/>
        <rFont val="Calibri"/>
        <charset val="134"/>
      </rPr>
      <t>Yilia</t>
    </r>
    <r>
      <rPr>
        <sz val="10"/>
        <rFont val="宋体"/>
        <charset val="134"/>
      </rPr>
      <t>用于</t>
    </r>
    <r>
      <rPr>
        <sz val="10"/>
        <rFont val="Calibri"/>
        <charset val="134"/>
      </rPr>
      <t xml:space="preserve">4500190821 </t>
    </r>
  </si>
  <si>
    <t>Sheba-4500192711-308PCS
4500195859-506pcs
4500197359-880pcs</t>
  </si>
  <si>
    <t>1000037092</t>
  </si>
  <si>
    <t>1000037093</t>
  </si>
  <si>
    <t>1000037094</t>
  </si>
  <si>
    <t>1000037095</t>
  </si>
  <si>
    <r>
      <rPr>
        <sz val="10"/>
        <rFont val="Calibri"/>
        <charset val="134"/>
      </rPr>
      <t>Yilia</t>
    </r>
    <r>
      <rPr>
        <sz val="10"/>
        <rFont val="宋体"/>
        <charset val="134"/>
      </rPr>
      <t>用于</t>
    </r>
    <r>
      <rPr>
        <sz val="10"/>
        <rFont val="Calibri"/>
        <charset val="134"/>
      </rPr>
      <t>4500193110</t>
    </r>
  </si>
  <si>
    <t>1000037096</t>
  </si>
  <si>
    <r>
      <rPr>
        <sz val="10"/>
        <rFont val="Times New Roman"/>
        <charset val="134"/>
      </rPr>
      <t>Kristin</t>
    </r>
    <r>
      <rPr>
        <sz val="10"/>
        <rFont val="宋体"/>
        <charset val="134"/>
      </rPr>
      <t>用于</t>
    </r>
    <r>
      <rPr>
        <sz val="10"/>
        <rFont val="Times New Roman"/>
        <charset val="134"/>
      </rPr>
      <t>4500196523</t>
    </r>
  </si>
  <si>
    <t>Sheba-SOK-4500196453-1,796
Kärkkäinen Oy-4500200583-660
Coolshop-4500202539-418</t>
  </si>
  <si>
    <t>1000039783</t>
  </si>
  <si>
    <t>1000039784</t>
  </si>
  <si>
    <t>1000039785</t>
  </si>
  <si>
    <t>1000039786</t>
  </si>
  <si>
    <t>1000040431</t>
  </si>
  <si>
    <t>1000042033</t>
  </si>
  <si>
    <r>
      <rPr>
        <sz val="10"/>
        <rFont val="宋体"/>
        <charset val="0"/>
      </rPr>
      <t>合计</t>
    </r>
    <r>
      <rPr>
        <sz val="10"/>
        <rFont val="Arial"/>
        <charset val="0"/>
      </rPr>
      <t>MA</t>
    </r>
    <r>
      <rPr>
        <sz val="10"/>
        <rFont val="宋体"/>
        <charset val="0"/>
      </rPr>
      <t>数量</t>
    </r>
  </si>
  <si>
    <t>訂單需求數</t>
  </si>
  <si>
    <t>实单数：</t>
  </si>
  <si>
    <r>
      <rPr>
        <sz val="10"/>
        <rFont val="Arial"/>
        <charset val="0"/>
      </rPr>
      <t>MA</t>
    </r>
    <r>
      <rPr>
        <sz val="10"/>
        <rFont val="宋体"/>
        <charset val="134"/>
      </rPr>
      <t>庫存數</t>
    </r>
  </si>
  <si>
    <t>剩余数：</t>
  </si>
  <si>
    <t>23年总数量</t>
  </si>
  <si>
    <t>23年数量：</t>
  </si>
  <si>
    <t>24年数量：</t>
  </si>
  <si>
    <t>MA半成品扣數表</t>
  </si>
  <si>
    <t>IC扣數表</t>
  </si>
  <si>
    <r>
      <rPr>
        <sz val="11"/>
        <rFont val="Arial"/>
        <charset val="0"/>
      </rPr>
      <t>MA</t>
    </r>
    <r>
      <rPr>
        <sz val="11"/>
        <rFont val="宋体"/>
        <charset val="134"/>
      </rPr>
      <t>訂單號</t>
    </r>
  </si>
  <si>
    <t>#9543</t>
  </si>
  <si>
    <t>粉色仓鼠</t>
  </si>
  <si>
    <t>四款合计</t>
  </si>
  <si>
    <t>无功能粉色仓鼠</t>
  </si>
  <si>
    <t>完成时间</t>
  </si>
  <si>
    <t>收货时间</t>
  </si>
  <si>
    <t>(Blue)</t>
  </si>
  <si>
    <t>(Pink)</t>
  </si>
  <si>
    <t>(Purple)</t>
  </si>
  <si>
    <t>(Orange)</t>
  </si>
  <si>
    <t>MA_RR_729</t>
  </si>
  <si>
    <t>MA_RR_737</t>
  </si>
  <si>
    <t>旧IC</t>
  </si>
  <si>
    <t>MA_RR_751</t>
  </si>
  <si>
    <t>MA_RR_815</t>
  </si>
  <si>
    <t>MA-RR-888</t>
  </si>
  <si>
    <t>MA_RR_859</t>
  </si>
  <si>
    <t>MA-RR-894</t>
  </si>
  <si>
    <t>MA_RR_889</t>
  </si>
  <si>
    <t>MA-RR-905</t>
  </si>
  <si>
    <t>MA_RR_892</t>
  </si>
  <si>
    <t>MA-RR-913</t>
  </si>
  <si>
    <t>MA_RR_906</t>
  </si>
  <si>
    <t>MA-RR-931</t>
  </si>
  <si>
    <t>MA_RR_914</t>
  </si>
  <si>
    <t>MA-RR-948</t>
  </si>
  <si>
    <t>MA_RR_932</t>
  </si>
  <si>
    <t>MA-RR-960</t>
  </si>
  <si>
    <t>MA_RR_949</t>
  </si>
  <si>
    <t>MA-RR-1001</t>
  </si>
  <si>
    <t>MA_RR_961</t>
  </si>
  <si>
    <t>MA-RR-1028</t>
  </si>
  <si>
    <t>MA-RR-1064</t>
  </si>
  <si>
    <t>MA_RR_998</t>
  </si>
  <si>
    <t>新供应商：矽源特</t>
  </si>
  <si>
    <t>MA-RR-1106</t>
  </si>
  <si>
    <t>MA_RR_1022</t>
  </si>
  <si>
    <t>MA-RR-1128</t>
  </si>
  <si>
    <t>MA_RR_1050</t>
  </si>
  <si>
    <t>MA-RR-1157</t>
  </si>
  <si>
    <t>MA_RR_1071</t>
  </si>
  <si>
    <t>MA-RR-1196</t>
  </si>
  <si>
    <t>MA_RR_1129</t>
  </si>
  <si>
    <t>MA-RR-1218</t>
  </si>
  <si>
    <t>MA_RR_1152</t>
  </si>
  <si>
    <t>MA-RR-1228</t>
  </si>
  <si>
    <t>MA_RR_1193</t>
  </si>
  <si>
    <t>MA-RR-1290</t>
  </si>
  <si>
    <t>MA_RR_1197</t>
  </si>
  <si>
    <t>MA-RR-1385</t>
  </si>
  <si>
    <t>MA_RR_1217</t>
  </si>
  <si>
    <t>MA-RR-1413</t>
  </si>
  <si>
    <t>MA_RR_1227</t>
  </si>
  <si>
    <t>MA-RR-1450</t>
  </si>
  <si>
    <t>MA_RR_1294</t>
  </si>
  <si>
    <t>MA-RR-1468</t>
  </si>
  <si>
    <t>MA_RR_1346</t>
  </si>
  <si>
    <t>MA-RR-1595</t>
  </si>
  <si>
    <t>MA_RR_1380</t>
  </si>
  <si>
    <t>MA-RR-1637</t>
  </si>
  <si>
    <t>MA_RR_1393</t>
  </si>
  <si>
    <t>MA-RR-1709</t>
  </si>
  <si>
    <t>MA_RR_1433</t>
  </si>
  <si>
    <t>MA-RR-1790</t>
  </si>
  <si>
    <t>MA_RR_1463</t>
  </si>
  <si>
    <t>MA-RR-1943</t>
  </si>
  <si>
    <t>MA_RR_1496</t>
  </si>
  <si>
    <t>MA-RR-1999</t>
  </si>
  <si>
    <t>MA_RR_1604</t>
  </si>
  <si>
    <t>新供应商：矽源特（降价）</t>
  </si>
  <si>
    <t>MA-RR-2133</t>
  </si>
  <si>
    <t>MA_RR_1638</t>
  </si>
  <si>
    <t>MA-RR-2317</t>
  </si>
  <si>
    <t>MA_RR_1697</t>
  </si>
  <si>
    <t>MA-RR-2467</t>
  </si>
  <si>
    <t>MA_RR_1710</t>
  </si>
  <si>
    <t>MA_RR_1756</t>
  </si>
  <si>
    <t>MA_RR_1811</t>
  </si>
  <si>
    <r>
      <rPr>
        <sz val="11"/>
        <rFont val="Arial"/>
        <charset val="0"/>
      </rPr>
      <t>MA</t>
    </r>
    <r>
      <rPr>
        <sz val="11"/>
        <rFont val="宋体"/>
        <charset val="134"/>
      </rPr>
      <t>合計</t>
    </r>
  </si>
  <si>
    <t>MA_RR_1864</t>
  </si>
  <si>
    <r>
      <rPr>
        <sz val="11"/>
        <color rgb="FFFF0000"/>
        <rFont val="Arial"/>
        <charset val="0"/>
      </rPr>
      <t>23</t>
    </r>
    <r>
      <rPr>
        <sz val="11"/>
        <color rgb="FFFF0000"/>
        <rFont val="宋体"/>
        <charset val="0"/>
      </rPr>
      <t>年删除数：</t>
    </r>
  </si>
  <si>
    <t>MA_RR_1900</t>
  </si>
  <si>
    <r>
      <rPr>
        <sz val="11"/>
        <color rgb="FFFF0000"/>
        <rFont val="Arial"/>
        <charset val="0"/>
      </rPr>
      <t>24</t>
    </r>
    <r>
      <rPr>
        <sz val="11"/>
        <color rgb="FFFF0000"/>
        <rFont val="宋体"/>
        <charset val="0"/>
      </rPr>
      <t>年删除数：</t>
    </r>
  </si>
  <si>
    <t>MA_RR_1944</t>
  </si>
  <si>
    <r>
      <rPr>
        <sz val="11"/>
        <rFont val="Arial"/>
        <charset val="0"/>
      </rPr>
      <t>PO</t>
    </r>
    <r>
      <rPr>
        <sz val="11"/>
        <rFont val="宋体"/>
        <charset val="134"/>
      </rPr>
      <t>接單數量</t>
    </r>
  </si>
  <si>
    <t>MA_RR_1974</t>
  </si>
  <si>
    <t>樣板PO接單數</t>
  </si>
  <si>
    <t>MA_RR_2020</t>
  </si>
  <si>
    <r>
      <rPr>
        <sz val="11"/>
        <rFont val="Arial"/>
        <charset val="0"/>
      </rPr>
      <t>MA</t>
    </r>
    <r>
      <rPr>
        <sz val="11"/>
        <rFont val="宋体"/>
        <charset val="134"/>
      </rPr>
      <t>半成品剩餘數</t>
    </r>
  </si>
  <si>
    <t>MA_RR_2050</t>
  </si>
  <si>
    <r>
      <rPr>
        <sz val="11"/>
        <rFont val="Arial"/>
        <charset val="0"/>
      </rPr>
      <t>MA</t>
    </r>
    <r>
      <rPr>
        <sz val="11"/>
        <rFont val="宋体"/>
        <charset val="134"/>
      </rPr>
      <t>剩餘總數</t>
    </r>
  </si>
  <si>
    <t>MA_RR_2318</t>
  </si>
  <si>
    <t xml:space="preserve">MA_RR_2466 
</t>
  </si>
  <si>
    <r>
      <rPr>
        <sz val="11"/>
        <rFont val="Arial"/>
        <charset val="0"/>
      </rPr>
      <t xml:space="preserve">MA  IC </t>
    </r>
    <r>
      <rPr>
        <sz val="11"/>
        <rFont val="宋体"/>
        <charset val="0"/>
      </rPr>
      <t>剩餘總數</t>
    </r>
  </si>
  <si>
    <r>
      <rPr>
        <sz val="11"/>
        <rFont val="宋体"/>
        <charset val="0"/>
      </rPr>
      <t>截止</t>
    </r>
    <r>
      <rPr>
        <sz val="11"/>
        <rFont val="Arial"/>
        <charset val="0"/>
      </rPr>
      <t>2024/5</t>
    </r>
    <r>
      <rPr>
        <sz val="11"/>
        <rFont val="宋体"/>
        <charset val="0"/>
      </rPr>
      <t>月底每款毛绒实单数</t>
    </r>
  </si>
  <si>
    <t>不包含提前订单数量毛绒</t>
  </si>
  <si>
    <t>合计：</t>
  </si>
  <si>
    <t>已交毛绒实数：</t>
  </si>
  <si>
    <t>PO号</t>
  </si>
  <si>
    <t>小PO号</t>
  </si>
  <si>
    <t>取消时间</t>
  </si>
  <si>
    <t>物料情况</t>
  </si>
  <si>
    <t>纸箱滞留</t>
  </si>
  <si>
    <t>客供贴纸AI(收到日期)</t>
  </si>
  <si>
    <r>
      <rPr>
        <b/>
        <sz val="16"/>
        <rFont val="宋体"/>
        <charset val="0"/>
      </rPr>
      <t>MA  1</t>
    </r>
    <r>
      <rPr>
        <b/>
        <sz val="16"/>
        <rFont val="宋体"/>
        <charset val="134"/>
      </rPr>
      <t>語收縮膜</t>
    </r>
    <r>
      <rPr>
        <b/>
        <sz val="16"/>
        <rFont val="宋体"/>
        <charset val="0"/>
      </rPr>
      <t xml:space="preserve">
A</t>
    </r>
    <r>
      <rPr>
        <b/>
        <sz val="16"/>
        <rFont val="宋体"/>
        <charset val="134"/>
      </rPr>
      <t>版本</t>
    </r>
  </si>
  <si>
    <r>
      <rPr>
        <b/>
        <sz val="16"/>
        <rFont val="宋体"/>
        <charset val="0"/>
      </rPr>
      <t xml:space="preserve">GQ2-MA 1L          </t>
    </r>
    <r>
      <rPr>
        <b/>
        <sz val="16"/>
        <color rgb="FFFF0000"/>
        <rFont val="宋体"/>
        <charset val="0"/>
      </rPr>
      <t>KM单+WM-CA</t>
    </r>
  </si>
  <si>
    <r>
      <rPr>
        <b/>
        <sz val="16"/>
        <rFont val="宋体"/>
        <charset val="0"/>
      </rPr>
      <t xml:space="preserve">GQ3-
</t>
    </r>
    <r>
      <rPr>
        <b/>
        <sz val="16"/>
        <color rgb="FFFF0000"/>
        <rFont val="宋体"/>
        <charset val="0"/>
      </rPr>
      <t>客版 1L</t>
    </r>
  </si>
  <si>
    <r>
      <rPr>
        <b/>
        <sz val="16"/>
        <rFont val="宋体"/>
        <charset val="0"/>
      </rPr>
      <t xml:space="preserve">GQ4-MA 1L        </t>
    </r>
    <r>
      <rPr>
        <b/>
        <sz val="16"/>
        <color rgb="FFFF0000"/>
        <rFont val="宋体"/>
        <charset val="0"/>
      </rPr>
      <t>TG单</t>
    </r>
  </si>
  <si>
    <r>
      <rPr>
        <b/>
        <sz val="16"/>
        <rFont val="宋体"/>
        <charset val="0"/>
      </rPr>
      <t xml:space="preserve">TQ1             </t>
    </r>
    <r>
      <rPr>
        <b/>
        <sz val="16"/>
        <color rgb="FFFF0000"/>
        <rFont val="宋体"/>
        <charset val="0"/>
      </rPr>
      <t>WM单</t>
    </r>
  </si>
  <si>
    <t>蓝色仓鼠(Blue)</t>
  </si>
  <si>
    <t>粉色仓鼠(Pink)</t>
  </si>
  <si>
    <t>紫色仓鼠(Purple)</t>
  </si>
  <si>
    <t>土黄色仓鼠(Orange)</t>
  </si>
  <si>
    <t>成品滞留</t>
  </si>
  <si>
    <t>SUOMEN OSUUSKAUPPOJEN</t>
  </si>
  <si>
    <t>4500096312-40</t>
  </si>
  <si>
    <t>取消订单（3/16转PO)</t>
  </si>
  <si>
    <t>欠</t>
  </si>
  <si>
    <t>欠EAN贴纸+警告语贴纸</t>
  </si>
  <si>
    <t>客办收藏指南</t>
  </si>
  <si>
    <t>日期码格式：ZURU 标准格式 日期：按实际生产日期
Packaging Info: 9543GQ1:1L A版收缩膜+1L A版PDQ+客版说明书+EAN贴纸+警告语贴纸
Remark: 1. 包装不可有PVC，包装上的吸塑需要用PET代替。
2. 产品要求无硼无香
3.
工厂款号 条码
9543GQ1 4894680026995
4. 产品信息：
9543GQ1:2pcs *AAA battery not include; bule/purple/pink/orange =5:6:6:5
5.此单有客人客验，请多备料。
6.出货前需寄3-4套大货样给客人签样。
7.客人需要大货样1pcs，请在4/21前寄到深圳办公室Luna签收</t>
  </si>
  <si>
    <t>Rose</t>
  </si>
  <si>
    <t>TARGET US</t>
  </si>
  <si>
    <t>4500106533-10</t>
  </si>
  <si>
    <t>未接到实单</t>
  </si>
  <si>
    <t>9/12取消订单</t>
  </si>
  <si>
    <t>日期码格式：ZURU INC(BVI) 标准格式 日期：按实际生产日期
Packaging Info: 9543GQ4: MA 1L，客版PDQ
Remark: 1. 9543GQ4-S001-PETS ALIVE-HAMSTERMANIA- SERIES 1 CAPSULE,1Facing6pcs/Gravity PDQ,6pcs/CTN,No Inner,STD Color Assortment
2. 产品MA 1L包装，客版PDQ. 产品UPC显示193052050328, Integral single ratio=bule/purple/pink/orange =1:1:1:1
3. 外箱正唛左上角位置粘贴条码箱贴纸，每箱只贴一张，由ZURU订购。来料贴纸上显示的客户DPCI# 086-08-4053，UPC显示10193052050325;
4. 9543GQ4：Semi-Products (Customized PDQ), 做半成品-球，客版PDQ等我们通知再订购
6. 产品/包装:MA+1L, UPC显示 193052050014. MA PDQ
7. 外箱正唛左上角位置粘贴条码箱贴纸，每箱只贴一张，由ZURU订购。来料贴纸上显示的客户DPCI#086-08-3096， UPC显示10193052050011
10. MA 1L包装. 产品UPC显示193052050106,Kitten:Bunny:Puppy:Cow:Elephant:Flamingo=1:1:1:1:1:1;
11. 外箱正唛左上角位置粘贴条码箱贴纸，每箱只贴一张，由ZURU订购。来料贴纸上显示的客户DPCI# 086-08-6431，UPC显示10193052050103;
13. 产品和包装上印刷 tracking code信息，格式为ZURU常规格式;
14. 出货方式：货代自提。</t>
  </si>
  <si>
    <t>Holly Zheng</t>
  </si>
  <si>
    <t>ZURU</t>
  </si>
  <si>
    <t>库有</t>
  </si>
  <si>
    <t>MO20230612</t>
  </si>
  <si>
    <t>待定</t>
  </si>
  <si>
    <t>未收到实单先取消9/28</t>
  </si>
  <si>
    <t>欠客供RFID贴纸</t>
  </si>
  <si>
    <t>9543
1.包装信息：, MA A 版 1L收缩膜，MA A 版3L 收藏指南，客供RFID贴纸，客版PDQ
2.在外箱印刷带条码的箱唛以及四面印刷RFID的箱唛（新增ZURU黑色色带顶格四面印刷
），不需要贴白色艾利贴纸(由我们提供艾利贴纸替代箱唛），箱唛内容见附件, 外箱侧面任一角落标注"MADE IN CHINA" 字样。每个slip sheet上面贴一张艾利贴纸和一张普通贴纸（可A4纸打印），slip sheet打印的普通贴纸的尺寸不能比艾利贴纸小。
3.产品如有扎带口要剪平，不能刮手。
4.此单需要验货以及抽板做测试，请自行多备包装物料。
5.此单打卡板出货
2Facing2pcs/PDQ, 2pcs *AAA battery not include</t>
  </si>
  <si>
    <t>确认后再订</t>
  </si>
  <si>
    <t>4500116041-10</t>
  </si>
  <si>
    <t>11/9取消订单</t>
  </si>
  <si>
    <t>日期码格式：ZURU INC(BVI) 标准格式 日期：按实际生产日期
Packaging Info: 1、包装方式: MA UPC优先1L最新版包装，出口美国
Remark: 2、无测试无验货要求。
3、纸箱4面印ZURU LOGO + 箱唛。
4、日期码请按ZURU标准版执行即可。
5、ZURU QC验货。
6、REMARK:
#9543GQ1: 2pcs *AAA battery not include; Integral single ratio=bule/purple/pink/orange =5:6:6:5;</t>
  </si>
  <si>
    <t>4500123425-70</t>
  </si>
  <si>
    <t>9543GQ5-S001</t>
  </si>
  <si>
    <t>转4500126820消耗</t>
  </si>
  <si>
    <t>1/19收到</t>
  </si>
  <si>
    <t>WIC 贴纸（翻单PO 4500099653） +PDQ折页 （翻单PO 4500099653</t>
  </si>
  <si>
    <t>DG20240326</t>
  </si>
  <si>
    <t>日期码格式：ZURU INC(BVI) 标准格式 日期：03-26-2024
Packaging Info:
Remark: MA 1L 包装 + WIC 贴纸（翻单PO 4500099653） + 客版PDQ （同PO4500114433）+ PDQ折页 （翻单PO 4500099653，PDQ折页放在PDQ的正上方，开箱即可看到）
产品和包装/外箱上面要有zuru标准格式的tracking code DG20240326</t>
  </si>
  <si>
    <t>4500123425-30</t>
  </si>
  <si>
    <t>4KDM4B3Q</t>
  </si>
  <si>
    <t>4500139232-500</t>
  </si>
  <si>
    <t>取消订单</t>
  </si>
  <si>
    <t>欠客供外箱贴纸</t>
  </si>
  <si>
    <t>日期码格式： 标准格式 日期：按实际生产日期
Packaging Info: 出口加拿大，包装需要至少2/3L UPC版，无硼版本
#9543: MA 3L加UPC贴纸， UPC贴纸跟翻单4500098824。与Amazon US 合并订料；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4.有要求入邮包盒的item，邮包盒上面要打上日期码。
5.按照客户PO# 装柜/箱号顺序装柜，跟单会提前给到装柜计划。在大货生产/仓库存放时，请留意该装柜要求，以便装柜时不混乱（避免装错/装漏/找不到货号等）</t>
  </si>
  <si>
    <t>Agnes Zheng</t>
  </si>
  <si>
    <t>Carlos Federspiel &amp; Cia. - UNIVERSA</t>
  </si>
  <si>
    <t>4500134694-90</t>
  </si>
  <si>
    <t>7/12取消</t>
  </si>
  <si>
    <t>欠进口商贴纸</t>
  </si>
  <si>
    <t>日期码格式：ZURU INC(BVI) 标准格式 日期：按实际生产日期
Packaging Info: 9543GQ1:MA 3L UPC包装+进口商贴纸+箱唛
Remark:</t>
  </si>
  <si>
    <t>4500141223</t>
  </si>
  <si>
    <t>8VX6FHPO</t>
  </si>
  <si>
    <t>4500141223-1640</t>
  </si>
  <si>
    <t>7/31取消订单</t>
  </si>
  <si>
    <t>日期码格式：ZURU INC(BVI) 标准格式 日期：按实际生产日期
Packaging Info: 
#9543: MA 3L 加UPC贴纸，UPC贴纸跟翻单4500098824。A:193052051776, E:193052051806, B:193052051783。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t>
  </si>
  <si>
    <t>4500141501</t>
  </si>
  <si>
    <t>73Z36DSY</t>
  </si>
  <si>
    <t>4500141501-230</t>
  </si>
  <si>
    <t>8/8客户取消</t>
  </si>
  <si>
    <t>日期码格式：ZURU INC(BVI) 标准格式 日期：按实际生产日期
Packaging Info: ZURU MA 1L
8.#9543: MA 加UPC贴纸， UPC贴纸跟翻单4500098824。A:193052051776, B:193052051783,A:193052051776.
Remark: 1.Amazon FOB订单，出口US。
2.日期码使用ZURU标准版本。邮包盒上要打日期码。
3.箱尺寸要求：外箱最长边不能超过25" （超过了，case pack只能为1），不符合要求的大货，一律不接受。
4.外箱箱唛要求：
①外箱正面印ZURU Logo+SSCC Label（客供贴纸，由跟单订购)。关于 SSCC Label 请注意：
SSCC Label 显示的是客人自己的item#。
SSCC Label 必须贴在外箱正面的正中间位置（贴一面即可），并且贴纸离外箱边距必须至少3cm(可以覆盖Logo&lt;(&gt;&amp;&lt;)&gt;箱唛)，否则会影响到客户那边仓库的扫描识
别。
每一张SSCC label 都是唯一且有不同流水及条码的，没有损耗，绝对不可贴错 。如果贴错或损坏任何一张，都会导致全部都错，千万要注意！
②外箱侧面印item#（订单上显示的SKU#)+carton size(以工厂实际尺寸为准,单位: inch) +MADE IN CHINA,日期使用ZURU 标准版本。
5.装柜要求：按照客户PO# 装柜/箱号顺序装柜，跟单会提前给到装柜计划。
在大货生产/仓库存放时，请留意该装柜要求，以便装柜时不混乱（避免装错/装漏/找不到货号等）。</t>
  </si>
  <si>
    <t>2ASLADBL</t>
  </si>
  <si>
    <t>4500141501-240</t>
  </si>
  <si>
    <t>4500139622</t>
  </si>
  <si>
    <t>84ABII4C</t>
  </si>
  <si>
    <t>4500139622-110</t>
  </si>
  <si>
    <t>日期码格式： 标准格式 日期：按实际生产日期
Packaging Info: #9543: MA加UPC贴纸, UPC贴纸跟翻单4500098824. E:193052051806, B:193052051783, D:193052051790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</si>
  <si>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61GTMKLN</t>
  </si>
  <si>
    <t>4500139622-120</t>
  </si>
  <si>
    <t>BIG LOTS STORES, INC</t>
  </si>
  <si>
    <t>4500131695-50</t>
  </si>
  <si>
    <t>客户取消8/14                                                                                                                                                    成品消耗在4500142046</t>
  </si>
  <si>
    <t>价格贴纸翻单4500128302</t>
  </si>
  <si>
    <t>日期码格式：ZURU INC(BVI) 标准格式 日期：按实际生产日期
Packaging Info: 1. MA UPC包装 （首选 1L/多语可以接受）+价格贴纸
Remark: 2. 价格贴纸由跟单提供文档及位置图，由工厂采购，价格贴需用可移贴纸，价格贴需先打样寄给跟单，客户确认贴纸样品后方可生产大货；
3. 工厂需保证所有item的BPA测试结果不超过100ppm，这点很重要，如果不能通过BPA测试将不能安排出货，工厂需保证生产的产品一次性通过BPA测试（可先安排自
测），如因为测试不通过需要重测的，工厂负责重测费用，因测试不通过导致出货延迟的，工厂需承担因延迟出货产生的罚款。
4. 按照规定日期准时交货，否则会有罚款；
5. 产品和包装上印刷ZURU 标准日期码；</t>
  </si>
  <si>
    <t>Camellia Lyu</t>
  </si>
  <si>
    <t>6ICL64VA</t>
  </si>
  <si>
    <t>4500148453-70</t>
  </si>
  <si>
    <t>10/24取消</t>
  </si>
  <si>
    <t>日期码格式：ZURU INC(BVI) 标准格式 日期：按实际生产日期
Packaging Info: 出口加拿大，包装需要至少2/3L UPC版，无硼版本
#9543: MA 3L UPC版本。A:193052051776, B:193052051783, E:193052051806,;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</si>
  <si>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1SPX7AFA</t>
  </si>
  <si>
    <t>4500148453-80</t>
  </si>
  <si>
    <t>4500159461-10</t>
  </si>
  <si>
    <t>转单合并-4500164028</t>
  </si>
  <si>
    <t>3/25-进口商贴纸+EAN条码贴纸</t>
  </si>
  <si>
    <t>日期码格式：外包装/外箱不要打ZURU标准日期码 日期：
Packaging Info: 注意 ：外包装 (指: 收缩膜/彩卡/铝箔袋/挂卡/PDQ) /外箱不要打ZURU标准日期码！胶件可以打日期码。
 9543 : 1L MA 收缩膜+ 进口商贴纸+EAN条码贴纸， MA指南/说明书（如有）；
Remark: 标准配比 ；
 请按期完货， 会有罚金。
 出2个港口Bekasovo 2 和Ural .</t>
  </si>
  <si>
    <t>4500159461-60</t>
  </si>
  <si>
    <t>去Bekasovo 2</t>
  </si>
  <si>
    <t>4500159526-10</t>
  </si>
  <si>
    <r>
      <rPr>
        <sz val="14"/>
        <rFont val="宋体"/>
        <charset val="134"/>
      </rPr>
      <t>日期码格式：外包装/外箱不要打ZURU标准日期码 日期： 
Packaging Info: 注意 ：外包装 (指: 收缩膜/彩卡/铝箔袋/挂卡/PDQ) /外箱不要打ZURU标准日期码！胶件可以打日期码。
 9543 :</t>
    </r>
    <r>
      <rPr>
        <sz val="14"/>
        <color rgb="FFFF0000"/>
        <rFont val="宋体"/>
        <charset val="134"/>
      </rPr>
      <t xml:space="preserve"> 1L MA 收缩膜+ 进口商贴纸翻4500159461+EAN条码贴纸翻4500159461， MA指南/说明书（如有）；</t>
    </r>
    <r>
      <rPr>
        <sz val="14"/>
        <rFont val="宋体"/>
        <charset val="134"/>
      </rPr>
      <t xml:space="preserve">
Remark: 标准配比 ；
 请按期完货， 会有罚金。
 出2个港口Bekasovo 2 和Ural .</t>
    </r>
  </si>
  <si>
    <t>去Ural</t>
  </si>
  <si>
    <t>4500159526-80</t>
  </si>
  <si>
    <t>80M18VIC</t>
  </si>
  <si>
    <t>4500156588-90</t>
  </si>
  <si>
    <t>5/6取消</t>
  </si>
  <si>
    <t>转4500167444</t>
  </si>
  <si>
    <t>3/12-客供外箱贴纸</t>
  </si>
  <si>
    <t>日期码格式：ZURU INC(BVI) 标准格式 日期：按实际生产日期
Packaging Info: 
#9543：MA 1L 加UPC贴纸，UPC贴纸跟翻单4500098824。A:193052051776，B:193052051783。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</si>
  <si>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34SV4ONS</t>
  </si>
  <si>
    <t>4500156588-100</t>
  </si>
  <si>
    <t>3QUJVWNQ</t>
  </si>
  <si>
    <t>4500156588-110</t>
  </si>
  <si>
    <t>6EOFYM3P</t>
  </si>
  <si>
    <t>4500156588-120</t>
  </si>
  <si>
    <t>85HNDESI</t>
  </si>
  <si>
    <t>4500156588-130</t>
  </si>
  <si>
    <t>4500166083-20</t>
  </si>
  <si>
    <t>6/11取消</t>
  </si>
  <si>
    <t>日期码格式：ZURU INC(BVI) 标准格式 日期：
Packaging Info:  1.  MA 1L 包装
  2. 客人指定箱唛排版
Remark: 出货前 Zuru QC 验货</t>
  </si>
  <si>
    <t>4AKPACRA</t>
  </si>
  <si>
    <t>4500168127-40</t>
  </si>
  <si>
    <t>6/16取消</t>
  </si>
  <si>
    <t>欠UPC贴纸+进口商贴纸</t>
  </si>
  <si>
    <t>日期码格式：ZURU INC(BVI) 标准格式 日期：按实际生产日期
Packaging Info:
4. 9543: MA 3L包装加UPC贴纸+进口商贴纸+SSCC label，B：193052051783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t>
  </si>
  <si>
    <t>4500168127-50</t>
  </si>
  <si>
    <t>日期码格式：ZURU INC(BVI) 标准格式 日期：按实际生产日期
Packaging Info:
4. 9543: MA 3L包装加UPC贴纸+进口商贴纸+SSCC label，A：193052051776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t>
  </si>
  <si>
    <t>7DT228PK</t>
  </si>
  <si>
    <t>4500168867-40</t>
  </si>
  <si>
    <t>无物料产生</t>
  </si>
  <si>
    <t>日期码格式：ZURU INC(BVI) 标准格式 日期：按实际生产日期
Packaging Info:
2. 9543: MA 3L包装加UPC贴纸+进口商贴纸翻单PO4500168127+SSCC label，B：193052051783
Remark: 1. 9543：2PCS AAA BATTERIES(NOT INCLUDED)
2. Amazon FOB订单，出口Mexico，外箱最长边不能超过25" （超过了，case pack只能为1），不符合要求的大货，一律不接受。
3.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4. 日期码使用ZURU标准版</t>
  </si>
  <si>
    <t>3UXYV2PC</t>
  </si>
  <si>
    <t>4500169697-60</t>
  </si>
  <si>
    <t>客户取消</t>
  </si>
  <si>
    <t>5CP1BTOR</t>
  </si>
  <si>
    <t>4500169697-110</t>
  </si>
  <si>
    <t>1RPFYRIE</t>
  </si>
  <si>
    <t>4500170130-50</t>
  </si>
  <si>
    <t>客户预计取消</t>
  </si>
  <si>
    <t>24U2MSNY</t>
  </si>
  <si>
    <t>4500170130-70</t>
  </si>
  <si>
    <t>1YI61R4Y</t>
  </si>
  <si>
    <t>4500167361-40</t>
  </si>
  <si>
    <t>4500151414-20</t>
  </si>
  <si>
    <t>7/29取消订单</t>
  </si>
  <si>
    <t>进口商贴纸+ EAN条码贴纸翻4500151398</t>
  </si>
  <si>
    <t>日期码格式：外包装/外箱不要打ZURU标准日期码 日期：
Packaging Info: 注意 ：外包装 (指: 收缩膜/彩卡/铝箔袋/挂卡/PDQ) /外箱不要打ZURU标准日期码！胶件可以打日期码。
9543: 1L MA 收缩膜 or 彩卡 + 进口商贴纸翻4500151398+ EAN条码贴纸翻4500151398，MA 指南 /说明书（如有）；</t>
  </si>
  <si>
    <t>4500151414-110</t>
  </si>
  <si>
    <t>4500159511-10</t>
  </si>
  <si>
    <t>10/14取消</t>
  </si>
  <si>
    <t>全部返工，费用已经收取-4500181762</t>
  </si>
  <si>
    <t>日期码格式：外包装/外箱不要打ZURU标准日期码 日期： 
Packaging Info: 注意 ：外包装 (指: 收缩膜/彩卡/铝箔袋/挂卡/PDQ) /外箱不要打ZURU标准日期码！胶件可以打日期码。
 9543 : 1L MA 收缩膜+ 进口商贴纸翻4500159461+EAN条码贴纸翻4500159461， MA指南/说明书（如有）；
Remark: 标准配比 ；
 请按期完货， 会有罚金。
 出2个港口Bekasovo 2 和Ural .</t>
  </si>
  <si>
    <t>4500159511-90</t>
  </si>
  <si>
    <t>4500151404-20</t>
  </si>
  <si>
    <t>日期码格式：外包装/外箱不要打ZURU标准日期码 日期：
Packaging Info: 注意 ：外包装 (指: 收缩膜/彩卡/铝箔袋/挂卡/PDQ) /外箱不要打ZURU标准日期码！胶件可以打日期码。
9543 : 1L MA 收缩膜 or 彩卡 + 进口商贴纸翻4500151398+ EAN条码贴纸翻4500151398，MA 指南 /说明书（如有）；
Remark: 标准配比
出BEKASOVO 2 和Ural 2 个港口；
货期不可延， 有罚金 。</t>
  </si>
  <si>
    <t xml:space="preserve">        </t>
  </si>
  <si>
    <t>4500151404-110</t>
  </si>
  <si>
    <t>4500184399-60</t>
  </si>
  <si>
    <t>进口商贴纸翻4500158302</t>
  </si>
  <si>
    <t>日期码格式：ZURU INC(BVI) 标准格式 日期：按实际生产日期
Packaging Info: 
5. 9543GQ1：MA 3L UPC包装+MA 3L PDQ包装+MA 多语说明书+进口商贴纸+箱唛，贴纸翻单PO4500158302
Remark: 1.请注意产品包装条形码必须是UPC
2.无第三方验货
8. 9543GQ1：bule/purple/pink/orange =5:6:6:5;2PCS AAA BATTERIES(NOT INCLUDED)</t>
  </si>
  <si>
    <t>PO#2950867080</t>
  </si>
  <si>
    <t>4500177833-10</t>
  </si>
  <si>
    <t>11/4客户取消</t>
  </si>
  <si>
    <t>4500185851消耗成品</t>
  </si>
  <si>
    <t>纸箱+PDQ 滞留</t>
  </si>
  <si>
    <t>8/28收到slip sheet贴纸+WEEE不带电池走货欧洲30语通用黑白说明书</t>
  </si>
  <si>
    <t>日期码格式：ZURU INC(BVI) 标准格式 日期：按实际生产日期
Packaging Info: 9543SLB-S002, MA最新UPC包装+WEEE不带电池走货欧洲30语通用黑白说明书 ，UPC :193052050328，请先检查条码是否正确再安排做货。
Slip sheet: 9543GQ6-S001 8pcs/CTN(Carton Size:24.5x24.5x25.5CM);16*5=80cartons=640pcs/Slip Sheet;一共需要3套slip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</si>
  <si>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4500186834-30</t>
  </si>
  <si>
    <t>5L(PL+HU+CZ+SK+RO)说明书（翻单4500176308）</t>
  </si>
  <si>
    <t>4OAMZ5MH</t>
  </si>
  <si>
    <t>4500195135-250</t>
  </si>
  <si>
    <t>7XWIABXY</t>
  </si>
  <si>
    <t>4500195135-260</t>
  </si>
  <si>
    <t>5AA11OSJ</t>
  </si>
  <si>
    <t>4500195135-270</t>
  </si>
  <si>
    <t>2954EQMV</t>
  </si>
  <si>
    <t>4500194885-320</t>
  </si>
  <si>
    <t>4500193110-50</t>
  </si>
  <si>
    <t>2F3OU83S</t>
  </si>
  <si>
    <t>4500197925-160</t>
  </si>
  <si>
    <t>4/3-取消</t>
  </si>
  <si>
    <t>88BK83VQ</t>
  </si>
  <si>
    <t>4500197925-170</t>
  </si>
  <si>
    <t>3LXGA6EY</t>
  </si>
  <si>
    <t>4500197925-180</t>
  </si>
  <si>
    <t>4500202512-10</t>
  </si>
  <si>
    <t>客户取消6/15</t>
  </si>
  <si>
    <t>成品待消耗</t>
  </si>
  <si>
    <t>贴纸（含IT环保标+西班牙洗涤,贴邮包盒,翻单4500198659)+WEEE_不带电池走货 _说明书欧洲EN+30L_B版；+5/12-外箱贴纸</t>
  </si>
  <si>
    <t>日期码格式：ZURU INC(BVI) 标准格式 日期：按实际生产日期
Packaging Info: Amazon DE :2U1DLVJZ
DE(9543AD)
1. 9543AD:
--9543D:9543D 24pcs/ctn, no inner, purple; 客版邮包盒(UPC#+英法德意西5L警示语+FR/ES/IT环保标+GPSR邮箱care@zuru.com+新FR/DK/UK地址+西班牙洗涤说
明)+1张贴纸（含IT环保标+西班牙洗涤,贴邮包盒,翻单4500198659)+MA 3L（5L warning EAN#）D收缩膜+MA 5L(9L warning) C 说明书+WEEE_不带电池走货 _ 说明
书欧洲EN+30L_B版；
2. 最迟验货不得晚于6/9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</si>
  <si>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8I2TI3BU</t>
  </si>
  <si>
    <t>4500211828-10</t>
  </si>
  <si>
    <t>紫色仓鼠（邮包盒）</t>
  </si>
  <si>
    <t>6/15客户取消</t>
  </si>
  <si>
    <t>贴邮包盒贴纸翻4500198659+WEEE_不带电池走货 _ 说明书欧洲EN+29L_C版+欠外箱贴纸</t>
  </si>
  <si>
    <r>
      <rPr>
        <sz val="12"/>
        <color rgb="FFFF0000"/>
        <rFont val="宋体"/>
        <charset val="134"/>
        <scheme val="minor"/>
      </rPr>
      <t>日期码格式：ZURU INC(BVI) 标准格式</t>
    </r>
    <r>
      <rPr>
        <sz val="10"/>
        <color rgb="FFFF0000"/>
        <rFont val="等线"/>
        <charset val="134"/>
      </rPr>
      <t xml:space="preserve">                  日期</t>
    </r>
    <r>
      <rPr>
        <sz val="10"/>
        <color rgb="FFFF0000"/>
        <rFont val="汉仪书宋二KW"/>
        <charset val="134"/>
      </rPr>
      <t>：</t>
    </r>
    <r>
      <rPr>
        <sz val="10"/>
        <color rgb="FFFF0000"/>
        <rFont val="等线"/>
        <charset val="134"/>
      </rPr>
      <t>按实际生产日期
Packaging Info: Amazon UK:8I2TI3BU/7PTKZ6NS
Amazon DE:4FR81SGO
UK(9543DE/77555)/DE(77876)
1. 9543DE:
--9543D:9543D 24pcs/ctn, no inner, pink; 客版邮包盒(UPC#+英法德意西5L警示语+ES环保标+GPSR邮箱care@zuru.com+新UK地址</t>
    </r>
    <r>
      <rPr>
        <sz val="10"/>
        <color rgb="FFFF0000"/>
        <rFont val="汉仪书宋二KW"/>
        <charset val="134"/>
      </rPr>
      <t>，</t>
    </r>
    <r>
      <rPr>
        <sz val="10"/>
        <color rgb="FFFF0000"/>
        <rFont val="等线"/>
        <charset val="134"/>
      </rPr>
      <t>参考翻单PO#4500202512)+1张
贴纸</t>
    </r>
    <r>
      <rPr>
        <sz val="10"/>
        <color rgb="FFFF0000"/>
        <rFont val="汉仪书宋二KW"/>
        <charset val="134"/>
      </rPr>
      <t>（</t>
    </r>
    <r>
      <rPr>
        <sz val="10"/>
        <color rgb="FFFF0000"/>
        <rFont val="等线"/>
        <charset val="134"/>
      </rPr>
      <t>1张含FR/IT环保标+西班牙洗涤说明</t>
    </r>
    <r>
      <rPr>
        <sz val="10"/>
        <color rgb="FFFF0000"/>
        <rFont val="汉仪书宋二KW"/>
        <charset val="134"/>
      </rPr>
      <t>，</t>
    </r>
    <r>
      <rPr>
        <sz val="10"/>
        <color rgb="FFFF0000"/>
        <rFont val="等线"/>
        <charset val="134"/>
      </rPr>
      <t>贴邮包盒</t>
    </r>
    <r>
      <rPr>
        <sz val="10"/>
        <color rgb="FFFF0000"/>
        <rFont val="汉仪书宋二KW"/>
        <charset val="134"/>
      </rPr>
      <t>，</t>
    </r>
    <r>
      <rPr>
        <sz val="10"/>
        <color rgb="FFFF0000"/>
        <rFont val="等线"/>
        <charset val="134"/>
      </rPr>
      <t>翻单4500198659</t>
    </r>
    <r>
      <rPr>
        <sz val="10"/>
        <color rgb="FFFF0000"/>
        <rFont val="汉仪书宋二KW"/>
        <charset val="134"/>
      </rPr>
      <t>）</t>
    </r>
    <r>
      <rPr>
        <sz val="10"/>
        <color rgb="FFFF0000"/>
        <rFont val="等线"/>
        <charset val="134"/>
      </rPr>
      <t>+MA 3L</t>
    </r>
    <r>
      <rPr>
        <sz val="10"/>
        <color rgb="FFFF0000"/>
        <rFont val="汉仪书宋二KW"/>
        <charset val="134"/>
      </rPr>
      <t>（</t>
    </r>
    <r>
      <rPr>
        <sz val="10"/>
        <color rgb="FFFF0000"/>
        <rFont val="等线"/>
        <charset val="134"/>
      </rPr>
      <t>5L warning EAN#</t>
    </r>
    <r>
      <rPr>
        <sz val="10"/>
        <color rgb="FFFF0000"/>
        <rFont val="汉仪书宋二KW"/>
        <charset val="134"/>
      </rPr>
      <t>）</t>
    </r>
    <r>
      <rPr>
        <sz val="10"/>
        <color rgb="FFFF0000"/>
        <rFont val="等线"/>
        <charset val="134"/>
      </rPr>
      <t>D收缩膜+MA 5L(9L warning) C 说明书+WEEE_不带电池走货
___ 说明书欧洲EN+29L_C版</t>
    </r>
    <r>
      <rPr>
        <sz val="10"/>
        <color rgb="FFFF0000"/>
        <rFont val="汉仪书宋二KW"/>
        <charset val="134"/>
      </rPr>
      <t>；</t>
    </r>
    <r>
      <rPr>
        <sz val="10"/>
        <color rgb="FFFF0000"/>
        <rFont val="等线"/>
        <charset val="134"/>
      </rPr>
      <t xml:space="preserve">
4. 最晚验货时间
Remark: 1.空白外箱</t>
    </r>
    <r>
      <rPr>
        <sz val="10"/>
        <color rgb="FFFF0000"/>
        <rFont val="汉仪书宋二KW"/>
        <charset val="134"/>
      </rPr>
      <t>（</t>
    </r>
    <r>
      <rPr>
        <sz val="10"/>
        <color rgb="FFFF0000"/>
        <rFont val="等线"/>
        <charset val="134"/>
      </rPr>
      <t>加印带Zuru字样的最新logo</t>
    </r>
    <r>
      <rPr>
        <sz val="10"/>
        <color rgb="FFFF0000"/>
        <rFont val="汉仪书宋二KW"/>
        <charset val="134"/>
      </rPr>
      <t>，</t>
    </r>
    <r>
      <rPr>
        <sz val="10"/>
        <color rgb="FFFF0000"/>
        <rFont val="等线"/>
        <charset val="134"/>
      </rPr>
      <t>除了邮包盒直接做外箱的产品</t>
    </r>
    <r>
      <rPr>
        <sz val="10"/>
        <color rgb="FFFF0000"/>
        <rFont val="汉仪书宋二KW"/>
        <charset val="134"/>
      </rPr>
      <t>）</t>
    </r>
    <r>
      <rPr>
        <sz val="10"/>
        <color rgb="FFFF0000"/>
        <rFont val="等线"/>
        <charset val="134"/>
      </rPr>
      <t xml:space="preserve">  + SSCC LABEL一张, 无箱唛</t>
    </r>
    <r>
      <rPr>
        <sz val="10"/>
        <color rgb="FFFF0000"/>
        <rFont val="汉仪书宋二KW"/>
        <charset val="134"/>
      </rPr>
      <t>，</t>
    </r>
    <r>
      <rPr>
        <sz val="10"/>
        <color rgb="FFFF0000"/>
        <rFont val="等线"/>
        <charset val="134"/>
      </rPr>
      <t>MADE IN CHINA 外箱只印一正一侧。箱唛资料按照给定的
标准去做即可</t>
    </r>
    <r>
      <rPr>
        <sz val="10"/>
        <color rgb="FFFF0000"/>
        <rFont val="汉仪书宋二KW"/>
        <charset val="134"/>
      </rPr>
      <t>，</t>
    </r>
    <r>
      <rPr>
        <sz val="10"/>
        <color rgb="FFFF0000"/>
        <rFont val="等线"/>
        <charset val="134"/>
      </rPr>
      <t>无需发回我方再行审批(新标准将另行通知)。
(SSCC LABEL竖贴在外箱正面的正中间</t>
    </r>
    <r>
      <rPr>
        <sz val="10"/>
        <color rgb="FFFF0000"/>
        <rFont val="汉仪书宋二KW"/>
        <charset val="134"/>
      </rPr>
      <t>，</t>
    </r>
    <r>
      <rPr>
        <sz val="10"/>
        <color rgb="FFFF0000"/>
        <rFont val="等线"/>
        <charset val="134"/>
      </rPr>
      <t>贴一面即可,贴纸离外箱边距必须至少3.2CM。如竖贴无法满足要求</t>
    </r>
    <r>
      <rPr>
        <sz val="10"/>
        <color rgb="FFFF0000"/>
        <rFont val="汉仪书宋二KW"/>
        <charset val="134"/>
      </rPr>
      <t>，</t>
    </r>
    <r>
      <rPr>
        <sz val="10"/>
        <color rgb="FFFF0000"/>
        <rFont val="等线"/>
        <charset val="134"/>
      </rPr>
      <t>则横贴。如横贴也无法满足要求</t>
    </r>
    <r>
      <rPr>
        <sz val="10"/>
        <color rgb="FFFF0000"/>
        <rFont val="汉仪书宋二KW"/>
        <charset val="134"/>
      </rPr>
      <t>，</t>
    </r>
    <r>
      <rPr>
        <sz val="10"/>
        <color rgb="FFFF0000"/>
        <rFont val="等线"/>
        <charset val="134"/>
      </rPr>
      <t>则竖贴</t>
    </r>
    <r>
      <rPr>
        <sz val="10"/>
        <color rgb="FFFF0000"/>
        <rFont val="汉仪书宋二KW"/>
        <charset val="134"/>
      </rPr>
      <t>，</t>
    </r>
    <r>
      <rPr>
        <sz val="10"/>
        <color rgb="FFFF0000"/>
        <rFont val="等线"/>
        <charset val="134"/>
      </rPr>
      <t>遮到ZURU lo
go无影响), SSCC贴纸由工厂直接跟勤得采购或者工厂自行采购</t>
    </r>
    <r>
      <rPr>
        <sz val="10"/>
        <color rgb="FFFF0000"/>
        <rFont val="汉仪书宋二KW"/>
        <charset val="134"/>
      </rPr>
      <t>，</t>
    </r>
    <r>
      <rPr>
        <sz val="10"/>
        <color rgb="FFFF0000"/>
        <rFont val="等线"/>
        <charset val="134"/>
      </rPr>
      <t>每一张SSCC Label都是唯一且有不同流水及条码</t>
    </r>
    <r>
      <rPr>
        <sz val="10"/>
        <color rgb="FFFF0000"/>
        <rFont val="汉仪书宋二KW"/>
        <charset val="134"/>
      </rPr>
      <t>，</t>
    </r>
    <r>
      <rPr>
        <sz val="10"/>
        <color rgb="FFFF0000"/>
        <rFont val="等线"/>
        <charset val="134"/>
      </rPr>
      <t>且需要检查条码是否能正常扫描</t>
    </r>
    <r>
      <rPr>
        <sz val="10"/>
        <color rgb="FFFF0000"/>
        <rFont val="汉仪书宋二KW"/>
        <charset val="134"/>
      </rPr>
      <t>，</t>
    </r>
    <r>
      <rPr>
        <sz val="10"/>
        <color rgb="FFFF0000"/>
        <rFont val="等线"/>
        <charset val="134"/>
      </rPr>
      <t>另外</t>
    </r>
    <r>
      <rPr>
        <sz val="10"/>
        <color rgb="FFFF0000"/>
        <rFont val="汉仪书宋二KW"/>
        <charset val="134"/>
      </rPr>
      <t>，</t>
    </r>
    <r>
      <rPr>
        <sz val="10"/>
        <color rgb="FFFF0000"/>
        <rFont val="等线"/>
        <charset val="134"/>
      </rPr>
      <t>此贴纸
印刷不可出现模糊</t>
    </r>
    <r>
      <rPr>
        <sz val="10"/>
        <color rgb="FFFF0000"/>
        <rFont val="汉仪书宋二KW"/>
        <charset val="134"/>
      </rPr>
      <t>，</t>
    </r>
    <r>
      <rPr>
        <sz val="10"/>
        <color rgb="FFFF0000"/>
        <rFont val="等线"/>
        <charset val="134"/>
      </rPr>
      <t>溢出及粘胶不牢易脱落等现象</t>
    </r>
    <r>
      <rPr>
        <sz val="10"/>
        <color rgb="FFFF0000"/>
        <rFont val="汉仪书宋二KW"/>
        <charset val="134"/>
      </rPr>
      <t>，</t>
    </r>
    <r>
      <rPr>
        <sz val="10"/>
        <color rgb="FFFF0000"/>
        <rFont val="等线"/>
        <charset val="134"/>
      </rPr>
      <t>如工厂不按此要求导致贴纸有任何问题产生的罚款将由工厂承担一切责任 ,&lt;(&gt;,&lt;)&gt; 此要求只适用Amazon UK/DE
/FR/ES/IT,不适用Amazon GPE</t>
    </r>
    <r>
      <rPr>
        <sz val="10"/>
        <color rgb="FFFF0000"/>
        <rFont val="汉仪书宋二KW"/>
        <charset val="134"/>
      </rPr>
      <t>，</t>
    </r>
    <r>
      <rPr>
        <sz val="10"/>
        <color rgb="FFFF0000"/>
        <rFont val="等线"/>
        <charset val="134"/>
      </rPr>
      <t>Amazon GPE无SSCC label, 但是有对应箱唛</t>
    </r>
    <r>
      <rPr>
        <sz val="10"/>
        <color rgb="FFFF0000"/>
        <rFont val="汉仪书宋二KW"/>
        <charset val="134"/>
      </rPr>
      <t>，</t>
    </r>
    <r>
      <rPr>
        <sz val="10"/>
        <color rgb="FFFF0000"/>
        <rFont val="等线"/>
        <charset val="134"/>
      </rPr>
      <t xml:space="preserve">需印刷到外箱 。
2.出往UK的产品+包装务必打上UKCA logo </t>
    </r>
    <r>
      <rPr>
        <sz val="10"/>
        <color rgb="FFFF0000"/>
        <rFont val="汉仪书宋二KW"/>
        <charset val="134"/>
      </rPr>
      <t>，</t>
    </r>
    <r>
      <rPr>
        <sz val="10"/>
        <color rgb="FFFF0000"/>
        <rFont val="等线"/>
        <charset val="134"/>
      </rPr>
      <t>否则客人会退货且当地会有罚款。Amazon GPE</t>
    </r>
    <r>
      <rPr>
        <sz val="10"/>
        <color rgb="FFFF0000"/>
        <rFont val="汉仪书宋二KW"/>
        <charset val="134"/>
      </rPr>
      <t>（</t>
    </r>
    <r>
      <rPr>
        <sz val="10"/>
        <color rgb="FFFF0000"/>
        <rFont val="等线"/>
        <charset val="134"/>
      </rPr>
      <t>包含UK/FR/ES/DE/IT</t>
    </r>
    <r>
      <rPr>
        <sz val="10"/>
        <color rgb="FFFF0000"/>
        <rFont val="汉仪书宋二KW"/>
        <charset val="134"/>
      </rPr>
      <t>）</t>
    </r>
    <r>
      <rPr>
        <sz val="10"/>
        <color rgb="FFFF0000"/>
        <rFont val="等线"/>
        <charset val="134"/>
      </rPr>
      <t>的订单也需满足此要求。
3.订单必须经过ZURU QC验货或者工厂自检通过后方可出货</t>
    </r>
    <r>
      <rPr>
        <sz val="10"/>
        <color rgb="FFFF0000"/>
        <rFont val="汉仪书宋二KW"/>
        <charset val="134"/>
      </rPr>
      <t>，</t>
    </r>
    <r>
      <rPr>
        <sz val="10"/>
        <color rgb="FFFF0000"/>
        <rFont val="等线"/>
        <charset val="134"/>
      </rPr>
      <t>不涉及第三方验货。
4.法国订单要求包装不使用矿物油</t>
    </r>
    <r>
      <rPr>
        <sz val="10"/>
        <color rgb="FFFF0000"/>
        <rFont val="汉仪书宋二KW"/>
        <charset val="134"/>
      </rPr>
      <t>，</t>
    </r>
    <r>
      <rPr>
        <sz val="10"/>
        <color rgb="FFFF0000"/>
        <rFont val="等线"/>
        <charset val="134"/>
      </rPr>
      <t xml:space="preserve">请按要求提供以下其中一份文件再出货 </t>
    </r>
    <r>
      <rPr>
        <sz val="10"/>
        <color rgb="FFFF0000"/>
        <rFont val="汉仪书宋二KW"/>
        <charset val="134"/>
      </rPr>
      <t>，</t>
    </r>
    <r>
      <rPr>
        <sz val="10"/>
        <color rgb="FFFF0000"/>
        <rFont val="等线"/>
        <charset val="134"/>
      </rPr>
      <t>产品出到法国被相关部门抽检出现包装不符合此要求的</t>
    </r>
    <r>
      <rPr>
        <sz val="10"/>
        <color rgb="FFFF0000"/>
        <rFont val="汉仪书宋二KW"/>
        <charset val="134"/>
      </rPr>
      <t>，</t>
    </r>
    <r>
      <rPr>
        <sz val="10"/>
        <color rgb="FFFF0000"/>
        <rFont val="等线"/>
        <charset val="134"/>
      </rPr>
      <t>供应商需要为此承担责任</t>
    </r>
    <r>
      <rPr>
        <sz val="10"/>
        <color rgb="FFFF0000"/>
        <rFont val="汉仪书宋二KW"/>
        <charset val="134"/>
      </rPr>
      <t>，</t>
    </r>
    <r>
      <rPr>
        <sz val="10"/>
        <color rgb="FFFF0000"/>
        <rFont val="等线"/>
        <charset val="134"/>
      </rPr>
      <t xml:space="preserve">
故此请严格把关。Amazon~ GPE</t>
    </r>
    <r>
      <rPr>
        <sz val="10"/>
        <color rgb="FFFF0000"/>
        <rFont val="汉仪书宋二KW"/>
        <charset val="134"/>
      </rPr>
      <t>（</t>
    </r>
    <r>
      <rPr>
        <sz val="10"/>
        <color rgb="FFFF0000"/>
        <rFont val="等线"/>
        <charset val="134"/>
      </rPr>
      <t>包含UK/FR/ES/DE/IT</t>
    </r>
    <r>
      <rPr>
        <sz val="10"/>
        <color rgb="FFFF0000"/>
        <rFont val="汉仪书宋二KW"/>
        <charset val="134"/>
      </rPr>
      <t>）</t>
    </r>
    <r>
      <rPr>
        <sz val="10"/>
        <color rgb="FFFF0000"/>
        <rFont val="等线"/>
        <charset val="134"/>
      </rPr>
      <t>的订单也需满足此要求。
-油墨物质""""""""由1   7个芳香环组成的MOAH""""""""的包装检测报告</t>
    </r>
    <r>
      <rPr>
        <sz val="10"/>
        <color rgb="FFFF0000"/>
        <rFont val="汉仪书宋二KW"/>
        <charset val="134"/>
      </rPr>
      <t>，</t>
    </r>
    <r>
      <rPr>
        <sz val="10"/>
        <color rgb="FFFF0000"/>
        <rFont val="等线"/>
        <charset val="134"/>
      </rPr>
      <t>要求限值≤1.0%</t>
    </r>
    <r>
      <rPr>
        <sz val="10"/>
        <color rgb="FFFF0000"/>
        <rFont val="汉仪书宋二KW"/>
        <charset val="134"/>
      </rPr>
      <t>；</t>
    </r>
    <r>
      <rPr>
        <sz val="10"/>
        <color rgb="FFFF0000"/>
        <rFont val="等线"/>
        <charset val="134"/>
      </rPr>
      <t xml:space="preserve">
 -包装材料清单</t>
    </r>
    <r>
      <rPr>
        <sz val="10"/>
        <color rgb="FFFF0000"/>
        <rFont val="汉仪书宋二KW"/>
        <charset val="134"/>
      </rPr>
      <t>，</t>
    </r>
    <r>
      <rPr>
        <sz val="10"/>
        <color rgb="FFFF0000"/>
        <rFont val="等线"/>
        <charset val="134"/>
      </rPr>
      <t>包括包装油墨或物质的信息</t>
    </r>
    <r>
      <rPr>
        <sz val="10"/>
        <color rgb="FFFF0000"/>
        <rFont val="汉仪书宋二KW"/>
        <charset val="134"/>
      </rPr>
      <t>；</t>
    </r>
    <r>
      <rPr>
        <sz val="10"/>
        <color rgb="FFFF0000"/>
        <rFont val="等线"/>
        <charset val="134"/>
      </rPr>
      <t xml:space="preserve">
 -油墨制造商的证书</t>
    </r>
    <r>
      <rPr>
        <sz val="10"/>
        <color rgb="FFFF0000"/>
        <rFont val="汉仪书宋二KW"/>
        <charset val="134"/>
      </rPr>
      <t>；</t>
    </r>
    <r>
      <rPr>
        <sz val="10"/>
        <color rgb="FFFF0000"/>
        <rFont val="等线"/>
        <charset val="134"/>
      </rPr>
      <t xml:space="preserve">
5.每一批次出货只能有一个生产日期</t>
    </r>
    <r>
      <rPr>
        <sz val="10"/>
        <color rgb="FFFF0000"/>
        <rFont val="汉仪书宋二KW"/>
        <charset val="134"/>
      </rPr>
      <t>，</t>
    </r>
    <r>
      <rPr>
        <sz val="10"/>
        <color rgb="FFFF0000"/>
        <rFont val="等线"/>
        <charset val="134"/>
      </rPr>
      <t>不可多个生产日期混在同一批次出货</t>
    </r>
    <r>
      <rPr>
        <sz val="10"/>
        <color rgb="FFFF0000"/>
        <rFont val="汉仪书宋二KW"/>
        <charset val="134"/>
      </rPr>
      <t>；</t>
    </r>
    <r>
      <rPr>
        <sz val="10"/>
        <color rgb="FFFF0000"/>
        <rFont val="等线"/>
        <charset val="134"/>
      </rPr>
      <t>且零售包装上必须统一加上日期码</t>
    </r>
    <r>
      <rPr>
        <sz val="10"/>
        <color rgb="FFFF0000"/>
        <rFont val="汉仪书宋二KW"/>
        <charset val="134"/>
      </rPr>
      <t>；</t>
    </r>
    <r>
      <rPr>
        <sz val="10"/>
        <color rgb="FFFF0000"/>
        <rFont val="等线"/>
        <charset val="134"/>
      </rPr>
      <t>外箱对于日期码没有硬性规定</t>
    </r>
    <r>
      <rPr>
        <sz val="10"/>
        <color rgb="FFFF0000"/>
        <rFont val="汉仪书宋二KW"/>
        <charset val="134"/>
      </rPr>
      <t>；</t>
    </r>
    <r>
      <rPr>
        <sz val="10"/>
        <color rgb="FFFF0000"/>
        <rFont val="等线"/>
        <charset val="134"/>
      </rPr>
      <t xml:space="preserve">
6.涉及到相关款式会有闪粉的或者微塑料的</t>
    </r>
    <r>
      <rPr>
        <sz val="10"/>
        <color rgb="FFFF0000"/>
        <rFont val="汉仪书宋二KW"/>
        <charset val="134"/>
      </rPr>
      <t>，</t>
    </r>
    <r>
      <rPr>
        <sz val="10"/>
        <color rgb="FFFF0000"/>
        <rFont val="等线"/>
        <charset val="134"/>
      </rPr>
      <t>请统一默认出无闪粉或者不含微塑料版本</t>
    </r>
    <r>
      <rPr>
        <sz val="10"/>
        <color rgb="FFFF0000"/>
        <rFont val="汉仪书宋二KW"/>
        <charset val="134"/>
      </rPr>
      <t>；</t>
    </r>
    <r>
      <rPr>
        <sz val="10"/>
        <color rgb="FFFF0000"/>
        <rFont val="等线"/>
        <charset val="134"/>
      </rPr>
      <t xml:space="preserve">
7.邮包盒及外箱封箱必须是工字型封箱方式</t>
    </r>
    <r>
      <rPr>
        <sz val="10"/>
        <color rgb="FFFF0000"/>
        <rFont val="汉仪书宋二KW"/>
        <charset val="134"/>
      </rPr>
      <t>；</t>
    </r>
    <r>
      <rPr>
        <sz val="10"/>
        <color rgb="FFFF0000"/>
        <rFont val="等线"/>
        <charset val="134"/>
      </rPr>
      <t xml:space="preserve">
 8.5 Surprise or Mini Brands涉及包装是2个及2个以上的球入PVC桶包装时</t>
    </r>
    <r>
      <rPr>
        <sz val="10"/>
        <color rgb="FFFF0000"/>
        <rFont val="汉仪书宋二KW"/>
        <charset val="134"/>
      </rPr>
      <t>，</t>
    </r>
    <r>
      <rPr>
        <sz val="10"/>
        <color rgb="FFFF0000"/>
        <rFont val="等线"/>
        <charset val="134"/>
      </rPr>
      <t>单个球上若有UPC#或者EAN#</t>
    </r>
    <r>
      <rPr>
        <sz val="10"/>
        <color rgb="FFFF0000"/>
        <rFont val="汉仪书宋二KW"/>
        <charset val="134"/>
      </rPr>
      <t>，</t>
    </r>
    <r>
      <rPr>
        <sz val="10"/>
        <color rgb="FFFF0000"/>
        <rFont val="等线"/>
        <charset val="134"/>
      </rPr>
      <t>请用空白贴纸覆盖住</t>
    </r>
    <r>
      <rPr>
        <sz val="10"/>
        <color rgb="FFFF0000"/>
        <rFont val="汉仪书宋二KW"/>
        <charset val="134"/>
      </rPr>
      <t>，</t>
    </r>
    <r>
      <rPr>
        <sz val="10"/>
        <color rgb="FFFF0000"/>
        <rFont val="等线"/>
        <charset val="134"/>
      </rPr>
      <t>贴纸尺寸自行测量能覆盖原条码即
可</t>
    </r>
    <r>
      <rPr>
        <sz val="10"/>
        <color rgb="FFFF0000"/>
        <rFont val="汉仪书宋二KW"/>
        <charset val="134"/>
      </rPr>
      <t>；</t>
    </r>
    <r>
      <rPr>
        <sz val="10"/>
        <color rgb="FFFF0000"/>
        <rFont val="等线"/>
        <charset val="134"/>
      </rPr>
      <t xml:space="preserve">
 9. 无论是工厂自检还是ZURU验货</t>
    </r>
    <r>
      <rPr>
        <sz val="10"/>
        <color rgb="FFFF0000"/>
        <rFont val="汉仪书宋二KW"/>
        <charset val="134"/>
      </rPr>
      <t>，</t>
    </r>
    <r>
      <rPr>
        <sz val="10"/>
        <color rgb="FFFF0000"/>
        <rFont val="等线"/>
        <charset val="134"/>
      </rPr>
      <t>验货报告中必须有产品6面图(正面/背面/左面/右面/顶部/底部</t>
    </r>
    <r>
      <rPr>
        <sz val="10"/>
        <color rgb="FFFF0000"/>
        <rFont val="汉仪书宋二KW"/>
        <charset val="134"/>
      </rPr>
      <t>，</t>
    </r>
    <r>
      <rPr>
        <sz val="10"/>
        <color rgb="FFFF0000"/>
        <rFont val="等线"/>
        <charset val="134"/>
      </rPr>
      <t>不带包装);
 10. 按空海运鉴定报告的要求</t>
    </r>
    <r>
      <rPr>
        <sz val="10"/>
        <color rgb="FFFF0000"/>
        <rFont val="汉仪书宋二KW"/>
        <charset val="134"/>
      </rPr>
      <t>，</t>
    </r>
    <r>
      <rPr>
        <sz val="10"/>
        <color rgb="FFFF0000"/>
        <rFont val="等线"/>
        <charset val="134"/>
      </rPr>
      <t>只要带锂电池出货</t>
    </r>
    <r>
      <rPr>
        <sz val="10"/>
        <color rgb="FFFF0000"/>
        <rFont val="汉仪书宋二KW"/>
        <charset val="134"/>
      </rPr>
      <t>，</t>
    </r>
    <r>
      <rPr>
        <sz val="10"/>
        <color rgb="FFFF0000"/>
        <rFont val="等线"/>
        <charset val="134"/>
      </rPr>
      <t>都需要加贴UN贴纸</t>
    </r>
    <r>
      <rPr>
        <sz val="10"/>
        <color rgb="FFFF0000"/>
        <rFont val="汉仪书宋二KW"/>
        <charset val="134"/>
      </rPr>
      <t>；</t>
    </r>
    <r>
      <rPr>
        <sz val="10"/>
        <color rgb="FFFF0000"/>
        <rFont val="等线"/>
        <charset val="134"/>
      </rPr>
      <t xml:space="preserve">
11. 所有出往GAS市场(德国/奥地利/瑞士)的电子产品身上需要加字唛</t>
    </r>
    <r>
      <rPr>
        <sz val="10"/>
        <color rgb="FFFF0000"/>
        <rFont val="汉仪书宋二KW"/>
        <charset val="134"/>
      </rPr>
      <t>，</t>
    </r>
    <r>
      <rPr>
        <sz val="10"/>
        <color rgb="FFFF0000"/>
        <rFont val="等线"/>
        <charset val="134"/>
      </rPr>
      <t>为ZURU FRANCE 地址</t>
    </r>
    <r>
      <rPr>
        <sz val="10"/>
        <color rgb="FFFF0000"/>
        <rFont val="汉仪书宋二KW"/>
        <charset val="134"/>
      </rPr>
      <t>，</t>
    </r>
    <r>
      <rPr>
        <sz val="10"/>
        <color rgb="FFFF0000"/>
        <rFont val="等线"/>
        <charset val="134"/>
      </rPr>
      <t>需跟包装上的地址一致 (如无电子产品</t>
    </r>
    <r>
      <rPr>
        <sz val="10"/>
        <color rgb="FFFF0000"/>
        <rFont val="汉仪书宋二KW"/>
        <charset val="134"/>
      </rPr>
      <t>，</t>
    </r>
    <r>
      <rPr>
        <sz val="10"/>
        <color rgb="FFFF0000"/>
        <rFont val="等线"/>
        <charset val="134"/>
      </rPr>
      <t>产品布标有此地址</t>
    </r>
    <r>
      <rPr>
        <sz val="10"/>
        <color rgb="FFFF0000"/>
        <rFont val="汉仪书宋二KW"/>
        <charset val="134"/>
      </rPr>
      <t>，</t>
    </r>
    <r>
      <rPr>
        <sz val="10"/>
        <color rgb="FFFF0000"/>
        <rFont val="等线"/>
        <charset val="134"/>
      </rPr>
      <t>或产品
太小无法增加可忽略此信息。如产品无法加字唛</t>
    </r>
    <r>
      <rPr>
        <sz val="10"/>
        <color rgb="FFFF0000"/>
        <rFont val="汉仪书宋二KW"/>
        <charset val="134"/>
      </rPr>
      <t>，</t>
    </r>
    <r>
      <rPr>
        <sz val="10"/>
        <color rgb="FFFF0000"/>
        <rFont val="等线"/>
        <charset val="134"/>
      </rPr>
      <t>需让对应跟单提供产品贴纸资料);</t>
    </r>
    <r>
      <rPr>
        <sz val="10"/>
        <color rgb="FFFF0000"/>
        <rFont val="汉仪书宋二KW"/>
        <charset val="134"/>
      </rPr>
      <t>（</t>
    </r>
    <r>
      <rPr>
        <sz val="10"/>
        <color rgb="FFFF0000"/>
        <rFont val="等线"/>
        <charset val="134"/>
      </rPr>
      <t>Amazon GPE的订单也需满足此要求</t>
    </r>
    <r>
      <rPr>
        <sz val="10"/>
        <color rgb="FFFF0000"/>
        <rFont val="汉仪书宋二KW"/>
        <charset val="134"/>
      </rPr>
      <t>）</t>
    </r>
    <r>
      <rPr>
        <sz val="10"/>
        <color rgb="FFFF0000"/>
        <rFont val="等线"/>
        <charset val="134"/>
      </rPr>
      <t xml:space="preserve">
 12. 所有出往GAS德国 (瑞士</t>
    </r>
    <r>
      <rPr>
        <sz val="10"/>
        <color rgb="FFFF0000"/>
        <rFont val="汉仪书宋二KW"/>
        <charset val="134"/>
      </rPr>
      <t>，</t>
    </r>
    <r>
      <rPr>
        <sz val="10"/>
        <color rgb="FFFF0000"/>
        <rFont val="等线"/>
        <charset val="134"/>
      </rPr>
      <t>奥地利)。水弹枪系列必须使用EN71版本</t>
    </r>
    <r>
      <rPr>
        <sz val="10"/>
        <color rgb="FFFF0000"/>
        <rFont val="汉仪书宋二KW"/>
        <charset val="134"/>
      </rPr>
      <t>（</t>
    </r>
    <r>
      <rPr>
        <sz val="10"/>
        <color rgb="FFFF0000"/>
        <rFont val="等线"/>
        <charset val="134"/>
      </rPr>
      <t>电子和非电子水弹枪系列都需要符合); 护目镜需打日期码, 格式跟ZURU标准格式一样; 枪
身上增加ZURU FRANCE公司名和地址。使用贴纸和辐射上去都可以。如果有位置</t>
    </r>
    <r>
      <rPr>
        <sz val="10"/>
        <color rgb="FFFF0000"/>
        <rFont val="汉仪书宋二KW"/>
        <charset val="134"/>
      </rPr>
      <t>，</t>
    </r>
    <r>
      <rPr>
        <sz val="10"/>
        <color rgb="FFFF0000"/>
        <rFont val="等线"/>
        <charset val="134"/>
      </rPr>
      <t>最好增加ZURU Represented by: (此最好翻译德语</t>
    </r>
    <r>
      <rPr>
        <sz val="10"/>
        <color rgb="FFFF0000"/>
        <rFont val="汉仪书宋二KW"/>
        <charset val="134"/>
      </rPr>
      <t>，</t>
    </r>
    <r>
      <rPr>
        <sz val="10"/>
        <color rgb="FFFF0000"/>
        <rFont val="等线"/>
        <charset val="134"/>
      </rPr>
      <t>如果位置不允许</t>
    </r>
    <r>
      <rPr>
        <sz val="10"/>
        <color rgb="FFFF0000"/>
        <rFont val="汉仪书宋二KW"/>
        <charset val="134"/>
      </rPr>
      <t>，</t>
    </r>
    <r>
      <rPr>
        <sz val="10"/>
        <color rgb="FFFF0000"/>
        <rFont val="等线"/>
        <charset val="134"/>
      </rPr>
      <t>那么就只增
加ZURU法国和地址)。使用最新的EN71版包装和说明书</t>
    </r>
    <r>
      <rPr>
        <sz val="10"/>
        <color rgb="FFFF0000"/>
        <rFont val="汉仪书宋二KW"/>
        <charset val="134"/>
      </rPr>
      <t>）</t>
    </r>
    <r>
      <rPr>
        <sz val="10"/>
        <color rgb="FFFF0000"/>
        <rFont val="等线"/>
        <charset val="134"/>
      </rPr>
      <t>。Amazon GPE</t>
    </r>
    <r>
      <rPr>
        <sz val="10"/>
        <color rgb="FFFF0000"/>
        <rFont val="汉仪书宋二KW"/>
        <charset val="134"/>
      </rPr>
      <t>（</t>
    </r>
    <r>
      <rPr>
        <sz val="10"/>
        <color rgb="FFFF0000"/>
        <rFont val="等线"/>
        <charset val="134"/>
      </rPr>
      <t>包含UK/FR/ES/DE/IT</t>
    </r>
    <r>
      <rPr>
        <sz val="10"/>
        <color rgb="FFFF0000"/>
        <rFont val="汉仪书宋二KW"/>
        <charset val="134"/>
      </rPr>
      <t>）</t>
    </r>
    <r>
      <rPr>
        <sz val="10"/>
        <color rgb="FFFF0000"/>
        <rFont val="等线"/>
        <charset val="134"/>
      </rPr>
      <t>的订单也需满足此要求。</t>
    </r>
  </si>
  <si>
    <t>月份</t>
  </si>
  <si>
    <t>实单</t>
  </si>
  <si>
    <t>询单</t>
  </si>
</sst>
</file>

<file path=xl/styles.xml><?xml version="1.0" encoding="utf-8"?>
<styleSheet xmlns="http://schemas.openxmlformats.org/spreadsheetml/2006/main" xmlns:mc="http://schemas.openxmlformats.org/markup-compatibility/2006" xmlns:xr9="http://schemas.microsoft.com/office/spreadsheetml/2016/revision9" mc:Ignorable="xr9">
  <numFmts count="2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yyyy/m/d;@"/>
    <numFmt numFmtId="178" formatCode="m/d;@"/>
    <numFmt numFmtId="179" formatCode="yyyy/mm/dd\ aaaa\ "/>
    <numFmt numFmtId="180" formatCode="yyyy/m/d&quot;周&quot;aaa"/>
    <numFmt numFmtId="181" formatCode="0.0000_ "/>
    <numFmt numFmtId="182" formatCode="&quot;US$&quot;#,##0_);[Red]\(&quot;US$&quot;#,##0\)"/>
    <numFmt numFmtId="183" formatCode="0_ "/>
    <numFmt numFmtId="184" formatCode="0.00##"/>
    <numFmt numFmtId="185" formatCode="yyyy&quot;年&quot;m&quot;月&quot;d&quot;日&quot;;@"/>
    <numFmt numFmtId="186" formatCode="0_ ;[Red]\-0\ "/>
    <numFmt numFmtId="187" formatCode="_ * #,##0_ ;_ * \-#,##0_ ;_ * &quot;-&quot;??_ ;_ @_ "/>
    <numFmt numFmtId="188" formatCode="#,##0_);[Red]\(#,##0\)"/>
    <numFmt numFmtId="189" formatCode="m&quot;月&quot;d&quot;日&quot;;@"/>
    <numFmt numFmtId="190" formatCode="[$-409]d/mmm/yy;@"/>
    <numFmt numFmtId="191" formatCode="0.00_);[Red]\(0.00\)"/>
  </numFmts>
  <fonts count="160">
    <font>
      <sz val="12"/>
      <name val="宋体"/>
      <charset val="134"/>
    </font>
    <font>
      <sz val="11"/>
      <color theme="1"/>
      <name val="宋体"/>
      <charset val="134"/>
      <scheme val="minor"/>
    </font>
    <font>
      <b/>
      <sz val="11"/>
      <color theme="1"/>
      <name val="宋体"/>
      <charset val="134"/>
      <scheme val="minor"/>
    </font>
    <font>
      <sz val="12"/>
      <name val="宋体"/>
      <charset val="0"/>
    </font>
    <font>
      <sz val="14"/>
      <name val="宋体"/>
      <charset val="134"/>
    </font>
    <font>
      <sz val="14"/>
      <color rgb="FFFF0000"/>
      <name val="宋体"/>
      <charset val="134"/>
    </font>
    <font>
      <sz val="12"/>
      <color rgb="FFFF0000"/>
      <name val="宋体"/>
      <charset val="134"/>
      <scheme val="minor"/>
    </font>
    <font>
      <sz val="12"/>
      <name val="宋体"/>
      <charset val="134"/>
      <scheme val="minor"/>
    </font>
    <font>
      <b/>
      <sz val="12"/>
      <name val="宋体"/>
      <charset val="0"/>
    </font>
    <font>
      <b/>
      <sz val="16"/>
      <name val="宋体"/>
      <charset val="0"/>
    </font>
    <font>
      <b/>
      <sz val="16"/>
      <name val="宋体"/>
      <charset val="134"/>
    </font>
    <font>
      <b/>
      <sz val="16"/>
      <color rgb="FFFF0000"/>
      <name val="宋体"/>
      <charset val="134"/>
    </font>
    <font>
      <b/>
      <sz val="16"/>
      <color indexed="39"/>
      <name val="宋体"/>
      <charset val="134"/>
    </font>
    <font>
      <b/>
      <sz val="16"/>
      <color rgb="FFF7241F"/>
      <name val="宋体"/>
      <charset val="134"/>
    </font>
    <font>
      <sz val="16"/>
      <name val="宋体"/>
      <charset val="0"/>
    </font>
    <font>
      <sz val="12"/>
      <color rgb="FFFF0000"/>
      <name val="宋体"/>
      <charset val="134"/>
    </font>
    <font>
      <sz val="14"/>
      <name val="宋体"/>
      <charset val="0"/>
    </font>
    <font>
      <b/>
      <sz val="14"/>
      <name val="宋体"/>
      <charset val="0"/>
    </font>
    <font>
      <sz val="14"/>
      <color rgb="FFFF0000"/>
      <name val="宋体"/>
      <charset val="0"/>
      <scheme val="minor"/>
    </font>
    <font>
      <sz val="14"/>
      <color rgb="FFFF0000"/>
      <name val="宋体"/>
      <charset val="134"/>
      <scheme val="minor"/>
    </font>
    <font>
      <sz val="14"/>
      <color rgb="FFFF0000"/>
      <name val="宋体"/>
      <charset val="0"/>
    </font>
    <font>
      <sz val="14"/>
      <color rgb="FF0000FF"/>
      <name val="宋体"/>
      <charset val="0"/>
    </font>
    <font>
      <b/>
      <sz val="14"/>
      <color rgb="FFFF0000"/>
      <name val="宋体"/>
      <charset val="0"/>
    </font>
    <font>
      <b/>
      <sz val="14"/>
      <color rgb="FF0000FF"/>
      <name val="宋体"/>
      <charset val="0"/>
    </font>
    <font>
      <sz val="12"/>
      <color rgb="FFFF0000"/>
      <name val="宋体"/>
      <charset val="0"/>
      <scheme val="minor"/>
    </font>
    <font>
      <sz val="12"/>
      <color rgb="FF0000FF"/>
      <name val="宋体"/>
      <charset val="0"/>
      <scheme val="minor"/>
    </font>
    <font>
      <b/>
      <sz val="12"/>
      <color rgb="FFFF0000"/>
      <name val="宋体"/>
      <charset val="0"/>
      <scheme val="minor"/>
    </font>
    <font>
      <b/>
      <sz val="12"/>
      <color rgb="FF0000FF"/>
      <name val="宋体"/>
      <charset val="0"/>
      <scheme val="minor"/>
    </font>
    <font>
      <sz val="12"/>
      <name val="宋体"/>
      <charset val="0"/>
      <scheme val="minor"/>
    </font>
    <font>
      <sz val="14"/>
      <name val="宋体"/>
      <charset val="0"/>
      <scheme val="minor"/>
    </font>
    <font>
      <b/>
      <sz val="12"/>
      <name val="宋体"/>
      <charset val="0"/>
      <scheme val="minor"/>
    </font>
    <font>
      <sz val="12"/>
      <color rgb="FFF7241F"/>
      <name val="宋体"/>
      <charset val="0"/>
      <scheme val="minor"/>
    </font>
    <font>
      <sz val="11"/>
      <color rgb="FFFF0000"/>
      <name val="宋体"/>
      <charset val="134"/>
    </font>
    <font>
      <sz val="12"/>
      <color rgb="FFFF0000"/>
      <name val="宋体"/>
      <charset val="0"/>
    </font>
    <font>
      <sz val="12"/>
      <color rgb="FF0000FF"/>
      <name val="宋体"/>
      <charset val="134"/>
      <scheme val="minor"/>
    </font>
    <font>
      <sz val="12"/>
      <color rgb="FF0E2EF0"/>
      <name val="宋体"/>
      <charset val="0"/>
      <scheme val="minor"/>
    </font>
    <font>
      <sz val="11"/>
      <name val="Arial"/>
      <charset val="0"/>
    </font>
    <font>
      <sz val="11"/>
      <color rgb="FF000000"/>
      <name val="Arial"/>
      <charset val="0"/>
    </font>
    <font>
      <b/>
      <sz val="14"/>
      <name val="Arial"/>
      <charset val="0"/>
    </font>
    <font>
      <sz val="11"/>
      <name val="宋体"/>
      <charset val="134"/>
    </font>
    <font>
      <b/>
      <sz val="14"/>
      <name val="等线"/>
      <charset val="134"/>
    </font>
    <font>
      <b/>
      <sz val="14"/>
      <color rgb="FFF7241F"/>
      <name val="等线"/>
      <charset val="134"/>
    </font>
    <font>
      <sz val="11"/>
      <name val="宋体"/>
      <charset val="0"/>
    </font>
    <font>
      <sz val="11"/>
      <color rgb="FFFF0000"/>
      <name val="宋体"/>
      <charset val="0"/>
    </font>
    <font>
      <sz val="11"/>
      <color rgb="FFFF0000"/>
      <name val="Arial"/>
      <charset val="0"/>
    </font>
    <font>
      <b/>
      <sz val="11"/>
      <color rgb="FFFF0000"/>
      <name val="宋体"/>
      <charset val="0"/>
    </font>
    <font>
      <b/>
      <sz val="11"/>
      <color rgb="FF000000"/>
      <name val="宋体"/>
      <charset val="0"/>
    </font>
    <font>
      <b/>
      <sz val="12"/>
      <name val="宋体"/>
      <charset val="134"/>
    </font>
    <font>
      <sz val="12"/>
      <name val="Arial"/>
      <charset val="0"/>
    </font>
    <font>
      <sz val="12"/>
      <name val="Calibri"/>
      <charset val="0"/>
    </font>
    <font>
      <sz val="12"/>
      <name val="Calibri"/>
      <charset val="134"/>
    </font>
    <font>
      <sz val="12"/>
      <name val="Arial"/>
      <charset val="134"/>
    </font>
    <font>
      <sz val="10"/>
      <name val="Calibri"/>
      <charset val="134"/>
    </font>
    <font>
      <sz val="10"/>
      <name val="宋体"/>
      <charset val="134"/>
    </font>
    <font>
      <sz val="12"/>
      <color rgb="FFFF0000"/>
      <name val="Calibri"/>
      <charset val="134"/>
    </font>
    <font>
      <sz val="12"/>
      <color rgb="FFFF0000"/>
      <name val="Arial"/>
      <charset val="134"/>
    </font>
    <font>
      <sz val="12"/>
      <color rgb="FFFF0000"/>
      <name val="Arial"/>
      <charset val="0"/>
    </font>
    <font>
      <sz val="10"/>
      <color rgb="FFFF0000"/>
      <name val="Calibri"/>
      <charset val="134"/>
    </font>
    <font>
      <sz val="10"/>
      <color theme="1"/>
      <name val="Times New Roman"/>
      <charset val="134"/>
    </font>
    <font>
      <sz val="10"/>
      <name val="Times New Roman"/>
      <charset val="134"/>
    </font>
    <font>
      <sz val="12"/>
      <color rgb="FF000000"/>
      <name val="Calibri"/>
      <charset val="134"/>
    </font>
    <font>
      <sz val="12"/>
      <color rgb="FF000000"/>
      <name val="宋体"/>
      <charset val="134"/>
    </font>
    <font>
      <sz val="10"/>
      <name val="Arial"/>
      <charset val="0"/>
    </font>
    <font>
      <sz val="10"/>
      <name val="宋体"/>
      <charset val="0"/>
    </font>
    <font>
      <sz val="10"/>
      <color rgb="FFFF0000"/>
      <name val="Arial"/>
      <charset val="0"/>
    </font>
    <font>
      <b/>
      <sz val="10"/>
      <color theme="0"/>
      <name val="Times New Roman"/>
      <charset val="0"/>
    </font>
    <font>
      <b/>
      <sz val="10"/>
      <color rgb="FFFFFF00"/>
      <name val="Times New Roman"/>
      <charset val="0"/>
    </font>
    <font>
      <sz val="10"/>
      <name val="Times New Roman"/>
      <charset val="0"/>
    </font>
    <font>
      <b/>
      <sz val="10"/>
      <name val="Times New Roman"/>
      <charset val="0"/>
    </font>
    <font>
      <sz val="10"/>
      <color theme="0"/>
      <name val="Times New Roman"/>
      <charset val="0"/>
    </font>
    <font>
      <sz val="12"/>
      <color rgb="FF0E2EF0"/>
      <name val="宋体"/>
      <charset val="134"/>
      <scheme val="minor"/>
    </font>
    <font>
      <sz val="12"/>
      <color rgb="FF2727F0"/>
      <name val="宋体"/>
      <charset val="134"/>
      <scheme val="minor"/>
    </font>
    <font>
      <sz val="12"/>
      <color rgb="FF000000"/>
      <name val="宋体"/>
      <charset val="134"/>
      <scheme val="minor"/>
    </font>
    <font>
      <sz val="12"/>
      <color indexed="10"/>
      <name val="宋体"/>
      <charset val="0"/>
      <scheme val="minor"/>
    </font>
    <font>
      <b/>
      <sz val="12"/>
      <color indexed="39"/>
      <name val="宋体"/>
      <charset val="0"/>
      <scheme val="minor"/>
    </font>
    <font>
      <b/>
      <sz val="12"/>
      <color indexed="10"/>
      <name val="宋体"/>
      <charset val="0"/>
      <scheme val="minor"/>
    </font>
    <font>
      <b/>
      <sz val="12"/>
      <color indexed="10"/>
      <name val="宋体"/>
      <charset val="134"/>
      <scheme val="minor"/>
    </font>
    <font>
      <b/>
      <sz val="12"/>
      <name val="宋体"/>
      <charset val="134"/>
      <scheme val="minor"/>
    </font>
    <font>
      <b/>
      <sz val="14"/>
      <name val="宋体"/>
      <charset val="0"/>
      <scheme val="minor"/>
    </font>
    <font>
      <b/>
      <sz val="14"/>
      <color rgb="FFC00000"/>
      <name val="宋体"/>
      <charset val="0"/>
    </font>
    <font>
      <b/>
      <sz val="14"/>
      <name val="宋体"/>
      <charset val="134"/>
      <scheme val="minor"/>
    </font>
    <font>
      <b/>
      <sz val="14"/>
      <color rgb="FFFF0000"/>
      <name val="宋体"/>
      <charset val="134"/>
      <scheme val="minor"/>
    </font>
    <font>
      <sz val="14"/>
      <color rgb="FF0000FF"/>
      <name val="宋体"/>
      <charset val="0"/>
      <scheme val="minor"/>
    </font>
    <font>
      <sz val="14"/>
      <color rgb="FF0000FF"/>
      <name val="宋体"/>
      <charset val="134"/>
    </font>
    <font>
      <sz val="12"/>
      <color rgb="FF0000FF"/>
      <name val="宋体"/>
      <charset val="134"/>
    </font>
    <font>
      <sz val="12"/>
      <color rgb="FF0000FF"/>
      <name val="宋体"/>
      <charset val="0"/>
    </font>
    <font>
      <sz val="12"/>
      <color theme="1"/>
      <name val="宋体"/>
      <charset val="0"/>
      <scheme val="minor"/>
    </font>
    <font>
      <b/>
      <sz val="12"/>
      <color theme="1"/>
      <name val="宋体"/>
      <charset val="0"/>
      <scheme val="minor"/>
    </font>
    <font>
      <sz val="12"/>
      <color rgb="FF000000"/>
      <name val="宋体"/>
      <charset val="0"/>
      <scheme val="minor"/>
    </font>
    <font>
      <b/>
      <sz val="12"/>
      <color rgb="FF000000"/>
      <name val="宋体"/>
      <charset val="0"/>
      <scheme val="minor"/>
    </font>
    <font>
      <sz val="12"/>
      <color rgb="FF2727F0"/>
      <name val="宋体"/>
      <charset val="0"/>
      <scheme val="minor"/>
    </font>
    <font>
      <b/>
      <sz val="12"/>
      <color rgb="FF2727F0"/>
      <name val="宋体"/>
      <charset val="0"/>
      <scheme val="minor"/>
    </font>
    <font>
      <sz val="12"/>
      <color rgb="FF1506E0"/>
      <name val="宋体"/>
      <charset val="0"/>
      <scheme val="minor"/>
    </font>
    <font>
      <b/>
      <sz val="12"/>
      <color rgb="FF1506E0"/>
      <name val="宋体"/>
      <charset val="0"/>
      <scheme val="minor"/>
    </font>
    <font>
      <sz val="10"/>
      <color rgb="FF0000FF"/>
      <name val="Arial"/>
      <charset val="0"/>
    </font>
    <font>
      <b/>
      <sz val="12"/>
      <color rgb="FF0E2EF0"/>
      <name val="宋体"/>
      <charset val="0"/>
      <scheme val="minor"/>
    </font>
    <font>
      <sz val="11"/>
      <color rgb="FF0000FF"/>
      <name val="Arial"/>
      <charset val="0"/>
    </font>
    <font>
      <sz val="11"/>
      <color rgb="FF0000FF"/>
      <name val="宋体"/>
      <charset val="134"/>
    </font>
    <font>
      <sz val="14"/>
      <color rgb="FF0E2EF0"/>
      <name val="宋体"/>
      <charset val="0"/>
      <scheme val="minor"/>
    </font>
    <font>
      <sz val="14"/>
      <color rgb="FF0E2EF0"/>
      <name val="宋体"/>
      <charset val="134"/>
    </font>
    <font>
      <sz val="12"/>
      <color rgb="FF0E2EF0"/>
      <name val="宋体"/>
      <charset val="134"/>
    </font>
    <font>
      <sz val="11"/>
      <color rgb="FF1506E0"/>
      <name val="Arial"/>
      <charset val="0"/>
    </font>
    <font>
      <sz val="12"/>
      <color theme="1"/>
      <name val="宋体"/>
      <charset val="134"/>
      <scheme val="minor"/>
    </font>
    <font>
      <sz val="11"/>
      <color rgb="FF010CDD"/>
      <name val="Arial"/>
      <charset val="0"/>
    </font>
    <font>
      <sz val="14"/>
      <color rgb="FF2727F0"/>
      <name val="宋体"/>
      <charset val="0"/>
      <scheme val="minor"/>
    </font>
    <font>
      <sz val="14"/>
      <color rgb="FF2727F0"/>
      <name val="宋体"/>
      <charset val="134"/>
    </font>
    <font>
      <sz val="12"/>
      <color rgb="FF2727F0"/>
      <name val="宋体"/>
      <charset val="134"/>
    </font>
    <font>
      <sz val="14"/>
      <color rgb="FF2727F0"/>
      <name val="宋体"/>
      <charset val="0"/>
    </font>
    <font>
      <sz val="14"/>
      <color rgb="FF0E2EF0"/>
      <name val="宋体"/>
      <charset val="0"/>
    </font>
    <font>
      <sz val="12"/>
      <color rgb="FF0E2EF0"/>
      <name val="等线"/>
      <charset val="0"/>
    </font>
    <font>
      <sz val="12"/>
      <color rgb="FF0000FF"/>
      <name val="等线"/>
      <charset val="0"/>
    </font>
    <font>
      <sz val="10"/>
      <color rgb="FF0000FF"/>
      <name val="等线"/>
      <charset val="134"/>
    </font>
    <font>
      <sz val="12"/>
      <color rgb="FF0E2EF0"/>
      <name val="宋体"/>
      <charset val="0"/>
    </font>
    <font>
      <sz val="14"/>
      <color rgb="FF000000"/>
      <name val="宋体"/>
      <charset val="0"/>
      <scheme val="minor"/>
    </font>
    <font>
      <sz val="14"/>
      <color rgb="FF000000"/>
      <name val="宋体"/>
      <charset val="134"/>
    </font>
    <font>
      <sz val="12"/>
      <color rgb="FF000000"/>
      <name val="宋体"/>
      <charset val="0"/>
    </font>
    <font>
      <b/>
      <sz val="12"/>
      <color rgb="FF000000"/>
      <name val="宋体"/>
      <charset val="134"/>
      <scheme val="minor"/>
    </font>
    <font>
      <sz val="10"/>
      <color rgb="FF000000"/>
      <name val="等线"/>
      <charset val="134"/>
    </font>
    <font>
      <sz val="10"/>
      <color rgb="FF000000"/>
      <name val="宋体"/>
      <charset val="134"/>
    </font>
    <font>
      <sz val="9"/>
      <color rgb="FFFF0000"/>
      <name val="STSong-Light-Identity-H"/>
      <charset val="134"/>
    </font>
    <font>
      <sz val="18"/>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2"/>
      <name val="新細明體"/>
      <charset val="134"/>
    </font>
    <font>
      <sz val="11"/>
      <color rgb="FF000000"/>
      <name val="宋体"/>
      <charset val="134"/>
    </font>
    <font>
      <sz val="12"/>
      <name val="微软雅黑"/>
      <charset val="0"/>
    </font>
    <font>
      <sz val="10"/>
      <color rgb="FFFF0000"/>
      <name val="等线"/>
      <charset val="134"/>
    </font>
    <font>
      <sz val="10"/>
      <color rgb="FFFF0000"/>
      <name val="汉仪书宋二KW"/>
      <charset val="134"/>
    </font>
    <font>
      <b/>
      <sz val="16"/>
      <color rgb="FFFF0000"/>
      <name val="宋体"/>
      <charset val="0"/>
    </font>
    <font>
      <b/>
      <sz val="10"/>
      <color indexed="9"/>
      <name val="宋体"/>
      <charset val="134"/>
    </font>
    <font>
      <sz val="10"/>
      <color rgb="FF0000FF"/>
      <name val="宋体"/>
      <charset val="134"/>
    </font>
    <font>
      <b/>
      <sz val="9"/>
      <name val="宋体"/>
      <charset val="134"/>
    </font>
    <font>
      <b/>
      <sz val="9"/>
      <name val="宋体"/>
      <charset val="0"/>
    </font>
    <font>
      <sz val="9"/>
      <name val="宋体"/>
      <charset val="134"/>
    </font>
    <font>
      <sz val="9"/>
      <name val="宋体"/>
      <charset val="0"/>
    </font>
    <font>
      <sz val="24"/>
      <name val="宋体"/>
      <charset val="134"/>
    </font>
    <font>
      <sz val="14"/>
      <name val="宋体"/>
      <charset val="134"/>
    </font>
    <font>
      <b/>
      <sz val="14"/>
      <name val="宋体"/>
      <charset val="134"/>
    </font>
    <font>
      <sz val="18"/>
      <name val="宋体"/>
      <charset val="134"/>
    </font>
    <font>
      <b/>
      <sz val="18"/>
      <name val="宋体"/>
      <charset val="134"/>
    </font>
    <font>
      <sz val="16"/>
      <name val="宋体"/>
      <charset val="134"/>
    </font>
    <font>
      <b/>
      <sz val="16"/>
      <name val="宋体"/>
      <charset val="134"/>
    </font>
  </fonts>
  <fills count="52">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00FF"/>
        <bgColor indexed="64"/>
      </patternFill>
    </fill>
    <fill>
      <patternFill patternType="solid">
        <fgColor theme="0"/>
        <bgColor indexed="64"/>
      </patternFill>
    </fill>
    <fill>
      <patternFill patternType="solid">
        <fgColor rgb="FF0FB7FD"/>
        <bgColor indexed="64"/>
      </patternFill>
    </fill>
    <fill>
      <patternFill patternType="solid">
        <fgColor rgb="FFFFC000"/>
        <bgColor indexed="64"/>
      </patternFill>
    </fill>
    <fill>
      <patternFill patternType="solid">
        <fgColor indexed="50"/>
        <bgColor indexed="64"/>
      </patternFill>
    </fill>
    <fill>
      <patternFill patternType="solid">
        <fgColor indexed="31"/>
        <bgColor indexed="64"/>
      </patternFill>
    </fill>
    <fill>
      <patternFill patternType="solid">
        <fgColor indexed="44"/>
        <bgColor indexed="64"/>
      </patternFill>
    </fill>
    <fill>
      <patternFill patternType="solid">
        <fgColor indexed="22"/>
        <bgColor indexed="64"/>
      </patternFill>
    </fill>
    <fill>
      <patternFill patternType="solid">
        <fgColor rgb="FFFFFFFF"/>
        <bgColor indexed="64"/>
      </patternFill>
    </fill>
    <fill>
      <patternFill patternType="solid">
        <fgColor theme="1" tint="0.499984740745262"/>
        <bgColor indexed="64"/>
      </patternFill>
    </fill>
    <fill>
      <patternFill patternType="solid">
        <fgColor theme="6" tint="0.799981688894314"/>
        <bgColor indexed="64"/>
      </patternFill>
    </fill>
    <fill>
      <patternFill patternType="solid">
        <fgColor rgb="FFCCFFCC"/>
        <bgColor indexed="64"/>
      </patternFill>
    </fill>
    <fill>
      <patternFill patternType="solid">
        <fgColor rgb="FFFFFF99"/>
        <bgColor indexed="64"/>
      </patternFill>
    </fill>
    <fill>
      <patternFill patternType="solid">
        <fgColor theme="6" tint="-0.249977111117893"/>
        <bgColor indexed="64"/>
      </patternFill>
    </fill>
    <fill>
      <patternFill patternType="solid">
        <fgColor theme="5" tint="0.8"/>
        <bgColor indexed="64"/>
      </patternFill>
    </fill>
    <fill>
      <patternFill patternType="solid">
        <fgColor theme="4" tint="0.6"/>
        <bgColor indexed="64"/>
      </patternFill>
    </fill>
    <fill>
      <patternFill patternType="solid">
        <fgColor rgb="FFFFC7CE"/>
        <bgColor indexed="64"/>
      </patternFill>
    </fill>
    <fill>
      <patternFill patternType="solid">
        <fgColor rgb="FFDEEBF7"/>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style="thin">
        <color auto="1"/>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121" fillId="0" borderId="0" applyNumberFormat="0" applyFill="0" applyBorder="0" applyAlignment="0" applyProtection="0">
      <alignment vertical="center"/>
    </xf>
    <xf numFmtId="0" fontId="122" fillId="0" borderId="0" applyNumberFormat="0" applyFill="0" applyBorder="0" applyAlignment="0" applyProtection="0">
      <alignment vertical="center"/>
    </xf>
    <xf numFmtId="0" fontId="1" fillId="23" borderId="42" applyNumberFormat="0" applyFont="0" applyAlignment="0" applyProtection="0">
      <alignment vertical="center"/>
    </xf>
    <xf numFmtId="0" fontId="123"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6" fillId="0" borderId="43" applyNumberFormat="0" applyFill="0" applyAlignment="0" applyProtection="0">
      <alignment vertical="center"/>
    </xf>
    <xf numFmtId="0" fontId="127" fillId="0" borderId="43" applyNumberFormat="0" applyFill="0" applyAlignment="0" applyProtection="0">
      <alignment vertical="center"/>
    </xf>
    <xf numFmtId="0" fontId="128" fillId="0" borderId="44" applyNumberFormat="0" applyFill="0" applyAlignment="0" applyProtection="0">
      <alignment vertical="center"/>
    </xf>
    <xf numFmtId="0" fontId="128" fillId="0" borderId="0" applyNumberFormat="0" applyFill="0" applyBorder="0" applyAlignment="0" applyProtection="0">
      <alignment vertical="center"/>
    </xf>
    <xf numFmtId="0" fontId="129" fillId="24" borderId="45" applyNumberFormat="0" applyAlignment="0" applyProtection="0">
      <alignment vertical="center"/>
    </xf>
    <xf numFmtId="0" fontId="130" fillId="25" borderId="46" applyNumberFormat="0" applyAlignment="0" applyProtection="0">
      <alignment vertical="center"/>
    </xf>
    <xf numFmtId="0" fontId="131" fillId="25" borderId="45" applyNumberFormat="0" applyAlignment="0" applyProtection="0">
      <alignment vertical="center"/>
    </xf>
    <xf numFmtId="0" fontId="132" fillId="26" borderId="47" applyNumberFormat="0" applyAlignment="0" applyProtection="0">
      <alignment vertical="center"/>
    </xf>
    <xf numFmtId="0" fontId="133" fillId="0" borderId="48" applyNumberFormat="0" applyFill="0" applyAlignment="0" applyProtection="0">
      <alignment vertical="center"/>
    </xf>
    <xf numFmtId="0" fontId="134" fillId="0" borderId="49" applyNumberFormat="0" applyFill="0" applyAlignment="0" applyProtection="0">
      <alignment vertical="center"/>
    </xf>
    <xf numFmtId="0" fontId="135" fillId="27" borderId="0" applyNumberFormat="0" applyBorder="0" applyAlignment="0" applyProtection="0">
      <alignment vertical="center"/>
    </xf>
    <xf numFmtId="0" fontId="136" fillId="20" borderId="0" applyNumberFormat="0" applyBorder="0" applyAlignment="0" applyProtection="0">
      <alignment vertical="center"/>
    </xf>
    <xf numFmtId="0" fontId="137" fillId="28" borderId="0" applyNumberFormat="0" applyBorder="0" applyAlignment="0" applyProtection="0">
      <alignment vertical="center"/>
    </xf>
    <xf numFmtId="0" fontId="138" fillId="29" borderId="0" applyNumberFormat="0" applyBorder="0" applyAlignment="0" applyProtection="0">
      <alignment vertical="center"/>
    </xf>
    <xf numFmtId="0" fontId="139" fillId="30" borderId="0" applyNumberFormat="0" applyBorder="0" applyAlignment="0" applyProtection="0">
      <alignment vertical="center"/>
    </xf>
    <xf numFmtId="0" fontId="139" fillId="31" borderId="0" applyNumberFormat="0" applyBorder="0" applyAlignment="0" applyProtection="0">
      <alignment vertical="center"/>
    </xf>
    <xf numFmtId="0" fontId="138" fillId="32" borderId="0" applyNumberFormat="0" applyBorder="0" applyAlignment="0" applyProtection="0">
      <alignment vertical="center"/>
    </xf>
    <xf numFmtId="0" fontId="138" fillId="33" borderId="0" applyNumberFormat="0" applyBorder="0" applyAlignment="0" applyProtection="0">
      <alignment vertical="center"/>
    </xf>
    <xf numFmtId="0" fontId="139" fillId="34" borderId="0" applyNumberFormat="0" applyBorder="0" applyAlignment="0" applyProtection="0">
      <alignment vertical="center"/>
    </xf>
    <xf numFmtId="0" fontId="139" fillId="35" borderId="0" applyNumberFormat="0" applyBorder="0" applyAlignment="0" applyProtection="0">
      <alignment vertical="center"/>
    </xf>
    <xf numFmtId="0" fontId="138" fillId="36" borderId="0" applyNumberFormat="0" applyBorder="0" applyAlignment="0" applyProtection="0">
      <alignment vertical="center"/>
    </xf>
    <xf numFmtId="0" fontId="138" fillId="37" borderId="0" applyNumberFormat="0" applyBorder="0" applyAlignment="0" applyProtection="0">
      <alignment vertical="center"/>
    </xf>
    <xf numFmtId="0" fontId="139" fillId="14" borderId="0" applyNumberFormat="0" applyBorder="0" applyAlignment="0" applyProtection="0">
      <alignment vertical="center"/>
    </xf>
    <xf numFmtId="0" fontId="139" fillId="38" borderId="0" applyNumberFormat="0" applyBorder="0" applyAlignment="0" applyProtection="0">
      <alignment vertical="center"/>
    </xf>
    <xf numFmtId="0" fontId="138" fillId="39" borderId="0" applyNumberFormat="0" applyBorder="0" applyAlignment="0" applyProtection="0">
      <alignment vertical="center"/>
    </xf>
    <xf numFmtId="0" fontId="138" fillId="40" borderId="0" applyNumberFormat="0" applyBorder="0" applyAlignment="0" applyProtection="0">
      <alignment vertical="center"/>
    </xf>
    <xf numFmtId="0" fontId="139" fillId="41" borderId="0" applyNumberFormat="0" applyBorder="0" applyAlignment="0" applyProtection="0">
      <alignment vertical="center"/>
    </xf>
    <xf numFmtId="0" fontId="139" fillId="42" borderId="0" applyNumberFormat="0" applyBorder="0" applyAlignment="0" applyProtection="0">
      <alignment vertical="center"/>
    </xf>
    <xf numFmtId="0" fontId="138" fillId="43" borderId="0" applyNumberFormat="0" applyBorder="0" applyAlignment="0" applyProtection="0">
      <alignment vertical="center"/>
    </xf>
    <xf numFmtId="0" fontId="138" fillId="44" borderId="0" applyNumberFormat="0" applyBorder="0" applyAlignment="0" applyProtection="0">
      <alignment vertical="center"/>
    </xf>
    <xf numFmtId="0" fontId="139" fillId="45" borderId="0" applyNumberFormat="0" applyBorder="0" applyAlignment="0" applyProtection="0">
      <alignment vertical="center"/>
    </xf>
    <xf numFmtId="0" fontId="139" fillId="46" borderId="0" applyNumberFormat="0" applyBorder="0" applyAlignment="0" applyProtection="0">
      <alignment vertical="center"/>
    </xf>
    <xf numFmtId="0" fontId="138" fillId="47" borderId="0" applyNumberFormat="0" applyBorder="0" applyAlignment="0" applyProtection="0">
      <alignment vertical="center"/>
    </xf>
    <xf numFmtId="0" fontId="138" fillId="48" borderId="0" applyNumberFormat="0" applyBorder="0" applyAlignment="0" applyProtection="0">
      <alignment vertical="center"/>
    </xf>
    <xf numFmtId="0" fontId="139" fillId="49" borderId="0" applyNumberFormat="0" applyBorder="0" applyAlignment="0" applyProtection="0">
      <alignment vertical="center"/>
    </xf>
    <xf numFmtId="0" fontId="139" fillId="50" borderId="0" applyNumberFormat="0" applyBorder="0" applyAlignment="0" applyProtection="0">
      <alignment vertical="center"/>
    </xf>
    <xf numFmtId="0" fontId="138" fillId="51" borderId="0" applyNumberFormat="0" applyBorder="0" applyAlignment="0" applyProtection="0">
      <alignment vertical="center"/>
    </xf>
    <xf numFmtId="0" fontId="1" fillId="0" borderId="0">
      <alignment vertical="center"/>
    </xf>
    <xf numFmtId="0" fontId="0" fillId="0" borderId="0"/>
    <xf numFmtId="0" fontId="140" fillId="0" borderId="0"/>
    <xf numFmtId="0" fontId="141" fillId="0" borderId="0">
      <alignment vertical="center"/>
    </xf>
  </cellStyleXfs>
  <cellXfs count="1299">
    <xf numFmtId="0" fontId="0" fillId="0" borderId="0" xfId="0">
      <alignment vertical="center"/>
    </xf>
    <xf numFmtId="0" fontId="1" fillId="0" borderId="0" xfId="0" applyFont="1" applyFill="1" applyAlignment="1">
      <alignment vertical="center"/>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6"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10"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12" xfId="0" applyFont="1" applyFill="1" applyBorder="1" applyAlignment="1">
      <alignment horizontal="center" vertical="center"/>
    </xf>
    <xf numFmtId="0" fontId="1" fillId="0" borderId="13" xfId="0" applyFont="1" applyFill="1" applyBorder="1" applyAlignment="1">
      <alignment vertical="center"/>
    </xf>
    <xf numFmtId="0" fontId="1" fillId="0" borderId="14" xfId="0" applyFont="1" applyFill="1" applyBorder="1" applyAlignment="1">
      <alignment vertical="center"/>
    </xf>
    <xf numFmtId="0" fontId="3" fillId="0" borderId="0" xfId="0" applyFont="1" applyFill="1" applyBorder="1" applyAlignment="1">
      <alignment horizontal="center" vertical="center" wrapText="1"/>
    </xf>
    <xf numFmtId="0" fontId="0" fillId="0" borderId="0" xfId="0" applyFont="1" applyFill="1" applyBorder="1">
      <alignment vertical="center"/>
    </xf>
    <xf numFmtId="0" fontId="4" fillId="0" borderId="0" xfId="0" applyFont="1" applyFill="1" applyBorder="1">
      <alignment vertical="center"/>
    </xf>
    <xf numFmtId="0" fontId="5" fillId="0" borderId="0" xfId="0" applyFont="1" applyFill="1" applyBorder="1">
      <alignment vertical="center"/>
    </xf>
    <xf numFmtId="0" fontId="6" fillId="0" borderId="0" xfId="0" applyFont="1" applyFill="1" applyBorder="1">
      <alignment vertical="center"/>
    </xf>
    <xf numFmtId="0" fontId="7" fillId="0" borderId="0" xfId="0" applyFont="1" applyFill="1" applyBorder="1">
      <alignment vertical="center"/>
    </xf>
    <xf numFmtId="0" fontId="7" fillId="0" borderId="0" xfId="0" applyFont="1" applyFill="1" applyProtection="1">
      <alignment vertical="center"/>
      <protection locked="0"/>
    </xf>
    <xf numFmtId="0" fontId="6" fillId="0" borderId="0" xfId="0" applyFont="1" applyFill="1" applyProtection="1">
      <alignment vertical="center"/>
      <protection locked="0"/>
    </xf>
    <xf numFmtId="0" fontId="6" fillId="0" borderId="0" xfId="0" applyFont="1" applyFill="1" applyBorder="1" applyProtection="1">
      <alignment vertical="center"/>
      <protection locked="0"/>
    </xf>
    <xf numFmtId="0" fontId="6" fillId="0" borderId="15" xfId="0" applyFont="1" applyFill="1" applyBorder="1" applyProtection="1">
      <alignment vertical="center"/>
      <protection locked="0"/>
    </xf>
    <xf numFmtId="0" fontId="0" fillId="0" borderId="0" xfId="0" applyFont="1" applyFill="1">
      <alignment vertical="center"/>
    </xf>
    <xf numFmtId="0" fontId="0" fillId="0" borderId="0" xfId="0" applyFont="1" applyFill="1" applyAlignment="1">
      <alignment horizontal="center" vertical="center" wrapText="1"/>
    </xf>
    <xf numFmtId="176" fontId="0" fillId="0" borderId="0" xfId="0" applyNumberFormat="1" applyFont="1" applyFill="1" applyAlignment="1">
      <alignment horizontal="center" vertical="center" wrapText="1"/>
    </xf>
    <xf numFmtId="176" fontId="0" fillId="0" borderId="0" xfId="0" applyNumberFormat="1" applyFont="1" applyFill="1" applyAlignment="1">
      <alignment horizontal="center" vertical="center"/>
    </xf>
    <xf numFmtId="177" fontId="8" fillId="0" borderId="11" xfId="0" applyNumberFormat="1" applyFont="1" applyFill="1" applyBorder="1" applyAlignment="1">
      <alignment horizontal="center" vertical="center" wrapText="1" shrinkToFit="1"/>
    </xf>
    <xf numFmtId="0" fontId="8" fillId="0" borderId="11" xfId="0" applyFont="1" applyFill="1" applyBorder="1" applyAlignment="1">
      <alignment horizontal="center" vertical="center" wrapText="1" shrinkToFit="1"/>
    </xf>
    <xf numFmtId="0" fontId="8" fillId="0" borderId="8" xfId="0" applyFont="1" applyFill="1" applyBorder="1" applyAlignment="1">
      <alignment horizontal="center" vertical="center" wrapText="1" shrinkToFit="1"/>
    </xf>
    <xf numFmtId="178" fontId="9" fillId="0" borderId="8" xfId="0" applyNumberFormat="1" applyFont="1" applyFill="1" applyBorder="1" applyAlignment="1">
      <alignment horizontal="center" vertical="center" wrapText="1" shrinkToFit="1"/>
    </xf>
    <xf numFmtId="0" fontId="9" fillId="0" borderId="8" xfId="0" applyFont="1" applyFill="1" applyBorder="1" applyAlignment="1">
      <alignment horizontal="center" vertical="center" wrapText="1" shrinkToFit="1"/>
    </xf>
    <xf numFmtId="176" fontId="9" fillId="0" borderId="8" xfId="0" applyNumberFormat="1" applyFont="1" applyFill="1" applyBorder="1" applyAlignment="1">
      <alignment horizontal="center" vertical="center" wrapText="1" shrinkToFit="1"/>
    </xf>
    <xf numFmtId="176" fontId="10" fillId="0" borderId="8" xfId="0" applyNumberFormat="1" applyFont="1" applyFill="1" applyBorder="1" applyAlignment="1">
      <alignment horizontal="center" vertical="center" wrapText="1"/>
    </xf>
    <xf numFmtId="176" fontId="10" fillId="0" borderId="8" xfId="0" applyNumberFormat="1" applyFont="1" applyFill="1" applyBorder="1" applyAlignment="1">
      <alignment horizontal="center" vertical="center" wrapText="1" shrinkToFit="1"/>
    </xf>
    <xf numFmtId="176" fontId="11" fillId="0" borderId="8" xfId="0" applyNumberFormat="1" applyFont="1" applyFill="1" applyBorder="1" applyAlignment="1">
      <alignment horizontal="center" vertical="center" wrapText="1" shrinkToFit="1"/>
    </xf>
    <xf numFmtId="176" fontId="10" fillId="0" borderId="11" xfId="0" applyNumberFormat="1" applyFont="1" applyFill="1" applyBorder="1" applyAlignment="1">
      <alignment horizontal="center" vertical="center" wrapText="1" shrinkToFit="1"/>
    </xf>
    <xf numFmtId="176" fontId="12" fillId="0" borderId="11" xfId="0" applyNumberFormat="1" applyFont="1" applyFill="1" applyBorder="1" applyAlignment="1">
      <alignment horizontal="center" vertical="center" wrapText="1" shrinkToFit="1"/>
    </xf>
    <xf numFmtId="176" fontId="10" fillId="0" borderId="16" xfId="0" applyNumberFormat="1" applyFont="1" applyFill="1" applyBorder="1" applyAlignment="1">
      <alignment horizontal="center" vertical="center" wrapText="1"/>
    </xf>
    <xf numFmtId="176" fontId="13" fillId="0" borderId="16" xfId="0" applyNumberFormat="1" applyFont="1" applyFill="1" applyBorder="1" applyAlignment="1">
      <alignment horizontal="center" vertical="center" wrapText="1"/>
    </xf>
    <xf numFmtId="176" fontId="14" fillId="0" borderId="0" xfId="0" applyNumberFormat="1" applyFont="1" applyFill="1" applyBorder="1" applyAlignment="1">
      <alignment horizontal="center" vertical="center" wrapText="1"/>
    </xf>
    <xf numFmtId="179" fontId="3" fillId="0" borderId="8" xfId="0" applyNumberFormat="1" applyFont="1" applyFill="1" applyBorder="1" applyAlignment="1">
      <alignment horizontal="center" vertical="center"/>
    </xf>
    <xf numFmtId="0" fontId="3" fillId="0" borderId="8" xfId="0" applyFont="1" applyFill="1" applyBorder="1" applyAlignment="1">
      <alignment horizontal="center" vertical="center" wrapText="1"/>
    </xf>
    <xf numFmtId="0" fontId="0" fillId="0" borderId="5" xfId="0" applyFont="1" applyFill="1" applyBorder="1" applyAlignment="1">
      <alignment horizontal="center" vertical="center" wrapText="1" shrinkToFit="1"/>
    </xf>
    <xf numFmtId="0" fontId="3" fillId="0" borderId="8" xfId="0" applyNumberFormat="1" applyFont="1" applyFill="1" applyBorder="1" applyAlignment="1">
      <alignment horizontal="center" vertical="center" shrinkToFit="1"/>
    </xf>
    <xf numFmtId="49" fontId="0" fillId="0" borderId="8" xfId="0" applyNumberFormat="1" applyFont="1" applyFill="1" applyBorder="1" applyAlignment="1">
      <alignment horizontal="center" vertical="center" wrapText="1"/>
    </xf>
    <xf numFmtId="0" fontId="3" fillId="0" borderId="8" xfId="0" applyFont="1" applyFill="1" applyBorder="1" applyAlignment="1">
      <alignment horizontal="center" vertical="center" wrapText="1" shrinkToFit="1"/>
    </xf>
    <xf numFmtId="0" fontId="3" fillId="0" borderId="8" xfId="0" applyFont="1" applyFill="1" applyBorder="1" applyAlignment="1">
      <alignment horizontal="center" vertical="center"/>
    </xf>
    <xf numFmtId="180" fontId="0" fillId="0" borderId="8" xfId="0" applyNumberFormat="1" applyFont="1" applyFill="1" applyBorder="1" applyAlignment="1">
      <alignment horizontal="center" vertical="center" wrapText="1" shrinkToFit="1"/>
    </xf>
    <xf numFmtId="178" fontId="0" fillId="0" borderId="8" xfId="0" applyNumberFormat="1" applyFont="1" applyFill="1" applyBorder="1" applyAlignment="1">
      <alignment horizontal="center" vertical="center" wrapText="1"/>
    </xf>
    <xf numFmtId="176" fontId="0" fillId="0" borderId="8" xfId="0" applyNumberFormat="1" applyFont="1" applyFill="1" applyBorder="1" applyAlignment="1">
      <alignment horizontal="center" vertical="center" wrapText="1"/>
    </xf>
    <xf numFmtId="176" fontId="0" fillId="0" borderId="8" xfId="0" applyNumberFormat="1" applyFont="1" applyFill="1" applyBorder="1" applyAlignment="1">
      <alignment horizontal="center" vertical="center" wrapText="1" shrinkToFit="1"/>
    </xf>
    <xf numFmtId="176" fontId="0" fillId="0" borderId="5" xfId="0" applyNumberFormat="1" applyFont="1" applyFill="1" applyBorder="1" applyAlignment="1">
      <alignment horizontal="center" vertical="center" wrapText="1"/>
    </xf>
    <xf numFmtId="176" fontId="3" fillId="0" borderId="8" xfId="0" applyNumberFormat="1" applyFont="1" applyFill="1" applyBorder="1" applyAlignment="1">
      <alignment horizontal="center" vertical="center" wrapText="1"/>
    </xf>
    <xf numFmtId="176" fontId="3" fillId="0" borderId="8" xfId="0" applyNumberFormat="1" applyFont="1" applyFill="1" applyBorder="1" applyAlignment="1">
      <alignment horizontal="center" vertical="center"/>
    </xf>
    <xf numFmtId="176" fontId="8" fillId="0" borderId="8" xfId="0" applyNumberFormat="1" applyFont="1" applyFill="1" applyBorder="1" applyAlignment="1">
      <alignment horizontal="center" vertical="center" wrapText="1" shrinkToFit="1"/>
    </xf>
    <xf numFmtId="176" fontId="3" fillId="0" borderId="0" xfId="0" applyNumberFormat="1" applyFont="1" applyFill="1" applyBorder="1" applyAlignment="1">
      <alignment horizontal="center" vertical="center" wrapText="1"/>
    </xf>
    <xf numFmtId="176" fontId="0" fillId="0" borderId="0" xfId="0" applyNumberFormat="1" applyFont="1" applyFill="1" applyBorder="1" applyAlignment="1">
      <alignment horizontal="center" vertical="center"/>
    </xf>
    <xf numFmtId="176" fontId="0" fillId="0" borderId="8" xfId="0" applyNumberFormat="1" applyFont="1" applyFill="1" applyBorder="1" applyAlignment="1">
      <alignment horizontal="center" vertical="center"/>
    </xf>
    <xf numFmtId="0" fontId="0" fillId="0" borderId="8" xfId="0" applyFont="1" applyFill="1" applyBorder="1" applyAlignment="1">
      <alignment horizontal="center" vertical="center" wrapText="1"/>
    </xf>
    <xf numFmtId="0" fontId="0" fillId="0" borderId="8" xfId="0" applyFont="1" applyFill="1" applyBorder="1" applyAlignment="1">
      <alignment horizontal="center" vertical="center" wrapText="1" shrinkToFit="1"/>
    </xf>
    <xf numFmtId="0" fontId="3" fillId="0" borderId="8" xfId="0" applyNumberFormat="1" applyFont="1" applyFill="1" applyBorder="1" applyAlignment="1">
      <alignment horizontal="center" vertical="center" wrapText="1" shrinkToFit="1"/>
    </xf>
    <xf numFmtId="176" fontId="3" fillId="0" borderId="5" xfId="0" applyNumberFormat="1" applyFont="1" applyFill="1" applyBorder="1" applyAlignment="1">
      <alignment horizontal="center" vertical="center" wrapText="1"/>
    </xf>
    <xf numFmtId="176" fontId="3" fillId="0" borderId="16" xfId="0" applyNumberFormat="1" applyFont="1" applyFill="1" applyBorder="1" applyAlignment="1">
      <alignment horizontal="center" vertical="center" wrapText="1"/>
    </xf>
    <xf numFmtId="176" fontId="0" fillId="0" borderId="17" xfId="0" applyNumberFormat="1" applyFont="1" applyFill="1" applyBorder="1" applyAlignment="1">
      <alignment horizontal="center" vertical="center"/>
    </xf>
    <xf numFmtId="176" fontId="3" fillId="0" borderId="5" xfId="0" applyNumberFormat="1" applyFont="1" applyFill="1" applyBorder="1" applyAlignment="1">
      <alignment horizontal="center" vertical="center"/>
    </xf>
    <xf numFmtId="176" fontId="8" fillId="0" borderId="5" xfId="0" applyNumberFormat="1" applyFont="1" applyFill="1" applyBorder="1" applyAlignment="1">
      <alignment horizontal="center" vertical="center" wrapText="1" shrinkToFit="1"/>
    </xf>
    <xf numFmtId="176" fontId="3" fillId="0" borderId="8" xfId="0" applyNumberFormat="1" applyFont="1" applyFill="1" applyBorder="1" applyAlignment="1">
      <alignment horizontal="center" vertical="center" wrapText="1" shrinkToFit="1"/>
    </xf>
    <xf numFmtId="176" fontId="3" fillId="0" borderId="5" xfId="0" applyNumberFormat="1" applyFont="1" applyFill="1" applyBorder="1" applyAlignment="1">
      <alignment horizontal="center" vertical="center" wrapText="1" shrinkToFit="1"/>
    </xf>
    <xf numFmtId="176" fontId="3" fillId="0" borderId="11" xfId="0" applyNumberFormat="1"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5" xfId="0" applyNumberFormat="1" applyFont="1" applyFill="1" applyBorder="1" applyAlignment="1">
      <alignment horizontal="center" vertical="center" shrinkToFit="1"/>
    </xf>
    <xf numFmtId="0" fontId="3" fillId="0" borderId="5" xfId="0" applyFont="1" applyFill="1" applyBorder="1" applyAlignment="1">
      <alignment horizontal="center" vertical="center"/>
    </xf>
    <xf numFmtId="180" fontId="15" fillId="0" borderId="8" xfId="0" applyNumberFormat="1" applyFont="1" applyFill="1" applyBorder="1" applyAlignment="1">
      <alignment horizontal="center" vertical="center" wrapText="1" shrinkToFit="1"/>
    </xf>
    <xf numFmtId="179" fontId="16" fillId="0" borderId="8" xfId="0" applyNumberFormat="1" applyFont="1" applyFill="1" applyBorder="1" applyAlignment="1">
      <alignment horizontal="center" vertical="center"/>
    </xf>
    <xf numFmtId="49" fontId="4" fillId="0" borderId="5"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shrinkToFit="1"/>
    </xf>
    <xf numFmtId="0" fontId="14" fillId="0" borderId="8" xfId="0" applyNumberFormat="1" applyFont="1" applyFill="1" applyBorder="1" applyAlignment="1">
      <alignment horizontal="center" vertical="center" shrinkToFit="1"/>
    </xf>
    <xf numFmtId="0" fontId="16" fillId="0" borderId="8" xfId="0" applyNumberFormat="1" applyFont="1" applyFill="1" applyBorder="1" applyAlignment="1">
      <alignment horizontal="center" vertical="center" wrapText="1" shrinkToFit="1"/>
    </xf>
    <xf numFmtId="0" fontId="16" fillId="0" borderId="8" xfId="0" applyFont="1" applyFill="1" applyBorder="1" applyAlignment="1">
      <alignment horizontal="center" vertical="center" wrapText="1" shrinkToFit="1"/>
    </xf>
    <xf numFmtId="0" fontId="16" fillId="0" borderId="5" xfId="0" applyFont="1" applyFill="1" applyBorder="1" applyAlignment="1">
      <alignment horizontal="center" vertical="center"/>
    </xf>
    <xf numFmtId="0" fontId="16" fillId="0" borderId="8" xfId="0" applyFont="1" applyFill="1" applyBorder="1" applyAlignment="1">
      <alignment horizontal="center" vertical="center"/>
    </xf>
    <xf numFmtId="180" fontId="4" fillId="0" borderId="8" xfId="0" applyNumberFormat="1" applyFont="1" applyFill="1" applyBorder="1" applyAlignment="1">
      <alignment horizontal="center" vertical="center" wrapText="1" shrinkToFit="1"/>
    </xf>
    <xf numFmtId="178" fontId="5" fillId="0" borderId="8" xfId="0" applyNumberFormat="1" applyFont="1" applyFill="1" applyBorder="1" applyAlignment="1">
      <alignment horizontal="center" vertical="center" wrapText="1"/>
    </xf>
    <xf numFmtId="178" fontId="0" fillId="0" borderId="11" xfId="0" applyNumberFormat="1" applyFont="1" applyFill="1" applyBorder="1" applyAlignment="1">
      <alignment horizontal="center" vertical="center" wrapText="1"/>
    </xf>
    <xf numFmtId="0" fontId="4" fillId="0" borderId="8" xfId="0" applyFont="1" applyFill="1" applyBorder="1" applyAlignment="1">
      <alignment horizontal="center" vertical="center"/>
    </xf>
    <xf numFmtId="0" fontId="4" fillId="0" borderId="8" xfId="0" applyNumberFormat="1" applyFont="1" applyFill="1" applyBorder="1" applyAlignment="1">
      <alignment horizontal="center" vertical="center" wrapText="1"/>
    </xf>
    <xf numFmtId="181" fontId="4" fillId="0" borderId="8" xfId="0" applyNumberFormat="1" applyFont="1" applyFill="1" applyBorder="1" applyAlignment="1">
      <alignment horizontal="center" vertical="center"/>
    </xf>
    <xf numFmtId="182" fontId="16" fillId="0" borderId="8" xfId="0" applyNumberFormat="1" applyFont="1" applyFill="1" applyBorder="1" applyAlignment="1">
      <alignment horizontal="center" vertical="center"/>
    </xf>
    <xf numFmtId="0" fontId="16" fillId="0" borderId="8" xfId="0" applyNumberFormat="1" applyFont="1" applyFill="1" applyBorder="1" applyAlignment="1">
      <alignment horizontal="center" vertical="center"/>
    </xf>
    <xf numFmtId="0" fontId="16" fillId="0" borderId="16" xfId="0" applyNumberFormat="1" applyFont="1" applyFill="1" applyBorder="1" applyAlignment="1">
      <alignment horizontal="center" vertical="center"/>
    </xf>
    <xf numFmtId="0" fontId="4" fillId="0" borderId="17" xfId="0" applyFont="1" applyFill="1" applyBorder="1" applyAlignment="1">
      <alignment horizontal="center" vertical="center"/>
    </xf>
    <xf numFmtId="176" fontId="16" fillId="0" borderId="8" xfId="0" applyNumberFormat="1" applyFont="1" applyFill="1" applyBorder="1" applyAlignment="1">
      <alignment horizontal="center" vertical="center" wrapText="1" shrinkToFit="1"/>
    </xf>
    <xf numFmtId="0" fontId="16" fillId="0" borderId="5" xfId="0" applyNumberFormat="1" applyFont="1" applyFill="1" applyBorder="1" applyAlignment="1">
      <alignment horizontal="center" vertical="center"/>
    </xf>
    <xf numFmtId="0" fontId="17" fillId="0" borderId="8" xfId="0" applyFont="1" applyFill="1" applyBorder="1" applyAlignment="1">
      <alignment horizontal="center" vertical="center" wrapText="1" shrinkToFit="1"/>
    </xf>
    <xf numFmtId="176" fontId="17" fillId="0" borderId="8" xfId="0" applyNumberFormat="1" applyFont="1" applyFill="1" applyBorder="1" applyAlignment="1">
      <alignment horizontal="center" vertical="center" wrapText="1" shrinkToFit="1"/>
    </xf>
    <xf numFmtId="176" fontId="16" fillId="0" borderId="5" xfId="0" applyNumberFormat="1" applyFont="1" applyFill="1" applyBorder="1" applyAlignment="1">
      <alignment horizontal="center" vertical="center" wrapText="1" shrinkToFit="1"/>
    </xf>
    <xf numFmtId="176" fontId="17" fillId="0" borderId="5" xfId="0" applyNumberFormat="1" applyFont="1" applyFill="1" applyBorder="1" applyAlignment="1">
      <alignment horizontal="center" vertical="center" wrapText="1" shrinkToFit="1"/>
    </xf>
    <xf numFmtId="0" fontId="4" fillId="0" borderId="8" xfId="0" applyFont="1" applyFill="1" applyBorder="1" applyAlignment="1">
      <alignment horizontal="center" vertical="center" wrapText="1"/>
    </xf>
    <xf numFmtId="183" fontId="16" fillId="0" borderId="8" xfId="0" applyNumberFormat="1" applyFont="1" applyFill="1" applyBorder="1" applyAlignment="1">
      <alignment horizontal="center" vertical="center" wrapText="1"/>
    </xf>
    <xf numFmtId="0" fontId="16" fillId="0" borderId="8" xfId="0" applyFont="1" applyFill="1" applyBorder="1" applyAlignment="1">
      <alignment horizontal="center" vertical="center" wrapText="1"/>
    </xf>
    <xf numFmtId="179" fontId="18" fillId="0" borderId="8" xfId="0" applyNumberFormat="1" applyFont="1" applyFill="1" applyBorder="1" applyAlignment="1">
      <alignment horizontal="center" vertical="center"/>
    </xf>
    <xf numFmtId="49" fontId="19" fillId="0" borderId="8" xfId="0" applyNumberFormat="1" applyFont="1" applyFill="1" applyBorder="1" applyAlignment="1">
      <alignment horizontal="center" vertical="center" wrapText="1"/>
    </xf>
    <xf numFmtId="0" fontId="18" fillId="0" borderId="8" xfId="0" applyFont="1" applyFill="1" applyBorder="1" applyAlignment="1">
      <alignment horizontal="center" vertical="center" wrapText="1"/>
    </xf>
    <xf numFmtId="0" fontId="18" fillId="0" borderId="8" xfId="0" applyNumberFormat="1" applyFont="1" applyFill="1" applyBorder="1" applyAlignment="1">
      <alignment horizontal="center" vertical="center" shrinkToFit="1"/>
    </xf>
    <xf numFmtId="0" fontId="20" fillId="0" borderId="8" xfId="0" applyFont="1" applyFill="1" applyBorder="1" applyAlignment="1">
      <alignment horizontal="center" vertical="center" wrapText="1" shrinkToFit="1"/>
    </xf>
    <xf numFmtId="0" fontId="20" fillId="0" borderId="8" xfId="0" applyFont="1" applyFill="1" applyBorder="1" applyAlignment="1">
      <alignment horizontal="center" vertical="center"/>
    </xf>
    <xf numFmtId="180" fontId="19" fillId="0" borderId="8" xfId="0" applyNumberFormat="1" applyFont="1" applyFill="1" applyBorder="1" applyAlignment="1">
      <alignment horizontal="center" vertical="center" wrapText="1" shrinkToFit="1"/>
    </xf>
    <xf numFmtId="180" fontId="5" fillId="0" borderId="8" xfId="0" applyNumberFormat="1" applyFont="1" applyFill="1" applyBorder="1" applyAlignment="1">
      <alignment horizontal="center" vertical="center" wrapText="1" shrinkToFit="1"/>
    </xf>
    <xf numFmtId="178" fontId="15" fillId="0" borderId="11" xfId="0" applyNumberFormat="1" applyFont="1" applyFill="1" applyBorder="1" applyAlignment="1">
      <alignment horizontal="center" vertical="center" wrapText="1"/>
    </xf>
    <xf numFmtId="0" fontId="5" fillId="0" borderId="11" xfId="0" applyFont="1" applyFill="1" applyBorder="1" applyAlignment="1">
      <alignment horizontal="justify" vertical="center" wrapText="1"/>
    </xf>
    <xf numFmtId="0" fontId="5" fillId="0" borderId="8" xfId="0" applyFont="1" applyFill="1" applyBorder="1" applyAlignment="1">
      <alignment horizontal="center" vertical="center" wrapText="1"/>
    </xf>
    <xf numFmtId="178" fontId="18" fillId="0" borderId="8" xfId="0" applyNumberFormat="1" applyFont="1" applyFill="1" applyBorder="1" applyAlignment="1">
      <alignment horizontal="center" vertical="center" wrapText="1"/>
    </xf>
    <xf numFmtId="0" fontId="18" fillId="0" borderId="8" xfId="0" applyFont="1" applyFill="1" applyBorder="1" applyAlignment="1">
      <alignment horizontal="center" vertical="center"/>
    </xf>
    <xf numFmtId="181" fontId="5" fillId="0" borderId="8" xfId="0" applyNumberFormat="1" applyFont="1" applyFill="1" applyBorder="1" applyAlignment="1">
      <alignment horizontal="center" vertical="center"/>
    </xf>
    <xf numFmtId="182" fontId="20" fillId="0" borderId="8" xfId="0" applyNumberFormat="1" applyFont="1" applyFill="1" applyBorder="1" applyAlignment="1">
      <alignment horizontal="center" vertical="center"/>
    </xf>
    <xf numFmtId="0" fontId="20" fillId="0" borderId="8" xfId="0" applyNumberFormat="1" applyFont="1" applyFill="1" applyBorder="1" applyAlignment="1">
      <alignment horizontal="center" vertical="center"/>
    </xf>
    <xf numFmtId="0" fontId="20" fillId="0" borderId="16" xfId="0" applyNumberFormat="1" applyFont="1" applyFill="1" applyBorder="1" applyAlignment="1">
      <alignment horizontal="center" vertical="center"/>
    </xf>
    <xf numFmtId="0" fontId="5" fillId="0" borderId="17" xfId="0" applyFont="1" applyFill="1" applyBorder="1" applyAlignment="1">
      <alignment horizontal="center" vertical="center"/>
    </xf>
    <xf numFmtId="0" fontId="5" fillId="0" borderId="8" xfId="0" applyFont="1" applyFill="1" applyBorder="1" applyAlignment="1">
      <alignment horizontal="center" vertical="center"/>
    </xf>
    <xf numFmtId="176" fontId="20" fillId="0" borderId="8" xfId="0" applyNumberFormat="1" applyFont="1" applyFill="1" applyBorder="1" applyAlignment="1">
      <alignment horizontal="center" vertical="center" wrapText="1" shrinkToFit="1"/>
    </xf>
    <xf numFmtId="0" fontId="21" fillId="2" borderId="8" xfId="0" applyNumberFormat="1" applyFont="1" applyFill="1" applyBorder="1" applyAlignment="1">
      <alignment horizontal="center" vertical="center"/>
    </xf>
    <xf numFmtId="0" fontId="21" fillId="2" borderId="5" xfId="0" applyNumberFormat="1" applyFont="1" applyFill="1" applyBorder="1" applyAlignment="1">
      <alignment horizontal="center" vertical="center"/>
    </xf>
    <xf numFmtId="0" fontId="20" fillId="0" borderId="5" xfId="0" applyNumberFormat="1" applyFont="1" applyFill="1" applyBorder="1" applyAlignment="1">
      <alignment horizontal="center" vertical="center"/>
    </xf>
    <xf numFmtId="0" fontId="22" fillId="0" borderId="8" xfId="0" applyFont="1" applyFill="1" applyBorder="1" applyAlignment="1">
      <alignment horizontal="center" vertical="center" wrapText="1" shrinkToFit="1"/>
    </xf>
    <xf numFmtId="176" fontId="22" fillId="0" borderId="8" xfId="0" applyNumberFormat="1" applyFont="1" applyFill="1" applyBorder="1" applyAlignment="1">
      <alignment horizontal="center" vertical="center" wrapText="1" shrinkToFit="1"/>
    </xf>
    <xf numFmtId="176" fontId="23" fillId="2" borderId="8" xfId="0" applyNumberFormat="1" applyFont="1" applyFill="1" applyBorder="1" applyAlignment="1">
      <alignment horizontal="center" vertical="center" wrapText="1" shrinkToFit="1"/>
    </xf>
    <xf numFmtId="176" fontId="20" fillId="0" borderId="5" xfId="0" applyNumberFormat="1" applyFont="1" applyFill="1" applyBorder="1" applyAlignment="1">
      <alignment horizontal="center" vertical="center" wrapText="1" shrinkToFit="1"/>
    </xf>
    <xf numFmtId="183" fontId="20" fillId="0" borderId="8" xfId="0" applyNumberFormat="1" applyFont="1" applyFill="1" applyBorder="1" applyAlignment="1">
      <alignment horizontal="center" vertical="center" wrapText="1"/>
    </xf>
    <xf numFmtId="0" fontId="20" fillId="0" borderId="8" xfId="0" applyFont="1" applyFill="1" applyBorder="1" applyAlignment="1">
      <alignment horizontal="center" vertical="center" wrapText="1"/>
    </xf>
    <xf numFmtId="179" fontId="24" fillId="0" borderId="8" xfId="0" applyNumberFormat="1" applyFont="1" applyFill="1" applyBorder="1" applyAlignment="1">
      <alignment horizontal="center" vertical="center"/>
    </xf>
    <xf numFmtId="49" fontId="6" fillId="0" borderId="5" xfId="0" applyNumberFormat="1" applyFont="1" applyFill="1" applyBorder="1" applyAlignment="1">
      <alignment horizontal="center" vertical="center" wrapText="1"/>
    </xf>
    <xf numFmtId="0" fontId="24" fillId="0" borderId="5" xfId="0" applyFont="1" applyFill="1" applyBorder="1" applyAlignment="1">
      <alignment horizontal="center" vertical="center" wrapText="1"/>
    </xf>
    <xf numFmtId="0" fontId="24" fillId="0" borderId="8" xfId="0" applyNumberFormat="1" applyFont="1" applyFill="1" applyBorder="1" applyAlignment="1">
      <alignment horizontal="center" vertical="center" shrinkToFit="1"/>
    </xf>
    <xf numFmtId="0" fontId="24" fillId="0" borderId="8" xfId="0" applyFont="1" applyFill="1" applyBorder="1" applyAlignment="1">
      <alignment horizontal="center" vertical="center" wrapText="1"/>
    </xf>
    <xf numFmtId="0" fontId="24" fillId="0" borderId="8" xfId="0" applyNumberFormat="1" applyFont="1" applyFill="1" applyBorder="1" applyAlignment="1">
      <alignment horizontal="center" vertical="center" wrapText="1" shrinkToFit="1"/>
    </xf>
    <xf numFmtId="0" fontId="24" fillId="0" borderId="8" xfId="0" applyFont="1" applyFill="1" applyBorder="1" applyAlignment="1">
      <alignment horizontal="center" vertical="center" wrapText="1" shrinkToFit="1"/>
    </xf>
    <xf numFmtId="0" fontId="24" fillId="0" borderId="5" xfId="0" applyFont="1" applyFill="1" applyBorder="1" applyAlignment="1">
      <alignment horizontal="center" vertical="center"/>
    </xf>
    <xf numFmtId="0" fontId="24" fillId="0" borderId="8" xfId="0" applyFont="1" applyFill="1" applyBorder="1" applyAlignment="1">
      <alignment horizontal="center" vertical="center"/>
    </xf>
    <xf numFmtId="180" fontId="6" fillId="0" borderId="8" xfId="0" applyNumberFormat="1" applyFont="1" applyFill="1" applyBorder="1" applyAlignment="1">
      <alignment horizontal="center" vertical="center" wrapText="1" shrinkToFit="1"/>
    </xf>
    <xf numFmtId="178" fontId="6" fillId="0" borderId="8" xfId="0" applyNumberFormat="1" applyFont="1" applyFill="1" applyBorder="1" applyAlignment="1">
      <alignment horizontal="center" vertical="center" wrapText="1"/>
    </xf>
    <xf numFmtId="176" fontId="6" fillId="0" borderId="8" xfId="0" applyNumberFormat="1" applyFont="1" applyFill="1" applyBorder="1" applyAlignment="1">
      <alignment horizontal="center" vertical="center" wrapText="1"/>
    </xf>
    <xf numFmtId="178" fontId="6" fillId="0" borderId="11" xfId="0" applyNumberFormat="1"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8" xfId="0" applyFont="1" applyFill="1" applyBorder="1" applyAlignment="1">
      <alignment horizontal="center" vertical="center" wrapText="1"/>
    </xf>
    <xf numFmtId="178" fontId="24" fillId="0" borderId="8" xfId="0" applyNumberFormat="1" applyFont="1" applyFill="1" applyBorder="1" applyAlignment="1">
      <alignment horizontal="center" vertical="center" wrapText="1"/>
    </xf>
    <xf numFmtId="181" fontId="6" fillId="0" borderId="8" xfId="0" applyNumberFormat="1" applyFont="1" applyFill="1" applyBorder="1" applyAlignment="1">
      <alignment horizontal="center" vertical="center"/>
    </xf>
    <xf numFmtId="182" fontId="24" fillId="0" borderId="8" xfId="0" applyNumberFormat="1" applyFont="1" applyFill="1" applyBorder="1" applyAlignment="1">
      <alignment horizontal="center" vertical="center"/>
    </xf>
    <xf numFmtId="0" fontId="24" fillId="0" borderId="8" xfId="0" applyNumberFormat="1" applyFont="1" applyFill="1" applyBorder="1" applyAlignment="1">
      <alignment horizontal="center" vertical="center"/>
    </xf>
    <xf numFmtId="0" fontId="24" fillId="0" borderId="16" xfId="0" applyNumberFormat="1" applyFont="1" applyFill="1" applyBorder="1" applyAlignment="1">
      <alignment horizontal="center" vertical="center"/>
    </xf>
    <xf numFmtId="0" fontId="6" fillId="0" borderId="17" xfId="0" applyFont="1" applyFill="1" applyBorder="1" applyAlignment="1">
      <alignment horizontal="center" vertical="center"/>
    </xf>
    <xf numFmtId="0" fontId="6" fillId="0" borderId="8" xfId="0" applyFont="1" applyFill="1" applyBorder="1" applyAlignment="1">
      <alignment horizontal="center" vertical="center"/>
    </xf>
    <xf numFmtId="176" fontId="24" fillId="0" borderId="8" xfId="0" applyNumberFormat="1" applyFont="1" applyFill="1" applyBorder="1" applyAlignment="1">
      <alignment horizontal="center" vertical="center" wrapText="1" shrinkToFit="1"/>
    </xf>
    <xf numFmtId="0" fontId="25" fillId="2" borderId="8" xfId="0" applyNumberFormat="1" applyFont="1" applyFill="1" applyBorder="1" applyAlignment="1">
      <alignment horizontal="center" vertical="center"/>
    </xf>
    <xf numFmtId="0" fontId="25" fillId="2" borderId="5" xfId="0" applyNumberFormat="1" applyFont="1" applyFill="1" applyBorder="1" applyAlignment="1">
      <alignment horizontal="center" vertical="center"/>
    </xf>
    <xf numFmtId="0" fontId="24" fillId="0" borderId="5" xfId="0" applyNumberFormat="1" applyFont="1" applyFill="1" applyBorder="1" applyAlignment="1">
      <alignment horizontal="center" vertical="center"/>
    </xf>
    <xf numFmtId="0" fontId="26" fillId="0" borderId="8" xfId="0" applyFont="1" applyFill="1" applyBorder="1" applyAlignment="1">
      <alignment horizontal="center" vertical="center" wrapText="1" shrinkToFit="1"/>
    </xf>
    <xf numFmtId="176" fontId="26" fillId="0" borderId="8" xfId="0" applyNumberFormat="1" applyFont="1" applyFill="1" applyBorder="1" applyAlignment="1">
      <alignment horizontal="center" vertical="center" wrapText="1" shrinkToFit="1"/>
    </xf>
    <xf numFmtId="176" fontId="27" fillId="2" borderId="8" xfId="0" applyNumberFormat="1" applyFont="1" applyFill="1" applyBorder="1" applyAlignment="1">
      <alignment horizontal="center" vertical="center" wrapText="1" shrinkToFit="1"/>
    </xf>
    <xf numFmtId="176" fontId="24" fillId="0" borderId="5" xfId="0" applyNumberFormat="1" applyFont="1" applyFill="1" applyBorder="1" applyAlignment="1">
      <alignment horizontal="center" vertical="center" wrapText="1" shrinkToFit="1"/>
    </xf>
    <xf numFmtId="183" fontId="24" fillId="0" borderId="5" xfId="0" applyNumberFormat="1" applyFont="1" applyFill="1" applyBorder="1" applyAlignment="1">
      <alignment horizontal="center" vertical="center" wrapText="1"/>
    </xf>
    <xf numFmtId="183" fontId="24" fillId="0" borderId="8" xfId="0" applyNumberFormat="1" applyFont="1" applyFill="1" applyBorder="1" applyAlignment="1">
      <alignment horizontal="center" vertical="center" wrapText="1"/>
    </xf>
    <xf numFmtId="176" fontId="24" fillId="0" borderId="8" xfId="0" applyNumberFormat="1" applyFont="1" applyFill="1" applyBorder="1" applyAlignment="1">
      <alignment horizontal="center" vertical="center" wrapText="1"/>
    </xf>
    <xf numFmtId="0" fontId="6" fillId="0" borderId="5" xfId="0" applyFont="1" applyFill="1" applyBorder="1" applyAlignment="1">
      <alignment horizontal="center" vertical="center" wrapText="1" shrinkToFit="1"/>
    </xf>
    <xf numFmtId="0" fontId="28" fillId="0" borderId="8" xfId="0" applyNumberFormat="1" applyFont="1" applyFill="1" applyBorder="1" applyAlignment="1">
      <alignment horizontal="center" vertical="center" wrapText="1" shrinkToFit="1"/>
    </xf>
    <xf numFmtId="0" fontId="6" fillId="0" borderId="8" xfId="0" applyNumberFormat="1" applyFont="1" applyFill="1" applyBorder="1" applyAlignment="1">
      <alignment horizontal="center" vertical="center" wrapText="1"/>
    </xf>
    <xf numFmtId="179" fontId="28" fillId="0" borderId="8" xfId="0" applyNumberFormat="1" applyFont="1" applyFill="1" applyBorder="1" applyAlignment="1">
      <alignment horizontal="center" vertical="center"/>
    </xf>
    <xf numFmtId="49" fontId="7" fillId="0" borderId="5" xfId="0" applyNumberFormat="1" applyFont="1" applyFill="1" applyBorder="1" applyAlignment="1">
      <alignment horizontal="center" vertical="center" wrapText="1"/>
    </xf>
    <xf numFmtId="0" fontId="7" fillId="0" borderId="5" xfId="0" applyFont="1" applyFill="1" applyBorder="1" applyAlignment="1">
      <alignment horizontal="center" vertical="center" wrapText="1" shrinkToFit="1"/>
    </xf>
    <xf numFmtId="0" fontId="29" fillId="0" borderId="8" xfId="0" applyNumberFormat="1" applyFont="1" applyFill="1" applyBorder="1" applyAlignment="1">
      <alignment horizontal="center" vertical="center" shrinkToFit="1"/>
    </xf>
    <xf numFmtId="0" fontId="28" fillId="0" borderId="8" xfId="0" applyFont="1" applyFill="1" applyBorder="1" applyAlignment="1">
      <alignment horizontal="center" vertical="center" wrapText="1"/>
    </xf>
    <xf numFmtId="0" fontId="28" fillId="0" borderId="8" xfId="0" applyNumberFormat="1" applyFont="1" applyFill="1" applyBorder="1" applyAlignment="1">
      <alignment horizontal="center" vertical="center" shrinkToFit="1"/>
    </xf>
    <xf numFmtId="0" fontId="28" fillId="0" borderId="17" xfId="0" applyFont="1" applyFill="1" applyBorder="1" applyAlignment="1">
      <alignment horizontal="center" vertical="center" wrapText="1" shrinkToFit="1"/>
    </xf>
    <xf numFmtId="0" fontId="28" fillId="0" borderId="8" xfId="0" applyFont="1" applyFill="1" applyBorder="1" applyAlignment="1">
      <alignment horizontal="center" vertical="center" wrapText="1" shrinkToFit="1"/>
    </xf>
    <xf numFmtId="0" fontId="28" fillId="0" borderId="8" xfId="0" applyFont="1" applyFill="1" applyBorder="1" applyAlignment="1">
      <alignment horizontal="center" vertical="center"/>
    </xf>
    <xf numFmtId="180" fontId="7" fillId="0" borderId="8" xfId="0" applyNumberFormat="1" applyFont="1" applyFill="1" applyBorder="1" applyAlignment="1">
      <alignment horizontal="center" vertical="center" wrapText="1" shrinkToFit="1"/>
    </xf>
    <xf numFmtId="178" fontId="7" fillId="0" borderId="8" xfId="0" applyNumberFormat="1" applyFont="1" applyFill="1" applyBorder="1" applyAlignment="1">
      <alignment horizontal="center" vertical="center" wrapText="1"/>
    </xf>
    <xf numFmtId="178" fontId="7" fillId="0" borderId="11" xfId="0" applyNumberFormat="1"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8" xfId="0" applyNumberFormat="1" applyFont="1" applyFill="1" applyBorder="1" applyAlignment="1">
      <alignment horizontal="center" vertical="center" wrapText="1"/>
    </xf>
    <xf numFmtId="0" fontId="7" fillId="0" borderId="8" xfId="0" applyFont="1" applyFill="1" applyBorder="1" applyAlignment="1">
      <alignment horizontal="center" vertical="center"/>
    </xf>
    <xf numFmtId="181" fontId="28" fillId="0" borderId="5" xfId="0" applyNumberFormat="1" applyFont="1" applyFill="1" applyBorder="1" applyAlignment="1">
      <alignment horizontal="center" vertical="center"/>
    </xf>
    <xf numFmtId="182" fontId="28" fillId="0" borderId="8" xfId="0" applyNumberFormat="1" applyFont="1" applyFill="1" applyBorder="1" applyAlignment="1">
      <alignment horizontal="center" vertical="center"/>
    </xf>
    <xf numFmtId="0" fontId="28" fillId="0" borderId="8" xfId="0" applyNumberFormat="1" applyFont="1" applyFill="1" applyBorder="1" applyAlignment="1">
      <alignment horizontal="center" vertical="center"/>
    </xf>
    <xf numFmtId="0" fontId="28" fillId="0" borderId="16" xfId="0" applyNumberFormat="1" applyFont="1" applyFill="1" applyBorder="1" applyAlignment="1">
      <alignment horizontal="center" vertical="center"/>
    </xf>
    <xf numFmtId="176" fontId="28" fillId="0" borderId="8" xfId="0" applyNumberFormat="1" applyFont="1" applyFill="1" applyBorder="1" applyAlignment="1">
      <alignment horizontal="center" vertical="center" wrapText="1" shrinkToFit="1"/>
    </xf>
    <xf numFmtId="0" fontId="7" fillId="0" borderId="17" xfId="0" applyFont="1" applyFill="1" applyBorder="1" applyAlignment="1">
      <alignment horizontal="center" vertical="center"/>
    </xf>
    <xf numFmtId="0" fontId="25" fillId="0" borderId="8" xfId="0" applyNumberFormat="1" applyFont="1" applyFill="1" applyBorder="1" applyAlignment="1">
      <alignment horizontal="center" vertical="center"/>
    </xf>
    <xf numFmtId="0" fontId="25" fillId="0" borderId="5" xfId="0" applyNumberFormat="1" applyFont="1" applyFill="1" applyBorder="1" applyAlignment="1">
      <alignment horizontal="center" vertical="center"/>
    </xf>
    <xf numFmtId="0" fontId="28" fillId="0" borderId="5" xfId="0" applyNumberFormat="1" applyFont="1" applyFill="1" applyBorder="1" applyAlignment="1">
      <alignment horizontal="center" vertical="center"/>
    </xf>
    <xf numFmtId="0" fontId="30" fillId="0" borderId="8" xfId="0" applyFont="1" applyFill="1" applyBorder="1" applyAlignment="1">
      <alignment horizontal="center" vertical="center" wrapText="1" shrinkToFit="1"/>
    </xf>
    <xf numFmtId="176" fontId="30" fillId="0" borderId="8" xfId="0" applyNumberFormat="1" applyFont="1" applyFill="1" applyBorder="1" applyAlignment="1">
      <alignment horizontal="center" vertical="center" wrapText="1" shrinkToFit="1"/>
    </xf>
    <xf numFmtId="176" fontId="27" fillId="0" borderId="8" xfId="0" applyNumberFormat="1" applyFont="1" applyFill="1" applyBorder="1" applyAlignment="1">
      <alignment horizontal="center" vertical="center" wrapText="1" shrinkToFit="1"/>
    </xf>
    <xf numFmtId="176" fontId="28" fillId="0" borderId="5" xfId="0" applyNumberFormat="1" applyFont="1" applyFill="1" applyBorder="1" applyAlignment="1">
      <alignment horizontal="center" vertical="center" wrapText="1" shrinkToFit="1"/>
    </xf>
    <xf numFmtId="183" fontId="28" fillId="0" borderId="5" xfId="0" applyNumberFormat="1" applyFont="1" applyFill="1" applyBorder="1" applyAlignment="1">
      <alignment horizontal="center" vertical="center" wrapText="1"/>
    </xf>
    <xf numFmtId="183" fontId="28" fillId="0" borderId="8" xfId="0" applyNumberFormat="1" applyFont="1" applyFill="1" applyBorder="1" applyAlignment="1">
      <alignment horizontal="center" vertical="center" wrapText="1"/>
    </xf>
    <xf numFmtId="0" fontId="28" fillId="0" borderId="5" xfId="0" applyFont="1" applyFill="1" applyBorder="1" applyAlignment="1">
      <alignment horizontal="center" vertical="center"/>
    </xf>
    <xf numFmtId="181" fontId="7" fillId="0" borderId="5" xfId="0" applyNumberFormat="1" applyFont="1" applyFill="1" applyBorder="1" applyAlignment="1">
      <alignment horizontal="center" vertical="center"/>
    </xf>
    <xf numFmtId="180" fontId="6" fillId="3" borderId="8" xfId="0" applyNumberFormat="1" applyFont="1" applyFill="1" applyBorder="1" applyAlignment="1">
      <alignment horizontal="center" vertical="center" wrapText="1" shrinkToFit="1"/>
    </xf>
    <xf numFmtId="0" fontId="31" fillId="0" borderId="8" xfId="0" applyFont="1" applyFill="1" applyBorder="1" applyAlignment="1">
      <alignment horizontal="center" vertical="center" wrapText="1" shrinkToFit="1"/>
    </xf>
    <xf numFmtId="0" fontId="24" fillId="0" borderId="5" xfId="0" applyFont="1" applyFill="1" applyBorder="1" applyAlignment="1">
      <alignment horizontal="center" vertical="center" wrapText="1" shrinkToFit="1"/>
    </xf>
    <xf numFmtId="0" fontId="6" fillId="0" borderId="8" xfId="0" applyFont="1" applyFill="1" applyBorder="1" applyAlignment="1">
      <alignment horizontal="justify" vertical="center" wrapText="1"/>
    </xf>
    <xf numFmtId="181" fontId="6" fillId="0" borderId="5" xfId="0" applyNumberFormat="1" applyFont="1" applyFill="1" applyBorder="1" applyAlignment="1">
      <alignment horizontal="center" vertical="center"/>
    </xf>
    <xf numFmtId="179" fontId="24" fillId="0" borderId="8" xfId="0" applyNumberFormat="1" applyFont="1" applyFill="1" applyBorder="1" applyAlignment="1" applyProtection="1">
      <alignment horizontal="center" vertical="center"/>
    </xf>
    <xf numFmtId="49" fontId="6" fillId="0" borderId="5" xfId="0" applyNumberFormat="1" applyFont="1" applyFill="1" applyBorder="1" applyAlignment="1" applyProtection="1">
      <alignment horizontal="center" vertical="center" wrapText="1"/>
      <protection locked="0"/>
    </xf>
    <xf numFmtId="0" fontId="6" fillId="0" borderId="5" xfId="0" applyFont="1" applyFill="1" applyBorder="1" applyAlignment="1" applyProtection="1">
      <alignment horizontal="center" vertical="center" wrapText="1" shrinkToFit="1"/>
      <protection locked="0"/>
    </xf>
    <xf numFmtId="0" fontId="18" fillId="0" borderId="8" xfId="0" applyNumberFormat="1" applyFont="1" applyFill="1" applyBorder="1" applyAlignment="1" applyProtection="1">
      <alignment horizontal="center" vertical="center" shrinkToFit="1"/>
      <protection locked="0"/>
    </xf>
    <xf numFmtId="0" fontId="24" fillId="0" borderId="8" xfId="0" applyFont="1" applyFill="1" applyBorder="1" applyAlignment="1" applyProtection="1">
      <alignment horizontal="center" vertical="center" wrapText="1"/>
      <protection locked="0"/>
    </xf>
    <xf numFmtId="0" fontId="24" fillId="0" borderId="8" xfId="0" applyNumberFormat="1" applyFont="1" applyFill="1" applyBorder="1" applyAlignment="1" applyProtection="1">
      <alignment horizontal="center" vertical="center" shrinkToFit="1"/>
      <protection locked="0"/>
    </xf>
    <xf numFmtId="0" fontId="31" fillId="0" borderId="8" xfId="0" applyFont="1" applyFill="1" applyBorder="1" applyAlignment="1" applyProtection="1">
      <alignment horizontal="center" vertical="center" wrapText="1" shrinkToFit="1"/>
      <protection locked="0"/>
    </xf>
    <xf numFmtId="0" fontId="24" fillId="0" borderId="8" xfId="0" applyFont="1" applyFill="1" applyBorder="1" applyAlignment="1" applyProtection="1">
      <alignment horizontal="center" vertical="center" wrapText="1" shrinkToFit="1"/>
      <protection locked="0"/>
    </xf>
    <xf numFmtId="0" fontId="24" fillId="0" borderId="5" xfId="0" applyFont="1" applyFill="1" applyBorder="1" applyAlignment="1" applyProtection="1">
      <alignment horizontal="center" vertical="center" wrapText="1" shrinkToFit="1"/>
      <protection locked="0"/>
    </xf>
    <xf numFmtId="0" fontId="24" fillId="0" borderId="5" xfId="0" applyFont="1" applyFill="1" applyBorder="1" applyAlignment="1" applyProtection="1">
      <alignment horizontal="center" vertical="center"/>
      <protection locked="0"/>
    </xf>
    <xf numFmtId="0" fontId="24" fillId="0" borderId="5" xfId="0" applyFont="1" applyFill="1" applyBorder="1" applyAlignment="1" applyProtection="1">
      <alignment horizontal="center" vertical="center"/>
    </xf>
    <xf numFmtId="0" fontId="24" fillId="0" borderId="8" xfId="0" applyFont="1" applyFill="1" applyBorder="1" applyAlignment="1" applyProtection="1">
      <alignment horizontal="center" vertical="center"/>
    </xf>
    <xf numFmtId="180" fontId="6" fillId="0" borderId="8" xfId="0" applyNumberFormat="1" applyFont="1" applyFill="1" applyBorder="1" applyAlignment="1" applyProtection="1">
      <alignment horizontal="center" vertical="center" wrapText="1" shrinkToFit="1"/>
    </xf>
    <xf numFmtId="178" fontId="32" fillId="0" borderId="8" xfId="0" applyNumberFormat="1" applyFont="1" applyFill="1" applyBorder="1" applyAlignment="1" applyProtection="1">
      <alignment horizontal="center" vertical="center" wrapText="1"/>
    </xf>
    <xf numFmtId="0" fontId="32" fillId="3" borderId="8" xfId="0" applyNumberFormat="1" applyFont="1" applyFill="1" applyBorder="1" applyAlignment="1" applyProtection="1">
      <alignment horizontal="center" vertical="center" wrapText="1"/>
    </xf>
    <xf numFmtId="178" fontId="6" fillId="0" borderId="11" xfId="0" applyNumberFormat="1" applyFont="1" applyFill="1" applyBorder="1" applyAlignment="1" applyProtection="1">
      <alignment horizontal="center" vertical="center" wrapText="1"/>
    </xf>
    <xf numFmtId="0" fontId="6" fillId="0" borderId="8" xfId="0" applyFont="1" applyFill="1" applyBorder="1" applyAlignment="1" applyProtection="1">
      <alignment horizontal="center" vertical="center" wrapText="1"/>
    </xf>
    <xf numFmtId="0" fontId="6" fillId="0" borderId="8" xfId="0" applyNumberFormat="1" applyFont="1" applyFill="1" applyBorder="1" applyAlignment="1" applyProtection="1">
      <alignment horizontal="center" vertical="center" wrapText="1"/>
    </xf>
    <xf numFmtId="0" fontId="6" fillId="0" borderId="8" xfId="0" applyFont="1" applyFill="1" applyBorder="1" applyAlignment="1" applyProtection="1">
      <alignment horizontal="center" vertical="center"/>
    </xf>
    <xf numFmtId="181" fontId="6" fillId="0" borderId="5" xfId="0" applyNumberFormat="1" applyFont="1" applyFill="1" applyBorder="1" applyAlignment="1" applyProtection="1">
      <alignment horizontal="center" vertical="center"/>
    </xf>
    <xf numFmtId="182" fontId="24" fillId="0" borderId="8" xfId="0" applyNumberFormat="1" applyFont="1" applyFill="1" applyBorder="1" applyAlignment="1" applyProtection="1">
      <alignment horizontal="center" vertical="center"/>
    </xf>
    <xf numFmtId="0" fontId="24" fillId="0" borderId="8" xfId="0" applyNumberFormat="1" applyFont="1" applyFill="1" applyBorder="1" applyAlignment="1" applyProtection="1">
      <alignment horizontal="center" vertical="center"/>
    </xf>
    <xf numFmtId="0" fontId="24" fillId="0" borderId="16" xfId="0" applyNumberFormat="1" applyFont="1" applyFill="1" applyBorder="1" applyAlignment="1" applyProtection="1">
      <alignment horizontal="center" vertical="center"/>
    </xf>
    <xf numFmtId="176" fontId="24" fillId="0" borderId="8" xfId="0" applyNumberFormat="1" applyFont="1" applyFill="1" applyBorder="1" applyAlignment="1" applyProtection="1">
      <alignment horizontal="center" vertical="center" wrapText="1" shrinkToFit="1"/>
    </xf>
    <xf numFmtId="0" fontId="6" fillId="0" borderId="17" xfId="0" applyFont="1" applyFill="1" applyBorder="1" applyAlignment="1" applyProtection="1">
      <alignment horizontal="center" vertical="center"/>
    </xf>
    <xf numFmtId="0" fontId="25" fillId="0" borderId="8" xfId="0" applyNumberFormat="1" applyFont="1" applyFill="1" applyBorder="1" applyAlignment="1" applyProtection="1">
      <alignment horizontal="center" vertical="center"/>
    </xf>
    <xf numFmtId="0" fontId="25" fillId="0" borderId="5" xfId="0" applyNumberFormat="1" applyFont="1" applyFill="1" applyBorder="1" applyAlignment="1" applyProtection="1">
      <alignment horizontal="center" vertical="center"/>
    </xf>
    <xf numFmtId="0" fontId="24" fillId="0" borderId="5" xfId="0" applyNumberFormat="1" applyFont="1" applyFill="1" applyBorder="1" applyAlignment="1" applyProtection="1">
      <alignment horizontal="center" vertical="center"/>
    </xf>
    <xf numFmtId="0" fontId="26" fillId="0" borderId="8" xfId="0" applyFont="1" applyFill="1" applyBorder="1" applyAlignment="1" applyProtection="1">
      <alignment horizontal="center" vertical="center" wrapText="1" shrinkToFit="1"/>
    </xf>
    <xf numFmtId="176" fontId="26" fillId="0" borderId="8" xfId="0" applyNumberFormat="1" applyFont="1" applyFill="1" applyBorder="1" applyAlignment="1" applyProtection="1">
      <alignment horizontal="center" vertical="center" wrapText="1" shrinkToFit="1"/>
    </xf>
    <xf numFmtId="176" fontId="27" fillId="0" borderId="8" xfId="0" applyNumberFormat="1" applyFont="1" applyFill="1" applyBorder="1" applyAlignment="1" applyProtection="1">
      <alignment horizontal="center" vertical="center" wrapText="1" shrinkToFit="1"/>
    </xf>
    <xf numFmtId="176" fontId="24" fillId="0" borderId="5" xfId="0" applyNumberFormat="1" applyFont="1" applyFill="1" applyBorder="1" applyAlignment="1" applyProtection="1">
      <alignment horizontal="center" vertical="center" wrapText="1" shrinkToFit="1"/>
    </xf>
    <xf numFmtId="183" fontId="24" fillId="0" borderId="5" xfId="0" applyNumberFormat="1"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28" fillId="0" borderId="8" xfId="0" applyFont="1" applyFill="1" applyBorder="1" applyAlignment="1" applyProtection="1">
      <alignment horizontal="center" vertical="center" wrapText="1" shrinkToFit="1"/>
    </xf>
    <xf numFmtId="0" fontId="24" fillId="0" borderId="8" xfId="0" applyFont="1" applyFill="1" applyBorder="1" applyAlignment="1" applyProtection="1">
      <alignment horizontal="center" vertical="center"/>
      <protection locked="0"/>
    </xf>
    <xf numFmtId="178" fontId="6" fillId="0" borderId="8" xfId="0" applyNumberFormat="1" applyFont="1" applyFill="1" applyBorder="1" applyAlignment="1" applyProtection="1">
      <alignment horizontal="center" vertical="center" wrapText="1"/>
    </xf>
    <xf numFmtId="180" fontId="6" fillId="0" borderId="11" xfId="0" applyNumberFormat="1" applyFont="1" applyFill="1" applyBorder="1" applyAlignment="1" applyProtection="1">
      <alignment horizontal="center" vertical="center" wrapText="1" shrinkToFit="1"/>
    </xf>
    <xf numFmtId="178" fontId="6" fillId="0" borderId="18" xfId="0" applyNumberFormat="1" applyFont="1" applyFill="1" applyBorder="1" applyAlignment="1" applyProtection="1">
      <alignment horizontal="center" vertical="center" wrapText="1"/>
    </xf>
    <xf numFmtId="181" fontId="24" fillId="0" borderId="5" xfId="0" applyNumberFormat="1" applyFont="1" applyFill="1" applyBorder="1" applyAlignment="1" applyProtection="1">
      <alignment horizontal="center" vertical="center"/>
    </xf>
    <xf numFmtId="0" fontId="28" fillId="2" borderId="8" xfId="0" applyNumberFormat="1" applyFont="1" applyFill="1" applyBorder="1" applyAlignment="1" applyProtection="1">
      <alignment horizontal="center" vertical="center"/>
    </xf>
    <xf numFmtId="0" fontId="28" fillId="2" borderId="5" xfId="0" applyNumberFormat="1" applyFont="1" applyFill="1" applyBorder="1" applyAlignment="1" applyProtection="1">
      <alignment horizontal="center" vertical="center"/>
    </xf>
    <xf numFmtId="0" fontId="24" fillId="4" borderId="8" xfId="0" applyNumberFormat="1" applyFont="1" applyFill="1" applyBorder="1" applyAlignment="1" applyProtection="1">
      <alignment horizontal="center" vertical="center"/>
    </xf>
    <xf numFmtId="176" fontId="30" fillId="2" borderId="8" xfId="0" applyNumberFormat="1" applyFont="1" applyFill="1" applyBorder="1" applyAlignment="1" applyProtection="1">
      <alignment horizontal="center" vertical="center" wrapText="1" shrinkToFit="1"/>
    </xf>
    <xf numFmtId="176" fontId="24" fillId="4" borderId="5" xfId="0" applyNumberFormat="1" applyFont="1" applyFill="1" applyBorder="1" applyAlignment="1" applyProtection="1">
      <alignment horizontal="center" vertical="center" wrapText="1" shrinkToFit="1"/>
    </xf>
    <xf numFmtId="183" fontId="24" fillId="0" borderId="8" xfId="0" applyNumberFormat="1" applyFont="1" applyFill="1" applyBorder="1" applyAlignment="1" applyProtection="1">
      <alignment horizontal="center" vertical="center" wrapText="1"/>
    </xf>
    <xf numFmtId="0" fontId="24" fillId="3" borderId="8" xfId="0" applyNumberFormat="1" applyFont="1" applyFill="1" applyBorder="1" applyAlignment="1" applyProtection="1">
      <alignment horizontal="center" vertical="center"/>
    </xf>
    <xf numFmtId="0" fontId="24" fillId="3" borderId="5" xfId="0" applyNumberFormat="1" applyFont="1" applyFill="1" applyBorder="1" applyAlignment="1" applyProtection="1">
      <alignment horizontal="center" vertical="center"/>
    </xf>
    <xf numFmtId="176" fontId="26" fillId="3" borderId="8" xfId="0" applyNumberFormat="1" applyFont="1" applyFill="1" applyBorder="1" applyAlignment="1" applyProtection="1">
      <alignment horizontal="center" vertical="center" wrapText="1" shrinkToFit="1"/>
    </xf>
    <xf numFmtId="0" fontId="18" fillId="5" borderId="8" xfId="0" applyNumberFormat="1" applyFont="1" applyFill="1" applyBorder="1" applyAlignment="1" applyProtection="1">
      <alignment horizontal="center" vertical="center" shrinkToFit="1"/>
      <protection locked="0"/>
    </xf>
    <xf numFmtId="0" fontId="24" fillId="0" borderId="17" xfId="0" applyFont="1" applyFill="1" applyBorder="1" applyAlignment="1" applyProtection="1">
      <alignment horizontal="center" vertical="center" wrapText="1" shrinkToFit="1"/>
      <protection locked="0"/>
    </xf>
    <xf numFmtId="3" fontId="24" fillId="0" borderId="8" xfId="0" applyNumberFormat="1" applyFont="1" applyFill="1" applyBorder="1" applyAlignment="1" applyProtection="1">
      <alignment horizontal="center" vertical="center"/>
      <protection locked="0"/>
    </xf>
    <xf numFmtId="0" fontId="24" fillId="0" borderId="5" xfId="0" applyFont="1" applyFill="1" applyBorder="1" applyAlignment="1" applyProtection="1">
      <alignment horizontal="center" vertical="center" wrapText="1" shrinkToFit="1"/>
    </xf>
    <xf numFmtId="176" fontId="28" fillId="2" borderId="8" xfId="0" applyNumberFormat="1" applyFont="1" applyFill="1" applyBorder="1" applyAlignment="1" applyProtection="1">
      <alignment horizontal="center" vertical="center" wrapText="1" shrinkToFit="1"/>
    </xf>
    <xf numFmtId="176" fontId="28" fillId="2" borderId="5" xfId="0" applyNumberFormat="1" applyFont="1" applyFill="1" applyBorder="1" applyAlignment="1" applyProtection="1">
      <alignment horizontal="center" vertical="center" wrapText="1" shrinkToFit="1"/>
    </xf>
    <xf numFmtId="176" fontId="26" fillId="0" borderId="5" xfId="0" applyNumberFormat="1" applyFont="1" applyFill="1" applyBorder="1" applyAlignment="1" applyProtection="1">
      <alignment horizontal="center" vertical="center" wrapText="1" shrinkToFit="1"/>
    </xf>
    <xf numFmtId="183" fontId="28" fillId="2" borderId="8" xfId="0" applyNumberFormat="1" applyFont="1" applyFill="1" applyBorder="1" applyAlignment="1" applyProtection="1">
      <alignment horizontal="center" vertical="center" wrapText="1"/>
    </xf>
    <xf numFmtId="176" fontId="30" fillId="2" borderId="0" xfId="0" applyNumberFormat="1" applyFont="1" applyFill="1" applyAlignment="1" applyProtection="1">
      <alignment horizontal="center" vertical="center"/>
      <protection locked="0"/>
    </xf>
    <xf numFmtId="0" fontId="24" fillId="2" borderId="5" xfId="0" applyNumberFormat="1" applyFont="1" applyFill="1" applyBorder="1" applyAlignment="1" applyProtection="1">
      <alignment horizontal="center" vertical="center"/>
    </xf>
    <xf numFmtId="0" fontId="24" fillId="2" borderId="8" xfId="0" applyNumberFormat="1" applyFont="1" applyFill="1" applyBorder="1" applyAlignment="1" applyProtection="1">
      <alignment horizontal="center" vertical="center"/>
    </xf>
    <xf numFmtId="176" fontId="24" fillId="2" borderId="8" xfId="0" applyNumberFormat="1" applyFont="1" applyFill="1" applyBorder="1" applyAlignment="1" applyProtection="1">
      <alignment horizontal="center" vertical="center" wrapText="1" shrinkToFit="1"/>
    </xf>
    <xf numFmtId="176" fontId="24" fillId="2" borderId="5" xfId="0" applyNumberFormat="1" applyFont="1" applyFill="1" applyBorder="1" applyAlignment="1" applyProtection="1">
      <alignment horizontal="center" vertical="center" wrapText="1" shrinkToFit="1"/>
    </xf>
    <xf numFmtId="176" fontId="26" fillId="2" borderId="8" xfId="0" applyNumberFormat="1" applyFont="1" applyFill="1" applyBorder="1" applyAlignment="1" applyProtection="1">
      <alignment horizontal="center" vertical="center" wrapText="1" shrinkToFit="1"/>
    </xf>
    <xf numFmtId="183" fontId="24" fillId="2" borderId="8" xfId="0" applyNumberFormat="1" applyFont="1" applyFill="1" applyBorder="1" applyAlignment="1" applyProtection="1">
      <alignment horizontal="center" vertical="center" wrapText="1"/>
    </xf>
    <xf numFmtId="176" fontId="26" fillId="2" borderId="0" xfId="0" applyNumberFormat="1" applyFont="1" applyFill="1" applyAlignment="1" applyProtection="1">
      <alignment horizontal="center" vertical="center"/>
      <protection locked="0"/>
    </xf>
    <xf numFmtId="0" fontId="24" fillId="0" borderId="5" xfId="0" applyFont="1" applyFill="1" applyBorder="1" applyAlignment="1" applyProtection="1">
      <alignment horizontal="center" vertical="center" wrapText="1"/>
      <protection locked="0"/>
    </xf>
    <xf numFmtId="180" fontId="6" fillId="3" borderId="8" xfId="0" applyNumberFormat="1" applyFont="1" applyFill="1" applyBorder="1" applyAlignment="1" applyProtection="1">
      <alignment horizontal="center" vertical="center" wrapText="1" shrinkToFit="1"/>
    </xf>
    <xf numFmtId="178" fontId="24" fillId="0" borderId="0" xfId="0" applyNumberFormat="1" applyFont="1" applyFill="1" applyAlignment="1" applyProtection="1">
      <alignment horizontal="center" vertical="center" wrapText="1"/>
    </xf>
    <xf numFmtId="184" fontId="6" fillId="0" borderId="5" xfId="0" applyNumberFormat="1" applyFont="1" applyFill="1" applyBorder="1" applyAlignment="1" applyProtection="1">
      <alignment horizontal="center" vertical="center"/>
    </xf>
    <xf numFmtId="182" fontId="24" fillId="0" borderId="5" xfId="0" applyNumberFormat="1" applyFont="1" applyFill="1" applyBorder="1" applyAlignment="1" applyProtection="1">
      <alignment horizontal="center" vertical="center"/>
    </xf>
    <xf numFmtId="0" fontId="24" fillId="6" borderId="8" xfId="0" applyNumberFormat="1" applyFont="1" applyFill="1" applyBorder="1" applyAlignment="1" applyProtection="1">
      <alignment horizontal="center" vertical="center"/>
    </xf>
    <xf numFmtId="0" fontId="24" fillId="6" borderId="5" xfId="0" applyNumberFormat="1" applyFont="1" applyFill="1" applyBorder="1" applyAlignment="1" applyProtection="1">
      <alignment horizontal="center" vertical="center"/>
    </xf>
    <xf numFmtId="176" fontId="24" fillId="6" borderId="8" xfId="0" applyNumberFormat="1" applyFont="1" applyFill="1" applyBorder="1" applyAlignment="1" applyProtection="1">
      <alignment horizontal="center" vertical="center" wrapText="1" shrinkToFit="1"/>
    </xf>
    <xf numFmtId="176" fontId="26" fillId="6" borderId="8" xfId="0" applyNumberFormat="1" applyFont="1" applyFill="1" applyBorder="1" applyAlignment="1" applyProtection="1">
      <alignment horizontal="center" vertical="center" wrapText="1" shrinkToFit="1"/>
    </xf>
    <xf numFmtId="183" fontId="24" fillId="6" borderId="8" xfId="0" applyNumberFormat="1" applyFont="1" applyFill="1" applyBorder="1" applyAlignment="1" applyProtection="1">
      <alignment horizontal="center" vertical="center" wrapText="1"/>
    </xf>
    <xf numFmtId="176" fontId="26" fillId="6" borderId="0" xfId="0" applyNumberFormat="1" applyFont="1" applyFill="1" applyAlignment="1" applyProtection="1">
      <alignment horizontal="center" vertical="center"/>
      <protection locked="0"/>
    </xf>
    <xf numFmtId="0" fontId="15" fillId="0" borderId="0" xfId="0" applyFont="1" applyFill="1" applyProtection="1">
      <alignment vertical="center"/>
      <protection locked="0"/>
    </xf>
    <xf numFmtId="49" fontId="6" fillId="0" borderId="8" xfId="0" applyNumberFormat="1" applyFont="1" applyFill="1" applyBorder="1" applyAlignment="1" applyProtection="1">
      <alignment horizontal="center" vertical="center" wrapText="1"/>
      <protection locked="0"/>
    </xf>
    <xf numFmtId="0" fontId="6" fillId="0" borderId="8" xfId="0" applyFont="1" applyFill="1" applyBorder="1" applyAlignment="1" applyProtection="1">
      <alignment horizontal="center" vertical="center" wrapText="1" shrinkToFit="1"/>
      <protection locked="0"/>
    </xf>
    <xf numFmtId="178" fontId="15" fillId="0" borderId="8" xfId="0" applyNumberFormat="1" applyFont="1" applyFill="1" applyBorder="1" applyAlignment="1" applyProtection="1">
      <alignment horizontal="center" vertical="center" wrapText="1"/>
    </xf>
    <xf numFmtId="178" fontId="5" fillId="0" borderId="8" xfId="0" applyNumberFormat="1" applyFont="1" applyFill="1" applyBorder="1" applyAlignment="1" applyProtection="1">
      <alignment horizontal="center" vertical="center" wrapText="1"/>
    </xf>
    <xf numFmtId="181" fontId="24" fillId="0" borderId="8" xfId="0" applyNumberFormat="1" applyFont="1" applyFill="1" applyBorder="1" applyAlignment="1" applyProtection="1">
      <alignment horizontal="center" vertical="center"/>
    </xf>
    <xf numFmtId="182" fontId="33" fillId="7" borderId="8" xfId="0" applyNumberFormat="1" applyFont="1" applyFill="1" applyBorder="1" applyAlignment="1" applyProtection="1">
      <alignment horizontal="center" vertical="center"/>
    </xf>
    <xf numFmtId="176" fontId="24" fillId="5" borderId="8" xfId="0" applyNumberFormat="1" applyFont="1" applyFill="1" applyBorder="1" applyAlignment="1" applyProtection="1">
      <alignment horizontal="center" vertical="center" wrapText="1" shrinkToFit="1"/>
    </xf>
    <xf numFmtId="0" fontId="25" fillId="2" borderId="8" xfId="0" applyNumberFormat="1" applyFont="1" applyFill="1" applyBorder="1" applyAlignment="1" applyProtection="1">
      <alignment horizontal="center" vertical="center"/>
    </xf>
    <xf numFmtId="0" fontId="25" fillId="0" borderId="8" xfId="0" applyFont="1" applyFill="1" applyBorder="1" applyAlignment="1" applyProtection="1">
      <alignment horizontal="center" vertical="center" wrapText="1" shrinkToFit="1"/>
    </xf>
    <xf numFmtId="176" fontId="25" fillId="2" borderId="8" xfId="0" applyNumberFormat="1" applyFont="1" applyFill="1" applyBorder="1" applyAlignment="1" applyProtection="1">
      <alignment horizontal="center" vertical="center" wrapText="1" shrinkToFit="1"/>
    </xf>
    <xf numFmtId="176" fontId="25" fillId="0" borderId="8" xfId="0" applyNumberFormat="1" applyFont="1" applyFill="1" applyBorder="1" applyAlignment="1" applyProtection="1">
      <alignment horizontal="center" vertical="center" wrapText="1" shrinkToFit="1"/>
    </xf>
    <xf numFmtId="176" fontId="27" fillId="2" borderId="8" xfId="0" applyNumberFormat="1" applyFont="1" applyFill="1" applyBorder="1" applyAlignment="1" applyProtection="1">
      <alignment horizontal="center" vertical="center" wrapText="1" shrinkToFit="1"/>
    </xf>
    <xf numFmtId="0" fontId="34" fillId="0" borderId="8" xfId="0" applyFont="1" applyFill="1" applyBorder="1" applyAlignment="1" applyProtection="1">
      <alignment horizontal="center" vertical="center" wrapText="1"/>
    </xf>
    <xf numFmtId="183" fontId="25" fillId="2" borderId="8" xfId="0" applyNumberFormat="1" applyFont="1" applyFill="1" applyBorder="1" applyAlignment="1" applyProtection="1">
      <alignment horizontal="center" vertical="center" wrapText="1"/>
    </xf>
    <xf numFmtId="183" fontId="25" fillId="0" borderId="8" xfId="0" applyNumberFormat="1" applyFont="1" applyFill="1" applyBorder="1" applyAlignment="1" applyProtection="1">
      <alignment horizontal="center" vertical="center" wrapText="1"/>
    </xf>
    <xf numFmtId="176" fontId="27" fillId="2" borderId="8" xfId="0" applyNumberFormat="1" applyFont="1" applyFill="1" applyBorder="1" applyAlignment="1" applyProtection="1">
      <alignment horizontal="center" vertical="center"/>
      <protection locked="0"/>
    </xf>
    <xf numFmtId="0" fontId="15" fillId="0" borderId="0" xfId="0" applyFont="1" applyFill="1" applyBorder="1" applyProtection="1">
      <alignment vertical="center"/>
      <protection locked="0"/>
    </xf>
    <xf numFmtId="179" fontId="24" fillId="0" borderId="15" xfId="0" applyNumberFormat="1" applyFont="1" applyFill="1" applyBorder="1" applyAlignment="1" applyProtection="1">
      <alignment horizontal="center" vertical="center"/>
    </xf>
    <xf numFmtId="49" fontId="6" fillId="0" borderId="15" xfId="0" applyNumberFormat="1" applyFont="1" applyFill="1" applyBorder="1" applyAlignment="1" applyProtection="1">
      <alignment horizontal="center" vertical="center" wrapText="1"/>
      <protection locked="0"/>
    </xf>
    <xf numFmtId="0" fontId="6" fillId="0" borderId="15" xfId="0" applyFont="1" applyFill="1" applyBorder="1" applyAlignment="1" applyProtection="1">
      <alignment horizontal="center" vertical="center" wrapText="1" shrinkToFit="1"/>
      <protection locked="0"/>
    </xf>
    <xf numFmtId="0" fontId="18" fillId="0" borderId="15" xfId="0" applyNumberFormat="1" applyFont="1" applyFill="1" applyBorder="1" applyAlignment="1" applyProtection="1">
      <alignment horizontal="center" vertical="center" shrinkToFit="1"/>
      <protection locked="0"/>
    </xf>
    <xf numFmtId="0" fontId="24" fillId="0" borderId="15" xfId="0" applyFont="1" applyFill="1" applyBorder="1" applyAlignment="1" applyProtection="1">
      <alignment horizontal="center" vertical="center" wrapText="1"/>
      <protection locked="0"/>
    </xf>
    <xf numFmtId="0" fontId="24" fillId="0" borderId="15" xfId="0" applyFont="1" applyFill="1" applyBorder="1" applyAlignment="1" applyProtection="1">
      <alignment horizontal="center" vertical="center" wrapText="1" shrinkToFit="1"/>
      <protection locked="0"/>
    </xf>
    <xf numFmtId="0" fontId="33" fillId="0" borderId="15" xfId="0" applyFont="1" applyFill="1" applyBorder="1" applyAlignment="1" applyProtection="1">
      <alignment horizontal="center" vertical="center" wrapText="1" shrinkToFit="1"/>
      <protection locked="0"/>
    </xf>
    <xf numFmtId="0" fontId="24" fillId="0" borderId="15" xfId="0" applyFont="1" applyFill="1" applyBorder="1" applyAlignment="1" applyProtection="1">
      <alignment horizontal="center" vertical="center"/>
      <protection locked="0"/>
    </xf>
    <xf numFmtId="0" fontId="24" fillId="0" borderId="15" xfId="0" applyFont="1" applyFill="1" applyBorder="1" applyAlignment="1" applyProtection="1">
      <alignment horizontal="center" vertical="center"/>
    </xf>
    <xf numFmtId="180" fontId="6" fillId="0" borderId="15" xfId="0" applyNumberFormat="1" applyFont="1" applyFill="1" applyBorder="1" applyAlignment="1" applyProtection="1">
      <alignment horizontal="center" vertical="center" wrapText="1" shrinkToFit="1"/>
    </xf>
    <xf numFmtId="180" fontId="15" fillId="0" borderId="15" xfId="0" applyNumberFormat="1" applyFont="1" applyFill="1" applyBorder="1" applyAlignment="1" applyProtection="1">
      <alignment horizontal="center" vertical="center" wrapText="1" shrinkToFit="1"/>
    </xf>
    <xf numFmtId="178" fontId="15" fillId="0" borderId="11" xfId="0" applyNumberFormat="1" applyFont="1" applyFill="1" applyBorder="1" applyAlignment="1" applyProtection="1">
      <alignment horizontal="center" vertical="center" wrapText="1"/>
      <protection locked="0"/>
    </xf>
    <xf numFmtId="178" fontId="15" fillId="0" borderId="15" xfId="0" applyNumberFormat="1" applyFont="1" applyFill="1" applyBorder="1" applyAlignment="1" applyProtection="1">
      <alignment horizontal="center" vertical="center" wrapText="1"/>
    </xf>
    <xf numFmtId="178" fontId="6" fillId="0" borderId="15" xfId="0" applyNumberFormat="1" applyFont="1" applyFill="1" applyBorder="1" applyAlignment="1" applyProtection="1">
      <alignment horizontal="center" vertical="center" wrapText="1"/>
    </xf>
    <xf numFmtId="0" fontId="15" fillId="0" borderId="15" xfId="0" applyFont="1" applyFill="1" applyBorder="1" applyAlignment="1" applyProtection="1">
      <alignment horizontal="center" vertical="center" wrapText="1"/>
    </xf>
    <xf numFmtId="0" fontId="6" fillId="0" borderId="15" xfId="0" applyNumberFormat="1" applyFont="1" applyFill="1" applyBorder="1" applyAlignment="1" applyProtection="1">
      <alignment horizontal="center" vertical="center" wrapText="1"/>
    </xf>
    <xf numFmtId="0" fontId="6" fillId="0" borderId="15" xfId="0" applyFont="1" applyFill="1" applyBorder="1" applyAlignment="1" applyProtection="1">
      <alignment horizontal="center" vertical="center"/>
    </xf>
    <xf numFmtId="181" fontId="24" fillId="0" borderId="15" xfId="0" applyNumberFormat="1" applyFont="1" applyFill="1" applyBorder="1" applyAlignment="1" applyProtection="1">
      <alignment horizontal="center" vertical="center"/>
    </xf>
    <xf numFmtId="182" fontId="24" fillId="0" borderId="15" xfId="0" applyNumberFormat="1" applyFont="1" applyFill="1" applyBorder="1" applyAlignment="1" applyProtection="1">
      <alignment horizontal="center" vertical="center"/>
    </xf>
    <xf numFmtId="0" fontId="24" fillId="0" borderId="15" xfId="0" applyNumberFormat="1" applyFont="1" applyFill="1" applyBorder="1" applyAlignment="1" applyProtection="1">
      <alignment horizontal="center" vertical="center"/>
    </xf>
    <xf numFmtId="182" fontId="33" fillId="0" borderId="15" xfId="0" applyNumberFormat="1" applyFont="1" applyFill="1" applyBorder="1" applyAlignment="1" applyProtection="1">
      <alignment horizontal="center" vertical="center"/>
    </xf>
    <xf numFmtId="0" fontId="35" fillId="0" borderId="8" xfId="0" applyFont="1" applyFill="1" applyBorder="1" applyAlignment="1" applyProtection="1">
      <alignment horizontal="center" vertical="center" wrapText="1" shrinkToFit="1"/>
      <protection locked="0"/>
    </xf>
    <xf numFmtId="0" fontId="15" fillId="0" borderId="15" xfId="0" applyFont="1" applyFill="1" applyBorder="1" applyAlignment="1" applyProtection="1">
      <alignment horizontal="center" vertical="center"/>
    </xf>
    <xf numFmtId="176" fontId="24" fillId="0" borderId="15" xfId="0" applyNumberFormat="1" applyFont="1" applyFill="1" applyBorder="1" applyAlignment="1" applyProtection="1">
      <alignment horizontal="center" vertical="center" wrapText="1" shrinkToFit="1"/>
    </xf>
    <xf numFmtId="0" fontId="25" fillId="0" borderId="17" xfId="0" applyNumberFormat="1" applyFont="1" applyFill="1" applyBorder="1" applyAlignment="1" applyProtection="1">
      <alignment horizontal="center" vertical="center"/>
    </xf>
    <xf numFmtId="176" fontId="25" fillId="0" borderId="16" xfId="0" applyNumberFormat="1" applyFont="1" applyFill="1" applyBorder="1" applyAlignment="1" applyProtection="1">
      <alignment horizontal="center" vertical="center" wrapText="1" shrinkToFit="1"/>
    </xf>
    <xf numFmtId="176" fontId="25" fillId="0" borderId="17" xfId="0" applyNumberFormat="1" applyFont="1" applyFill="1" applyBorder="1" applyAlignment="1" applyProtection="1">
      <alignment horizontal="center" vertical="center" wrapText="1" shrinkToFit="1"/>
    </xf>
    <xf numFmtId="176" fontId="27" fillId="0" borderId="16" xfId="0" applyNumberFormat="1" applyFont="1" applyFill="1" applyBorder="1" applyAlignment="1" applyProtection="1">
      <alignment horizontal="center" vertical="center" wrapText="1" shrinkToFit="1"/>
    </xf>
    <xf numFmtId="176" fontId="24" fillId="0" borderId="11" xfId="0" applyNumberFormat="1" applyFont="1" applyFill="1" applyBorder="1" applyAlignment="1" applyProtection="1">
      <alignment horizontal="center" vertical="center" wrapText="1" shrinkToFit="1"/>
      <protection locked="0"/>
    </xf>
    <xf numFmtId="183" fontId="24" fillId="0" borderId="15" xfId="0" applyNumberFormat="1" applyFont="1" applyFill="1" applyBorder="1" applyAlignment="1" applyProtection="1">
      <alignment horizontal="center" vertical="center" wrapText="1"/>
    </xf>
    <xf numFmtId="0" fontId="25" fillId="0" borderId="17" xfId="0" applyFont="1" applyFill="1" applyBorder="1" applyAlignment="1" applyProtection="1">
      <alignment horizontal="center" vertical="center" wrapText="1"/>
    </xf>
    <xf numFmtId="0" fontId="25" fillId="0" borderId="16" xfId="0" applyFont="1" applyFill="1" applyBorder="1" applyAlignment="1" applyProtection="1">
      <alignment horizontal="center" vertical="center" wrapText="1"/>
    </xf>
    <xf numFmtId="176" fontId="26" fillId="0" borderId="15" xfId="0" applyNumberFormat="1" applyFont="1" applyFill="1" applyBorder="1" applyAlignment="1" applyProtection="1">
      <alignment horizontal="center" vertical="center" wrapText="1" shrinkToFit="1"/>
    </xf>
    <xf numFmtId="176" fontId="27" fillId="0" borderId="17" xfId="0" applyNumberFormat="1" applyFont="1" applyFill="1" applyBorder="1" applyAlignment="1" applyProtection="1">
      <alignment horizontal="center" vertical="center" wrapText="1" shrinkToFit="1"/>
    </xf>
    <xf numFmtId="0" fontId="34" fillId="0" borderId="16" xfId="0" applyFont="1" applyFill="1" applyBorder="1" applyAlignment="1" applyProtection="1">
      <alignment horizontal="center" vertical="center" wrapText="1"/>
    </xf>
    <xf numFmtId="183" fontId="25" fillId="0" borderId="17" xfId="0" applyNumberFormat="1" applyFont="1" applyFill="1" applyBorder="1" applyAlignment="1" applyProtection="1">
      <alignment horizontal="center" vertical="center" wrapText="1"/>
    </xf>
    <xf numFmtId="183" fontId="25" fillId="0" borderId="16" xfId="0" applyNumberFormat="1" applyFont="1" applyFill="1" applyBorder="1" applyAlignment="1" applyProtection="1">
      <alignment horizontal="center" vertical="center" wrapText="1"/>
    </xf>
    <xf numFmtId="0" fontId="24" fillId="0" borderId="15" xfId="0" applyFont="1" applyFill="1" applyBorder="1" applyAlignment="1" applyProtection="1">
      <alignment horizontal="center" vertical="center" wrapText="1"/>
    </xf>
    <xf numFmtId="0" fontId="34" fillId="0" borderId="0" xfId="0" applyFont="1" applyFill="1" applyBorder="1" applyProtection="1">
      <alignment vertical="center"/>
      <protection locked="0"/>
    </xf>
    <xf numFmtId="0" fontId="6" fillId="0" borderId="15" xfId="0" applyFont="1" applyFill="1" applyBorder="1" applyAlignment="1" applyProtection="1">
      <alignment horizontal="center" vertical="center"/>
      <protection locked="0"/>
    </xf>
    <xf numFmtId="0" fontId="15" fillId="0" borderId="15" xfId="0" applyFont="1" applyFill="1" applyBorder="1" applyProtection="1">
      <alignment vertical="center"/>
      <protection locked="0"/>
    </xf>
    <xf numFmtId="0" fontId="6" fillId="0" borderId="15" xfId="0" applyFont="1" applyFill="1" applyBorder="1" applyAlignment="1" applyProtection="1">
      <alignment horizontal="center" vertical="center" wrapText="1"/>
    </xf>
    <xf numFmtId="0" fontId="36" fillId="0" borderId="0" xfId="0" applyFont="1" applyFill="1" applyBorder="1" applyAlignment="1">
      <alignment horizontal="center" vertical="center"/>
    </xf>
    <xf numFmtId="0" fontId="37" fillId="0" borderId="0" xfId="0" applyFont="1" applyFill="1" applyBorder="1" applyAlignment="1">
      <alignment horizontal="center" vertical="center"/>
    </xf>
    <xf numFmtId="0" fontId="38" fillId="8" borderId="19" xfId="0" applyFont="1" applyFill="1" applyBorder="1" applyAlignment="1">
      <alignment horizontal="center" vertical="center"/>
    </xf>
    <xf numFmtId="0" fontId="38" fillId="8" borderId="20" xfId="0" applyFont="1" applyFill="1" applyBorder="1" applyAlignment="1">
      <alignment horizontal="center" vertical="center"/>
    </xf>
    <xf numFmtId="0" fontId="38" fillId="8" borderId="21" xfId="0" applyFont="1" applyFill="1" applyBorder="1" applyAlignment="1">
      <alignment horizontal="center" vertical="center"/>
    </xf>
    <xf numFmtId="0" fontId="38" fillId="8" borderId="22" xfId="0" applyFont="1" applyFill="1" applyBorder="1" applyAlignment="1">
      <alignment horizontal="center" vertical="center"/>
    </xf>
    <xf numFmtId="0" fontId="38" fillId="0" borderId="0" xfId="0" applyFont="1" applyFill="1" applyBorder="1" applyAlignment="1">
      <alignment vertical="center"/>
    </xf>
    <xf numFmtId="0" fontId="38" fillId="9" borderId="23" xfId="0" applyFont="1" applyFill="1" applyBorder="1" applyAlignment="1">
      <alignment horizontal="center" vertical="center"/>
    </xf>
    <xf numFmtId="0" fontId="38" fillId="9" borderId="24" xfId="0" applyFont="1" applyFill="1" applyBorder="1" applyAlignment="1">
      <alignment horizontal="center" vertical="center"/>
    </xf>
    <xf numFmtId="0" fontId="38" fillId="9" borderId="25" xfId="0" applyFont="1" applyFill="1" applyBorder="1" applyAlignment="1">
      <alignment horizontal="center" vertical="center"/>
    </xf>
    <xf numFmtId="0" fontId="36" fillId="0" borderId="26" xfId="0" applyFont="1" applyFill="1" applyBorder="1" applyAlignment="1">
      <alignment horizontal="center" vertical="center"/>
    </xf>
    <xf numFmtId="0" fontId="39" fillId="0" borderId="27" xfId="0" applyFont="1" applyFill="1" applyBorder="1" applyAlignment="1">
      <alignment horizontal="center" vertical="center"/>
    </xf>
    <xf numFmtId="0" fontId="36" fillId="0" borderId="27" xfId="0" applyFont="1" applyFill="1" applyBorder="1" applyAlignment="1">
      <alignment horizontal="center" vertical="center"/>
    </xf>
    <xf numFmtId="0" fontId="36" fillId="0" borderId="28" xfId="0" applyFont="1" applyFill="1" applyBorder="1" applyAlignment="1">
      <alignment horizontal="center" vertical="center"/>
    </xf>
    <xf numFmtId="0" fontId="36" fillId="0" borderId="29" xfId="0" applyFont="1" applyFill="1" applyBorder="1" applyAlignment="1">
      <alignment horizontal="center" vertical="center"/>
    </xf>
    <xf numFmtId="0" fontId="36" fillId="0" borderId="9" xfId="0" applyFont="1" applyFill="1" applyBorder="1" applyAlignment="1">
      <alignment horizontal="center" vertical="center"/>
    </xf>
    <xf numFmtId="0" fontId="36" fillId="0" borderId="22" xfId="0" applyFont="1" applyFill="1" applyBorder="1" applyAlignment="1">
      <alignment horizontal="center" vertical="center"/>
    </xf>
    <xf numFmtId="0" fontId="36" fillId="0" borderId="25" xfId="0" applyFont="1" applyFill="1" applyBorder="1" applyAlignment="1">
      <alignment horizontal="center" vertical="center"/>
    </xf>
    <xf numFmtId="0" fontId="36" fillId="0" borderId="7" xfId="0" applyFont="1" applyFill="1" applyBorder="1" applyAlignment="1">
      <alignment horizontal="center" vertical="center"/>
    </xf>
    <xf numFmtId="0" fontId="36" fillId="0" borderId="8" xfId="0" applyFont="1" applyFill="1" applyBorder="1" applyAlignment="1">
      <alignment horizontal="center" vertical="center"/>
    </xf>
    <xf numFmtId="0" fontId="40" fillId="0" borderId="8" xfId="0" applyFont="1" applyFill="1" applyBorder="1" applyAlignment="1">
      <alignment horizontal="center" vertical="center" wrapText="1"/>
    </xf>
    <xf numFmtId="0" fontId="40" fillId="0" borderId="16" xfId="0" applyFont="1" applyFill="1" applyBorder="1" applyAlignment="1">
      <alignment horizontal="center" vertical="center" wrapText="1"/>
    </xf>
    <xf numFmtId="0" fontId="41" fillId="0" borderId="8" xfId="0" applyFont="1" applyFill="1" applyBorder="1" applyAlignment="1">
      <alignment horizontal="center" vertical="center" wrapText="1"/>
    </xf>
    <xf numFmtId="0" fontId="40" fillId="0" borderId="9" xfId="0" applyFont="1" applyFill="1" applyBorder="1" applyAlignment="1">
      <alignment horizontal="center" vertical="center" wrapText="1"/>
    </xf>
    <xf numFmtId="0" fontId="40" fillId="0" borderId="0" xfId="0" applyFont="1" applyFill="1" applyBorder="1" applyAlignment="1">
      <alignment vertical="center" wrapText="1"/>
    </xf>
    <xf numFmtId="0" fontId="36" fillId="0" borderId="16" xfId="0" applyFont="1" applyFill="1" applyBorder="1" applyAlignment="1">
      <alignment horizontal="center" vertical="center"/>
    </xf>
    <xf numFmtId="0" fontId="42" fillId="0" borderId="12" xfId="0" applyFont="1" applyFill="1" applyBorder="1" applyAlignment="1">
      <alignment horizontal="center" vertical="center"/>
    </xf>
    <xf numFmtId="0" fontId="42" fillId="0" borderId="0" xfId="0" applyFont="1" applyFill="1" applyBorder="1" applyAlignment="1">
      <alignment horizontal="center" vertical="center"/>
    </xf>
    <xf numFmtId="0" fontId="40" fillId="0" borderId="0" xfId="0" applyFont="1" applyFill="1" applyBorder="1" applyAlignment="1">
      <alignment horizontal="center" vertical="center" wrapText="1"/>
    </xf>
    <xf numFmtId="0" fontId="42" fillId="0" borderId="6" xfId="0" applyFont="1" applyFill="1" applyBorder="1" applyAlignment="1">
      <alignment horizontal="center" vertical="center"/>
    </xf>
    <xf numFmtId="185" fontId="36" fillId="0" borderId="8" xfId="0" applyNumberFormat="1" applyFont="1" applyFill="1" applyBorder="1" applyAlignment="1">
      <alignment horizontal="center" vertical="center"/>
    </xf>
    <xf numFmtId="14" fontId="36" fillId="0" borderId="9" xfId="0" applyNumberFormat="1" applyFont="1" applyFill="1" applyBorder="1" applyAlignment="1">
      <alignment horizontal="center" vertical="center"/>
    </xf>
    <xf numFmtId="0" fontId="36" fillId="0" borderId="16" xfId="50" applyFont="1" applyBorder="1" applyAlignment="1">
      <alignment horizontal="center" vertical="center" wrapText="1"/>
    </xf>
    <xf numFmtId="0" fontId="43" fillId="0" borderId="0" xfId="0" applyFont="1" applyFill="1" applyBorder="1" applyAlignment="1">
      <alignment horizontal="center" vertical="center"/>
    </xf>
    <xf numFmtId="0" fontId="36" fillId="0" borderId="16" xfId="50" applyFont="1" applyFill="1" applyBorder="1" applyAlignment="1">
      <alignment horizontal="center" vertical="center" wrapText="1"/>
    </xf>
    <xf numFmtId="14" fontId="44" fillId="0" borderId="9" xfId="0" applyNumberFormat="1" applyFont="1" applyFill="1" applyBorder="1" applyAlignment="1">
      <alignment horizontal="center" vertical="center"/>
    </xf>
    <xf numFmtId="14" fontId="45" fillId="0" borderId="9" xfId="0" applyNumberFormat="1" applyFont="1" applyFill="1" applyBorder="1" applyAlignment="1">
      <alignment horizontal="center" vertical="center"/>
    </xf>
    <xf numFmtId="14" fontId="45" fillId="0" borderId="0" xfId="0" applyNumberFormat="1" applyFont="1" applyFill="1" applyBorder="1" applyAlignment="1">
      <alignment horizontal="center" vertical="center"/>
    </xf>
    <xf numFmtId="14" fontId="43" fillId="0" borderId="9" xfId="0" applyNumberFormat="1" applyFont="1" applyFill="1" applyBorder="1" applyAlignment="1">
      <alignment horizontal="center" vertical="center"/>
    </xf>
    <xf numFmtId="0" fontId="36" fillId="0" borderId="30" xfId="0" applyFont="1" applyFill="1" applyBorder="1" applyAlignment="1">
      <alignment horizontal="center" vertical="center"/>
    </xf>
    <xf numFmtId="0" fontId="37" fillId="0" borderId="7" xfId="0" applyFont="1" applyFill="1" applyBorder="1" applyAlignment="1">
      <alignment horizontal="center" vertical="center"/>
    </xf>
    <xf numFmtId="185" fontId="37" fillId="0" borderId="8" xfId="0" applyNumberFormat="1" applyFont="1" applyFill="1" applyBorder="1" applyAlignment="1">
      <alignment horizontal="center" vertical="center"/>
    </xf>
    <xf numFmtId="0" fontId="37" fillId="0" borderId="8" xfId="0" applyFont="1" applyFill="1" applyBorder="1" applyAlignment="1">
      <alignment horizontal="center" vertical="center"/>
    </xf>
    <xf numFmtId="0" fontId="37" fillId="0" borderId="16" xfId="0" applyFont="1" applyFill="1" applyBorder="1" applyAlignment="1">
      <alignment horizontal="center" vertical="center"/>
    </xf>
    <xf numFmtId="14" fontId="37" fillId="0" borderId="9" xfId="0" applyNumberFormat="1" applyFont="1" applyFill="1" applyBorder="1" applyAlignment="1">
      <alignment horizontal="center" vertical="center"/>
    </xf>
    <xf numFmtId="0" fontId="37" fillId="0" borderId="16" xfId="50" applyFont="1" applyFill="1" applyBorder="1" applyAlignment="1">
      <alignment horizontal="center" vertical="center" wrapText="1"/>
    </xf>
    <xf numFmtId="0" fontId="37" fillId="0" borderId="30" xfId="0" applyFont="1" applyFill="1" applyBorder="1" applyAlignment="1">
      <alignment horizontal="center" vertical="center"/>
    </xf>
    <xf numFmtId="14" fontId="46" fillId="0" borderId="0" xfId="0" applyNumberFormat="1" applyFont="1" applyFill="1" applyBorder="1" applyAlignment="1">
      <alignment horizontal="center" vertical="center"/>
    </xf>
    <xf numFmtId="0" fontId="36" fillId="3" borderId="7" xfId="0" applyFont="1" applyFill="1" applyBorder="1" applyAlignment="1">
      <alignment horizontal="center" vertical="center"/>
    </xf>
    <xf numFmtId="185" fontId="36" fillId="3" borderId="8" xfId="0" applyNumberFormat="1" applyFont="1" applyFill="1" applyBorder="1" applyAlignment="1">
      <alignment horizontal="center" vertical="center"/>
    </xf>
    <xf numFmtId="0" fontId="36" fillId="3" borderId="8" xfId="0" applyFont="1" applyFill="1" applyBorder="1" applyAlignment="1">
      <alignment horizontal="center" vertical="center"/>
    </xf>
    <xf numFmtId="0" fontId="36" fillId="3" borderId="16" xfId="0" applyFont="1" applyFill="1" applyBorder="1" applyAlignment="1">
      <alignment horizontal="center" vertical="center"/>
    </xf>
    <xf numFmtId="14" fontId="36" fillId="3" borderId="9" xfId="0" applyNumberFormat="1" applyFont="1" applyFill="1" applyBorder="1" applyAlignment="1">
      <alignment horizontal="center" vertical="center"/>
    </xf>
    <xf numFmtId="0" fontId="36" fillId="10" borderId="8" xfId="0" applyFont="1" applyFill="1" applyBorder="1" applyAlignment="1">
      <alignment horizontal="center" vertical="center"/>
    </xf>
    <xf numFmtId="0" fontId="44" fillId="10" borderId="8" xfId="0" applyFont="1" applyFill="1" applyBorder="1" applyAlignment="1">
      <alignment horizontal="center" vertical="center"/>
    </xf>
    <xf numFmtId="183" fontId="44" fillId="0" borderId="8" xfId="0" applyNumberFormat="1" applyFont="1" applyFill="1" applyBorder="1" applyAlignment="1">
      <alignment horizontal="center" vertical="center"/>
    </xf>
    <xf numFmtId="183" fontId="44" fillId="0" borderId="16" xfId="0" applyNumberFormat="1" applyFont="1" applyFill="1" applyBorder="1" applyAlignment="1">
      <alignment horizontal="center" vertical="center"/>
    </xf>
    <xf numFmtId="0" fontId="44" fillId="3" borderId="8" xfId="0" applyFont="1" applyFill="1" applyBorder="1" applyAlignment="1">
      <alignment horizontal="center" vertical="center"/>
    </xf>
    <xf numFmtId="183" fontId="44" fillId="3" borderId="8" xfId="0" applyNumberFormat="1" applyFont="1" applyFill="1" applyBorder="1" applyAlignment="1">
      <alignment horizontal="center" vertical="center"/>
    </xf>
    <xf numFmtId="176" fontId="36" fillId="0" borderId="8" xfId="0" applyNumberFormat="1" applyFont="1" applyFill="1" applyBorder="1" applyAlignment="1">
      <alignment horizontal="center" vertical="center"/>
    </xf>
    <xf numFmtId="183" fontId="36" fillId="0" borderId="9" xfId="0" applyNumberFormat="1" applyFont="1" applyFill="1" applyBorder="1" applyAlignment="1">
      <alignment horizontal="center" vertical="center"/>
    </xf>
    <xf numFmtId="0" fontId="36" fillId="0" borderId="10" xfId="0" applyFont="1" applyFill="1" applyBorder="1" applyAlignment="1">
      <alignment horizontal="center" vertical="center"/>
    </xf>
    <xf numFmtId="185" fontId="36" fillId="0" borderId="11" xfId="0" applyNumberFormat="1" applyFont="1" applyFill="1" applyBorder="1" applyAlignment="1">
      <alignment horizontal="center" vertical="center"/>
    </xf>
    <xf numFmtId="0" fontId="36" fillId="0" borderId="18" xfId="50" applyFont="1" applyFill="1" applyBorder="1" applyAlignment="1">
      <alignment horizontal="center" vertical="center" wrapText="1"/>
    </xf>
    <xf numFmtId="183" fontId="36" fillId="0" borderId="8" xfId="0" applyNumberFormat="1" applyFont="1" applyFill="1" applyBorder="1" applyAlignment="1">
      <alignment horizontal="center" vertical="center"/>
    </xf>
    <xf numFmtId="0" fontId="36" fillId="0" borderId="31" xfId="0" applyFont="1" applyFill="1" applyBorder="1" applyAlignment="1">
      <alignment horizontal="center" vertical="center"/>
    </xf>
    <xf numFmtId="0" fontId="36" fillId="10" borderId="32" xfId="0" applyFont="1" applyFill="1" applyBorder="1" applyAlignment="1">
      <alignment horizontal="center" vertical="center"/>
    </xf>
    <xf numFmtId="0" fontId="36" fillId="0" borderId="32" xfId="0" applyFont="1" applyFill="1" applyBorder="1" applyAlignment="1">
      <alignment horizontal="center" vertical="center"/>
    </xf>
    <xf numFmtId="0" fontId="36" fillId="0" borderId="33" xfId="0" applyFont="1" applyFill="1" applyBorder="1" applyAlignment="1">
      <alignment horizontal="center" vertical="center"/>
    </xf>
    <xf numFmtId="183" fontId="36" fillId="0" borderId="33" xfId="0" applyNumberFormat="1" applyFont="1" applyFill="1" applyBorder="1" applyAlignment="1">
      <alignment horizontal="center" vertical="center"/>
    </xf>
    <xf numFmtId="0" fontId="36" fillId="3" borderId="10" xfId="0" applyFont="1" applyFill="1" applyBorder="1" applyAlignment="1">
      <alignment horizontal="center" vertical="center"/>
    </xf>
    <xf numFmtId="185" fontId="36" fillId="3" borderId="11" xfId="0" applyNumberFormat="1" applyFont="1" applyFill="1" applyBorder="1" applyAlignment="1">
      <alignment horizontal="center" vertical="center"/>
    </xf>
    <xf numFmtId="0" fontId="36" fillId="3" borderId="18" xfId="50" applyFont="1" applyFill="1" applyBorder="1" applyAlignment="1">
      <alignment horizontal="center" vertical="center" wrapText="1"/>
    </xf>
    <xf numFmtId="14" fontId="45" fillId="3" borderId="0" xfId="0" applyNumberFormat="1" applyFont="1" applyFill="1" applyBorder="1" applyAlignment="1">
      <alignment horizontal="center" vertical="center"/>
    </xf>
    <xf numFmtId="183" fontId="36" fillId="0" borderId="0" xfId="0" applyNumberFormat="1" applyFont="1" applyFill="1" applyBorder="1" applyAlignment="1">
      <alignment horizontal="center" vertical="center"/>
    </xf>
    <xf numFmtId="0" fontId="36" fillId="0" borderId="4" xfId="0" applyFont="1" applyFill="1" applyBorder="1" applyAlignment="1">
      <alignment horizontal="center" vertical="center"/>
    </xf>
    <xf numFmtId="0" fontId="36" fillId="10" borderId="5" xfId="0" applyFont="1" applyFill="1" applyBorder="1" applyAlignment="1">
      <alignment horizontal="center" vertical="center"/>
    </xf>
    <xf numFmtId="0" fontId="36" fillId="0" borderId="29" xfId="50" applyFont="1" applyFill="1" applyBorder="1" applyAlignment="1">
      <alignment horizontal="center" vertical="center" wrapText="1"/>
    </xf>
    <xf numFmtId="176" fontId="36" fillId="0" borderId="0" xfId="0" applyNumberFormat="1" applyFont="1" applyFill="1" applyBorder="1" applyAlignment="1">
      <alignment horizontal="center" vertical="center"/>
    </xf>
    <xf numFmtId="58" fontId="36" fillId="0" borderId="31" xfId="0" applyNumberFormat="1" applyFont="1" applyFill="1" applyBorder="1" applyAlignment="1">
      <alignment horizontal="center" vertical="center"/>
    </xf>
    <xf numFmtId="0" fontId="44" fillId="0" borderId="33" xfId="0" applyFont="1" applyFill="1" applyBorder="1" applyAlignment="1">
      <alignment horizontal="center" vertical="center"/>
    </xf>
    <xf numFmtId="0" fontId="40" fillId="0" borderId="27" xfId="0" applyFont="1" applyFill="1" applyBorder="1" applyAlignment="1">
      <alignment horizontal="center" vertical="center" wrapText="1"/>
    </xf>
    <xf numFmtId="0" fontId="41" fillId="0" borderId="22" xfId="0" applyFont="1" applyFill="1" applyBorder="1" applyAlignment="1">
      <alignment horizontal="center" vertical="center" wrapText="1"/>
    </xf>
    <xf numFmtId="0" fontId="42" fillId="0" borderId="34" xfId="0" applyFont="1" applyFill="1" applyBorder="1" applyAlignment="1">
      <alignment horizontal="center" vertical="center"/>
    </xf>
    <xf numFmtId="0" fontId="42" fillId="0" borderId="7" xfId="0" applyFont="1" applyFill="1" applyBorder="1" applyAlignment="1">
      <alignment horizontal="center" vertical="center" wrapText="1"/>
    </xf>
    <xf numFmtId="0" fontId="43" fillId="0" borderId="34" xfId="0" applyFont="1" applyFill="1" applyBorder="1" applyAlignment="1">
      <alignment horizontal="center" vertical="center" wrapText="1"/>
    </xf>
    <xf numFmtId="0" fontId="36" fillId="0" borderId="7" xfId="0" applyFont="1" applyFill="1" applyBorder="1" applyAlignment="1">
      <alignment horizontal="center" vertical="center" wrapText="1"/>
    </xf>
    <xf numFmtId="0" fontId="44" fillId="0" borderId="35" xfId="0" applyFont="1" applyFill="1" applyBorder="1" applyAlignment="1">
      <alignment horizontal="center" vertical="center" wrapText="1"/>
    </xf>
    <xf numFmtId="0" fontId="42" fillId="0" borderId="31" xfId="0" applyFont="1" applyFill="1" applyBorder="1" applyAlignment="1">
      <alignment horizontal="center" vertical="center"/>
    </xf>
    <xf numFmtId="183" fontId="36" fillId="0" borderId="32" xfId="0" applyNumberFormat="1" applyFont="1" applyFill="1" applyBorder="1" applyAlignment="1">
      <alignment horizontal="center" vertical="center"/>
    </xf>
    <xf numFmtId="183" fontId="36" fillId="0" borderId="30" xfId="0" applyNumberFormat="1" applyFont="1" applyFill="1" applyBorder="1" applyAlignment="1">
      <alignment horizontal="center" vertical="center"/>
    </xf>
    <xf numFmtId="0" fontId="42" fillId="0" borderId="4" xfId="0" applyFont="1" applyFill="1" applyBorder="1" applyAlignment="1">
      <alignment horizontal="center" vertical="center"/>
    </xf>
    <xf numFmtId="183" fontId="36" fillId="0" borderId="5" xfId="0" applyNumberFormat="1" applyFont="1" applyFill="1" applyBorder="1" applyAlignment="1">
      <alignment horizontal="center" vertical="center"/>
    </xf>
    <xf numFmtId="183" fontId="36" fillId="0" borderId="6" xfId="0" applyNumberFormat="1" applyFont="1" applyFill="1" applyBorder="1" applyAlignment="1">
      <alignment horizontal="center" vertical="center"/>
    </xf>
    <xf numFmtId="0" fontId="44" fillId="0" borderId="36" xfId="0" applyFont="1" applyFill="1" applyBorder="1" applyAlignment="1">
      <alignment horizontal="center" vertical="center" wrapText="1"/>
    </xf>
    <xf numFmtId="0" fontId="0" fillId="0" borderId="0" xfId="0" applyFont="1">
      <alignment vertical="center"/>
    </xf>
    <xf numFmtId="0" fontId="15" fillId="0" borderId="0" xfId="0" applyFont="1" applyFill="1">
      <alignment vertical="center"/>
    </xf>
    <xf numFmtId="0" fontId="0" fillId="0" borderId="0" xfId="0" applyFill="1">
      <alignment vertical="center"/>
    </xf>
    <xf numFmtId="0" fontId="0" fillId="3" borderId="0" xfId="0" applyFill="1">
      <alignment vertical="center"/>
    </xf>
    <xf numFmtId="186" fontId="0" fillId="0" borderId="0" xfId="0" applyNumberFormat="1" applyFont="1">
      <alignment vertical="center"/>
    </xf>
    <xf numFmtId="0" fontId="0" fillId="0" borderId="0" xfId="0" applyAlignment="1">
      <alignment horizontal="center" vertical="center"/>
    </xf>
    <xf numFmtId="0" fontId="0" fillId="0" borderId="0" xfId="0" applyAlignment="1">
      <alignment horizontal="justify" vertical="center"/>
    </xf>
    <xf numFmtId="0" fontId="47" fillId="11" borderId="16" xfId="0" applyFont="1" applyFill="1" applyBorder="1" applyAlignment="1">
      <alignment horizontal="center" vertical="center"/>
    </xf>
    <xf numFmtId="0" fontId="47" fillId="11" borderId="37" xfId="0" applyFont="1" applyFill="1" applyBorder="1" applyAlignment="1">
      <alignment horizontal="center" vertical="center"/>
    </xf>
    <xf numFmtId="0" fontId="47" fillId="11" borderId="17" xfId="0" applyFont="1" applyFill="1" applyBorder="1" applyAlignment="1">
      <alignment horizontal="center" vertical="center"/>
    </xf>
    <xf numFmtId="0" fontId="48" fillId="0" borderId="8" xfId="0" applyFont="1" applyBorder="1" applyAlignment="1">
      <alignment horizontal="justify" vertical="center"/>
    </xf>
    <xf numFmtId="0" fontId="3" fillId="0" borderId="8" xfId="0" applyFont="1" applyBorder="1" applyAlignment="1">
      <alignment horizontal="center" vertical="center"/>
    </xf>
    <xf numFmtId="176" fontId="0" fillId="0" borderId="8" xfId="52" applyNumberFormat="1" applyFont="1" applyBorder="1" applyAlignment="1">
      <alignment horizontal="center" vertical="center"/>
    </xf>
    <xf numFmtId="0" fontId="0" fillId="0" borderId="8" xfId="52" applyFont="1" applyBorder="1" applyAlignment="1">
      <alignment horizontal="center" vertical="center"/>
    </xf>
    <xf numFmtId="0" fontId="33" fillId="0" borderId="8" xfId="0" applyFont="1" applyBorder="1" applyAlignment="1">
      <alignment horizontal="center" vertical="center"/>
    </xf>
    <xf numFmtId="0" fontId="33" fillId="0" borderId="16" xfId="0" applyFont="1" applyBorder="1" applyAlignment="1">
      <alignment horizontal="center" vertical="center"/>
    </xf>
    <xf numFmtId="0" fontId="33" fillId="0" borderId="37" xfId="0" applyFont="1" applyBorder="1" applyAlignment="1">
      <alignment horizontal="center" vertical="center"/>
    </xf>
    <xf numFmtId="0" fontId="33" fillId="0" borderId="17" xfId="0" applyFont="1" applyBorder="1" applyAlignment="1">
      <alignment horizontal="center" vertical="center"/>
    </xf>
    <xf numFmtId="0" fontId="48" fillId="0" borderId="8" xfId="0" applyFont="1" applyBorder="1" applyAlignment="1">
      <alignment horizontal="center" vertical="center"/>
    </xf>
    <xf numFmtId="176" fontId="48" fillId="0" borderId="8" xfId="52" applyNumberFormat="1" applyFont="1" applyBorder="1" applyAlignment="1">
      <alignment horizontal="center" vertical="center"/>
    </xf>
    <xf numFmtId="0" fontId="48" fillId="0" borderId="8" xfId="52" applyFont="1" applyBorder="1" applyAlignment="1">
      <alignment horizontal="center" vertical="center"/>
    </xf>
    <xf numFmtId="0" fontId="48" fillId="0" borderId="8" xfId="0" applyFont="1" applyFill="1" applyBorder="1" applyAlignment="1">
      <alignment horizontal="center" vertical="center" wrapText="1" shrinkToFit="1"/>
    </xf>
    <xf numFmtId="0" fontId="48" fillId="3" borderId="8" xfId="0" applyFont="1" applyFill="1" applyBorder="1" applyAlignment="1">
      <alignment horizontal="center" vertical="center" wrapText="1" shrinkToFit="1"/>
    </xf>
    <xf numFmtId="176" fontId="48" fillId="0" borderId="8" xfId="0" applyNumberFormat="1" applyFont="1" applyFill="1" applyBorder="1" applyAlignment="1">
      <alignment horizontal="center" vertical="center" wrapText="1" shrinkToFit="1"/>
    </xf>
    <xf numFmtId="176" fontId="48" fillId="3" borderId="8" xfId="0" applyNumberFormat="1" applyFont="1" applyFill="1" applyBorder="1" applyAlignment="1">
      <alignment horizontal="center" vertical="center" wrapText="1" shrinkToFit="1"/>
    </xf>
    <xf numFmtId="176" fontId="3" fillId="3" borderId="11" xfId="0" applyNumberFormat="1" applyFont="1" applyFill="1" applyBorder="1" applyAlignment="1">
      <alignment horizontal="center" vertical="center" wrapText="1" shrinkToFit="1"/>
    </xf>
    <xf numFmtId="176" fontId="0" fillId="0" borderId="11" xfId="0" applyNumberFormat="1" applyFont="1" applyFill="1" applyBorder="1" applyAlignment="1">
      <alignment horizontal="center" vertical="center" wrapText="1" shrinkToFit="1"/>
    </xf>
    <xf numFmtId="176" fontId="15" fillId="3" borderId="11" xfId="0" applyNumberFormat="1" applyFont="1" applyFill="1" applyBorder="1" applyAlignment="1">
      <alignment horizontal="center" vertical="center" wrapText="1" shrinkToFit="1"/>
    </xf>
    <xf numFmtId="176" fontId="0" fillId="3" borderId="11" xfId="0" applyNumberFormat="1" applyFont="1" applyFill="1" applyBorder="1" applyAlignment="1">
      <alignment horizontal="center" vertical="center" wrapText="1" shrinkToFit="1"/>
    </xf>
    <xf numFmtId="0" fontId="49" fillId="0" borderId="8" xfId="0" applyFont="1" applyFill="1" applyBorder="1" applyAlignment="1">
      <alignment horizontal="center" vertical="center" wrapText="1"/>
    </xf>
    <xf numFmtId="0" fontId="3" fillId="0" borderId="8" xfId="0" applyFont="1" applyBorder="1" applyAlignment="1">
      <alignment horizontal="justify" vertical="center"/>
    </xf>
    <xf numFmtId="0" fontId="0" fillId="0" borderId="0" xfId="0" applyFont="1" applyAlignment="1">
      <alignment horizontal="center" vertical="center"/>
    </xf>
    <xf numFmtId="14" fontId="50" fillId="0" borderId="8" xfId="51" applyNumberFormat="1" applyFont="1" applyBorder="1" applyAlignment="1">
      <alignment horizontal="center" vertical="center"/>
    </xf>
    <xf numFmtId="0" fontId="50" fillId="0" borderId="8" xfId="51" applyNumberFormat="1" applyFont="1" applyBorder="1" applyAlignment="1">
      <alignment horizontal="center" vertical="center"/>
    </xf>
    <xf numFmtId="0" fontId="51" fillId="12" borderId="8" xfId="0" applyFont="1" applyFill="1" applyBorder="1" applyAlignment="1">
      <alignment horizontal="center" vertical="top" wrapText="1"/>
    </xf>
    <xf numFmtId="0" fontId="48" fillId="0" borderId="8" xfId="0" applyFont="1" applyFill="1" applyBorder="1" applyAlignment="1">
      <alignment horizontal="center" vertical="center"/>
    </xf>
    <xf numFmtId="0" fontId="49" fillId="0" borderId="8" xfId="0" applyFont="1" applyBorder="1" applyAlignment="1">
      <alignment horizontal="justify" vertical="center"/>
    </xf>
    <xf numFmtId="0" fontId="48" fillId="0" borderId="8" xfId="0" applyFont="1" applyBorder="1" applyAlignment="1">
      <alignment horizontal="justify" vertical="center" wrapText="1"/>
    </xf>
    <xf numFmtId="14" fontId="50" fillId="0" borderId="8" xfId="51" applyNumberFormat="1" applyFont="1" applyFill="1" applyBorder="1" applyAlignment="1">
      <alignment horizontal="center" vertical="center"/>
    </xf>
    <xf numFmtId="0" fontId="50" fillId="0" borderId="8" xfId="51" applyNumberFormat="1" applyFont="1" applyFill="1" applyBorder="1" applyAlignment="1">
      <alignment horizontal="center" vertical="center"/>
    </xf>
    <xf numFmtId="0" fontId="51" fillId="0" borderId="8" xfId="0" applyFont="1" applyFill="1" applyBorder="1" applyAlignment="1">
      <alignment horizontal="center" vertical="top" wrapText="1"/>
    </xf>
    <xf numFmtId="0" fontId="48" fillId="0" borderId="8" xfId="0" applyFont="1" applyFill="1" applyBorder="1" applyAlignment="1">
      <alignment horizontal="justify" vertical="center"/>
    </xf>
    <xf numFmtId="0" fontId="0" fillId="0" borderId="0" xfId="0" applyFont="1" applyFill="1" applyAlignment="1">
      <alignment horizontal="center" vertical="center"/>
    </xf>
    <xf numFmtId="0" fontId="50" fillId="0" borderId="8" xfId="0" applyFont="1" applyFill="1" applyBorder="1" applyAlignment="1">
      <alignment vertical="center" wrapText="1"/>
    </xf>
    <xf numFmtId="0" fontId="48" fillId="0" borderId="8" xfId="0" applyFont="1" applyFill="1" applyBorder="1" applyAlignment="1">
      <alignment horizontal="justify" vertical="center" wrapText="1"/>
    </xf>
    <xf numFmtId="49" fontId="50" fillId="0" borderId="8" xfId="51" applyNumberFormat="1" applyFont="1" applyFill="1" applyBorder="1" applyAlignment="1">
      <alignment horizontal="center" vertical="center"/>
    </xf>
    <xf numFmtId="0" fontId="50" fillId="0" borderId="8" xfId="51" applyFont="1" applyFill="1" applyBorder="1" applyAlignment="1">
      <alignment horizontal="center" vertical="center"/>
    </xf>
    <xf numFmtId="0" fontId="50" fillId="0" borderId="8" xfId="0" applyFont="1" applyFill="1" applyBorder="1" applyAlignment="1">
      <alignment horizontal="center" vertical="center"/>
    </xf>
    <xf numFmtId="14" fontId="50" fillId="0" borderId="8" xfId="0" applyNumberFormat="1" applyFont="1" applyFill="1" applyBorder="1" applyAlignment="1">
      <alignment horizontal="center" vertical="center"/>
    </xf>
    <xf numFmtId="0" fontId="52" fillId="0" borderId="8" xfId="0" applyFont="1" applyFill="1" applyBorder="1" applyAlignment="1">
      <alignment horizontal="center" vertical="center" wrapText="1"/>
    </xf>
    <xf numFmtId="14" fontId="52" fillId="0" borderId="8" xfId="0" applyNumberFormat="1" applyFont="1" applyFill="1" applyBorder="1" applyAlignment="1">
      <alignment horizontal="center" vertical="center"/>
    </xf>
    <xf numFmtId="0" fontId="52" fillId="0" borderId="8" xfId="0" applyFont="1" applyFill="1" applyBorder="1" applyAlignment="1">
      <alignment horizontal="center" vertical="center"/>
    </xf>
    <xf numFmtId="0" fontId="52" fillId="0" borderId="8" xfId="0" applyFont="1" applyFill="1" applyBorder="1" applyAlignment="1">
      <alignment vertical="center" wrapText="1"/>
    </xf>
    <xf numFmtId="0" fontId="53" fillId="0" borderId="8" xfId="0" applyFont="1" applyFill="1" applyBorder="1" applyAlignment="1">
      <alignment vertical="center" wrapText="1"/>
    </xf>
    <xf numFmtId="0" fontId="53" fillId="0" borderId="8" xfId="0" applyFont="1" applyFill="1" applyBorder="1" applyAlignment="1">
      <alignment horizontal="center" vertical="center" wrapText="1"/>
    </xf>
    <xf numFmtId="0" fontId="14" fillId="0" borderId="8" xfId="0" applyNumberFormat="1" applyFont="1" applyFill="1" applyBorder="1" applyAlignment="1">
      <alignment horizontal="center" vertical="center" wrapText="1" shrinkToFit="1"/>
    </xf>
    <xf numFmtId="0" fontId="0" fillId="0" borderId="8" xfId="51" applyNumberFormat="1" applyFont="1" applyFill="1" applyBorder="1" applyAlignment="1">
      <alignment horizontal="center" vertical="center"/>
    </xf>
    <xf numFmtId="14" fontId="54" fillId="0" borderId="8" xfId="51" applyNumberFormat="1" applyFont="1" applyFill="1" applyBorder="1" applyAlignment="1">
      <alignment horizontal="center" vertical="center"/>
    </xf>
    <xf numFmtId="0" fontId="54" fillId="0" borderId="8" xfId="51" applyNumberFormat="1" applyFont="1" applyFill="1" applyBorder="1" applyAlignment="1">
      <alignment horizontal="center" vertical="center"/>
    </xf>
    <xf numFmtId="0" fontId="55" fillId="0" borderId="8" xfId="0" applyFont="1" applyFill="1" applyBorder="1" applyAlignment="1">
      <alignment horizontal="center" vertical="top" wrapText="1"/>
    </xf>
    <xf numFmtId="0" fontId="56" fillId="0" borderId="8" xfId="0" applyFont="1" applyFill="1" applyBorder="1" applyAlignment="1">
      <alignment horizontal="center" vertical="center"/>
    </xf>
    <xf numFmtId="0" fontId="57" fillId="0" borderId="8" xfId="0" applyFont="1" applyFill="1" applyBorder="1" applyAlignment="1">
      <alignment horizontal="center" vertical="center" wrapText="1"/>
    </xf>
    <xf numFmtId="187" fontId="50" fillId="0" borderId="8" xfId="1" applyNumberFormat="1" applyFont="1" applyFill="1" applyBorder="1" applyAlignment="1">
      <alignment horizontal="center" vertical="center"/>
    </xf>
    <xf numFmtId="0" fontId="58" fillId="0" borderId="8" xfId="0" applyFont="1" applyFill="1" applyBorder="1" applyAlignment="1">
      <alignment horizontal="left" vertical="center" wrapText="1"/>
    </xf>
    <xf numFmtId="0" fontId="15" fillId="0" borderId="0" xfId="0" applyFont="1" applyFill="1" applyAlignment="1">
      <alignment horizontal="center" vertical="center"/>
    </xf>
    <xf numFmtId="0" fontId="59" fillId="0" borderId="8" xfId="0" applyFont="1" applyFill="1" applyBorder="1" applyAlignment="1">
      <alignment horizontal="center" vertical="center" wrapText="1"/>
    </xf>
    <xf numFmtId="14" fontId="57" fillId="0" borderId="8" xfId="0" applyNumberFormat="1" applyFont="1" applyFill="1" applyBorder="1" applyAlignment="1">
      <alignment horizontal="center" vertical="center"/>
    </xf>
    <xf numFmtId="0" fontId="15" fillId="0" borderId="8" xfId="0" applyFont="1" applyFill="1" applyBorder="1">
      <alignment vertical="center"/>
    </xf>
    <xf numFmtId="187" fontId="54" fillId="0" borderId="8" xfId="1" applyNumberFormat="1" applyFont="1" applyFill="1" applyBorder="1" applyAlignment="1">
      <alignment horizontal="center" vertical="center"/>
    </xf>
    <xf numFmtId="0" fontId="0" fillId="0" borderId="0" xfId="0" applyFill="1" applyAlignment="1">
      <alignment horizontal="center" vertical="center"/>
    </xf>
    <xf numFmtId="14" fontId="60" fillId="0" borderId="15" xfId="0" applyNumberFormat="1" applyFont="1" applyFill="1" applyBorder="1" applyAlignment="1">
      <alignment horizontal="center" vertical="center"/>
    </xf>
    <xf numFmtId="49" fontId="61" fillId="0" borderId="15" xfId="0" applyNumberFormat="1" applyFont="1" applyFill="1" applyBorder="1" applyAlignment="1">
      <alignment horizontal="center" vertical="center"/>
    </xf>
    <xf numFmtId="14" fontId="50" fillId="3" borderId="8" xfId="51" applyNumberFormat="1" applyFont="1" applyFill="1" applyBorder="1" applyAlignment="1">
      <alignment horizontal="center" vertical="center"/>
    </xf>
    <xf numFmtId="14" fontId="57" fillId="3" borderId="8" xfId="0" applyNumberFormat="1" applyFont="1" applyFill="1" applyBorder="1" applyAlignment="1">
      <alignment horizontal="center" vertical="center"/>
    </xf>
    <xf numFmtId="49" fontId="61" fillId="3" borderId="15" xfId="0" applyNumberFormat="1" applyFont="1" applyFill="1" applyBorder="1" applyAlignment="1">
      <alignment horizontal="center" vertical="center"/>
    </xf>
    <xf numFmtId="0" fontId="55" fillId="3" borderId="8" xfId="0" applyFont="1" applyFill="1" applyBorder="1" applyAlignment="1">
      <alignment horizontal="center" vertical="top" wrapText="1"/>
    </xf>
    <xf numFmtId="0" fontId="56" fillId="3" borderId="8" xfId="0" applyFont="1" applyFill="1" applyBorder="1" applyAlignment="1">
      <alignment horizontal="center" vertical="center"/>
    </xf>
    <xf numFmtId="0" fontId="15" fillId="3" borderId="8" xfId="0" applyFont="1" applyFill="1" applyBorder="1">
      <alignment vertical="center"/>
    </xf>
    <xf numFmtId="187" fontId="54" fillId="3" borderId="8" xfId="1" applyNumberFormat="1" applyFont="1" applyFill="1" applyBorder="1" applyAlignment="1">
      <alignment horizontal="center" vertical="center"/>
    </xf>
    <xf numFmtId="0" fontId="48" fillId="3" borderId="8" xfId="0" applyFont="1" applyFill="1" applyBorder="1" applyAlignment="1">
      <alignment horizontal="justify" vertical="center"/>
    </xf>
    <xf numFmtId="0" fontId="0" fillId="3" borderId="0" xfId="0" applyFill="1" applyAlignment="1">
      <alignment horizontal="center" vertical="center"/>
    </xf>
    <xf numFmtId="176" fontId="62" fillId="11" borderId="8" xfId="52" applyNumberFormat="1" applyFont="1" applyFill="1" applyBorder="1" applyAlignment="1">
      <alignment horizontal="center" vertical="center" wrapText="1"/>
    </xf>
    <xf numFmtId="0" fontId="63" fillId="11" borderId="8" xfId="50" applyFont="1" applyFill="1" applyBorder="1" applyAlignment="1">
      <alignment horizontal="center" vertical="center" wrapText="1" shrinkToFit="1"/>
    </xf>
    <xf numFmtId="0" fontId="62" fillId="0" borderId="0" xfId="0" applyFont="1" applyAlignment="1">
      <alignment horizontal="justify" vertical="center"/>
    </xf>
    <xf numFmtId="0" fontId="63" fillId="11" borderId="8" xfId="52" applyFont="1" applyFill="1" applyBorder="1" applyAlignment="1">
      <alignment horizontal="center" vertical="center"/>
    </xf>
    <xf numFmtId="0" fontId="62" fillId="11" borderId="8" xfId="52" applyFont="1" applyFill="1" applyBorder="1" applyAlignment="1">
      <alignment horizontal="center" vertical="center" wrapText="1"/>
    </xf>
    <xf numFmtId="0" fontId="62" fillId="11" borderId="8" xfId="52" applyFont="1" applyFill="1" applyBorder="1" applyAlignment="1">
      <alignment horizontal="center" vertical="center"/>
    </xf>
    <xf numFmtId="183" fontId="62" fillId="11" borderId="8" xfId="52" applyNumberFormat="1" applyFont="1" applyFill="1" applyBorder="1" applyAlignment="1">
      <alignment horizontal="center" vertical="center"/>
    </xf>
    <xf numFmtId="186" fontId="62" fillId="11" borderId="8" xfId="52" applyNumberFormat="1" applyFont="1" applyFill="1" applyBorder="1" applyAlignment="1">
      <alignment horizontal="center" vertical="center"/>
    </xf>
    <xf numFmtId="186" fontId="63" fillId="11" borderId="8" xfId="52" applyNumberFormat="1" applyFont="1" applyFill="1" applyBorder="1" applyAlignment="1">
      <alignment horizontal="center" vertical="center"/>
    </xf>
    <xf numFmtId="186" fontId="62" fillId="11" borderId="8" xfId="52" applyNumberFormat="1" applyFont="1" applyFill="1" applyBorder="1" applyAlignment="1">
      <alignment horizontal="center" vertical="center" wrapText="1"/>
    </xf>
    <xf numFmtId="186" fontId="63" fillId="3" borderId="8" xfId="52" applyNumberFormat="1" applyFont="1" applyFill="1" applyBorder="1" applyAlignment="1">
      <alignment horizontal="center" vertical="center"/>
    </xf>
    <xf numFmtId="186" fontId="62" fillId="3" borderId="8" xfId="52" applyNumberFormat="1" applyFont="1" applyFill="1" applyBorder="1" applyAlignment="1">
      <alignment horizontal="center" vertical="center" wrapText="1"/>
    </xf>
    <xf numFmtId="176" fontId="62" fillId="3" borderId="8" xfId="52" applyNumberFormat="1" applyFont="1" applyFill="1" applyBorder="1" applyAlignment="1">
      <alignment horizontal="center" vertical="center" wrapText="1"/>
    </xf>
    <xf numFmtId="176" fontId="64" fillId="3" borderId="8" xfId="52" applyNumberFormat="1" applyFont="1" applyFill="1" applyBorder="1" applyAlignment="1">
      <alignment horizontal="center" vertical="center" wrapText="1"/>
    </xf>
    <xf numFmtId="176" fontId="62" fillId="3" borderId="8" xfId="52" applyNumberFormat="1" applyFont="1" applyFill="1" applyBorder="1" applyAlignment="1">
      <alignment horizontal="center" vertical="center"/>
    </xf>
    <xf numFmtId="186" fontId="62" fillId="0" borderId="0" xfId="0" applyNumberFormat="1" applyFont="1" applyAlignment="1">
      <alignment horizontal="justify" vertical="center"/>
    </xf>
    <xf numFmtId="186" fontId="0" fillId="0" borderId="0" xfId="0" applyNumberFormat="1" applyFont="1" applyAlignment="1">
      <alignment horizontal="center" vertical="center"/>
    </xf>
    <xf numFmtId="0" fontId="0" fillId="0" borderId="8" xfId="0" applyBorder="1">
      <alignment vertical="center"/>
    </xf>
    <xf numFmtId="0" fontId="0" fillId="0" borderId="8" xfId="0" applyBorder="1" applyAlignment="1">
      <alignment horizontal="center" vertical="center"/>
    </xf>
    <xf numFmtId="0" fontId="65" fillId="13" borderId="8" xfId="0" applyFont="1" applyFill="1" applyBorder="1" applyAlignment="1">
      <alignment horizontal="left" vertical="center"/>
    </xf>
    <xf numFmtId="0" fontId="65" fillId="13" borderId="16" xfId="0" applyFont="1" applyFill="1" applyBorder="1" applyAlignment="1">
      <alignment horizontal="center" vertical="center" wrapText="1"/>
    </xf>
    <xf numFmtId="0" fontId="65" fillId="13" borderId="37" xfId="0" applyFont="1" applyFill="1" applyBorder="1" applyAlignment="1">
      <alignment horizontal="center" vertical="center" wrapText="1"/>
    </xf>
    <xf numFmtId="0" fontId="65" fillId="13" borderId="17" xfId="0" applyFont="1" applyFill="1" applyBorder="1" applyAlignment="1">
      <alignment horizontal="center" vertical="center" wrapText="1"/>
    </xf>
    <xf numFmtId="0" fontId="65" fillId="13" borderId="8" xfId="0" applyFont="1" applyFill="1" applyBorder="1" applyAlignment="1">
      <alignment horizontal="center" vertical="center"/>
    </xf>
    <xf numFmtId="0" fontId="66" fillId="13" borderId="8" xfId="0" applyFont="1" applyFill="1" applyBorder="1" applyAlignment="1">
      <alignment horizontal="center" vertical="center"/>
    </xf>
    <xf numFmtId="14" fontId="65" fillId="13" borderId="8" xfId="0" applyNumberFormat="1" applyFont="1" applyFill="1" applyBorder="1" applyAlignment="1">
      <alignment horizontal="center" vertical="center"/>
    </xf>
    <xf numFmtId="14" fontId="66" fillId="13" borderId="8" xfId="0" applyNumberFormat="1" applyFont="1" applyFill="1" applyBorder="1" applyAlignment="1">
      <alignment horizontal="center" vertical="center"/>
    </xf>
    <xf numFmtId="0" fontId="67" fillId="14" borderId="38" xfId="0" applyFont="1" applyFill="1" applyBorder="1" applyAlignment="1">
      <alignment horizontal="left" vertical="center" wrapText="1"/>
    </xf>
    <xf numFmtId="0" fontId="67" fillId="14" borderId="8" xfId="0" applyFont="1" applyFill="1" applyBorder="1" applyAlignment="1">
      <alignment vertical="center" wrapText="1"/>
    </xf>
    <xf numFmtId="0" fontId="67" fillId="14" borderId="16" xfId="0" applyFont="1" applyFill="1" applyBorder="1" applyAlignment="1">
      <alignment horizontal="center" vertical="center"/>
    </xf>
    <xf numFmtId="188" fontId="67" fillId="15" borderId="8" xfId="0" applyNumberFormat="1" applyFont="1" applyFill="1" applyBorder="1" applyAlignment="1">
      <alignment vertical="center"/>
    </xf>
    <xf numFmtId="188" fontId="68" fillId="16" borderId="8" xfId="0" applyNumberFormat="1" applyFont="1" applyFill="1" applyBorder="1" applyAlignment="1">
      <alignment vertical="center"/>
    </xf>
    <xf numFmtId="0" fontId="65" fillId="17" borderId="8" xfId="0" applyFont="1" applyFill="1" applyBorder="1" applyAlignment="1">
      <alignment vertical="center"/>
    </xf>
    <xf numFmtId="0" fontId="69" fillId="17" borderId="8" xfId="0" applyFont="1" applyFill="1" applyBorder="1" applyAlignment="1">
      <alignment vertical="center"/>
    </xf>
    <xf numFmtId="188" fontId="65" fillId="17" borderId="8" xfId="0" applyNumberFormat="1" applyFont="1" applyFill="1" applyBorder="1" applyAlignment="1">
      <alignment horizontal="center" vertical="center"/>
    </xf>
    <xf numFmtId="188" fontId="65" fillId="17" borderId="8" xfId="0" applyNumberFormat="1" applyFont="1" applyFill="1" applyBorder="1" applyAlignment="1">
      <alignment vertical="center"/>
    </xf>
    <xf numFmtId="0" fontId="67" fillId="14" borderId="11" xfId="0" applyFont="1" applyFill="1" applyBorder="1" applyAlignment="1">
      <alignment horizontal="left" vertical="center" wrapText="1"/>
    </xf>
    <xf numFmtId="0" fontId="67" fillId="14" borderId="8" xfId="0" applyFont="1" applyFill="1" applyBorder="1" applyAlignment="1">
      <alignment vertical="center"/>
    </xf>
    <xf numFmtId="0" fontId="7" fillId="0" borderId="0" xfId="0" applyFont="1" applyFill="1" applyBorder="1" applyAlignment="1" applyProtection="1">
      <alignment vertical="center"/>
      <protection locked="0"/>
    </xf>
    <xf numFmtId="0" fontId="7" fillId="0" borderId="0" xfId="0" applyFont="1" applyFill="1" applyBorder="1" applyProtection="1">
      <alignment vertical="center"/>
      <protection locked="0"/>
    </xf>
    <xf numFmtId="0" fontId="70" fillId="0" borderId="0" xfId="0" applyFont="1" applyFill="1" applyBorder="1" applyProtection="1">
      <alignment vertical="center"/>
      <protection locked="0"/>
    </xf>
    <xf numFmtId="0" fontId="70" fillId="3" borderId="0" xfId="0" applyFont="1" applyFill="1" applyBorder="1" applyProtection="1">
      <alignment vertical="center"/>
      <protection locked="0"/>
    </xf>
    <xf numFmtId="0" fontId="71" fillId="0" borderId="0" xfId="0" applyFont="1" applyFill="1" applyBorder="1" applyProtection="1">
      <alignment vertical="center"/>
      <protection locked="0"/>
    </xf>
    <xf numFmtId="0" fontId="72" fillId="0" borderId="0" xfId="0" applyFont="1" applyFill="1" applyBorder="1" applyProtection="1">
      <alignment vertical="center"/>
      <protection locked="0"/>
    </xf>
    <xf numFmtId="0" fontId="72" fillId="0" borderId="0" xfId="0" applyFont="1" applyFill="1" applyBorder="1" applyAlignment="1" applyProtection="1">
      <alignment horizontal="center" vertical="center"/>
      <protection locked="0"/>
    </xf>
    <xf numFmtId="0" fontId="72" fillId="0" borderId="15" xfId="0" applyFont="1" applyFill="1" applyBorder="1" applyProtection="1">
      <alignment vertical="center"/>
      <protection locked="0"/>
    </xf>
    <xf numFmtId="0" fontId="7" fillId="0" borderId="15" xfId="0" applyFont="1" applyFill="1" applyBorder="1" applyProtection="1">
      <alignment vertical="center"/>
      <protection locked="0"/>
    </xf>
    <xf numFmtId="0" fontId="28" fillId="0" borderId="0" xfId="0" applyFont="1" applyFill="1" applyBorder="1" applyAlignment="1" applyProtection="1">
      <alignment horizontal="center" vertical="center"/>
    </xf>
    <xf numFmtId="0" fontId="28" fillId="0" borderId="0" xfId="0" applyFont="1" applyFill="1" applyBorder="1" applyAlignment="1" applyProtection="1">
      <alignment horizontal="center" vertical="center" wrapText="1"/>
      <protection locked="0"/>
    </xf>
    <xf numFmtId="0" fontId="29" fillId="0" borderId="0" xfId="0" applyFont="1" applyFill="1" applyBorder="1" applyAlignment="1" applyProtection="1">
      <alignment horizontal="center" vertical="center"/>
      <protection locked="0"/>
    </xf>
    <xf numFmtId="0" fontId="28" fillId="0" borderId="0" xfId="0" applyFont="1" applyFill="1" applyBorder="1" applyAlignment="1" applyProtection="1">
      <alignment horizontal="center" vertical="center"/>
      <protection locked="0"/>
    </xf>
    <xf numFmtId="182" fontId="28" fillId="0" borderId="0" xfId="0" applyNumberFormat="1" applyFont="1" applyFill="1" applyBorder="1" applyAlignment="1" applyProtection="1">
      <alignment horizontal="center" vertical="center"/>
      <protection locked="0"/>
    </xf>
    <xf numFmtId="178" fontId="16" fillId="0" borderId="0" xfId="0" applyNumberFormat="1" applyFont="1" applyFill="1" applyBorder="1" applyAlignment="1" applyProtection="1">
      <alignment horizontal="center" vertical="center" wrapText="1"/>
      <protection locked="0"/>
    </xf>
    <xf numFmtId="178" fontId="3" fillId="0" borderId="0" xfId="0" applyNumberFormat="1" applyFont="1" applyFill="1" applyBorder="1" applyAlignment="1" applyProtection="1">
      <alignment horizontal="center" vertical="center" wrapText="1"/>
      <protection locked="0"/>
    </xf>
    <xf numFmtId="178" fontId="28" fillId="0" borderId="0" xfId="0" applyNumberFormat="1" applyFont="1" applyFill="1" applyBorder="1" applyAlignment="1" applyProtection="1">
      <alignment horizontal="center" vertical="center" wrapText="1"/>
      <protection locked="0"/>
    </xf>
    <xf numFmtId="0" fontId="28" fillId="0" borderId="0" xfId="0" applyNumberFormat="1" applyFont="1" applyFill="1" applyBorder="1" applyAlignment="1" applyProtection="1">
      <alignment horizontal="center" vertical="center" wrapText="1"/>
      <protection locked="0"/>
    </xf>
    <xf numFmtId="0" fontId="28" fillId="5" borderId="0" xfId="0" applyFont="1" applyFill="1" applyBorder="1" applyAlignment="1" applyProtection="1">
      <alignment horizontal="center" vertical="center" wrapText="1"/>
      <protection locked="0"/>
    </xf>
    <xf numFmtId="0" fontId="73" fillId="5" borderId="0" xfId="0" applyFont="1" applyFill="1" applyBorder="1" applyAlignment="1" applyProtection="1">
      <alignment horizontal="center" vertical="center" wrapText="1"/>
      <protection locked="0"/>
    </xf>
    <xf numFmtId="0" fontId="30" fillId="0" borderId="0" xfId="0" applyFont="1" applyFill="1" applyBorder="1" applyAlignment="1" applyProtection="1">
      <alignment horizontal="center" vertical="center"/>
      <protection locked="0"/>
    </xf>
    <xf numFmtId="176" fontId="73" fillId="0" borderId="0" xfId="0" applyNumberFormat="1" applyFont="1" applyFill="1" applyBorder="1" applyAlignment="1" applyProtection="1">
      <alignment horizontal="center" vertical="center"/>
      <protection locked="0"/>
    </xf>
    <xf numFmtId="176" fontId="73" fillId="5" borderId="0" xfId="0" applyNumberFormat="1" applyFont="1" applyFill="1" applyBorder="1" applyAlignment="1" applyProtection="1">
      <alignment horizontal="center" vertical="center"/>
      <protection locked="0"/>
    </xf>
    <xf numFmtId="176" fontId="28" fillId="0" borderId="0" xfId="0" applyNumberFormat="1" applyFont="1" applyFill="1" applyBorder="1" applyAlignment="1" applyProtection="1">
      <alignment horizontal="center" vertical="center"/>
      <protection locked="0"/>
    </xf>
    <xf numFmtId="176" fontId="30" fillId="0" borderId="0" xfId="0" applyNumberFormat="1" applyFont="1" applyFill="1" applyBorder="1" applyAlignment="1" applyProtection="1">
      <alignment horizontal="center" vertical="center"/>
      <protection locked="0"/>
    </xf>
    <xf numFmtId="176" fontId="30" fillId="5" borderId="0" xfId="0" applyNumberFormat="1" applyFont="1" applyFill="1" applyBorder="1" applyAlignment="1" applyProtection="1">
      <alignment horizontal="center" vertical="center"/>
      <protection locked="0"/>
    </xf>
    <xf numFmtId="176" fontId="74" fillId="5" borderId="0" xfId="0" applyNumberFormat="1" applyFont="1" applyFill="1" applyBorder="1" applyAlignment="1" applyProtection="1">
      <alignment horizontal="center" vertical="center"/>
      <protection locked="0"/>
    </xf>
    <xf numFmtId="183" fontId="28" fillId="0" borderId="0" xfId="0" applyNumberFormat="1" applyFont="1" applyFill="1" applyBorder="1" applyAlignment="1" applyProtection="1">
      <alignment horizontal="center" vertical="center" wrapText="1"/>
      <protection locked="0"/>
    </xf>
    <xf numFmtId="0" fontId="7" fillId="0" borderId="0" xfId="0" applyFont="1" applyFill="1" applyBorder="1" applyAlignment="1" applyProtection="1">
      <alignment horizontal="center" vertical="center"/>
      <protection locked="0"/>
    </xf>
    <xf numFmtId="0" fontId="0" fillId="0" borderId="0" xfId="0" applyFont="1" applyFill="1" applyBorder="1" applyProtection="1">
      <alignment vertical="center"/>
      <protection locked="0"/>
    </xf>
    <xf numFmtId="0" fontId="30" fillId="0" borderId="0" xfId="0" applyFont="1" applyFill="1" applyBorder="1" applyAlignment="1" applyProtection="1">
      <alignment vertical="center"/>
    </xf>
    <xf numFmtId="0" fontId="30" fillId="0" borderId="0" xfId="0" applyFont="1" applyFill="1" applyBorder="1" applyAlignment="1" applyProtection="1">
      <alignment vertical="center"/>
      <protection locked="0"/>
    </xf>
    <xf numFmtId="58" fontId="30" fillId="0" borderId="0" xfId="0" applyNumberFormat="1" applyFont="1" applyFill="1" applyBorder="1" applyAlignment="1" applyProtection="1">
      <alignment vertical="center"/>
      <protection locked="0"/>
    </xf>
    <xf numFmtId="0" fontId="30" fillId="0" borderId="0" xfId="0" applyFont="1" applyFill="1" applyBorder="1" applyAlignment="1" applyProtection="1">
      <alignment vertical="center" wrapText="1"/>
      <protection locked="0"/>
    </xf>
    <xf numFmtId="178" fontId="17" fillId="0" borderId="0" xfId="0" applyNumberFormat="1" applyFont="1" applyFill="1" applyBorder="1" applyAlignment="1" applyProtection="1">
      <alignment vertical="center" wrapText="1"/>
      <protection locked="0"/>
    </xf>
    <xf numFmtId="178" fontId="8" fillId="0" borderId="0" xfId="0" applyNumberFormat="1" applyFont="1" applyFill="1" applyBorder="1" applyAlignment="1" applyProtection="1">
      <alignment vertical="center" wrapText="1"/>
      <protection locked="0"/>
    </xf>
    <xf numFmtId="178" fontId="30" fillId="0" borderId="0" xfId="0" applyNumberFormat="1" applyFont="1" applyFill="1" applyBorder="1" applyAlignment="1" applyProtection="1">
      <alignment vertical="center" wrapText="1"/>
      <protection locked="0"/>
    </xf>
    <xf numFmtId="0" fontId="30" fillId="0" borderId="0" xfId="0" applyNumberFormat="1" applyFont="1" applyFill="1" applyBorder="1" applyAlignment="1" applyProtection="1">
      <alignment vertical="center" wrapText="1"/>
      <protection locked="0"/>
    </xf>
    <xf numFmtId="0" fontId="75" fillId="0" borderId="0" xfId="0" applyFont="1" applyFill="1" applyBorder="1" applyAlignment="1" applyProtection="1">
      <alignment vertical="center" wrapText="1"/>
      <protection locked="0"/>
    </xf>
    <xf numFmtId="176" fontId="76" fillId="0" borderId="0" xfId="0" applyNumberFormat="1" applyFont="1" applyFill="1" applyBorder="1" applyAlignment="1" applyProtection="1">
      <alignment vertical="center"/>
      <protection locked="0"/>
    </xf>
    <xf numFmtId="176" fontId="30" fillId="0" borderId="0" xfId="0" applyNumberFormat="1" applyFont="1" applyFill="1" applyBorder="1" applyAlignment="1" applyProtection="1">
      <alignment vertical="center"/>
      <protection locked="0"/>
    </xf>
    <xf numFmtId="176" fontId="74" fillId="0" borderId="0" xfId="0" applyNumberFormat="1" applyFont="1" applyFill="1" applyBorder="1" applyAlignment="1" applyProtection="1">
      <alignment vertical="center"/>
      <protection locked="0"/>
    </xf>
    <xf numFmtId="0" fontId="30" fillId="0" borderId="0" xfId="0" applyFont="1" applyFill="1" applyBorder="1" applyAlignment="1" applyProtection="1">
      <alignment horizontal="center" vertical="center" wrapText="1"/>
      <protection locked="0"/>
    </xf>
    <xf numFmtId="183" fontId="30" fillId="0" borderId="0" xfId="0" applyNumberFormat="1" applyFont="1" applyFill="1" applyBorder="1" applyAlignment="1" applyProtection="1">
      <alignment horizontal="center" vertical="center" wrapText="1"/>
      <protection locked="0"/>
    </xf>
    <xf numFmtId="0" fontId="0" fillId="0" borderId="0" xfId="0" applyFont="1" applyFill="1" applyBorder="1" applyAlignment="1" applyProtection="1">
      <alignment vertical="center"/>
      <protection locked="0"/>
    </xf>
    <xf numFmtId="179" fontId="77" fillId="0" borderId="0" xfId="0" applyNumberFormat="1" applyFont="1" applyFill="1" applyBorder="1" applyAlignment="1" applyProtection="1">
      <alignment vertical="center"/>
    </xf>
    <xf numFmtId="179" fontId="77" fillId="0" borderId="0" xfId="0" applyNumberFormat="1" applyFont="1" applyFill="1" applyBorder="1" applyAlignment="1" applyProtection="1">
      <alignment vertical="center" wrapText="1"/>
      <protection locked="0"/>
    </xf>
    <xf numFmtId="0" fontId="77" fillId="0" borderId="0" xfId="0" applyFont="1" applyFill="1" applyBorder="1" applyAlignment="1" applyProtection="1">
      <alignment vertical="center" wrapText="1"/>
      <protection locked="0"/>
    </xf>
    <xf numFmtId="182" fontId="30" fillId="0" borderId="0" xfId="0" applyNumberFormat="1" applyFont="1" applyFill="1" applyBorder="1" applyAlignment="1" applyProtection="1">
      <alignment vertical="center"/>
      <protection locked="0"/>
    </xf>
    <xf numFmtId="179" fontId="77" fillId="0" borderId="0" xfId="0" applyNumberFormat="1" applyFont="1" applyFill="1" applyBorder="1" applyAlignment="1" applyProtection="1">
      <alignment vertical="center"/>
      <protection locked="0"/>
    </xf>
    <xf numFmtId="0" fontId="77" fillId="18" borderId="0" xfId="0" applyFont="1" applyFill="1" applyBorder="1" applyAlignment="1" applyProtection="1">
      <alignment horizontal="center" vertical="center" wrapText="1"/>
      <protection locked="0"/>
    </xf>
    <xf numFmtId="0" fontId="77" fillId="0" borderId="0" xfId="0" applyFont="1" applyFill="1" applyBorder="1" applyAlignment="1" applyProtection="1">
      <alignment horizontal="center" vertical="center" wrapText="1"/>
      <protection locked="0"/>
    </xf>
    <xf numFmtId="176" fontId="73" fillId="0" borderId="0" xfId="0" applyNumberFormat="1" applyFont="1" applyFill="1" applyBorder="1" applyAlignment="1" applyProtection="1">
      <alignment vertical="center"/>
      <protection locked="0"/>
    </xf>
    <xf numFmtId="176" fontId="73" fillId="5" borderId="0" xfId="0" applyNumberFormat="1" applyFont="1" applyFill="1" applyBorder="1" applyAlignment="1" applyProtection="1">
      <alignment vertical="center"/>
      <protection locked="0"/>
    </xf>
    <xf numFmtId="176" fontId="28" fillId="18" borderId="0" xfId="0" applyNumberFormat="1" applyFont="1" applyFill="1" applyBorder="1" applyAlignment="1" applyProtection="1">
      <alignment horizontal="center" vertical="center"/>
      <protection locked="0"/>
    </xf>
    <xf numFmtId="176" fontId="30" fillId="18" borderId="0" xfId="0" applyNumberFormat="1" applyFont="1" applyFill="1" applyBorder="1" applyAlignment="1" applyProtection="1">
      <alignment horizontal="center" vertical="center"/>
      <protection locked="0"/>
    </xf>
    <xf numFmtId="176" fontId="30" fillId="19" borderId="0" xfId="0" applyNumberFormat="1" applyFont="1" applyFill="1" applyBorder="1" applyAlignment="1" applyProtection="1">
      <alignment horizontal="center" vertical="center"/>
      <protection locked="0"/>
    </xf>
    <xf numFmtId="183" fontId="77" fillId="0" borderId="0" xfId="0" applyNumberFormat="1" applyFont="1" applyFill="1" applyBorder="1" applyAlignment="1" applyProtection="1">
      <alignment horizontal="center" vertical="center" wrapText="1"/>
      <protection locked="0"/>
    </xf>
    <xf numFmtId="176" fontId="77" fillId="0" borderId="0" xfId="0" applyNumberFormat="1" applyFont="1" applyFill="1" applyBorder="1" applyAlignment="1" applyProtection="1">
      <alignment horizontal="center" vertical="center"/>
      <protection locked="0"/>
    </xf>
    <xf numFmtId="0" fontId="30" fillId="0" borderId="15" xfId="0" applyFont="1" applyFill="1" applyBorder="1" applyAlignment="1" applyProtection="1">
      <alignment horizontal="center" vertical="center" wrapText="1" shrinkToFit="1"/>
    </xf>
    <xf numFmtId="0" fontId="30" fillId="0" borderId="15" xfId="0" applyFont="1" applyFill="1" applyBorder="1" applyAlignment="1" applyProtection="1">
      <alignment horizontal="center" vertical="center" wrapText="1" shrinkToFit="1"/>
      <protection locked="0"/>
    </xf>
    <xf numFmtId="0" fontId="78" fillId="0" borderId="15" xfId="0" applyFont="1" applyFill="1" applyBorder="1" applyAlignment="1" applyProtection="1">
      <alignment horizontal="center" vertical="center" wrapText="1" shrinkToFit="1"/>
      <protection locked="0"/>
    </xf>
    <xf numFmtId="178" fontId="30" fillId="0" borderId="15" xfId="0" applyNumberFormat="1" applyFont="1" applyFill="1" applyBorder="1" applyAlignment="1" applyProtection="1">
      <alignment horizontal="center" vertical="center" wrapText="1" shrinkToFit="1"/>
    </xf>
    <xf numFmtId="0" fontId="17" fillId="0" borderId="15" xfId="0" applyFont="1" applyFill="1" applyBorder="1" applyAlignment="1" applyProtection="1">
      <alignment horizontal="center" vertical="center" wrapText="1" shrinkToFit="1"/>
    </xf>
    <xf numFmtId="0" fontId="79" fillId="0" borderId="15" xfId="0" applyFont="1" applyFill="1" applyBorder="1" applyAlignment="1" applyProtection="1">
      <alignment horizontal="center" vertical="center" wrapText="1" shrinkToFit="1"/>
    </xf>
    <xf numFmtId="0" fontId="77" fillId="0" borderId="15" xfId="0" applyFont="1" applyFill="1" applyBorder="1" applyAlignment="1" applyProtection="1">
      <alignment horizontal="center" vertical="center" wrapText="1"/>
    </xf>
    <xf numFmtId="0" fontId="77" fillId="0" borderId="15" xfId="0" applyFont="1" applyFill="1" applyBorder="1" applyAlignment="1" applyProtection="1">
      <alignment horizontal="center" vertical="center"/>
    </xf>
    <xf numFmtId="0" fontId="47" fillId="0" borderId="15" xfId="0" applyNumberFormat="1" applyFont="1" applyFill="1" applyBorder="1" applyAlignment="1" applyProtection="1">
      <alignment horizontal="center" vertical="center" wrapText="1" shrinkToFit="1"/>
    </xf>
    <xf numFmtId="182" fontId="30" fillId="0" borderId="15" xfId="0" applyNumberFormat="1" applyFont="1" applyFill="1" applyBorder="1" applyAlignment="1" applyProtection="1">
      <alignment horizontal="center" vertical="center" wrapText="1" shrinkToFit="1"/>
    </xf>
    <xf numFmtId="0" fontId="30" fillId="0" borderId="15" xfId="0" applyNumberFormat="1" applyFont="1" applyFill="1" applyBorder="1" applyAlignment="1" applyProtection="1">
      <alignment horizontal="center" vertical="center" wrapText="1" shrinkToFit="1"/>
    </xf>
    <xf numFmtId="0" fontId="77" fillId="0" borderId="15" xfId="0" applyFont="1" applyFill="1" applyBorder="1" applyAlignment="1" applyProtection="1">
      <alignment horizontal="center" vertical="center" wrapText="1" shrinkToFit="1"/>
    </xf>
    <xf numFmtId="0" fontId="26" fillId="0" borderId="15" xfId="0" applyFont="1" applyFill="1" applyBorder="1" applyAlignment="1" applyProtection="1">
      <alignment horizontal="center" vertical="center" wrapText="1" shrinkToFit="1"/>
    </xf>
    <xf numFmtId="0" fontId="80" fillId="0" borderId="15" xfId="0" applyFont="1" applyFill="1" applyBorder="1" applyAlignment="1" applyProtection="1">
      <alignment horizontal="center" vertical="center" wrapText="1" shrinkToFit="1"/>
    </xf>
    <xf numFmtId="0" fontId="81" fillId="0" borderId="15" xfId="0" applyFont="1" applyFill="1" applyBorder="1" applyAlignment="1" applyProtection="1">
      <alignment horizontal="center" vertical="center" wrapText="1" shrinkToFit="1"/>
    </xf>
    <xf numFmtId="176" fontId="77" fillId="0" borderId="15" xfId="0" applyNumberFormat="1" applyFont="1" applyFill="1" applyBorder="1" applyAlignment="1" applyProtection="1">
      <alignment horizontal="center" vertical="center" wrapText="1" shrinkToFit="1"/>
    </xf>
    <xf numFmtId="0" fontId="30" fillId="0" borderId="15" xfId="0" applyFont="1" applyFill="1" applyBorder="1" applyAlignment="1" applyProtection="1">
      <alignment horizontal="center" vertical="center" wrapText="1"/>
    </xf>
    <xf numFmtId="179" fontId="25" fillId="0" borderId="15" xfId="0" applyNumberFormat="1" applyFont="1" applyFill="1" applyBorder="1" applyAlignment="1" applyProtection="1">
      <alignment horizontal="center" vertical="center"/>
    </xf>
    <xf numFmtId="49" fontId="34" fillId="0" borderId="15" xfId="0" applyNumberFormat="1" applyFont="1" applyFill="1" applyBorder="1" applyAlignment="1" applyProtection="1">
      <alignment horizontal="center" vertical="center" wrapText="1"/>
      <protection locked="0"/>
    </xf>
    <xf numFmtId="0" fontId="34" fillId="0" borderId="15" xfId="0" applyFont="1" applyFill="1" applyBorder="1" applyAlignment="1" applyProtection="1">
      <alignment horizontal="center" vertical="center" wrapText="1" shrinkToFit="1"/>
      <protection locked="0"/>
    </xf>
    <xf numFmtId="0" fontId="82" fillId="0" borderId="15" xfId="0" applyNumberFormat="1" applyFont="1" applyFill="1" applyBorder="1" applyAlignment="1" applyProtection="1">
      <alignment horizontal="center" vertical="center" shrinkToFit="1"/>
      <protection locked="0"/>
    </xf>
    <xf numFmtId="0" fontId="25" fillId="0" borderId="15" xfId="0" applyNumberFormat="1" applyFont="1" applyFill="1" applyBorder="1" applyAlignment="1" applyProtection="1">
      <alignment horizontal="center" vertical="center" shrinkToFit="1"/>
      <protection locked="0"/>
    </xf>
    <xf numFmtId="0" fontId="25" fillId="0" borderId="15" xfId="0" applyFont="1" applyFill="1" applyBorder="1" applyAlignment="1" applyProtection="1">
      <alignment horizontal="center" vertical="center" wrapText="1" shrinkToFit="1"/>
      <protection locked="0"/>
    </xf>
    <xf numFmtId="0" fontId="25" fillId="0" borderId="15" xfId="0" applyFont="1" applyFill="1" applyBorder="1" applyAlignment="1" applyProtection="1">
      <alignment horizontal="center" vertical="center"/>
      <protection locked="0"/>
    </xf>
    <xf numFmtId="0" fontId="25" fillId="0" borderId="15" xfId="0" applyFont="1" applyFill="1" applyBorder="1" applyAlignment="1" applyProtection="1">
      <alignment horizontal="center" vertical="center"/>
    </xf>
    <xf numFmtId="183" fontId="25" fillId="0" borderId="15" xfId="0" applyNumberFormat="1" applyFont="1" applyFill="1" applyBorder="1" applyAlignment="1" applyProtection="1">
      <alignment horizontal="center" vertical="center"/>
    </xf>
    <xf numFmtId="180" fontId="34" fillId="0" borderId="15" xfId="0" applyNumberFormat="1" applyFont="1" applyFill="1" applyBorder="1" applyAlignment="1" applyProtection="1">
      <alignment horizontal="center" vertical="center" wrapText="1" shrinkToFit="1"/>
    </xf>
    <xf numFmtId="178" fontId="34" fillId="0" borderId="15" xfId="0" applyNumberFormat="1" applyFont="1" applyFill="1" applyBorder="1" applyAlignment="1" applyProtection="1">
      <alignment horizontal="center" vertical="center" wrapText="1"/>
    </xf>
    <xf numFmtId="178" fontId="83" fillId="0" borderId="15" xfId="0" applyNumberFormat="1" applyFont="1" applyFill="1" applyBorder="1" applyAlignment="1" applyProtection="1">
      <alignment horizontal="center" vertical="center" wrapText="1"/>
    </xf>
    <xf numFmtId="0" fontId="25" fillId="0" borderId="15" xfId="0" applyFont="1" applyFill="1" applyBorder="1" applyAlignment="1" applyProtection="1">
      <alignment horizontal="center" vertical="center" wrapText="1"/>
    </xf>
    <xf numFmtId="0" fontId="34" fillId="0" borderId="15" xfId="0" applyFont="1" applyFill="1" applyBorder="1" applyAlignment="1" applyProtection="1">
      <alignment horizontal="center" vertical="center" wrapText="1"/>
    </xf>
    <xf numFmtId="0" fontId="34" fillId="0" borderId="15" xfId="0" applyFont="1" applyFill="1" applyBorder="1" applyAlignment="1" applyProtection="1">
      <alignment horizontal="center" vertical="center"/>
    </xf>
    <xf numFmtId="0" fontId="84" fillId="0" borderId="15" xfId="0" applyNumberFormat="1" applyFont="1" applyFill="1" applyBorder="1" applyAlignment="1" applyProtection="1">
      <alignment horizontal="center" vertical="center" wrapText="1"/>
    </xf>
    <xf numFmtId="181" fontId="34" fillId="0" borderId="15" xfId="0" applyNumberFormat="1" applyFont="1" applyFill="1" applyBorder="1" applyAlignment="1" applyProtection="1">
      <alignment horizontal="center" vertical="center"/>
    </xf>
    <xf numFmtId="0" fontId="25" fillId="0" borderId="15" xfId="0" applyNumberFormat="1" applyFont="1" applyFill="1" applyBorder="1" applyAlignment="1" applyProtection="1">
      <alignment horizontal="center" vertical="center"/>
    </xf>
    <xf numFmtId="182" fontId="25" fillId="0" borderId="15" xfId="0" applyNumberFormat="1" applyFont="1" applyFill="1" applyBorder="1" applyAlignment="1" applyProtection="1">
      <alignment horizontal="center" vertical="center"/>
    </xf>
    <xf numFmtId="0" fontId="28" fillId="0" borderId="15" xfId="0" applyNumberFormat="1" applyFont="1" applyFill="1" applyBorder="1" applyAlignment="1" applyProtection="1">
      <alignment horizontal="center" vertical="center"/>
    </xf>
    <xf numFmtId="176" fontId="25" fillId="0" borderId="15" xfId="0" applyNumberFormat="1" applyFont="1" applyFill="1" applyBorder="1" applyAlignment="1" applyProtection="1">
      <alignment horizontal="center" vertical="center" wrapText="1" shrinkToFit="1"/>
    </xf>
    <xf numFmtId="0" fontId="27" fillId="0" borderId="15" xfId="0" applyFont="1" applyFill="1" applyBorder="1" applyAlignment="1" applyProtection="1">
      <alignment horizontal="center" vertical="center" wrapText="1" shrinkToFit="1"/>
    </xf>
    <xf numFmtId="176" fontId="27" fillId="0" borderId="15" xfId="0" applyNumberFormat="1" applyFont="1" applyFill="1" applyBorder="1" applyAlignment="1" applyProtection="1">
      <alignment horizontal="center" vertical="center" wrapText="1" shrinkToFit="1"/>
    </xf>
    <xf numFmtId="176" fontId="28" fillId="0" borderId="15" xfId="0" applyNumberFormat="1" applyFont="1" applyFill="1" applyBorder="1" applyAlignment="1" applyProtection="1">
      <alignment horizontal="center" vertical="center" wrapText="1" shrinkToFit="1"/>
    </xf>
    <xf numFmtId="176" fontId="30" fillId="0" borderId="15" xfId="0" applyNumberFormat="1" applyFont="1" applyFill="1" applyBorder="1" applyAlignment="1" applyProtection="1">
      <alignment horizontal="center" vertical="center" wrapText="1" shrinkToFit="1"/>
    </xf>
    <xf numFmtId="0" fontId="34" fillId="0" borderId="15" xfId="0" applyFont="1" applyFill="1" applyBorder="1" applyAlignment="1" applyProtection="1">
      <alignment vertical="center" wrapText="1"/>
    </xf>
    <xf numFmtId="183" fontId="25" fillId="0" borderId="15" xfId="0" applyNumberFormat="1" applyFont="1" applyFill="1" applyBorder="1" applyAlignment="1" applyProtection="1">
      <alignment horizontal="center" vertical="center" wrapText="1"/>
    </xf>
    <xf numFmtId="0" fontId="25" fillId="0" borderId="15" xfId="0" applyFont="1" applyFill="1" applyBorder="1" applyAlignment="1" applyProtection="1">
      <alignment horizontal="center" vertical="center" wrapText="1"/>
      <protection locked="0"/>
    </xf>
    <xf numFmtId="178" fontId="21" fillId="0" borderId="15" xfId="0" applyNumberFormat="1" applyFont="1" applyFill="1" applyBorder="1" applyAlignment="1" applyProtection="1">
      <alignment horizontal="center" vertical="center" wrapText="1"/>
    </xf>
    <xf numFmtId="0" fontId="25" fillId="0" borderId="15" xfId="0" applyNumberFormat="1" applyFont="1" applyFill="1" applyBorder="1" applyAlignment="1" applyProtection="1">
      <alignment horizontal="center" vertical="center" wrapText="1" shrinkToFit="1"/>
      <protection locked="0"/>
    </xf>
    <xf numFmtId="0" fontId="25" fillId="0" borderId="15" xfId="0" applyFont="1" applyFill="1" applyBorder="1" applyAlignment="1" applyProtection="1">
      <alignment horizontal="center" vertical="center" shrinkToFit="1"/>
      <protection locked="0"/>
    </xf>
    <xf numFmtId="178" fontId="85" fillId="0" borderId="15" xfId="0" applyNumberFormat="1" applyFont="1" applyFill="1" applyBorder="1" applyAlignment="1" applyProtection="1">
      <alignment horizontal="center" vertical="center" wrapText="1"/>
    </xf>
    <xf numFmtId="0" fontId="86" fillId="0" borderId="15" xfId="0" applyNumberFormat="1" applyFont="1" applyFill="1" applyBorder="1" applyAlignment="1" applyProtection="1">
      <alignment horizontal="center" vertical="center"/>
    </xf>
    <xf numFmtId="176" fontId="87" fillId="0" borderId="15" xfId="0" applyNumberFormat="1" applyFont="1" applyFill="1" applyBorder="1" applyAlignment="1" applyProtection="1">
      <alignment horizontal="center" vertical="center" wrapText="1" shrinkToFit="1"/>
    </xf>
    <xf numFmtId="0" fontId="25" fillId="0" borderId="15" xfId="0" applyNumberFormat="1" applyFont="1" applyFill="1" applyBorder="1" applyAlignment="1" applyProtection="1">
      <alignment horizontal="center" vertical="center" wrapText="1"/>
      <protection locked="0"/>
    </xf>
    <xf numFmtId="176" fontId="83" fillId="0" borderId="15" xfId="0" applyNumberFormat="1" applyFont="1" applyFill="1" applyBorder="1" applyAlignment="1" applyProtection="1">
      <alignment horizontal="center" vertical="center" wrapText="1"/>
    </xf>
    <xf numFmtId="176" fontId="34" fillId="0" borderId="15" xfId="0" applyNumberFormat="1" applyFont="1" applyFill="1" applyBorder="1" applyAlignment="1" applyProtection="1">
      <alignment horizontal="center" vertical="center" wrapText="1"/>
    </xf>
    <xf numFmtId="176" fontId="34" fillId="0" borderId="15" xfId="0" applyNumberFormat="1" applyFont="1" applyFill="1" applyBorder="1" applyAlignment="1" applyProtection="1">
      <alignment horizontal="center" vertical="center" wrapText="1" shrinkToFit="1"/>
    </xf>
    <xf numFmtId="176" fontId="34" fillId="0" borderId="15" xfId="0" applyNumberFormat="1" applyFont="1" applyFill="1" applyBorder="1" applyAlignment="1" applyProtection="1">
      <alignment horizontal="center" vertical="center"/>
    </xf>
    <xf numFmtId="176" fontId="84" fillId="0" borderId="15" xfId="0" applyNumberFormat="1" applyFont="1" applyFill="1" applyBorder="1" applyAlignment="1" applyProtection="1">
      <alignment horizontal="center" vertical="center" wrapText="1"/>
    </xf>
    <xf numFmtId="176" fontId="25" fillId="0" borderId="15" xfId="0" applyNumberFormat="1" applyFont="1" applyFill="1" applyBorder="1" applyAlignment="1" applyProtection="1">
      <alignment horizontal="center" vertical="center"/>
    </xf>
    <xf numFmtId="176" fontId="88" fillId="0" borderId="15" xfId="0" applyNumberFormat="1" applyFont="1" applyFill="1" applyBorder="1" applyAlignment="1" applyProtection="1">
      <alignment horizontal="center" vertical="center"/>
    </xf>
    <xf numFmtId="176" fontId="89" fillId="0" borderId="15" xfId="0" applyNumberFormat="1" applyFont="1" applyFill="1" applyBorder="1" applyAlignment="1" applyProtection="1">
      <alignment horizontal="center" vertical="center" wrapText="1" shrinkToFit="1"/>
    </xf>
    <xf numFmtId="176" fontId="25" fillId="0" borderId="15" xfId="0" applyNumberFormat="1" applyFont="1" applyFill="1" applyBorder="1" applyAlignment="1" applyProtection="1">
      <alignment horizontal="center" vertical="center" wrapText="1"/>
    </xf>
    <xf numFmtId="180" fontId="27" fillId="0" borderId="15" xfId="0" applyNumberFormat="1" applyFont="1" applyFill="1" applyBorder="1" applyAlignment="1" applyProtection="1">
      <alignment horizontal="center" vertical="center" wrapText="1" shrinkToFit="1"/>
    </xf>
    <xf numFmtId="0" fontId="34" fillId="0" borderId="15" xfId="0" applyFont="1" applyFill="1" applyBorder="1" applyAlignment="1" applyProtection="1">
      <alignment horizontal="justify" vertical="center" wrapText="1"/>
    </xf>
    <xf numFmtId="0" fontId="82" fillId="0" borderId="15" xfId="0" applyFont="1" applyFill="1" applyBorder="1" applyAlignment="1" applyProtection="1">
      <alignment horizontal="center" vertical="center"/>
      <protection locked="0"/>
    </xf>
    <xf numFmtId="0" fontId="34" fillId="0" borderId="15" xfId="0" applyFont="1" applyFill="1" applyBorder="1" applyProtection="1">
      <alignment vertical="center"/>
    </xf>
    <xf numFmtId="0" fontId="90" fillId="0" borderId="15" xfId="0" applyNumberFormat="1" applyFont="1" applyFill="1" applyBorder="1" applyAlignment="1" applyProtection="1">
      <alignment horizontal="center" vertical="center"/>
    </xf>
    <xf numFmtId="176" fontId="91" fillId="0" borderId="15" xfId="0" applyNumberFormat="1" applyFont="1" applyFill="1" applyBorder="1" applyAlignment="1" applyProtection="1">
      <alignment horizontal="center" vertical="center" wrapText="1" shrinkToFit="1"/>
    </xf>
    <xf numFmtId="0" fontId="83" fillId="0" borderId="15" xfId="0" applyFont="1" applyFill="1" applyBorder="1" applyAlignment="1" applyProtection="1">
      <alignment horizontal="center" vertical="center"/>
    </xf>
    <xf numFmtId="181" fontId="25" fillId="0" borderId="15" xfId="0" applyNumberFormat="1" applyFont="1" applyFill="1" applyBorder="1" applyAlignment="1" applyProtection="1">
      <alignment horizontal="center" vertical="center"/>
    </xf>
    <xf numFmtId="0" fontId="34" fillId="0" borderId="15" xfId="0" applyFont="1" applyFill="1" applyBorder="1" applyAlignment="1" applyProtection="1">
      <alignment horizontal="center" vertical="center" wrapText="1" shrinkToFit="1"/>
    </xf>
    <xf numFmtId="0" fontId="84" fillId="0" borderId="15" xfId="0" applyFont="1" applyFill="1" applyBorder="1" applyAlignment="1" applyProtection="1">
      <alignment horizontal="center" vertical="center" wrapText="1"/>
    </xf>
    <xf numFmtId="0" fontId="92" fillId="0" borderId="15" xfId="0" applyNumberFormat="1" applyFont="1" applyFill="1" applyBorder="1" applyAlignment="1" applyProtection="1">
      <alignment horizontal="center" vertical="center"/>
    </xf>
    <xf numFmtId="176" fontId="93" fillId="0" borderId="15" xfId="0" applyNumberFormat="1" applyFont="1" applyFill="1" applyBorder="1" applyAlignment="1" applyProtection="1">
      <alignment horizontal="center" vertical="center" wrapText="1" shrinkToFit="1"/>
    </xf>
    <xf numFmtId="176" fontId="92" fillId="0" borderId="15" xfId="0" applyNumberFormat="1" applyFont="1" applyFill="1" applyBorder="1" applyAlignment="1" applyProtection="1">
      <alignment horizontal="center" vertical="center" wrapText="1" shrinkToFit="1"/>
    </xf>
    <xf numFmtId="182" fontId="25" fillId="0" borderId="15" xfId="0" applyNumberFormat="1" applyFont="1" applyFill="1" applyBorder="1" applyAlignment="1" applyProtection="1">
      <alignment horizontal="center" vertical="center" wrapText="1"/>
    </xf>
    <xf numFmtId="0" fontId="25" fillId="0" borderId="15" xfId="0" applyFont="1" applyFill="1" applyBorder="1" applyAlignment="1" applyProtection="1">
      <alignment horizontal="center" vertical="top" wrapText="1"/>
      <protection locked="0"/>
    </xf>
    <xf numFmtId="182" fontId="82" fillId="0" borderId="15" xfId="0" applyNumberFormat="1" applyFont="1" applyFill="1" applyBorder="1" applyAlignment="1" applyProtection="1">
      <alignment horizontal="center" vertical="center"/>
    </xf>
    <xf numFmtId="0" fontId="94" fillId="0" borderId="15" xfId="0" applyNumberFormat="1" applyFont="1" applyFill="1" applyBorder="1" applyAlignment="1" applyProtection="1">
      <alignment horizontal="center" vertical="center"/>
    </xf>
    <xf numFmtId="0" fontId="25" fillId="2" borderId="15" xfId="0" applyNumberFormat="1" applyFont="1" applyFill="1" applyBorder="1" applyAlignment="1" applyProtection="1">
      <alignment horizontal="center" vertical="center"/>
    </xf>
    <xf numFmtId="176" fontId="27" fillId="2" borderId="15" xfId="0" applyNumberFormat="1" applyFont="1" applyFill="1" applyBorder="1" applyAlignment="1" applyProtection="1">
      <alignment horizontal="center" vertical="center" wrapText="1" shrinkToFit="1"/>
    </xf>
    <xf numFmtId="0" fontId="25" fillId="5" borderId="15" xfId="0" applyFont="1" applyFill="1" applyBorder="1" applyAlignment="1" applyProtection="1">
      <alignment horizontal="center" vertical="center"/>
      <protection locked="0"/>
    </xf>
    <xf numFmtId="0" fontId="28" fillId="2" borderId="15" xfId="0" applyNumberFormat="1" applyFont="1" applyFill="1" applyBorder="1" applyAlignment="1" applyProtection="1">
      <alignment horizontal="center" vertical="center"/>
    </xf>
    <xf numFmtId="176" fontId="30" fillId="2" borderId="15" xfId="0" applyNumberFormat="1" applyFont="1" applyFill="1" applyBorder="1" applyAlignment="1" applyProtection="1">
      <alignment horizontal="center" vertical="center" wrapText="1" shrinkToFit="1"/>
    </xf>
    <xf numFmtId="189" fontId="21" fillId="0" borderId="15" xfId="0" applyNumberFormat="1" applyFont="1" applyFill="1" applyBorder="1" applyAlignment="1" applyProtection="1">
      <alignment horizontal="center" vertical="center" wrapText="1" shrinkToFit="1"/>
    </xf>
    <xf numFmtId="0" fontId="25" fillId="3" borderId="15" xfId="0" applyNumberFormat="1" applyFont="1" applyFill="1" applyBorder="1" applyAlignment="1" applyProtection="1">
      <alignment horizontal="center" vertical="center"/>
    </xf>
    <xf numFmtId="176" fontId="27" fillId="3" borderId="15" xfId="0" applyNumberFormat="1" applyFont="1" applyFill="1" applyBorder="1" applyAlignment="1" applyProtection="1">
      <alignment horizontal="center" vertical="center" wrapText="1" shrinkToFit="1"/>
    </xf>
    <xf numFmtId="0" fontId="25" fillId="0" borderId="15" xfId="0" applyFont="1" applyFill="1" applyBorder="1" applyAlignment="1" applyProtection="1">
      <alignment horizontal="center" vertical="center" wrapText="1" shrinkToFit="1"/>
    </xf>
    <xf numFmtId="177" fontId="21" fillId="0" borderId="15" xfId="0" applyNumberFormat="1" applyFont="1" applyFill="1" applyBorder="1" applyAlignment="1" applyProtection="1">
      <alignment horizontal="center" vertical="center" wrapText="1" shrinkToFit="1"/>
    </xf>
    <xf numFmtId="0" fontId="82" fillId="5" borderId="15" xfId="0" applyNumberFormat="1" applyFont="1" applyFill="1" applyBorder="1" applyAlignment="1" applyProtection="1">
      <alignment horizontal="center" vertical="center" shrinkToFit="1"/>
      <protection locked="0"/>
    </xf>
    <xf numFmtId="182" fontId="25" fillId="5" borderId="15" xfId="0" applyNumberFormat="1" applyFont="1" applyFill="1" applyBorder="1" applyAlignment="1" applyProtection="1">
      <alignment horizontal="center" vertical="center"/>
    </xf>
    <xf numFmtId="0" fontId="35" fillId="2" borderId="15" xfId="0" applyNumberFormat="1" applyFont="1" applyFill="1" applyBorder="1" applyAlignment="1" applyProtection="1">
      <alignment horizontal="center" vertical="center"/>
    </xf>
    <xf numFmtId="176" fontId="95" fillId="2" borderId="15" xfId="0" applyNumberFormat="1" applyFont="1" applyFill="1" applyBorder="1" applyAlignment="1" applyProtection="1">
      <alignment horizontal="center" vertical="center" wrapText="1" shrinkToFit="1"/>
    </xf>
    <xf numFmtId="0" fontId="94" fillId="0" borderId="15" xfId="0" applyNumberFormat="1" applyFont="1" applyFill="1" applyBorder="1" applyAlignment="1" applyProtection="1">
      <alignment horizontal="center" vertical="center"/>
      <protection locked="0"/>
    </xf>
    <xf numFmtId="0" fontId="35" fillId="3" borderId="15" xfId="0" applyNumberFormat="1" applyFont="1" applyFill="1" applyBorder="1" applyAlignment="1" applyProtection="1">
      <alignment horizontal="center" vertical="center"/>
    </xf>
    <xf numFmtId="176" fontId="95" fillId="3" borderId="15" xfId="0" applyNumberFormat="1" applyFont="1" applyFill="1" applyBorder="1" applyAlignment="1" applyProtection="1">
      <alignment horizontal="center" vertical="center" wrapText="1" shrinkToFit="1"/>
    </xf>
    <xf numFmtId="0" fontId="83" fillId="0" borderId="15" xfId="0" applyNumberFormat="1" applyFont="1" applyFill="1" applyBorder="1" applyAlignment="1">
      <alignment horizontal="center" vertical="center"/>
    </xf>
    <xf numFmtId="0" fontId="96" fillId="0" borderId="5" xfId="0" applyFont="1" applyFill="1" applyBorder="1" applyAlignment="1" applyProtection="1">
      <alignment horizontal="center" vertical="center"/>
      <protection locked="0"/>
    </xf>
    <xf numFmtId="0" fontId="35" fillId="0" borderId="15" xfId="0" applyNumberFormat="1" applyFont="1" applyFill="1" applyBorder="1" applyAlignment="1" applyProtection="1">
      <alignment horizontal="center" vertical="center"/>
    </xf>
    <xf numFmtId="176" fontId="95" fillId="0" borderId="15" xfId="0" applyNumberFormat="1" applyFont="1" applyFill="1" applyBorder="1" applyAlignment="1" applyProtection="1">
      <alignment horizontal="center" vertical="center" wrapText="1" shrinkToFit="1"/>
    </xf>
    <xf numFmtId="178" fontId="97" fillId="0" borderId="15" xfId="0" applyNumberFormat="1" applyFont="1" applyFill="1" applyBorder="1" applyAlignment="1" applyProtection="1">
      <alignment horizontal="center" vertical="center" wrapText="1"/>
    </xf>
    <xf numFmtId="0" fontId="84" fillId="0" borderId="15" xfId="0" applyFont="1" applyFill="1" applyBorder="1" applyAlignment="1" applyProtection="1">
      <alignment horizontal="center" vertical="center"/>
    </xf>
    <xf numFmtId="0" fontId="34" fillId="3" borderId="15" xfId="0" applyFont="1" applyFill="1" applyBorder="1" applyAlignment="1" applyProtection="1">
      <alignment horizontal="center" vertical="center"/>
    </xf>
    <xf numFmtId="179" fontId="35" fillId="0" borderId="15" xfId="0" applyNumberFormat="1" applyFont="1" applyFill="1" applyBorder="1" applyAlignment="1" applyProtection="1">
      <alignment horizontal="center" vertical="center"/>
    </xf>
    <xf numFmtId="49" fontId="70" fillId="0" borderId="15" xfId="0" applyNumberFormat="1" applyFont="1" applyFill="1" applyBorder="1" applyAlignment="1" applyProtection="1">
      <alignment horizontal="center" vertical="center" wrapText="1"/>
      <protection locked="0"/>
    </xf>
    <xf numFmtId="0" fontId="70" fillId="0" borderId="15" xfId="0" applyFont="1" applyFill="1" applyBorder="1" applyAlignment="1" applyProtection="1">
      <alignment horizontal="center" vertical="center" wrapText="1" shrinkToFit="1"/>
      <protection locked="0"/>
    </xf>
    <xf numFmtId="0" fontId="98" fillId="0" borderId="15" xfId="0" applyNumberFormat="1" applyFont="1" applyFill="1" applyBorder="1" applyAlignment="1" applyProtection="1">
      <alignment horizontal="center" vertical="center" shrinkToFit="1"/>
      <protection locked="0"/>
    </xf>
    <xf numFmtId="0" fontId="35" fillId="0" borderId="15" xfId="0" applyFont="1" applyFill="1" applyBorder="1" applyAlignment="1" applyProtection="1">
      <alignment horizontal="center" vertical="center" wrapText="1"/>
      <protection locked="0"/>
    </xf>
    <xf numFmtId="0" fontId="35" fillId="0" borderId="15" xfId="0" applyFont="1" applyFill="1" applyBorder="1" applyAlignment="1" applyProtection="1">
      <alignment horizontal="center" vertical="center" wrapText="1" shrinkToFit="1"/>
      <protection locked="0"/>
    </xf>
    <xf numFmtId="0" fontId="35" fillId="0" borderId="15" xfId="0" applyFont="1" applyFill="1" applyBorder="1" applyAlignment="1" applyProtection="1">
      <alignment horizontal="center" vertical="center"/>
      <protection locked="0"/>
    </xf>
    <xf numFmtId="0" fontId="35" fillId="0" borderId="15" xfId="0" applyFont="1" applyFill="1" applyBorder="1" applyAlignment="1" applyProtection="1">
      <alignment horizontal="center" vertical="center"/>
    </xf>
    <xf numFmtId="180" fontId="70" fillId="0" borderId="15" xfId="0" applyNumberFormat="1" applyFont="1" applyFill="1" applyBorder="1" applyAlignment="1" applyProtection="1">
      <alignment horizontal="center" vertical="center" wrapText="1" shrinkToFit="1"/>
    </xf>
    <xf numFmtId="178" fontId="70" fillId="0" borderId="15" xfId="0" applyNumberFormat="1" applyFont="1" applyFill="1" applyBorder="1" applyAlignment="1" applyProtection="1">
      <alignment horizontal="center" vertical="center" wrapText="1"/>
    </xf>
    <xf numFmtId="178" fontId="99" fillId="0" borderId="15" xfId="0" applyNumberFormat="1" applyFont="1" applyFill="1" applyBorder="1" applyAlignment="1" applyProtection="1">
      <alignment horizontal="center" vertical="center" wrapText="1"/>
    </xf>
    <xf numFmtId="0" fontId="70" fillId="0" borderId="15" xfId="0" applyFont="1" applyFill="1" applyBorder="1" applyAlignment="1" applyProtection="1">
      <alignment horizontal="center" vertical="center" wrapText="1"/>
    </xf>
    <xf numFmtId="0" fontId="100" fillId="0" borderId="15" xfId="0" applyNumberFormat="1" applyFont="1" applyFill="1" applyBorder="1" applyAlignment="1" applyProtection="1">
      <alignment horizontal="center" vertical="center" wrapText="1"/>
    </xf>
    <xf numFmtId="0" fontId="70" fillId="0" borderId="15" xfId="0" applyFont="1" applyFill="1" applyBorder="1" applyAlignment="1" applyProtection="1">
      <alignment horizontal="center" vertical="center"/>
    </xf>
    <xf numFmtId="181" fontId="35" fillId="0" borderId="15" xfId="0" applyNumberFormat="1" applyFont="1" applyFill="1" applyBorder="1" applyAlignment="1" applyProtection="1">
      <alignment horizontal="center" vertical="center"/>
    </xf>
    <xf numFmtId="182" fontId="35" fillId="0" borderId="15" xfId="0" applyNumberFormat="1" applyFont="1" applyFill="1" applyBorder="1" applyAlignment="1" applyProtection="1">
      <alignment horizontal="center" vertical="center"/>
    </xf>
    <xf numFmtId="0" fontId="35" fillId="0" borderId="15" xfId="0" applyFont="1" applyFill="1" applyBorder="1" applyAlignment="1" applyProtection="1">
      <alignment horizontal="center" vertical="center" wrapText="1" shrinkToFit="1"/>
    </xf>
    <xf numFmtId="176" fontId="35" fillId="0" borderId="15" xfId="0" applyNumberFormat="1" applyFont="1" applyFill="1" applyBorder="1" applyAlignment="1" applyProtection="1">
      <alignment horizontal="center" vertical="center" wrapText="1" shrinkToFit="1"/>
    </xf>
    <xf numFmtId="0" fontId="95" fillId="0" borderId="15" xfId="0" applyFont="1" applyFill="1" applyBorder="1" applyAlignment="1" applyProtection="1">
      <alignment horizontal="center" vertical="center" wrapText="1" shrinkToFit="1"/>
    </xf>
    <xf numFmtId="183" fontId="35" fillId="0" borderId="15" xfId="0" applyNumberFormat="1" applyFont="1" applyFill="1" applyBorder="1" applyAlignment="1" applyProtection="1">
      <alignment horizontal="center" vertical="center" wrapText="1"/>
    </xf>
    <xf numFmtId="0" fontId="35" fillId="0" borderId="15" xfId="0" applyFont="1" applyFill="1" applyBorder="1" applyAlignment="1" applyProtection="1">
      <alignment horizontal="center" vertical="center" wrapText="1"/>
    </xf>
    <xf numFmtId="0" fontId="25" fillId="4" borderId="15" xfId="0" applyNumberFormat="1" applyFont="1" applyFill="1" applyBorder="1" applyAlignment="1" applyProtection="1">
      <alignment horizontal="center" vertical="center"/>
    </xf>
    <xf numFmtId="176" fontId="25" fillId="4" borderId="15" xfId="0" applyNumberFormat="1" applyFont="1" applyFill="1" applyBorder="1" applyAlignment="1" applyProtection="1">
      <alignment horizontal="center" vertical="center" wrapText="1" shrinkToFit="1"/>
    </xf>
    <xf numFmtId="180" fontId="7" fillId="0" borderId="15" xfId="0" applyNumberFormat="1" applyFont="1" applyFill="1" applyBorder="1" applyAlignment="1" applyProtection="1">
      <alignment horizontal="center" vertical="center" wrapText="1" shrinkToFit="1"/>
    </xf>
    <xf numFmtId="0" fontId="101" fillId="0" borderId="5" xfId="0" applyFont="1" applyFill="1" applyBorder="1" applyAlignment="1" applyProtection="1">
      <alignment horizontal="center" vertical="center"/>
      <protection locked="0"/>
    </xf>
    <xf numFmtId="0" fontId="28" fillId="0" borderId="15" xfId="0" applyFont="1" applyFill="1" applyBorder="1" applyAlignment="1" applyProtection="1">
      <alignment horizontal="center" vertical="center" wrapText="1" shrinkToFit="1"/>
      <protection locked="0"/>
    </xf>
    <xf numFmtId="0" fontId="102" fillId="0" borderId="15" xfId="0" applyFont="1" applyFill="1" applyBorder="1" applyAlignment="1" applyProtection="1">
      <alignment horizontal="center" vertical="center" wrapText="1"/>
    </xf>
    <xf numFmtId="176" fontId="25" fillId="3" borderId="15" xfId="0" applyNumberFormat="1" applyFont="1" applyFill="1" applyBorder="1" applyAlignment="1" applyProtection="1">
      <alignment horizontal="center" vertical="center" wrapText="1" shrinkToFit="1"/>
    </xf>
    <xf numFmtId="0" fontId="70" fillId="0" borderId="15" xfId="0" applyFont="1" applyFill="1" applyBorder="1" applyAlignment="1" applyProtection="1">
      <alignment horizontal="center" vertical="center"/>
      <protection locked="0"/>
    </xf>
    <xf numFmtId="0" fontId="100" fillId="0" borderId="15" xfId="0" applyFont="1" applyFill="1" applyBorder="1" applyAlignment="1" applyProtection="1">
      <alignment horizontal="center" vertical="center"/>
    </xf>
    <xf numFmtId="0" fontId="34" fillId="0" borderId="15" xfId="0" applyFont="1" applyFill="1" applyBorder="1" applyAlignment="1" applyProtection="1">
      <alignment horizontal="center" vertical="center"/>
      <protection locked="0"/>
    </xf>
    <xf numFmtId="181" fontId="70" fillId="0" borderId="15" xfId="0" applyNumberFormat="1" applyFont="1" applyFill="1" applyBorder="1" applyAlignment="1" applyProtection="1">
      <alignment horizontal="center" vertical="center"/>
    </xf>
    <xf numFmtId="0" fontId="35" fillId="0" borderId="15" xfId="0" applyNumberFormat="1" applyFont="1" applyFill="1" applyBorder="1" applyAlignment="1" applyProtection="1">
      <alignment horizontal="center" vertical="center" wrapText="1" shrinkToFit="1"/>
      <protection locked="0"/>
    </xf>
    <xf numFmtId="182" fontId="27" fillId="0" borderId="15" xfId="0" applyNumberFormat="1" applyFont="1" applyFill="1" applyBorder="1" applyAlignment="1" applyProtection="1">
      <alignment horizontal="center" vertical="center"/>
    </xf>
    <xf numFmtId="0" fontId="103" fillId="0" borderId="5" xfId="0" applyNumberFormat="1" applyFont="1" applyFill="1" applyBorder="1" applyAlignment="1" applyProtection="1">
      <alignment horizontal="center" vertical="center"/>
      <protection locked="0"/>
    </xf>
    <xf numFmtId="3" fontId="35" fillId="0" borderId="15" xfId="0" applyNumberFormat="1" applyFont="1" applyFill="1" applyBorder="1" applyAlignment="1" applyProtection="1">
      <alignment horizontal="center" vertical="center"/>
      <protection locked="0"/>
    </xf>
    <xf numFmtId="0" fontId="35" fillId="6" borderId="15" xfId="0" applyNumberFormat="1" applyFont="1" applyFill="1" applyBorder="1" applyAlignment="1" applyProtection="1">
      <alignment horizontal="center" vertical="center"/>
    </xf>
    <xf numFmtId="176" fontId="95" fillId="6" borderId="15" xfId="0" applyNumberFormat="1" applyFont="1" applyFill="1" applyBorder="1" applyAlignment="1" applyProtection="1">
      <alignment horizontal="center" vertical="center" wrapText="1" shrinkToFit="1"/>
    </xf>
    <xf numFmtId="182" fontId="95" fillId="0" borderId="15" xfId="0" applyNumberFormat="1" applyFont="1" applyFill="1" applyBorder="1" applyAlignment="1" applyProtection="1">
      <alignment horizontal="center" vertical="center"/>
    </xf>
    <xf numFmtId="0" fontId="28" fillId="0" borderId="15" xfId="0" applyFont="1" applyFill="1" applyBorder="1" applyAlignment="1" applyProtection="1">
      <alignment horizontal="center" vertical="center" wrapText="1" shrinkToFit="1"/>
    </xf>
    <xf numFmtId="0" fontId="86" fillId="0" borderId="15" xfId="0" applyNumberFormat="1" applyFont="1" applyFill="1" applyBorder="1" applyAlignment="1" applyProtection="1">
      <alignment horizontal="center" vertical="center" wrapText="1" shrinkToFit="1"/>
      <protection locked="0"/>
    </xf>
    <xf numFmtId="0" fontId="28" fillId="6" borderId="15" xfId="0" applyNumberFormat="1" applyFont="1" applyFill="1" applyBorder="1" applyAlignment="1" applyProtection="1">
      <alignment horizontal="center" vertical="center"/>
    </xf>
    <xf numFmtId="176" fontId="30" fillId="6" borderId="15" xfId="0" applyNumberFormat="1" applyFont="1" applyFill="1" applyBorder="1" applyAlignment="1" applyProtection="1">
      <alignment horizontal="center" vertical="center" wrapText="1" shrinkToFit="1"/>
    </xf>
    <xf numFmtId="0" fontId="70" fillId="0" borderId="15" xfId="0" applyNumberFormat="1" applyFont="1" applyFill="1" applyBorder="1" applyAlignment="1" applyProtection="1">
      <alignment horizontal="center" vertical="center" wrapText="1"/>
    </xf>
    <xf numFmtId="176" fontId="95" fillId="5" borderId="15" xfId="0" applyNumberFormat="1" applyFont="1" applyFill="1" applyBorder="1" applyAlignment="1" applyProtection="1">
      <alignment horizontal="center" vertical="center"/>
      <protection locked="0"/>
    </xf>
    <xf numFmtId="180" fontId="70" fillId="3" borderId="15" xfId="0" applyNumberFormat="1" applyFont="1" applyFill="1" applyBorder="1" applyAlignment="1" applyProtection="1">
      <alignment horizontal="center" vertical="center" wrapText="1" shrinkToFit="1"/>
    </xf>
    <xf numFmtId="176" fontId="35" fillId="5" borderId="15" xfId="0" applyNumberFormat="1" applyFont="1" applyFill="1" applyBorder="1" applyAlignment="1" applyProtection="1">
      <alignment horizontal="center" vertical="center" wrapText="1" shrinkToFit="1"/>
    </xf>
    <xf numFmtId="0" fontId="90" fillId="0" borderId="15" xfId="0" applyFont="1" applyFill="1" applyBorder="1" applyAlignment="1" applyProtection="1">
      <alignment horizontal="center" vertical="center" wrapText="1" shrinkToFit="1"/>
      <protection locked="0"/>
    </xf>
    <xf numFmtId="176" fontId="35" fillId="0" borderId="15" xfId="0" applyNumberFormat="1" applyFont="1" applyFill="1" applyBorder="1" applyAlignment="1" applyProtection="1">
      <alignment horizontal="center" vertical="center"/>
      <protection locked="0"/>
    </xf>
    <xf numFmtId="180" fontId="99" fillId="0" borderId="15" xfId="0" applyNumberFormat="1" applyFont="1" applyFill="1" applyBorder="1" applyAlignment="1" applyProtection="1">
      <alignment horizontal="center" vertical="center" wrapText="1" shrinkToFit="1"/>
    </xf>
    <xf numFmtId="176" fontId="95" fillId="0" borderId="15" xfId="0" applyNumberFormat="1" applyFont="1" applyFill="1" applyBorder="1" applyAlignment="1" applyProtection="1">
      <alignment horizontal="center" vertical="center"/>
      <protection locked="0"/>
    </xf>
    <xf numFmtId="176" fontId="35" fillId="3" borderId="15" xfId="0" applyNumberFormat="1" applyFont="1" applyFill="1" applyBorder="1" applyAlignment="1" applyProtection="1">
      <alignment horizontal="center" vertical="center" wrapText="1" shrinkToFit="1"/>
    </xf>
    <xf numFmtId="183" fontId="35" fillId="3" borderId="15" xfId="0" applyNumberFormat="1" applyFont="1" applyFill="1" applyBorder="1" applyAlignment="1" applyProtection="1">
      <alignment horizontal="center" vertical="center" wrapText="1"/>
    </xf>
    <xf numFmtId="176" fontId="95" fillId="3" borderId="15" xfId="0" applyNumberFormat="1" applyFont="1" applyFill="1" applyBorder="1" applyAlignment="1" applyProtection="1">
      <alignment horizontal="center" vertical="center"/>
      <protection locked="0"/>
    </xf>
    <xf numFmtId="0" fontId="100" fillId="0" borderId="0" xfId="0" applyFont="1" applyFill="1" applyBorder="1" applyProtection="1">
      <alignment vertical="center"/>
      <protection locked="0"/>
    </xf>
    <xf numFmtId="0" fontId="35" fillId="0" borderId="15" xfId="0" applyNumberFormat="1" applyFont="1" applyFill="1" applyBorder="1" applyAlignment="1" applyProtection="1">
      <alignment horizontal="center" vertical="center" wrapText="1"/>
      <protection locked="0"/>
    </xf>
    <xf numFmtId="176" fontId="35" fillId="2" borderId="15" xfId="0" applyNumberFormat="1" applyFont="1" applyFill="1" applyBorder="1" applyAlignment="1" applyProtection="1">
      <alignment horizontal="center" vertical="center" wrapText="1" shrinkToFit="1"/>
    </xf>
    <xf numFmtId="183" fontId="35" fillId="2" borderId="15" xfId="0" applyNumberFormat="1" applyFont="1" applyFill="1" applyBorder="1" applyAlignment="1" applyProtection="1">
      <alignment horizontal="center" vertical="center" wrapText="1"/>
    </xf>
    <xf numFmtId="176" fontId="95" fillId="2" borderId="15" xfId="0" applyNumberFormat="1" applyFont="1" applyFill="1" applyBorder="1" applyAlignment="1" applyProtection="1">
      <alignment horizontal="center" vertical="center"/>
      <protection locked="0"/>
    </xf>
    <xf numFmtId="0" fontId="98" fillId="5" borderId="15" xfId="0" applyNumberFormat="1" applyFont="1" applyFill="1" applyBorder="1" applyAlignment="1" applyProtection="1">
      <alignment horizontal="center" vertical="center" shrinkToFit="1"/>
      <protection locked="0"/>
    </xf>
    <xf numFmtId="176" fontId="28" fillId="2" borderId="15" xfId="0" applyNumberFormat="1" applyFont="1" applyFill="1" applyBorder="1" applyAlignment="1" applyProtection="1">
      <alignment horizontal="center" vertical="center" wrapText="1" shrinkToFit="1"/>
    </xf>
    <xf numFmtId="183" fontId="28" fillId="2" borderId="15" xfId="0" applyNumberFormat="1" applyFont="1" applyFill="1" applyBorder="1" applyAlignment="1" applyProtection="1">
      <alignment horizontal="center" vertical="center" wrapText="1"/>
    </xf>
    <xf numFmtId="176" fontId="30" fillId="2" borderId="15" xfId="0" applyNumberFormat="1" applyFont="1" applyFill="1" applyBorder="1" applyAlignment="1" applyProtection="1">
      <alignment horizontal="center" vertical="center"/>
      <protection locked="0"/>
    </xf>
    <xf numFmtId="0" fontId="99" fillId="0" borderId="15" xfId="0" applyFont="1" applyFill="1" applyBorder="1" applyAlignment="1" applyProtection="1">
      <alignment horizontal="center" vertical="center"/>
      <protection locked="0"/>
    </xf>
    <xf numFmtId="0" fontId="35" fillId="0" borderId="15" xfId="0" applyNumberFormat="1" applyFont="1" applyFill="1" applyBorder="1" applyAlignment="1" applyProtection="1">
      <alignment horizontal="center" vertical="center" shrinkToFit="1"/>
      <protection locked="0"/>
    </xf>
    <xf numFmtId="0" fontId="70" fillId="0" borderId="15" xfId="0" applyFont="1" applyFill="1" applyBorder="1" applyAlignment="1" applyProtection="1">
      <alignment horizontal="justify" vertical="center" wrapText="1"/>
    </xf>
    <xf numFmtId="184" fontId="35" fillId="0" borderId="15" xfId="0" applyNumberFormat="1" applyFont="1" applyFill="1" applyBorder="1" applyAlignment="1" applyProtection="1">
      <alignment horizontal="center" vertical="center"/>
    </xf>
    <xf numFmtId="183" fontId="35" fillId="6" borderId="15" xfId="0" applyNumberFormat="1" applyFont="1" applyFill="1" applyBorder="1" applyAlignment="1" applyProtection="1">
      <alignment horizontal="center" vertical="center" wrapText="1"/>
    </xf>
    <xf numFmtId="176" fontId="95" fillId="6" borderId="15" xfId="0" applyNumberFormat="1" applyFont="1" applyFill="1" applyBorder="1" applyAlignment="1" applyProtection="1">
      <alignment horizontal="center" vertical="center"/>
      <protection locked="0"/>
    </xf>
    <xf numFmtId="179" fontId="90" fillId="0" borderId="15" xfId="0" applyNumberFormat="1" applyFont="1" applyFill="1" applyBorder="1" applyAlignment="1" applyProtection="1">
      <alignment horizontal="center" vertical="center"/>
    </xf>
    <xf numFmtId="49" fontId="71" fillId="0" borderId="15" xfId="0" applyNumberFormat="1" applyFont="1" applyFill="1" applyBorder="1" applyAlignment="1" applyProtection="1">
      <alignment horizontal="center" vertical="center" wrapText="1"/>
      <protection locked="0"/>
    </xf>
    <xf numFmtId="0" fontId="71" fillId="0" borderId="15" xfId="0" applyFont="1" applyFill="1" applyBorder="1" applyAlignment="1" applyProtection="1">
      <alignment horizontal="center" vertical="center" wrapText="1" shrinkToFit="1"/>
      <protection locked="0"/>
    </xf>
    <xf numFmtId="0" fontId="104" fillId="0" borderId="15" xfId="0" applyNumberFormat="1" applyFont="1" applyFill="1" applyBorder="1" applyAlignment="1" applyProtection="1">
      <alignment horizontal="center" vertical="center" shrinkToFit="1"/>
      <protection locked="0"/>
    </xf>
    <xf numFmtId="0" fontId="90" fillId="0" borderId="15" xfId="0" applyFont="1" applyFill="1" applyBorder="1" applyAlignment="1" applyProtection="1">
      <alignment horizontal="center" vertical="center" wrapText="1"/>
      <protection locked="0"/>
    </xf>
    <xf numFmtId="176" fontId="90" fillId="0" borderId="15" xfId="0" applyNumberFormat="1" applyFont="1" applyFill="1" applyBorder="1" applyAlignment="1" applyProtection="1">
      <alignment horizontal="center" vertical="center"/>
      <protection locked="0"/>
    </xf>
    <xf numFmtId="0" fontId="90" fillId="0" borderId="15" xfId="0" applyFont="1" applyFill="1" applyBorder="1" applyAlignment="1" applyProtection="1">
      <alignment horizontal="center" vertical="center"/>
      <protection locked="0"/>
    </xf>
    <xf numFmtId="0" fontId="90" fillId="0" borderId="15" xfId="0" applyFont="1" applyFill="1" applyBorder="1" applyAlignment="1" applyProtection="1">
      <alignment horizontal="center" vertical="center"/>
    </xf>
    <xf numFmtId="180" fontId="71" fillId="0" borderId="15" xfId="0" applyNumberFormat="1" applyFont="1" applyFill="1" applyBorder="1" applyAlignment="1" applyProtection="1">
      <alignment horizontal="center" vertical="center" wrapText="1" shrinkToFit="1"/>
    </xf>
    <xf numFmtId="178" fontId="71" fillId="0" borderId="15" xfId="0" applyNumberFormat="1" applyFont="1" applyFill="1" applyBorder="1" applyAlignment="1" applyProtection="1">
      <alignment horizontal="center" vertical="center" wrapText="1"/>
    </xf>
    <xf numFmtId="178" fontId="105" fillId="0" borderId="15" xfId="0" applyNumberFormat="1" applyFont="1" applyFill="1" applyBorder="1" applyAlignment="1" applyProtection="1">
      <alignment horizontal="center" vertical="center" wrapText="1"/>
    </xf>
    <xf numFmtId="0" fontId="71" fillId="0" borderId="15" xfId="0" applyFont="1" applyFill="1" applyBorder="1" applyAlignment="1" applyProtection="1">
      <alignment horizontal="center" vertical="center" wrapText="1"/>
    </xf>
    <xf numFmtId="0" fontId="106" fillId="0" borderId="15" xfId="0" applyNumberFormat="1" applyFont="1" applyFill="1" applyBorder="1" applyAlignment="1" applyProtection="1">
      <alignment horizontal="center" vertical="center" wrapText="1"/>
    </xf>
    <xf numFmtId="0" fontId="71" fillId="0" borderId="15" xfId="0" applyFont="1" applyFill="1" applyBorder="1" applyAlignment="1" applyProtection="1">
      <alignment horizontal="center" vertical="center"/>
    </xf>
    <xf numFmtId="181" fontId="90" fillId="0" borderId="15" xfId="0" applyNumberFormat="1" applyFont="1" applyFill="1" applyBorder="1" applyAlignment="1" applyProtection="1">
      <alignment horizontal="center" vertical="center"/>
    </xf>
    <xf numFmtId="182" fontId="90" fillId="0" borderId="15" xfId="0" applyNumberFormat="1" applyFont="1" applyFill="1" applyBorder="1" applyAlignment="1" applyProtection="1">
      <alignment horizontal="center" vertical="center"/>
    </xf>
    <xf numFmtId="176" fontId="90" fillId="0" borderId="15" xfId="0" applyNumberFormat="1" applyFont="1" applyFill="1" applyBorder="1" applyAlignment="1" applyProtection="1">
      <alignment horizontal="center" vertical="center" wrapText="1" shrinkToFit="1"/>
    </xf>
    <xf numFmtId="0" fontId="90" fillId="2" borderId="15" xfId="0" applyNumberFormat="1" applyFont="1" applyFill="1" applyBorder="1" applyAlignment="1" applyProtection="1">
      <alignment horizontal="center" vertical="center"/>
    </xf>
    <xf numFmtId="0" fontId="90" fillId="0" borderId="15" xfId="0" applyFont="1" applyFill="1" applyBorder="1" applyAlignment="1" applyProtection="1">
      <alignment horizontal="center" vertical="center" wrapText="1" shrinkToFit="1"/>
    </xf>
    <xf numFmtId="176" fontId="90" fillId="2" borderId="15" xfId="0" applyNumberFormat="1" applyFont="1" applyFill="1" applyBorder="1" applyAlignment="1" applyProtection="1">
      <alignment horizontal="center" vertical="center" wrapText="1" shrinkToFit="1"/>
    </xf>
    <xf numFmtId="176" fontId="91" fillId="2" borderId="15" xfId="0" applyNumberFormat="1" applyFont="1" applyFill="1" applyBorder="1" applyAlignment="1" applyProtection="1">
      <alignment horizontal="center" vertical="center" wrapText="1" shrinkToFit="1"/>
    </xf>
    <xf numFmtId="183" fontId="90" fillId="0" borderId="15" xfId="0" applyNumberFormat="1" applyFont="1" applyFill="1" applyBorder="1" applyAlignment="1" applyProtection="1">
      <alignment horizontal="center" vertical="center" wrapText="1"/>
    </xf>
    <xf numFmtId="183" fontId="90" fillId="2" borderId="15" xfId="0" applyNumberFormat="1" applyFont="1" applyFill="1" applyBorder="1" applyAlignment="1" applyProtection="1">
      <alignment horizontal="center" vertical="center" wrapText="1"/>
    </xf>
    <xf numFmtId="0" fontId="90" fillId="0" borderId="15" xfId="0" applyFont="1" applyFill="1" applyBorder="1" applyAlignment="1" applyProtection="1">
      <alignment horizontal="center" vertical="center" wrapText="1"/>
    </xf>
    <xf numFmtId="176" fontId="91" fillId="2" borderId="15" xfId="0" applyNumberFormat="1" applyFont="1" applyFill="1" applyBorder="1" applyAlignment="1" applyProtection="1">
      <alignment horizontal="center" vertical="center"/>
      <protection locked="0"/>
    </xf>
    <xf numFmtId="0" fontId="106" fillId="0" borderId="0" xfId="0" applyFont="1" applyFill="1" applyBorder="1" applyProtection="1">
      <alignment vertical="center"/>
      <protection locked="0"/>
    </xf>
    <xf numFmtId="0" fontId="90" fillId="0" borderId="15" xfId="0" applyNumberFormat="1" applyFont="1" applyFill="1" applyBorder="1" applyAlignment="1" applyProtection="1">
      <alignment horizontal="center" vertical="center" wrapText="1"/>
      <protection locked="0"/>
    </xf>
    <xf numFmtId="3" fontId="90" fillId="0" borderId="15" xfId="0" applyNumberFormat="1" applyFont="1" applyFill="1" applyBorder="1" applyAlignment="1" applyProtection="1">
      <alignment horizontal="center" vertical="center"/>
      <protection locked="0"/>
    </xf>
    <xf numFmtId="0" fontId="91" fillId="0" borderId="15" xfId="0" applyFont="1" applyFill="1" applyBorder="1" applyAlignment="1" applyProtection="1">
      <alignment horizontal="center" vertical="center" wrapText="1" shrinkToFit="1"/>
    </xf>
    <xf numFmtId="0" fontId="90" fillId="0" borderId="15" xfId="0" applyNumberFormat="1" applyFont="1" applyFill="1" applyBorder="1" applyAlignment="1" applyProtection="1">
      <alignment horizontal="center" vertical="center" shrinkToFit="1"/>
      <protection locked="0"/>
    </xf>
    <xf numFmtId="184" fontId="71" fillId="0" borderId="15" xfId="0" applyNumberFormat="1" applyFont="1" applyFill="1" applyBorder="1" applyAlignment="1" applyProtection="1">
      <alignment horizontal="center" vertical="center"/>
    </xf>
    <xf numFmtId="0" fontId="90" fillId="0" borderId="15" xfId="0" applyNumberFormat="1" applyFont="1" applyFill="1" applyBorder="1" applyAlignment="1" applyProtection="1">
      <alignment horizontal="center" vertical="center" wrapText="1" shrinkToFit="1"/>
      <protection locked="0"/>
    </xf>
    <xf numFmtId="0" fontId="90" fillId="6" borderId="15" xfId="0" applyNumberFormat="1" applyFont="1" applyFill="1" applyBorder="1" applyAlignment="1" applyProtection="1">
      <alignment horizontal="center" vertical="center"/>
    </xf>
    <xf numFmtId="176" fontId="90" fillId="6" borderId="15" xfId="0" applyNumberFormat="1" applyFont="1" applyFill="1" applyBorder="1" applyAlignment="1" applyProtection="1">
      <alignment horizontal="center" vertical="center" wrapText="1" shrinkToFit="1"/>
    </xf>
    <xf numFmtId="176" fontId="91" fillId="6" borderId="15" xfId="0" applyNumberFormat="1" applyFont="1" applyFill="1" applyBorder="1" applyAlignment="1" applyProtection="1">
      <alignment horizontal="center" vertical="center" wrapText="1" shrinkToFit="1"/>
    </xf>
    <xf numFmtId="183" fontId="90" fillId="6" borderId="15" xfId="0" applyNumberFormat="1" applyFont="1" applyFill="1" applyBorder="1" applyAlignment="1" applyProtection="1">
      <alignment horizontal="center" vertical="center" wrapText="1"/>
    </xf>
    <xf numFmtId="176" fontId="91" fillId="6" borderId="15" xfId="0" applyNumberFormat="1" applyFont="1" applyFill="1" applyBorder="1" applyAlignment="1" applyProtection="1">
      <alignment horizontal="center" vertical="center"/>
      <protection locked="0"/>
    </xf>
    <xf numFmtId="178" fontId="107" fillId="0" borderId="15" xfId="0" applyNumberFormat="1" applyFont="1" applyFill="1" applyBorder="1" applyAlignment="1" applyProtection="1">
      <alignment horizontal="center" vertical="center" wrapText="1"/>
    </xf>
    <xf numFmtId="0" fontId="90" fillId="2" borderId="15" xfId="0" applyFont="1" applyFill="1" applyBorder="1" applyAlignment="1" applyProtection="1">
      <alignment horizontal="center" vertical="center" wrapText="1"/>
    </xf>
    <xf numFmtId="0" fontId="71" fillId="2" borderId="15" xfId="0" applyFont="1" applyFill="1" applyBorder="1" applyAlignment="1" applyProtection="1">
      <alignment horizontal="center" vertical="center" wrapText="1"/>
    </xf>
    <xf numFmtId="0" fontId="71" fillId="2" borderId="15" xfId="0" applyFont="1" applyFill="1" applyBorder="1" applyProtection="1">
      <alignment vertical="center"/>
      <protection locked="0"/>
    </xf>
    <xf numFmtId="0" fontId="71" fillId="0" borderId="15" xfId="0" applyFont="1" applyFill="1" applyBorder="1" applyProtection="1">
      <alignment vertical="center"/>
      <protection locked="0"/>
    </xf>
    <xf numFmtId="0" fontId="71" fillId="0" borderId="15" xfId="0" applyFont="1" applyFill="1" applyBorder="1" applyAlignment="1" applyProtection="1">
      <alignment vertical="center" wrapText="1"/>
      <protection locked="0"/>
    </xf>
    <xf numFmtId="0" fontId="71" fillId="0" borderId="15" xfId="0" applyFont="1" applyFill="1" applyBorder="1" applyAlignment="1" applyProtection="1">
      <alignment horizontal="center" vertical="center"/>
      <protection locked="0"/>
    </xf>
    <xf numFmtId="179" fontId="90" fillId="0" borderId="0" xfId="0" applyNumberFormat="1" applyFont="1" applyFill="1" applyBorder="1" applyAlignment="1" applyProtection="1">
      <alignment horizontal="center" vertical="center"/>
    </xf>
    <xf numFmtId="49" fontId="71" fillId="0" borderId="0" xfId="0" applyNumberFormat="1" applyFont="1" applyFill="1" applyBorder="1" applyAlignment="1" applyProtection="1">
      <alignment horizontal="center" vertical="center" wrapText="1"/>
      <protection locked="0"/>
    </xf>
    <xf numFmtId="0" fontId="71" fillId="0" borderId="0" xfId="0" applyFont="1" applyFill="1" applyBorder="1" applyAlignment="1" applyProtection="1">
      <alignment horizontal="center" vertical="center" wrapText="1" shrinkToFit="1"/>
      <protection locked="0"/>
    </xf>
    <xf numFmtId="0" fontId="104" fillId="0" borderId="0" xfId="0" applyNumberFormat="1" applyFont="1" applyFill="1" applyBorder="1" applyAlignment="1" applyProtection="1">
      <alignment horizontal="center" vertical="center" shrinkToFit="1"/>
      <protection locked="0"/>
    </xf>
    <xf numFmtId="0" fontId="90" fillId="0" borderId="0" xfId="0" applyFont="1" applyFill="1" applyBorder="1" applyAlignment="1" applyProtection="1">
      <alignment horizontal="center" vertical="center" wrapText="1"/>
      <protection locked="0"/>
    </xf>
    <xf numFmtId="0" fontId="90" fillId="0" borderId="0" xfId="0" applyNumberFormat="1" applyFont="1" applyFill="1" applyBorder="1" applyAlignment="1" applyProtection="1">
      <alignment horizontal="center" vertical="center" shrinkToFit="1"/>
      <protection locked="0"/>
    </xf>
    <xf numFmtId="0" fontId="90" fillId="0" borderId="0" xfId="0" applyFont="1" applyFill="1" applyBorder="1" applyAlignment="1" applyProtection="1">
      <alignment horizontal="center" vertical="center" wrapText="1" shrinkToFit="1"/>
      <protection locked="0"/>
    </xf>
    <xf numFmtId="0" fontId="90" fillId="0" borderId="0" xfId="0" applyFont="1" applyFill="1" applyBorder="1" applyAlignment="1" applyProtection="1">
      <alignment horizontal="center" vertical="center"/>
      <protection locked="0"/>
    </xf>
    <xf numFmtId="0" fontId="90" fillId="0" borderId="0" xfId="0" applyFont="1" applyFill="1" applyBorder="1" applyAlignment="1" applyProtection="1">
      <alignment horizontal="center" vertical="center"/>
    </xf>
    <xf numFmtId="180" fontId="71" fillId="0" borderId="0" xfId="0" applyNumberFormat="1" applyFont="1" applyFill="1" applyBorder="1" applyAlignment="1" applyProtection="1">
      <alignment horizontal="center" vertical="center" wrapText="1" shrinkToFit="1"/>
    </xf>
    <xf numFmtId="178" fontId="71" fillId="0" borderId="0" xfId="0" applyNumberFormat="1" applyFont="1" applyFill="1" applyBorder="1" applyAlignment="1" applyProtection="1">
      <alignment horizontal="center" vertical="center" wrapText="1"/>
    </xf>
    <xf numFmtId="183" fontId="90" fillId="0" borderId="15" xfId="0" applyNumberFormat="1" applyFont="1" applyFill="1" applyBorder="1" applyAlignment="1" applyProtection="1">
      <alignment horizontal="center" vertical="center"/>
    </xf>
    <xf numFmtId="0" fontId="90" fillId="3" borderId="15" xfId="0" applyNumberFormat="1" applyFont="1" applyFill="1" applyBorder="1" applyAlignment="1" applyProtection="1">
      <alignment horizontal="center" vertical="center"/>
    </xf>
    <xf numFmtId="176" fontId="90" fillId="3" borderId="15" xfId="0" applyNumberFormat="1" applyFont="1" applyFill="1" applyBorder="1" applyAlignment="1" applyProtection="1">
      <alignment horizontal="center" vertical="center" wrapText="1" shrinkToFit="1"/>
    </xf>
    <xf numFmtId="176" fontId="91" fillId="3" borderId="15" xfId="0" applyNumberFormat="1" applyFont="1" applyFill="1" applyBorder="1" applyAlignment="1" applyProtection="1">
      <alignment horizontal="center" vertical="center" wrapText="1" shrinkToFit="1"/>
    </xf>
    <xf numFmtId="183" fontId="90" fillId="3" borderId="15" xfId="0" applyNumberFormat="1" applyFont="1" applyFill="1" applyBorder="1" applyAlignment="1" applyProtection="1">
      <alignment horizontal="center" vertical="center" wrapText="1"/>
    </xf>
    <xf numFmtId="176" fontId="91" fillId="3" borderId="15" xfId="0" applyNumberFormat="1" applyFont="1" applyFill="1" applyBorder="1" applyAlignment="1" applyProtection="1">
      <alignment horizontal="center" vertical="center"/>
      <protection locked="0"/>
    </xf>
    <xf numFmtId="0" fontId="104" fillId="5" borderId="15" xfId="0" applyNumberFormat="1" applyFont="1" applyFill="1" applyBorder="1" applyAlignment="1" applyProtection="1">
      <alignment horizontal="center" vertical="center" shrinkToFit="1"/>
      <protection locked="0"/>
    </xf>
    <xf numFmtId="178" fontId="105" fillId="0" borderId="15" xfId="0" applyNumberFormat="1" applyFont="1" applyFill="1" applyBorder="1" applyAlignment="1" applyProtection="1">
      <alignment horizontal="center" vertical="center" wrapText="1"/>
      <protection locked="0"/>
    </xf>
    <xf numFmtId="182" fontId="90" fillId="5" borderId="15" xfId="0" applyNumberFormat="1" applyFont="1" applyFill="1" applyBorder="1" applyAlignment="1" applyProtection="1">
      <alignment horizontal="center" vertical="center"/>
    </xf>
    <xf numFmtId="176" fontId="90" fillId="5" borderId="15" xfId="0" applyNumberFormat="1" applyFont="1" applyFill="1" applyBorder="1" applyAlignment="1" applyProtection="1">
      <alignment horizontal="center" vertical="center"/>
      <protection locked="0"/>
    </xf>
    <xf numFmtId="176" fontId="91" fillId="5" borderId="15" xfId="0" applyNumberFormat="1" applyFont="1" applyFill="1" applyBorder="1" applyAlignment="1" applyProtection="1">
      <alignment horizontal="center" vertical="center"/>
      <protection locked="0"/>
    </xf>
    <xf numFmtId="178" fontId="108" fillId="0" borderId="15" xfId="0" applyNumberFormat="1" applyFont="1" applyFill="1" applyBorder="1" applyAlignment="1" applyProtection="1">
      <alignment horizontal="center" vertical="center" wrapText="1"/>
    </xf>
    <xf numFmtId="184" fontId="70" fillId="0" borderId="15" xfId="0" applyNumberFormat="1" applyFont="1" applyFill="1" applyBorder="1" applyAlignment="1" applyProtection="1">
      <alignment horizontal="center" vertical="center"/>
    </xf>
    <xf numFmtId="0" fontId="35" fillId="2" borderId="15" xfId="0" applyFont="1" applyFill="1" applyBorder="1" applyAlignment="1" applyProtection="1">
      <alignment horizontal="center" vertical="center" wrapText="1"/>
    </xf>
    <xf numFmtId="0" fontId="70" fillId="2" borderId="15" xfId="0" applyFont="1" applyFill="1" applyBorder="1" applyAlignment="1" applyProtection="1">
      <alignment horizontal="center" vertical="center" wrapText="1"/>
    </xf>
    <xf numFmtId="176" fontId="35" fillId="5" borderId="15" xfId="0" applyNumberFormat="1" applyFont="1" applyFill="1" applyBorder="1" applyAlignment="1" applyProtection="1">
      <alignment horizontal="center" vertical="center"/>
      <protection locked="0"/>
    </xf>
    <xf numFmtId="0" fontId="70" fillId="0" borderId="15" xfId="0" applyFont="1" applyFill="1" applyBorder="1" applyProtection="1">
      <alignment vertical="center"/>
      <protection locked="0"/>
    </xf>
    <xf numFmtId="0" fontId="70" fillId="0" borderId="15" xfId="0" applyFont="1" applyFill="1" applyBorder="1" applyAlignment="1" applyProtection="1">
      <alignment vertical="center" wrapText="1"/>
      <protection locked="0"/>
    </xf>
    <xf numFmtId="179" fontId="35" fillId="0" borderId="0" xfId="0" applyNumberFormat="1" applyFont="1" applyFill="1" applyBorder="1" applyAlignment="1" applyProtection="1">
      <alignment horizontal="center" vertical="center"/>
    </xf>
    <xf numFmtId="49" fontId="70" fillId="0" borderId="0" xfId="0" applyNumberFormat="1" applyFont="1" applyFill="1" applyBorder="1" applyAlignment="1" applyProtection="1">
      <alignment horizontal="center" vertical="center" wrapText="1"/>
      <protection locked="0"/>
    </xf>
    <xf numFmtId="0" fontId="70" fillId="0" borderId="0" xfId="0" applyFont="1" applyFill="1" applyBorder="1" applyAlignment="1" applyProtection="1">
      <alignment horizontal="center" vertical="center" wrapText="1" shrinkToFit="1"/>
      <protection locked="0"/>
    </xf>
    <xf numFmtId="0" fontId="98" fillId="0" borderId="0" xfId="0" applyNumberFormat="1" applyFont="1" applyFill="1" applyBorder="1" applyAlignment="1" applyProtection="1">
      <alignment horizontal="center" vertical="center" shrinkToFit="1"/>
      <protection locked="0"/>
    </xf>
    <xf numFmtId="0" fontId="35" fillId="0" borderId="0" xfId="0" applyFont="1" applyFill="1" applyBorder="1" applyAlignment="1" applyProtection="1">
      <alignment horizontal="center" vertical="center" wrapText="1"/>
      <protection locked="0"/>
    </xf>
    <xf numFmtId="0" fontId="35" fillId="0" borderId="0" xfId="0" applyNumberFormat="1" applyFont="1" applyFill="1" applyBorder="1" applyAlignment="1" applyProtection="1">
      <alignment horizontal="center" vertical="center" shrinkToFit="1"/>
      <protection locked="0"/>
    </xf>
    <xf numFmtId="0" fontId="35" fillId="0" borderId="0" xfId="0" applyFont="1" applyFill="1" applyBorder="1" applyAlignment="1" applyProtection="1">
      <alignment horizontal="center" vertical="center" wrapText="1" shrinkToFit="1"/>
      <protection locked="0"/>
    </xf>
    <xf numFmtId="0" fontId="35" fillId="0" borderId="0" xfId="0" applyFont="1" applyFill="1" applyBorder="1" applyAlignment="1" applyProtection="1">
      <alignment horizontal="center" vertical="center"/>
      <protection locked="0"/>
    </xf>
    <xf numFmtId="0" fontId="35" fillId="0" borderId="0" xfId="0" applyFont="1" applyFill="1" applyBorder="1" applyAlignment="1" applyProtection="1">
      <alignment horizontal="center" vertical="center"/>
    </xf>
    <xf numFmtId="180" fontId="70" fillId="0" borderId="0" xfId="0" applyNumberFormat="1" applyFont="1" applyFill="1" applyBorder="1" applyAlignment="1" applyProtection="1">
      <alignment horizontal="center" vertical="center" wrapText="1" shrinkToFit="1"/>
    </xf>
    <xf numFmtId="178" fontId="70" fillId="0" borderId="0" xfId="0" applyNumberFormat="1" applyFont="1" applyFill="1" applyBorder="1" applyAlignment="1" applyProtection="1">
      <alignment horizontal="center" vertical="center" wrapText="1"/>
    </xf>
    <xf numFmtId="0" fontId="108" fillId="12" borderId="15" xfId="0" applyNumberFormat="1" applyFont="1" applyFill="1" applyBorder="1" applyAlignment="1" applyProtection="1">
      <alignment horizontal="center" vertical="center" shrinkToFit="1"/>
      <protection locked="0"/>
    </xf>
    <xf numFmtId="0" fontId="70" fillId="2" borderId="15" xfId="0" applyFont="1" applyFill="1" applyBorder="1" applyProtection="1">
      <alignment vertical="center"/>
      <protection locked="0"/>
    </xf>
    <xf numFmtId="0" fontId="35" fillId="5" borderId="15" xfId="0" applyFont="1" applyFill="1" applyBorder="1" applyAlignment="1" applyProtection="1">
      <alignment horizontal="center" vertical="center"/>
    </xf>
    <xf numFmtId="176" fontId="35" fillId="6" borderId="15" xfId="0" applyNumberFormat="1" applyFont="1" applyFill="1" applyBorder="1" applyAlignment="1" applyProtection="1">
      <alignment horizontal="center" vertical="center" wrapText="1" shrinkToFit="1"/>
    </xf>
    <xf numFmtId="178" fontId="70" fillId="0" borderId="15" xfId="0" applyNumberFormat="1" applyFont="1" applyFill="1" applyBorder="1" applyAlignment="1" applyProtection="1">
      <alignment horizontal="center" vertical="center" wrapText="1"/>
      <protection locked="0"/>
    </xf>
    <xf numFmtId="0" fontId="109" fillId="12" borderId="15" xfId="0" applyFont="1" applyFill="1" applyBorder="1" applyAlignment="1">
      <alignment horizontal="center" vertical="center"/>
    </xf>
    <xf numFmtId="0" fontId="70" fillId="0" borderId="15" xfId="0" applyNumberFormat="1" applyFont="1" applyFill="1" applyBorder="1" applyAlignment="1" applyProtection="1">
      <alignment horizontal="center" vertical="center"/>
    </xf>
    <xf numFmtId="0" fontId="70" fillId="0" borderId="0" xfId="0" applyFont="1" applyFill="1" applyBorder="1" applyAlignment="1" applyProtection="1">
      <alignment horizontal="center" vertical="center"/>
      <protection locked="0"/>
    </xf>
    <xf numFmtId="0" fontId="70" fillId="0" borderId="0" xfId="0" applyFont="1" applyFill="1" applyBorder="1" applyAlignment="1" applyProtection="1">
      <alignment horizontal="center" vertical="center"/>
    </xf>
    <xf numFmtId="183" fontId="35" fillId="0" borderId="15" xfId="0" applyNumberFormat="1" applyFont="1" applyFill="1" applyBorder="1" applyAlignment="1" applyProtection="1">
      <alignment horizontal="center" vertical="center"/>
    </xf>
    <xf numFmtId="0" fontId="25" fillId="12" borderId="15" xfId="0" applyNumberFormat="1" applyFont="1" applyFill="1" applyBorder="1" applyAlignment="1" applyProtection="1">
      <alignment horizontal="center" vertical="center"/>
    </xf>
    <xf numFmtId="176" fontId="25" fillId="5" borderId="15" xfId="0" applyNumberFormat="1" applyFont="1" applyFill="1" applyBorder="1" applyAlignment="1" applyProtection="1">
      <alignment horizontal="center" vertical="center" wrapText="1" shrinkToFit="1"/>
    </xf>
    <xf numFmtId="176" fontId="25" fillId="2" borderId="15" xfId="0" applyNumberFormat="1" applyFont="1" applyFill="1" applyBorder="1" applyAlignment="1" applyProtection="1">
      <alignment horizontal="center" vertical="center" wrapText="1" shrinkToFit="1"/>
    </xf>
    <xf numFmtId="183" fontId="25" fillId="2" borderId="15" xfId="0" applyNumberFormat="1" applyFont="1" applyFill="1" applyBorder="1" applyAlignment="1" applyProtection="1">
      <alignment horizontal="center" vertical="center" wrapText="1"/>
    </xf>
    <xf numFmtId="176" fontId="27" fillId="2" borderId="15" xfId="0" applyNumberFormat="1" applyFont="1" applyFill="1" applyBorder="1" applyAlignment="1" applyProtection="1">
      <alignment horizontal="center" vertical="center"/>
      <protection locked="0"/>
    </xf>
    <xf numFmtId="0" fontId="84" fillId="0" borderId="0" xfId="0" applyFont="1" applyFill="1" applyBorder="1" applyProtection="1">
      <alignment vertical="center"/>
      <protection locked="0"/>
    </xf>
    <xf numFmtId="180" fontId="84" fillId="0" borderId="15" xfId="0" applyNumberFormat="1" applyFont="1" applyFill="1" applyBorder="1" applyAlignment="1" applyProtection="1">
      <alignment horizontal="center" vertical="center" wrapText="1" shrinkToFit="1"/>
    </xf>
    <xf numFmtId="0" fontId="34" fillId="0" borderId="15" xfId="0" applyFont="1" applyFill="1" applyBorder="1" applyProtection="1">
      <alignment vertical="center"/>
      <protection locked="0"/>
    </xf>
    <xf numFmtId="179" fontId="25" fillId="0" borderId="0" xfId="0" applyNumberFormat="1" applyFont="1" applyFill="1" applyBorder="1" applyAlignment="1" applyProtection="1">
      <alignment horizontal="center" vertical="center"/>
    </xf>
    <xf numFmtId="49" fontId="34" fillId="0" borderId="0" xfId="0" applyNumberFormat="1" applyFont="1" applyFill="1" applyBorder="1" applyAlignment="1" applyProtection="1">
      <alignment horizontal="center" vertical="center" wrapText="1"/>
      <protection locked="0"/>
    </xf>
    <xf numFmtId="0" fontId="34" fillId="0" borderId="0" xfId="0" applyFont="1" applyFill="1" applyBorder="1" applyAlignment="1" applyProtection="1">
      <alignment horizontal="center" vertical="center" wrapText="1" shrinkToFit="1"/>
      <protection locked="0"/>
    </xf>
    <xf numFmtId="0" fontId="82" fillId="0" borderId="0" xfId="0" applyNumberFormat="1" applyFont="1" applyFill="1" applyBorder="1" applyAlignment="1" applyProtection="1">
      <alignment horizontal="center" vertical="center" shrinkToFit="1"/>
      <protection locked="0"/>
    </xf>
    <xf numFmtId="0" fontId="25" fillId="0" borderId="0" xfId="0" applyFont="1" applyFill="1" applyBorder="1" applyAlignment="1" applyProtection="1">
      <alignment horizontal="center" vertical="center" wrapText="1"/>
      <protection locked="0"/>
    </xf>
    <xf numFmtId="0" fontId="25" fillId="0" borderId="0" xfId="0" applyFont="1" applyFill="1" applyBorder="1" applyAlignment="1" applyProtection="1">
      <alignment horizontal="center" vertical="center" wrapText="1" shrinkToFit="1"/>
      <protection locked="0"/>
    </xf>
    <xf numFmtId="0" fontId="25" fillId="0" borderId="0" xfId="0" applyFont="1" applyFill="1" applyBorder="1" applyAlignment="1" applyProtection="1">
      <alignment horizontal="center" vertical="center"/>
      <protection locked="0"/>
    </xf>
    <xf numFmtId="0" fontId="25" fillId="0" borderId="0" xfId="0" applyFont="1" applyFill="1" applyBorder="1" applyAlignment="1" applyProtection="1">
      <alignment horizontal="center" vertical="center"/>
    </xf>
    <xf numFmtId="180" fontId="34" fillId="0" borderId="0" xfId="0" applyNumberFormat="1" applyFont="1" applyFill="1" applyBorder="1" applyAlignment="1" applyProtection="1">
      <alignment horizontal="center" vertical="center" wrapText="1" shrinkToFit="1"/>
    </xf>
    <xf numFmtId="184" fontId="34" fillId="0" borderId="15" xfId="0" applyNumberFormat="1" applyFont="1" applyFill="1" applyBorder="1" applyAlignment="1" applyProtection="1">
      <alignment horizontal="center" vertical="center"/>
    </xf>
    <xf numFmtId="0" fontId="25" fillId="2" borderId="15" xfId="0" applyFont="1" applyFill="1" applyBorder="1" applyAlignment="1" applyProtection="1">
      <alignment horizontal="center" vertical="center" wrapText="1"/>
    </xf>
    <xf numFmtId="0" fontId="34" fillId="2" borderId="15" xfId="0" applyFont="1" applyFill="1" applyBorder="1" applyProtection="1">
      <alignment vertical="center"/>
      <protection locked="0"/>
    </xf>
    <xf numFmtId="0" fontId="34" fillId="0" borderId="15" xfId="0" applyFont="1" applyFill="1" applyBorder="1" applyAlignment="1" applyProtection="1">
      <alignment vertical="center" wrapText="1"/>
      <protection locked="0"/>
    </xf>
    <xf numFmtId="0" fontId="25" fillId="0" borderId="0" xfId="0" applyNumberFormat="1" applyFont="1" applyFill="1" applyBorder="1" applyAlignment="1" applyProtection="1">
      <alignment horizontal="center" vertical="center" shrinkToFit="1"/>
      <protection locked="0"/>
    </xf>
    <xf numFmtId="178" fontId="34" fillId="0" borderId="0" xfId="0" applyNumberFormat="1" applyFont="1" applyFill="1" applyBorder="1" applyAlignment="1" applyProtection="1">
      <alignment horizontal="center" vertical="center" wrapText="1"/>
    </xf>
    <xf numFmtId="178" fontId="84" fillId="0" borderId="15" xfId="0" applyNumberFormat="1" applyFont="1" applyFill="1" applyBorder="1" applyAlignment="1" applyProtection="1">
      <alignment horizontal="center" vertical="center" wrapText="1"/>
    </xf>
    <xf numFmtId="0" fontId="7" fillId="0" borderId="15" xfId="0" applyFont="1" applyFill="1" applyBorder="1" applyAlignment="1" applyProtection="1">
      <alignment horizontal="center" vertical="center" wrapText="1"/>
    </xf>
    <xf numFmtId="183" fontId="28" fillId="0" borderId="15" xfId="0" applyNumberFormat="1" applyFont="1" applyFill="1" applyBorder="1" applyAlignment="1" applyProtection="1">
      <alignment horizontal="center" vertical="center" wrapText="1"/>
    </xf>
    <xf numFmtId="182" fontId="85" fillId="0" borderId="15" xfId="0" applyNumberFormat="1" applyFont="1" applyFill="1" applyBorder="1" applyAlignment="1" applyProtection="1">
      <alignment horizontal="center" vertical="center"/>
    </xf>
    <xf numFmtId="0" fontId="94" fillId="0" borderId="15" xfId="0" applyFont="1" applyFill="1" applyBorder="1" applyAlignment="1">
      <alignment horizontal="center" vertical="center" wrapText="1" shrinkToFit="1"/>
    </xf>
    <xf numFmtId="182" fontId="85" fillId="7" borderId="15" xfId="0" applyNumberFormat="1" applyFont="1" applyFill="1" applyBorder="1" applyAlignment="1" applyProtection="1">
      <alignment horizontal="center" vertical="center"/>
    </xf>
    <xf numFmtId="0" fontId="25" fillId="12" borderId="15" xfId="0" applyFont="1" applyFill="1" applyBorder="1" applyAlignment="1" applyProtection="1">
      <alignment horizontal="center" vertical="center"/>
      <protection locked="0"/>
    </xf>
    <xf numFmtId="0" fontId="97" fillId="0" borderId="15" xfId="0" applyNumberFormat="1" applyFont="1" applyFill="1" applyBorder="1" applyAlignment="1" applyProtection="1">
      <alignment horizontal="center" vertical="center" wrapText="1" shrinkToFit="1"/>
      <protection locked="0"/>
    </xf>
    <xf numFmtId="178" fontId="83" fillId="0" borderId="15" xfId="0" applyNumberFormat="1" applyFont="1" applyFill="1" applyBorder="1" applyAlignment="1" applyProtection="1">
      <alignment horizontal="center" vertical="center" wrapText="1"/>
      <protection locked="0"/>
    </xf>
    <xf numFmtId="0" fontId="25" fillId="0" borderId="15" xfId="0" applyNumberFormat="1" applyFont="1" applyFill="1" applyBorder="1" applyAlignment="1" applyProtection="1">
      <alignment horizontal="center" vertical="center"/>
      <protection locked="0"/>
    </xf>
    <xf numFmtId="0" fontId="25" fillId="3" borderId="15" xfId="0" applyFont="1" applyFill="1" applyBorder="1" applyAlignment="1" applyProtection="1">
      <alignment horizontal="center" vertical="center" wrapText="1" shrinkToFit="1"/>
    </xf>
    <xf numFmtId="0" fontId="34" fillId="3" borderId="15" xfId="0" applyFont="1" applyFill="1" applyBorder="1" applyAlignment="1" applyProtection="1">
      <alignment horizontal="center" vertical="center" wrapText="1"/>
    </xf>
    <xf numFmtId="183" fontId="25" fillId="3" borderId="15" xfId="0" applyNumberFormat="1" applyFont="1" applyFill="1" applyBorder="1" applyAlignment="1" applyProtection="1">
      <alignment horizontal="center" vertical="center" wrapText="1"/>
    </xf>
    <xf numFmtId="176" fontId="27" fillId="3" borderId="15" xfId="0" applyNumberFormat="1" applyFont="1" applyFill="1" applyBorder="1" applyAlignment="1" applyProtection="1">
      <alignment horizontal="center" vertical="center"/>
      <protection locked="0"/>
    </xf>
    <xf numFmtId="0" fontId="34" fillId="0" borderId="0" xfId="0" applyFont="1" applyFill="1" applyBorder="1" applyAlignment="1" applyProtection="1">
      <alignment horizontal="center" vertical="center"/>
      <protection locked="0"/>
    </xf>
    <xf numFmtId="176" fontId="27" fillId="0" borderId="15" xfId="0" applyNumberFormat="1" applyFont="1" applyFill="1" applyBorder="1" applyAlignment="1" applyProtection="1">
      <alignment horizontal="center" vertical="center"/>
      <protection locked="0"/>
    </xf>
    <xf numFmtId="0" fontId="25" fillId="3" borderId="15" xfId="0" applyFont="1" applyFill="1" applyBorder="1" applyAlignment="1" applyProtection="1">
      <alignment horizontal="center" vertical="center" wrapText="1"/>
    </xf>
    <xf numFmtId="0" fontId="34" fillId="3" borderId="15" xfId="0" applyFont="1" applyFill="1" applyBorder="1" applyProtection="1">
      <alignment vertical="center"/>
      <protection locked="0"/>
    </xf>
    <xf numFmtId="182" fontId="110" fillId="7" borderId="15" xfId="0" applyNumberFormat="1" applyFont="1" applyFill="1" applyBorder="1" applyAlignment="1">
      <alignment horizontal="center" vertical="center"/>
    </xf>
    <xf numFmtId="0" fontId="27" fillId="2" borderId="15" xfId="0" applyFont="1" applyFill="1" applyBorder="1" applyAlignment="1" applyProtection="1">
      <alignment horizontal="center" vertical="center" wrapText="1" shrinkToFit="1"/>
    </xf>
    <xf numFmtId="0" fontId="34" fillId="2" borderId="15" xfId="0" applyFont="1" applyFill="1" applyBorder="1" applyAlignment="1" applyProtection="1">
      <alignment horizontal="center" vertical="center" wrapText="1"/>
    </xf>
    <xf numFmtId="178" fontId="85" fillId="0" borderId="15" xfId="0" applyNumberFormat="1" applyFont="1" applyFill="1" applyBorder="1" applyAlignment="1" applyProtection="1">
      <alignment horizontal="center" vertical="center" wrapText="1"/>
      <protection locked="0"/>
    </xf>
    <xf numFmtId="180" fontId="34" fillId="0" borderId="15" xfId="0" applyNumberFormat="1" applyFont="1" applyFill="1" applyBorder="1" applyAlignment="1" applyProtection="1">
      <alignment horizontal="center" vertical="center" wrapText="1" shrinkToFit="1"/>
      <protection locked="0"/>
    </xf>
    <xf numFmtId="178" fontId="34" fillId="0" borderId="15" xfId="0" applyNumberFormat="1" applyFont="1" applyFill="1" applyBorder="1" applyAlignment="1" applyProtection="1">
      <alignment horizontal="center" vertical="center" wrapText="1"/>
      <protection locked="0"/>
    </xf>
    <xf numFmtId="176" fontId="27" fillId="20" borderId="15" xfId="0" applyNumberFormat="1" applyFont="1" applyFill="1" applyBorder="1" applyAlignment="1" applyProtection="1">
      <alignment horizontal="center" vertical="center" wrapText="1" shrinkToFit="1"/>
    </xf>
    <xf numFmtId="0" fontId="28" fillId="3" borderId="15" xfId="0" applyFont="1" applyFill="1" applyBorder="1" applyAlignment="1" applyProtection="1">
      <alignment horizontal="center" vertical="center" wrapText="1" shrinkToFit="1"/>
    </xf>
    <xf numFmtId="176" fontId="28" fillId="3" borderId="15" xfId="0" applyNumberFormat="1" applyFont="1" applyFill="1" applyBorder="1" applyAlignment="1" applyProtection="1">
      <alignment horizontal="center" vertical="center" wrapText="1" shrinkToFit="1"/>
    </xf>
    <xf numFmtId="176" fontId="30" fillId="3" borderId="15" xfId="0" applyNumberFormat="1" applyFont="1" applyFill="1" applyBorder="1" applyAlignment="1" applyProtection="1">
      <alignment horizontal="center" vertical="center" wrapText="1" shrinkToFit="1"/>
    </xf>
    <xf numFmtId="0" fontId="7" fillId="2" borderId="15" xfId="0" applyFont="1" applyFill="1" applyBorder="1" applyAlignment="1" applyProtection="1">
      <alignment horizontal="center" vertical="center" wrapText="1"/>
    </xf>
    <xf numFmtId="182" fontId="85" fillId="12" borderId="15" xfId="0" applyNumberFormat="1" applyFont="1" applyFill="1" applyBorder="1" applyAlignment="1" applyProtection="1">
      <alignment horizontal="center" vertical="center"/>
    </xf>
    <xf numFmtId="0" fontId="82" fillId="12" borderId="15" xfId="0" applyNumberFormat="1" applyFont="1" applyFill="1" applyBorder="1" applyAlignment="1" applyProtection="1">
      <alignment horizontal="center" vertical="center" shrinkToFit="1"/>
      <protection locked="0"/>
    </xf>
    <xf numFmtId="178" fontId="84" fillId="0" borderId="15" xfId="0" applyNumberFormat="1" applyFont="1" applyFill="1" applyBorder="1" applyAlignment="1" applyProtection="1">
      <alignment horizontal="center" vertical="center" wrapText="1"/>
      <protection locked="0"/>
    </xf>
    <xf numFmtId="0" fontId="84" fillId="0" borderId="15" xfId="0" applyFont="1" applyFill="1" applyBorder="1" applyAlignment="1" applyProtection="1">
      <alignment horizontal="center" vertical="center"/>
      <protection locked="0"/>
    </xf>
    <xf numFmtId="0" fontId="25" fillId="2" borderId="15" xfId="0" applyFont="1" applyFill="1" applyBorder="1" applyAlignment="1" applyProtection="1">
      <alignment horizontal="center" vertical="center" wrapText="1" shrinkToFit="1"/>
    </xf>
    <xf numFmtId="180" fontId="34" fillId="3" borderId="15" xfId="0" applyNumberFormat="1" applyFont="1" applyFill="1" applyBorder="1" applyAlignment="1" applyProtection="1">
      <alignment horizontal="center" vertical="center" wrapText="1" shrinkToFit="1"/>
    </xf>
    <xf numFmtId="0" fontId="84" fillId="3" borderId="15" xfId="0" applyNumberFormat="1" applyFont="1" applyFill="1" applyBorder="1" applyAlignment="1" applyProtection="1">
      <alignment horizontal="center" vertical="center" wrapText="1"/>
    </xf>
    <xf numFmtId="183" fontId="25" fillId="20" borderId="15" xfId="0" applyNumberFormat="1" applyFont="1" applyFill="1" applyBorder="1" applyAlignment="1" applyProtection="1">
      <alignment horizontal="center" vertical="center" wrapText="1"/>
    </xf>
    <xf numFmtId="3" fontId="25" fillId="0" borderId="15" xfId="0" applyNumberFormat="1" applyFont="1" applyFill="1" applyBorder="1" applyAlignment="1" applyProtection="1">
      <alignment horizontal="center" vertical="center"/>
      <protection locked="0"/>
    </xf>
    <xf numFmtId="0" fontId="25" fillId="12" borderId="15" xfId="0" applyFont="1" applyFill="1" applyBorder="1" applyAlignment="1" applyProtection="1">
      <alignment horizontal="center" vertical="center"/>
    </xf>
    <xf numFmtId="182" fontId="85" fillId="21" borderId="15" xfId="0" applyNumberFormat="1" applyFont="1" applyFill="1" applyBorder="1" applyAlignment="1" applyProtection="1">
      <alignment horizontal="center" vertical="center"/>
    </xf>
    <xf numFmtId="3" fontId="25" fillId="0" borderId="0" xfId="0" applyNumberFormat="1" applyFont="1" applyFill="1" applyBorder="1" applyAlignment="1" applyProtection="1">
      <alignment horizontal="center" vertical="center"/>
      <protection locked="0"/>
    </xf>
    <xf numFmtId="176" fontId="25" fillId="20" borderId="15" xfId="0" applyNumberFormat="1" applyFont="1" applyFill="1" applyBorder="1" applyAlignment="1" applyProtection="1">
      <alignment horizontal="center" vertical="center" wrapText="1" shrinkToFit="1"/>
    </xf>
    <xf numFmtId="0" fontId="28" fillId="2" borderId="15" xfId="0" applyFont="1" applyFill="1" applyBorder="1" applyAlignment="1" applyProtection="1">
      <alignment horizontal="center" vertical="center" wrapText="1" shrinkToFit="1"/>
    </xf>
    <xf numFmtId="0" fontId="34" fillId="0" borderId="15" xfId="0" applyFont="1" applyFill="1" applyBorder="1" applyAlignment="1" applyProtection="1">
      <alignment horizontal="center" vertical="center" wrapText="1"/>
      <protection locked="0"/>
    </xf>
    <xf numFmtId="176" fontId="25" fillId="0" borderId="15" xfId="0" applyNumberFormat="1" applyFont="1" applyFill="1" applyBorder="1" applyAlignment="1" applyProtection="1">
      <alignment horizontal="center" vertical="center" wrapText="1" shrinkToFit="1"/>
      <protection locked="0"/>
    </xf>
    <xf numFmtId="190" fontId="111" fillId="0" borderId="15" xfId="0" applyNumberFormat="1" applyFont="1" applyFill="1" applyBorder="1" applyAlignment="1" applyProtection="1">
      <alignment horizontal="center" vertical="center"/>
      <protection locked="0"/>
    </xf>
    <xf numFmtId="0" fontId="25" fillId="0" borderId="0" xfId="0" applyNumberFormat="1" applyFont="1" applyFill="1" applyBorder="1" applyAlignment="1" applyProtection="1">
      <alignment horizontal="center" vertical="center" wrapText="1" shrinkToFit="1"/>
      <protection locked="0"/>
    </xf>
    <xf numFmtId="183" fontId="25" fillId="0" borderId="0" xfId="0" applyNumberFormat="1" applyFont="1" applyFill="1" applyBorder="1" applyAlignment="1" applyProtection="1">
      <alignment horizontal="center" vertical="center"/>
    </xf>
    <xf numFmtId="0" fontId="34" fillId="3" borderId="15" xfId="0" applyFont="1" applyFill="1" applyBorder="1" applyAlignment="1" applyProtection="1">
      <alignment horizontal="center" vertical="center"/>
      <protection locked="0"/>
    </xf>
    <xf numFmtId="0" fontId="34" fillId="0" borderId="0" xfId="0" applyFont="1" applyFill="1" applyBorder="1" applyAlignment="1" applyProtection="1">
      <alignment horizontal="center" vertical="center" wrapText="1"/>
    </xf>
    <xf numFmtId="180" fontId="34" fillId="0" borderId="0" xfId="0" applyNumberFormat="1" applyFont="1" applyFill="1" applyBorder="1" applyAlignment="1" applyProtection="1">
      <alignment horizontal="center" vertical="center" wrapText="1" shrinkToFit="1"/>
      <protection locked="0"/>
    </xf>
    <xf numFmtId="178" fontId="34" fillId="0" borderId="0" xfId="0" applyNumberFormat="1" applyFont="1" applyFill="1" applyBorder="1" applyAlignment="1" applyProtection="1">
      <alignment horizontal="center" vertical="center" wrapText="1"/>
      <protection locked="0"/>
    </xf>
    <xf numFmtId="178" fontId="84" fillId="22" borderId="15" xfId="0" applyNumberFormat="1" applyFont="1" applyFill="1" applyBorder="1" applyAlignment="1" applyProtection="1">
      <alignment horizontal="center" vertical="center" wrapText="1"/>
    </xf>
    <xf numFmtId="0" fontId="34" fillId="20" borderId="15" xfId="0" applyFont="1" applyFill="1" applyBorder="1" applyAlignment="1" applyProtection="1">
      <alignment horizontal="center" vertical="center"/>
      <protection locked="0"/>
    </xf>
    <xf numFmtId="0" fontId="34" fillId="2" borderId="15" xfId="0" applyFont="1" applyFill="1" applyBorder="1" applyAlignment="1" applyProtection="1">
      <alignment horizontal="center" vertical="center"/>
      <protection locked="0"/>
    </xf>
    <xf numFmtId="0" fontId="34" fillId="0" borderId="0" xfId="0" applyFont="1" applyFill="1" applyBorder="1" applyAlignment="1" applyProtection="1">
      <alignment horizontal="center" vertical="center" wrapText="1"/>
      <protection locked="0"/>
    </xf>
    <xf numFmtId="183" fontId="25" fillId="0" borderId="15" xfId="0" applyNumberFormat="1" applyFont="1" applyFill="1" applyBorder="1" applyAlignment="1" applyProtection="1">
      <alignment horizontal="center" vertical="center" wrapText="1"/>
      <protection locked="0"/>
    </xf>
    <xf numFmtId="182" fontId="25" fillId="0" borderId="15" xfId="0" applyNumberFormat="1" applyFont="1" applyFill="1" applyBorder="1" applyAlignment="1" applyProtection="1">
      <alignment horizontal="center" vertical="center"/>
      <protection locked="0"/>
    </xf>
    <xf numFmtId="0" fontId="21" fillId="0" borderId="15" xfId="0" applyNumberFormat="1" applyFont="1" applyFill="1" applyBorder="1" applyAlignment="1" applyProtection="1">
      <alignment horizontal="center" vertical="center" shrinkToFit="1"/>
      <protection locked="0"/>
    </xf>
    <xf numFmtId="180" fontId="84" fillId="3" borderId="15" xfId="0" applyNumberFormat="1" applyFont="1" applyFill="1" applyBorder="1" applyAlignment="1" applyProtection="1">
      <alignment horizontal="center" vertical="center" wrapText="1" shrinkToFit="1"/>
    </xf>
    <xf numFmtId="0" fontId="84" fillId="0" borderId="15" xfId="0" applyFont="1" applyFill="1" applyBorder="1" applyAlignment="1" applyProtection="1">
      <alignment horizontal="center" vertical="center" wrapText="1"/>
      <protection locked="0"/>
    </xf>
    <xf numFmtId="178" fontId="84" fillId="0" borderId="0" xfId="0" applyNumberFormat="1" applyFont="1" applyFill="1" applyBorder="1" applyAlignment="1" applyProtection="1">
      <alignment horizontal="center" vertical="center" wrapText="1"/>
      <protection locked="0"/>
    </xf>
    <xf numFmtId="176" fontId="88" fillId="0" borderId="15" xfId="0" applyNumberFormat="1" applyFont="1" applyFill="1" applyBorder="1" applyAlignment="1" applyProtection="1">
      <alignment horizontal="center" vertical="center" wrapText="1" shrinkToFit="1"/>
    </xf>
    <xf numFmtId="0" fontId="34" fillId="3" borderId="15" xfId="0" applyFont="1" applyFill="1" applyBorder="1" applyProtection="1">
      <alignment vertical="center"/>
    </xf>
    <xf numFmtId="179" fontId="25" fillId="0" borderId="0" xfId="0" applyNumberFormat="1" applyFont="1" applyFill="1" applyBorder="1" applyAlignment="1" applyProtection="1">
      <alignment horizontal="center" vertical="center"/>
      <protection locked="0"/>
    </xf>
    <xf numFmtId="0" fontId="84" fillId="0" borderId="0" xfId="0" applyFont="1" applyFill="1" applyBorder="1" applyAlignment="1" applyProtection="1">
      <alignment horizontal="center" vertical="center"/>
      <protection locked="0"/>
    </xf>
    <xf numFmtId="180" fontId="84" fillId="0" borderId="0" xfId="0" applyNumberFormat="1" applyFont="1" applyFill="1" applyBorder="1" applyAlignment="1" applyProtection="1">
      <alignment horizontal="center" vertical="center" wrapText="1" shrinkToFit="1"/>
    </xf>
    <xf numFmtId="0" fontId="98" fillId="12" borderId="15" xfId="0" applyNumberFormat="1" applyFont="1" applyFill="1" applyBorder="1" applyAlignment="1" applyProtection="1">
      <alignment horizontal="center" vertical="center" shrinkToFit="1"/>
      <protection locked="0"/>
    </xf>
    <xf numFmtId="178" fontId="100" fillId="0" borderId="15" xfId="0" applyNumberFormat="1" applyFont="1" applyFill="1" applyBorder="1" applyAlignment="1" applyProtection="1">
      <alignment horizontal="center" vertical="center" wrapText="1"/>
    </xf>
    <xf numFmtId="180" fontId="100" fillId="0" borderId="15" xfId="0" applyNumberFormat="1" applyFont="1" applyFill="1" applyBorder="1" applyAlignment="1" applyProtection="1">
      <alignment horizontal="center" vertical="center" wrapText="1" shrinkToFit="1"/>
    </xf>
    <xf numFmtId="0" fontId="100" fillId="3" borderId="15" xfId="0" applyNumberFormat="1" applyFont="1" applyFill="1" applyBorder="1" applyAlignment="1" applyProtection="1">
      <alignment horizontal="center" vertical="center" wrapText="1"/>
    </xf>
    <xf numFmtId="182" fontId="35" fillId="0" borderId="15" xfId="0" applyNumberFormat="1" applyFont="1" applyFill="1" applyBorder="1" applyAlignment="1" applyProtection="1">
      <alignment horizontal="center" vertical="center"/>
      <protection locked="0"/>
    </xf>
    <xf numFmtId="0" fontId="35" fillId="0" borderId="15" xfId="0" applyNumberFormat="1" applyFont="1" applyFill="1" applyBorder="1" applyAlignment="1" applyProtection="1">
      <alignment horizontal="center" vertical="center"/>
      <protection locked="0"/>
    </xf>
    <xf numFmtId="182" fontId="112" fillId="0" borderId="15" xfId="0" applyNumberFormat="1" applyFont="1" applyFill="1" applyBorder="1" applyAlignment="1" applyProtection="1">
      <alignment horizontal="center" vertical="center"/>
    </xf>
    <xf numFmtId="0" fontId="100" fillId="0" borderId="15" xfId="0" applyFont="1" applyFill="1" applyBorder="1" applyAlignment="1" applyProtection="1">
      <alignment horizontal="center" vertical="center"/>
      <protection locked="0"/>
    </xf>
    <xf numFmtId="176" fontId="112" fillId="0" borderId="15" xfId="0" applyNumberFormat="1" applyFont="1" applyFill="1" applyBorder="1" applyAlignment="1" applyProtection="1">
      <alignment horizontal="center" vertical="center" wrapText="1" shrinkToFit="1"/>
    </xf>
    <xf numFmtId="0" fontId="70" fillId="0" borderId="15" xfId="0" applyFont="1" applyFill="1" applyBorder="1" applyProtection="1">
      <alignment vertical="center"/>
    </xf>
    <xf numFmtId="0" fontId="100" fillId="0" borderId="15" xfId="0" applyFont="1" applyFill="1" applyBorder="1" applyAlignment="1" applyProtection="1">
      <alignment horizontal="center" vertical="center" wrapText="1"/>
    </xf>
    <xf numFmtId="179" fontId="35" fillId="0" borderId="0" xfId="0" applyNumberFormat="1" applyFont="1" applyFill="1" applyBorder="1" applyAlignment="1" applyProtection="1">
      <alignment horizontal="center" vertical="center"/>
      <protection locked="0"/>
    </xf>
    <xf numFmtId="180" fontId="70" fillId="0" borderId="0" xfId="0" applyNumberFormat="1" applyFont="1" applyFill="1" applyBorder="1" applyAlignment="1" applyProtection="1">
      <alignment horizontal="center" vertical="center" wrapText="1" shrinkToFit="1"/>
      <protection locked="0"/>
    </xf>
    <xf numFmtId="178" fontId="70" fillId="0" borderId="0" xfId="0" applyNumberFormat="1" applyFont="1" applyFill="1" applyBorder="1" applyAlignment="1" applyProtection="1">
      <alignment horizontal="center" vertical="center" wrapText="1"/>
      <protection locked="0"/>
    </xf>
    <xf numFmtId="176" fontId="95" fillId="0" borderId="15" xfId="0" applyNumberFormat="1" applyFont="1" applyFill="1" applyBorder="1" applyAlignment="1" applyProtection="1">
      <alignment horizontal="center" vertical="center" wrapText="1" shrinkToFit="1"/>
      <protection locked="0"/>
    </xf>
    <xf numFmtId="0" fontId="100" fillId="0" borderId="15" xfId="0" applyFont="1" applyFill="1" applyBorder="1" applyAlignment="1" applyProtection="1">
      <alignment horizontal="center" vertical="center" wrapText="1"/>
      <protection locked="0"/>
    </xf>
    <xf numFmtId="178" fontId="100" fillId="0" borderId="0" xfId="0" applyNumberFormat="1" applyFont="1" applyFill="1" applyBorder="1" applyAlignment="1" applyProtection="1">
      <alignment horizontal="center" vertical="center" wrapText="1"/>
      <protection locked="0"/>
    </xf>
    <xf numFmtId="178" fontId="100" fillId="0" borderId="15" xfId="0" applyNumberFormat="1" applyFont="1" applyFill="1" applyBorder="1" applyAlignment="1" applyProtection="1">
      <alignment horizontal="center" vertical="center" wrapText="1"/>
      <protection locked="0"/>
    </xf>
    <xf numFmtId="180" fontId="100" fillId="3" borderId="15" xfId="0" applyNumberFormat="1" applyFont="1" applyFill="1" applyBorder="1" applyAlignment="1" applyProtection="1">
      <alignment horizontal="center" vertical="center" wrapText="1" shrinkToFit="1"/>
    </xf>
    <xf numFmtId="178" fontId="100" fillId="3" borderId="15" xfId="0" applyNumberFormat="1" applyFont="1" applyFill="1" applyBorder="1" applyAlignment="1" applyProtection="1">
      <alignment horizontal="center" vertical="center" wrapText="1"/>
      <protection locked="0"/>
    </xf>
    <xf numFmtId="0" fontId="70" fillId="2" borderId="15" xfId="0" applyFont="1" applyFill="1" applyBorder="1" applyProtection="1">
      <alignment vertical="center"/>
    </xf>
    <xf numFmtId="0" fontId="70" fillId="0" borderId="0" xfId="0" applyFont="1" applyFill="1" applyBorder="1" applyAlignment="1" applyProtection="1">
      <alignment horizontal="center" vertical="center" wrapText="1"/>
      <protection locked="0"/>
    </xf>
    <xf numFmtId="179" fontId="88" fillId="0" borderId="15" xfId="0" applyNumberFormat="1" applyFont="1" applyFill="1" applyBorder="1" applyAlignment="1" applyProtection="1">
      <alignment horizontal="center" vertical="center"/>
    </xf>
    <xf numFmtId="49" fontId="72" fillId="0" borderId="15" xfId="0" applyNumberFormat="1" applyFont="1" applyFill="1" applyBorder="1" applyAlignment="1" applyProtection="1">
      <alignment horizontal="center" vertical="center" wrapText="1"/>
      <protection locked="0"/>
    </xf>
    <xf numFmtId="0" fontId="72" fillId="0" borderId="15" xfId="0" applyFont="1" applyFill="1" applyBorder="1" applyAlignment="1" applyProtection="1">
      <alignment horizontal="center" vertical="center" wrapText="1" shrinkToFit="1"/>
      <protection locked="0"/>
    </xf>
    <xf numFmtId="0" fontId="113" fillId="0" borderId="15" xfId="0" applyNumberFormat="1" applyFont="1" applyFill="1" applyBorder="1" applyAlignment="1" applyProtection="1">
      <alignment horizontal="center" vertical="center" shrinkToFit="1"/>
      <protection locked="0"/>
    </xf>
    <xf numFmtId="0" fontId="88" fillId="0" borderId="15" xfId="0" applyFont="1" applyFill="1" applyBorder="1" applyAlignment="1" applyProtection="1">
      <alignment horizontal="center" vertical="center" wrapText="1"/>
      <protection locked="0"/>
    </xf>
    <xf numFmtId="0" fontId="88" fillId="0" borderId="15" xfId="0" applyFont="1" applyFill="1" applyBorder="1" applyAlignment="1" applyProtection="1">
      <alignment horizontal="center" vertical="center" wrapText="1" shrinkToFit="1"/>
      <protection locked="0"/>
    </xf>
    <xf numFmtId="0" fontId="88" fillId="0" borderId="15" xfId="0" applyFont="1" applyFill="1" applyBorder="1" applyAlignment="1" applyProtection="1">
      <alignment horizontal="center" vertical="center"/>
      <protection locked="0"/>
    </xf>
    <xf numFmtId="0" fontId="88" fillId="0" borderId="15" xfId="0" applyFont="1" applyFill="1" applyBorder="1" applyAlignment="1" applyProtection="1">
      <alignment horizontal="center" vertical="center"/>
    </xf>
    <xf numFmtId="180" fontId="72" fillId="0" borderId="15" xfId="0" applyNumberFormat="1" applyFont="1" applyFill="1" applyBorder="1" applyAlignment="1" applyProtection="1">
      <alignment horizontal="center" vertical="center" wrapText="1" shrinkToFit="1"/>
    </xf>
    <xf numFmtId="178" fontId="72" fillId="0" borderId="15" xfId="0" applyNumberFormat="1" applyFont="1" applyFill="1" applyBorder="1" applyAlignment="1" applyProtection="1">
      <alignment horizontal="center" vertical="center" wrapText="1"/>
    </xf>
    <xf numFmtId="178" fontId="114" fillId="0" borderId="15" xfId="0" applyNumberFormat="1" applyFont="1" applyFill="1" applyBorder="1" applyAlignment="1" applyProtection="1">
      <alignment horizontal="center" vertical="center" wrapText="1"/>
    </xf>
    <xf numFmtId="178" fontId="61" fillId="0" borderId="15" xfId="0" applyNumberFormat="1" applyFont="1" applyFill="1" applyBorder="1" applyAlignment="1" applyProtection="1">
      <alignment horizontal="center" vertical="center" wrapText="1"/>
      <protection locked="0"/>
    </xf>
    <xf numFmtId="178" fontId="61" fillId="0" borderId="15" xfId="0" applyNumberFormat="1" applyFont="1" applyFill="1" applyBorder="1" applyAlignment="1" applyProtection="1">
      <alignment horizontal="center" vertical="center" wrapText="1"/>
    </xf>
    <xf numFmtId="0" fontId="72" fillId="0" borderId="15" xfId="0" applyFont="1" applyFill="1" applyBorder="1" applyAlignment="1" applyProtection="1">
      <alignment horizontal="center" vertical="center" wrapText="1"/>
    </xf>
    <xf numFmtId="0" fontId="61" fillId="0" borderId="15" xfId="0" applyNumberFormat="1" applyFont="1" applyFill="1" applyBorder="1" applyAlignment="1" applyProtection="1">
      <alignment horizontal="center" vertical="center" wrapText="1"/>
    </xf>
    <xf numFmtId="0" fontId="72" fillId="0" borderId="15" xfId="0" applyFont="1" applyFill="1" applyBorder="1" applyAlignment="1" applyProtection="1">
      <alignment horizontal="center" vertical="center"/>
    </xf>
    <xf numFmtId="181" fontId="88" fillId="0" borderId="15" xfId="0" applyNumberFormat="1" applyFont="1" applyFill="1" applyBorder="1" applyAlignment="1" applyProtection="1">
      <alignment horizontal="center" vertical="center"/>
    </xf>
    <xf numFmtId="182" fontId="88" fillId="0" borderId="15" xfId="0" applyNumberFormat="1" applyFont="1" applyFill="1" applyBorder="1" applyAlignment="1" applyProtection="1">
      <alignment horizontal="center" vertical="center"/>
      <protection locked="0"/>
    </xf>
    <xf numFmtId="0" fontId="88" fillId="0" borderId="15" xfId="0" applyNumberFormat="1" applyFont="1" applyFill="1" applyBorder="1" applyAlignment="1" applyProtection="1">
      <alignment horizontal="center" vertical="center"/>
    </xf>
    <xf numFmtId="0" fontId="88" fillId="0" borderId="15" xfId="0" applyNumberFormat="1" applyFont="1" applyFill="1" applyBorder="1" applyAlignment="1" applyProtection="1">
      <alignment horizontal="center" vertical="center"/>
      <protection locked="0"/>
    </xf>
    <xf numFmtId="182" fontId="115" fillId="21" borderId="15" xfId="0" applyNumberFormat="1" applyFont="1" applyFill="1" applyBorder="1" applyAlignment="1" applyProtection="1">
      <alignment horizontal="center" vertical="center"/>
    </xf>
    <xf numFmtId="0" fontId="61" fillId="0" borderId="15" xfId="0" applyFont="1" applyFill="1" applyBorder="1" applyAlignment="1" applyProtection="1">
      <alignment horizontal="center" vertical="center"/>
      <protection locked="0"/>
    </xf>
    <xf numFmtId="0" fontId="61" fillId="0" borderId="15" xfId="0" applyFont="1" applyFill="1" applyBorder="1" applyAlignment="1" applyProtection="1">
      <alignment horizontal="center" vertical="center"/>
    </xf>
    <xf numFmtId="176" fontId="88" fillId="3" borderId="15" xfId="0" applyNumberFormat="1" applyFont="1" applyFill="1" applyBorder="1" applyAlignment="1" applyProtection="1">
      <alignment horizontal="center" vertical="center" wrapText="1" shrinkToFit="1"/>
    </xf>
    <xf numFmtId="176" fontId="89" fillId="3" borderId="15" xfId="0" applyNumberFormat="1" applyFont="1" applyFill="1" applyBorder="1" applyAlignment="1" applyProtection="1">
      <alignment horizontal="center" vertical="center" wrapText="1" shrinkToFit="1"/>
    </xf>
    <xf numFmtId="183" fontId="88" fillId="3" borderId="15" xfId="0" applyNumberFormat="1" applyFont="1" applyFill="1" applyBorder="1" applyAlignment="1" applyProtection="1">
      <alignment horizontal="center" vertical="center" wrapText="1"/>
    </xf>
    <xf numFmtId="0" fontId="88" fillId="3" borderId="15" xfId="0" applyFont="1" applyFill="1" applyBorder="1" applyAlignment="1" applyProtection="1">
      <alignment horizontal="center" vertical="center" wrapText="1"/>
    </xf>
    <xf numFmtId="176" fontId="88" fillId="0" borderId="15" xfId="0" applyNumberFormat="1" applyFont="1" applyFill="1" applyBorder="1" applyAlignment="1" applyProtection="1">
      <alignment horizontal="center" vertical="center" wrapText="1" shrinkToFit="1"/>
      <protection locked="0"/>
    </xf>
    <xf numFmtId="0" fontId="88" fillId="0" borderId="15" xfId="0" applyFont="1" applyFill="1" applyBorder="1" applyAlignment="1" applyProtection="1">
      <alignment horizontal="center" vertical="center" wrapText="1"/>
    </xf>
    <xf numFmtId="0" fontId="72" fillId="3" borderId="15" xfId="0" applyFont="1" applyFill="1" applyBorder="1" applyProtection="1">
      <alignment vertical="center"/>
    </xf>
    <xf numFmtId="0" fontId="72" fillId="0" borderId="15" xfId="0" applyFont="1" applyFill="1" applyBorder="1" applyProtection="1">
      <alignment vertical="center"/>
    </xf>
    <xf numFmtId="183" fontId="88" fillId="0" borderId="15" xfId="0" applyNumberFormat="1" applyFont="1" applyFill="1" applyBorder="1" applyAlignment="1" applyProtection="1">
      <alignment horizontal="center" vertical="center" wrapText="1"/>
    </xf>
    <xf numFmtId="0" fontId="72" fillId="3" borderId="15" xfId="0" applyFont="1" applyFill="1" applyBorder="1" applyProtection="1">
      <alignment vertical="center"/>
      <protection locked="0"/>
    </xf>
    <xf numFmtId="0" fontId="72" fillId="0" borderId="15" xfId="0" applyFont="1" applyFill="1" applyBorder="1" applyAlignment="1" applyProtection="1">
      <alignment horizontal="center" vertical="center"/>
      <protection locked="0"/>
    </xf>
    <xf numFmtId="179" fontId="88" fillId="0" borderId="0" xfId="0" applyNumberFormat="1" applyFont="1" applyFill="1" applyBorder="1" applyAlignment="1" applyProtection="1">
      <alignment horizontal="center" vertical="center"/>
      <protection locked="0"/>
    </xf>
    <xf numFmtId="49" fontId="72" fillId="0" borderId="0" xfId="0" applyNumberFormat="1" applyFont="1" applyFill="1" applyBorder="1" applyAlignment="1" applyProtection="1">
      <alignment horizontal="center" vertical="center" wrapText="1"/>
      <protection locked="0"/>
    </xf>
    <xf numFmtId="0" fontId="72" fillId="0" borderId="0" xfId="0" applyFont="1" applyFill="1" applyBorder="1" applyAlignment="1" applyProtection="1">
      <alignment horizontal="center" vertical="center" wrapText="1" shrinkToFit="1"/>
      <protection locked="0"/>
    </xf>
    <xf numFmtId="0" fontId="113" fillId="0" borderId="0" xfId="0" applyNumberFormat="1" applyFont="1" applyFill="1" applyBorder="1" applyAlignment="1" applyProtection="1">
      <alignment horizontal="center" vertical="center" shrinkToFit="1"/>
      <protection locked="0"/>
    </xf>
    <xf numFmtId="0" fontId="88" fillId="0" borderId="0" xfId="0" applyFont="1" applyFill="1" applyBorder="1" applyAlignment="1" applyProtection="1">
      <alignment horizontal="center" vertical="center" wrapText="1"/>
      <protection locked="0"/>
    </xf>
    <xf numFmtId="0" fontId="88" fillId="0" borderId="0" xfId="0" applyFont="1" applyFill="1" applyBorder="1" applyAlignment="1" applyProtection="1">
      <alignment horizontal="center" vertical="center" wrapText="1" shrinkToFit="1"/>
      <protection locked="0"/>
    </xf>
    <xf numFmtId="0" fontId="88" fillId="0" borderId="0" xfId="0" applyFont="1" applyFill="1" applyBorder="1" applyAlignment="1" applyProtection="1">
      <alignment horizontal="center" vertical="center"/>
      <protection locked="0"/>
    </xf>
    <xf numFmtId="180" fontId="72" fillId="0" borderId="0" xfId="0" applyNumberFormat="1" applyFont="1" applyFill="1" applyBorder="1" applyAlignment="1" applyProtection="1">
      <alignment horizontal="center" vertical="center" wrapText="1" shrinkToFit="1"/>
      <protection locked="0"/>
    </xf>
    <xf numFmtId="178" fontId="72" fillId="0" borderId="0" xfId="0" applyNumberFormat="1" applyFont="1" applyFill="1" applyBorder="1" applyAlignment="1" applyProtection="1">
      <alignment horizontal="center" vertical="center" wrapText="1"/>
      <protection locked="0"/>
    </xf>
    <xf numFmtId="0" fontId="72" fillId="0" borderId="0" xfId="0" applyFont="1" applyFill="1" applyBorder="1" applyAlignment="1" applyProtection="1">
      <alignment horizontal="center" vertical="center" wrapText="1"/>
      <protection locked="0"/>
    </xf>
    <xf numFmtId="180" fontId="72" fillId="3" borderId="15" xfId="0" applyNumberFormat="1" applyFont="1" applyFill="1" applyBorder="1" applyAlignment="1" applyProtection="1">
      <alignment horizontal="center" vertical="center" wrapText="1" shrinkToFit="1"/>
    </xf>
    <xf numFmtId="180" fontId="61" fillId="0" borderId="15" xfId="0" applyNumberFormat="1" applyFont="1" applyFill="1" applyBorder="1" applyAlignment="1" applyProtection="1">
      <alignment horizontal="center" vertical="center" wrapText="1" shrinkToFit="1"/>
    </xf>
    <xf numFmtId="0" fontId="61" fillId="3" borderId="15" xfId="0" applyNumberFormat="1" applyFont="1" applyFill="1" applyBorder="1" applyAlignment="1" applyProtection="1">
      <alignment horizontal="center" vertical="center" wrapText="1"/>
    </xf>
    <xf numFmtId="182" fontId="115" fillId="0" borderId="15" xfId="0" applyNumberFormat="1" applyFont="1" applyFill="1" applyBorder="1" applyAlignment="1" applyProtection="1">
      <alignment horizontal="center" vertical="center"/>
    </xf>
    <xf numFmtId="0" fontId="88" fillId="0" borderId="15" xfId="0" applyNumberFormat="1" applyFont="1" applyFill="1" applyBorder="1" applyAlignment="1" applyProtection="1">
      <alignment horizontal="center" vertical="center" wrapText="1" shrinkToFit="1"/>
      <protection locked="0"/>
    </xf>
    <xf numFmtId="0" fontId="88" fillId="0" borderId="15" xfId="0" applyFont="1" applyFill="1" applyBorder="1" applyAlignment="1" applyProtection="1">
      <alignment horizontal="center" vertical="center" wrapText="1" shrinkToFit="1"/>
    </xf>
    <xf numFmtId="176" fontId="88" fillId="20" borderId="15" xfId="0" applyNumberFormat="1" applyFont="1" applyFill="1" applyBorder="1" applyAlignment="1" applyProtection="1">
      <alignment horizontal="center" vertical="center" wrapText="1" shrinkToFit="1"/>
    </xf>
    <xf numFmtId="176" fontId="89" fillId="0" borderId="15" xfId="0" applyNumberFormat="1" applyFont="1" applyFill="1" applyBorder="1" applyAlignment="1" applyProtection="1">
      <alignment horizontal="center" vertical="center"/>
      <protection locked="0"/>
    </xf>
    <xf numFmtId="183" fontId="88" fillId="0" borderId="15" xfId="0" applyNumberFormat="1" applyFont="1" applyFill="1" applyBorder="1" applyAlignment="1" applyProtection="1">
      <alignment horizontal="center" vertical="center" wrapText="1"/>
      <protection locked="0"/>
    </xf>
    <xf numFmtId="0" fontId="61" fillId="0" borderId="0" xfId="0" applyFont="1" applyFill="1" applyBorder="1" applyProtection="1">
      <alignment vertical="center"/>
      <protection locked="0"/>
    </xf>
    <xf numFmtId="0" fontId="88" fillId="2" borderId="15" xfId="0" applyNumberFormat="1" applyFont="1" applyFill="1" applyBorder="1" applyAlignment="1" applyProtection="1">
      <alignment horizontal="center" vertical="center"/>
    </xf>
    <xf numFmtId="0" fontId="88" fillId="3" borderId="15" xfId="0" applyNumberFormat="1" applyFont="1" applyFill="1" applyBorder="1" applyAlignment="1" applyProtection="1">
      <alignment horizontal="center" vertical="center"/>
    </xf>
    <xf numFmtId="176" fontId="88" fillId="2" borderId="15" xfId="0" applyNumberFormat="1" applyFont="1" applyFill="1" applyBorder="1" applyAlignment="1" applyProtection="1">
      <alignment horizontal="center" vertical="center" wrapText="1" shrinkToFit="1"/>
    </xf>
    <xf numFmtId="176" fontId="89" fillId="2" borderId="15" xfId="0" applyNumberFormat="1" applyFont="1" applyFill="1" applyBorder="1" applyAlignment="1" applyProtection="1">
      <alignment horizontal="center" vertical="center" wrapText="1" shrinkToFit="1"/>
    </xf>
    <xf numFmtId="183" fontId="88" fillId="2" borderId="15" xfId="0" applyNumberFormat="1" applyFont="1" applyFill="1" applyBorder="1" applyAlignment="1" applyProtection="1">
      <alignment horizontal="center" vertical="center" wrapText="1"/>
    </xf>
    <xf numFmtId="176" fontId="89" fillId="2" borderId="15" xfId="0" applyNumberFormat="1" applyFont="1" applyFill="1" applyBorder="1" applyAlignment="1" applyProtection="1">
      <alignment horizontal="center" vertical="center"/>
      <protection locked="0"/>
    </xf>
    <xf numFmtId="0" fontId="115" fillId="0" borderId="15" xfId="0" applyFont="1" applyFill="1" applyBorder="1" applyAlignment="1" applyProtection="1">
      <alignment horizontal="center" vertical="center"/>
      <protection locked="0"/>
    </xf>
    <xf numFmtId="182" fontId="88" fillId="0" borderId="15" xfId="0" applyNumberFormat="1" applyFont="1" applyFill="1" applyBorder="1" applyAlignment="1" applyProtection="1">
      <alignment horizontal="center" vertical="center"/>
    </xf>
    <xf numFmtId="0" fontId="115" fillId="0" borderId="15" xfId="0" applyNumberFormat="1" applyFont="1" applyFill="1" applyBorder="1" applyAlignment="1" applyProtection="1">
      <alignment horizontal="center" vertical="center" wrapText="1" shrinkToFit="1"/>
      <protection locked="0"/>
    </xf>
    <xf numFmtId="0" fontId="88" fillId="2" borderId="15" xfId="0" applyFont="1" applyFill="1" applyBorder="1" applyAlignment="1" applyProtection="1">
      <alignment horizontal="center" vertical="center" wrapText="1" shrinkToFit="1"/>
    </xf>
    <xf numFmtId="0" fontId="72" fillId="2" borderId="15" xfId="0" applyFont="1" applyFill="1" applyBorder="1" applyAlignment="1" applyProtection="1">
      <alignment horizontal="center" vertical="center" wrapText="1"/>
    </xf>
    <xf numFmtId="0" fontId="7" fillId="0" borderId="15" xfId="0" applyFont="1" applyFill="1" applyBorder="1" applyAlignment="1" applyProtection="1">
      <alignment horizontal="center" vertical="center"/>
      <protection locked="0"/>
    </xf>
    <xf numFmtId="0" fontId="115" fillId="0" borderId="15" xfId="0" applyFont="1" applyFill="1" applyBorder="1" applyAlignment="1" applyProtection="1">
      <alignment horizontal="center" vertical="center" wrapText="1" shrinkToFit="1"/>
      <protection locked="0"/>
    </xf>
    <xf numFmtId="176" fontId="115" fillId="0" borderId="15" xfId="0" applyNumberFormat="1" applyFont="1" applyFill="1" applyBorder="1" applyAlignment="1" applyProtection="1">
      <alignment horizontal="center" vertical="center" wrapText="1" shrinkToFit="1"/>
    </xf>
    <xf numFmtId="176" fontId="28" fillId="0" borderId="15" xfId="0" applyNumberFormat="1" applyFont="1" applyFill="1" applyBorder="1" applyAlignment="1" applyProtection="1">
      <alignment horizontal="center" vertical="center" wrapText="1" shrinkToFit="1"/>
      <protection locked="0"/>
    </xf>
    <xf numFmtId="0" fontId="61" fillId="0" borderId="15" xfId="0" applyFont="1" applyFill="1" applyBorder="1" applyAlignment="1" applyProtection="1">
      <alignment horizontal="center" vertical="center" wrapText="1"/>
      <protection locked="0"/>
    </xf>
    <xf numFmtId="0" fontId="61" fillId="0" borderId="15" xfId="0" applyFont="1" applyFill="1" applyBorder="1" applyAlignment="1" applyProtection="1">
      <alignment horizontal="center" vertical="center" wrapText="1"/>
    </xf>
    <xf numFmtId="0" fontId="116" fillId="0" borderId="15" xfId="0" applyFont="1" applyFill="1" applyBorder="1" applyAlignment="1" applyProtection="1">
      <alignment horizontal="center" vertical="center"/>
    </xf>
    <xf numFmtId="179" fontId="88" fillId="0" borderId="0" xfId="0" applyNumberFormat="1" applyFont="1" applyFill="1" applyBorder="1" applyAlignment="1" applyProtection="1">
      <alignment horizontal="center" vertical="center"/>
    </xf>
    <xf numFmtId="0" fontId="88" fillId="0" borderId="0" xfId="0" applyFont="1" applyFill="1" applyBorder="1" applyAlignment="1" applyProtection="1">
      <alignment horizontal="center" vertical="center"/>
    </xf>
    <xf numFmtId="180" fontId="72" fillId="0" borderId="0" xfId="0" applyNumberFormat="1" applyFont="1" applyFill="1" applyBorder="1" applyAlignment="1" applyProtection="1">
      <alignment horizontal="center" vertical="center" wrapText="1" shrinkToFit="1"/>
    </xf>
    <xf numFmtId="178" fontId="72" fillId="0" borderId="0" xfId="0" applyNumberFormat="1" applyFont="1" applyFill="1" applyBorder="1" applyAlignment="1" applyProtection="1">
      <alignment horizontal="center" vertical="center" wrapText="1"/>
    </xf>
    <xf numFmtId="178" fontId="114" fillId="0" borderId="0" xfId="0" applyNumberFormat="1" applyFont="1" applyFill="1" applyBorder="1" applyAlignment="1" applyProtection="1">
      <alignment horizontal="center" vertical="center" wrapText="1"/>
    </xf>
    <xf numFmtId="178" fontId="61" fillId="0" borderId="0" xfId="0" applyNumberFormat="1" applyFont="1" applyFill="1" applyBorder="1" applyAlignment="1" applyProtection="1">
      <alignment horizontal="center" vertical="center" wrapText="1"/>
    </xf>
    <xf numFmtId="0" fontId="117" fillId="3" borderId="8" xfId="0" applyNumberFormat="1" applyFont="1" applyFill="1" applyBorder="1" applyAlignment="1">
      <alignment horizontal="center" vertical="center" wrapText="1"/>
    </xf>
    <xf numFmtId="0" fontId="28" fillId="0" borderId="15" xfId="0" applyNumberFormat="1" applyFont="1" applyFill="1" applyBorder="1" applyAlignment="1" applyProtection="1">
      <alignment horizontal="center" vertical="center" wrapText="1" shrinkToFit="1"/>
      <protection locked="0"/>
    </xf>
    <xf numFmtId="0" fontId="88" fillId="2" borderId="15" xfId="0" applyFont="1" applyFill="1" applyBorder="1" applyAlignment="1" applyProtection="1">
      <alignment horizontal="center" vertical="center" wrapText="1"/>
    </xf>
    <xf numFmtId="0" fontId="72" fillId="2" borderId="15" xfId="0" applyFont="1" applyFill="1" applyBorder="1" applyProtection="1">
      <alignment vertical="center"/>
    </xf>
    <xf numFmtId="0" fontId="72" fillId="2" borderId="15" xfId="0" applyFont="1" applyFill="1" applyBorder="1" applyAlignment="1" applyProtection="1">
      <alignment horizontal="center" vertical="center"/>
      <protection locked="0"/>
    </xf>
    <xf numFmtId="0" fontId="72" fillId="2" borderId="15" xfId="0" applyFont="1" applyFill="1" applyBorder="1" applyProtection="1">
      <alignment vertical="center"/>
      <protection locked="0"/>
    </xf>
    <xf numFmtId="0" fontId="72" fillId="0" borderId="0" xfId="0" applyFont="1" applyFill="1" applyBorder="1" applyAlignment="1" applyProtection="1">
      <alignment horizontal="center" vertical="center" wrapText="1"/>
    </xf>
    <xf numFmtId="179" fontId="28" fillId="0" borderId="15" xfId="0" applyNumberFormat="1" applyFont="1" applyFill="1" applyBorder="1" applyAlignment="1" applyProtection="1">
      <alignment horizontal="center" vertical="center"/>
    </xf>
    <xf numFmtId="49" fontId="7" fillId="0" borderId="15" xfId="0" applyNumberFormat="1" applyFont="1" applyFill="1" applyBorder="1" applyAlignment="1" applyProtection="1">
      <alignment horizontal="center" vertical="center" wrapText="1"/>
      <protection locked="0"/>
    </xf>
    <xf numFmtId="0" fontId="7" fillId="0" borderId="15" xfId="0" applyFont="1" applyFill="1" applyBorder="1" applyAlignment="1" applyProtection="1">
      <alignment horizontal="center" vertical="center" wrapText="1" shrinkToFit="1"/>
      <protection locked="0"/>
    </xf>
    <xf numFmtId="0" fontId="29" fillId="0" borderId="15" xfId="0" applyNumberFormat="1" applyFont="1" applyFill="1" applyBorder="1" applyAlignment="1" applyProtection="1">
      <alignment horizontal="center" vertical="center" shrinkToFit="1"/>
      <protection locked="0"/>
    </xf>
    <xf numFmtId="0" fontId="28" fillId="0" borderId="15" xfId="0" applyNumberFormat="1" applyFont="1" applyFill="1" applyBorder="1" applyAlignment="1" applyProtection="1">
      <alignment horizontal="center" vertical="center" wrapText="1"/>
      <protection locked="0"/>
    </xf>
    <xf numFmtId="0" fontId="28" fillId="0" borderId="15" xfId="0" applyFont="1" applyFill="1" applyBorder="1" applyAlignment="1" applyProtection="1">
      <alignment horizontal="center" vertical="center"/>
      <protection locked="0"/>
    </xf>
    <xf numFmtId="0" fontId="28" fillId="0" borderId="15" xfId="0" applyFont="1" applyFill="1" applyBorder="1" applyAlignment="1" applyProtection="1">
      <alignment horizontal="center" vertical="center"/>
    </xf>
    <xf numFmtId="178" fontId="7" fillId="0" borderId="15" xfId="0" applyNumberFormat="1" applyFont="1" applyFill="1" applyBorder="1" applyAlignment="1" applyProtection="1">
      <alignment horizontal="center" vertical="center" wrapText="1"/>
    </xf>
    <xf numFmtId="178" fontId="4" fillId="0" borderId="15" xfId="0" applyNumberFormat="1" applyFont="1" applyFill="1" applyBorder="1" applyAlignment="1" applyProtection="1">
      <alignment horizontal="center" vertical="center" wrapText="1"/>
    </xf>
    <xf numFmtId="0" fontId="0" fillId="0" borderId="15" xfId="0" applyNumberFormat="1" applyFont="1" applyFill="1" applyBorder="1" applyAlignment="1" applyProtection="1">
      <alignment horizontal="center" vertical="center" wrapText="1"/>
    </xf>
    <xf numFmtId="0" fontId="7" fillId="0" borderId="15" xfId="0" applyFont="1" applyFill="1" applyBorder="1" applyAlignment="1" applyProtection="1">
      <alignment horizontal="center" vertical="center"/>
    </xf>
    <xf numFmtId="181" fontId="28" fillId="0" borderId="15" xfId="0" applyNumberFormat="1" applyFont="1" applyFill="1" applyBorder="1" applyAlignment="1" applyProtection="1">
      <alignment horizontal="center" vertical="center"/>
    </xf>
    <xf numFmtId="182" fontId="28" fillId="0" borderId="15" xfId="0" applyNumberFormat="1" applyFont="1" applyFill="1" applyBorder="1" applyAlignment="1" applyProtection="1">
      <alignment horizontal="center" vertical="center"/>
    </xf>
    <xf numFmtId="182" fontId="114" fillId="0" borderId="15" xfId="0" applyNumberFormat="1" applyFont="1" applyFill="1" applyBorder="1" applyAlignment="1">
      <alignment horizontal="center" vertical="center"/>
    </xf>
    <xf numFmtId="0" fontId="28" fillId="0" borderId="15" xfId="0" applyFont="1" applyFill="1" applyBorder="1" applyAlignment="1" applyProtection="1">
      <alignment horizontal="center" vertical="center" wrapText="1"/>
    </xf>
    <xf numFmtId="180" fontId="61" fillId="0" borderId="15" xfId="0" applyNumberFormat="1" applyFont="1" applyFill="1" applyBorder="1" applyAlignment="1">
      <alignment horizontal="center" vertical="center" wrapText="1" shrinkToFit="1"/>
    </xf>
    <xf numFmtId="0" fontId="61" fillId="0" borderId="15" xfId="0" applyFont="1" applyFill="1" applyBorder="1" applyAlignment="1">
      <alignment horizontal="center" vertical="center" wrapText="1"/>
    </xf>
    <xf numFmtId="0" fontId="61" fillId="0" borderId="15" xfId="0" applyFont="1" applyFill="1" applyBorder="1" applyAlignment="1">
      <alignment horizontal="center" vertical="center" wrapText="1" shrinkToFit="1"/>
    </xf>
    <xf numFmtId="0" fontId="61" fillId="0" borderId="15" xfId="0" applyFont="1" applyFill="1" applyBorder="1" applyAlignment="1">
      <alignment horizontal="center" vertical="center"/>
    </xf>
    <xf numFmtId="180" fontId="61" fillId="3" borderId="15" xfId="0" applyNumberFormat="1" applyFont="1" applyFill="1" applyBorder="1" applyAlignment="1">
      <alignment horizontal="center" vertical="center" wrapText="1" shrinkToFit="1"/>
    </xf>
    <xf numFmtId="178" fontId="72" fillId="0" borderId="15" xfId="0" applyNumberFormat="1" applyFont="1" applyFill="1" applyBorder="1" applyAlignment="1" applyProtection="1">
      <alignment horizontal="center" vertical="center" wrapText="1"/>
      <protection locked="0"/>
    </xf>
    <xf numFmtId="0" fontId="72" fillId="0" borderId="15" xfId="0" applyFont="1" applyFill="1" applyBorder="1" applyAlignment="1" applyProtection="1">
      <alignment horizontal="center" vertical="center" wrapText="1"/>
      <protection locked="0"/>
    </xf>
    <xf numFmtId="0" fontId="61" fillId="3" borderId="15" xfId="0" applyFont="1" applyFill="1" applyBorder="1" applyAlignment="1">
      <alignment horizontal="center" vertical="center" wrapText="1" shrinkToFit="1"/>
    </xf>
    <xf numFmtId="0" fontId="118" fillId="0" borderId="15" xfId="0" applyFont="1" applyFill="1" applyBorder="1" applyAlignment="1">
      <alignment horizontal="center" vertical="center" wrapText="1" shrinkToFit="1"/>
    </xf>
    <xf numFmtId="0" fontId="72" fillId="20" borderId="15" xfId="0" applyFont="1" applyFill="1" applyBorder="1" applyAlignment="1" applyProtection="1">
      <alignment horizontal="center" vertical="center"/>
    </xf>
    <xf numFmtId="0" fontId="88" fillId="0" borderId="0" xfId="0" applyNumberFormat="1" applyFont="1" applyFill="1" applyBorder="1" applyAlignment="1" applyProtection="1">
      <alignment horizontal="center" vertical="center" wrapText="1" shrinkToFit="1"/>
      <protection locked="0"/>
    </xf>
    <xf numFmtId="0" fontId="88" fillId="0" borderId="0" xfId="0" applyNumberFormat="1" applyFont="1" applyFill="1" applyBorder="1" applyAlignment="1" applyProtection="1">
      <alignment horizontal="center" vertical="center" shrinkToFit="1"/>
      <protection locked="0"/>
    </xf>
    <xf numFmtId="183" fontId="88" fillId="0" borderId="0" xfId="0" applyNumberFormat="1" applyFont="1" applyFill="1" applyBorder="1" applyAlignment="1" applyProtection="1">
      <alignment horizontal="center" vertical="center"/>
    </xf>
    <xf numFmtId="180" fontId="61" fillId="0" borderId="0" xfId="0" applyNumberFormat="1" applyFont="1" applyFill="1" applyBorder="1" applyAlignment="1" applyProtection="1">
      <alignment horizontal="center" vertical="center" wrapText="1" shrinkToFit="1"/>
    </xf>
    <xf numFmtId="178" fontId="61" fillId="0" borderId="0" xfId="0" applyNumberFormat="1" applyFont="1" applyFill="1" applyBorder="1" applyAlignment="1" applyProtection="1">
      <alignment horizontal="center" vertical="center" wrapText="1"/>
      <protection locked="0"/>
    </xf>
    <xf numFmtId="180" fontId="72" fillId="0" borderId="15" xfId="0" applyNumberFormat="1" applyFont="1" applyFill="1" applyBorder="1" applyAlignment="1" applyProtection="1">
      <alignment horizontal="center" vertical="center" wrapText="1" shrinkToFit="1"/>
      <protection locked="0"/>
    </xf>
    <xf numFmtId="180" fontId="61" fillId="0" borderId="15" xfId="0" applyNumberFormat="1" applyFont="1" applyFill="1" applyBorder="1" applyAlignment="1" applyProtection="1">
      <alignment horizontal="center" vertical="center" wrapText="1" shrinkToFit="1"/>
      <protection locked="0"/>
    </xf>
    <xf numFmtId="0" fontId="61" fillId="0" borderId="0" xfId="0" applyFont="1" applyFill="1" applyBorder="1" applyAlignment="1" applyProtection="1">
      <alignment horizontal="center" vertical="center"/>
      <protection locked="0"/>
    </xf>
    <xf numFmtId="178" fontId="7" fillId="0" borderId="0" xfId="0" applyNumberFormat="1" applyFont="1" applyFill="1" applyBorder="1" applyAlignment="1" applyProtection="1">
      <alignment horizontal="center" vertical="center" wrapText="1"/>
    </xf>
    <xf numFmtId="0" fontId="113" fillId="12" borderId="15" xfId="0" applyNumberFormat="1" applyFont="1" applyFill="1" applyBorder="1" applyAlignment="1" applyProtection="1">
      <alignment horizontal="center" vertical="center" shrinkToFit="1"/>
      <protection locked="0"/>
    </xf>
    <xf numFmtId="0" fontId="88" fillId="0" borderId="15" xfId="0" applyNumberFormat="1" applyFont="1" applyFill="1" applyBorder="1" applyAlignment="1" applyProtection="1">
      <alignment horizontal="center" vertical="center" shrinkToFit="1"/>
      <protection locked="0"/>
    </xf>
    <xf numFmtId="183" fontId="88" fillId="0" borderId="15" xfId="0" applyNumberFormat="1" applyFont="1" applyFill="1" applyBorder="1" applyAlignment="1" applyProtection="1">
      <alignment horizontal="center" vertical="center"/>
    </xf>
    <xf numFmtId="0" fontId="119" fillId="0" borderId="0" xfId="0" applyFont="1" applyFill="1" applyAlignment="1">
      <alignment horizontal="center" vertical="center" wrapText="1"/>
    </xf>
    <xf numFmtId="184" fontId="72" fillId="0" borderId="15" xfId="0" applyNumberFormat="1" applyFont="1" applyFill="1" applyBorder="1" applyAlignment="1" applyProtection="1">
      <alignment horizontal="center" vertical="center"/>
    </xf>
    <xf numFmtId="0" fontId="7" fillId="2" borderId="15" xfId="0" applyFont="1" applyFill="1" applyBorder="1" applyProtection="1">
      <alignment vertical="center"/>
      <protection locked="0"/>
    </xf>
    <xf numFmtId="0" fontId="7" fillId="2" borderId="15" xfId="0" applyFont="1" applyFill="1" applyBorder="1" applyAlignment="1" applyProtection="1">
      <alignment horizontal="center" vertical="center"/>
      <protection locked="0"/>
    </xf>
    <xf numFmtId="0" fontId="28" fillId="2" borderId="15" xfId="0" applyFont="1" applyFill="1" applyBorder="1" applyAlignment="1" applyProtection="1">
      <alignment horizontal="center" vertical="center" wrapText="1"/>
    </xf>
    <xf numFmtId="176" fontId="86" fillId="0" borderId="15" xfId="0" applyNumberFormat="1" applyFont="1" applyFill="1" applyBorder="1" applyAlignment="1" applyProtection="1">
      <alignment horizontal="center" vertical="center" wrapText="1" shrinkToFit="1"/>
    </xf>
    <xf numFmtId="183" fontId="28" fillId="0" borderId="15" xfId="0" applyNumberFormat="1" applyFont="1" applyFill="1" applyBorder="1" applyAlignment="1" applyProtection="1">
      <alignment horizontal="center" vertical="center" wrapText="1"/>
      <protection locked="0"/>
    </xf>
    <xf numFmtId="0" fontId="28" fillId="0" borderId="15" xfId="0" applyFont="1" applyFill="1" applyBorder="1" applyAlignment="1" applyProtection="1">
      <alignment horizontal="center" vertical="center" wrapText="1"/>
      <protection locked="0"/>
    </xf>
    <xf numFmtId="0" fontId="28" fillId="3" borderId="15" xfId="0" applyNumberFormat="1" applyFont="1" applyFill="1" applyBorder="1" applyAlignment="1" applyProtection="1">
      <alignment horizontal="center" vertical="center"/>
    </xf>
    <xf numFmtId="176" fontId="86" fillId="3" borderId="15" xfId="0" applyNumberFormat="1" applyFont="1" applyFill="1" applyBorder="1" applyAlignment="1" applyProtection="1">
      <alignment horizontal="center" vertical="center" wrapText="1" shrinkToFit="1"/>
    </xf>
    <xf numFmtId="0" fontId="28" fillId="3" borderId="15" xfId="0" applyFont="1" applyFill="1" applyBorder="1" applyAlignment="1" applyProtection="1">
      <alignment horizontal="center" vertical="center" wrapText="1"/>
    </xf>
    <xf numFmtId="183" fontId="28" fillId="3" borderId="15" xfId="0" applyNumberFormat="1" applyFont="1" applyFill="1" applyBorder="1" applyAlignment="1" applyProtection="1">
      <alignment horizontal="center" vertical="center" wrapText="1"/>
    </xf>
    <xf numFmtId="0" fontId="102" fillId="3" borderId="15" xfId="0" applyFont="1" applyFill="1" applyBorder="1" applyAlignment="1" applyProtection="1">
      <alignment horizontal="center" vertical="center" wrapText="1"/>
    </xf>
    <xf numFmtId="183" fontId="28" fillId="3" borderId="15" xfId="0" applyNumberFormat="1" applyFont="1" applyFill="1" applyBorder="1" applyAlignment="1" applyProtection="1">
      <alignment horizontal="center" vertical="center" wrapText="1"/>
      <protection locked="0"/>
    </xf>
    <xf numFmtId="0" fontId="28" fillId="3" borderId="15" xfId="0" applyFont="1" applyFill="1" applyBorder="1" applyAlignment="1" applyProtection="1">
      <alignment horizontal="center" vertical="center" wrapText="1"/>
      <protection locked="0"/>
    </xf>
    <xf numFmtId="0" fontId="7" fillId="3" borderId="15" xfId="0" applyFont="1" applyFill="1" applyBorder="1" applyProtection="1">
      <alignment vertical="center"/>
      <protection locked="0"/>
    </xf>
    <xf numFmtId="191" fontId="72" fillId="0" borderId="15" xfId="0" applyNumberFormat="1" applyFont="1" applyFill="1" applyBorder="1" applyAlignment="1" applyProtection="1">
      <alignment horizontal="center" vertical="center" wrapText="1"/>
    </xf>
    <xf numFmtId="178" fontId="15" fillId="0" borderId="15" xfId="0" applyNumberFormat="1" applyFont="1" applyFill="1" applyBorder="1" applyAlignment="1" applyProtection="1">
      <alignment horizontal="center" vertical="center" wrapText="1"/>
      <protection locked="0"/>
    </xf>
    <xf numFmtId="0" fontId="88" fillId="3" borderId="15" xfId="0" applyNumberFormat="1" applyFont="1" applyFill="1" applyBorder="1" applyAlignment="1" applyProtection="1">
      <alignment horizontal="center" vertical="center" wrapText="1" shrinkToFit="1"/>
      <protection locked="0"/>
    </xf>
    <xf numFmtId="179" fontId="88" fillId="0" borderId="39" xfId="0" applyNumberFormat="1" applyFont="1" applyFill="1" applyBorder="1" applyAlignment="1" applyProtection="1">
      <alignment horizontal="center" vertical="center"/>
    </xf>
    <xf numFmtId="49" fontId="72" fillId="0" borderId="39" xfId="0" applyNumberFormat="1" applyFont="1" applyFill="1" applyBorder="1" applyAlignment="1" applyProtection="1">
      <alignment horizontal="center" vertical="center" wrapText="1"/>
      <protection locked="0"/>
    </xf>
    <xf numFmtId="0" fontId="72" fillId="0" borderId="39" xfId="0" applyFont="1" applyFill="1" applyBorder="1" applyAlignment="1" applyProtection="1">
      <alignment horizontal="center" vertical="center" wrapText="1" shrinkToFit="1"/>
      <protection locked="0"/>
    </xf>
    <xf numFmtId="0" fontId="113" fillId="0" borderId="39" xfId="0" applyNumberFormat="1" applyFont="1" applyFill="1" applyBorder="1" applyAlignment="1" applyProtection="1">
      <alignment horizontal="center" vertical="center" shrinkToFit="1"/>
      <protection locked="0"/>
    </xf>
    <xf numFmtId="0" fontId="88" fillId="0" borderId="39" xfId="0" applyNumberFormat="1" applyFont="1" applyFill="1" applyBorder="1" applyAlignment="1" applyProtection="1">
      <alignment horizontal="center" vertical="center" wrapText="1" shrinkToFit="1"/>
      <protection locked="0"/>
    </xf>
    <xf numFmtId="0" fontId="88" fillId="0" borderId="39" xfId="0" applyNumberFormat="1" applyFont="1" applyFill="1" applyBorder="1" applyAlignment="1" applyProtection="1">
      <alignment horizontal="center" vertical="center" shrinkToFit="1"/>
      <protection locked="0"/>
    </xf>
    <xf numFmtId="0" fontId="88" fillId="0" borderId="39" xfId="0" applyFont="1" applyFill="1" applyBorder="1" applyAlignment="1" applyProtection="1">
      <alignment horizontal="center" vertical="center" wrapText="1" shrinkToFit="1"/>
      <protection locked="0"/>
    </xf>
    <xf numFmtId="0" fontId="88" fillId="0" borderId="39" xfId="0" applyFont="1" applyFill="1" applyBorder="1" applyAlignment="1" applyProtection="1">
      <alignment horizontal="center" vertical="center"/>
      <protection locked="0"/>
    </xf>
    <xf numFmtId="0" fontId="88" fillId="0" borderId="39" xfId="0" applyFont="1" applyFill="1" applyBorder="1" applyAlignment="1" applyProtection="1">
      <alignment horizontal="center" vertical="center"/>
    </xf>
    <xf numFmtId="183" fontId="88" fillId="0" borderId="39" xfId="0" applyNumberFormat="1" applyFont="1" applyFill="1" applyBorder="1" applyAlignment="1" applyProtection="1">
      <alignment horizontal="center" vertical="center"/>
    </xf>
    <xf numFmtId="180" fontId="72" fillId="0" borderId="39" xfId="0" applyNumberFormat="1" applyFont="1" applyFill="1" applyBorder="1" applyAlignment="1" applyProtection="1">
      <alignment horizontal="center" vertical="center" wrapText="1" shrinkToFit="1"/>
    </xf>
    <xf numFmtId="178" fontId="72" fillId="0" borderId="39" xfId="0" applyNumberFormat="1" applyFont="1" applyFill="1" applyBorder="1" applyAlignment="1" applyProtection="1">
      <alignment horizontal="center" vertical="center" wrapText="1"/>
    </xf>
    <xf numFmtId="178" fontId="114" fillId="0" borderId="39" xfId="0" applyNumberFormat="1" applyFont="1" applyFill="1" applyBorder="1" applyAlignment="1" applyProtection="1">
      <alignment horizontal="center" vertical="center" wrapText="1"/>
    </xf>
    <xf numFmtId="178" fontId="61" fillId="0" borderId="39" xfId="0" applyNumberFormat="1" applyFont="1" applyFill="1" applyBorder="1" applyAlignment="1" applyProtection="1">
      <alignment horizontal="center" vertical="center" wrapText="1"/>
      <protection locked="0"/>
    </xf>
    <xf numFmtId="178" fontId="72" fillId="0" borderId="39" xfId="0" applyNumberFormat="1" applyFont="1" applyFill="1" applyBorder="1" applyAlignment="1" applyProtection="1">
      <alignment horizontal="center" vertical="center" wrapText="1"/>
      <protection locked="0"/>
    </xf>
    <xf numFmtId="178" fontId="61" fillId="0" borderId="39" xfId="0" applyNumberFormat="1" applyFont="1" applyFill="1" applyBorder="1" applyAlignment="1" applyProtection="1">
      <alignment horizontal="center" vertical="center" wrapText="1"/>
    </xf>
    <xf numFmtId="0" fontId="72" fillId="0" borderId="39" xfId="0" applyFont="1" applyFill="1" applyBorder="1" applyAlignment="1" applyProtection="1">
      <alignment horizontal="center" vertical="center" wrapText="1"/>
      <protection locked="0"/>
    </xf>
    <xf numFmtId="0" fontId="61" fillId="0" borderId="39" xfId="0" applyFont="1" applyFill="1" applyBorder="1" applyAlignment="1" applyProtection="1">
      <alignment horizontal="center" vertical="center" wrapText="1"/>
    </xf>
    <xf numFmtId="0" fontId="61" fillId="0" borderId="39" xfId="0" applyNumberFormat="1" applyFont="1" applyFill="1" applyBorder="1" applyAlignment="1" applyProtection="1">
      <alignment horizontal="center" vertical="center" wrapText="1"/>
    </xf>
    <xf numFmtId="184" fontId="72" fillId="0" borderId="39" xfId="0" applyNumberFormat="1" applyFont="1" applyFill="1" applyBorder="1" applyAlignment="1" applyProtection="1">
      <alignment horizontal="center" vertical="center"/>
    </xf>
    <xf numFmtId="0" fontId="88" fillId="0" borderId="39" xfId="0" applyNumberFormat="1" applyFont="1" applyFill="1" applyBorder="1" applyAlignment="1" applyProtection="1">
      <alignment horizontal="center" vertical="center"/>
    </xf>
    <xf numFmtId="182" fontId="115" fillId="0" borderId="39" xfId="0" applyNumberFormat="1" applyFont="1" applyFill="1" applyBorder="1" applyAlignment="1" applyProtection="1">
      <alignment horizontal="center" vertical="center"/>
    </xf>
    <xf numFmtId="0" fontId="28" fillId="0" borderId="39" xfId="0" applyNumberFormat="1" applyFont="1" applyFill="1" applyBorder="1" applyAlignment="1" applyProtection="1">
      <alignment horizontal="center" vertical="center" wrapText="1" shrinkToFit="1"/>
      <protection locked="0"/>
    </xf>
    <xf numFmtId="0" fontId="61" fillId="0" borderId="39" xfId="0" applyFont="1" applyFill="1" applyBorder="1" applyAlignment="1" applyProtection="1">
      <alignment horizontal="center" vertical="center"/>
      <protection locked="0"/>
    </xf>
    <xf numFmtId="0" fontId="72" fillId="0" borderId="39" xfId="0" applyFont="1" applyFill="1" applyBorder="1" applyAlignment="1" applyProtection="1">
      <alignment horizontal="center" vertical="center"/>
    </xf>
    <xf numFmtId="176" fontId="28" fillId="2" borderId="39" xfId="0" applyNumberFormat="1" applyFont="1" applyFill="1" applyBorder="1" applyAlignment="1" applyProtection="1">
      <alignment horizontal="center" vertical="center" wrapText="1" shrinkToFit="1"/>
    </xf>
    <xf numFmtId="0" fontId="7" fillId="2" borderId="39" xfId="0" applyFont="1" applyFill="1" applyBorder="1" applyProtection="1">
      <alignment vertical="center"/>
      <protection locked="0"/>
    </xf>
    <xf numFmtId="183" fontId="88" fillId="0" borderId="39" xfId="0" applyNumberFormat="1" applyFont="1" applyFill="1" applyBorder="1" applyAlignment="1" applyProtection="1">
      <alignment horizontal="center" vertical="center" wrapText="1"/>
    </xf>
    <xf numFmtId="183" fontId="28" fillId="2" borderId="39" xfId="0" applyNumberFormat="1" applyFont="1" applyFill="1" applyBorder="1" applyAlignment="1" applyProtection="1">
      <alignment horizontal="center" vertical="center" wrapText="1"/>
    </xf>
    <xf numFmtId="176" fontId="30" fillId="2" borderId="39" xfId="0" applyNumberFormat="1" applyFont="1" applyFill="1" applyBorder="1" applyAlignment="1" applyProtection="1">
      <alignment horizontal="center" vertical="center" wrapText="1" shrinkToFit="1"/>
    </xf>
    <xf numFmtId="0" fontId="72" fillId="0" borderId="39" xfId="0" applyFont="1" applyFill="1" applyBorder="1" applyAlignment="1" applyProtection="1">
      <alignment horizontal="center" vertical="center"/>
      <protection locked="0"/>
    </xf>
    <xf numFmtId="0" fontId="7" fillId="2" borderId="39" xfId="0" applyFont="1" applyFill="1" applyBorder="1" applyAlignment="1" applyProtection="1">
      <alignment horizontal="center" vertical="center"/>
      <protection locked="0"/>
    </xf>
    <xf numFmtId="0" fontId="28" fillId="2" borderId="39" xfId="0" applyFont="1" applyFill="1" applyBorder="1" applyAlignment="1" applyProtection="1">
      <alignment horizontal="center" vertical="center" wrapText="1"/>
    </xf>
    <xf numFmtId="176" fontId="28" fillId="0" borderId="39" xfId="0" applyNumberFormat="1" applyFont="1" applyFill="1" applyBorder="1" applyAlignment="1" applyProtection="1">
      <alignment horizontal="center" vertical="center" wrapText="1" shrinkToFit="1"/>
    </xf>
    <xf numFmtId="176" fontId="89" fillId="0" borderId="39" xfId="0" applyNumberFormat="1" applyFont="1" applyFill="1" applyBorder="1" applyAlignment="1" applyProtection="1">
      <alignment horizontal="center" vertical="center" wrapText="1" shrinkToFit="1"/>
    </xf>
    <xf numFmtId="0" fontId="7" fillId="2" borderId="39" xfId="0" applyFont="1" applyFill="1" applyBorder="1" applyAlignment="1" applyProtection="1">
      <alignment horizontal="center" vertical="center" wrapText="1"/>
    </xf>
    <xf numFmtId="0" fontId="72" fillId="0" borderId="39" xfId="0" applyFont="1" applyFill="1" applyBorder="1" applyProtection="1">
      <alignment vertical="center"/>
      <protection locked="0"/>
    </xf>
    <xf numFmtId="0" fontId="61" fillId="0" borderId="39" xfId="0" applyFont="1" applyFill="1" applyBorder="1" applyAlignment="1" applyProtection="1">
      <alignment horizontal="center" vertical="center" wrapText="1"/>
      <protection locked="0"/>
    </xf>
    <xf numFmtId="0" fontId="88" fillId="0" borderId="39" xfId="0" applyFont="1" applyFill="1" applyBorder="1" applyAlignment="1" applyProtection="1">
      <alignment horizontal="center" vertical="center" wrapText="1"/>
      <protection locked="0"/>
    </xf>
    <xf numFmtId="0" fontId="72" fillId="3" borderId="15" xfId="0" applyFont="1" applyFill="1" applyBorder="1" applyAlignment="1" applyProtection="1">
      <alignment horizontal="center" vertical="center"/>
      <protection locked="0"/>
    </xf>
    <xf numFmtId="0" fontId="61" fillId="3" borderId="15" xfId="0" applyFont="1" applyFill="1" applyBorder="1" applyAlignment="1" applyProtection="1">
      <alignment horizontal="center" vertical="center" wrapText="1"/>
      <protection locked="0"/>
    </xf>
    <xf numFmtId="0" fontId="88" fillId="3" borderId="15" xfId="0" applyFont="1" applyFill="1" applyBorder="1" applyAlignment="1" applyProtection="1">
      <alignment horizontal="center" vertical="center" wrapText="1"/>
      <protection locked="0"/>
    </xf>
    <xf numFmtId="0" fontId="61" fillId="0" borderId="40" xfId="0" applyFont="1" applyFill="1" applyBorder="1" applyAlignment="1" applyProtection="1">
      <alignment horizontal="center" vertical="center" wrapText="1"/>
      <protection locked="0"/>
    </xf>
    <xf numFmtId="0" fontId="61" fillId="0" borderId="15" xfId="0" applyFont="1" applyFill="1" applyBorder="1" applyProtection="1">
      <alignment vertical="center"/>
      <protection locked="0"/>
    </xf>
    <xf numFmtId="179" fontId="28" fillId="0" borderId="39" xfId="0" applyNumberFormat="1" applyFont="1" applyFill="1" applyBorder="1" applyAlignment="1" applyProtection="1">
      <alignment horizontal="center" vertical="center"/>
    </xf>
    <xf numFmtId="49" fontId="7" fillId="0" borderId="39" xfId="0" applyNumberFormat="1" applyFont="1" applyFill="1" applyBorder="1" applyAlignment="1" applyProtection="1">
      <alignment horizontal="center" vertical="center" wrapText="1"/>
      <protection locked="0"/>
    </xf>
    <xf numFmtId="0" fontId="7" fillId="0" borderId="39" xfId="0" applyFont="1" applyFill="1" applyBorder="1" applyAlignment="1" applyProtection="1">
      <alignment horizontal="center" vertical="center" wrapText="1" shrinkToFit="1"/>
      <protection locked="0"/>
    </xf>
    <xf numFmtId="0" fontId="29" fillId="0" borderId="39" xfId="0" applyNumberFormat="1" applyFont="1" applyFill="1" applyBorder="1" applyAlignment="1" applyProtection="1">
      <alignment horizontal="center" vertical="center" shrinkToFit="1"/>
      <protection locked="0"/>
    </xf>
    <xf numFmtId="0" fontId="28" fillId="0" borderId="39" xfId="0" applyFont="1" applyFill="1" applyBorder="1" applyAlignment="1" applyProtection="1">
      <alignment horizontal="center" vertical="center" wrapText="1"/>
      <protection locked="0"/>
    </xf>
    <xf numFmtId="0" fontId="28" fillId="0" borderId="39" xfId="0" applyFont="1" applyFill="1" applyBorder="1" applyAlignment="1" applyProtection="1">
      <alignment horizontal="center" vertical="center" wrapText="1" shrinkToFit="1"/>
      <protection locked="0"/>
    </xf>
    <xf numFmtId="0" fontId="28" fillId="0" borderId="39" xfId="0" applyFont="1" applyFill="1" applyBorder="1" applyAlignment="1" applyProtection="1">
      <alignment horizontal="center" vertical="center"/>
      <protection locked="0"/>
    </xf>
    <xf numFmtId="0" fontId="28" fillId="0" borderId="39" xfId="0" applyFont="1" applyFill="1" applyBorder="1" applyAlignment="1" applyProtection="1">
      <alignment horizontal="center" vertical="center"/>
    </xf>
    <xf numFmtId="180" fontId="7" fillId="0" borderId="39" xfId="0" applyNumberFormat="1" applyFont="1" applyFill="1" applyBorder="1" applyAlignment="1" applyProtection="1">
      <alignment horizontal="center" vertical="center" wrapText="1" shrinkToFit="1"/>
    </xf>
    <xf numFmtId="178" fontId="7" fillId="0" borderId="39" xfId="0" applyNumberFormat="1" applyFont="1" applyFill="1" applyBorder="1" applyAlignment="1" applyProtection="1">
      <alignment horizontal="center" vertical="center" wrapText="1"/>
    </xf>
    <xf numFmtId="178" fontId="4" fillId="0" borderId="39" xfId="0" applyNumberFormat="1" applyFont="1" applyFill="1" applyBorder="1" applyAlignment="1" applyProtection="1">
      <alignment horizontal="center" vertical="center" wrapText="1"/>
    </xf>
    <xf numFmtId="0" fontId="7" fillId="0" borderId="39" xfId="0" applyFont="1" applyFill="1" applyBorder="1" applyAlignment="1" applyProtection="1">
      <alignment horizontal="center" vertical="center" wrapText="1"/>
    </xf>
    <xf numFmtId="0" fontId="0" fillId="0" borderId="39" xfId="0" applyNumberFormat="1" applyFont="1" applyFill="1" applyBorder="1" applyAlignment="1" applyProtection="1">
      <alignment horizontal="center" vertical="center" wrapText="1"/>
    </xf>
    <xf numFmtId="0" fontId="7" fillId="0" borderId="39" xfId="0" applyFont="1" applyFill="1" applyBorder="1" applyAlignment="1" applyProtection="1">
      <alignment horizontal="center" vertical="center"/>
    </xf>
    <xf numFmtId="181" fontId="28" fillId="0" borderId="39" xfId="0" applyNumberFormat="1" applyFont="1" applyFill="1" applyBorder="1" applyAlignment="1" applyProtection="1">
      <alignment horizontal="center" vertical="center"/>
    </xf>
    <xf numFmtId="182" fontId="28" fillId="0" borderId="39" xfId="0" applyNumberFormat="1" applyFont="1" applyFill="1" applyBorder="1" applyAlignment="1" applyProtection="1">
      <alignment horizontal="center" vertical="center"/>
    </xf>
    <xf numFmtId="0" fontId="28" fillId="0" borderId="39" xfId="0" applyNumberFormat="1" applyFont="1" applyFill="1" applyBorder="1" applyAlignment="1" applyProtection="1">
      <alignment horizontal="center" vertical="center"/>
    </xf>
    <xf numFmtId="0" fontId="28" fillId="2" borderId="39" xfId="0" applyNumberFormat="1" applyFont="1" applyFill="1" applyBorder="1" applyAlignment="1" applyProtection="1">
      <alignment horizontal="center" vertical="center"/>
    </xf>
    <xf numFmtId="0" fontId="28" fillId="0" borderId="39" xfId="0" applyFont="1" applyFill="1" applyBorder="1" applyAlignment="1" applyProtection="1">
      <alignment horizontal="center" vertical="center" wrapText="1" shrinkToFit="1"/>
    </xf>
    <xf numFmtId="176" fontId="30" fillId="0" borderId="39" xfId="0" applyNumberFormat="1" applyFont="1" applyFill="1" applyBorder="1" applyAlignment="1" applyProtection="1">
      <alignment horizontal="center" vertical="center" wrapText="1" shrinkToFit="1"/>
    </xf>
    <xf numFmtId="176" fontId="28" fillId="20" borderId="39" xfId="0" applyNumberFormat="1" applyFont="1" applyFill="1" applyBorder="1" applyAlignment="1" applyProtection="1">
      <alignment horizontal="center" vertical="center" wrapText="1" shrinkToFit="1"/>
    </xf>
    <xf numFmtId="183" fontId="28" fillId="0" borderId="39" xfId="0" applyNumberFormat="1" applyFont="1" applyFill="1" applyBorder="1" applyAlignment="1" applyProtection="1">
      <alignment horizontal="center" vertical="center" wrapText="1"/>
    </xf>
    <xf numFmtId="0" fontId="28" fillId="0" borderId="39" xfId="0" applyFont="1" applyFill="1" applyBorder="1" applyAlignment="1" applyProtection="1">
      <alignment horizontal="center" vertical="center" wrapText="1"/>
    </xf>
    <xf numFmtId="176" fontId="30" fillId="2" borderId="39" xfId="0" applyNumberFormat="1" applyFont="1" applyFill="1" applyBorder="1" applyAlignment="1" applyProtection="1">
      <alignment horizontal="center" vertical="center"/>
      <protection locked="0"/>
    </xf>
    <xf numFmtId="0" fontId="7" fillId="3" borderId="15" xfId="0" applyFont="1" applyFill="1" applyBorder="1" applyAlignment="1" applyProtection="1">
      <alignment horizontal="center" vertical="center"/>
      <protection locked="0"/>
    </xf>
    <xf numFmtId="0" fontId="7" fillId="3" borderId="15" xfId="0" applyFont="1" applyFill="1" applyBorder="1" applyAlignment="1" applyProtection="1">
      <alignment horizontal="center" vertical="center" wrapText="1"/>
    </xf>
    <xf numFmtId="0" fontId="0" fillId="0" borderId="15" xfId="0" applyFont="1" applyFill="1" applyBorder="1" applyProtection="1">
      <alignment vertical="center"/>
      <protection locked="0"/>
    </xf>
    <xf numFmtId="179" fontId="88" fillId="0" borderId="40" xfId="0" applyNumberFormat="1" applyFont="1" applyFill="1" applyBorder="1" applyAlignment="1" applyProtection="1">
      <alignment horizontal="center" vertical="center"/>
    </xf>
    <xf numFmtId="49" fontId="72" fillId="0" borderId="40" xfId="0" applyNumberFormat="1" applyFont="1" applyFill="1" applyBorder="1" applyAlignment="1" applyProtection="1">
      <alignment horizontal="center" vertical="center" wrapText="1"/>
      <protection locked="0"/>
    </xf>
    <xf numFmtId="0" fontId="72" fillId="0" borderId="40" xfId="0" applyFont="1" applyFill="1" applyBorder="1" applyAlignment="1" applyProtection="1">
      <alignment horizontal="center" vertical="center" wrapText="1" shrinkToFit="1"/>
      <protection locked="0"/>
    </xf>
    <xf numFmtId="0" fontId="113" fillId="12" borderId="40" xfId="0" applyNumberFormat="1" applyFont="1" applyFill="1" applyBorder="1" applyAlignment="1" applyProtection="1">
      <alignment horizontal="center" vertical="center" shrinkToFit="1"/>
      <protection locked="0"/>
    </xf>
    <xf numFmtId="0" fontId="88" fillId="0" borderId="40" xfId="0" applyNumberFormat="1" applyFont="1" applyFill="1" applyBorder="1" applyAlignment="1" applyProtection="1">
      <alignment horizontal="center" vertical="center" wrapText="1" shrinkToFit="1"/>
      <protection locked="0"/>
    </xf>
    <xf numFmtId="0" fontId="88" fillId="0" borderId="40" xfId="0" applyNumberFormat="1" applyFont="1" applyFill="1" applyBorder="1" applyAlignment="1" applyProtection="1">
      <alignment horizontal="center" vertical="center" shrinkToFit="1"/>
      <protection locked="0"/>
    </xf>
    <xf numFmtId="0" fontId="88" fillId="0" borderId="40" xfId="0" applyFont="1" applyFill="1" applyBorder="1" applyAlignment="1" applyProtection="1">
      <alignment horizontal="center" vertical="center" wrapText="1" shrinkToFit="1"/>
      <protection locked="0"/>
    </xf>
    <xf numFmtId="0" fontId="88" fillId="0" borderId="40" xfId="0" applyFont="1" applyFill="1" applyBorder="1" applyAlignment="1" applyProtection="1">
      <alignment horizontal="center" vertical="center"/>
      <protection locked="0"/>
    </xf>
    <xf numFmtId="0" fontId="88" fillId="0" borderId="40" xfId="0" applyFont="1" applyFill="1" applyBorder="1" applyAlignment="1" applyProtection="1">
      <alignment horizontal="center" vertical="center"/>
    </xf>
    <xf numFmtId="183" fontId="88" fillId="0" borderId="40" xfId="0" applyNumberFormat="1" applyFont="1" applyFill="1" applyBorder="1" applyAlignment="1" applyProtection="1">
      <alignment horizontal="center" vertical="center"/>
    </xf>
    <xf numFmtId="180" fontId="72" fillId="0" borderId="40" xfId="0" applyNumberFormat="1" applyFont="1" applyFill="1" applyBorder="1" applyAlignment="1" applyProtection="1">
      <alignment horizontal="center" vertical="center" wrapText="1" shrinkToFit="1"/>
    </xf>
    <xf numFmtId="178" fontId="72" fillId="0" borderId="40" xfId="0" applyNumberFormat="1" applyFont="1" applyFill="1" applyBorder="1" applyAlignment="1" applyProtection="1">
      <alignment horizontal="center" vertical="center" wrapText="1"/>
    </xf>
    <xf numFmtId="178" fontId="114" fillId="0" borderId="40" xfId="0" applyNumberFormat="1" applyFont="1" applyFill="1" applyBorder="1" applyAlignment="1" applyProtection="1">
      <alignment horizontal="center" vertical="center" wrapText="1"/>
    </xf>
    <xf numFmtId="178" fontId="61" fillId="0" borderId="40" xfId="0" applyNumberFormat="1" applyFont="1" applyFill="1" applyBorder="1" applyAlignment="1" applyProtection="1">
      <alignment horizontal="center" vertical="center" wrapText="1"/>
      <protection locked="0"/>
    </xf>
    <xf numFmtId="178" fontId="72" fillId="0" borderId="40" xfId="0" applyNumberFormat="1" applyFont="1" applyFill="1" applyBorder="1" applyAlignment="1" applyProtection="1">
      <alignment horizontal="center" vertical="center" wrapText="1"/>
      <protection locked="0"/>
    </xf>
    <xf numFmtId="0" fontId="72" fillId="0" borderId="40" xfId="0" applyFont="1" applyFill="1" applyBorder="1" applyAlignment="1" applyProtection="1">
      <alignment horizontal="center" vertical="center" wrapText="1"/>
      <protection locked="0"/>
    </xf>
    <xf numFmtId="0" fontId="61" fillId="0" borderId="40" xfId="0" applyFont="1" applyFill="1" applyBorder="1" applyAlignment="1" applyProtection="1">
      <alignment horizontal="center" vertical="center" wrapText="1"/>
    </xf>
    <xf numFmtId="0" fontId="61" fillId="0" borderId="40" xfId="0" applyNumberFormat="1" applyFont="1" applyFill="1" applyBorder="1" applyAlignment="1" applyProtection="1">
      <alignment horizontal="center" vertical="center" wrapText="1"/>
    </xf>
    <xf numFmtId="184" fontId="72" fillId="0" borderId="40" xfId="0" applyNumberFormat="1" applyFont="1" applyFill="1" applyBorder="1" applyAlignment="1" applyProtection="1">
      <alignment horizontal="center" vertical="center"/>
    </xf>
    <xf numFmtId="0" fontId="88" fillId="0" borderId="40" xfId="0" applyNumberFormat="1" applyFont="1" applyFill="1" applyBorder="1" applyAlignment="1" applyProtection="1">
      <alignment horizontal="center" vertical="center"/>
    </xf>
    <xf numFmtId="182" fontId="115" fillId="0" borderId="40" xfId="0" applyNumberFormat="1" applyFont="1" applyFill="1" applyBorder="1" applyAlignment="1" applyProtection="1">
      <alignment horizontal="center" vertical="center"/>
    </xf>
    <xf numFmtId="0" fontId="28" fillId="0" borderId="40" xfId="0" applyFont="1" applyFill="1" applyBorder="1" applyAlignment="1" applyProtection="1">
      <alignment horizontal="center" vertical="center" wrapText="1" shrinkToFit="1"/>
      <protection locked="0"/>
    </xf>
    <xf numFmtId="0" fontId="61" fillId="0" borderId="40" xfId="0" applyFont="1" applyFill="1" applyBorder="1" applyAlignment="1" applyProtection="1">
      <alignment horizontal="center" vertical="center"/>
      <protection locked="0"/>
    </xf>
    <xf numFmtId="0" fontId="72" fillId="0" borderId="40" xfId="0" applyFont="1" applyFill="1" applyBorder="1" applyAlignment="1" applyProtection="1">
      <alignment horizontal="center" vertical="center"/>
    </xf>
    <xf numFmtId="176" fontId="28" fillId="0" borderId="40" xfId="0" applyNumberFormat="1" applyFont="1" applyFill="1" applyBorder="1" applyAlignment="1" applyProtection="1">
      <alignment horizontal="center" vertical="center" wrapText="1" shrinkToFit="1"/>
    </xf>
    <xf numFmtId="0" fontId="7" fillId="0" borderId="40" xfId="0" applyFont="1" applyFill="1" applyBorder="1" applyProtection="1">
      <alignment vertical="center"/>
      <protection locked="0"/>
    </xf>
    <xf numFmtId="183" fontId="88" fillId="0" borderId="40" xfId="0" applyNumberFormat="1" applyFont="1" applyFill="1" applyBorder="1" applyAlignment="1" applyProtection="1">
      <alignment horizontal="center" vertical="center" wrapText="1"/>
    </xf>
    <xf numFmtId="183" fontId="28" fillId="0" borderId="40" xfId="0" applyNumberFormat="1" applyFont="1" applyFill="1" applyBorder="1" applyAlignment="1" applyProtection="1">
      <alignment horizontal="center" vertical="center" wrapText="1"/>
    </xf>
    <xf numFmtId="176" fontId="30" fillId="0" borderId="40" xfId="0" applyNumberFormat="1" applyFont="1" applyFill="1" applyBorder="1" applyAlignment="1" applyProtection="1">
      <alignment horizontal="center" vertical="center" wrapText="1" shrinkToFit="1"/>
    </xf>
    <xf numFmtId="176" fontId="89" fillId="0" borderId="40" xfId="0" applyNumberFormat="1" applyFont="1" applyFill="1" applyBorder="1" applyAlignment="1" applyProtection="1">
      <alignment horizontal="center" vertical="center" wrapText="1" shrinkToFit="1"/>
    </xf>
    <xf numFmtId="0" fontId="72" fillId="0" borderId="40" xfId="0" applyFont="1" applyFill="1" applyBorder="1" applyAlignment="1" applyProtection="1">
      <alignment horizontal="center" vertical="center"/>
      <protection locked="0"/>
    </xf>
    <xf numFmtId="0" fontId="7" fillId="0" borderId="40" xfId="0" applyFont="1" applyFill="1" applyBorder="1" applyAlignment="1" applyProtection="1">
      <alignment horizontal="center" vertical="center"/>
      <protection locked="0"/>
    </xf>
    <xf numFmtId="0" fontId="28" fillId="0" borderId="40" xfId="0" applyFont="1" applyFill="1" applyBorder="1" applyAlignment="1" applyProtection="1">
      <alignment horizontal="center" vertical="center" wrapText="1"/>
    </xf>
    <xf numFmtId="0" fontId="7" fillId="0" borderId="40" xfId="0" applyFont="1" applyFill="1" applyBorder="1" applyAlignment="1" applyProtection="1">
      <alignment horizontal="center" vertical="center" wrapText="1"/>
    </xf>
    <xf numFmtId="0" fontId="72" fillId="0" borderId="40" xfId="0" applyFont="1" applyFill="1" applyBorder="1" applyProtection="1">
      <alignment vertical="center"/>
      <protection locked="0"/>
    </xf>
    <xf numFmtId="0" fontId="72" fillId="0" borderId="41" xfId="0" applyFont="1" applyFill="1" applyBorder="1" applyProtection="1">
      <alignment vertical="center"/>
      <protection locked="0"/>
    </xf>
    <xf numFmtId="0" fontId="72" fillId="0" borderId="41" xfId="0" applyFont="1" applyFill="1" applyBorder="1" applyAlignment="1" applyProtection="1">
      <alignment horizontal="center" vertical="center"/>
      <protection locked="0"/>
    </xf>
    <xf numFmtId="0" fontId="88" fillId="0" borderId="41" xfId="0" applyFont="1" applyFill="1" applyBorder="1" applyAlignment="1" applyProtection="1">
      <alignment horizontal="center" vertical="center" wrapText="1"/>
      <protection locked="0"/>
    </xf>
    <xf numFmtId="0" fontId="7" fillId="0" borderId="39" xfId="0" applyFont="1" applyFill="1" applyBorder="1" applyProtection="1">
      <alignment vertical="center"/>
      <protection locked="0"/>
    </xf>
    <xf numFmtId="0" fontId="7" fillId="0" borderId="39" xfId="0" applyFont="1" applyFill="1" applyBorder="1" applyAlignment="1" applyProtection="1">
      <alignment horizontal="center" vertical="center"/>
      <protection locked="0"/>
    </xf>
    <xf numFmtId="180" fontId="61" fillId="3" borderId="15" xfId="0" applyNumberFormat="1" applyFont="1" applyFill="1" applyBorder="1" applyAlignment="1" applyProtection="1">
      <alignment horizontal="center" vertical="center" wrapText="1" shrinkToFit="1"/>
    </xf>
    <xf numFmtId="176" fontId="28" fillId="2" borderId="41" xfId="0" applyNumberFormat="1" applyFont="1" applyFill="1" applyBorder="1" applyAlignment="1" applyProtection="1">
      <alignment horizontal="center" vertical="center" wrapText="1" shrinkToFit="1"/>
    </xf>
    <xf numFmtId="0" fontId="7" fillId="2" borderId="41" xfId="0" applyFont="1" applyFill="1" applyBorder="1" applyProtection="1">
      <alignment vertical="center"/>
      <protection locked="0"/>
    </xf>
    <xf numFmtId="183" fontId="28" fillId="2" borderId="41" xfId="0" applyNumberFormat="1" applyFont="1" applyFill="1" applyBorder="1" applyAlignment="1" applyProtection="1">
      <alignment horizontal="center" vertical="center" wrapText="1"/>
    </xf>
    <xf numFmtId="176" fontId="30" fillId="2" borderId="41" xfId="0" applyNumberFormat="1" applyFont="1" applyFill="1" applyBorder="1" applyAlignment="1" applyProtection="1">
      <alignment horizontal="center" vertical="center" wrapText="1" shrinkToFit="1"/>
    </xf>
    <xf numFmtId="0" fontId="7" fillId="2" borderId="41" xfId="0" applyFont="1" applyFill="1" applyBorder="1" applyAlignment="1" applyProtection="1">
      <alignment horizontal="center" vertical="center"/>
      <protection locked="0"/>
    </xf>
    <xf numFmtId="0" fontId="28" fillId="2" borderId="41" xfId="0" applyFont="1" applyFill="1" applyBorder="1" applyAlignment="1" applyProtection="1">
      <alignment horizontal="center" vertical="center" wrapText="1"/>
    </xf>
    <xf numFmtId="0" fontId="7" fillId="2" borderId="41" xfId="0" applyFont="1" applyFill="1" applyBorder="1" applyAlignment="1" applyProtection="1">
      <alignment horizontal="center" vertical="center" wrapText="1"/>
    </xf>
    <xf numFmtId="0" fontId="61" fillId="0" borderId="0" xfId="0" applyFont="1" applyFill="1" applyBorder="1" applyAlignment="1" applyProtection="1">
      <alignment horizontal="center" vertical="center" wrapText="1"/>
    </xf>
    <xf numFmtId="0" fontId="61" fillId="0" borderId="0" xfId="0" applyNumberFormat="1" applyFont="1" applyFill="1" applyBorder="1" applyAlignment="1" applyProtection="1">
      <alignment horizontal="center" vertical="center" wrapText="1"/>
    </xf>
    <xf numFmtId="184" fontId="72" fillId="0" borderId="0" xfId="0" applyNumberFormat="1" applyFont="1" applyFill="1" applyBorder="1" applyAlignment="1" applyProtection="1">
      <alignment horizontal="center" vertical="center"/>
    </xf>
    <xf numFmtId="0" fontId="88" fillId="0" borderId="0" xfId="0" applyNumberFormat="1" applyFont="1" applyFill="1" applyBorder="1" applyAlignment="1" applyProtection="1">
      <alignment horizontal="center" vertical="center"/>
    </xf>
    <xf numFmtId="0" fontId="88" fillId="0" borderId="0" xfId="0" applyNumberFormat="1" applyFont="1" applyFill="1" applyBorder="1" applyAlignment="1" applyProtection="1">
      <alignment horizontal="center" vertical="center"/>
      <protection locked="0"/>
    </xf>
    <xf numFmtId="182" fontId="88" fillId="0" borderId="0" xfId="0" applyNumberFormat="1" applyFont="1" applyFill="1" applyBorder="1" applyAlignment="1" applyProtection="1">
      <alignment horizontal="center" vertical="center"/>
    </xf>
    <xf numFmtId="0" fontId="28" fillId="0" borderId="0" xfId="0" applyFont="1" applyFill="1" applyBorder="1" applyAlignment="1" applyProtection="1">
      <alignment horizontal="center" vertical="center" wrapText="1" shrinkToFit="1"/>
      <protection locked="0"/>
    </xf>
    <xf numFmtId="0" fontId="72" fillId="0" borderId="0" xfId="0" applyFont="1" applyFill="1" applyBorder="1" applyAlignment="1" applyProtection="1">
      <alignment horizontal="center" vertical="center"/>
    </xf>
    <xf numFmtId="176" fontId="28" fillId="0" borderId="0" xfId="0" applyNumberFormat="1" applyFont="1" applyFill="1" applyBorder="1" applyAlignment="1" applyProtection="1">
      <alignment horizontal="center" vertical="center" wrapText="1" shrinkToFit="1"/>
    </xf>
    <xf numFmtId="183" fontId="88" fillId="0" borderId="0" xfId="0" applyNumberFormat="1" applyFont="1" applyFill="1" applyBorder="1" applyAlignment="1" applyProtection="1">
      <alignment horizontal="center" vertical="center" wrapText="1"/>
    </xf>
    <xf numFmtId="183" fontId="28" fillId="0" borderId="0" xfId="0" applyNumberFormat="1" applyFont="1" applyFill="1" applyBorder="1" applyAlignment="1" applyProtection="1">
      <alignment horizontal="center" vertical="center" wrapText="1"/>
    </xf>
    <xf numFmtId="176" fontId="30" fillId="0" borderId="0" xfId="0" applyNumberFormat="1" applyFont="1" applyFill="1" applyBorder="1" applyAlignment="1" applyProtection="1">
      <alignment horizontal="center" vertical="center" wrapText="1" shrinkToFit="1"/>
    </xf>
    <xf numFmtId="176" fontId="89" fillId="0" borderId="0" xfId="0" applyNumberFormat="1" applyFont="1" applyFill="1" applyBorder="1" applyAlignment="1" applyProtection="1">
      <alignment horizontal="center" vertical="center" wrapText="1" shrinkToFit="1"/>
    </xf>
    <xf numFmtId="0" fontId="28" fillId="0" borderId="0" xfId="0" applyFont="1" applyFill="1" applyBorder="1" applyAlignment="1" applyProtection="1">
      <alignment horizontal="center" vertical="center" wrapText="1"/>
    </xf>
    <xf numFmtId="0" fontId="7" fillId="0" borderId="0" xfId="0" applyFont="1" applyFill="1" applyBorder="1" applyAlignment="1" applyProtection="1">
      <alignment horizontal="center" vertical="center" wrapText="1"/>
    </xf>
    <xf numFmtId="178" fontId="83" fillId="0" borderId="0" xfId="0" applyNumberFormat="1" applyFont="1" applyFill="1" applyBorder="1" applyAlignment="1" applyProtection="1">
      <alignment horizontal="center" vertical="center" wrapText="1"/>
      <protection locked="0"/>
    </xf>
    <xf numFmtId="0" fontId="34" fillId="0" borderId="0" xfId="0" applyFont="1" applyFill="1" applyBorder="1" applyAlignment="1" applyProtection="1">
      <alignment horizontal="justify" vertical="center" wrapText="1"/>
      <protection locked="0"/>
    </xf>
    <xf numFmtId="0" fontId="84" fillId="0" borderId="0" xfId="0" applyNumberFormat="1" applyFont="1" applyFill="1" applyBorder="1" applyAlignment="1" applyProtection="1">
      <alignment horizontal="center" vertical="center" wrapText="1"/>
      <protection locked="0"/>
    </xf>
    <xf numFmtId="182" fontId="25" fillId="0" borderId="0" xfId="0" applyNumberFormat="1" applyFont="1" applyFill="1" applyBorder="1" applyAlignment="1" applyProtection="1">
      <alignment horizontal="center" vertical="center"/>
      <protection locked="0"/>
    </xf>
    <xf numFmtId="0" fontId="25" fillId="0" borderId="0" xfId="0" applyNumberFormat="1" applyFont="1" applyFill="1" applyBorder="1" applyAlignment="1" applyProtection="1">
      <alignment horizontal="center" vertical="center"/>
      <protection locked="0"/>
    </xf>
    <xf numFmtId="0" fontId="34" fillId="0" borderId="0" xfId="0" applyFont="1" applyFill="1" applyBorder="1" applyAlignment="1" applyProtection="1">
      <alignment horizontal="justify" vertical="center"/>
      <protection locked="0"/>
    </xf>
    <xf numFmtId="0" fontId="25" fillId="5" borderId="0" xfId="0" applyNumberFormat="1" applyFont="1" applyFill="1" applyBorder="1" applyAlignment="1" applyProtection="1">
      <alignment horizontal="center" vertical="center"/>
      <protection locked="0"/>
    </xf>
    <xf numFmtId="0" fontId="25" fillId="0" borderId="0" xfId="0" applyNumberFormat="1" applyFont="1" applyFill="1" applyBorder="1" applyAlignment="1" applyProtection="1">
      <alignment horizontal="center" vertical="center"/>
    </xf>
    <xf numFmtId="0" fontId="27" fillId="0" borderId="0" xfId="0" applyFont="1" applyFill="1" applyBorder="1" applyAlignment="1" applyProtection="1">
      <alignment horizontal="center" vertical="center" wrapText="1" shrinkToFit="1"/>
      <protection locked="0"/>
    </xf>
    <xf numFmtId="176" fontId="27" fillId="0" borderId="0" xfId="0" applyNumberFormat="1" applyFont="1" applyFill="1" applyBorder="1" applyAlignment="1" applyProtection="1">
      <alignment horizontal="center" vertical="center" wrapText="1" shrinkToFit="1"/>
      <protection locked="0"/>
    </xf>
    <xf numFmtId="176" fontId="27" fillId="5" borderId="0" xfId="0" applyNumberFormat="1" applyFont="1" applyFill="1" applyBorder="1" applyAlignment="1" applyProtection="1">
      <alignment horizontal="center" vertical="center" wrapText="1" shrinkToFit="1"/>
      <protection locked="0"/>
    </xf>
    <xf numFmtId="176" fontId="34" fillId="0" borderId="0" xfId="0" applyNumberFormat="1" applyFont="1" applyFill="1" applyBorder="1" applyAlignment="1" applyProtection="1">
      <alignment horizontal="center" vertical="center" wrapText="1" shrinkToFit="1"/>
      <protection locked="0"/>
    </xf>
    <xf numFmtId="178" fontId="7" fillId="0" borderId="0" xfId="0" applyNumberFormat="1" applyFont="1" applyFill="1" applyBorder="1" applyAlignment="1" applyProtection="1">
      <alignment horizontal="justify" vertical="center" wrapText="1"/>
      <protection locked="0"/>
    </xf>
    <xf numFmtId="0" fontId="28" fillId="0" borderId="0" xfId="0" applyFont="1" applyFill="1" applyBorder="1" applyAlignment="1" applyProtection="1">
      <alignment horizontal="justify" vertical="center" wrapText="1"/>
      <protection locked="0"/>
    </xf>
    <xf numFmtId="0" fontId="28" fillId="5" borderId="0" xfId="0" applyFont="1" applyFill="1" applyBorder="1" applyAlignment="1" applyProtection="1">
      <alignment horizontal="center" vertical="center" wrapText="1"/>
    </xf>
    <xf numFmtId="183" fontId="28" fillId="0" borderId="0" xfId="0" applyNumberFormat="1" applyFont="1" applyFill="1" applyBorder="1" applyAlignment="1" applyProtection="1">
      <alignment horizontal="center" vertical="center"/>
      <protection locked="0"/>
    </xf>
    <xf numFmtId="191" fontId="28" fillId="0" borderId="0" xfId="0" applyNumberFormat="1" applyFont="1" applyFill="1" applyBorder="1" applyAlignment="1" applyProtection="1">
      <alignment horizontal="center" vertical="center" wrapText="1"/>
      <protection locked="0"/>
    </xf>
    <xf numFmtId="183" fontId="27" fillId="0" borderId="0" xfId="0" applyNumberFormat="1" applyFont="1" applyFill="1" applyBorder="1" applyAlignment="1" applyProtection="1">
      <alignment horizontal="center" vertical="center" wrapText="1"/>
      <protection locked="0"/>
    </xf>
    <xf numFmtId="0" fontId="120" fillId="0" borderId="0" xfId="0" applyFont="1" applyFill="1" applyBorder="1" applyAlignment="1" applyProtection="1">
      <alignment horizontal="center" vertical="center"/>
      <protection locked="0"/>
    </xf>
    <xf numFmtId="0" fontId="16" fillId="0" borderId="0" xfId="0" applyFont="1" applyFill="1" applyBorder="1" applyAlignment="1" applyProtection="1">
      <alignment horizontal="center" vertical="center"/>
      <protection locked="0"/>
    </xf>
    <xf numFmtId="178" fontId="7" fillId="0" borderId="0" xfId="0" applyNumberFormat="1" applyFont="1" applyFill="1" applyBorder="1" applyAlignment="1" applyProtection="1">
      <alignment horizontal="center" vertical="center" wrapText="1"/>
      <protection locked="0"/>
    </xf>
    <xf numFmtId="0" fontId="74" fillId="5" borderId="0" xfId="0" applyFont="1" applyFill="1" applyBorder="1" applyAlignment="1" applyProtection="1">
      <alignment horizontal="center" vertical="center"/>
      <protection locked="0"/>
    </xf>
    <xf numFmtId="176" fontId="74" fillId="0" borderId="0" xfId="0" applyNumberFormat="1" applyFont="1" applyFill="1" applyBorder="1" applyAlignment="1" applyProtection="1">
      <alignment horizontal="center" vertical="center"/>
      <protection locked="0"/>
    </xf>
    <xf numFmtId="0" fontId="28" fillId="0" borderId="0" xfId="0" applyNumberFormat="1" applyFont="1" applyFill="1" applyBorder="1" applyAlignment="1" applyProtection="1">
      <alignment horizontal="center" vertical="center"/>
      <protection locked="0"/>
    </xf>
    <xf numFmtId="0" fontId="28" fillId="0" borderId="0" xfId="0" applyFont="1" applyFill="1" applyBorder="1" applyAlignment="1" applyProtection="1">
      <alignment vertical="center" wrapText="1"/>
      <protection locked="0"/>
    </xf>
    <xf numFmtId="0" fontId="16" fillId="0" borderId="0" xfId="0" applyFont="1" applyFill="1" applyBorder="1" applyAlignment="1" applyProtection="1">
      <alignment horizontal="center" vertical="center" wrapText="1"/>
      <protection locked="0"/>
    </xf>
    <xf numFmtId="180" fontId="7" fillId="0" borderId="0" xfId="0" applyNumberFormat="1" applyFont="1" applyFill="1" applyBorder="1" applyAlignment="1" applyProtection="1">
      <alignment horizontal="center" vertical="center" wrapText="1" shrinkToFit="1"/>
      <protection locked="0"/>
    </xf>
    <xf numFmtId="0" fontId="7" fillId="0" borderId="0" xfId="0" applyNumberFormat="1" applyFont="1" applyFill="1" applyBorder="1" applyAlignment="1" applyProtection="1">
      <alignment horizontal="center" vertical="center" wrapText="1"/>
    </xf>
    <xf numFmtId="176" fontId="28" fillId="5" borderId="0" xfId="0" applyNumberFormat="1" applyFont="1" applyFill="1" applyBorder="1" applyAlignment="1" applyProtection="1">
      <alignment horizontal="center" vertical="center"/>
      <protection locked="0"/>
    </xf>
    <xf numFmtId="178" fontId="4" fillId="0" borderId="0" xfId="0" applyNumberFormat="1" applyFont="1" applyFill="1" applyBorder="1" applyAlignment="1" applyProtection="1">
      <alignment horizontal="center" vertical="center" wrapText="1"/>
      <protection locked="0"/>
    </xf>
    <xf numFmtId="0" fontId="7" fillId="0" borderId="0" xfId="0" applyFont="1" applyFill="1" applyBorder="1" applyAlignment="1" applyProtection="1">
      <alignment horizontal="center" vertical="center" wrapText="1"/>
      <protection locked="0"/>
    </xf>
    <xf numFmtId="177" fontId="28" fillId="0" borderId="0" xfId="0" applyNumberFormat="1" applyFont="1" applyFill="1" applyBorder="1" applyAlignment="1" applyProtection="1">
      <alignment horizontal="center" vertical="center" wrapText="1"/>
      <protection locked="0"/>
    </xf>
    <xf numFmtId="0" fontId="82" fillId="0" borderId="15" xfId="0" applyNumberFormat="1" applyFont="1" applyFill="1" applyBorder="1" applyAlignment="1" applyProtection="1" quotePrefix="1">
      <alignment horizontal="center" vertical="center" shrinkToFit="1"/>
      <protection locked="0"/>
    </xf>
    <xf numFmtId="0" fontId="48" fillId="0" borderId="8" xfId="0" applyFont="1" applyBorder="1" applyAlignment="1" quotePrefix="1">
      <alignment horizontal="justify" vertical="center"/>
    </xf>
    <xf numFmtId="0" fontId="52" fillId="0" borderId="8" xfId="0" applyFont="1" applyFill="1" applyBorder="1" applyAlignment="1" quotePrefix="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9" xfId="49"/>
    <cellStyle name="常规 5 6" xfId="50"/>
    <cellStyle name="常规 2" xfId="51"/>
    <cellStyle name="常规_MA Inventory list" xfId="52"/>
  </cellStyles>
  <dxfs count="4">
    <dxf>
      <font>
        <color rgb="FF9C0006"/>
      </font>
      <fill>
        <patternFill patternType="solid">
          <bgColor rgb="FFFFC7CE"/>
        </patternFill>
      </fill>
    </dxf>
    <dxf>
      <fill>
        <patternFill patternType="solid">
          <bgColor rgb="FFFFC7CE"/>
        </patternFill>
      </fill>
    </dxf>
    <dxf>
      <font>
        <color rgb="FFD73434"/>
      </font>
      <fill>
        <patternFill patternType="solid">
          <bgColor rgb="FFFEC8CE"/>
        </patternFill>
      </fill>
    </dxf>
    <dxf>
      <font>
        <color rgb="FFD73434"/>
      </font>
    </dxf>
  </dxfs>
  <tableStyles count="0" defaultTableStyle="TableStyleMedium2" defaultPivotStyle="PivotStyleLight16"/>
  <colors>
    <mruColors>
      <color rgb="00F7241F"/>
      <color rgb="000000FF"/>
      <color rgb="000FB7FD"/>
      <color rgb="002727F0"/>
      <color rgb="00FFFFFF"/>
      <color rgb="00000000"/>
      <color rgb="000E2EF0"/>
      <color rgb="00FFFF00"/>
      <color rgb="0000B0F0"/>
      <color rgb="00FF000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4033" dbFileVersion="0" changeLogVersion="0">
    <open main="371" threadCnt="1"/>
    <sheetInfos>
      <sheetInfo cellCmpFml="3696" sheetStid="1">
        <open main="259" threadCnt="1"/>
      </sheetInfo>
      <sheetInfo cellCmpFml="13" sheetStid="4">
        <open threadCnt="1"/>
      </sheetInfo>
      <sheetInfo cellCmpFml="118" sheetStid="5">
        <open main="8" threadCnt="1"/>
      </sheetInfo>
      <sheetInfo cellCmpFml="45" sheetStid="3">
        <open main="3" threadCnt="1"/>
      </sheetInfo>
      <sheetInfo cellCmpFml="159" sheetStid="7">
        <open main="11" threadCnt="1"/>
      </sheetInfo>
      <sheetInfo cellCmpFml="2" sheetStid="6">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www.wps.cn/officeDocument/2023/relationships/woinfos" Target="woinfos.xml"/><Relationship Id="rId14" Type="http://schemas.openxmlformats.org/officeDocument/2006/relationships/styles" Target="styles.xml"/><Relationship Id="rId13" Type="http://schemas.openxmlformats.org/officeDocument/2006/relationships/customXml" Target="../customXml/item5.xml"/><Relationship Id="rId12" Type="http://schemas.openxmlformats.org/officeDocument/2006/relationships/customXml" Target="../customXml/item4.xml"/><Relationship Id="rId11" Type="http://schemas.openxmlformats.org/officeDocument/2006/relationships/customXml" Target="../customXml/item3.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1327"/>
  <sheetViews>
    <sheetView tabSelected="1" zoomScale="70" zoomScaleNormal="70" workbookViewId="0">
      <pane xSplit="14" ySplit="3" topLeftCell="AE728" activePane="bottomRight" state="frozen"/>
      <selection/>
      <selection pane="topRight"/>
      <selection pane="bottomLeft"/>
      <selection pane="bottomRight" activeCell="D728" sqref="D728"/>
    </sheetView>
  </sheetViews>
  <sheetFormatPr defaultColWidth="9" defaultRowHeight="18.75"/>
  <cols>
    <col min="1" max="1" width="21.6666666666667" style="565" customWidth="1"/>
    <col min="2" max="2" width="12.5" style="566" customWidth="1"/>
    <col min="3" max="3" width="11.1333333333333" style="566" customWidth="1"/>
    <col min="4" max="4" width="19.0916666666667" style="567" customWidth="1"/>
    <col min="5" max="5" width="16.4583333333333" style="568" customWidth="1"/>
    <col min="6" max="6" width="16.875" style="566" customWidth="1"/>
    <col min="7" max="7" width="20.3583333333333" style="566" customWidth="1"/>
    <col min="8" max="8" width="18.925" style="568" customWidth="1"/>
    <col min="9" max="9" width="13.75" style="568" customWidth="1"/>
    <col min="10" max="10" width="7.91666666666667" style="568" customWidth="1"/>
    <col min="11" max="12" width="10.625" style="568" customWidth="1"/>
    <col min="13" max="13" width="22" style="568" customWidth="1"/>
    <col min="14" max="14" width="22" style="569" customWidth="1"/>
    <col min="15" max="15" width="18.6333333333333" style="568" customWidth="1"/>
    <col min="16" max="16" width="14.6666666666667" style="566" customWidth="1"/>
    <col min="17" max="17" width="15.5" style="570" customWidth="1"/>
    <col min="18" max="18" width="14.3333333333333" style="566" customWidth="1"/>
    <col min="19" max="19" width="6.83333333333333" style="568" customWidth="1"/>
    <col min="20" max="20" width="11.9333333333333" style="568" customWidth="1"/>
    <col min="21" max="21" width="14.3333333333333" style="566" customWidth="1"/>
    <col min="22" max="22" width="14" style="566" customWidth="1"/>
    <col min="23" max="23" width="14.55" style="568" customWidth="1"/>
    <col min="24" max="24" width="28.8666666666667" style="571" customWidth="1"/>
    <col min="25" max="27" width="20.7166666666667" style="572" customWidth="1"/>
    <col min="28" max="28" width="12.2916666666667" style="573" customWidth="1"/>
    <col min="29" max="29" width="10.8333333333333" style="572" customWidth="1"/>
    <col min="30" max="30" width="10.225" style="572" customWidth="1"/>
    <col min="31" max="31" width="22.175" style="568" customWidth="1"/>
    <col min="32" max="32" width="17.2666666666667" style="572" customWidth="1"/>
    <col min="33" max="33" width="12.5" style="572" customWidth="1"/>
    <col min="34" max="34" width="20.7166666666667" style="572" customWidth="1"/>
    <col min="35" max="37" width="12.5" style="574" hidden="1" customWidth="1"/>
    <col min="38" max="38" width="12.5" style="566" hidden="1" customWidth="1"/>
    <col min="39" max="39" width="12.5" style="566" customWidth="1"/>
    <col min="40" max="40" width="12.5" style="575" hidden="1" customWidth="1"/>
    <col min="41" max="41" width="12.5" style="566" hidden="1" customWidth="1"/>
    <col min="42" max="42" width="12.5" style="566" customWidth="1"/>
    <col min="43" max="43" width="12.5" style="576" customWidth="1"/>
    <col min="44" max="44" width="12.5" style="577" hidden="1" customWidth="1"/>
    <col min="45" max="45" width="12.5" style="578" hidden="1" customWidth="1"/>
    <col min="46" max="46" width="12.5" style="579" hidden="1" customWidth="1"/>
    <col min="47" max="47" width="12.5" style="579" customWidth="1"/>
    <col min="48" max="48" width="12.5" style="580" customWidth="1"/>
    <col min="49" max="49" width="12.5" style="581" hidden="1" customWidth="1"/>
    <col min="50" max="50" width="12.5" style="580" hidden="1" customWidth="1"/>
    <col min="51" max="51" width="12.5" style="580" customWidth="1"/>
    <col min="52" max="52" width="12.5" style="582" hidden="1" customWidth="1"/>
    <col min="53" max="53" width="12.5" style="580" hidden="1" customWidth="1"/>
    <col min="54" max="54" width="12.5" style="580" customWidth="1"/>
    <col min="55" max="56" width="14.175" style="582" hidden="1" customWidth="1"/>
    <col min="57" max="57" width="14.175" style="580" customWidth="1"/>
    <col min="58" max="58" width="12.5" style="582" hidden="1" customWidth="1"/>
    <col min="59" max="59" width="12.5" style="580" hidden="1" customWidth="1"/>
    <col min="60" max="60" width="12.5" style="580" customWidth="1"/>
    <col min="61" max="62" width="12.5" style="582" hidden="1" customWidth="1"/>
    <col min="63" max="63" width="12.5" style="580" hidden="1" customWidth="1"/>
    <col min="64" max="67" width="12.5" style="580" customWidth="1"/>
    <col min="68" max="68" width="12.5" style="582" hidden="1" customWidth="1"/>
    <col min="69" max="69" width="12.5" style="580" customWidth="1"/>
    <col min="70" max="70" width="12.5" style="582" hidden="1" customWidth="1"/>
    <col min="71" max="74" width="12.5" style="580" customWidth="1"/>
    <col min="75" max="75" width="14.5416666666667" style="580" customWidth="1"/>
    <col min="76" max="78" width="12.5" style="566" customWidth="1"/>
    <col min="79" max="79" width="12.5" style="583" customWidth="1"/>
    <col min="80" max="80" width="12.5" style="579" customWidth="1"/>
    <col min="81" max="81" width="14.5416666666667" style="568" customWidth="1"/>
    <col min="82" max="83" width="12.5" style="568" customWidth="1"/>
    <col min="84" max="84" width="9" style="584"/>
    <col min="85" max="16367" width="9" style="557"/>
    <col min="16368" max="16384" width="9" style="585"/>
  </cols>
  <sheetData>
    <row r="1" s="556" customFormat="1" ht="33" customHeight="1" spans="1:84 16295:16384">
      <c r="A1" s="586" t="s">
        <v>0</v>
      </c>
      <c r="B1" s="586"/>
      <c r="C1" s="586"/>
      <c r="D1" s="586"/>
      <c r="E1" s="586"/>
      <c r="F1" s="586"/>
      <c r="G1" s="586"/>
      <c r="H1" s="586"/>
      <c r="I1" s="586"/>
      <c r="J1" s="587"/>
      <c r="K1" s="588"/>
      <c r="L1" s="587"/>
      <c r="M1" s="587"/>
      <c r="N1" s="556"/>
      <c r="O1" s="587"/>
      <c r="P1" s="589"/>
      <c r="Q1" s="590"/>
      <c r="R1" s="589"/>
      <c r="S1" s="587"/>
      <c r="T1" s="587"/>
      <c r="U1" s="589"/>
      <c r="V1" s="589"/>
      <c r="W1" s="587"/>
      <c r="X1" s="591"/>
      <c r="Y1" s="592"/>
      <c r="Z1" s="592"/>
      <c r="AA1" s="592"/>
      <c r="AB1" s="593"/>
      <c r="AC1" s="592"/>
      <c r="AD1" s="592"/>
      <c r="AE1" s="586"/>
      <c r="AF1" s="592"/>
      <c r="AG1" s="592"/>
      <c r="AH1" s="592"/>
      <c r="AI1" s="589"/>
      <c r="AJ1" s="589"/>
      <c r="AK1" s="589"/>
      <c r="AL1" s="589"/>
      <c r="AM1" s="589"/>
      <c r="AN1" s="594"/>
      <c r="AO1" s="589"/>
      <c r="AP1" s="589"/>
      <c r="AQ1" s="587"/>
      <c r="AR1" s="595"/>
      <c r="AS1" s="595"/>
      <c r="AT1" s="595"/>
      <c r="AU1" s="595"/>
      <c r="AV1" s="595"/>
      <c r="AW1" s="596"/>
      <c r="AX1" s="596"/>
      <c r="AY1" s="596"/>
      <c r="AZ1" s="597"/>
      <c r="BA1" s="596"/>
      <c r="BB1" s="596"/>
      <c r="BC1" s="597"/>
      <c r="BD1" s="597"/>
      <c r="BE1" s="596"/>
      <c r="BF1" s="597"/>
      <c r="BG1" s="596"/>
      <c r="BH1" s="596"/>
      <c r="BI1" s="597"/>
      <c r="BJ1" s="597"/>
      <c r="BK1" s="596"/>
      <c r="BL1" s="596"/>
      <c r="BM1" s="596"/>
      <c r="BN1" s="596"/>
      <c r="BO1" s="596"/>
      <c r="BP1" s="597"/>
      <c r="BQ1" s="596"/>
      <c r="BR1" s="597"/>
      <c r="BS1" s="596"/>
      <c r="BT1" s="596"/>
      <c r="BU1" s="596"/>
      <c r="BV1" s="596"/>
      <c r="BW1" s="596"/>
      <c r="BX1" s="598"/>
      <c r="BY1" s="598"/>
      <c r="BZ1" s="598"/>
      <c r="CA1" s="599"/>
      <c r="CB1" s="580"/>
      <c r="CC1" s="568"/>
      <c r="CD1" s="568"/>
      <c r="CE1" s="568"/>
      <c r="CF1" s="584"/>
      <c r="XEN1" s="600"/>
      <c r="XEO1" s="600"/>
      <c r="XEP1" s="600"/>
      <c r="XEQ1" s="600"/>
      <c r="XER1" s="600"/>
      <c r="XES1" s="600"/>
      <c r="XET1" s="600"/>
      <c r="XEU1" s="600"/>
      <c r="XEV1" s="600"/>
      <c r="XEW1" s="600"/>
      <c r="XEX1" s="600"/>
      <c r="XEY1" s="600"/>
      <c r="XEZ1" s="600"/>
      <c r="XFA1" s="600"/>
      <c r="XFB1" s="600"/>
      <c r="XFC1" s="600"/>
      <c r="XFD1" s="600"/>
    </row>
    <row r="2" s="556" customFormat="1" ht="38" customHeight="1" spans="1:84 16295:16384">
      <c r="A2" s="601">
        <v>44887</v>
      </c>
      <c r="B2" s="601"/>
      <c r="C2" s="601"/>
      <c r="D2" s="601"/>
      <c r="E2" s="601"/>
      <c r="F2" s="602"/>
      <c r="G2" s="603"/>
      <c r="H2" s="603" t="s">
        <v>1</v>
      </c>
      <c r="I2" s="603"/>
      <c r="J2" s="587"/>
      <c r="K2" s="587" t="s">
        <v>2</v>
      </c>
      <c r="L2" s="587"/>
      <c r="M2" s="587"/>
      <c r="N2" s="604"/>
      <c r="O2" s="587" t="s">
        <v>3</v>
      </c>
      <c r="P2" s="587"/>
      <c r="Q2" s="590"/>
      <c r="R2" s="589"/>
      <c r="S2" s="587"/>
      <c r="T2" s="587"/>
      <c r="U2" s="589"/>
      <c r="V2" s="589"/>
      <c r="W2" s="587"/>
      <c r="X2" s="591"/>
      <c r="Y2" s="592"/>
      <c r="Z2" s="592"/>
      <c r="AA2" s="592"/>
      <c r="AB2" s="593"/>
      <c r="AC2" s="592"/>
      <c r="AD2" s="592"/>
      <c r="AE2" s="605"/>
      <c r="AF2" s="592"/>
      <c r="AG2" s="592"/>
      <c r="AH2" s="592"/>
      <c r="AI2" s="603" t="s">
        <v>4</v>
      </c>
      <c r="AJ2" s="603"/>
      <c r="AK2" s="603"/>
      <c r="AL2" s="606" t="s">
        <v>5</v>
      </c>
      <c r="AM2" s="607"/>
      <c r="AN2" s="603"/>
      <c r="AO2" s="603"/>
      <c r="AP2" s="607"/>
      <c r="AQ2" s="603"/>
      <c r="AR2" s="608"/>
      <c r="AS2" s="609"/>
      <c r="AT2" s="610" t="s">
        <v>6</v>
      </c>
      <c r="AU2" s="579"/>
      <c r="AV2" s="596"/>
      <c r="AW2" s="596" t="s">
        <v>7</v>
      </c>
      <c r="AX2" s="611" t="s">
        <v>8</v>
      </c>
      <c r="AY2" s="580"/>
      <c r="AZ2" s="580"/>
      <c r="BA2" s="612" t="s">
        <v>9</v>
      </c>
      <c r="BB2" s="580"/>
      <c r="BC2" s="596"/>
      <c r="BD2" s="596"/>
      <c r="BE2" s="596"/>
      <c r="BF2" s="596"/>
      <c r="BG2" s="596"/>
      <c r="BH2" s="596"/>
      <c r="BI2" s="596"/>
      <c r="BJ2" s="596"/>
      <c r="BK2" s="596"/>
      <c r="BL2" s="596"/>
      <c r="BM2" s="596"/>
      <c r="BN2" s="596"/>
      <c r="BO2" s="596"/>
      <c r="BP2" s="597"/>
      <c r="BQ2" s="596"/>
      <c r="BR2" s="597"/>
      <c r="BS2" s="596"/>
      <c r="BT2" s="596"/>
      <c r="BU2" s="596"/>
      <c r="BV2" s="596"/>
      <c r="BW2" s="596" t="s">
        <v>10</v>
      </c>
      <c r="BX2" s="607">
        <v>5</v>
      </c>
      <c r="BY2" s="607">
        <v>6</v>
      </c>
      <c r="BZ2" s="607">
        <v>6</v>
      </c>
      <c r="CA2" s="613">
        <v>5</v>
      </c>
      <c r="CB2" s="614"/>
      <c r="CC2" s="568"/>
      <c r="CD2" s="568"/>
      <c r="CE2" s="568"/>
      <c r="CF2" s="584"/>
      <c r="XEN2" s="600"/>
      <c r="XEO2" s="600"/>
      <c r="XEP2" s="600"/>
      <c r="XEQ2" s="600"/>
      <c r="XER2" s="600"/>
      <c r="XES2" s="600"/>
      <c r="XET2" s="600"/>
      <c r="XEU2" s="600"/>
      <c r="XEV2" s="600"/>
      <c r="XEW2" s="600"/>
      <c r="XEX2" s="600"/>
      <c r="XEY2" s="600"/>
      <c r="XEZ2" s="600"/>
      <c r="XFA2" s="600"/>
      <c r="XFB2" s="600"/>
      <c r="XFC2" s="600"/>
      <c r="XFD2" s="600"/>
    </row>
    <row r="3" s="557" customFormat="1" ht="52" customHeight="1" spans="1:84 16295:16384">
      <c r="A3" s="615" t="s">
        <v>11</v>
      </c>
      <c r="B3" s="616" t="s">
        <v>12</v>
      </c>
      <c r="C3" s="616" t="s">
        <v>13</v>
      </c>
      <c r="D3" s="617" t="s">
        <v>14</v>
      </c>
      <c r="E3" s="616" t="s">
        <v>15</v>
      </c>
      <c r="F3" s="616" t="s">
        <v>16</v>
      </c>
      <c r="G3" s="616" t="s">
        <v>17</v>
      </c>
      <c r="H3" s="616" t="s">
        <v>18</v>
      </c>
      <c r="I3" s="616" t="s">
        <v>19</v>
      </c>
      <c r="J3" s="616" t="s">
        <v>20</v>
      </c>
      <c r="K3" s="615" t="s">
        <v>21</v>
      </c>
      <c r="L3" s="615" t="s">
        <v>22</v>
      </c>
      <c r="M3" s="615" t="s">
        <v>23</v>
      </c>
      <c r="N3" s="615" t="s">
        <v>24</v>
      </c>
      <c r="O3" s="618" t="s">
        <v>25</v>
      </c>
      <c r="P3" s="615" t="s">
        <v>26</v>
      </c>
      <c r="Q3" s="619" t="s">
        <v>27</v>
      </c>
      <c r="R3" s="615" t="s">
        <v>28</v>
      </c>
      <c r="S3" s="615" t="s">
        <v>29</v>
      </c>
      <c r="T3" s="620" t="s">
        <v>30</v>
      </c>
      <c r="U3" s="618" t="s">
        <v>31</v>
      </c>
      <c r="V3" s="621" t="s">
        <v>32</v>
      </c>
      <c r="W3" s="622" t="s">
        <v>33</v>
      </c>
      <c r="X3" s="623" t="s">
        <v>34</v>
      </c>
      <c r="Y3" s="615" t="s">
        <v>35</v>
      </c>
      <c r="Z3" s="615" t="s">
        <v>36</v>
      </c>
      <c r="AA3" s="624" t="s">
        <v>37</v>
      </c>
      <c r="AB3" s="625" t="s">
        <v>38</v>
      </c>
      <c r="AC3" s="624" t="s">
        <v>39</v>
      </c>
      <c r="AD3" s="624" t="s">
        <v>40</v>
      </c>
      <c r="AE3" s="616" t="s">
        <v>41</v>
      </c>
      <c r="AF3" s="622" t="s">
        <v>42</v>
      </c>
      <c r="AG3" s="622" t="s">
        <v>43</v>
      </c>
      <c r="AH3" s="625" t="s">
        <v>44</v>
      </c>
      <c r="AI3" s="615" t="s">
        <v>45</v>
      </c>
      <c r="AJ3" s="615" t="s">
        <v>46</v>
      </c>
      <c r="AK3" s="615" t="s">
        <v>47</v>
      </c>
      <c r="AL3" s="615" t="s">
        <v>48</v>
      </c>
      <c r="AM3" s="615" t="s">
        <v>49</v>
      </c>
      <c r="AN3" s="626" t="s">
        <v>50</v>
      </c>
      <c r="AO3" s="615" t="s">
        <v>51</v>
      </c>
      <c r="AP3" s="627" t="s">
        <v>52</v>
      </c>
      <c r="AQ3" s="626" t="s">
        <v>53</v>
      </c>
      <c r="AR3" s="626" t="s">
        <v>54</v>
      </c>
      <c r="AS3" s="626" t="s">
        <v>55</v>
      </c>
      <c r="AT3" s="628" t="s">
        <v>56</v>
      </c>
      <c r="AU3" s="629" t="s">
        <v>57</v>
      </c>
      <c r="AV3" s="630" t="s">
        <v>58</v>
      </c>
      <c r="AW3" s="615" t="s">
        <v>59</v>
      </c>
      <c r="AX3" s="615" t="s">
        <v>60</v>
      </c>
      <c r="AY3" s="627" t="s">
        <v>61</v>
      </c>
      <c r="AZ3" s="615" t="s">
        <v>62</v>
      </c>
      <c r="BA3" s="615" t="s">
        <v>63</v>
      </c>
      <c r="BB3" s="627" t="s">
        <v>64</v>
      </c>
      <c r="BC3" s="615" t="s">
        <v>65</v>
      </c>
      <c r="BD3" s="615" t="s">
        <v>66</v>
      </c>
      <c r="BE3" s="615" t="s">
        <v>67</v>
      </c>
      <c r="BF3" s="615" t="s">
        <v>68</v>
      </c>
      <c r="BG3" s="615" t="s">
        <v>69</v>
      </c>
      <c r="BH3" s="615" t="s">
        <v>70</v>
      </c>
      <c r="BI3" s="615" t="s">
        <v>71</v>
      </c>
      <c r="BJ3" s="615" t="s">
        <v>72</v>
      </c>
      <c r="BK3" s="615" t="s">
        <v>73</v>
      </c>
      <c r="BL3" s="615" t="s">
        <v>74</v>
      </c>
      <c r="BM3" s="615" t="s">
        <v>75</v>
      </c>
      <c r="BN3" s="615" t="s">
        <v>76</v>
      </c>
      <c r="BO3" s="615" t="s">
        <v>77</v>
      </c>
      <c r="BP3" s="615" t="s">
        <v>78</v>
      </c>
      <c r="BQ3" s="615" t="s">
        <v>79</v>
      </c>
      <c r="BR3" s="615" t="s">
        <v>80</v>
      </c>
      <c r="BS3" s="615" t="s">
        <v>81</v>
      </c>
      <c r="BT3" s="615" t="s">
        <v>82</v>
      </c>
      <c r="BU3" s="615" t="s">
        <v>83</v>
      </c>
      <c r="BV3" s="630" t="s">
        <v>84</v>
      </c>
      <c r="BW3" s="630" t="s">
        <v>85</v>
      </c>
      <c r="BX3" s="621" t="s">
        <v>86</v>
      </c>
      <c r="BY3" s="621" t="s">
        <v>87</v>
      </c>
      <c r="BZ3" s="621" t="s">
        <v>88</v>
      </c>
      <c r="CA3" s="621" t="s">
        <v>89</v>
      </c>
      <c r="CB3" s="621" t="s">
        <v>90</v>
      </c>
      <c r="CC3" s="621" t="s">
        <v>91</v>
      </c>
      <c r="CD3" s="631" t="s">
        <v>92</v>
      </c>
      <c r="CE3" s="631" t="s">
        <v>93</v>
      </c>
      <c r="CF3" s="584"/>
      <c r="XBS3" s="598">
        <f>SUM(A3:XBR3)</f>
        <v>0</v>
      </c>
      <c r="XCB3" s="598">
        <f>SUBTOTAL(9,A3:XCA3)</f>
        <v>0</v>
      </c>
      <c r="XCS3" s="598">
        <f>SUM(A3:XCR3)</f>
        <v>0</v>
      </c>
      <c r="XDA3" s="598">
        <f>SUBTOTAL(9,A3:XCZ3)</f>
        <v>0</v>
      </c>
      <c r="XEN3" s="585">
        <f>SUBTOTAL(9,A3:XEM3)</f>
        <v>0</v>
      </c>
    </row>
    <row r="4" s="338" customFormat="1" ht="40" customHeight="1" spans="1:84 16295:16384">
      <c r="A4" s="632">
        <v>45463</v>
      </c>
      <c r="B4" s="633" t="s">
        <v>94</v>
      </c>
      <c r="C4" s="634" t="s">
        <v>95</v>
      </c>
      <c r="D4" s="635">
        <v>4500137881</v>
      </c>
      <c r="E4" s="636" t="s">
        <v>96</v>
      </c>
      <c r="F4" s="636" t="s">
        <v>97</v>
      </c>
      <c r="G4" s="637" t="s">
        <v>98</v>
      </c>
      <c r="H4" s="637" t="s">
        <v>99</v>
      </c>
      <c r="I4" s="638">
        <v>792</v>
      </c>
      <c r="J4" s="638">
        <v>0</v>
      </c>
      <c r="K4" s="639">
        <v>24</v>
      </c>
      <c r="L4" s="640">
        <f>I4/K4</f>
        <v>33</v>
      </c>
      <c r="M4" s="641">
        <v>45498</v>
      </c>
      <c r="N4" s="641">
        <v>45500</v>
      </c>
      <c r="O4" s="642"/>
      <c r="P4" s="642" t="s">
        <v>100</v>
      </c>
      <c r="Q4" s="643" t="s">
        <v>101</v>
      </c>
      <c r="R4" s="644" t="s">
        <v>102</v>
      </c>
      <c r="S4" s="642"/>
      <c r="T4" s="642"/>
      <c r="U4" s="644" t="s">
        <v>103</v>
      </c>
      <c r="V4" s="645"/>
      <c r="W4" s="646"/>
      <c r="X4" s="647" t="s">
        <v>104</v>
      </c>
      <c r="Y4" s="639" t="s">
        <v>105</v>
      </c>
      <c r="Z4" s="648">
        <v>2.5721</v>
      </c>
      <c r="AA4" s="649">
        <f>I4*Z4</f>
        <v>2037.1032</v>
      </c>
      <c r="AB4" s="649">
        <v>792</v>
      </c>
      <c r="AC4" s="649">
        <f>AB4-I4</f>
        <v>0</v>
      </c>
      <c r="AD4" s="650" t="s">
        <v>106</v>
      </c>
      <c r="AE4" s="637" t="s">
        <v>98</v>
      </c>
      <c r="AF4" s="646" t="s">
        <v>107</v>
      </c>
      <c r="AG4" s="646" t="s">
        <v>43</v>
      </c>
      <c r="AH4" s="646" t="s">
        <v>108</v>
      </c>
      <c r="AI4" s="651"/>
      <c r="AJ4" s="651"/>
      <c r="AK4" s="651"/>
      <c r="AL4" s="652">
        <f t="shared" ref="AL4:AL9" si="0">I4</f>
        <v>792</v>
      </c>
      <c r="AM4" s="652"/>
      <c r="AN4" s="651"/>
      <c r="AO4" s="649"/>
      <c r="AP4" s="649"/>
      <c r="AQ4" s="653"/>
      <c r="AR4" s="651"/>
      <c r="AS4" s="651"/>
      <c r="AT4" s="652">
        <f>I4</f>
        <v>792</v>
      </c>
      <c r="AU4" s="652"/>
      <c r="AV4" s="654"/>
      <c r="AW4" s="655"/>
      <c r="AX4" s="652"/>
      <c r="AY4" s="652"/>
      <c r="AZ4" s="656"/>
      <c r="BA4" s="652"/>
      <c r="BB4" s="652"/>
      <c r="BC4" s="656"/>
      <c r="BD4" s="656"/>
      <c r="BE4" s="654"/>
      <c r="BF4" s="656"/>
      <c r="BG4" s="654"/>
      <c r="BH4" s="654"/>
      <c r="BI4" s="656"/>
      <c r="BJ4" s="656"/>
      <c r="BK4" s="654"/>
      <c r="BL4" s="654"/>
      <c r="BM4" s="652"/>
      <c r="BN4" s="654"/>
      <c r="BO4" s="654"/>
      <c r="BP4" s="656"/>
      <c r="BQ4" s="654"/>
      <c r="BR4" s="656"/>
      <c r="BS4" s="654"/>
      <c r="BT4" s="654"/>
      <c r="BU4" s="654"/>
      <c r="BV4" s="654"/>
      <c r="BW4" s="657" t="s">
        <v>109</v>
      </c>
      <c r="BX4" s="646">
        <f>I4/4</f>
        <v>198</v>
      </c>
      <c r="BY4" s="646">
        <f>I4/4</f>
        <v>198</v>
      </c>
      <c r="BZ4" s="646">
        <f>I4/4</f>
        <v>198</v>
      </c>
      <c r="CA4" s="646">
        <f>I4/4</f>
        <v>198</v>
      </c>
      <c r="CB4" s="644">
        <f>I4</f>
        <v>792</v>
      </c>
      <c r="CC4" s="658"/>
      <c r="CD4" s="644">
        <f t="shared" ref="CD4:CD31" si="1">SUM(BX4:CA4)</f>
        <v>792</v>
      </c>
      <c r="CE4" s="644">
        <f>I4-CD4</f>
        <v>0</v>
      </c>
    </row>
    <row r="5" s="338" customFormat="1" ht="40" customHeight="1" spans="1:84 16295:16384">
      <c r="A5" s="632">
        <v>45593</v>
      </c>
      <c r="B5" s="633"/>
      <c r="C5" s="634"/>
      <c r="D5" s="635" t="s">
        <v>110</v>
      </c>
      <c r="E5" s="659"/>
      <c r="F5" s="636"/>
      <c r="G5" s="637" t="s">
        <v>111</v>
      </c>
      <c r="H5" s="637" t="s">
        <v>99</v>
      </c>
      <c r="I5" s="638">
        <v>220</v>
      </c>
      <c r="J5" s="638">
        <v>0</v>
      </c>
      <c r="K5" s="639">
        <v>22</v>
      </c>
      <c r="L5" s="639">
        <f>I5/K5</f>
        <v>10</v>
      </c>
      <c r="M5" s="641">
        <v>45608</v>
      </c>
      <c r="N5" s="641">
        <v>45604</v>
      </c>
      <c r="O5" s="641"/>
      <c r="P5" s="642" t="s">
        <v>100</v>
      </c>
      <c r="Q5" s="660"/>
      <c r="R5" s="639" t="s">
        <v>112</v>
      </c>
      <c r="S5" s="642"/>
      <c r="T5" s="642"/>
      <c r="U5" s="644" t="s">
        <v>113</v>
      </c>
      <c r="V5" s="645"/>
      <c r="W5" s="646"/>
      <c r="X5" s="647" t="s">
        <v>114</v>
      </c>
      <c r="Y5" s="639" t="s">
        <v>115</v>
      </c>
      <c r="Z5" s="648"/>
      <c r="AA5" s="650"/>
      <c r="AB5" s="649">
        <v>220</v>
      </c>
      <c r="AC5" s="649">
        <f>AB5-I5</f>
        <v>0</v>
      </c>
      <c r="AD5" s="650"/>
      <c r="AE5" s="661" t="s">
        <v>111</v>
      </c>
      <c r="AF5" s="646" t="s">
        <v>107</v>
      </c>
      <c r="AG5" s="652" t="s">
        <v>43</v>
      </c>
      <c r="AH5" s="646"/>
      <c r="AI5" s="649"/>
      <c r="AJ5" s="649"/>
      <c r="AK5" s="649"/>
      <c r="AL5" s="652">
        <f t="shared" si="0"/>
        <v>220</v>
      </c>
      <c r="AM5" s="652"/>
      <c r="AN5" s="649"/>
      <c r="AO5" s="649"/>
      <c r="AP5" s="649"/>
      <c r="AQ5" s="653"/>
      <c r="AR5" s="649"/>
      <c r="AS5" s="649"/>
      <c r="AT5" s="652">
        <f t="shared" ref="AT5:AT12" si="2">I5</f>
        <v>220</v>
      </c>
      <c r="AU5" s="649"/>
      <c r="AV5" s="654"/>
      <c r="AW5" s="652"/>
      <c r="AX5" s="652">
        <f>I5/11</f>
        <v>20</v>
      </c>
      <c r="AY5" s="652"/>
      <c r="AZ5" s="654"/>
      <c r="BA5" s="652"/>
      <c r="BB5" s="652"/>
      <c r="BC5" s="654"/>
      <c r="BD5" s="654"/>
      <c r="BE5" s="652"/>
      <c r="BF5" s="654"/>
      <c r="BG5" s="654"/>
      <c r="BH5" s="654"/>
      <c r="BI5" s="654"/>
      <c r="BJ5" s="654"/>
      <c r="BK5" s="654"/>
      <c r="BL5" s="654"/>
      <c r="BM5" s="654"/>
      <c r="BN5" s="654"/>
      <c r="BO5" s="654"/>
      <c r="BP5" s="654"/>
      <c r="BQ5" s="654"/>
      <c r="BR5" s="654"/>
      <c r="BS5" s="654"/>
      <c r="BT5" s="654"/>
      <c r="BU5" s="654"/>
      <c r="BV5" s="654"/>
      <c r="BW5" s="645" t="s">
        <v>109</v>
      </c>
      <c r="BX5" s="658">
        <f>I5/22*5</f>
        <v>50</v>
      </c>
      <c r="BY5" s="658">
        <f>I5/22*6</f>
        <v>60</v>
      </c>
      <c r="BZ5" s="658">
        <f>I5/22*6</f>
        <v>60</v>
      </c>
      <c r="CA5" s="658">
        <f>I5/22*5</f>
        <v>50</v>
      </c>
      <c r="CB5" s="644">
        <f>I5</f>
        <v>220</v>
      </c>
      <c r="CC5" s="658">
        <f>I5/11</f>
        <v>20</v>
      </c>
      <c r="CD5" s="644">
        <f t="shared" si="1"/>
        <v>220</v>
      </c>
      <c r="CE5" s="644">
        <f>I5-CD5</f>
        <v>0</v>
      </c>
    </row>
    <row r="6" s="338" customFormat="1" ht="40" customHeight="1" spans="1:84 16295:16384">
      <c r="A6" s="632">
        <v>45523</v>
      </c>
      <c r="B6" s="659" t="s">
        <v>94</v>
      </c>
      <c r="C6" s="634" t="s">
        <v>95</v>
      </c>
      <c r="D6" s="635">
        <v>4500143263</v>
      </c>
      <c r="E6" s="659" t="s">
        <v>116</v>
      </c>
      <c r="F6" s="636" t="s">
        <v>117</v>
      </c>
      <c r="G6" s="637" t="s">
        <v>98</v>
      </c>
      <c r="H6" s="637" t="s">
        <v>99</v>
      </c>
      <c r="I6" s="638">
        <v>1608</v>
      </c>
      <c r="J6" s="638">
        <v>0</v>
      </c>
      <c r="K6" s="639">
        <v>24</v>
      </c>
      <c r="L6" s="639">
        <f>I6/K6</f>
        <v>67</v>
      </c>
      <c r="M6" s="641">
        <v>45667</v>
      </c>
      <c r="N6" s="641">
        <v>45663</v>
      </c>
      <c r="O6" s="641"/>
      <c r="P6" s="642" t="s">
        <v>100</v>
      </c>
      <c r="Q6" s="643" t="s">
        <v>118</v>
      </c>
      <c r="R6" s="639" t="s">
        <v>119</v>
      </c>
      <c r="S6" s="642"/>
      <c r="T6" s="642"/>
      <c r="U6" s="644" t="s">
        <v>120</v>
      </c>
      <c r="V6" s="645"/>
      <c r="W6" s="645" t="s">
        <v>121</v>
      </c>
      <c r="X6" s="647" t="s">
        <v>122</v>
      </c>
      <c r="Y6" s="646" t="s">
        <v>105</v>
      </c>
      <c r="Z6" s="648">
        <v>2.5721</v>
      </c>
      <c r="AA6" s="650">
        <f t="shared" ref="AA6:AA32" si="3">I6*Z6</f>
        <v>4135.9368</v>
      </c>
      <c r="AB6" s="649">
        <f>1584+24</f>
        <v>1608</v>
      </c>
      <c r="AC6" s="649">
        <f>AB6-I6</f>
        <v>0</v>
      </c>
      <c r="AD6" s="650" t="s">
        <v>123</v>
      </c>
      <c r="AE6" s="637" t="s">
        <v>98</v>
      </c>
      <c r="AF6" s="646" t="s">
        <v>107</v>
      </c>
      <c r="AG6" s="652" t="s">
        <v>43</v>
      </c>
      <c r="AH6" s="646" t="s">
        <v>124</v>
      </c>
      <c r="AI6" s="651"/>
      <c r="AJ6" s="651"/>
      <c r="AK6" s="651"/>
      <c r="AL6" s="652">
        <f t="shared" si="0"/>
        <v>1608</v>
      </c>
      <c r="AM6" s="652"/>
      <c r="AN6" s="651"/>
      <c r="AO6" s="649"/>
      <c r="AP6" s="649"/>
      <c r="AQ6" s="653"/>
      <c r="AR6" s="651"/>
      <c r="AS6" s="651"/>
      <c r="AT6" s="652">
        <f t="shared" si="2"/>
        <v>1608</v>
      </c>
      <c r="AU6" s="649"/>
      <c r="AV6" s="654"/>
      <c r="AW6" s="655"/>
      <c r="AX6" s="652"/>
      <c r="AY6" s="652"/>
      <c r="AZ6" s="656"/>
      <c r="BA6" s="652"/>
      <c r="BB6" s="652"/>
      <c r="BC6" s="656"/>
      <c r="BD6" s="656"/>
      <c r="BE6" s="654"/>
      <c r="BF6" s="656"/>
      <c r="BG6" s="654"/>
      <c r="BH6" s="654"/>
      <c r="BI6" s="656"/>
      <c r="BJ6" s="656"/>
      <c r="BK6" s="654"/>
      <c r="BL6" s="654"/>
      <c r="BM6" s="654"/>
      <c r="BN6" s="654"/>
      <c r="BO6" s="654"/>
      <c r="BP6" s="656"/>
      <c r="BQ6" s="654"/>
      <c r="BR6" s="656"/>
      <c r="BS6" s="654"/>
      <c r="BT6" s="654"/>
      <c r="BU6" s="654"/>
      <c r="BV6" s="654"/>
      <c r="BW6" s="645" t="s">
        <v>109</v>
      </c>
      <c r="BX6" s="646">
        <f>I6/4</f>
        <v>402</v>
      </c>
      <c r="BY6" s="646">
        <f>I6/4</f>
        <v>402</v>
      </c>
      <c r="BZ6" s="646">
        <f>I6/4</f>
        <v>402</v>
      </c>
      <c r="CA6" s="646">
        <f>I6/4</f>
        <v>402</v>
      </c>
      <c r="CB6" s="644">
        <f>I6</f>
        <v>1608</v>
      </c>
      <c r="CC6" s="644"/>
      <c r="CD6" s="644">
        <f t="shared" si="1"/>
        <v>1608</v>
      </c>
      <c r="CE6" s="644">
        <f>I6-CD6</f>
        <v>0</v>
      </c>
    </row>
    <row r="7" s="338" customFormat="1" ht="40" customHeight="1" spans="1:84 16295:16384">
      <c r="A7" s="632">
        <v>45523</v>
      </c>
      <c r="B7" s="659" t="s">
        <v>94</v>
      </c>
      <c r="C7" s="634" t="s">
        <v>95</v>
      </c>
      <c r="D7" s="635">
        <v>4500143263</v>
      </c>
      <c r="E7" s="659" t="s">
        <v>125</v>
      </c>
      <c r="F7" s="636" t="s">
        <v>126</v>
      </c>
      <c r="G7" s="637" t="s">
        <v>98</v>
      </c>
      <c r="H7" s="637" t="s">
        <v>99</v>
      </c>
      <c r="I7" s="638">
        <v>816</v>
      </c>
      <c r="J7" s="638">
        <v>0</v>
      </c>
      <c r="K7" s="639">
        <v>24</v>
      </c>
      <c r="L7" s="639">
        <f>I7/K7</f>
        <v>34</v>
      </c>
      <c r="M7" s="641">
        <v>45667</v>
      </c>
      <c r="N7" s="641">
        <v>45663</v>
      </c>
      <c r="O7" s="641"/>
      <c r="P7" s="642" t="s">
        <v>100</v>
      </c>
      <c r="Q7" s="643" t="s">
        <v>118</v>
      </c>
      <c r="R7" s="639" t="s">
        <v>119</v>
      </c>
      <c r="S7" s="642"/>
      <c r="T7" s="642"/>
      <c r="U7" s="644" t="s">
        <v>120</v>
      </c>
      <c r="V7" s="645"/>
      <c r="W7" s="645" t="s">
        <v>121</v>
      </c>
      <c r="X7" s="647" t="s">
        <v>127</v>
      </c>
      <c r="Y7" s="646" t="s">
        <v>105</v>
      </c>
      <c r="Z7" s="648">
        <v>2.5721</v>
      </c>
      <c r="AA7" s="650">
        <f t="shared" si="3"/>
        <v>2098.8336</v>
      </c>
      <c r="AB7" s="649">
        <v>816</v>
      </c>
      <c r="AC7" s="649">
        <f>AB7-I7</f>
        <v>0</v>
      </c>
      <c r="AD7" s="650" t="s">
        <v>123</v>
      </c>
      <c r="AE7" s="637" t="s">
        <v>98</v>
      </c>
      <c r="AF7" s="646" t="s">
        <v>107</v>
      </c>
      <c r="AG7" s="652" t="s">
        <v>43</v>
      </c>
      <c r="AH7" s="646" t="s">
        <v>124</v>
      </c>
      <c r="AI7" s="651"/>
      <c r="AJ7" s="651"/>
      <c r="AK7" s="651"/>
      <c r="AL7" s="652">
        <f t="shared" si="0"/>
        <v>816</v>
      </c>
      <c r="AM7" s="652"/>
      <c r="AN7" s="651"/>
      <c r="AO7" s="649"/>
      <c r="AP7" s="649"/>
      <c r="AQ7" s="653"/>
      <c r="AR7" s="651"/>
      <c r="AS7" s="651"/>
      <c r="AT7" s="652">
        <f t="shared" si="2"/>
        <v>816</v>
      </c>
      <c r="AU7" s="649"/>
      <c r="AV7" s="654"/>
      <c r="AW7" s="655"/>
      <c r="AX7" s="652"/>
      <c r="AY7" s="652"/>
      <c r="AZ7" s="656"/>
      <c r="BA7" s="652"/>
      <c r="BB7" s="652"/>
      <c r="BC7" s="656"/>
      <c r="BD7" s="656"/>
      <c r="BE7" s="654"/>
      <c r="BF7" s="656"/>
      <c r="BG7" s="654"/>
      <c r="BH7" s="654"/>
      <c r="BI7" s="656"/>
      <c r="BJ7" s="656"/>
      <c r="BK7" s="654"/>
      <c r="BL7" s="654"/>
      <c r="BM7" s="654"/>
      <c r="BN7" s="654"/>
      <c r="BO7" s="654"/>
      <c r="BP7" s="656"/>
      <c r="BQ7" s="654"/>
      <c r="BR7" s="656"/>
      <c r="BS7" s="654"/>
      <c r="BT7" s="654"/>
      <c r="BU7" s="654"/>
      <c r="BV7" s="654"/>
      <c r="BW7" s="645" t="s">
        <v>109</v>
      </c>
      <c r="BX7" s="646">
        <f>I7/4</f>
        <v>204</v>
      </c>
      <c r="BY7" s="646">
        <f>I7/4</f>
        <v>204</v>
      </c>
      <c r="BZ7" s="646">
        <f>I7/4</f>
        <v>204</v>
      </c>
      <c r="CA7" s="646">
        <f>I7/4</f>
        <v>204</v>
      </c>
      <c r="CB7" s="644">
        <f>I7</f>
        <v>816</v>
      </c>
      <c r="CC7" s="644"/>
      <c r="CD7" s="644">
        <f t="shared" si="1"/>
        <v>816</v>
      </c>
      <c r="CE7" s="644">
        <f>I7-CD7</f>
        <v>0</v>
      </c>
    </row>
    <row r="8" s="338" customFormat="1" ht="40" customHeight="1" spans="1:84 16295:16384">
      <c r="A8" s="632">
        <v>45614</v>
      </c>
      <c r="B8" s="659" t="s">
        <v>128</v>
      </c>
      <c r="C8" s="634" t="s">
        <v>129</v>
      </c>
      <c r="D8" s="635">
        <v>4500151559</v>
      </c>
      <c r="E8" s="659" t="s">
        <v>130</v>
      </c>
      <c r="F8" s="636" t="s">
        <v>131</v>
      </c>
      <c r="G8" s="637" t="s">
        <v>132</v>
      </c>
      <c r="H8" s="637" t="s">
        <v>99</v>
      </c>
      <c r="I8" s="638">
        <v>96</v>
      </c>
      <c r="J8" s="638">
        <v>0</v>
      </c>
      <c r="K8" s="639">
        <v>24</v>
      </c>
      <c r="L8" s="639">
        <f t="shared" ref="L8:L17" si="4">I8/K8</f>
        <v>4</v>
      </c>
      <c r="M8" s="641">
        <v>45649</v>
      </c>
      <c r="N8" s="641">
        <v>45645</v>
      </c>
      <c r="O8" s="641"/>
      <c r="P8" s="642" t="s">
        <v>100</v>
      </c>
      <c r="Q8" s="643"/>
      <c r="R8" s="642" t="s">
        <v>133</v>
      </c>
      <c r="S8" s="642"/>
      <c r="T8" s="642"/>
      <c r="U8" s="642" t="s">
        <v>134</v>
      </c>
      <c r="V8" s="642" t="s">
        <v>135</v>
      </c>
      <c r="W8" s="645"/>
      <c r="X8" s="647" t="s">
        <v>136</v>
      </c>
      <c r="Y8" s="646" t="s">
        <v>137</v>
      </c>
      <c r="Z8" s="648">
        <v>2.6514</v>
      </c>
      <c r="AA8" s="650">
        <f t="shared" si="3"/>
        <v>254.5344</v>
      </c>
      <c r="AB8" s="649">
        <v>96</v>
      </c>
      <c r="AC8" s="649">
        <f t="shared" ref="AC8:AC17" si="5">AB8-I8</f>
        <v>0</v>
      </c>
      <c r="AD8" s="650" t="s">
        <v>106</v>
      </c>
      <c r="AE8" s="662" t="s">
        <v>138</v>
      </c>
      <c r="AF8" s="646" t="s">
        <v>107</v>
      </c>
      <c r="AG8" s="652" t="s">
        <v>43</v>
      </c>
      <c r="AH8" s="646" t="s">
        <v>139</v>
      </c>
      <c r="AI8" s="649"/>
      <c r="AJ8" s="649"/>
      <c r="AK8" s="649"/>
      <c r="AL8" s="652">
        <f t="shared" si="0"/>
        <v>96</v>
      </c>
      <c r="AM8" s="652"/>
      <c r="AN8" s="649"/>
      <c r="AO8" s="649"/>
      <c r="AP8" s="649"/>
      <c r="AQ8" s="653"/>
      <c r="AR8" s="649"/>
      <c r="AS8" s="649"/>
      <c r="AT8" s="652">
        <f t="shared" si="2"/>
        <v>96</v>
      </c>
      <c r="AU8" s="649"/>
      <c r="AV8" s="654"/>
      <c r="AW8" s="652"/>
      <c r="AX8" s="652"/>
      <c r="AY8" s="652"/>
      <c r="AZ8" s="654"/>
      <c r="BA8" s="652"/>
      <c r="BB8" s="652"/>
      <c r="BC8" s="654"/>
      <c r="BD8" s="654"/>
      <c r="BE8" s="654"/>
      <c r="BF8" s="654"/>
      <c r="BG8" s="654"/>
      <c r="BH8" s="654"/>
      <c r="BI8" s="654"/>
      <c r="BJ8" s="654"/>
      <c r="BK8" s="654"/>
      <c r="BL8" s="654"/>
      <c r="BM8" s="654"/>
      <c r="BN8" s="654"/>
      <c r="BO8" s="654"/>
      <c r="BP8" s="654"/>
      <c r="BQ8" s="654"/>
      <c r="BR8" s="654"/>
      <c r="BS8" s="654"/>
      <c r="BT8" s="654"/>
      <c r="BU8" s="654"/>
      <c r="BV8" s="654"/>
      <c r="BW8" s="645" t="s">
        <v>109</v>
      </c>
      <c r="BX8" s="658">
        <f>I8</f>
        <v>96</v>
      </c>
      <c r="BY8" s="658"/>
      <c r="BZ8" s="658"/>
      <c r="CA8" s="658"/>
      <c r="CB8" s="644">
        <f>SUM(BX8:CA8)</f>
        <v>96</v>
      </c>
      <c r="CC8" s="658"/>
      <c r="CD8" s="644">
        <f t="shared" si="1"/>
        <v>96</v>
      </c>
      <c r="CE8" s="644">
        <f>CD8-I8</f>
        <v>0</v>
      </c>
    </row>
    <row r="9" s="338" customFormat="1" ht="40" customHeight="1" spans="1:84 16295:16384">
      <c r="A9" s="632">
        <v>45614</v>
      </c>
      <c r="B9" s="659" t="s">
        <v>128</v>
      </c>
      <c r="C9" s="634" t="s">
        <v>129</v>
      </c>
      <c r="D9" s="635">
        <v>4500151559</v>
      </c>
      <c r="E9" s="659" t="s">
        <v>130</v>
      </c>
      <c r="F9" s="636" t="s">
        <v>140</v>
      </c>
      <c r="G9" s="637" t="s">
        <v>141</v>
      </c>
      <c r="H9" s="637" t="s">
        <v>99</v>
      </c>
      <c r="I9" s="638">
        <v>24</v>
      </c>
      <c r="J9" s="638">
        <v>0</v>
      </c>
      <c r="K9" s="639">
        <v>24</v>
      </c>
      <c r="L9" s="639">
        <f t="shared" si="4"/>
        <v>1</v>
      </c>
      <c r="M9" s="641">
        <v>45649</v>
      </c>
      <c r="N9" s="641">
        <v>45645</v>
      </c>
      <c r="O9" s="641"/>
      <c r="P9" s="642" t="s">
        <v>100</v>
      </c>
      <c r="Q9" s="643"/>
      <c r="R9" s="642" t="s">
        <v>133</v>
      </c>
      <c r="S9" s="642"/>
      <c r="T9" s="642"/>
      <c r="U9" s="642" t="s">
        <v>134</v>
      </c>
      <c r="V9" s="642" t="s">
        <v>135</v>
      </c>
      <c r="W9" s="645"/>
      <c r="X9" s="647" t="s">
        <v>136</v>
      </c>
      <c r="Y9" s="646" t="s">
        <v>137</v>
      </c>
      <c r="Z9" s="648">
        <v>2.6514</v>
      </c>
      <c r="AA9" s="650">
        <f t="shared" si="3"/>
        <v>63.6336</v>
      </c>
      <c r="AB9" s="649">
        <v>24</v>
      </c>
      <c r="AC9" s="649">
        <f t="shared" si="5"/>
        <v>0</v>
      </c>
      <c r="AD9" s="650" t="s">
        <v>106</v>
      </c>
      <c r="AE9" s="661" t="s">
        <v>142</v>
      </c>
      <c r="AF9" s="646" t="s">
        <v>107</v>
      </c>
      <c r="AG9" s="652" t="s">
        <v>43</v>
      </c>
      <c r="AH9" s="646" t="s">
        <v>139</v>
      </c>
      <c r="AI9" s="649"/>
      <c r="AJ9" s="649"/>
      <c r="AK9" s="649"/>
      <c r="AL9" s="652">
        <f t="shared" si="0"/>
        <v>24</v>
      </c>
      <c r="AM9" s="652"/>
      <c r="AN9" s="649"/>
      <c r="AO9" s="649"/>
      <c r="AP9" s="649"/>
      <c r="AQ9" s="653"/>
      <c r="AR9" s="649"/>
      <c r="AS9" s="649"/>
      <c r="AT9" s="652">
        <f t="shared" si="2"/>
        <v>24</v>
      </c>
      <c r="AU9" s="649"/>
      <c r="AV9" s="654"/>
      <c r="AW9" s="652"/>
      <c r="AX9" s="652"/>
      <c r="AY9" s="652"/>
      <c r="AZ9" s="654"/>
      <c r="BA9" s="652"/>
      <c r="BB9" s="652"/>
      <c r="BC9" s="654"/>
      <c r="BD9" s="654"/>
      <c r="BE9" s="654"/>
      <c r="BF9" s="654"/>
      <c r="BG9" s="654"/>
      <c r="BH9" s="654"/>
      <c r="BI9" s="654"/>
      <c r="BJ9" s="654"/>
      <c r="BK9" s="654"/>
      <c r="BL9" s="654"/>
      <c r="BM9" s="654"/>
      <c r="BN9" s="654"/>
      <c r="BO9" s="654"/>
      <c r="BP9" s="654"/>
      <c r="BQ9" s="654"/>
      <c r="BR9" s="654"/>
      <c r="BS9" s="654"/>
      <c r="BT9" s="654"/>
      <c r="BU9" s="654"/>
      <c r="BV9" s="654"/>
      <c r="BW9" s="645" t="s">
        <v>109</v>
      </c>
      <c r="BX9" s="658"/>
      <c r="BY9" s="658"/>
      <c r="BZ9" s="658">
        <f>I9</f>
        <v>24</v>
      </c>
      <c r="CA9" s="658"/>
      <c r="CB9" s="644">
        <f t="shared" ref="CB9:CB17" si="6">I9</f>
        <v>24</v>
      </c>
      <c r="CC9" s="658"/>
      <c r="CD9" s="644">
        <f t="shared" si="1"/>
        <v>24</v>
      </c>
      <c r="CE9" s="644">
        <f t="shared" ref="CE9:CE18" si="7">I9-CD9</f>
        <v>0</v>
      </c>
    </row>
    <row r="10" s="338" customFormat="1" ht="40" customHeight="1" spans="1:84 16295:16384">
      <c r="A10" s="632">
        <v>45590</v>
      </c>
      <c r="B10" s="659" t="s">
        <v>143</v>
      </c>
      <c r="C10" s="634" t="s">
        <v>144</v>
      </c>
      <c r="D10" s="635">
        <v>4500148999</v>
      </c>
      <c r="E10" s="659" t="s">
        <v>145</v>
      </c>
      <c r="F10" s="636" t="s">
        <v>146</v>
      </c>
      <c r="G10" s="637" t="s">
        <v>141</v>
      </c>
      <c r="H10" s="637" t="s">
        <v>99</v>
      </c>
      <c r="I10" s="638">
        <v>504</v>
      </c>
      <c r="J10" s="638">
        <v>0</v>
      </c>
      <c r="K10" s="639">
        <v>24</v>
      </c>
      <c r="L10" s="639">
        <f t="shared" si="4"/>
        <v>21</v>
      </c>
      <c r="M10" s="641">
        <v>45651</v>
      </c>
      <c r="N10" s="641">
        <v>45647</v>
      </c>
      <c r="O10" s="641"/>
      <c r="P10" s="642" t="s">
        <v>100</v>
      </c>
      <c r="Q10" s="643" t="s">
        <v>147</v>
      </c>
      <c r="R10" s="645" t="s">
        <v>148</v>
      </c>
      <c r="S10" s="642"/>
      <c r="T10" s="642"/>
      <c r="U10" s="642" t="s">
        <v>149</v>
      </c>
      <c r="V10" s="642" t="s">
        <v>150</v>
      </c>
      <c r="W10" s="645"/>
      <c r="X10" s="663" t="s">
        <v>151</v>
      </c>
      <c r="Y10" s="646" t="s">
        <v>152</v>
      </c>
      <c r="Z10" s="648">
        <v>2.5958</v>
      </c>
      <c r="AA10" s="650">
        <f t="shared" si="3"/>
        <v>1308.2832</v>
      </c>
      <c r="AB10" s="649">
        <v>504</v>
      </c>
      <c r="AC10" s="649">
        <f t="shared" si="5"/>
        <v>0</v>
      </c>
      <c r="AD10" s="650" t="s">
        <v>106</v>
      </c>
      <c r="AE10" s="637" t="s">
        <v>153</v>
      </c>
      <c r="AF10" s="646" t="s">
        <v>107</v>
      </c>
      <c r="AG10" s="652" t="s">
        <v>43</v>
      </c>
      <c r="AH10" s="646" t="s">
        <v>154</v>
      </c>
      <c r="AI10" s="649"/>
      <c r="AJ10" s="649"/>
      <c r="AK10" s="649"/>
      <c r="AL10" s="649"/>
      <c r="AM10" s="649"/>
      <c r="AN10" s="649"/>
      <c r="AO10" s="649">
        <f t="shared" ref="AO10:AO15" si="8">I10</f>
        <v>504</v>
      </c>
      <c r="AP10" s="649"/>
      <c r="AQ10" s="653"/>
      <c r="AR10" s="649"/>
      <c r="AS10" s="649"/>
      <c r="AT10" s="652">
        <f t="shared" si="2"/>
        <v>504</v>
      </c>
      <c r="AU10" s="649"/>
      <c r="AV10" s="654"/>
      <c r="AW10" s="652"/>
      <c r="AX10" s="652"/>
      <c r="AY10" s="652"/>
      <c r="AZ10" s="654"/>
      <c r="BA10" s="652"/>
      <c r="BB10" s="652"/>
      <c r="BC10" s="654"/>
      <c r="BD10" s="654"/>
      <c r="BE10" s="654"/>
      <c r="BF10" s="654"/>
      <c r="BG10" s="654"/>
      <c r="BH10" s="654"/>
      <c r="BI10" s="654"/>
      <c r="BJ10" s="654"/>
      <c r="BK10" s="654"/>
      <c r="BL10" s="654"/>
      <c r="BM10" s="654"/>
      <c r="BN10" s="654"/>
      <c r="BO10" s="654"/>
      <c r="BP10" s="654"/>
      <c r="BQ10" s="654"/>
      <c r="BR10" s="654"/>
      <c r="BS10" s="654"/>
      <c r="BT10" s="654"/>
      <c r="BU10" s="654"/>
      <c r="BV10" s="654"/>
      <c r="BW10" s="645" t="s">
        <v>109</v>
      </c>
      <c r="BX10" s="658"/>
      <c r="BY10" s="658"/>
      <c r="BZ10" s="658">
        <f>I10</f>
        <v>504</v>
      </c>
      <c r="CA10" s="658"/>
      <c r="CB10" s="644">
        <f t="shared" si="6"/>
        <v>504</v>
      </c>
      <c r="CC10" s="658"/>
      <c r="CD10" s="644">
        <f t="shared" si="1"/>
        <v>504</v>
      </c>
      <c r="CE10" s="644">
        <f t="shared" si="7"/>
        <v>0</v>
      </c>
    </row>
    <row r="11" s="338" customFormat="1" ht="40" customHeight="1" spans="1:84 16295:16384">
      <c r="A11" s="632">
        <v>45609</v>
      </c>
      <c r="B11" s="659" t="s">
        <v>155</v>
      </c>
      <c r="C11" s="634" t="s">
        <v>156</v>
      </c>
      <c r="D11" s="635">
        <v>4500151280</v>
      </c>
      <c r="E11" s="659" t="s">
        <v>157</v>
      </c>
      <c r="F11" s="636" t="s">
        <v>158</v>
      </c>
      <c r="G11" s="637" t="s">
        <v>159</v>
      </c>
      <c r="H11" s="637" t="s">
        <v>99</v>
      </c>
      <c r="I11" s="638">
        <v>504</v>
      </c>
      <c r="J11" s="638">
        <v>0</v>
      </c>
      <c r="K11" s="639">
        <v>24</v>
      </c>
      <c r="L11" s="639">
        <f t="shared" si="4"/>
        <v>21</v>
      </c>
      <c r="M11" s="641">
        <v>45652</v>
      </c>
      <c r="N11" s="641">
        <v>45649</v>
      </c>
      <c r="O11" s="641"/>
      <c r="P11" s="642" t="s">
        <v>100</v>
      </c>
      <c r="Q11" s="643" t="s">
        <v>160</v>
      </c>
      <c r="R11" s="645" t="s">
        <v>161</v>
      </c>
      <c r="S11" s="642"/>
      <c r="T11" s="642"/>
      <c r="U11" s="642" t="s">
        <v>162</v>
      </c>
      <c r="V11" s="642" t="s">
        <v>163</v>
      </c>
      <c r="W11" s="645"/>
      <c r="X11" s="647" t="s">
        <v>164</v>
      </c>
      <c r="Y11" s="646" t="s">
        <v>165</v>
      </c>
      <c r="Z11" s="648">
        <v>2.5958</v>
      </c>
      <c r="AA11" s="650">
        <f t="shared" si="3"/>
        <v>1308.2832</v>
      </c>
      <c r="AB11" s="649">
        <v>504</v>
      </c>
      <c r="AC11" s="649">
        <f t="shared" si="5"/>
        <v>0</v>
      </c>
      <c r="AD11" s="650" t="s">
        <v>106</v>
      </c>
      <c r="AE11" s="661" t="s">
        <v>166</v>
      </c>
      <c r="AF11" s="646" t="s">
        <v>107</v>
      </c>
      <c r="AG11" s="652" t="s">
        <v>43</v>
      </c>
      <c r="AH11" s="646" t="s">
        <v>167</v>
      </c>
      <c r="AI11" s="649"/>
      <c r="AJ11" s="649"/>
      <c r="AK11" s="649"/>
      <c r="AL11" s="649"/>
      <c r="AM11" s="649"/>
      <c r="AN11" s="649"/>
      <c r="AO11" s="649">
        <f t="shared" si="8"/>
        <v>504</v>
      </c>
      <c r="AP11" s="649"/>
      <c r="AQ11" s="653"/>
      <c r="AR11" s="649"/>
      <c r="AS11" s="649"/>
      <c r="AT11" s="652">
        <f t="shared" si="2"/>
        <v>504</v>
      </c>
      <c r="AU11" s="649"/>
      <c r="AV11" s="654"/>
      <c r="AW11" s="652"/>
      <c r="AX11" s="652"/>
      <c r="AY11" s="652"/>
      <c r="AZ11" s="654"/>
      <c r="BA11" s="652"/>
      <c r="BB11" s="652"/>
      <c r="BC11" s="654"/>
      <c r="BD11" s="654"/>
      <c r="BE11" s="654"/>
      <c r="BF11" s="654"/>
      <c r="BG11" s="654"/>
      <c r="BH11" s="654"/>
      <c r="BI11" s="654"/>
      <c r="BJ11" s="654"/>
      <c r="BK11" s="654"/>
      <c r="BL11" s="654"/>
      <c r="BM11" s="654"/>
      <c r="BN11" s="654"/>
      <c r="BO11" s="654"/>
      <c r="BP11" s="654"/>
      <c r="BQ11" s="654"/>
      <c r="BR11" s="654"/>
      <c r="BS11" s="654"/>
      <c r="BT11" s="654"/>
      <c r="BU11" s="654"/>
      <c r="BV11" s="654"/>
      <c r="BW11" s="645" t="s">
        <v>109</v>
      </c>
      <c r="BX11" s="658"/>
      <c r="BY11" s="658">
        <f>I11</f>
        <v>504</v>
      </c>
      <c r="BZ11" s="658"/>
      <c r="CA11" s="658"/>
      <c r="CB11" s="644">
        <f t="shared" si="6"/>
        <v>504</v>
      </c>
      <c r="CC11" s="658"/>
      <c r="CD11" s="644">
        <f t="shared" si="1"/>
        <v>504</v>
      </c>
      <c r="CE11" s="644">
        <f t="shared" si="7"/>
        <v>0</v>
      </c>
    </row>
    <row r="12" s="338" customFormat="1" ht="40" customHeight="1" spans="1:84 16295:16384">
      <c r="A12" s="632">
        <v>45609</v>
      </c>
      <c r="B12" s="659" t="s">
        <v>168</v>
      </c>
      <c r="C12" s="634" t="s">
        <v>169</v>
      </c>
      <c r="D12" s="635">
        <v>4500151278</v>
      </c>
      <c r="E12" s="659" t="s">
        <v>170</v>
      </c>
      <c r="F12" s="636" t="s">
        <v>171</v>
      </c>
      <c r="G12" s="637" t="s">
        <v>159</v>
      </c>
      <c r="H12" s="637" t="s">
        <v>99</v>
      </c>
      <c r="I12" s="638">
        <v>504</v>
      </c>
      <c r="J12" s="638">
        <v>0</v>
      </c>
      <c r="K12" s="639">
        <v>24</v>
      </c>
      <c r="L12" s="639">
        <f t="shared" si="4"/>
        <v>21</v>
      </c>
      <c r="M12" s="641">
        <v>45652</v>
      </c>
      <c r="N12" s="641">
        <v>45649</v>
      </c>
      <c r="O12" s="641"/>
      <c r="P12" s="642" t="s">
        <v>100</v>
      </c>
      <c r="Q12" s="643" t="s">
        <v>160</v>
      </c>
      <c r="R12" s="645" t="s">
        <v>161</v>
      </c>
      <c r="S12" s="642"/>
      <c r="T12" s="642"/>
      <c r="U12" s="642" t="s">
        <v>172</v>
      </c>
      <c r="V12" s="642" t="s">
        <v>173</v>
      </c>
      <c r="W12" s="645"/>
      <c r="X12" s="647" t="s">
        <v>174</v>
      </c>
      <c r="Y12" s="646" t="s">
        <v>175</v>
      </c>
      <c r="Z12" s="648">
        <v>2.5958</v>
      </c>
      <c r="AA12" s="650">
        <f t="shared" si="3"/>
        <v>1308.2832</v>
      </c>
      <c r="AB12" s="649">
        <v>504</v>
      </c>
      <c r="AC12" s="649">
        <f t="shared" si="5"/>
        <v>0</v>
      </c>
      <c r="AD12" s="650" t="s">
        <v>106</v>
      </c>
      <c r="AE12" s="661" t="s">
        <v>166</v>
      </c>
      <c r="AF12" s="646" t="s">
        <v>107</v>
      </c>
      <c r="AG12" s="652" t="s">
        <v>43</v>
      </c>
      <c r="AH12" s="646" t="s">
        <v>176</v>
      </c>
      <c r="AI12" s="649"/>
      <c r="AJ12" s="649"/>
      <c r="AK12" s="649"/>
      <c r="AL12" s="649"/>
      <c r="AM12" s="649"/>
      <c r="AN12" s="649"/>
      <c r="AO12" s="649">
        <f t="shared" si="8"/>
        <v>504</v>
      </c>
      <c r="AP12" s="649"/>
      <c r="AQ12" s="653"/>
      <c r="AR12" s="649"/>
      <c r="AS12" s="649"/>
      <c r="AT12" s="652">
        <f t="shared" si="2"/>
        <v>504</v>
      </c>
      <c r="AU12" s="649"/>
      <c r="AV12" s="654"/>
      <c r="AW12" s="652"/>
      <c r="AX12" s="652"/>
      <c r="AY12" s="652"/>
      <c r="AZ12" s="654"/>
      <c r="BA12" s="652"/>
      <c r="BB12" s="652"/>
      <c r="BC12" s="654"/>
      <c r="BD12" s="654"/>
      <c r="BE12" s="654"/>
      <c r="BF12" s="654"/>
      <c r="BG12" s="654"/>
      <c r="BH12" s="654"/>
      <c r="BI12" s="654"/>
      <c r="BJ12" s="654"/>
      <c r="BK12" s="654"/>
      <c r="BL12" s="654"/>
      <c r="BM12" s="654"/>
      <c r="BN12" s="654"/>
      <c r="BO12" s="654"/>
      <c r="BP12" s="654"/>
      <c r="BQ12" s="654"/>
      <c r="BR12" s="654"/>
      <c r="BS12" s="654"/>
      <c r="BT12" s="654"/>
      <c r="BU12" s="654"/>
      <c r="BV12" s="654"/>
      <c r="BW12" s="645" t="s">
        <v>109</v>
      </c>
      <c r="BX12" s="658"/>
      <c r="BY12" s="658">
        <f>I12</f>
        <v>504</v>
      </c>
      <c r="BZ12" s="658"/>
      <c r="CA12" s="658"/>
      <c r="CB12" s="644">
        <f t="shared" si="6"/>
        <v>504</v>
      </c>
      <c r="CC12" s="658"/>
      <c r="CD12" s="644">
        <f t="shared" si="1"/>
        <v>504</v>
      </c>
      <c r="CE12" s="644">
        <f t="shared" si="7"/>
        <v>0</v>
      </c>
    </row>
    <row r="13" s="338" customFormat="1" ht="40" customHeight="1" spans="1:84 16295:16384">
      <c r="A13" s="632">
        <v>45608</v>
      </c>
      <c r="B13" s="659" t="s">
        <v>177</v>
      </c>
      <c r="C13" s="634" t="s">
        <v>178</v>
      </c>
      <c r="D13" s="635">
        <v>4500150978</v>
      </c>
      <c r="E13" s="659" t="s">
        <v>179</v>
      </c>
      <c r="F13" s="636" t="s">
        <v>180</v>
      </c>
      <c r="G13" s="637" t="s">
        <v>159</v>
      </c>
      <c r="H13" s="637" t="s">
        <v>99</v>
      </c>
      <c r="I13" s="638">
        <v>72</v>
      </c>
      <c r="J13" s="638">
        <v>0</v>
      </c>
      <c r="K13" s="639">
        <v>24</v>
      </c>
      <c r="L13" s="639">
        <f t="shared" si="4"/>
        <v>3</v>
      </c>
      <c r="M13" s="641">
        <v>45653</v>
      </c>
      <c r="N13" s="641">
        <v>45649</v>
      </c>
      <c r="O13" s="641"/>
      <c r="P13" s="642" t="s">
        <v>100</v>
      </c>
      <c r="Q13" s="643" t="s">
        <v>181</v>
      </c>
      <c r="R13" s="645" t="s">
        <v>182</v>
      </c>
      <c r="S13" s="642"/>
      <c r="T13" s="642"/>
      <c r="U13" s="642" t="s">
        <v>183</v>
      </c>
      <c r="V13" s="642"/>
      <c r="W13" s="645"/>
      <c r="X13" s="647" t="s">
        <v>184</v>
      </c>
      <c r="Y13" s="646" t="s">
        <v>185</v>
      </c>
      <c r="Z13" s="648">
        <v>2.6514</v>
      </c>
      <c r="AA13" s="650">
        <f t="shared" si="3"/>
        <v>190.9008</v>
      </c>
      <c r="AB13" s="649">
        <v>72</v>
      </c>
      <c r="AC13" s="649">
        <f t="shared" si="5"/>
        <v>0</v>
      </c>
      <c r="AD13" s="650" t="s">
        <v>106</v>
      </c>
      <c r="AE13" s="661" t="s">
        <v>166</v>
      </c>
      <c r="AF13" s="646" t="s">
        <v>107</v>
      </c>
      <c r="AG13" s="652" t="s">
        <v>43</v>
      </c>
      <c r="AH13" s="646" t="s">
        <v>186</v>
      </c>
      <c r="AI13" s="649"/>
      <c r="AJ13" s="649"/>
      <c r="AK13" s="649"/>
      <c r="AL13" s="649"/>
      <c r="AM13" s="649"/>
      <c r="AN13" s="649"/>
      <c r="AO13" s="649">
        <f t="shared" si="8"/>
        <v>72</v>
      </c>
      <c r="AP13" s="649"/>
      <c r="AQ13" s="653"/>
      <c r="AR13" s="649"/>
      <c r="AS13" s="649"/>
      <c r="AT13" s="652">
        <f t="shared" ref="AT13:AT24" si="9">I13</f>
        <v>72</v>
      </c>
      <c r="AU13" s="649"/>
      <c r="AV13" s="654"/>
      <c r="AW13" s="652"/>
      <c r="AX13" s="652"/>
      <c r="AY13" s="652"/>
      <c r="AZ13" s="654"/>
      <c r="BA13" s="652"/>
      <c r="BB13" s="652"/>
      <c r="BC13" s="654"/>
      <c r="BD13" s="654"/>
      <c r="BE13" s="654"/>
      <c r="BF13" s="654"/>
      <c r="BG13" s="654"/>
      <c r="BH13" s="654"/>
      <c r="BI13" s="654"/>
      <c r="BJ13" s="654"/>
      <c r="BK13" s="654"/>
      <c r="BL13" s="654"/>
      <c r="BM13" s="654"/>
      <c r="BN13" s="654"/>
      <c r="BO13" s="654"/>
      <c r="BP13" s="654"/>
      <c r="BQ13" s="654"/>
      <c r="BR13" s="654"/>
      <c r="BS13" s="654"/>
      <c r="BT13" s="654"/>
      <c r="BU13" s="654"/>
      <c r="BV13" s="654"/>
      <c r="BW13" s="645" t="s">
        <v>109</v>
      </c>
      <c r="BX13" s="658"/>
      <c r="BY13" s="658">
        <f>I13</f>
        <v>72</v>
      </c>
      <c r="BZ13" s="658"/>
      <c r="CA13" s="658"/>
      <c r="CB13" s="644">
        <f t="shared" si="6"/>
        <v>72</v>
      </c>
      <c r="CC13" s="658"/>
      <c r="CD13" s="644">
        <f t="shared" si="1"/>
        <v>72</v>
      </c>
      <c r="CE13" s="644">
        <f t="shared" si="7"/>
        <v>0</v>
      </c>
    </row>
    <row r="14" s="338" customFormat="1" ht="40" customHeight="1" spans="1:84 16295:16384">
      <c r="A14" s="632">
        <v>45608</v>
      </c>
      <c r="B14" s="659" t="s">
        <v>177</v>
      </c>
      <c r="C14" s="634" t="s">
        <v>178</v>
      </c>
      <c r="D14" s="635">
        <v>4500150978</v>
      </c>
      <c r="E14" s="659" t="s">
        <v>187</v>
      </c>
      <c r="F14" s="636" t="s">
        <v>188</v>
      </c>
      <c r="G14" s="637" t="s">
        <v>189</v>
      </c>
      <c r="H14" s="637" t="s">
        <v>99</v>
      </c>
      <c r="I14" s="638">
        <v>24</v>
      </c>
      <c r="J14" s="638">
        <v>0</v>
      </c>
      <c r="K14" s="639">
        <v>24</v>
      </c>
      <c r="L14" s="639">
        <f t="shared" si="4"/>
        <v>1</v>
      </c>
      <c r="M14" s="641">
        <v>45653</v>
      </c>
      <c r="N14" s="641">
        <v>45649</v>
      </c>
      <c r="O14" s="641"/>
      <c r="P14" s="642" t="s">
        <v>100</v>
      </c>
      <c r="Q14" s="643" t="s">
        <v>181</v>
      </c>
      <c r="R14" s="645" t="s">
        <v>182</v>
      </c>
      <c r="S14" s="642"/>
      <c r="T14" s="642"/>
      <c r="U14" s="642" t="s">
        <v>183</v>
      </c>
      <c r="V14" s="642"/>
      <c r="W14" s="645"/>
      <c r="X14" s="647" t="s">
        <v>184</v>
      </c>
      <c r="Y14" s="646" t="s">
        <v>185</v>
      </c>
      <c r="Z14" s="648">
        <v>2.6514</v>
      </c>
      <c r="AA14" s="650">
        <f t="shared" si="3"/>
        <v>63.6336</v>
      </c>
      <c r="AB14" s="649">
        <v>24</v>
      </c>
      <c r="AC14" s="649">
        <f t="shared" si="5"/>
        <v>0</v>
      </c>
      <c r="AD14" s="650" t="s">
        <v>106</v>
      </c>
      <c r="AE14" s="661" t="s">
        <v>190</v>
      </c>
      <c r="AF14" s="646" t="s">
        <v>107</v>
      </c>
      <c r="AG14" s="652" t="s">
        <v>43</v>
      </c>
      <c r="AH14" s="646" t="s">
        <v>186</v>
      </c>
      <c r="AI14" s="649"/>
      <c r="AJ14" s="649"/>
      <c r="AK14" s="649"/>
      <c r="AL14" s="649"/>
      <c r="AM14" s="649"/>
      <c r="AN14" s="649"/>
      <c r="AO14" s="649">
        <f t="shared" si="8"/>
        <v>24</v>
      </c>
      <c r="AP14" s="649"/>
      <c r="AQ14" s="653"/>
      <c r="AR14" s="649"/>
      <c r="AS14" s="649"/>
      <c r="AT14" s="652">
        <f t="shared" si="9"/>
        <v>24</v>
      </c>
      <c r="AU14" s="649"/>
      <c r="AV14" s="654"/>
      <c r="AW14" s="652"/>
      <c r="AX14" s="652"/>
      <c r="AY14" s="652"/>
      <c r="AZ14" s="654"/>
      <c r="BA14" s="652"/>
      <c r="BB14" s="652"/>
      <c r="BC14" s="654"/>
      <c r="BD14" s="654"/>
      <c r="BE14" s="654"/>
      <c r="BF14" s="654"/>
      <c r="BG14" s="654"/>
      <c r="BH14" s="654"/>
      <c r="BI14" s="654"/>
      <c r="BJ14" s="654"/>
      <c r="BK14" s="654"/>
      <c r="BL14" s="654"/>
      <c r="BM14" s="654"/>
      <c r="BN14" s="654"/>
      <c r="BO14" s="654"/>
      <c r="BP14" s="654"/>
      <c r="BQ14" s="654"/>
      <c r="BR14" s="654"/>
      <c r="BS14" s="654"/>
      <c r="BT14" s="654"/>
      <c r="BU14" s="654"/>
      <c r="BV14" s="654"/>
      <c r="BW14" s="645" t="s">
        <v>109</v>
      </c>
      <c r="BX14" s="658"/>
      <c r="BY14" s="658"/>
      <c r="BZ14" s="658"/>
      <c r="CA14" s="658">
        <f>I14</f>
        <v>24</v>
      </c>
      <c r="CB14" s="644">
        <f t="shared" si="6"/>
        <v>24</v>
      </c>
      <c r="CC14" s="658"/>
      <c r="CD14" s="644">
        <f t="shared" si="1"/>
        <v>24</v>
      </c>
      <c r="CE14" s="644">
        <f t="shared" si="7"/>
        <v>0</v>
      </c>
    </row>
    <row r="15" s="338" customFormat="1" ht="40" customHeight="1" spans="1:84 16295:16384">
      <c r="A15" s="632">
        <v>45608</v>
      </c>
      <c r="B15" s="659" t="s">
        <v>177</v>
      </c>
      <c r="C15" s="634" t="s">
        <v>178</v>
      </c>
      <c r="D15" s="635">
        <v>4500150978</v>
      </c>
      <c r="E15" s="659" t="s">
        <v>191</v>
      </c>
      <c r="F15" s="636" t="s">
        <v>192</v>
      </c>
      <c r="G15" s="637" t="s">
        <v>132</v>
      </c>
      <c r="H15" s="637" t="s">
        <v>99</v>
      </c>
      <c r="I15" s="638">
        <v>48</v>
      </c>
      <c r="J15" s="638">
        <v>0</v>
      </c>
      <c r="K15" s="639">
        <v>24</v>
      </c>
      <c r="L15" s="639">
        <f t="shared" si="4"/>
        <v>2</v>
      </c>
      <c r="M15" s="641">
        <v>45653</v>
      </c>
      <c r="N15" s="641">
        <v>45649</v>
      </c>
      <c r="O15" s="641"/>
      <c r="P15" s="642" t="s">
        <v>100</v>
      </c>
      <c r="Q15" s="643" t="s">
        <v>181</v>
      </c>
      <c r="R15" s="645" t="s">
        <v>182</v>
      </c>
      <c r="S15" s="642"/>
      <c r="T15" s="642"/>
      <c r="U15" s="642" t="s">
        <v>183</v>
      </c>
      <c r="V15" s="642"/>
      <c r="W15" s="645"/>
      <c r="X15" s="647" t="s">
        <v>184</v>
      </c>
      <c r="Y15" s="646" t="s">
        <v>185</v>
      </c>
      <c r="Z15" s="648">
        <v>2.5695</v>
      </c>
      <c r="AA15" s="650">
        <f t="shared" si="3"/>
        <v>123.336</v>
      </c>
      <c r="AB15" s="649">
        <v>48</v>
      </c>
      <c r="AC15" s="649">
        <f t="shared" si="5"/>
        <v>0</v>
      </c>
      <c r="AD15" s="650" t="s">
        <v>106</v>
      </c>
      <c r="AE15" s="637" t="s">
        <v>193</v>
      </c>
      <c r="AF15" s="646" t="s">
        <v>107</v>
      </c>
      <c r="AG15" s="652" t="s">
        <v>43</v>
      </c>
      <c r="AH15" s="646" t="s">
        <v>186</v>
      </c>
      <c r="AI15" s="649"/>
      <c r="AJ15" s="649"/>
      <c r="AK15" s="649"/>
      <c r="AL15" s="649"/>
      <c r="AM15" s="649"/>
      <c r="AN15" s="649"/>
      <c r="AO15" s="649">
        <f t="shared" si="8"/>
        <v>48</v>
      </c>
      <c r="AP15" s="649"/>
      <c r="AQ15" s="653"/>
      <c r="AR15" s="649"/>
      <c r="AS15" s="649"/>
      <c r="AT15" s="652">
        <f t="shared" si="9"/>
        <v>48</v>
      </c>
      <c r="AU15" s="649"/>
      <c r="AV15" s="654"/>
      <c r="AW15" s="652"/>
      <c r="AX15" s="652"/>
      <c r="AY15" s="652"/>
      <c r="AZ15" s="654"/>
      <c r="BA15" s="652"/>
      <c r="BB15" s="652"/>
      <c r="BC15" s="654"/>
      <c r="BD15" s="654"/>
      <c r="BE15" s="654"/>
      <c r="BF15" s="654"/>
      <c r="BG15" s="654"/>
      <c r="BH15" s="654"/>
      <c r="BI15" s="654"/>
      <c r="BJ15" s="654"/>
      <c r="BK15" s="654"/>
      <c r="BL15" s="654"/>
      <c r="BM15" s="654"/>
      <c r="BN15" s="654"/>
      <c r="BO15" s="654"/>
      <c r="BP15" s="654"/>
      <c r="BQ15" s="654"/>
      <c r="BR15" s="654"/>
      <c r="BS15" s="654"/>
      <c r="BT15" s="654"/>
      <c r="BU15" s="654"/>
      <c r="BV15" s="654"/>
      <c r="BW15" s="645" t="s">
        <v>109</v>
      </c>
      <c r="BX15" s="658">
        <f>I15</f>
        <v>48</v>
      </c>
      <c r="BY15" s="658"/>
      <c r="BZ15" s="658"/>
      <c r="CA15" s="658"/>
      <c r="CB15" s="644">
        <f t="shared" si="6"/>
        <v>48</v>
      </c>
      <c r="CC15" s="658"/>
      <c r="CD15" s="644">
        <f t="shared" si="1"/>
        <v>48</v>
      </c>
      <c r="CE15" s="644">
        <f t="shared" si="7"/>
        <v>0</v>
      </c>
    </row>
    <row r="16" s="338" customFormat="1" ht="40" customHeight="1" spans="1:84 16295:16384">
      <c r="A16" s="632">
        <v>45602</v>
      </c>
      <c r="B16" s="659" t="s">
        <v>194</v>
      </c>
      <c r="C16" s="634" t="s">
        <v>144</v>
      </c>
      <c r="D16" s="635">
        <v>4500149853</v>
      </c>
      <c r="E16" s="659" t="s">
        <v>195</v>
      </c>
      <c r="F16" s="636" t="s">
        <v>196</v>
      </c>
      <c r="G16" s="637" t="s">
        <v>98</v>
      </c>
      <c r="H16" s="637" t="s">
        <v>99</v>
      </c>
      <c r="I16" s="638">
        <v>1008</v>
      </c>
      <c r="J16" s="638">
        <v>0</v>
      </c>
      <c r="K16" s="639">
        <v>24</v>
      </c>
      <c r="L16" s="639">
        <f t="shared" si="4"/>
        <v>42</v>
      </c>
      <c r="M16" s="641">
        <v>45649</v>
      </c>
      <c r="N16" s="641">
        <v>45645</v>
      </c>
      <c r="O16" s="641" t="s">
        <v>197</v>
      </c>
      <c r="P16" s="642" t="s">
        <v>100</v>
      </c>
      <c r="Q16" s="643" t="s">
        <v>198</v>
      </c>
      <c r="R16" s="642" t="s">
        <v>199</v>
      </c>
      <c r="S16" s="642"/>
      <c r="T16" s="642"/>
      <c r="U16" s="644" t="s">
        <v>200</v>
      </c>
      <c r="V16" s="645"/>
      <c r="W16" s="645"/>
      <c r="X16" s="647" t="s">
        <v>201</v>
      </c>
      <c r="Y16" s="646" t="s">
        <v>202</v>
      </c>
      <c r="Z16" s="648">
        <v>2.5816</v>
      </c>
      <c r="AA16" s="650">
        <f t="shared" si="3"/>
        <v>2602.2528</v>
      </c>
      <c r="AB16" s="649">
        <v>1008</v>
      </c>
      <c r="AC16" s="649">
        <f t="shared" si="5"/>
        <v>0</v>
      </c>
      <c r="AD16" s="650" t="s">
        <v>106</v>
      </c>
      <c r="AE16" s="637" t="s">
        <v>98</v>
      </c>
      <c r="AF16" s="646" t="s">
        <v>107</v>
      </c>
      <c r="AG16" s="652" t="s">
        <v>43</v>
      </c>
      <c r="AH16" s="646" t="s">
        <v>203</v>
      </c>
      <c r="AI16" s="649"/>
      <c r="AJ16" s="649"/>
      <c r="AK16" s="649"/>
      <c r="AL16" s="652">
        <f>I16</f>
        <v>1008</v>
      </c>
      <c r="AM16" s="652"/>
      <c r="AN16" s="649"/>
      <c r="AO16" s="649"/>
      <c r="AP16" s="649"/>
      <c r="AQ16" s="653"/>
      <c r="AR16" s="649"/>
      <c r="AS16" s="649"/>
      <c r="AT16" s="652">
        <f t="shared" si="9"/>
        <v>1008</v>
      </c>
      <c r="AU16" s="649"/>
      <c r="AV16" s="654"/>
      <c r="AW16" s="652"/>
      <c r="AX16" s="652"/>
      <c r="AY16" s="652"/>
      <c r="AZ16" s="654"/>
      <c r="BA16" s="652"/>
      <c r="BB16" s="652"/>
      <c r="BC16" s="654"/>
      <c r="BD16" s="654"/>
      <c r="BE16" s="654"/>
      <c r="BF16" s="654"/>
      <c r="BG16" s="654"/>
      <c r="BH16" s="654"/>
      <c r="BI16" s="654"/>
      <c r="BJ16" s="654"/>
      <c r="BK16" s="654"/>
      <c r="BL16" s="654"/>
      <c r="BM16" s="654"/>
      <c r="BN16" s="654"/>
      <c r="BO16" s="654"/>
      <c r="BP16" s="654"/>
      <c r="BQ16" s="654"/>
      <c r="BR16" s="654"/>
      <c r="BS16" s="654"/>
      <c r="BT16" s="654"/>
      <c r="BU16" s="654"/>
      <c r="BV16" s="654"/>
      <c r="BW16" s="645" t="s">
        <v>109</v>
      </c>
      <c r="BX16" s="646">
        <f>I16/4</f>
        <v>252</v>
      </c>
      <c r="BY16" s="646">
        <f>I16/4</f>
        <v>252</v>
      </c>
      <c r="BZ16" s="646">
        <f>I16/4</f>
        <v>252</v>
      </c>
      <c r="CA16" s="646">
        <f>I16/4</f>
        <v>252</v>
      </c>
      <c r="CB16" s="644">
        <f t="shared" si="6"/>
        <v>1008</v>
      </c>
      <c r="CC16" s="644"/>
      <c r="CD16" s="644">
        <f t="shared" si="1"/>
        <v>1008</v>
      </c>
      <c r="CE16" s="644">
        <f t="shared" si="7"/>
        <v>0</v>
      </c>
    </row>
    <row r="17" s="338" customFormat="1" ht="40" customHeight="1" spans="1:83">
      <c r="A17" s="632">
        <v>45604</v>
      </c>
      <c r="B17" s="659" t="s">
        <v>204</v>
      </c>
      <c r="C17" s="634" t="s">
        <v>205</v>
      </c>
      <c r="D17" s="635">
        <v>4500150797</v>
      </c>
      <c r="E17" s="659"/>
      <c r="F17" s="636" t="s">
        <v>206</v>
      </c>
      <c r="G17" s="637" t="s">
        <v>111</v>
      </c>
      <c r="H17" s="637" t="s">
        <v>99</v>
      </c>
      <c r="I17" s="638">
        <v>5016</v>
      </c>
      <c r="J17" s="638">
        <v>0</v>
      </c>
      <c r="K17" s="639">
        <v>22</v>
      </c>
      <c r="L17" s="639">
        <f t="shared" si="4"/>
        <v>228</v>
      </c>
      <c r="M17" s="641">
        <v>45649</v>
      </c>
      <c r="N17" s="641">
        <v>45645</v>
      </c>
      <c r="O17" s="641"/>
      <c r="P17" s="642" t="s">
        <v>100</v>
      </c>
      <c r="Q17" s="643" t="s">
        <v>207</v>
      </c>
      <c r="R17" s="642" t="s">
        <v>208</v>
      </c>
      <c r="S17" s="642"/>
      <c r="T17" s="642"/>
      <c r="U17" s="642" t="s">
        <v>209</v>
      </c>
      <c r="V17" s="645"/>
      <c r="W17" s="645" t="s">
        <v>210</v>
      </c>
      <c r="X17" s="647" t="s">
        <v>211</v>
      </c>
      <c r="Y17" s="646" t="s">
        <v>105</v>
      </c>
      <c r="Z17" s="649">
        <v>2.7397</v>
      </c>
      <c r="AA17" s="650">
        <f t="shared" si="3"/>
        <v>13742.3352</v>
      </c>
      <c r="AB17" s="649">
        <f>3168+1848</f>
        <v>5016</v>
      </c>
      <c r="AC17" s="649">
        <f t="shared" si="5"/>
        <v>0</v>
      </c>
      <c r="AD17" s="650" t="s">
        <v>106</v>
      </c>
      <c r="AE17" s="661" t="s">
        <v>111</v>
      </c>
      <c r="AF17" s="646" t="s">
        <v>107</v>
      </c>
      <c r="AG17" s="652" t="s">
        <v>43</v>
      </c>
      <c r="AH17" s="646" t="s">
        <v>212</v>
      </c>
      <c r="AI17" s="651"/>
      <c r="AJ17" s="651"/>
      <c r="AK17" s="651"/>
      <c r="AL17" s="652">
        <f>I17</f>
        <v>5016</v>
      </c>
      <c r="AM17" s="652"/>
      <c r="AN17" s="651"/>
      <c r="AO17" s="649"/>
      <c r="AP17" s="649"/>
      <c r="AQ17" s="653"/>
      <c r="AR17" s="651"/>
      <c r="AS17" s="651"/>
      <c r="AT17" s="652">
        <f t="shared" si="9"/>
        <v>5016</v>
      </c>
      <c r="AU17" s="649"/>
      <c r="AV17" s="654"/>
      <c r="AW17" s="655"/>
      <c r="AX17" s="652">
        <f>I17/11</f>
        <v>456</v>
      </c>
      <c r="AY17" s="652"/>
      <c r="AZ17" s="656"/>
      <c r="BA17" s="652"/>
      <c r="BB17" s="652"/>
      <c r="BC17" s="656"/>
      <c r="BD17" s="656"/>
      <c r="BE17" s="654"/>
      <c r="BF17" s="656"/>
      <c r="BG17" s="654"/>
      <c r="BH17" s="654"/>
      <c r="BI17" s="656"/>
      <c r="BJ17" s="656"/>
      <c r="BK17" s="654"/>
      <c r="BL17" s="654"/>
      <c r="BM17" s="654"/>
      <c r="BN17" s="654"/>
      <c r="BO17" s="654"/>
      <c r="BP17" s="656"/>
      <c r="BQ17" s="654"/>
      <c r="BR17" s="656"/>
      <c r="BS17" s="654"/>
      <c r="BT17" s="654"/>
      <c r="BU17" s="654"/>
      <c r="BV17" s="654"/>
      <c r="BW17" s="645" t="s">
        <v>109</v>
      </c>
      <c r="BX17" s="658">
        <f>I17/22*5</f>
        <v>1140</v>
      </c>
      <c r="BY17" s="658">
        <f>I17/22*6</f>
        <v>1368</v>
      </c>
      <c r="BZ17" s="658">
        <f>I17/22*6</f>
        <v>1368</v>
      </c>
      <c r="CA17" s="658">
        <f>I17/22*5</f>
        <v>1140</v>
      </c>
      <c r="CB17" s="644">
        <f t="shared" si="6"/>
        <v>5016</v>
      </c>
      <c r="CC17" s="658">
        <f>I17/11</f>
        <v>456</v>
      </c>
      <c r="CD17" s="644">
        <f t="shared" si="1"/>
        <v>5016</v>
      </c>
      <c r="CE17" s="644">
        <f t="shared" si="7"/>
        <v>0</v>
      </c>
    </row>
    <row r="18" s="338" customFormat="1" ht="40" customHeight="1" spans="1:83">
      <c r="A18" s="632">
        <v>45601</v>
      </c>
      <c r="B18" s="659" t="s">
        <v>213</v>
      </c>
      <c r="C18" s="634" t="s">
        <v>214</v>
      </c>
      <c r="D18" s="635">
        <v>4500150186</v>
      </c>
      <c r="E18" s="659">
        <v>70054043</v>
      </c>
      <c r="F18" s="636" t="s">
        <v>215</v>
      </c>
      <c r="G18" s="637" t="s">
        <v>111</v>
      </c>
      <c r="H18" s="637" t="s">
        <v>99</v>
      </c>
      <c r="I18" s="638">
        <v>616</v>
      </c>
      <c r="J18" s="638">
        <v>0</v>
      </c>
      <c r="K18" s="639">
        <v>22</v>
      </c>
      <c r="L18" s="639">
        <f t="shared" ref="L18:L31" si="10">I18/K18</f>
        <v>28</v>
      </c>
      <c r="M18" s="641">
        <v>45653</v>
      </c>
      <c r="N18" s="641">
        <v>45649</v>
      </c>
      <c r="O18" s="641"/>
      <c r="P18" s="642" t="s">
        <v>100</v>
      </c>
      <c r="Q18" s="643" t="s">
        <v>216</v>
      </c>
      <c r="R18" s="645" t="s">
        <v>217</v>
      </c>
      <c r="S18" s="642"/>
      <c r="T18" s="642"/>
      <c r="U18" s="642" t="s">
        <v>113</v>
      </c>
      <c r="V18" s="642" t="s">
        <v>218</v>
      </c>
      <c r="W18" s="645"/>
      <c r="X18" s="647" t="s">
        <v>219</v>
      </c>
      <c r="Y18" s="646" t="s">
        <v>220</v>
      </c>
      <c r="Z18" s="649">
        <v>2.8179</v>
      </c>
      <c r="AA18" s="650">
        <f t="shared" si="3"/>
        <v>1735.8264</v>
      </c>
      <c r="AB18" s="649">
        <v>616</v>
      </c>
      <c r="AC18" s="649">
        <f t="shared" ref="AC18:AC31" si="11">AB18-I18</f>
        <v>0</v>
      </c>
      <c r="AD18" s="650" t="s">
        <v>106</v>
      </c>
      <c r="AE18" s="661" t="s">
        <v>111</v>
      </c>
      <c r="AF18" s="646" t="s">
        <v>107</v>
      </c>
      <c r="AG18" s="652" t="s">
        <v>43</v>
      </c>
      <c r="AH18" s="646" t="s">
        <v>221</v>
      </c>
      <c r="AI18" s="651"/>
      <c r="AJ18" s="651"/>
      <c r="AK18" s="651"/>
      <c r="AL18" s="652">
        <f>I18</f>
        <v>616</v>
      </c>
      <c r="AM18" s="652"/>
      <c r="AN18" s="651"/>
      <c r="AO18" s="649"/>
      <c r="AP18" s="649"/>
      <c r="AQ18" s="653"/>
      <c r="AR18" s="651"/>
      <c r="AS18" s="651"/>
      <c r="AT18" s="652">
        <f t="shared" si="9"/>
        <v>616</v>
      </c>
      <c r="AU18" s="649"/>
      <c r="AV18" s="654"/>
      <c r="AW18" s="655"/>
      <c r="AX18" s="652">
        <f>I18/11</f>
        <v>56</v>
      </c>
      <c r="AY18" s="652"/>
      <c r="AZ18" s="656"/>
      <c r="BA18" s="652"/>
      <c r="BB18" s="652"/>
      <c r="BC18" s="656"/>
      <c r="BD18" s="656"/>
      <c r="BE18" s="654"/>
      <c r="BF18" s="656"/>
      <c r="BG18" s="654"/>
      <c r="BH18" s="654"/>
      <c r="BI18" s="656"/>
      <c r="BJ18" s="656"/>
      <c r="BK18" s="654"/>
      <c r="BL18" s="654"/>
      <c r="BM18" s="654"/>
      <c r="BN18" s="654"/>
      <c r="BO18" s="654"/>
      <c r="BP18" s="656"/>
      <c r="BQ18" s="654"/>
      <c r="BR18" s="656"/>
      <c r="BS18" s="654"/>
      <c r="BT18" s="654"/>
      <c r="BU18" s="654"/>
      <c r="BV18" s="654"/>
      <c r="BW18" s="645" t="s">
        <v>109</v>
      </c>
      <c r="BX18" s="658">
        <f>I18/22*5</f>
        <v>140</v>
      </c>
      <c r="BY18" s="658">
        <f>I18/22*6</f>
        <v>168</v>
      </c>
      <c r="BZ18" s="658">
        <f>I18/22*6</f>
        <v>168</v>
      </c>
      <c r="CA18" s="658">
        <f>I18/22*5</f>
        <v>140</v>
      </c>
      <c r="CB18" s="644">
        <f t="shared" ref="CB18:CB31" si="12">I18</f>
        <v>616</v>
      </c>
      <c r="CC18" s="658">
        <f>I18/11</f>
        <v>56</v>
      </c>
      <c r="CD18" s="644">
        <f t="shared" si="1"/>
        <v>616</v>
      </c>
      <c r="CE18" s="644">
        <f t="shared" si="7"/>
        <v>0</v>
      </c>
    </row>
    <row r="19" s="338" customFormat="1" ht="40" customHeight="1" spans="1:83">
      <c r="A19" s="632">
        <v>45611</v>
      </c>
      <c r="B19" s="659" t="s">
        <v>222</v>
      </c>
      <c r="C19" s="634" t="s">
        <v>223</v>
      </c>
      <c r="D19" s="635">
        <v>4500151401</v>
      </c>
      <c r="E19" s="659">
        <v>2024101316</v>
      </c>
      <c r="F19" s="636" t="s">
        <v>224</v>
      </c>
      <c r="G19" s="637" t="s">
        <v>111</v>
      </c>
      <c r="H19" s="637" t="s">
        <v>99</v>
      </c>
      <c r="I19" s="638">
        <v>1584</v>
      </c>
      <c r="J19" s="638">
        <v>0</v>
      </c>
      <c r="K19" s="639">
        <v>22</v>
      </c>
      <c r="L19" s="639">
        <f t="shared" si="10"/>
        <v>72</v>
      </c>
      <c r="M19" s="641">
        <v>45657</v>
      </c>
      <c r="N19" s="641">
        <v>45653</v>
      </c>
      <c r="O19" s="641"/>
      <c r="P19" s="642" t="s">
        <v>100</v>
      </c>
      <c r="Q19" s="660" t="s">
        <v>225</v>
      </c>
      <c r="R19" s="642" t="s">
        <v>226</v>
      </c>
      <c r="S19" s="642"/>
      <c r="T19" s="642"/>
      <c r="U19" s="642" t="s">
        <v>227</v>
      </c>
      <c r="V19" s="642"/>
      <c r="W19" s="645"/>
      <c r="X19" s="647" t="s">
        <v>228</v>
      </c>
      <c r="Y19" s="646" t="s">
        <v>229</v>
      </c>
      <c r="Z19" s="649">
        <v>2.8038</v>
      </c>
      <c r="AA19" s="650">
        <f t="shared" si="3"/>
        <v>4441.2192</v>
      </c>
      <c r="AB19" s="649">
        <v>1584</v>
      </c>
      <c r="AC19" s="649">
        <f t="shared" si="11"/>
        <v>0</v>
      </c>
      <c r="AD19" s="650" t="s">
        <v>106</v>
      </c>
      <c r="AE19" s="637" t="s">
        <v>230</v>
      </c>
      <c r="AF19" s="646" t="s">
        <v>107</v>
      </c>
      <c r="AG19" s="652" t="s">
        <v>43</v>
      </c>
      <c r="AH19" s="646" t="s">
        <v>231</v>
      </c>
      <c r="AI19" s="651"/>
      <c r="AJ19" s="651"/>
      <c r="AK19" s="651"/>
      <c r="AL19" s="649"/>
      <c r="AM19" s="649"/>
      <c r="AN19" s="651"/>
      <c r="AO19" s="649">
        <f>I19</f>
        <v>1584</v>
      </c>
      <c r="AP19" s="649"/>
      <c r="AQ19" s="653"/>
      <c r="AR19" s="651"/>
      <c r="AS19" s="651"/>
      <c r="AT19" s="652">
        <f t="shared" si="9"/>
        <v>1584</v>
      </c>
      <c r="AU19" s="649"/>
      <c r="AV19" s="654"/>
      <c r="AW19" s="655"/>
      <c r="AX19" s="652"/>
      <c r="AY19" s="652"/>
      <c r="AZ19" s="656"/>
      <c r="BA19" s="652">
        <f>I19/11</f>
        <v>144</v>
      </c>
      <c r="BB19" s="652"/>
      <c r="BC19" s="656"/>
      <c r="BD19" s="656"/>
      <c r="BE19" s="654"/>
      <c r="BF19" s="656"/>
      <c r="BG19" s="654"/>
      <c r="BH19" s="654"/>
      <c r="BI19" s="656"/>
      <c r="BJ19" s="656"/>
      <c r="BK19" s="654"/>
      <c r="BL19" s="654"/>
      <c r="BM19" s="654"/>
      <c r="BN19" s="654"/>
      <c r="BO19" s="654"/>
      <c r="BP19" s="656"/>
      <c r="BQ19" s="654"/>
      <c r="BR19" s="656"/>
      <c r="BS19" s="654"/>
      <c r="BT19" s="654"/>
      <c r="BU19" s="654"/>
      <c r="BV19" s="654"/>
      <c r="BW19" s="645" t="s">
        <v>109</v>
      </c>
      <c r="BX19" s="658">
        <f t="shared" ref="BX19:BX36" si="13">I19/22*5</f>
        <v>360</v>
      </c>
      <c r="BY19" s="658">
        <f t="shared" ref="BY19:BY36" si="14">I19/22*6</f>
        <v>432</v>
      </c>
      <c r="BZ19" s="658">
        <f t="shared" ref="BZ19:BZ36" si="15">I19/22*6</f>
        <v>432</v>
      </c>
      <c r="CA19" s="658">
        <f t="shared" ref="CA19:CA36" si="16">I19/22*5</f>
        <v>360</v>
      </c>
      <c r="CB19" s="644">
        <f t="shared" si="12"/>
        <v>1584</v>
      </c>
      <c r="CC19" s="658">
        <f t="shared" ref="CC19:CC36" si="17">I19/11</f>
        <v>144</v>
      </c>
      <c r="CD19" s="644">
        <f t="shared" si="1"/>
        <v>1584</v>
      </c>
      <c r="CE19" s="644">
        <f t="shared" ref="CE19:CE41" si="18">I19-CD19</f>
        <v>0</v>
      </c>
    </row>
    <row r="20" s="338" customFormat="1" ht="40" customHeight="1" spans="1:83">
      <c r="A20" s="632">
        <v>45616</v>
      </c>
      <c r="B20" s="659" t="s">
        <v>232</v>
      </c>
      <c r="C20" s="634" t="s">
        <v>223</v>
      </c>
      <c r="D20" s="635">
        <v>4500151832</v>
      </c>
      <c r="E20" s="659">
        <v>4500054541</v>
      </c>
      <c r="F20" s="636" t="s">
        <v>233</v>
      </c>
      <c r="G20" s="637" t="s">
        <v>111</v>
      </c>
      <c r="H20" s="637" t="s">
        <v>99</v>
      </c>
      <c r="I20" s="638">
        <v>1584</v>
      </c>
      <c r="J20" s="638">
        <v>0</v>
      </c>
      <c r="K20" s="639">
        <v>22</v>
      </c>
      <c r="L20" s="639">
        <f t="shared" si="10"/>
        <v>72</v>
      </c>
      <c r="M20" s="641">
        <v>45657</v>
      </c>
      <c r="N20" s="641">
        <v>45653</v>
      </c>
      <c r="O20" s="641"/>
      <c r="P20" s="642" t="s">
        <v>100</v>
      </c>
      <c r="Q20" s="643" t="s">
        <v>234</v>
      </c>
      <c r="R20" s="642" t="s">
        <v>235</v>
      </c>
      <c r="S20" s="642"/>
      <c r="T20" s="642"/>
      <c r="U20" s="642" t="s">
        <v>236</v>
      </c>
      <c r="V20" s="642"/>
      <c r="W20" s="645"/>
      <c r="X20" s="647" t="s">
        <v>237</v>
      </c>
      <c r="Y20" s="646" t="s">
        <v>229</v>
      </c>
      <c r="Z20" s="649">
        <v>2.8038</v>
      </c>
      <c r="AA20" s="650">
        <f t="shared" si="3"/>
        <v>4441.2192</v>
      </c>
      <c r="AB20" s="649">
        <v>1584</v>
      </c>
      <c r="AC20" s="649">
        <f t="shared" si="11"/>
        <v>0</v>
      </c>
      <c r="AD20" s="650" t="s">
        <v>106</v>
      </c>
      <c r="AE20" s="637" t="s">
        <v>230</v>
      </c>
      <c r="AF20" s="646" t="s">
        <v>107</v>
      </c>
      <c r="AG20" s="652" t="s">
        <v>43</v>
      </c>
      <c r="AH20" s="646" t="s">
        <v>238</v>
      </c>
      <c r="AI20" s="651"/>
      <c r="AJ20" s="651"/>
      <c r="AK20" s="651"/>
      <c r="AL20" s="649"/>
      <c r="AM20" s="649"/>
      <c r="AN20" s="651"/>
      <c r="AO20" s="649">
        <f>I20</f>
        <v>1584</v>
      </c>
      <c r="AP20" s="649"/>
      <c r="AQ20" s="653"/>
      <c r="AR20" s="651"/>
      <c r="AS20" s="651"/>
      <c r="AT20" s="652">
        <f t="shared" si="9"/>
        <v>1584</v>
      </c>
      <c r="AU20" s="649"/>
      <c r="AV20" s="654"/>
      <c r="AW20" s="655"/>
      <c r="AX20" s="652"/>
      <c r="AY20" s="652"/>
      <c r="AZ20" s="656"/>
      <c r="BA20" s="652">
        <f>I20/11</f>
        <v>144</v>
      </c>
      <c r="BB20" s="652"/>
      <c r="BC20" s="656"/>
      <c r="BD20" s="656"/>
      <c r="BE20" s="654"/>
      <c r="BF20" s="656"/>
      <c r="BG20" s="654"/>
      <c r="BH20" s="654"/>
      <c r="BI20" s="656"/>
      <c r="BJ20" s="656"/>
      <c r="BK20" s="654"/>
      <c r="BL20" s="654"/>
      <c r="BM20" s="654"/>
      <c r="BN20" s="654"/>
      <c r="BO20" s="654"/>
      <c r="BP20" s="656"/>
      <c r="BQ20" s="654"/>
      <c r="BR20" s="656"/>
      <c r="BS20" s="654"/>
      <c r="BT20" s="654"/>
      <c r="BU20" s="654"/>
      <c r="BV20" s="654"/>
      <c r="BW20" s="645" t="s">
        <v>109</v>
      </c>
      <c r="BX20" s="658">
        <f t="shared" si="13"/>
        <v>360</v>
      </c>
      <c r="BY20" s="658">
        <f t="shared" si="14"/>
        <v>432</v>
      </c>
      <c r="BZ20" s="658">
        <f t="shared" si="15"/>
        <v>432</v>
      </c>
      <c r="CA20" s="658">
        <f t="shared" si="16"/>
        <v>360</v>
      </c>
      <c r="CB20" s="644">
        <f t="shared" si="12"/>
        <v>1584</v>
      </c>
      <c r="CC20" s="658">
        <f t="shared" si="17"/>
        <v>144</v>
      </c>
      <c r="CD20" s="644">
        <f t="shared" si="1"/>
        <v>1584</v>
      </c>
      <c r="CE20" s="644">
        <f t="shared" si="18"/>
        <v>0</v>
      </c>
    </row>
    <row r="21" s="338" customFormat="1" ht="40" customHeight="1" spans="1:83">
      <c r="A21" s="632">
        <v>45624</v>
      </c>
      <c r="B21" s="633" t="s">
        <v>239</v>
      </c>
      <c r="C21" s="634" t="s">
        <v>205</v>
      </c>
      <c r="D21" s="635">
        <v>4500152880</v>
      </c>
      <c r="E21" s="659"/>
      <c r="F21" s="636" t="s">
        <v>240</v>
      </c>
      <c r="G21" s="637" t="s">
        <v>241</v>
      </c>
      <c r="H21" s="637" t="s">
        <v>99</v>
      </c>
      <c r="I21" s="638">
        <v>1980</v>
      </c>
      <c r="J21" s="638">
        <v>0</v>
      </c>
      <c r="K21" s="639">
        <v>11</v>
      </c>
      <c r="L21" s="639">
        <f t="shared" si="10"/>
        <v>180</v>
      </c>
      <c r="M21" s="641">
        <v>45657</v>
      </c>
      <c r="N21" s="641">
        <v>45653</v>
      </c>
      <c r="O21" s="641"/>
      <c r="P21" s="642" t="s">
        <v>100</v>
      </c>
      <c r="Q21" s="643" t="s">
        <v>198</v>
      </c>
      <c r="R21" s="642" t="s">
        <v>242</v>
      </c>
      <c r="S21" s="641"/>
      <c r="T21" s="641"/>
      <c r="U21" s="642" t="s">
        <v>243</v>
      </c>
      <c r="V21" s="642"/>
      <c r="W21" s="646"/>
      <c r="X21" s="663" t="s">
        <v>244</v>
      </c>
      <c r="Y21" s="646" t="s">
        <v>105</v>
      </c>
      <c r="Z21" s="648">
        <v>2.7662</v>
      </c>
      <c r="AA21" s="650">
        <f t="shared" si="3"/>
        <v>5477.076</v>
      </c>
      <c r="AB21" s="649">
        <v>1980</v>
      </c>
      <c r="AC21" s="649">
        <f t="shared" si="11"/>
        <v>0</v>
      </c>
      <c r="AD21" s="650" t="s">
        <v>106</v>
      </c>
      <c r="AE21" s="637" t="s">
        <v>241</v>
      </c>
      <c r="AF21" s="646" t="s">
        <v>107</v>
      </c>
      <c r="AG21" s="652" t="s">
        <v>43</v>
      </c>
      <c r="AH21" s="646" t="s">
        <v>245</v>
      </c>
      <c r="AI21" s="664"/>
      <c r="AJ21" s="664"/>
      <c r="AK21" s="664"/>
      <c r="AL21" s="652">
        <f t="shared" ref="AL21:AL30" si="19">I21</f>
        <v>1980</v>
      </c>
      <c r="AM21" s="652"/>
      <c r="AN21" s="664"/>
      <c r="AO21" s="649"/>
      <c r="AP21" s="649"/>
      <c r="AQ21" s="653"/>
      <c r="AR21" s="664"/>
      <c r="AS21" s="664"/>
      <c r="AT21" s="652">
        <f t="shared" si="9"/>
        <v>1980</v>
      </c>
      <c r="AU21" s="649"/>
      <c r="AV21" s="654"/>
      <c r="AW21" s="665"/>
      <c r="AX21" s="652">
        <f t="shared" ref="AX21:AX30" si="20">I21/11</f>
        <v>180</v>
      </c>
      <c r="AY21" s="652"/>
      <c r="AZ21" s="665"/>
      <c r="BA21" s="652"/>
      <c r="BB21" s="652"/>
      <c r="BC21" s="665"/>
      <c r="BD21" s="665"/>
      <c r="BE21" s="654"/>
      <c r="BF21" s="665"/>
      <c r="BG21" s="654"/>
      <c r="BH21" s="654"/>
      <c r="BI21" s="665"/>
      <c r="BJ21" s="665"/>
      <c r="BK21" s="654"/>
      <c r="BL21" s="654"/>
      <c r="BM21" s="654"/>
      <c r="BN21" s="654"/>
      <c r="BO21" s="654"/>
      <c r="BP21" s="665"/>
      <c r="BQ21" s="654"/>
      <c r="BR21" s="665"/>
      <c r="BS21" s="654"/>
      <c r="BT21" s="654"/>
      <c r="BU21" s="654"/>
      <c r="BV21" s="654"/>
      <c r="BW21" s="645" t="s">
        <v>109</v>
      </c>
      <c r="BX21" s="658">
        <f t="shared" si="13"/>
        <v>450</v>
      </c>
      <c r="BY21" s="658">
        <f t="shared" si="14"/>
        <v>540</v>
      </c>
      <c r="BZ21" s="658">
        <f t="shared" si="15"/>
        <v>540</v>
      </c>
      <c r="CA21" s="658">
        <f t="shared" si="16"/>
        <v>450</v>
      </c>
      <c r="CB21" s="644">
        <f t="shared" si="12"/>
        <v>1980</v>
      </c>
      <c r="CC21" s="644">
        <f t="shared" si="17"/>
        <v>180</v>
      </c>
      <c r="CD21" s="644">
        <f t="shared" si="1"/>
        <v>1980</v>
      </c>
      <c r="CE21" s="644">
        <f t="shared" si="18"/>
        <v>0</v>
      </c>
    </row>
    <row r="22" s="338" customFormat="1" ht="40" customHeight="1" spans="1:83">
      <c r="A22" s="632">
        <v>45624</v>
      </c>
      <c r="B22" s="633" t="s">
        <v>246</v>
      </c>
      <c r="C22" s="634" t="s">
        <v>247</v>
      </c>
      <c r="D22" s="635">
        <v>4500152763</v>
      </c>
      <c r="E22" s="659" t="s">
        <v>248</v>
      </c>
      <c r="F22" s="636" t="s">
        <v>249</v>
      </c>
      <c r="G22" s="637" t="s">
        <v>111</v>
      </c>
      <c r="H22" s="637" t="s">
        <v>99</v>
      </c>
      <c r="I22" s="638">
        <v>506</v>
      </c>
      <c r="J22" s="638">
        <v>0</v>
      </c>
      <c r="K22" s="639">
        <v>22</v>
      </c>
      <c r="L22" s="639">
        <f t="shared" si="10"/>
        <v>23</v>
      </c>
      <c r="M22" s="641">
        <v>45657</v>
      </c>
      <c r="N22" s="641">
        <v>45653</v>
      </c>
      <c r="O22" s="641"/>
      <c r="P22" s="642" t="s">
        <v>100</v>
      </c>
      <c r="Q22" s="643" t="s">
        <v>207</v>
      </c>
      <c r="R22" s="642" t="s">
        <v>250</v>
      </c>
      <c r="S22" s="641"/>
      <c r="T22" s="641"/>
      <c r="U22" s="642" t="s">
        <v>251</v>
      </c>
      <c r="V22" s="642"/>
      <c r="W22" s="646"/>
      <c r="X22" s="647" t="s">
        <v>252</v>
      </c>
      <c r="Y22" s="646" t="s">
        <v>253</v>
      </c>
      <c r="Z22" s="649">
        <v>2.8789</v>
      </c>
      <c r="AA22" s="650">
        <f t="shared" si="3"/>
        <v>1456.7234</v>
      </c>
      <c r="AB22" s="649">
        <v>506</v>
      </c>
      <c r="AC22" s="649">
        <f t="shared" si="11"/>
        <v>0</v>
      </c>
      <c r="AD22" s="650" t="s">
        <v>106</v>
      </c>
      <c r="AE22" s="661" t="s">
        <v>111</v>
      </c>
      <c r="AF22" s="646" t="s">
        <v>107</v>
      </c>
      <c r="AG22" s="652" t="s">
        <v>43</v>
      </c>
      <c r="AH22" s="646" t="s">
        <v>254</v>
      </c>
      <c r="AI22" s="664"/>
      <c r="AJ22" s="664"/>
      <c r="AK22" s="664"/>
      <c r="AL22" s="652">
        <f t="shared" si="19"/>
        <v>506</v>
      </c>
      <c r="AM22" s="652"/>
      <c r="AN22" s="664"/>
      <c r="AO22" s="649"/>
      <c r="AP22" s="649"/>
      <c r="AQ22" s="653"/>
      <c r="AR22" s="664"/>
      <c r="AS22" s="664"/>
      <c r="AT22" s="652">
        <f t="shared" si="9"/>
        <v>506</v>
      </c>
      <c r="AU22" s="649"/>
      <c r="AV22" s="654"/>
      <c r="AW22" s="665"/>
      <c r="AX22" s="652">
        <f t="shared" si="20"/>
        <v>46</v>
      </c>
      <c r="AY22" s="652"/>
      <c r="AZ22" s="665"/>
      <c r="BA22" s="652"/>
      <c r="BB22" s="652"/>
      <c r="BC22" s="665"/>
      <c r="BD22" s="665"/>
      <c r="BE22" s="654"/>
      <c r="BF22" s="665"/>
      <c r="BG22" s="654"/>
      <c r="BH22" s="654"/>
      <c r="BI22" s="665"/>
      <c r="BJ22" s="665"/>
      <c r="BK22" s="654"/>
      <c r="BL22" s="654"/>
      <c r="BM22" s="654"/>
      <c r="BN22" s="654"/>
      <c r="BO22" s="654"/>
      <c r="BP22" s="665"/>
      <c r="BQ22" s="654"/>
      <c r="BR22" s="665"/>
      <c r="BS22" s="654"/>
      <c r="BT22" s="654"/>
      <c r="BU22" s="654"/>
      <c r="BV22" s="654"/>
      <c r="BW22" s="645" t="s">
        <v>109</v>
      </c>
      <c r="BX22" s="658">
        <f t="shared" si="13"/>
        <v>115</v>
      </c>
      <c r="BY22" s="658">
        <f t="shared" si="14"/>
        <v>138</v>
      </c>
      <c r="BZ22" s="658">
        <f t="shared" si="15"/>
        <v>138</v>
      </c>
      <c r="CA22" s="658">
        <f t="shared" si="16"/>
        <v>115</v>
      </c>
      <c r="CB22" s="644">
        <f t="shared" si="12"/>
        <v>506</v>
      </c>
      <c r="CC22" s="658">
        <f t="shared" si="17"/>
        <v>46</v>
      </c>
      <c r="CD22" s="644">
        <f t="shared" si="1"/>
        <v>506</v>
      </c>
      <c r="CE22" s="644">
        <f t="shared" si="18"/>
        <v>0</v>
      </c>
    </row>
    <row r="23" s="338" customFormat="1" ht="40" customHeight="1" spans="1:83">
      <c r="A23" s="632">
        <v>45624</v>
      </c>
      <c r="B23" s="633" t="s">
        <v>246</v>
      </c>
      <c r="C23" s="634" t="s">
        <v>247</v>
      </c>
      <c r="D23" s="635">
        <v>4500152763</v>
      </c>
      <c r="E23" s="659" t="s">
        <v>255</v>
      </c>
      <c r="F23" s="636" t="s">
        <v>256</v>
      </c>
      <c r="G23" s="637" t="s">
        <v>111</v>
      </c>
      <c r="H23" s="637" t="s">
        <v>99</v>
      </c>
      <c r="I23" s="638">
        <v>440</v>
      </c>
      <c r="J23" s="638">
        <v>0</v>
      </c>
      <c r="K23" s="639">
        <v>22</v>
      </c>
      <c r="L23" s="639">
        <f t="shared" si="10"/>
        <v>20</v>
      </c>
      <c r="M23" s="641">
        <v>45657</v>
      </c>
      <c r="N23" s="641">
        <v>45653</v>
      </c>
      <c r="O23" s="641"/>
      <c r="P23" s="642" t="s">
        <v>100</v>
      </c>
      <c r="Q23" s="643" t="s">
        <v>257</v>
      </c>
      <c r="R23" s="642" t="s">
        <v>250</v>
      </c>
      <c r="S23" s="641"/>
      <c r="T23" s="641"/>
      <c r="U23" s="642" t="s">
        <v>251</v>
      </c>
      <c r="V23" s="642"/>
      <c r="W23" s="646"/>
      <c r="X23" s="647" t="s">
        <v>252</v>
      </c>
      <c r="Y23" s="646" t="s">
        <v>253</v>
      </c>
      <c r="Z23" s="649">
        <v>2.8789</v>
      </c>
      <c r="AA23" s="650">
        <f t="shared" si="3"/>
        <v>1266.716</v>
      </c>
      <c r="AB23" s="649">
        <v>440</v>
      </c>
      <c r="AC23" s="649">
        <f t="shared" si="11"/>
        <v>0</v>
      </c>
      <c r="AD23" s="650" t="s">
        <v>106</v>
      </c>
      <c r="AE23" s="661" t="s">
        <v>111</v>
      </c>
      <c r="AF23" s="646" t="s">
        <v>107</v>
      </c>
      <c r="AG23" s="652" t="s">
        <v>43</v>
      </c>
      <c r="AH23" s="646" t="s">
        <v>258</v>
      </c>
      <c r="AI23" s="664"/>
      <c r="AJ23" s="664"/>
      <c r="AK23" s="664"/>
      <c r="AL23" s="652">
        <f t="shared" si="19"/>
        <v>440</v>
      </c>
      <c r="AM23" s="652"/>
      <c r="AN23" s="664"/>
      <c r="AO23" s="649"/>
      <c r="AP23" s="649"/>
      <c r="AQ23" s="653"/>
      <c r="AR23" s="664"/>
      <c r="AS23" s="664"/>
      <c r="AT23" s="652">
        <f t="shared" si="9"/>
        <v>440</v>
      </c>
      <c r="AU23" s="649"/>
      <c r="AV23" s="654"/>
      <c r="AW23" s="665"/>
      <c r="AX23" s="652">
        <f t="shared" si="20"/>
        <v>40</v>
      </c>
      <c r="AY23" s="652"/>
      <c r="AZ23" s="665"/>
      <c r="BA23" s="652"/>
      <c r="BB23" s="652"/>
      <c r="BC23" s="665"/>
      <c r="BD23" s="665"/>
      <c r="BE23" s="654"/>
      <c r="BF23" s="665"/>
      <c r="BG23" s="654"/>
      <c r="BH23" s="654"/>
      <c r="BI23" s="665"/>
      <c r="BJ23" s="665"/>
      <c r="BK23" s="654"/>
      <c r="BL23" s="654"/>
      <c r="BM23" s="654"/>
      <c r="BN23" s="654"/>
      <c r="BO23" s="654"/>
      <c r="BP23" s="665"/>
      <c r="BQ23" s="654"/>
      <c r="BR23" s="665"/>
      <c r="BS23" s="654"/>
      <c r="BT23" s="654"/>
      <c r="BU23" s="654"/>
      <c r="BV23" s="654"/>
      <c r="BW23" s="645" t="s">
        <v>109</v>
      </c>
      <c r="BX23" s="658">
        <f t="shared" si="13"/>
        <v>100</v>
      </c>
      <c r="BY23" s="658">
        <f t="shared" si="14"/>
        <v>120</v>
      </c>
      <c r="BZ23" s="658">
        <f t="shared" si="15"/>
        <v>120</v>
      </c>
      <c r="CA23" s="658">
        <f t="shared" si="16"/>
        <v>100</v>
      </c>
      <c r="CB23" s="644">
        <f t="shared" si="12"/>
        <v>440</v>
      </c>
      <c r="CC23" s="658">
        <f t="shared" si="17"/>
        <v>40</v>
      </c>
      <c r="CD23" s="644">
        <f t="shared" si="1"/>
        <v>440</v>
      </c>
      <c r="CE23" s="644">
        <f t="shared" si="18"/>
        <v>0</v>
      </c>
    </row>
    <row r="24" s="338" customFormat="1" ht="40" customHeight="1" spans="1:83">
      <c r="A24" s="632">
        <v>45624</v>
      </c>
      <c r="B24" s="633" t="s">
        <v>246</v>
      </c>
      <c r="C24" s="634" t="s">
        <v>247</v>
      </c>
      <c r="D24" s="635">
        <v>4500152763</v>
      </c>
      <c r="E24" s="659" t="s">
        <v>259</v>
      </c>
      <c r="F24" s="636" t="s">
        <v>260</v>
      </c>
      <c r="G24" s="637" t="s">
        <v>111</v>
      </c>
      <c r="H24" s="637" t="s">
        <v>99</v>
      </c>
      <c r="I24" s="638">
        <v>352</v>
      </c>
      <c r="J24" s="638">
        <v>0</v>
      </c>
      <c r="K24" s="639">
        <v>22</v>
      </c>
      <c r="L24" s="639">
        <f t="shared" si="10"/>
        <v>16</v>
      </c>
      <c r="M24" s="641">
        <v>45657</v>
      </c>
      <c r="N24" s="641">
        <v>45653</v>
      </c>
      <c r="O24" s="641"/>
      <c r="P24" s="642" t="s">
        <v>100</v>
      </c>
      <c r="Q24" s="643" t="s">
        <v>261</v>
      </c>
      <c r="R24" s="642" t="s">
        <v>250</v>
      </c>
      <c r="S24" s="641"/>
      <c r="T24" s="641"/>
      <c r="U24" s="642" t="s">
        <v>251</v>
      </c>
      <c r="V24" s="642"/>
      <c r="W24" s="646"/>
      <c r="X24" s="647" t="s">
        <v>252</v>
      </c>
      <c r="Y24" s="646" t="s">
        <v>253</v>
      </c>
      <c r="Z24" s="649">
        <v>2.8789</v>
      </c>
      <c r="AA24" s="650">
        <f t="shared" si="3"/>
        <v>1013.3728</v>
      </c>
      <c r="AB24" s="649">
        <v>352</v>
      </c>
      <c r="AC24" s="649">
        <f t="shared" si="11"/>
        <v>0</v>
      </c>
      <c r="AD24" s="650" t="s">
        <v>106</v>
      </c>
      <c r="AE24" s="661" t="s">
        <v>111</v>
      </c>
      <c r="AF24" s="646" t="s">
        <v>107</v>
      </c>
      <c r="AG24" s="652" t="s">
        <v>43</v>
      </c>
      <c r="AH24" s="646" t="s">
        <v>262</v>
      </c>
      <c r="AI24" s="664"/>
      <c r="AJ24" s="664"/>
      <c r="AK24" s="664"/>
      <c r="AL24" s="652">
        <f t="shared" si="19"/>
        <v>352</v>
      </c>
      <c r="AM24" s="652"/>
      <c r="AN24" s="664"/>
      <c r="AO24" s="649"/>
      <c r="AP24" s="649"/>
      <c r="AQ24" s="653"/>
      <c r="AR24" s="664"/>
      <c r="AS24" s="664"/>
      <c r="AT24" s="652">
        <f t="shared" si="9"/>
        <v>352</v>
      </c>
      <c r="AU24" s="649"/>
      <c r="AV24" s="654"/>
      <c r="AW24" s="665"/>
      <c r="AX24" s="652">
        <f t="shared" si="20"/>
        <v>32</v>
      </c>
      <c r="AY24" s="652"/>
      <c r="AZ24" s="665"/>
      <c r="BA24" s="652"/>
      <c r="BB24" s="652"/>
      <c r="BC24" s="665"/>
      <c r="BD24" s="665"/>
      <c r="BE24" s="654"/>
      <c r="BF24" s="665"/>
      <c r="BG24" s="654"/>
      <c r="BH24" s="654"/>
      <c r="BI24" s="665"/>
      <c r="BJ24" s="665"/>
      <c r="BK24" s="654"/>
      <c r="BL24" s="654"/>
      <c r="BM24" s="654"/>
      <c r="BN24" s="654"/>
      <c r="BO24" s="654"/>
      <c r="BP24" s="665"/>
      <c r="BQ24" s="654"/>
      <c r="BR24" s="665"/>
      <c r="BS24" s="654"/>
      <c r="BT24" s="654"/>
      <c r="BU24" s="654"/>
      <c r="BV24" s="654"/>
      <c r="BW24" s="645" t="s">
        <v>109</v>
      </c>
      <c r="BX24" s="658">
        <f t="shared" si="13"/>
        <v>80</v>
      </c>
      <c r="BY24" s="658">
        <f t="shared" si="14"/>
        <v>96</v>
      </c>
      <c r="BZ24" s="658">
        <f t="shared" si="15"/>
        <v>96</v>
      </c>
      <c r="CA24" s="658">
        <f t="shared" si="16"/>
        <v>80</v>
      </c>
      <c r="CB24" s="644">
        <f t="shared" si="12"/>
        <v>352</v>
      </c>
      <c r="CC24" s="658">
        <f t="shared" si="17"/>
        <v>32</v>
      </c>
      <c r="CD24" s="644">
        <f t="shared" si="1"/>
        <v>352</v>
      </c>
      <c r="CE24" s="644">
        <f t="shared" si="18"/>
        <v>0</v>
      </c>
    </row>
    <row r="25" s="338" customFormat="1" ht="40" customHeight="1" spans="1:83">
      <c r="A25" s="632">
        <v>45624</v>
      </c>
      <c r="B25" s="633" t="s">
        <v>246</v>
      </c>
      <c r="C25" s="634" t="s">
        <v>247</v>
      </c>
      <c r="D25" s="635">
        <v>4500152763</v>
      </c>
      <c r="E25" s="659" t="s">
        <v>263</v>
      </c>
      <c r="F25" s="636" t="s">
        <v>264</v>
      </c>
      <c r="G25" s="637" t="s">
        <v>111</v>
      </c>
      <c r="H25" s="637" t="s">
        <v>99</v>
      </c>
      <c r="I25" s="638">
        <v>220</v>
      </c>
      <c r="J25" s="638">
        <v>0</v>
      </c>
      <c r="K25" s="639">
        <v>22</v>
      </c>
      <c r="L25" s="639">
        <f t="shared" si="10"/>
        <v>10</v>
      </c>
      <c r="M25" s="641">
        <v>45657</v>
      </c>
      <c r="N25" s="641">
        <v>45653</v>
      </c>
      <c r="O25" s="641"/>
      <c r="P25" s="642" t="s">
        <v>100</v>
      </c>
      <c r="Q25" s="643" t="s">
        <v>257</v>
      </c>
      <c r="R25" s="642" t="s">
        <v>250</v>
      </c>
      <c r="S25" s="641"/>
      <c r="T25" s="641"/>
      <c r="U25" s="642" t="s">
        <v>251</v>
      </c>
      <c r="V25" s="642"/>
      <c r="W25" s="646"/>
      <c r="X25" s="647" t="s">
        <v>252</v>
      </c>
      <c r="Y25" s="646" t="s">
        <v>253</v>
      </c>
      <c r="Z25" s="649">
        <v>2.8789</v>
      </c>
      <c r="AA25" s="650">
        <f t="shared" si="3"/>
        <v>633.358</v>
      </c>
      <c r="AB25" s="649">
        <v>220</v>
      </c>
      <c r="AC25" s="649">
        <f t="shared" si="11"/>
        <v>0</v>
      </c>
      <c r="AD25" s="650" t="s">
        <v>106</v>
      </c>
      <c r="AE25" s="661" t="s">
        <v>111</v>
      </c>
      <c r="AF25" s="646" t="s">
        <v>107</v>
      </c>
      <c r="AG25" s="652" t="s">
        <v>43</v>
      </c>
      <c r="AH25" s="646" t="s">
        <v>265</v>
      </c>
      <c r="AI25" s="664"/>
      <c r="AJ25" s="664"/>
      <c r="AK25" s="664"/>
      <c r="AL25" s="652">
        <f t="shared" si="19"/>
        <v>220</v>
      </c>
      <c r="AM25" s="652"/>
      <c r="AN25" s="664"/>
      <c r="AO25" s="649"/>
      <c r="AP25" s="649"/>
      <c r="AQ25" s="653"/>
      <c r="AR25" s="664"/>
      <c r="AS25" s="664"/>
      <c r="AT25" s="652">
        <f t="shared" ref="AT25:AT32" si="21">I25</f>
        <v>220</v>
      </c>
      <c r="AU25" s="649"/>
      <c r="AV25" s="654"/>
      <c r="AW25" s="665"/>
      <c r="AX25" s="652">
        <f t="shared" si="20"/>
        <v>20</v>
      </c>
      <c r="AY25" s="652"/>
      <c r="AZ25" s="665"/>
      <c r="BA25" s="652"/>
      <c r="BB25" s="652"/>
      <c r="BC25" s="665"/>
      <c r="BD25" s="665"/>
      <c r="BE25" s="654"/>
      <c r="BF25" s="665"/>
      <c r="BG25" s="654"/>
      <c r="BH25" s="654"/>
      <c r="BI25" s="665"/>
      <c r="BJ25" s="665"/>
      <c r="BK25" s="654"/>
      <c r="BL25" s="654"/>
      <c r="BM25" s="654"/>
      <c r="BN25" s="654"/>
      <c r="BO25" s="654"/>
      <c r="BP25" s="665"/>
      <c r="BQ25" s="654"/>
      <c r="BR25" s="665"/>
      <c r="BS25" s="654"/>
      <c r="BT25" s="654"/>
      <c r="BU25" s="654"/>
      <c r="BV25" s="654"/>
      <c r="BW25" s="645" t="s">
        <v>109</v>
      </c>
      <c r="BX25" s="658">
        <f t="shared" si="13"/>
        <v>50</v>
      </c>
      <c r="BY25" s="658">
        <f t="shared" si="14"/>
        <v>60</v>
      </c>
      <c r="BZ25" s="658">
        <f t="shared" si="15"/>
        <v>60</v>
      </c>
      <c r="CA25" s="658">
        <f t="shared" si="16"/>
        <v>50</v>
      </c>
      <c r="CB25" s="644">
        <f t="shared" si="12"/>
        <v>220</v>
      </c>
      <c r="CC25" s="658">
        <f t="shared" si="17"/>
        <v>20</v>
      </c>
      <c r="CD25" s="644">
        <f t="shared" si="1"/>
        <v>220</v>
      </c>
      <c r="CE25" s="644">
        <f t="shared" si="18"/>
        <v>0</v>
      </c>
    </row>
    <row r="26" s="338" customFormat="1" ht="40" customHeight="1" spans="1:83">
      <c r="A26" s="632">
        <v>45615</v>
      </c>
      <c r="B26" s="633" t="s">
        <v>266</v>
      </c>
      <c r="C26" s="634" t="s">
        <v>267</v>
      </c>
      <c r="D26" s="635">
        <v>4500151669</v>
      </c>
      <c r="E26" s="659">
        <v>28682677</v>
      </c>
      <c r="F26" s="636" t="s">
        <v>268</v>
      </c>
      <c r="G26" s="637" t="s">
        <v>111</v>
      </c>
      <c r="H26" s="637" t="s">
        <v>99</v>
      </c>
      <c r="I26" s="638">
        <v>1144</v>
      </c>
      <c r="J26" s="638">
        <v>0</v>
      </c>
      <c r="K26" s="639">
        <v>22</v>
      </c>
      <c r="L26" s="639">
        <f t="shared" si="10"/>
        <v>52</v>
      </c>
      <c r="M26" s="641">
        <v>45660</v>
      </c>
      <c r="N26" s="641">
        <v>45656</v>
      </c>
      <c r="O26" s="641"/>
      <c r="P26" s="642" t="s">
        <v>100</v>
      </c>
      <c r="Q26" s="643" t="s">
        <v>269</v>
      </c>
      <c r="R26" s="642" t="s">
        <v>270</v>
      </c>
      <c r="S26" s="641"/>
      <c r="T26" s="641"/>
      <c r="U26" s="642" t="s">
        <v>113</v>
      </c>
      <c r="V26" s="642"/>
      <c r="W26" s="646"/>
      <c r="X26" s="647" t="s">
        <v>271</v>
      </c>
      <c r="Y26" s="646" t="s">
        <v>272</v>
      </c>
      <c r="Z26" s="649">
        <v>2.8038</v>
      </c>
      <c r="AA26" s="650">
        <f t="shared" si="3"/>
        <v>3207.5472</v>
      </c>
      <c r="AB26" s="649">
        <v>1144</v>
      </c>
      <c r="AC26" s="649">
        <f t="shared" si="11"/>
        <v>0</v>
      </c>
      <c r="AD26" s="650" t="s">
        <v>113</v>
      </c>
      <c r="AE26" s="661" t="s">
        <v>111</v>
      </c>
      <c r="AF26" s="646" t="s">
        <v>107</v>
      </c>
      <c r="AG26" s="652" t="s">
        <v>43</v>
      </c>
      <c r="AH26" s="646" t="s">
        <v>273</v>
      </c>
      <c r="AI26" s="649"/>
      <c r="AJ26" s="649"/>
      <c r="AK26" s="649"/>
      <c r="AL26" s="652">
        <f t="shared" si="19"/>
        <v>1144</v>
      </c>
      <c r="AM26" s="652"/>
      <c r="AN26" s="649"/>
      <c r="AO26" s="649"/>
      <c r="AP26" s="649"/>
      <c r="AQ26" s="653"/>
      <c r="AR26" s="649"/>
      <c r="AS26" s="649"/>
      <c r="AT26" s="652">
        <f t="shared" si="21"/>
        <v>1144</v>
      </c>
      <c r="AU26" s="649"/>
      <c r="AV26" s="654"/>
      <c r="AW26" s="654"/>
      <c r="AX26" s="652">
        <f t="shared" si="20"/>
        <v>104</v>
      </c>
      <c r="AY26" s="652"/>
      <c r="AZ26" s="654"/>
      <c r="BA26" s="652"/>
      <c r="BB26" s="652"/>
      <c r="BC26" s="654"/>
      <c r="BD26" s="654"/>
      <c r="BE26" s="654"/>
      <c r="BF26" s="654"/>
      <c r="BG26" s="654"/>
      <c r="BH26" s="654"/>
      <c r="BI26" s="654"/>
      <c r="BJ26" s="654"/>
      <c r="BK26" s="654"/>
      <c r="BL26" s="654"/>
      <c r="BM26" s="654"/>
      <c r="BN26" s="654"/>
      <c r="BO26" s="654"/>
      <c r="BP26" s="654"/>
      <c r="BQ26" s="654"/>
      <c r="BR26" s="654"/>
      <c r="BS26" s="654"/>
      <c r="BT26" s="654"/>
      <c r="BU26" s="654"/>
      <c r="BV26" s="654"/>
      <c r="BW26" s="645" t="s">
        <v>109</v>
      </c>
      <c r="BX26" s="658">
        <f t="shared" si="13"/>
        <v>260</v>
      </c>
      <c r="BY26" s="658">
        <f t="shared" si="14"/>
        <v>312</v>
      </c>
      <c r="BZ26" s="658">
        <f t="shared" si="15"/>
        <v>312</v>
      </c>
      <c r="CA26" s="658">
        <f t="shared" si="16"/>
        <v>260</v>
      </c>
      <c r="CB26" s="644">
        <f t="shared" si="12"/>
        <v>1144</v>
      </c>
      <c r="CC26" s="658">
        <f t="shared" si="17"/>
        <v>104</v>
      </c>
      <c r="CD26" s="644">
        <f t="shared" si="1"/>
        <v>1144</v>
      </c>
      <c r="CE26" s="644">
        <f t="shared" si="18"/>
        <v>0</v>
      </c>
    </row>
    <row r="27" s="338" customFormat="1" ht="40" customHeight="1" spans="1:83">
      <c r="A27" s="632">
        <v>45618</v>
      </c>
      <c r="B27" s="633" t="s">
        <v>274</v>
      </c>
      <c r="C27" s="634" t="s">
        <v>275</v>
      </c>
      <c r="D27" s="635">
        <v>4500152087</v>
      </c>
      <c r="E27" s="659" t="s">
        <v>276</v>
      </c>
      <c r="F27" s="636" t="s">
        <v>277</v>
      </c>
      <c r="G27" s="637" t="s">
        <v>111</v>
      </c>
      <c r="H27" s="637" t="s">
        <v>99</v>
      </c>
      <c r="I27" s="638">
        <v>528</v>
      </c>
      <c r="J27" s="638">
        <v>0</v>
      </c>
      <c r="K27" s="639">
        <v>22</v>
      </c>
      <c r="L27" s="639">
        <f t="shared" si="10"/>
        <v>24</v>
      </c>
      <c r="M27" s="641">
        <v>45660</v>
      </c>
      <c r="N27" s="641">
        <v>45656</v>
      </c>
      <c r="O27" s="641"/>
      <c r="P27" s="642" t="s">
        <v>100</v>
      </c>
      <c r="Q27" s="643" t="s">
        <v>261</v>
      </c>
      <c r="R27" s="642" t="s">
        <v>278</v>
      </c>
      <c r="S27" s="641"/>
      <c r="T27" s="641"/>
      <c r="U27" s="642" t="s">
        <v>279</v>
      </c>
      <c r="V27" s="642"/>
      <c r="W27" s="646"/>
      <c r="X27" s="647" t="s">
        <v>280</v>
      </c>
      <c r="Y27" s="645" t="s">
        <v>281</v>
      </c>
      <c r="Z27" s="649">
        <v>2.8179</v>
      </c>
      <c r="AA27" s="650">
        <f t="shared" si="3"/>
        <v>1487.8512</v>
      </c>
      <c r="AB27" s="649">
        <v>528</v>
      </c>
      <c r="AC27" s="649">
        <f t="shared" si="11"/>
        <v>0</v>
      </c>
      <c r="AD27" s="650" t="s">
        <v>123</v>
      </c>
      <c r="AE27" s="661" t="s">
        <v>111</v>
      </c>
      <c r="AF27" s="646" t="s">
        <v>107</v>
      </c>
      <c r="AG27" s="652" t="s">
        <v>43</v>
      </c>
      <c r="AH27" s="646" t="s">
        <v>282</v>
      </c>
      <c r="AI27" s="664"/>
      <c r="AJ27" s="664"/>
      <c r="AK27" s="664"/>
      <c r="AL27" s="652">
        <f t="shared" si="19"/>
        <v>528</v>
      </c>
      <c r="AM27" s="652"/>
      <c r="AN27" s="664"/>
      <c r="AO27" s="649"/>
      <c r="AP27" s="649"/>
      <c r="AQ27" s="653"/>
      <c r="AR27" s="664"/>
      <c r="AS27" s="664"/>
      <c r="AT27" s="652">
        <f t="shared" si="21"/>
        <v>528</v>
      </c>
      <c r="AU27" s="649"/>
      <c r="AV27" s="654"/>
      <c r="AW27" s="665"/>
      <c r="AX27" s="652">
        <f t="shared" si="20"/>
        <v>48</v>
      </c>
      <c r="AY27" s="652"/>
      <c r="AZ27" s="665"/>
      <c r="BA27" s="652"/>
      <c r="BB27" s="652"/>
      <c r="BC27" s="665"/>
      <c r="BD27" s="665"/>
      <c r="BE27" s="654"/>
      <c r="BF27" s="665"/>
      <c r="BG27" s="654"/>
      <c r="BH27" s="654"/>
      <c r="BI27" s="665"/>
      <c r="BJ27" s="665"/>
      <c r="BK27" s="654"/>
      <c r="BL27" s="654"/>
      <c r="BM27" s="654"/>
      <c r="BN27" s="654"/>
      <c r="BO27" s="654"/>
      <c r="BP27" s="665"/>
      <c r="BQ27" s="654"/>
      <c r="BR27" s="665"/>
      <c r="BS27" s="654"/>
      <c r="BT27" s="654"/>
      <c r="BU27" s="654"/>
      <c r="BV27" s="654"/>
      <c r="BW27" s="645" t="s">
        <v>109</v>
      </c>
      <c r="BX27" s="658">
        <f t="shared" si="13"/>
        <v>120</v>
      </c>
      <c r="BY27" s="658">
        <f t="shared" si="14"/>
        <v>144</v>
      </c>
      <c r="BZ27" s="658">
        <f t="shared" si="15"/>
        <v>144</v>
      </c>
      <c r="CA27" s="658">
        <f t="shared" si="16"/>
        <v>120</v>
      </c>
      <c r="CB27" s="644">
        <f t="shared" si="12"/>
        <v>528</v>
      </c>
      <c r="CC27" s="658">
        <f t="shared" si="17"/>
        <v>48</v>
      </c>
      <c r="CD27" s="644">
        <f t="shared" si="1"/>
        <v>528</v>
      </c>
      <c r="CE27" s="644">
        <f t="shared" si="18"/>
        <v>0</v>
      </c>
    </row>
    <row r="28" s="338" customFormat="1" ht="40" customHeight="1" spans="1:83">
      <c r="A28" s="632">
        <v>45615</v>
      </c>
      <c r="B28" s="633" t="s">
        <v>266</v>
      </c>
      <c r="C28" s="634" t="s">
        <v>267</v>
      </c>
      <c r="D28" s="635">
        <v>4500151670</v>
      </c>
      <c r="E28" s="659">
        <v>28682679</v>
      </c>
      <c r="F28" s="636" t="s">
        <v>283</v>
      </c>
      <c r="G28" s="637" t="s">
        <v>111</v>
      </c>
      <c r="H28" s="637" t="s">
        <v>99</v>
      </c>
      <c r="I28" s="638">
        <v>374</v>
      </c>
      <c r="J28" s="638">
        <v>0</v>
      </c>
      <c r="K28" s="639">
        <v>22</v>
      </c>
      <c r="L28" s="639">
        <f t="shared" si="10"/>
        <v>17</v>
      </c>
      <c r="M28" s="641">
        <v>45660</v>
      </c>
      <c r="N28" s="641">
        <v>45656</v>
      </c>
      <c r="O28" s="641"/>
      <c r="P28" s="642" t="s">
        <v>100</v>
      </c>
      <c r="Q28" s="643" t="s">
        <v>269</v>
      </c>
      <c r="R28" s="642" t="s">
        <v>270</v>
      </c>
      <c r="S28" s="641"/>
      <c r="T28" s="641"/>
      <c r="U28" s="642" t="s">
        <v>113</v>
      </c>
      <c r="V28" s="642"/>
      <c r="W28" s="646"/>
      <c r="X28" s="647" t="s">
        <v>284</v>
      </c>
      <c r="Y28" s="646" t="s">
        <v>272</v>
      </c>
      <c r="Z28" s="649">
        <v>2.8179</v>
      </c>
      <c r="AA28" s="650">
        <f t="shared" si="3"/>
        <v>1053.8946</v>
      </c>
      <c r="AB28" s="649">
        <v>374</v>
      </c>
      <c r="AC28" s="649">
        <f t="shared" si="11"/>
        <v>0</v>
      </c>
      <c r="AD28" s="650" t="s">
        <v>113</v>
      </c>
      <c r="AE28" s="661" t="s">
        <v>111</v>
      </c>
      <c r="AF28" s="646" t="s">
        <v>107</v>
      </c>
      <c r="AG28" s="652" t="s">
        <v>43</v>
      </c>
      <c r="AH28" s="646" t="s">
        <v>285</v>
      </c>
      <c r="AI28" s="649"/>
      <c r="AJ28" s="649"/>
      <c r="AK28" s="649"/>
      <c r="AL28" s="652">
        <f t="shared" si="19"/>
        <v>374</v>
      </c>
      <c r="AM28" s="652"/>
      <c r="AN28" s="649"/>
      <c r="AO28" s="649"/>
      <c r="AP28" s="649"/>
      <c r="AQ28" s="653"/>
      <c r="AR28" s="649"/>
      <c r="AS28" s="649"/>
      <c r="AT28" s="652">
        <f t="shared" si="21"/>
        <v>374</v>
      </c>
      <c r="AU28" s="649"/>
      <c r="AV28" s="654"/>
      <c r="AW28" s="654"/>
      <c r="AX28" s="652">
        <f t="shared" si="20"/>
        <v>34</v>
      </c>
      <c r="AY28" s="652"/>
      <c r="AZ28" s="654"/>
      <c r="BA28" s="652"/>
      <c r="BB28" s="652"/>
      <c r="BC28" s="654"/>
      <c r="BD28" s="654"/>
      <c r="BE28" s="654"/>
      <c r="BF28" s="654"/>
      <c r="BG28" s="654"/>
      <c r="BH28" s="654"/>
      <c r="BI28" s="654"/>
      <c r="BJ28" s="654"/>
      <c r="BK28" s="654"/>
      <c r="BL28" s="654"/>
      <c r="BM28" s="654"/>
      <c r="BN28" s="654"/>
      <c r="BO28" s="654"/>
      <c r="BP28" s="654"/>
      <c r="BQ28" s="654"/>
      <c r="BR28" s="654"/>
      <c r="BS28" s="654"/>
      <c r="BT28" s="654"/>
      <c r="BU28" s="654"/>
      <c r="BV28" s="654"/>
      <c r="BW28" s="645" t="s">
        <v>109</v>
      </c>
      <c r="BX28" s="658">
        <f t="shared" si="13"/>
        <v>85</v>
      </c>
      <c r="BY28" s="658">
        <f t="shared" si="14"/>
        <v>102</v>
      </c>
      <c r="BZ28" s="658">
        <f t="shared" si="15"/>
        <v>102</v>
      </c>
      <c r="CA28" s="658">
        <f t="shared" si="16"/>
        <v>85</v>
      </c>
      <c r="CB28" s="644">
        <f t="shared" si="12"/>
        <v>374</v>
      </c>
      <c r="CC28" s="658">
        <f t="shared" si="17"/>
        <v>34</v>
      </c>
      <c r="CD28" s="644">
        <f t="shared" si="1"/>
        <v>374</v>
      </c>
      <c r="CE28" s="644">
        <f t="shared" si="18"/>
        <v>0</v>
      </c>
    </row>
    <row r="29" s="338" customFormat="1" ht="40" customHeight="1" spans="1:83">
      <c r="A29" s="632">
        <v>45625</v>
      </c>
      <c r="B29" s="633" t="s">
        <v>286</v>
      </c>
      <c r="C29" s="634" t="s">
        <v>214</v>
      </c>
      <c r="D29" s="635">
        <v>4500152951</v>
      </c>
      <c r="E29" s="666">
        <v>37333959</v>
      </c>
      <c r="F29" s="636" t="s">
        <v>287</v>
      </c>
      <c r="G29" s="637" t="s">
        <v>241</v>
      </c>
      <c r="H29" s="637" t="s">
        <v>99</v>
      </c>
      <c r="I29" s="638">
        <v>5500</v>
      </c>
      <c r="J29" s="638">
        <v>0</v>
      </c>
      <c r="K29" s="639">
        <v>11</v>
      </c>
      <c r="L29" s="639">
        <f t="shared" si="10"/>
        <v>500</v>
      </c>
      <c r="M29" s="641">
        <v>45657</v>
      </c>
      <c r="N29" s="641">
        <v>45653</v>
      </c>
      <c r="O29" s="641"/>
      <c r="P29" s="642" t="s">
        <v>100</v>
      </c>
      <c r="Q29" s="643"/>
      <c r="R29" s="642" t="s">
        <v>242</v>
      </c>
      <c r="S29" s="641"/>
      <c r="T29" s="641"/>
      <c r="U29" s="642" t="s">
        <v>113</v>
      </c>
      <c r="V29" s="642"/>
      <c r="W29" s="646"/>
      <c r="X29" s="647" t="s">
        <v>288</v>
      </c>
      <c r="Y29" s="646" t="s">
        <v>289</v>
      </c>
      <c r="Z29" s="648">
        <v>2.7699</v>
      </c>
      <c r="AA29" s="650">
        <f t="shared" si="3"/>
        <v>15234.45</v>
      </c>
      <c r="AB29" s="649">
        <v>5500</v>
      </c>
      <c r="AC29" s="649">
        <f t="shared" si="11"/>
        <v>0</v>
      </c>
      <c r="AD29" s="650" t="s">
        <v>113</v>
      </c>
      <c r="AE29" s="637" t="s">
        <v>241</v>
      </c>
      <c r="AF29" s="646" t="s">
        <v>107</v>
      </c>
      <c r="AG29" s="652" t="s">
        <v>43</v>
      </c>
      <c r="AH29" s="646" t="s">
        <v>290</v>
      </c>
      <c r="AI29" s="649"/>
      <c r="AJ29" s="649"/>
      <c r="AK29" s="649"/>
      <c r="AL29" s="652">
        <f t="shared" si="19"/>
        <v>5500</v>
      </c>
      <c r="AM29" s="652"/>
      <c r="AN29" s="649"/>
      <c r="AO29" s="649"/>
      <c r="AP29" s="649"/>
      <c r="AQ29" s="653"/>
      <c r="AR29" s="649"/>
      <c r="AS29" s="649"/>
      <c r="AT29" s="652">
        <f t="shared" si="21"/>
        <v>5500</v>
      </c>
      <c r="AU29" s="649"/>
      <c r="AV29" s="654"/>
      <c r="AW29" s="654"/>
      <c r="AX29" s="652">
        <f t="shared" si="20"/>
        <v>500</v>
      </c>
      <c r="AY29" s="652"/>
      <c r="AZ29" s="654"/>
      <c r="BA29" s="652"/>
      <c r="BB29" s="652"/>
      <c r="BC29" s="654"/>
      <c r="BD29" s="654"/>
      <c r="BE29" s="654"/>
      <c r="BF29" s="654"/>
      <c r="BG29" s="654"/>
      <c r="BH29" s="654"/>
      <c r="BI29" s="654"/>
      <c r="BJ29" s="654"/>
      <c r="BK29" s="654"/>
      <c r="BL29" s="654"/>
      <c r="BM29" s="654"/>
      <c r="BN29" s="654"/>
      <c r="BO29" s="654"/>
      <c r="BP29" s="654"/>
      <c r="BQ29" s="654"/>
      <c r="BR29" s="654"/>
      <c r="BS29" s="654"/>
      <c r="BT29" s="654"/>
      <c r="BU29" s="654"/>
      <c r="BV29" s="654"/>
      <c r="BW29" s="645" t="s">
        <v>109</v>
      </c>
      <c r="BX29" s="658">
        <f t="shared" si="13"/>
        <v>1250</v>
      </c>
      <c r="BY29" s="658">
        <f t="shared" si="14"/>
        <v>1500</v>
      </c>
      <c r="BZ29" s="658">
        <f t="shared" si="15"/>
        <v>1500</v>
      </c>
      <c r="CA29" s="658">
        <f t="shared" si="16"/>
        <v>1250</v>
      </c>
      <c r="CB29" s="644">
        <f t="shared" si="12"/>
        <v>5500</v>
      </c>
      <c r="CC29" s="644">
        <f t="shared" si="17"/>
        <v>500</v>
      </c>
      <c r="CD29" s="644">
        <f t="shared" si="1"/>
        <v>5500</v>
      </c>
      <c r="CE29" s="644">
        <f t="shared" si="18"/>
        <v>0</v>
      </c>
    </row>
    <row r="30" s="338" customFormat="1" ht="40" customHeight="1" spans="1:83">
      <c r="A30" s="632">
        <v>45621</v>
      </c>
      <c r="B30" s="633" t="s">
        <v>291</v>
      </c>
      <c r="C30" s="634" t="s">
        <v>292</v>
      </c>
      <c r="D30" s="635">
        <v>4500152205</v>
      </c>
      <c r="E30" s="659"/>
      <c r="F30" s="636" t="s">
        <v>293</v>
      </c>
      <c r="G30" s="637" t="s">
        <v>111</v>
      </c>
      <c r="H30" s="637" t="s">
        <v>99</v>
      </c>
      <c r="I30" s="638">
        <v>506</v>
      </c>
      <c r="J30" s="638">
        <v>0</v>
      </c>
      <c r="K30" s="639">
        <v>22</v>
      </c>
      <c r="L30" s="639">
        <f t="shared" si="10"/>
        <v>23</v>
      </c>
      <c r="M30" s="641">
        <v>45659</v>
      </c>
      <c r="N30" s="641">
        <v>45656</v>
      </c>
      <c r="O30" s="641"/>
      <c r="P30" s="642" t="s">
        <v>100</v>
      </c>
      <c r="Q30" s="643" t="s">
        <v>294</v>
      </c>
      <c r="R30" s="642" t="s">
        <v>295</v>
      </c>
      <c r="S30" s="641"/>
      <c r="T30" s="641"/>
      <c r="U30" s="642" t="s">
        <v>296</v>
      </c>
      <c r="V30" s="642"/>
      <c r="W30" s="646"/>
      <c r="X30" s="647" t="s">
        <v>297</v>
      </c>
      <c r="Y30" s="646" t="s">
        <v>298</v>
      </c>
      <c r="Z30" s="649">
        <v>2.8179</v>
      </c>
      <c r="AA30" s="650">
        <f t="shared" si="3"/>
        <v>1425.8574</v>
      </c>
      <c r="AB30" s="649">
        <v>506</v>
      </c>
      <c r="AC30" s="649">
        <f t="shared" si="11"/>
        <v>0</v>
      </c>
      <c r="AD30" s="650" t="s">
        <v>106</v>
      </c>
      <c r="AE30" s="661" t="s">
        <v>111</v>
      </c>
      <c r="AF30" s="646" t="s">
        <v>107</v>
      </c>
      <c r="AG30" s="652" t="s">
        <v>43</v>
      </c>
      <c r="AH30" s="646" t="s">
        <v>299</v>
      </c>
      <c r="AI30" s="649"/>
      <c r="AJ30" s="649"/>
      <c r="AK30" s="649"/>
      <c r="AL30" s="652">
        <f t="shared" si="19"/>
        <v>506</v>
      </c>
      <c r="AM30" s="652"/>
      <c r="AN30" s="649"/>
      <c r="AO30" s="649"/>
      <c r="AP30" s="649"/>
      <c r="AQ30" s="653"/>
      <c r="AR30" s="649"/>
      <c r="AS30" s="649"/>
      <c r="AT30" s="652">
        <f t="shared" si="21"/>
        <v>506</v>
      </c>
      <c r="AU30" s="649"/>
      <c r="AV30" s="654"/>
      <c r="AW30" s="654"/>
      <c r="AX30" s="652">
        <f t="shared" si="20"/>
        <v>46</v>
      </c>
      <c r="AY30" s="652"/>
      <c r="AZ30" s="654"/>
      <c r="BA30" s="652"/>
      <c r="BB30" s="652"/>
      <c r="BC30" s="654"/>
      <c r="BD30" s="654"/>
      <c r="BE30" s="654"/>
      <c r="BF30" s="654"/>
      <c r="BG30" s="654"/>
      <c r="BH30" s="654"/>
      <c r="BI30" s="654"/>
      <c r="BJ30" s="654"/>
      <c r="BK30" s="654"/>
      <c r="BL30" s="654"/>
      <c r="BM30" s="654"/>
      <c r="BN30" s="654"/>
      <c r="BO30" s="654"/>
      <c r="BP30" s="654"/>
      <c r="BQ30" s="654"/>
      <c r="BR30" s="654"/>
      <c r="BS30" s="654"/>
      <c r="BT30" s="654"/>
      <c r="BU30" s="654"/>
      <c r="BV30" s="654"/>
      <c r="BW30" s="645" t="s">
        <v>109</v>
      </c>
      <c r="BX30" s="658">
        <f t="shared" si="13"/>
        <v>115</v>
      </c>
      <c r="BY30" s="658">
        <f t="shared" si="14"/>
        <v>138</v>
      </c>
      <c r="BZ30" s="658">
        <f t="shared" si="15"/>
        <v>138</v>
      </c>
      <c r="CA30" s="658">
        <f t="shared" si="16"/>
        <v>115</v>
      </c>
      <c r="CB30" s="644">
        <f t="shared" si="12"/>
        <v>506</v>
      </c>
      <c r="CC30" s="658">
        <f t="shared" si="17"/>
        <v>46</v>
      </c>
      <c r="CD30" s="644">
        <f t="shared" si="1"/>
        <v>506</v>
      </c>
      <c r="CE30" s="644">
        <f t="shared" si="18"/>
        <v>0</v>
      </c>
    </row>
    <row r="31" s="338" customFormat="1" ht="40" customHeight="1" spans="1:83">
      <c r="A31" s="632">
        <v>45573</v>
      </c>
      <c r="B31" s="633" t="s">
        <v>300</v>
      </c>
      <c r="C31" s="634" t="s">
        <v>301</v>
      </c>
      <c r="D31" s="635">
        <v>4500146540</v>
      </c>
      <c r="E31" s="659" t="s">
        <v>302</v>
      </c>
      <c r="F31" s="636" t="s">
        <v>303</v>
      </c>
      <c r="G31" s="637" t="s">
        <v>111</v>
      </c>
      <c r="H31" s="637" t="s">
        <v>99</v>
      </c>
      <c r="I31" s="638">
        <v>946</v>
      </c>
      <c r="J31" s="638">
        <v>0</v>
      </c>
      <c r="K31" s="639">
        <v>22</v>
      </c>
      <c r="L31" s="639">
        <f t="shared" si="10"/>
        <v>43</v>
      </c>
      <c r="M31" s="641">
        <v>45659</v>
      </c>
      <c r="N31" s="641">
        <v>45656</v>
      </c>
      <c r="O31" s="641"/>
      <c r="P31" s="642" t="s">
        <v>100</v>
      </c>
      <c r="Q31" s="643" t="s">
        <v>304</v>
      </c>
      <c r="R31" s="642" t="s">
        <v>305</v>
      </c>
      <c r="S31" s="641"/>
      <c r="T31" s="641"/>
      <c r="U31" s="642" t="s">
        <v>306</v>
      </c>
      <c r="V31" s="642"/>
      <c r="W31" s="646"/>
      <c r="X31" s="647" t="s">
        <v>307</v>
      </c>
      <c r="Y31" s="646" t="s">
        <v>281</v>
      </c>
      <c r="Z31" s="649">
        <v>2.8179</v>
      </c>
      <c r="AA31" s="650">
        <f t="shared" si="3"/>
        <v>2665.7334</v>
      </c>
      <c r="AB31" s="649">
        <v>946</v>
      </c>
      <c r="AC31" s="649">
        <f t="shared" si="11"/>
        <v>0</v>
      </c>
      <c r="AD31" s="650" t="s">
        <v>106</v>
      </c>
      <c r="AE31" s="637" t="s">
        <v>230</v>
      </c>
      <c r="AF31" s="646" t="s">
        <v>107</v>
      </c>
      <c r="AG31" s="652" t="s">
        <v>43</v>
      </c>
      <c r="AH31" s="646" t="s">
        <v>308</v>
      </c>
      <c r="AI31" s="649"/>
      <c r="AJ31" s="649"/>
      <c r="AK31" s="649"/>
      <c r="AL31" s="649"/>
      <c r="AM31" s="649"/>
      <c r="AN31" s="649"/>
      <c r="AO31" s="649">
        <f>I31</f>
        <v>946</v>
      </c>
      <c r="AP31" s="649"/>
      <c r="AQ31" s="653"/>
      <c r="AR31" s="649"/>
      <c r="AS31" s="649"/>
      <c r="AT31" s="652">
        <f t="shared" si="21"/>
        <v>946</v>
      </c>
      <c r="AU31" s="649"/>
      <c r="AV31" s="654"/>
      <c r="AW31" s="654"/>
      <c r="AX31" s="654"/>
      <c r="AY31" s="654"/>
      <c r="AZ31" s="654"/>
      <c r="BA31" s="652">
        <f>I31/11</f>
        <v>86</v>
      </c>
      <c r="BB31" s="652"/>
      <c r="BC31" s="654"/>
      <c r="BD31" s="654"/>
      <c r="BE31" s="654"/>
      <c r="BF31" s="654"/>
      <c r="BG31" s="654"/>
      <c r="BH31" s="654"/>
      <c r="BI31" s="654"/>
      <c r="BJ31" s="654"/>
      <c r="BK31" s="654"/>
      <c r="BL31" s="654"/>
      <c r="BM31" s="654"/>
      <c r="BN31" s="654"/>
      <c r="BO31" s="654"/>
      <c r="BP31" s="654"/>
      <c r="BQ31" s="654"/>
      <c r="BR31" s="654"/>
      <c r="BS31" s="654"/>
      <c r="BT31" s="654"/>
      <c r="BU31" s="654"/>
      <c r="BV31" s="654"/>
      <c r="BW31" s="645" t="s">
        <v>109</v>
      </c>
      <c r="BX31" s="658">
        <f t="shared" si="13"/>
        <v>215</v>
      </c>
      <c r="BY31" s="658">
        <f t="shared" si="14"/>
        <v>258</v>
      </c>
      <c r="BZ31" s="658">
        <f t="shared" si="15"/>
        <v>258</v>
      </c>
      <c r="CA31" s="658">
        <f t="shared" si="16"/>
        <v>215</v>
      </c>
      <c r="CB31" s="644">
        <f t="shared" si="12"/>
        <v>946</v>
      </c>
      <c r="CC31" s="658">
        <f t="shared" si="17"/>
        <v>86</v>
      </c>
      <c r="CD31" s="644">
        <f t="shared" si="1"/>
        <v>946</v>
      </c>
      <c r="CE31" s="644">
        <f t="shared" si="18"/>
        <v>0</v>
      </c>
    </row>
    <row r="32" s="338" customFormat="1" ht="40" customHeight="1" spans="1:83">
      <c r="A32" s="632">
        <v>45615</v>
      </c>
      <c r="B32" s="633" t="s">
        <v>309</v>
      </c>
      <c r="C32" s="634" t="s">
        <v>214</v>
      </c>
      <c r="D32" s="635">
        <v>4500151635</v>
      </c>
      <c r="E32" s="659">
        <v>4357</v>
      </c>
      <c r="F32" s="636" t="s">
        <v>310</v>
      </c>
      <c r="G32" s="637" t="s">
        <v>241</v>
      </c>
      <c r="H32" s="637" t="s">
        <v>99</v>
      </c>
      <c r="I32" s="638">
        <v>3718</v>
      </c>
      <c r="J32" s="638">
        <v>0</v>
      </c>
      <c r="K32" s="639">
        <v>11</v>
      </c>
      <c r="L32" s="639">
        <f t="shared" ref="L32:L95" si="22">I32/K32</f>
        <v>338</v>
      </c>
      <c r="M32" s="641">
        <v>45665</v>
      </c>
      <c r="N32" s="641">
        <v>45661</v>
      </c>
      <c r="O32" s="641"/>
      <c r="P32" s="642" t="s">
        <v>100</v>
      </c>
      <c r="Q32" s="667" t="s">
        <v>311</v>
      </c>
      <c r="R32" s="668" t="s">
        <v>295</v>
      </c>
      <c r="S32" s="669"/>
      <c r="T32" s="669"/>
      <c r="U32" s="668" t="s">
        <v>312</v>
      </c>
      <c r="V32" s="668"/>
      <c r="W32" s="670"/>
      <c r="X32" s="671" t="s">
        <v>313</v>
      </c>
      <c r="Y32" s="668" t="s">
        <v>314</v>
      </c>
      <c r="Z32" s="648">
        <v>2.7552</v>
      </c>
      <c r="AA32" s="650">
        <f t="shared" si="3"/>
        <v>10243.8336</v>
      </c>
      <c r="AB32" s="649">
        <v>3718</v>
      </c>
      <c r="AC32" s="672">
        <f t="shared" ref="AC32:AC48" si="23">AB32-I32</f>
        <v>0</v>
      </c>
      <c r="AD32" s="672" t="s">
        <v>106</v>
      </c>
      <c r="AE32" s="637" t="s">
        <v>241</v>
      </c>
      <c r="AF32" s="670" t="s">
        <v>107</v>
      </c>
      <c r="AG32" s="652" t="s">
        <v>43</v>
      </c>
      <c r="AH32" s="670" t="s">
        <v>315</v>
      </c>
      <c r="AI32" s="673"/>
      <c r="AJ32" s="673"/>
      <c r="AK32" s="673"/>
      <c r="AL32" s="652">
        <f>I32</f>
        <v>3718</v>
      </c>
      <c r="AM32" s="652"/>
      <c r="AN32" s="673"/>
      <c r="AO32" s="672"/>
      <c r="AP32" s="672"/>
      <c r="AQ32" s="654"/>
      <c r="AR32" s="673"/>
      <c r="AS32" s="673"/>
      <c r="AT32" s="652">
        <f t="shared" si="21"/>
        <v>3718</v>
      </c>
      <c r="AU32" s="672"/>
      <c r="AV32" s="654"/>
      <c r="AW32" s="674"/>
      <c r="AX32" s="652">
        <f>I32/11</f>
        <v>338</v>
      </c>
      <c r="AY32" s="652"/>
      <c r="AZ32" s="674"/>
      <c r="BA32" s="652"/>
      <c r="BB32" s="652"/>
      <c r="BC32" s="674"/>
      <c r="BD32" s="674"/>
      <c r="BE32" s="654"/>
      <c r="BF32" s="674"/>
      <c r="BG32" s="654"/>
      <c r="BH32" s="654"/>
      <c r="BI32" s="674"/>
      <c r="BJ32" s="674"/>
      <c r="BK32" s="654"/>
      <c r="BL32" s="654"/>
      <c r="BM32" s="654"/>
      <c r="BN32" s="654"/>
      <c r="BO32" s="654"/>
      <c r="BP32" s="674"/>
      <c r="BQ32" s="654"/>
      <c r="BR32" s="674"/>
      <c r="BS32" s="654"/>
      <c r="BT32" s="654"/>
      <c r="BU32" s="654"/>
      <c r="BV32" s="654"/>
      <c r="BW32" s="668" t="s">
        <v>109</v>
      </c>
      <c r="BX32" s="658">
        <f t="shared" si="13"/>
        <v>845</v>
      </c>
      <c r="BY32" s="658">
        <f t="shared" si="14"/>
        <v>1014</v>
      </c>
      <c r="BZ32" s="658">
        <f t="shared" si="15"/>
        <v>1014</v>
      </c>
      <c r="CA32" s="658">
        <f t="shared" si="16"/>
        <v>845</v>
      </c>
      <c r="CB32" s="644">
        <f t="shared" ref="CB32:CB47" si="24">I32</f>
        <v>3718</v>
      </c>
      <c r="CC32" s="675">
        <f t="shared" si="17"/>
        <v>338</v>
      </c>
      <c r="CD32" s="675">
        <f t="shared" ref="CD32:CD48" si="25">SUM(BX32:CA32)</f>
        <v>3718</v>
      </c>
      <c r="CE32" s="644">
        <f t="shared" ref="CE32:CE48" si="26">I32-CD32</f>
        <v>0</v>
      </c>
    </row>
    <row r="33" s="338" customFormat="1" ht="40" customHeight="1" spans="1:83">
      <c r="A33" s="632">
        <v>45631</v>
      </c>
      <c r="B33" s="633" t="s">
        <v>316</v>
      </c>
      <c r="C33" s="634" t="s">
        <v>317</v>
      </c>
      <c r="D33" s="635">
        <v>4500153347</v>
      </c>
      <c r="E33" s="659"/>
      <c r="F33" s="636" t="s">
        <v>318</v>
      </c>
      <c r="G33" s="637" t="s">
        <v>111</v>
      </c>
      <c r="H33" s="637" t="s">
        <v>99</v>
      </c>
      <c r="I33" s="638">
        <v>968</v>
      </c>
      <c r="J33" s="638">
        <v>0</v>
      </c>
      <c r="K33" s="639">
        <v>22</v>
      </c>
      <c r="L33" s="639">
        <f t="shared" si="22"/>
        <v>44</v>
      </c>
      <c r="M33" s="641">
        <v>45667</v>
      </c>
      <c r="N33" s="641">
        <v>45663</v>
      </c>
      <c r="O33" s="641"/>
      <c r="P33" s="642" t="s">
        <v>100</v>
      </c>
      <c r="Q33" s="643" t="s">
        <v>319</v>
      </c>
      <c r="R33" s="642" t="s">
        <v>320</v>
      </c>
      <c r="S33" s="641"/>
      <c r="T33" s="641"/>
      <c r="U33" s="642" t="s">
        <v>321</v>
      </c>
      <c r="V33" s="642"/>
      <c r="W33" s="646"/>
      <c r="X33" s="647" t="s">
        <v>322</v>
      </c>
      <c r="Y33" s="646" t="s">
        <v>281</v>
      </c>
      <c r="Z33" s="648">
        <v>2.8179</v>
      </c>
      <c r="AA33" s="650">
        <f t="shared" ref="AA32:AA96" si="27">I33*Z33</f>
        <v>2727.7272</v>
      </c>
      <c r="AB33" s="649">
        <v>968</v>
      </c>
      <c r="AC33" s="649">
        <f t="shared" si="23"/>
        <v>0</v>
      </c>
      <c r="AD33" s="676" t="s">
        <v>106</v>
      </c>
      <c r="AE33" s="637" t="s">
        <v>230</v>
      </c>
      <c r="AF33" s="646" t="s">
        <v>107</v>
      </c>
      <c r="AG33" s="652" t="s">
        <v>43</v>
      </c>
      <c r="AH33" s="646" t="s">
        <v>323</v>
      </c>
      <c r="AI33" s="664"/>
      <c r="AJ33" s="664"/>
      <c r="AK33" s="664"/>
      <c r="AL33" s="649"/>
      <c r="AM33" s="649"/>
      <c r="AN33" s="664"/>
      <c r="AO33" s="649">
        <f>I33</f>
        <v>968</v>
      </c>
      <c r="AP33" s="649"/>
      <c r="AQ33" s="653"/>
      <c r="AR33" s="664"/>
      <c r="AS33" s="664"/>
      <c r="AT33" s="652">
        <f t="shared" ref="AT33:AT40" si="28">I33</f>
        <v>968</v>
      </c>
      <c r="AU33" s="649"/>
      <c r="AV33" s="654"/>
      <c r="AW33" s="665"/>
      <c r="AX33" s="652"/>
      <c r="AY33" s="652"/>
      <c r="AZ33" s="665"/>
      <c r="BA33" s="652">
        <f>I33/11</f>
        <v>88</v>
      </c>
      <c r="BB33" s="652"/>
      <c r="BC33" s="665"/>
      <c r="BD33" s="665"/>
      <c r="BE33" s="654"/>
      <c r="BF33" s="665"/>
      <c r="BG33" s="654"/>
      <c r="BH33" s="654"/>
      <c r="BI33" s="665"/>
      <c r="BJ33" s="665"/>
      <c r="BK33" s="654"/>
      <c r="BL33" s="654"/>
      <c r="BM33" s="654"/>
      <c r="BN33" s="654"/>
      <c r="BO33" s="654"/>
      <c r="BP33" s="665"/>
      <c r="BQ33" s="654"/>
      <c r="BR33" s="665"/>
      <c r="BS33" s="654"/>
      <c r="BT33" s="654"/>
      <c r="BU33" s="654"/>
      <c r="BV33" s="654"/>
      <c r="BW33" s="645" t="s">
        <v>109</v>
      </c>
      <c r="BX33" s="658">
        <f t="shared" si="13"/>
        <v>220</v>
      </c>
      <c r="BY33" s="658">
        <f t="shared" si="14"/>
        <v>264</v>
      </c>
      <c r="BZ33" s="658">
        <f t="shared" si="15"/>
        <v>264</v>
      </c>
      <c r="CA33" s="658">
        <f t="shared" si="16"/>
        <v>220</v>
      </c>
      <c r="CB33" s="644">
        <f t="shared" si="24"/>
        <v>968</v>
      </c>
      <c r="CC33" s="658">
        <f t="shared" si="17"/>
        <v>88</v>
      </c>
      <c r="CD33" s="644">
        <f t="shared" si="25"/>
        <v>968</v>
      </c>
      <c r="CE33" s="644">
        <f t="shared" si="26"/>
        <v>0</v>
      </c>
    </row>
    <row r="34" s="338" customFormat="1" ht="40" customHeight="1" spans="1:83">
      <c r="A34" s="632">
        <v>45603</v>
      </c>
      <c r="B34" s="633" t="s">
        <v>213</v>
      </c>
      <c r="C34" s="634" t="s">
        <v>214</v>
      </c>
      <c r="D34" s="635">
        <v>4500150314</v>
      </c>
      <c r="E34" s="659">
        <v>70054056</v>
      </c>
      <c r="F34" s="636" t="s">
        <v>324</v>
      </c>
      <c r="G34" s="637" t="s">
        <v>111</v>
      </c>
      <c r="H34" s="637" t="s">
        <v>99</v>
      </c>
      <c r="I34" s="638">
        <v>616</v>
      </c>
      <c r="J34" s="638">
        <v>0</v>
      </c>
      <c r="K34" s="639">
        <v>22</v>
      </c>
      <c r="L34" s="639">
        <f t="shared" si="22"/>
        <v>28</v>
      </c>
      <c r="M34" s="641">
        <v>45670</v>
      </c>
      <c r="N34" s="641">
        <v>45666</v>
      </c>
      <c r="O34" s="641"/>
      <c r="P34" s="642" t="s">
        <v>100</v>
      </c>
      <c r="Q34" s="643"/>
      <c r="R34" s="642" t="s">
        <v>217</v>
      </c>
      <c r="S34" s="641"/>
      <c r="T34" s="641"/>
      <c r="U34" s="642" t="s">
        <v>113</v>
      </c>
      <c r="V34" s="642" t="s">
        <v>325</v>
      </c>
      <c r="W34" s="646"/>
      <c r="X34" s="647" t="s">
        <v>326</v>
      </c>
      <c r="Y34" s="646" t="s">
        <v>220</v>
      </c>
      <c r="Z34" s="648">
        <v>2.8179</v>
      </c>
      <c r="AA34" s="650">
        <f t="shared" si="27"/>
        <v>1735.8264</v>
      </c>
      <c r="AB34" s="649">
        <v>616</v>
      </c>
      <c r="AC34" s="649">
        <f t="shared" si="23"/>
        <v>0</v>
      </c>
      <c r="AD34" s="676" t="s">
        <v>106</v>
      </c>
      <c r="AE34" s="661" t="s">
        <v>111</v>
      </c>
      <c r="AF34" s="646" t="s">
        <v>107</v>
      </c>
      <c r="AG34" s="652" t="s">
        <v>43</v>
      </c>
      <c r="AH34" s="646" t="s">
        <v>327</v>
      </c>
      <c r="AI34" s="649"/>
      <c r="AJ34" s="649"/>
      <c r="AK34" s="649"/>
      <c r="AL34" s="652">
        <f>I34</f>
        <v>616</v>
      </c>
      <c r="AM34" s="652"/>
      <c r="AN34" s="649"/>
      <c r="AO34" s="649"/>
      <c r="AP34" s="649"/>
      <c r="AQ34" s="653"/>
      <c r="AR34" s="649"/>
      <c r="AS34" s="649"/>
      <c r="AT34" s="652">
        <f t="shared" si="28"/>
        <v>616</v>
      </c>
      <c r="AU34" s="649"/>
      <c r="AV34" s="654"/>
      <c r="AW34" s="654"/>
      <c r="AX34" s="652">
        <f>I34/11</f>
        <v>56</v>
      </c>
      <c r="AY34" s="652"/>
      <c r="AZ34" s="654"/>
      <c r="BA34" s="652"/>
      <c r="BB34" s="652"/>
      <c r="BC34" s="654"/>
      <c r="BD34" s="654"/>
      <c r="BE34" s="654"/>
      <c r="BF34" s="654"/>
      <c r="BG34" s="654"/>
      <c r="BH34" s="654"/>
      <c r="BI34" s="654"/>
      <c r="BJ34" s="654"/>
      <c r="BK34" s="654"/>
      <c r="BL34" s="654"/>
      <c r="BM34" s="654"/>
      <c r="BN34" s="654"/>
      <c r="BO34" s="654"/>
      <c r="BP34" s="654"/>
      <c r="BQ34" s="654"/>
      <c r="BR34" s="654"/>
      <c r="BS34" s="654"/>
      <c r="BT34" s="654"/>
      <c r="BU34" s="654"/>
      <c r="BV34" s="654"/>
      <c r="BW34" s="645" t="s">
        <v>109</v>
      </c>
      <c r="BX34" s="658">
        <f t="shared" si="13"/>
        <v>140</v>
      </c>
      <c r="BY34" s="658">
        <f t="shared" si="14"/>
        <v>168</v>
      </c>
      <c r="BZ34" s="658">
        <f t="shared" si="15"/>
        <v>168</v>
      </c>
      <c r="CA34" s="658">
        <f t="shared" si="16"/>
        <v>140</v>
      </c>
      <c r="CB34" s="644">
        <f t="shared" si="24"/>
        <v>616</v>
      </c>
      <c r="CC34" s="658">
        <f t="shared" si="17"/>
        <v>56</v>
      </c>
      <c r="CD34" s="644">
        <f t="shared" si="25"/>
        <v>616</v>
      </c>
      <c r="CE34" s="644">
        <f t="shared" si="26"/>
        <v>0</v>
      </c>
    </row>
    <row r="35" s="338" customFormat="1" ht="40" customHeight="1" spans="1:83">
      <c r="A35" s="632">
        <v>45623</v>
      </c>
      <c r="B35" s="633" t="s">
        <v>177</v>
      </c>
      <c r="C35" s="634" t="s">
        <v>178</v>
      </c>
      <c r="D35" s="635">
        <v>4500152544</v>
      </c>
      <c r="E35" s="659" t="s">
        <v>328</v>
      </c>
      <c r="F35" s="636" t="s">
        <v>329</v>
      </c>
      <c r="G35" s="637" t="s">
        <v>132</v>
      </c>
      <c r="H35" s="637" t="s">
        <v>99</v>
      </c>
      <c r="I35" s="638">
        <v>24</v>
      </c>
      <c r="J35" s="638">
        <v>0</v>
      </c>
      <c r="K35" s="639">
        <v>24</v>
      </c>
      <c r="L35" s="639">
        <f t="shared" si="22"/>
        <v>1</v>
      </c>
      <c r="M35" s="641">
        <v>45670</v>
      </c>
      <c r="N35" s="641">
        <v>45666</v>
      </c>
      <c r="O35" s="641"/>
      <c r="P35" s="642" t="s">
        <v>100</v>
      </c>
      <c r="Q35" s="660" t="s">
        <v>330</v>
      </c>
      <c r="R35" s="642" t="s">
        <v>295</v>
      </c>
      <c r="S35" s="641"/>
      <c r="T35" s="641"/>
      <c r="U35" s="642" t="s">
        <v>183</v>
      </c>
      <c r="V35" s="642" t="s">
        <v>331</v>
      </c>
      <c r="W35" s="646"/>
      <c r="X35" s="647" t="s">
        <v>332</v>
      </c>
      <c r="Y35" s="646" t="s">
        <v>185</v>
      </c>
      <c r="Z35" s="648">
        <v>2.5695</v>
      </c>
      <c r="AA35" s="650">
        <f t="shared" si="27"/>
        <v>61.668</v>
      </c>
      <c r="AB35" s="649">
        <v>24</v>
      </c>
      <c r="AC35" s="649">
        <f t="shared" si="23"/>
        <v>0</v>
      </c>
      <c r="AD35" s="650" t="s">
        <v>106</v>
      </c>
      <c r="AE35" s="637" t="s">
        <v>193</v>
      </c>
      <c r="AF35" s="646" t="s">
        <v>107</v>
      </c>
      <c r="AG35" s="652" t="s">
        <v>43</v>
      </c>
      <c r="AH35" s="646" t="s">
        <v>333</v>
      </c>
      <c r="AI35" s="651"/>
      <c r="AJ35" s="651"/>
      <c r="AK35" s="651"/>
      <c r="AL35" s="649"/>
      <c r="AM35" s="649"/>
      <c r="AN35" s="651"/>
      <c r="AO35" s="649">
        <f t="shared" ref="AO35:AO42" si="29">I35</f>
        <v>24</v>
      </c>
      <c r="AP35" s="649"/>
      <c r="AQ35" s="653"/>
      <c r="AR35" s="651"/>
      <c r="AS35" s="651"/>
      <c r="AT35" s="652">
        <f t="shared" si="28"/>
        <v>24</v>
      </c>
      <c r="AU35" s="649"/>
      <c r="AV35" s="654"/>
      <c r="AW35" s="656"/>
      <c r="AX35" s="652"/>
      <c r="AY35" s="652"/>
      <c r="AZ35" s="656"/>
      <c r="BA35" s="652"/>
      <c r="BB35" s="652"/>
      <c r="BC35" s="656"/>
      <c r="BD35" s="656"/>
      <c r="BE35" s="654"/>
      <c r="BF35" s="656"/>
      <c r="BG35" s="654"/>
      <c r="BH35" s="654"/>
      <c r="BI35" s="656"/>
      <c r="BJ35" s="656"/>
      <c r="BK35" s="654"/>
      <c r="BL35" s="654"/>
      <c r="BM35" s="654"/>
      <c r="BN35" s="654"/>
      <c r="BO35" s="654"/>
      <c r="BP35" s="656"/>
      <c r="BQ35" s="654"/>
      <c r="BR35" s="656"/>
      <c r="BS35" s="654"/>
      <c r="BT35" s="654"/>
      <c r="BU35" s="654"/>
      <c r="BV35" s="654"/>
      <c r="BW35" s="645" t="s">
        <v>109</v>
      </c>
      <c r="BX35" s="658">
        <f>I35</f>
        <v>24</v>
      </c>
      <c r="BY35" s="658"/>
      <c r="BZ35" s="658"/>
      <c r="CA35" s="658"/>
      <c r="CB35" s="644">
        <f t="shared" si="24"/>
        <v>24</v>
      </c>
      <c r="CC35" s="658"/>
      <c r="CD35" s="644">
        <f t="shared" si="25"/>
        <v>24</v>
      </c>
      <c r="CE35" s="644">
        <f t="shared" si="26"/>
        <v>0</v>
      </c>
    </row>
    <row r="36" s="338" customFormat="1" ht="40" customHeight="1" spans="1:83">
      <c r="A36" s="632">
        <v>45623</v>
      </c>
      <c r="B36" s="633" t="s">
        <v>177</v>
      </c>
      <c r="C36" s="634" t="s">
        <v>178</v>
      </c>
      <c r="D36" s="635">
        <v>4500152544</v>
      </c>
      <c r="E36" s="659" t="s">
        <v>334</v>
      </c>
      <c r="F36" s="636" t="s">
        <v>335</v>
      </c>
      <c r="G36" s="637" t="s">
        <v>159</v>
      </c>
      <c r="H36" s="637" t="s">
        <v>99</v>
      </c>
      <c r="I36" s="638">
        <v>24</v>
      </c>
      <c r="J36" s="638">
        <v>0</v>
      </c>
      <c r="K36" s="639">
        <v>24</v>
      </c>
      <c r="L36" s="639">
        <f t="shared" si="22"/>
        <v>1</v>
      </c>
      <c r="M36" s="641">
        <v>45670</v>
      </c>
      <c r="N36" s="641">
        <v>45666</v>
      </c>
      <c r="O36" s="641"/>
      <c r="P36" s="642" t="s">
        <v>100</v>
      </c>
      <c r="Q36" s="660" t="s">
        <v>330</v>
      </c>
      <c r="R36" s="642" t="s">
        <v>295</v>
      </c>
      <c r="S36" s="641"/>
      <c r="T36" s="641"/>
      <c r="U36" s="642" t="s">
        <v>183</v>
      </c>
      <c r="V36" s="642" t="s">
        <v>331</v>
      </c>
      <c r="W36" s="646"/>
      <c r="X36" s="647" t="s">
        <v>332</v>
      </c>
      <c r="Y36" s="646" t="s">
        <v>185</v>
      </c>
      <c r="Z36" s="648">
        <v>2.5695</v>
      </c>
      <c r="AA36" s="650">
        <f t="shared" si="27"/>
        <v>61.668</v>
      </c>
      <c r="AB36" s="649">
        <v>24</v>
      </c>
      <c r="AC36" s="649">
        <f t="shared" si="23"/>
        <v>0</v>
      </c>
      <c r="AD36" s="650" t="s">
        <v>106</v>
      </c>
      <c r="AE36" s="661" t="s">
        <v>166</v>
      </c>
      <c r="AF36" s="646" t="s">
        <v>107</v>
      </c>
      <c r="AG36" s="652" t="s">
        <v>43</v>
      </c>
      <c r="AH36" s="646" t="s">
        <v>333</v>
      </c>
      <c r="AI36" s="651"/>
      <c r="AJ36" s="651"/>
      <c r="AK36" s="651"/>
      <c r="AL36" s="649"/>
      <c r="AM36" s="649"/>
      <c r="AN36" s="651"/>
      <c r="AO36" s="649">
        <f t="shared" si="29"/>
        <v>24</v>
      </c>
      <c r="AP36" s="649"/>
      <c r="AQ36" s="653"/>
      <c r="AR36" s="651"/>
      <c r="AS36" s="651"/>
      <c r="AT36" s="652">
        <f t="shared" si="28"/>
        <v>24</v>
      </c>
      <c r="AU36" s="649"/>
      <c r="AV36" s="654"/>
      <c r="AW36" s="656"/>
      <c r="AX36" s="652"/>
      <c r="AY36" s="652"/>
      <c r="AZ36" s="656"/>
      <c r="BA36" s="652"/>
      <c r="BB36" s="652"/>
      <c r="BC36" s="656"/>
      <c r="BD36" s="656"/>
      <c r="BE36" s="654"/>
      <c r="BF36" s="656"/>
      <c r="BG36" s="654"/>
      <c r="BH36" s="654"/>
      <c r="BI36" s="656"/>
      <c r="BJ36" s="656"/>
      <c r="BK36" s="654"/>
      <c r="BL36" s="654"/>
      <c r="BM36" s="654"/>
      <c r="BN36" s="654"/>
      <c r="BO36" s="654"/>
      <c r="BP36" s="656"/>
      <c r="BQ36" s="654"/>
      <c r="BR36" s="656"/>
      <c r="BS36" s="654"/>
      <c r="BT36" s="654"/>
      <c r="BU36" s="654"/>
      <c r="BV36" s="654"/>
      <c r="BW36" s="645" t="s">
        <v>109</v>
      </c>
      <c r="BX36" s="658"/>
      <c r="BY36" s="658">
        <f>I36</f>
        <v>24</v>
      </c>
      <c r="BZ36" s="658"/>
      <c r="CA36" s="658"/>
      <c r="CB36" s="644">
        <f t="shared" si="24"/>
        <v>24</v>
      </c>
      <c r="CC36" s="658"/>
      <c r="CD36" s="644">
        <f t="shared" si="25"/>
        <v>24</v>
      </c>
      <c r="CE36" s="644">
        <f t="shared" si="26"/>
        <v>0</v>
      </c>
    </row>
    <row r="37" s="338" customFormat="1" ht="40" customHeight="1" spans="1:83">
      <c r="A37" s="632">
        <v>45623</v>
      </c>
      <c r="B37" s="633" t="s">
        <v>177</v>
      </c>
      <c r="C37" s="634" t="s">
        <v>178</v>
      </c>
      <c r="D37" s="635">
        <v>4500152544</v>
      </c>
      <c r="E37" s="659" t="s">
        <v>336</v>
      </c>
      <c r="F37" s="636" t="s">
        <v>337</v>
      </c>
      <c r="G37" s="637" t="s">
        <v>132</v>
      </c>
      <c r="H37" s="637" t="s">
        <v>99</v>
      </c>
      <c r="I37" s="638">
        <v>24</v>
      </c>
      <c r="J37" s="638">
        <v>0</v>
      </c>
      <c r="K37" s="639">
        <v>24</v>
      </c>
      <c r="L37" s="639">
        <f t="shared" si="22"/>
        <v>1</v>
      </c>
      <c r="M37" s="641">
        <v>45670</v>
      </c>
      <c r="N37" s="641">
        <v>45666</v>
      </c>
      <c r="O37" s="641"/>
      <c r="P37" s="642" t="s">
        <v>100</v>
      </c>
      <c r="Q37" s="660" t="s">
        <v>330</v>
      </c>
      <c r="R37" s="642" t="s">
        <v>295</v>
      </c>
      <c r="S37" s="641"/>
      <c r="T37" s="641"/>
      <c r="U37" s="642" t="s">
        <v>183</v>
      </c>
      <c r="V37" s="642" t="s">
        <v>331</v>
      </c>
      <c r="W37" s="646"/>
      <c r="X37" s="647" t="s">
        <v>332</v>
      </c>
      <c r="Y37" s="646" t="s">
        <v>185</v>
      </c>
      <c r="Z37" s="648">
        <v>2.5695</v>
      </c>
      <c r="AA37" s="650">
        <f t="shared" si="27"/>
        <v>61.668</v>
      </c>
      <c r="AB37" s="649">
        <v>24</v>
      </c>
      <c r="AC37" s="649">
        <f t="shared" si="23"/>
        <v>0</v>
      </c>
      <c r="AD37" s="650" t="s">
        <v>106</v>
      </c>
      <c r="AE37" s="637" t="s">
        <v>193</v>
      </c>
      <c r="AF37" s="646" t="s">
        <v>107</v>
      </c>
      <c r="AG37" s="652" t="s">
        <v>43</v>
      </c>
      <c r="AH37" s="646" t="s">
        <v>333</v>
      </c>
      <c r="AI37" s="651"/>
      <c r="AJ37" s="651"/>
      <c r="AK37" s="651"/>
      <c r="AL37" s="649"/>
      <c r="AM37" s="649"/>
      <c r="AN37" s="651"/>
      <c r="AO37" s="649">
        <f t="shared" si="29"/>
        <v>24</v>
      </c>
      <c r="AP37" s="649"/>
      <c r="AQ37" s="653"/>
      <c r="AR37" s="651"/>
      <c r="AS37" s="651"/>
      <c r="AT37" s="652">
        <f t="shared" si="28"/>
        <v>24</v>
      </c>
      <c r="AU37" s="649"/>
      <c r="AV37" s="654"/>
      <c r="AW37" s="656"/>
      <c r="AX37" s="652"/>
      <c r="AY37" s="652"/>
      <c r="AZ37" s="656"/>
      <c r="BA37" s="652"/>
      <c r="BB37" s="652"/>
      <c r="BC37" s="656"/>
      <c r="BD37" s="656"/>
      <c r="BE37" s="654"/>
      <c r="BF37" s="656"/>
      <c r="BG37" s="654"/>
      <c r="BH37" s="654"/>
      <c r="BI37" s="656"/>
      <c r="BJ37" s="656"/>
      <c r="BK37" s="654"/>
      <c r="BL37" s="654"/>
      <c r="BM37" s="654"/>
      <c r="BN37" s="654"/>
      <c r="BO37" s="654"/>
      <c r="BP37" s="656"/>
      <c r="BQ37" s="654"/>
      <c r="BR37" s="656"/>
      <c r="BS37" s="654"/>
      <c r="BT37" s="654"/>
      <c r="BU37" s="654"/>
      <c r="BV37" s="654"/>
      <c r="BW37" s="645" t="s">
        <v>109</v>
      </c>
      <c r="BX37" s="658">
        <f>I37</f>
        <v>24</v>
      </c>
      <c r="BY37" s="658"/>
      <c r="BZ37" s="658"/>
      <c r="CA37" s="658"/>
      <c r="CB37" s="644">
        <f t="shared" si="24"/>
        <v>24</v>
      </c>
      <c r="CC37" s="658"/>
      <c r="CD37" s="644">
        <f t="shared" si="25"/>
        <v>24</v>
      </c>
      <c r="CE37" s="644">
        <f t="shared" si="26"/>
        <v>0</v>
      </c>
    </row>
    <row r="38" s="338" customFormat="1" ht="40" customHeight="1" spans="1:83">
      <c r="A38" s="632">
        <v>45623</v>
      </c>
      <c r="B38" s="633" t="s">
        <v>177</v>
      </c>
      <c r="C38" s="634" t="s">
        <v>178</v>
      </c>
      <c r="D38" s="635">
        <v>4500152544</v>
      </c>
      <c r="E38" s="659" t="s">
        <v>338</v>
      </c>
      <c r="F38" s="636" t="s">
        <v>339</v>
      </c>
      <c r="G38" s="637" t="s">
        <v>189</v>
      </c>
      <c r="H38" s="637" t="s">
        <v>99</v>
      </c>
      <c r="I38" s="638">
        <v>24</v>
      </c>
      <c r="J38" s="638">
        <v>0</v>
      </c>
      <c r="K38" s="639">
        <v>24</v>
      </c>
      <c r="L38" s="639">
        <f t="shared" si="22"/>
        <v>1</v>
      </c>
      <c r="M38" s="641">
        <v>45670</v>
      </c>
      <c r="N38" s="641">
        <v>45666</v>
      </c>
      <c r="O38" s="641"/>
      <c r="P38" s="642" t="s">
        <v>100</v>
      </c>
      <c r="Q38" s="660" t="s">
        <v>330</v>
      </c>
      <c r="R38" s="642" t="s">
        <v>295</v>
      </c>
      <c r="S38" s="641"/>
      <c r="T38" s="641"/>
      <c r="U38" s="642" t="s">
        <v>183</v>
      </c>
      <c r="V38" s="642" t="s">
        <v>331</v>
      </c>
      <c r="W38" s="646"/>
      <c r="X38" s="647" t="s">
        <v>332</v>
      </c>
      <c r="Y38" s="646" t="s">
        <v>185</v>
      </c>
      <c r="Z38" s="648">
        <v>2.5695</v>
      </c>
      <c r="AA38" s="650">
        <f t="shared" si="27"/>
        <v>61.668</v>
      </c>
      <c r="AB38" s="649">
        <v>24</v>
      </c>
      <c r="AC38" s="649">
        <f t="shared" si="23"/>
        <v>0</v>
      </c>
      <c r="AD38" s="650" t="s">
        <v>106</v>
      </c>
      <c r="AE38" s="661" t="s">
        <v>190</v>
      </c>
      <c r="AF38" s="646" t="s">
        <v>107</v>
      </c>
      <c r="AG38" s="652" t="s">
        <v>43</v>
      </c>
      <c r="AH38" s="646" t="s">
        <v>333</v>
      </c>
      <c r="AI38" s="651"/>
      <c r="AJ38" s="651"/>
      <c r="AK38" s="651"/>
      <c r="AL38" s="649"/>
      <c r="AM38" s="649"/>
      <c r="AN38" s="651"/>
      <c r="AO38" s="649">
        <f t="shared" si="29"/>
        <v>24</v>
      </c>
      <c r="AP38" s="649"/>
      <c r="AQ38" s="653"/>
      <c r="AR38" s="651"/>
      <c r="AS38" s="651"/>
      <c r="AT38" s="652">
        <f t="shared" si="28"/>
        <v>24</v>
      </c>
      <c r="AU38" s="649"/>
      <c r="AV38" s="654"/>
      <c r="AW38" s="656"/>
      <c r="AX38" s="652"/>
      <c r="AY38" s="652"/>
      <c r="AZ38" s="656"/>
      <c r="BA38" s="652"/>
      <c r="BB38" s="652"/>
      <c r="BC38" s="656"/>
      <c r="BD38" s="656"/>
      <c r="BE38" s="654"/>
      <c r="BF38" s="656"/>
      <c r="BG38" s="654"/>
      <c r="BH38" s="654"/>
      <c r="BI38" s="656"/>
      <c r="BJ38" s="656"/>
      <c r="BK38" s="654"/>
      <c r="BL38" s="654"/>
      <c r="BM38" s="654"/>
      <c r="BN38" s="654"/>
      <c r="BO38" s="654"/>
      <c r="BP38" s="656"/>
      <c r="BQ38" s="654"/>
      <c r="BR38" s="656"/>
      <c r="BS38" s="654"/>
      <c r="BT38" s="654"/>
      <c r="BU38" s="654"/>
      <c r="BV38" s="654"/>
      <c r="BW38" s="645" t="s">
        <v>109</v>
      </c>
      <c r="BX38" s="658"/>
      <c r="BY38" s="658"/>
      <c r="BZ38" s="658"/>
      <c r="CA38" s="658">
        <f>I38</f>
        <v>24</v>
      </c>
      <c r="CB38" s="644">
        <f t="shared" si="24"/>
        <v>24</v>
      </c>
      <c r="CC38" s="658"/>
      <c r="CD38" s="644">
        <f t="shared" si="25"/>
        <v>24</v>
      </c>
      <c r="CE38" s="644">
        <f t="shared" si="26"/>
        <v>0</v>
      </c>
    </row>
    <row r="39" s="338" customFormat="1" ht="40" customHeight="1" spans="1:83">
      <c r="A39" s="632">
        <v>45623</v>
      </c>
      <c r="B39" s="633" t="s">
        <v>177</v>
      </c>
      <c r="C39" s="634" t="s">
        <v>178</v>
      </c>
      <c r="D39" s="635">
        <v>4500152544</v>
      </c>
      <c r="E39" s="659" t="s">
        <v>340</v>
      </c>
      <c r="F39" s="636" t="s">
        <v>341</v>
      </c>
      <c r="G39" s="637" t="s">
        <v>189</v>
      </c>
      <c r="H39" s="637" t="s">
        <v>99</v>
      </c>
      <c r="I39" s="638">
        <v>24</v>
      </c>
      <c r="J39" s="638">
        <v>0</v>
      </c>
      <c r="K39" s="639">
        <v>24</v>
      </c>
      <c r="L39" s="639">
        <f t="shared" si="22"/>
        <v>1</v>
      </c>
      <c r="M39" s="641">
        <v>45670</v>
      </c>
      <c r="N39" s="641">
        <v>45666</v>
      </c>
      <c r="O39" s="641"/>
      <c r="P39" s="642" t="s">
        <v>100</v>
      </c>
      <c r="Q39" s="660" t="s">
        <v>330</v>
      </c>
      <c r="R39" s="642" t="s">
        <v>295</v>
      </c>
      <c r="S39" s="641"/>
      <c r="T39" s="641"/>
      <c r="U39" s="642" t="s">
        <v>183</v>
      </c>
      <c r="V39" s="642" t="s">
        <v>331</v>
      </c>
      <c r="W39" s="646"/>
      <c r="X39" s="647" t="s">
        <v>332</v>
      </c>
      <c r="Y39" s="646" t="s">
        <v>185</v>
      </c>
      <c r="Z39" s="648">
        <v>2.5695</v>
      </c>
      <c r="AA39" s="650">
        <f t="shared" si="27"/>
        <v>61.668</v>
      </c>
      <c r="AB39" s="649">
        <v>24</v>
      </c>
      <c r="AC39" s="649">
        <f t="shared" si="23"/>
        <v>0</v>
      </c>
      <c r="AD39" s="650" t="s">
        <v>106</v>
      </c>
      <c r="AE39" s="661" t="s">
        <v>190</v>
      </c>
      <c r="AF39" s="646" t="s">
        <v>107</v>
      </c>
      <c r="AG39" s="652" t="s">
        <v>43</v>
      </c>
      <c r="AH39" s="646" t="s">
        <v>333</v>
      </c>
      <c r="AI39" s="651"/>
      <c r="AJ39" s="651"/>
      <c r="AK39" s="651"/>
      <c r="AL39" s="649"/>
      <c r="AM39" s="649"/>
      <c r="AN39" s="651"/>
      <c r="AO39" s="649">
        <f t="shared" si="29"/>
        <v>24</v>
      </c>
      <c r="AP39" s="649"/>
      <c r="AQ39" s="653"/>
      <c r="AR39" s="651"/>
      <c r="AS39" s="651"/>
      <c r="AT39" s="652">
        <f t="shared" si="28"/>
        <v>24</v>
      </c>
      <c r="AU39" s="649"/>
      <c r="AV39" s="654"/>
      <c r="AW39" s="656"/>
      <c r="AX39" s="652"/>
      <c r="AY39" s="652"/>
      <c r="AZ39" s="656"/>
      <c r="BA39" s="652"/>
      <c r="BB39" s="652"/>
      <c r="BC39" s="656"/>
      <c r="BD39" s="656"/>
      <c r="BE39" s="654"/>
      <c r="BF39" s="656"/>
      <c r="BG39" s="654"/>
      <c r="BH39" s="654"/>
      <c r="BI39" s="656"/>
      <c r="BJ39" s="656"/>
      <c r="BK39" s="654"/>
      <c r="BL39" s="654"/>
      <c r="BM39" s="654"/>
      <c r="BN39" s="654"/>
      <c r="BO39" s="654"/>
      <c r="BP39" s="656"/>
      <c r="BQ39" s="654"/>
      <c r="BR39" s="656"/>
      <c r="BS39" s="654"/>
      <c r="BT39" s="654"/>
      <c r="BU39" s="654"/>
      <c r="BV39" s="654"/>
      <c r="BW39" s="645" t="s">
        <v>109</v>
      </c>
      <c r="BX39" s="658"/>
      <c r="BY39" s="658"/>
      <c r="BZ39" s="658"/>
      <c r="CA39" s="658">
        <f>I39</f>
        <v>24</v>
      </c>
      <c r="CB39" s="644">
        <f t="shared" si="24"/>
        <v>24</v>
      </c>
      <c r="CC39" s="658"/>
      <c r="CD39" s="644">
        <f t="shared" si="25"/>
        <v>24</v>
      </c>
      <c r="CE39" s="644">
        <f t="shared" si="26"/>
        <v>0</v>
      </c>
    </row>
    <row r="40" s="338" customFormat="1" ht="40" customHeight="1" spans="1:83">
      <c r="A40" s="632">
        <v>45623</v>
      </c>
      <c r="B40" s="633" t="s">
        <v>177</v>
      </c>
      <c r="C40" s="634" t="s">
        <v>178</v>
      </c>
      <c r="D40" s="635">
        <v>4500152544</v>
      </c>
      <c r="E40" s="659" t="s">
        <v>342</v>
      </c>
      <c r="F40" s="636" t="s">
        <v>343</v>
      </c>
      <c r="G40" s="637" t="s">
        <v>189</v>
      </c>
      <c r="H40" s="637" t="s">
        <v>99</v>
      </c>
      <c r="I40" s="638">
        <v>24</v>
      </c>
      <c r="J40" s="638">
        <v>0</v>
      </c>
      <c r="K40" s="639">
        <v>24</v>
      </c>
      <c r="L40" s="639">
        <f t="shared" si="22"/>
        <v>1</v>
      </c>
      <c r="M40" s="641">
        <v>45670</v>
      </c>
      <c r="N40" s="641">
        <v>45666</v>
      </c>
      <c r="O40" s="641"/>
      <c r="P40" s="642" t="s">
        <v>100</v>
      </c>
      <c r="Q40" s="660" t="s">
        <v>330</v>
      </c>
      <c r="R40" s="642" t="s">
        <v>295</v>
      </c>
      <c r="S40" s="641"/>
      <c r="T40" s="641"/>
      <c r="U40" s="642" t="s">
        <v>183</v>
      </c>
      <c r="V40" s="642" t="s">
        <v>331</v>
      </c>
      <c r="W40" s="646"/>
      <c r="X40" s="647" t="s">
        <v>332</v>
      </c>
      <c r="Y40" s="646" t="s">
        <v>185</v>
      </c>
      <c r="Z40" s="648">
        <v>2.5695</v>
      </c>
      <c r="AA40" s="650">
        <f t="shared" si="27"/>
        <v>61.668</v>
      </c>
      <c r="AB40" s="649">
        <v>24</v>
      </c>
      <c r="AC40" s="649">
        <f t="shared" si="23"/>
        <v>0</v>
      </c>
      <c r="AD40" s="650" t="s">
        <v>106</v>
      </c>
      <c r="AE40" s="661" t="s">
        <v>190</v>
      </c>
      <c r="AF40" s="646" t="s">
        <v>107</v>
      </c>
      <c r="AG40" s="652" t="s">
        <v>43</v>
      </c>
      <c r="AH40" s="646" t="s">
        <v>333</v>
      </c>
      <c r="AI40" s="651"/>
      <c r="AJ40" s="651"/>
      <c r="AK40" s="651"/>
      <c r="AL40" s="649"/>
      <c r="AM40" s="649"/>
      <c r="AN40" s="651"/>
      <c r="AO40" s="649">
        <f t="shared" si="29"/>
        <v>24</v>
      </c>
      <c r="AP40" s="649"/>
      <c r="AQ40" s="653"/>
      <c r="AR40" s="651"/>
      <c r="AS40" s="651"/>
      <c r="AT40" s="652">
        <f t="shared" si="28"/>
        <v>24</v>
      </c>
      <c r="AU40" s="649"/>
      <c r="AV40" s="654"/>
      <c r="AW40" s="656"/>
      <c r="AX40" s="652"/>
      <c r="AY40" s="652"/>
      <c r="AZ40" s="656"/>
      <c r="BA40" s="652"/>
      <c r="BB40" s="652"/>
      <c r="BC40" s="656"/>
      <c r="BD40" s="656"/>
      <c r="BE40" s="654"/>
      <c r="BF40" s="656"/>
      <c r="BG40" s="654"/>
      <c r="BH40" s="654"/>
      <c r="BI40" s="656"/>
      <c r="BJ40" s="656"/>
      <c r="BK40" s="654"/>
      <c r="BL40" s="654"/>
      <c r="BM40" s="654"/>
      <c r="BN40" s="654"/>
      <c r="BO40" s="654"/>
      <c r="BP40" s="656"/>
      <c r="BQ40" s="654"/>
      <c r="BR40" s="656"/>
      <c r="BS40" s="654"/>
      <c r="BT40" s="654"/>
      <c r="BU40" s="654"/>
      <c r="BV40" s="654"/>
      <c r="BW40" s="645" t="s">
        <v>109</v>
      </c>
      <c r="BX40" s="658"/>
      <c r="BY40" s="658"/>
      <c r="BZ40" s="658"/>
      <c r="CA40" s="658">
        <f>I40</f>
        <v>24</v>
      </c>
      <c r="CB40" s="644">
        <f t="shared" si="24"/>
        <v>24</v>
      </c>
      <c r="CC40" s="658"/>
      <c r="CD40" s="644">
        <f t="shared" si="25"/>
        <v>24</v>
      </c>
      <c r="CE40" s="644">
        <f t="shared" si="26"/>
        <v>0</v>
      </c>
    </row>
    <row r="41" s="338" customFormat="1" ht="40" customHeight="1" spans="1:83">
      <c r="A41" s="632">
        <v>45621</v>
      </c>
      <c r="B41" s="633" t="s">
        <v>344</v>
      </c>
      <c r="C41" s="634" t="s">
        <v>345</v>
      </c>
      <c r="D41" s="635">
        <v>4500152261</v>
      </c>
      <c r="E41" s="659"/>
      <c r="F41" s="636" t="s">
        <v>346</v>
      </c>
      <c r="G41" s="637" t="s">
        <v>111</v>
      </c>
      <c r="H41" s="637" t="s">
        <v>99</v>
      </c>
      <c r="I41" s="638">
        <v>5940</v>
      </c>
      <c r="J41" s="638">
        <v>0</v>
      </c>
      <c r="K41" s="639">
        <v>22</v>
      </c>
      <c r="L41" s="639">
        <f t="shared" si="22"/>
        <v>270</v>
      </c>
      <c r="M41" s="641">
        <v>45663</v>
      </c>
      <c r="N41" s="641">
        <v>45659</v>
      </c>
      <c r="O41" s="641"/>
      <c r="P41" s="642" t="s">
        <v>100</v>
      </c>
      <c r="Q41" s="643" t="s">
        <v>234</v>
      </c>
      <c r="R41" s="642" t="s">
        <v>208</v>
      </c>
      <c r="S41" s="641"/>
      <c r="T41" s="641"/>
      <c r="U41" s="642" t="s">
        <v>347</v>
      </c>
      <c r="V41" s="642"/>
      <c r="W41" s="646"/>
      <c r="X41" s="647" t="s">
        <v>348</v>
      </c>
      <c r="Y41" s="645" t="s">
        <v>137</v>
      </c>
      <c r="Z41" s="648">
        <v>2.7752</v>
      </c>
      <c r="AA41" s="650">
        <f t="shared" si="27"/>
        <v>16484.688</v>
      </c>
      <c r="AB41" s="649">
        <f>2376+3564</f>
        <v>5940</v>
      </c>
      <c r="AC41" s="649">
        <f t="shared" si="23"/>
        <v>0</v>
      </c>
      <c r="AD41" s="650" t="s">
        <v>106</v>
      </c>
      <c r="AE41" s="637" t="s">
        <v>230</v>
      </c>
      <c r="AF41" s="646" t="s">
        <v>107</v>
      </c>
      <c r="AG41" s="652" t="s">
        <v>43</v>
      </c>
      <c r="AH41" s="646" t="s">
        <v>349</v>
      </c>
      <c r="AI41" s="649"/>
      <c r="AJ41" s="649"/>
      <c r="AK41" s="649"/>
      <c r="AL41" s="649"/>
      <c r="AM41" s="649"/>
      <c r="AN41" s="649"/>
      <c r="AO41" s="649">
        <f t="shared" si="29"/>
        <v>5940</v>
      </c>
      <c r="AP41" s="649"/>
      <c r="AQ41" s="653"/>
      <c r="AR41" s="649"/>
      <c r="AS41" s="649"/>
      <c r="AT41" s="652">
        <f t="shared" ref="AT41:AT48" si="30">I41</f>
        <v>5940</v>
      </c>
      <c r="AU41" s="649"/>
      <c r="AV41" s="654"/>
      <c r="AW41" s="654"/>
      <c r="AX41" s="652"/>
      <c r="AY41" s="652"/>
      <c r="AZ41" s="654"/>
      <c r="BA41" s="652">
        <f>I41/11</f>
        <v>540</v>
      </c>
      <c r="BB41" s="652"/>
      <c r="BC41" s="654"/>
      <c r="BD41" s="654"/>
      <c r="BE41" s="654"/>
      <c r="BF41" s="654"/>
      <c r="BG41" s="654"/>
      <c r="BH41" s="654"/>
      <c r="BI41" s="654"/>
      <c r="BJ41" s="654"/>
      <c r="BK41" s="654"/>
      <c r="BL41" s="654"/>
      <c r="BM41" s="654"/>
      <c r="BN41" s="654"/>
      <c r="BO41" s="654"/>
      <c r="BP41" s="654"/>
      <c r="BQ41" s="654"/>
      <c r="BR41" s="654"/>
      <c r="BS41" s="654"/>
      <c r="BT41" s="654"/>
      <c r="BU41" s="654"/>
      <c r="BV41" s="654"/>
      <c r="BW41" s="645" t="s">
        <v>109</v>
      </c>
      <c r="BX41" s="658">
        <f>I41/22*5</f>
        <v>1350</v>
      </c>
      <c r="BY41" s="658">
        <f>I41/22*6</f>
        <v>1620</v>
      </c>
      <c r="BZ41" s="658">
        <f>I41/22*6</f>
        <v>1620</v>
      </c>
      <c r="CA41" s="658">
        <f>I41/22*5</f>
        <v>1350</v>
      </c>
      <c r="CB41" s="644">
        <f t="shared" si="24"/>
        <v>5940</v>
      </c>
      <c r="CC41" s="658">
        <f>I41/11</f>
        <v>540</v>
      </c>
      <c r="CD41" s="644">
        <f t="shared" si="25"/>
        <v>5940</v>
      </c>
      <c r="CE41" s="644">
        <f t="shared" si="26"/>
        <v>0</v>
      </c>
    </row>
    <row r="42" s="338" customFormat="1" ht="40" customHeight="1" spans="1:83">
      <c r="A42" s="632">
        <v>45624</v>
      </c>
      <c r="B42" s="633" t="s">
        <v>350</v>
      </c>
      <c r="C42" s="634" t="s">
        <v>351</v>
      </c>
      <c r="D42" s="635">
        <v>4500152720</v>
      </c>
      <c r="E42" s="659"/>
      <c r="F42" s="636" t="s">
        <v>352</v>
      </c>
      <c r="G42" s="637" t="s">
        <v>111</v>
      </c>
      <c r="H42" s="637" t="s">
        <v>99</v>
      </c>
      <c r="I42" s="638">
        <v>1012</v>
      </c>
      <c r="J42" s="638">
        <v>0</v>
      </c>
      <c r="K42" s="639">
        <v>22</v>
      </c>
      <c r="L42" s="639">
        <f t="shared" si="22"/>
        <v>46</v>
      </c>
      <c r="M42" s="641">
        <v>45663</v>
      </c>
      <c r="N42" s="641">
        <v>45659</v>
      </c>
      <c r="O42" s="641"/>
      <c r="P42" s="642" t="s">
        <v>100</v>
      </c>
      <c r="Q42" s="643" t="s">
        <v>261</v>
      </c>
      <c r="R42" s="642" t="s">
        <v>353</v>
      </c>
      <c r="S42" s="641"/>
      <c r="T42" s="641"/>
      <c r="U42" s="642" t="s">
        <v>354</v>
      </c>
      <c r="V42" s="642"/>
      <c r="W42" s="646"/>
      <c r="X42" s="663" t="s">
        <v>355</v>
      </c>
      <c r="Y42" s="645" t="s">
        <v>281</v>
      </c>
      <c r="Z42" s="648">
        <v>2.8038</v>
      </c>
      <c r="AA42" s="650">
        <f t="shared" si="27"/>
        <v>2837.4456</v>
      </c>
      <c r="AB42" s="649">
        <v>1012</v>
      </c>
      <c r="AC42" s="649">
        <f t="shared" si="23"/>
        <v>0</v>
      </c>
      <c r="AD42" s="650" t="s">
        <v>106</v>
      </c>
      <c r="AE42" s="637" t="s">
        <v>230</v>
      </c>
      <c r="AF42" s="646" t="s">
        <v>107</v>
      </c>
      <c r="AG42" s="652" t="s">
        <v>43</v>
      </c>
      <c r="AH42" s="646" t="s">
        <v>356</v>
      </c>
      <c r="AI42" s="649"/>
      <c r="AJ42" s="649"/>
      <c r="AK42" s="649"/>
      <c r="AL42" s="649"/>
      <c r="AM42" s="649"/>
      <c r="AN42" s="649"/>
      <c r="AO42" s="649">
        <f t="shared" si="29"/>
        <v>1012</v>
      </c>
      <c r="AP42" s="649"/>
      <c r="AQ42" s="653"/>
      <c r="AR42" s="649"/>
      <c r="AS42" s="649"/>
      <c r="AT42" s="652">
        <f t="shared" si="30"/>
        <v>1012</v>
      </c>
      <c r="AU42" s="649"/>
      <c r="AV42" s="654"/>
      <c r="AW42" s="654"/>
      <c r="AX42" s="652"/>
      <c r="AY42" s="652"/>
      <c r="AZ42" s="654"/>
      <c r="BA42" s="652">
        <f>I42/11</f>
        <v>92</v>
      </c>
      <c r="BB42" s="652"/>
      <c r="BC42" s="654"/>
      <c r="BD42" s="654"/>
      <c r="BE42" s="654"/>
      <c r="BF42" s="654"/>
      <c r="BG42" s="654"/>
      <c r="BH42" s="654"/>
      <c r="BI42" s="654"/>
      <c r="BJ42" s="654"/>
      <c r="BK42" s="654"/>
      <c r="BL42" s="654"/>
      <c r="BM42" s="654"/>
      <c r="BN42" s="654"/>
      <c r="BO42" s="654"/>
      <c r="BP42" s="654"/>
      <c r="BQ42" s="654"/>
      <c r="BR42" s="654"/>
      <c r="BS42" s="654"/>
      <c r="BT42" s="654"/>
      <c r="BU42" s="654"/>
      <c r="BV42" s="654"/>
      <c r="BW42" s="645" t="s">
        <v>109</v>
      </c>
      <c r="BX42" s="658">
        <f>I42/22*5</f>
        <v>230</v>
      </c>
      <c r="BY42" s="658">
        <f>I42/22*6</f>
        <v>276</v>
      </c>
      <c r="BZ42" s="658">
        <f>I42/22*6</f>
        <v>276</v>
      </c>
      <c r="CA42" s="658">
        <f>I42/22*5</f>
        <v>230</v>
      </c>
      <c r="CB42" s="644">
        <f t="shared" si="24"/>
        <v>1012</v>
      </c>
      <c r="CC42" s="658">
        <f>I42/11</f>
        <v>92</v>
      </c>
      <c r="CD42" s="644">
        <f t="shared" si="25"/>
        <v>1012</v>
      </c>
      <c r="CE42" s="644">
        <f t="shared" si="26"/>
        <v>0</v>
      </c>
    </row>
    <row r="43" s="338" customFormat="1" ht="40" customHeight="1" spans="1:83">
      <c r="A43" s="632">
        <v>45615</v>
      </c>
      <c r="B43" s="659" t="s">
        <v>357</v>
      </c>
      <c r="C43" s="634" t="s">
        <v>214</v>
      </c>
      <c r="D43" s="635">
        <v>4500151779</v>
      </c>
      <c r="E43" s="659"/>
      <c r="F43" s="636" t="s">
        <v>358</v>
      </c>
      <c r="G43" s="637" t="s">
        <v>111</v>
      </c>
      <c r="H43" s="637" t="s">
        <v>99</v>
      </c>
      <c r="I43" s="638">
        <v>1760</v>
      </c>
      <c r="J43" s="638">
        <v>0</v>
      </c>
      <c r="K43" s="639">
        <v>22</v>
      </c>
      <c r="L43" s="639">
        <f t="shared" si="22"/>
        <v>80</v>
      </c>
      <c r="M43" s="641">
        <v>45666</v>
      </c>
      <c r="N43" s="641">
        <v>45663</v>
      </c>
      <c r="O43" s="641"/>
      <c r="P43" s="642" t="s">
        <v>100</v>
      </c>
      <c r="Q43" s="643" t="s">
        <v>359</v>
      </c>
      <c r="R43" s="642" t="s">
        <v>360</v>
      </c>
      <c r="S43" s="642"/>
      <c r="T43" s="642"/>
      <c r="U43" s="642" t="s">
        <v>113</v>
      </c>
      <c r="V43" s="642"/>
      <c r="W43" s="645"/>
      <c r="X43" s="647" t="s">
        <v>361</v>
      </c>
      <c r="Y43" s="646" t="s">
        <v>362</v>
      </c>
      <c r="Z43" s="648">
        <v>2.8038</v>
      </c>
      <c r="AA43" s="650">
        <f t="shared" si="27"/>
        <v>4934.688</v>
      </c>
      <c r="AB43" s="649">
        <v>1760</v>
      </c>
      <c r="AC43" s="649">
        <f t="shared" si="23"/>
        <v>0</v>
      </c>
      <c r="AD43" s="650" t="s">
        <v>113</v>
      </c>
      <c r="AE43" s="661" t="s">
        <v>111</v>
      </c>
      <c r="AF43" s="646" t="s">
        <v>107</v>
      </c>
      <c r="AG43" s="652" t="s">
        <v>43</v>
      </c>
      <c r="AH43" s="646" t="s">
        <v>363</v>
      </c>
      <c r="AI43" s="649"/>
      <c r="AJ43" s="649"/>
      <c r="AK43" s="649"/>
      <c r="AL43" s="652">
        <f>I43</f>
        <v>1760</v>
      </c>
      <c r="AM43" s="652"/>
      <c r="AN43" s="649"/>
      <c r="AO43" s="649"/>
      <c r="AP43" s="649"/>
      <c r="AQ43" s="653"/>
      <c r="AR43" s="649"/>
      <c r="AS43" s="649"/>
      <c r="AT43" s="652">
        <f t="shared" si="30"/>
        <v>1760</v>
      </c>
      <c r="AU43" s="649"/>
      <c r="AV43" s="654"/>
      <c r="AW43" s="652"/>
      <c r="AX43" s="652">
        <f>I43/11</f>
        <v>160</v>
      </c>
      <c r="AY43" s="652"/>
      <c r="AZ43" s="654"/>
      <c r="BA43" s="652"/>
      <c r="BB43" s="652"/>
      <c r="BC43" s="654"/>
      <c r="BD43" s="654"/>
      <c r="BE43" s="654"/>
      <c r="BF43" s="654"/>
      <c r="BG43" s="654"/>
      <c r="BH43" s="654"/>
      <c r="BI43" s="654"/>
      <c r="BJ43" s="654"/>
      <c r="BK43" s="654"/>
      <c r="BL43" s="654"/>
      <c r="BM43" s="654"/>
      <c r="BN43" s="654"/>
      <c r="BO43" s="654"/>
      <c r="BP43" s="654"/>
      <c r="BQ43" s="654"/>
      <c r="BR43" s="654"/>
      <c r="BS43" s="654"/>
      <c r="BT43" s="654"/>
      <c r="BU43" s="654"/>
      <c r="BV43" s="654"/>
      <c r="BW43" s="645" t="s">
        <v>109</v>
      </c>
      <c r="BX43" s="658">
        <f>I43/22*5</f>
        <v>400</v>
      </c>
      <c r="BY43" s="658">
        <f>I43/22*6</f>
        <v>480</v>
      </c>
      <c r="BZ43" s="658">
        <f>I43/22*6</f>
        <v>480</v>
      </c>
      <c r="CA43" s="658">
        <f>I43/22*5</f>
        <v>400</v>
      </c>
      <c r="CB43" s="644">
        <f t="shared" si="24"/>
        <v>1760</v>
      </c>
      <c r="CC43" s="658">
        <f>I43/11</f>
        <v>160</v>
      </c>
      <c r="CD43" s="644">
        <f t="shared" si="25"/>
        <v>1760</v>
      </c>
      <c r="CE43" s="644">
        <f t="shared" si="26"/>
        <v>0</v>
      </c>
    </row>
    <row r="44" s="338" customFormat="1" ht="40" customHeight="1" spans="1:83">
      <c r="A44" s="632">
        <v>45629</v>
      </c>
      <c r="B44" s="633" t="s">
        <v>364</v>
      </c>
      <c r="C44" s="634" t="s">
        <v>365</v>
      </c>
      <c r="D44" s="635">
        <v>4500153179</v>
      </c>
      <c r="E44" s="659"/>
      <c r="F44" s="636" t="s">
        <v>366</v>
      </c>
      <c r="G44" s="637" t="s">
        <v>111</v>
      </c>
      <c r="H44" s="637" t="s">
        <v>99</v>
      </c>
      <c r="I44" s="638">
        <v>1210</v>
      </c>
      <c r="J44" s="638">
        <v>0</v>
      </c>
      <c r="K44" s="639">
        <v>22</v>
      </c>
      <c r="L44" s="639">
        <f t="shared" si="22"/>
        <v>55</v>
      </c>
      <c r="M44" s="641">
        <v>45667</v>
      </c>
      <c r="N44" s="641">
        <v>45663</v>
      </c>
      <c r="O44" s="641"/>
      <c r="P44" s="642" t="s">
        <v>100</v>
      </c>
      <c r="Q44" s="643" t="s">
        <v>367</v>
      </c>
      <c r="R44" s="642" t="s">
        <v>353</v>
      </c>
      <c r="S44" s="641"/>
      <c r="T44" s="641"/>
      <c r="U44" s="642" t="s">
        <v>368</v>
      </c>
      <c r="V44" s="642"/>
      <c r="W44" s="646"/>
      <c r="X44" s="647" t="s">
        <v>369</v>
      </c>
      <c r="Y44" s="646" t="s">
        <v>370</v>
      </c>
      <c r="Z44" s="648">
        <v>2.7684</v>
      </c>
      <c r="AA44" s="650">
        <f t="shared" si="27"/>
        <v>3349.764</v>
      </c>
      <c r="AB44" s="649">
        <v>1210</v>
      </c>
      <c r="AC44" s="649">
        <f t="shared" si="23"/>
        <v>0</v>
      </c>
      <c r="AD44" s="676" t="s">
        <v>106</v>
      </c>
      <c r="AE44" s="661" t="s">
        <v>111</v>
      </c>
      <c r="AF44" s="646" t="s">
        <v>107</v>
      </c>
      <c r="AG44" s="652" t="s">
        <v>43</v>
      </c>
      <c r="AH44" s="646" t="s">
        <v>371</v>
      </c>
      <c r="AI44" s="664"/>
      <c r="AJ44" s="664"/>
      <c r="AK44" s="664"/>
      <c r="AL44" s="652">
        <f>I44</f>
        <v>1210</v>
      </c>
      <c r="AM44" s="652"/>
      <c r="AN44" s="664"/>
      <c r="AO44" s="649"/>
      <c r="AP44" s="649"/>
      <c r="AQ44" s="653"/>
      <c r="AR44" s="664"/>
      <c r="AS44" s="664"/>
      <c r="AT44" s="652">
        <f t="shared" si="30"/>
        <v>1210</v>
      </c>
      <c r="AU44" s="649"/>
      <c r="AV44" s="654"/>
      <c r="AW44" s="665"/>
      <c r="AX44" s="652">
        <f>I44/11</f>
        <v>110</v>
      </c>
      <c r="AY44" s="652"/>
      <c r="AZ44" s="665"/>
      <c r="BA44" s="652"/>
      <c r="BB44" s="652"/>
      <c r="BC44" s="665"/>
      <c r="BD44" s="665"/>
      <c r="BE44" s="654"/>
      <c r="BF44" s="665"/>
      <c r="BG44" s="654"/>
      <c r="BH44" s="654"/>
      <c r="BI44" s="665"/>
      <c r="BJ44" s="665"/>
      <c r="BK44" s="654"/>
      <c r="BL44" s="654"/>
      <c r="BM44" s="654"/>
      <c r="BN44" s="654"/>
      <c r="BO44" s="654"/>
      <c r="BP44" s="665"/>
      <c r="BQ44" s="654"/>
      <c r="BR44" s="665"/>
      <c r="BS44" s="654"/>
      <c r="BT44" s="654"/>
      <c r="BU44" s="654"/>
      <c r="BV44" s="654"/>
      <c r="BW44" s="645" t="s">
        <v>109</v>
      </c>
      <c r="BX44" s="658">
        <f>I44/22*5</f>
        <v>275</v>
      </c>
      <c r="BY44" s="658">
        <f>I44/22*6</f>
        <v>330</v>
      </c>
      <c r="BZ44" s="658">
        <f>I44/22*6</f>
        <v>330</v>
      </c>
      <c r="CA44" s="658">
        <f>I44/22*5</f>
        <v>275</v>
      </c>
      <c r="CB44" s="644">
        <f t="shared" si="24"/>
        <v>1210</v>
      </c>
      <c r="CC44" s="658">
        <f>I44/11</f>
        <v>110</v>
      </c>
      <c r="CD44" s="644">
        <f t="shared" si="25"/>
        <v>1210</v>
      </c>
      <c r="CE44" s="644">
        <f t="shared" si="26"/>
        <v>0</v>
      </c>
    </row>
    <row r="45" s="338" customFormat="1" ht="40" customHeight="1" spans="1:83">
      <c r="A45" s="632">
        <v>45594</v>
      </c>
      <c r="B45" s="633" t="s">
        <v>372</v>
      </c>
      <c r="C45" s="634" t="s">
        <v>214</v>
      </c>
      <c r="D45" s="635">
        <v>4500148873</v>
      </c>
      <c r="E45" s="659">
        <v>84006305</v>
      </c>
      <c r="F45" s="636" t="s">
        <v>373</v>
      </c>
      <c r="G45" s="637" t="s">
        <v>111</v>
      </c>
      <c r="H45" s="637" t="s">
        <v>99</v>
      </c>
      <c r="I45" s="638">
        <v>1210</v>
      </c>
      <c r="J45" s="638">
        <v>0</v>
      </c>
      <c r="K45" s="639">
        <v>22</v>
      </c>
      <c r="L45" s="639">
        <f t="shared" si="22"/>
        <v>55</v>
      </c>
      <c r="M45" s="641">
        <v>45677</v>
      </c>
      <c r="N45" s="641">
        <v>45673</v>
      </c>
      <c r="O45" s="641"/>
      <c r="P45" s="642" t="s">
        <v>100</v>
      </c>
      <c r="Q45" s="643" t="s">
        <v>374</v>
      </c>
      <c r="R45" s="642" t="s">
        <v>375</v>
      </c>
      <c r="S45" s="641"/>
      <c r="T45" s="641"/>
      <c r="U45" s="642" t="s">
        <v>113</v>
      </c>
      <c r="V45" s="642"/>
      <c r="W45" s="646"/>
      <c r="X45" s="647" t="s">
        <v>376</v>
      </c>
      <c r="Y45" s="646" t="s">
        <v>377</v>
      </c>
      <c r="Z45" s="648">
        <v>2.8038</v>
      </c>
      <c r="AA45" s="650">
        <f t="shared" si="27"/>
        <v>3392.598</v>
      </c>
      <c r="AB45" s="649">
        <v>1210</v>
      </c>
      <c r="AC45" s="649">
        <f t="shared" si="23"/>
        <v>0</v>
      </c>
      <c r="AD45" s="650"/>
      <c r="AE45" s="661" t="s">
        <v>111</v>
      </c>
      <c r="AF45" s="646" t="s">
        <v>107</v>
      </c>
      <c r="AG45" s="652" t="s">
        <v>43</v>
      </c>
      <c r="AH45" s="646" t="s">
        <v>378</v>
      </c>
      <c r="AI45" s="649"/>
      <c r="AJ45" s="649"/>
      <c r="AK45" s="649"/>
      <c r="AL45" s="652">
        <f>I45</f>
        <v>1210</v>
      </c>
      <c r="AM45" s="652"/>
      <c r="AN45" s="649"/>
      <c r="AO45" s="649"/>
      <c r="AP45" s="649"/>
      <c r="AQ45" s="653"/>
      <c r="AR45" s="649"/>
      <c r="AS45" s="649"/>
      <c r="AT45" s="652">
        <f t="shared" si="30"/>
        <v>1210</v>
      </c>
      <c r="AU45" s="649"/>
      <c r="AV45" s="654"/>
      <c r="AW45" s="654"/>
      <c r="AX45" s="652">
        <f>I45/11</f>
        <v>110</v>
      </c>
      <c r="AY45" s="652"/>
      <c r="AZ45" s="654"/>
      <c r="BA45" s="652"/>
      <c r="BB45" s="652"/>
      <c r="BC45" s="654"/>
      <c r="BD45" s="654"/>
      <c r="BE45" s="654"/>
      <c r="BF45" s="654"/>
      <c r="BG45" s="654"/>
      <c r="BH45" s="654"/>
      <c r="BI45" s="654"/>
      <c r="BJ45" s="654"/>
      <c r="BK45" s="654"/>
      <c r="BL45" s="654"/>
      <c r="BM45" s="654"/>
      <c r="BN45" s="654"/>
      <c r="BO45" s="654"/>
      <c r="BP45" s="654"/>
      <c r="BQ45" s="654"/>
      <c r="BR45" s="654"/>
      <c r="BS45" s="654"/>
      <c r="BT45" s="654"/>
      <c r="BU45" s="654"/>
      <c r="BV45" s="654"/>
      <c r="BW45" s="645" t="s">
        <v>109</v>
      </c>
      <c r="BX45" s="658">
        <f>I45/22*5</f>
        <v>275</v>
      </c>
      <c r="BY45" s="658">
        <f>I45/22*6</f>
        <v>330</v>
      </c>
      <c r="BZ45" s="658">
        <f>I45/22*6</f>
        <v>330</v>
      </c>
      <c r="CA45" s="658">
        <f>I45/22*5</f>
        <v>275</v>
      </c>
      <c r="CB45" s="644">
        <f t="shared" si="24"/>
        <v>1210</v>
      </c>
      <c r="CC45" s="658">
        <f>I45/11</f>
        <v>110</v>
      </c>
      <c r="CD45" s="644">
        <f t="shared" si="25"/>
        <v>1210</v>
      </c>
      <c r="CE45" s="644">
        <f t="shared" si="26"/>
        <v>0</v>
      </c>
    </row>
    <row r="46" s="338" customFormat="1" ht="40" customHeight="1" spans="1:83">
      <c r="A46" s="632">
        <v>45610</v>
      </c>
      <c r="B46" s="633" t="s">
        <v>379</v>
      </c>
      <c r="C46" s="634" t="s">
        <v>380</v>
      </c>
      <c r="D46" s="635">
        <v>4500151302</v>
      </c>
      <c r="E46" s="659" t="s">
        <v>381</v>
      </c>
      <c r="F46" s="636" t="s">
        <v>382</v>
      </c>
      <c r="G46" s="637" t="s">
        <v>383</v>
      </c>
      <c r="H46" s="637" t="s">
        <v>384</v>
      </c>
      <c r="I46" s="638">
        <v>504</v>
      </c>
      <c r="J46" s="638">
        <v>0</v>
      </c>
      <c r="K46" s="639">
        <v>24</v>
      </c>
      <c r="L46" s="639">
        <f t="shared" si="22"/>
        <v>21</v>
      </c>
      <c r="M46" s="641">
        <v>45667</v>
      </c>
      <c r="N46" s="641">
        <v>45663</v>
      </c>
      <c r="O46" s="641"/>
      <c r="P46" s="642" t="s">
        <v>100</v>
      </c>
      <c r="Q46" s="643" t="s">
        <v>385</v>
      </c>
      <c r="R46" s="642" t="s">
        <v>161</v>
      </c>
      <c r="S46" s="641"/>
      <c r="T46" s="641"/>
      <c r="U46" s="642" t="s">
        <v>386</v>
      </c>
      <c r="V46" s="642" t="s">
        <v>387</v>
      </c>
      <c r="W46" s="646"/>
      <c r="X46" s="647" t="s">
        <v>388</v>
      </c>
      <c r="Y46" s="646" t="s">
        <v>175</v>
      </c>
      <c r="Z46" s="648">
        <v>2.4325</v>
      </c>
      <c r="AA46" s="650">
        <f t="shared" si="27"/>
        <v>1225.98</v>
      </c>
      <c r="AB46" s="649">
        <v>504</v>
      </c>
      <c r="AC46" s="649">
        <f t="shared" si="23"/>
        <v>0</v>
      </c>
      <c r="AD46" s="650" t="s">
        <v>106</v>
      </c>
      <c r="AE46" s="661" t="s">
        <v>166</v>
      </c>
      <c r="AF46" s="646" t="s">
        <v>107</v>
      </c>
      <c r="AG46" s="652" t="s">
        <v>43</v>
      </c>
      <c r="AH46" s="646" t="s">
        <v>389</v>
      </c>
      <c r="AI46" s="649"/>
      <c r="AJ46" s="649"/>
      <c r="AK46" s="649"/>
      <c r="AL46" s="649"/>
      <c r="AM46" s="649"/>
      <c r="AN46" s="649"/>
      <c r="AO46" s="649">
        <f>I46</f>
        <v>504</v>
      </c>
      <c r="AP46" s="649"/>
      <c r="AQ46" s="653"/>
      <c r="AR46" s="649"/>
      <c r="AS46" s="649"/>
      <c r="AT46" s="652">
        <f t="shared" si="30"/>
        <v>504</v>
      </c>
      <c r="AU46" s="649"/>
      <c r="AV46" s="654"/>
      <c r="AW46" s="654"/>
      <c r="AX46" s="654"/>
      <c r="AY46" s="654"/>
      <c r="AZ46" s="654"/>
      <c r="BA46" s="652"/>
      <c r="BB46" s="652"/>
      <c r="BC46" s="654"/>
      <c r="BD46" s="654"/>
      <c r="BE46" s="654"/>
      <c r="BF46" s="654"/>
      <c r="BG46" s="654"/>
      <c r="BH46" s="654"/>
      <c r="BI46" s="654"/>
      <c r="BJ46" s="654"/>
      <c r="BK46" s="654"/>
      <c r="BL46" s="654"/>
      <c r="BM46" s="654"/>
      <c r="BN46" s="654"/>
      <c r="BO46" s="654"/>
      <c r="BP46" s="654"/>
      <c r="BQ46" s="654"/>
      <c r="BR46" s="654"/>
      <c r="BS46" s="654"/>
      <c r="BT46" s="654"/>
      <c r="BU46" s="654"/>
      <c r="BV46" s="654"/>
      <c r="BW46" s="645" t="s">
        <v>109</v>
      </c>
      <c r="BX46" s="658"/>
      <c r="BY46" s="658">
        <f>I46</f>
        <v>504</v>
      </c>
      <c r="BZ46" s="658"/>
      <c r="CA46" s="658"/>
      <c r="CB46" s="644">
        <f t="shared" si="24"/>
        <v>504</v>
      </c>
      <c r="CC46" s="658"/>
      <c r="CD46" s="644">
        <f t="shared" si="25"/>
        <v>504</v>
      </c>
      <c r="CE46" s="644">
        <f t="shared" si="26"/>
        <v>0</v>
      </c>
    </row>
    <row r="47" s="338" customFormat="1" ht="40" customHeight="1" spans="1:83">
      <c r="A47" s="632">
        <v>45610</v>
      </c>
      <c r="B47" s="633" t="s">
        <v>379</v>
      </c>
      <c r="C47" s="634" t="s">
        <v>380</v>
      </c>
      <c r="D47" s="635">
        <v>4500151302</v>
      </c>
      <c r="E47" s="659" t="s">
        <v>390</v>
      </c>
      <c r="F47" s="636" t="s">
        <v>391</v>
      </c>
      <c r="G47" s="637" t="s">
        <v>383</v>
      </c>
      <c r="H47" s="637" t="s">
        <v>384</v>
      </c>
      <c r="I47" s="638">
        <v>504</v>
      </c>
      <c r="J47" s="638">
        <v>0</v>
      </c>
      <c r="K47" s="639">
        <v>24</v>
      </c>
      <c r="L47" s="639">
        <f t="shared" si="22"/>
        <v>21</v>
      </c>
      <c r="M47" s="641">
        <v>45667</v>
      </c>
      <c r="N47" s="641">
        <v>45663</v>
      </c>
      <c r="O47" s="641"/>
      <c r="P47" s="642" t="s">
        <v>100</v>
      </c>
      <c r="Q47" s="643" t="s">
        <v>392</v>
      </c>
      <c r="R47" s="642" t="s">
        <v>161</v>
      </c>
      <c r="S47" s="641"/>
      <c r="T47" s="641"/>
      <c r="U47" s="642" t="s">
        <v>386</v>
      </c>
      <c r="V47" s="642" t="s">
        <v>387</v>
      </c>
      <c r="W47" s="646"/>
      <c r="X47" s="647" t="s">
        <v>388</v>
      </c>
      <c r="Y47" s="646" t="s">
        <v>175</v>
      </c>
      <c r="Z47" s="648">
        <v>2.4325</v>
      </c>
      <c r="AA47" s="650">
        <f t="shared" si="27"/>
        <v>1225.98</v>
      </c>
      <c r="AB47" s="649">
        <v>504</v>
      </c>
      <c r="AC47" s="649">
        <f t="shared" si="23"/>
        <v>0</v>
      </c>
      <c r="AD47" s="650" t="s">
        <v>106</v>
      </c>
      <c r="AE47" s="661" t="s">
        <v>166</v>
      </c>
      <c r="AF47" s="646" t="s">
        <v>107</v>
      </c>
      <c r="AG47" s="652" t="s">
        <v>43</v>
      </c>
      <c r="AH47" s="646" t="s">
        <v>389</v>
      </c>
      <c r="AI47" s="649"/>
      <c r="AJ47" s="649"/>
      <c r="AK47" s="649"/>
      <c r="AL47" s="649"/>
      <c r="AM47" s="649"/>
      <c r="AN47" s="649"/>
      <c r="AO47" s="649">
        <f>I47</f>
        <v>504</v>
      </c>
      <c r="AP47" s="649"/>
      <c r="AQ47" s="653"/>
      <c r="AR47" s="649"/>
      <c r="AS47" s="649"/>
      <c r="AT47" s="652">
        <f t="shared" si="30"/>
        <v>504</v>
      </c>
      <c r="AU47" s="649"/>
      <c r="AV47" s="654"/>
      <c r="AW47" s="654"/>
      <c r="AX47" s="654"/>
      <c r="AY47" s="654"/>
      <c r="AZ47" s="654"/>
      <c r="BA47" s="652"/>
      <c r="BB47" s="652"/>
      <c r="BC47" s="654"/>
      <c r="BD47" s="654"/>
      <c r="BE47" s="654"/>
      <c r="BF47" s="654"/>
      <c r="BG47" s="654"/>
      <c r="BH47" s="654"/>
      <c r="BI47" s="654"/>
      <c r="BJ47" s="654"/>
      <c r="BK47" s="654"/>
      <c r="BL47" s="654"/>
      <c r="BM47" s="654"/>
      <c r="BN47" s="654"/>
      <c r="BO47" s="654"/>
      <c r="BP47" s="654"/>
      <c r="BQ47" s="654"/>
      <c r="BR47" s="654"/>
      <c r="BS47" s="654"/>
      <c r="BT47" s="654"/>
      <c r="BU47" s="654"/>
      <c r="BV47" s="654"/>
      <c r="BW47" s="645" t="s">
        <v>109</v>
      </c>
      <c r="BX47" s="658"/>
      <c r="BY47" s="658">
        <f>I47</f>
        <v>504</v>
      </c>
      <c r="BZ47" s="658"/>
      <c r="CA47" s="658"/>
      <c r="CB47" s="644">
        <f t="shared" si="24"/>
        <v>504</v>
      </c>
      <c r="CC47" s="658"/>
      <c r="CD47" s="644">
        <f t="shared" si="25"/>
        <v>504</v>
      </c>
      <c r="CE47" s="644">
        <f t="shared" si="26"/>
        <v>0</v>
      </c>
    </row>
    <row r="48" s="338" customFormat="1" ht="40" customHeight="1" spans="1:83">
      <c r="A48" s="632">
        <v>45632</v>
      </c>
      <c r="B48" s="633" t="s">
        <v>379</v>
      </c>
      <c r="C48" s="634" t="s">
        <v>380</v>
      </c>
      <c r="D48" s="635">
        <v>4500153435</v>
      </c>
      <c r="E48" s="659" t="s">
        <v>393</v>
      </c>
      <c r="F48" s="636" t="s">
        <v>394</v>
      </c>
      <c r="G48" s="637" t="s">
        <v>395</v>
      </c>
      <c r="H48" s="637" t="s">
        <v>384</v>
      </c>
      <c r="I48" s="638">
        <v>504</v>
      </c>
      <c r="J48" s="638">
        <v>0</v>
      </c>
      <c r="K48" s="639">
        <v>24</v>
      </c>
      <c r="L48" s="639">
        <f t="shared" si="22"/>
        <v>21</v>
      </c>
      <c r="M48" s="641">
        <v>45681</v>
      </c>
      <c r="N48" s="641">
        <v>45677</v>
      </c>
      <c r="O48" s="641"/>
      <c r="P48" s="642" t="s">
        <v>100</v>
      </c>
      <c r="Q48" s="643" t="s">
        <v>396</v>
      </c>
      <c r="R48" s="642" t="s">
        <v>397</v>
      </c>
      <c r="S48" s="641"/>
      <c r="T48" s="641"/>
      <c r="U48" s="642" t="s">
        <v>398</v>
      </c>
      <c r="V48" s="642" t="s">
        <v>399</v>
      </c>
      <c r="W48" s="645"/>
      <c r="X48" s="647" t="s">
        <v>400</v>
      </c>
      <c r="Y48" s="646" t="s">
        <v>175</v>
      </c>
      <c r="Z48" s="648">
        <v>2.4325</v>
      </c>
      <c r="AA48" s="650">
        <f t="shared" si="27"/>
        <v>1225.98</v>
      </c>
      <c r="AB48" s="649">
        <v>504</v>
      </c>
      <c r="AC48" s="649">
        <f t="shared" si="23"/>
        <v>0</v>
      </c>
      <c r="AD48" s="650" t="s">
        <v>106</v>
      </c>
      <c r="AE48" s="637" t="s">
        <v>193</v>
      </c>
      <c r="AF48" s="646" t="s">
        <v>107</v>
      </c>
      <c r="AG48" s="652" t="s">
        <v>43</v>
      </c>
      <c r="AH48" s="646" t="s">
        <v>401</v>
      </c>
      <c r="AI48" s="651"/>
      <c r="AJ48" s="651"/>
      <c r="AK48" s="651"/>
      <c r="AL48" s="649"/>
      <c r="AM48" s="649"/>
      <c r="AN48" s="651"/>
      <c r="AO48" s="649">
        <f>I48</f>
        <v>504</v>
      </c>
      <c r="AP48" s="649"/>
      <c r="AQ48" s="653"/>
      <c r="AR48" s="651"/>
      <c r="AS48" s="651"/>
      <c r="AT48" s="652">
        <f t="shared" si="30"/>
        <v>504</v>
      </c>
      <c r="AU48" s="649"/>
      <c r="AV48" s="654"/>
      <c r="AW48" s="656"/>
      <c r="AX48" s="652"/>
      <c r="AY48" s="652"/>
      <c r="AZ48" s="656"/>
      <c r="BA48" s="652"/>
      <c r="BB48" s="652"/>
      <c r="BC48" s="656"/>
      <c r="BD48" s="656"/>
      <c r="BE48" s="654"/>
      <c r="BF48" s="656"/>
      <c r="BG48" s="654"/>
      <c r="BH48" s="654"/>
      <c r="BI48" s="656"/>
      <c r="BJ48" s="656"/>
      <c r="BK48" s="654"/>
      <c r="BL48" s="654"/>
      <c r="BM48" s="654"/>
      <c r="BN48" s="654"/>
      <c r="BO48" s="654"/>
      <c r="BP48" s="656"/>
      <c r="BQ48" s="654"/>
      <c r="BR48" s="656"/>
      <c r="BS48" s="654"/>
      <c r="BT48" s="654"/>
      <c r="BU48" s="654"/>
      <c r="BV48" s="654"/>
      <c r="BW48" s="645" t="s">
        <v>109</v>
      </c>
      <c r="BX48" s="658">
        <f>I48</f>
        <v>504</v>
      </c>
      <c r="BY48" s="658"/>
      <c r="BZ48" s="658"/>
      <c r="CA48" s="658"/>
      <c r="CB48" s="644">
        <f>SUM(BX48:CA48)</f>
        <v>504</v>
      </c>
      <c r="CC48" s="658"/>
      <c r="CD48" s="644">
        <f t="shared" si="25"/>
        <v>504</v>
      </c>
      <c r="CE48" s="644">
        <f t="shared" si="26"/>
        <v>0</v>
      </c>
    </row>
    <row r="49" s="338" customFormat="1" ht="40" customHeight="1" spans="1:83">
      <c r="A49" s="632">
        <v>45652</v>
      </c>
      <c r="B49" s="633"/>
      <c r="C49" s="634"/>
      <c r="D49" s="635" t="s">
        <v>402</v>
      </c>
      <c r="E49" s="659"/>
      <c r="F49" s="636"/>
      <c r="G49" s="637" t="s">
        <v>98</v>
      </c>
      <c r="H49" s="637" t="s">
        <v>99</v>
      </c>
      <c r="I49" s="638">
        <v>600</v>
      </c>
      <c r="J49" s="638">
        <v>0</v>
      </c>
      <c r="K49" s="639">
        <v>24</v>
      </c>
      <c r="L49" s="639">
        <f t="shared" si="22"/>
        <v>25</v>
      </c>
      <c r="M49" s="641">
        <v>45659</v>
      </c>
      <c r="N49" s="641">
        <v>45656</v>
      </c>
      <c r="O49" s="641"/>
      <c r="P49" s="642" t="s">
        <v>403</v>
      </c>
      <c r="Q49" s="643"/>
      <c r="R49" s="642"/>
      <c r="S49" s="641"/>
      <c r="T49" s="641"/>
      <c r="U49" s="642"/>
      <c r="V49" s="642"/>
      <c r="W49" s="646"/>
      <c r="X49" s="647" t="s">
        <v>404</v>
      </c>
      <c r="Y49" s="646" t="s">
        <v>115</v>
      </c>
      <c r="Z49" s="648">
        <v>0</v>
      </c>
      <c r="AA49" s="650">
        <f t="shared" si="27"/>
        <v>0</v>
      </c>
      <c r="AB49" s="649">
        <v>600</v>
      </c>
      <c r="AC49" s="649"/>
      <c r="AD49" s="650"/>
      <c r="AE49" s="637" t="s">
        <v>405</v>
      </c>
      <c r="AF49" s="646" t="s">
        <v>406</v>
      </c>
      <c r="AG49" s="652"/>
      <c r="AH49" s="646"/>
      <c r="AI49" s="649"/>
      <c r="AJ49" s="649"/>
      <c r="AK49" s="649"/>
      <c r="AL49" s="649"/>
      <c r="AM49" s="649"/>
      <c r="AN49" s="649"/>
      <c r="AO49" s="649"/>
      <c r="AP49" s="649"/>
      <c r="AQ49" s="653"/>
      <c r="AR49" s="649"/>
      <c r="AS49" s="649"/>
      <c r="AT49" s="649"/>
      <c r="AU49" s="649"/>
      <c r="AV49" s="654"/>
      <c r="AW49" s="654"/>
      <c r="AX49" s="654"/>
      <c r="AY49" s="654"/>
      <c r="AZ49" s="654"/>
      <c r="BA49" s="652"/>
      <c r="BB49" s="652"/>
      <c r="BC49" s="654"/>
      <c r="BD49" s="654"/>
      <c r="BE49" s="654"/>
      <c r="BF49" s="654"/>
      <c r="BG49" s="654"/>
      <c r="BH49" s="654"/>
      <c r="BI49" s="654"/>
      <c r="BJ49" s="654"/>
      <c r="BK49" s="654"/>
      <c r="BL49" s="654"/>
      <c r="BM49" s="654"/>
      <c r="BN49" s="654"/>
      <c r="BO49" s="654"/>
      <c r="BP49" s="654"/>
      <c r="BQ49" s="654"/>
      <c r="BR49" s="654"/>
      <c r="BS49" s="654"/>
      <c r="BT49" s="654"/>
      <c r="BU49" s="654"/>
      <c r="BV49" s="654"/>
      <c r="BW49" s="645"/>
      <c r="BX49" s="658"/>
      <c r="BY49" s="658"/>
      <c r="BZ49" s="658"/>
      <c r="CA49" s="658"/>
      <c r="CB49" s="644">
        <f>I49</f>
        <v>600</v>
      </c>
      <c r="CC49" s="658"/>
      <c r="CD49" s="644"/>
      <c r="CE49" s="644"/>
    </row>
    <row r="50" s="338" customFormat="1" ht="40" customHeight="1" spans="1:83">
      <c r="A50" s="632">
        <v>45560</v>
      </c>
      <c r="B50" s="659" t="s">
        <v>407</v>
      </c>
      <c r="C50" s="634" t="s">
        <v>129</v>
      </c>
      <c r="D50" s="635">
        <v>4500145574</v>
      </c>
      <c r="E50" s="659"/>
      <c r="F50" s="636" t="s">
        <v>408</v>
      </c>
      <c r="G50" s="637" t="s">
        <v>111</v>
      </c>
      <c r="H50" s="637" t="s">
        <v>99</v>
      </c>
      <c r="I50" s="638">
        <v>506</v>
      </c>
      <c r="J50" s="638">
        <v>0</v>
      </c>
      <c r="K50" s="639">
        <v>22</v>
      </c>
      <c r="L50" s="639">
        <f t="shared" si="22"/>
        <v>23</v>
      </c>
      <c r="M50" s="641">
        <v>45649</v>
      </c>
      <c r="N50" s="641">
        <v>45673</v>
      </c>
      <c r="O50" s="641"/>
      <c r="P50" s="642" t="s">
        <v>100</v>
      </c>
      <c r="Q50" s="643" t="s">
        <v>409</v>
      </c>
      <c r="R50" s="642" t="s">
        <v>410</v>
      </c>
      <c r="S50" s="642"/>
      <c r="T50" s="642"/>
      <c r="U50" s="642" t="s">
        <v>411</v>
      </c>
      <c r="V50" s="642" t="s">
        <v>163</v>
      </c>
      <c r="W50" s="645"/>
      <c r="X50" s="647" t="s">
        <v>412</v>
      </c>
      <c r="Y50" s="646" t="s">
        <v>137</v>
      </c>
      <c r="Z50" s="648">
        <v>2.8179</v>
      </c>
      <c r="AA50" s="650">
        <f t="shared" si="27"/>
        <v>1425.8574</v>
      </c>
      <c r="AB50" s="649">
        <f>462+44</f>
        <v>506</v>
      </c>
      <c r="AC50" s="649">
        <f>AB50-I50</f>
        <v>0</v>
      </c>
      <c r="AD50" s="650" t="s">
        <v>106</v>
      </c>
      <c r="AE50" s="637" t="s">
        <v>230</v>
      </c>
      <c r="AF50" s="646" t="s">
        <v>107</v>
      </c>
      <c r="AG50" s="652" t="s">
        <v>43</v>
      </c>
      <c r="AH50" s="646" t="s">
        <v>413</v>
      </c>
      <c r="AI50" s="649"/>
      <c r="AJ50" s="649"/>
      <c r="AK50" s="649"/>
      <c r="AL50" s="649"/>
      <c r="AM50" s="649"/>
      <c r="AN50" s="649"/>
      <c r="AO50" s="649">
        <f>I50</f>
        <v>506</v>
      </c>
      <c r="AP50" s="649"/>
      <c r="AQ50" s="653"/>
      <c r="AR50" s="649"/>
      <c r="AS50" s="649"/>
      <c r="AT50" s="652">
        <f t="shared" ref="AT50:AT58" si="31">I50</f>
        <v>506</v>
      </c>
      <c r="AU50" s="649"/>
      <c r="AV50" s="654"/>
      <c r="AW50" s="652"/>
      <c r="AX50" s="652"/>
      <c r="AY50" s="652"/>
      <c r="AZ50" s="654"/>
      <c r="BA50" s="652">
        <f>I50/11</f>
        <v>46</v>
      </c>
      <c r="BB50" s="652"/>
      <c r="BC50" s="654"/>
      <c r="BD50" s="654"/>
      <c r="BE50" s="654"/>
      <c r="BF50" s="654"/>
      <c r="BG50" s="654"/>
      <c r="BH50" s="654"/>
      <c r="BI50" s="654"/>
      <c r="BJ50" s="654"/>
      <c r="BK50" s="654"/>
      <c r="BL50" s="654"/>
      <c r="BM50" s="654"/>
      <c r="BN50" s="654"/>
      <c r="BO50" s="654"/>
      <c r="BP50" s="654"/>
      <c r="BQ50" s="654"/>
      <c r="BR50" s="654"/>
      <c r="BS50" s="654"/>
      <c r="BT50" s="654"/>
      <c r="BU50" s="654"/>
      <c r="BV50" s="654"/>
      <c r="BW50" s="645" t="s">
        <v>109</v>
      </c>
      <c r="BX50" s="658">
        <f>I50/22*5</f>
        <v>115</v>
      </c>
      <c r="BY50" s="658">
        <f>I50/22*6</f>
        <v>138</v>
      </c>
      <c r="BZ50" s="658">
        <f>I50/22*6</f>
        <v>138</v>
      </c>
      <c r="CA50" s="658">
        <f>I50/22*5</f>
        <v>115</v>
      </c>
      <c r="CB50" s="644">
        <f t="shared" ref="CB50:CB60" si="32">I50</f>
        <v>506</v>
      </c>
      <c r="CC50" s="658">
        <f>I50/11</f>
        <v>46</v>
      </c>
      <c r="CD50" s="644">
        <f t="shared" ref="CD50:CD113" si="33">SUM(BX50:CA50)</f>
        <v>506</v>
      </c>
      <c r="CE50" s="644">
        <f>I50-CD50</f>
        <v>0</v>
      </c>
    </row>
    <row r="51" s="338" customFormat="1" ht="40" customHeight="1" spans="1:83">
      <c r="A51" s="632">
        <v>45628</v>
      </c>
      <c r="B51" s="633" t="s">
        <v>414</v>
      </c>
      <c r="C51" s="634" t="s">
        <v>415</v>
      </c>
      <c r="D51" s="635">
        <v>4500153105</v>
      </c>
      <c r="E51" s="659" t="s">
        <v>416</v>
      </c>
      <c r="F51" s="636" t="s">
        <v>417</v>
      </c>
      <c r="G51" s="637" t="s">
        <v>111</v>
      </c>
      <c r="H51" s="637" t="s">
        <v>99</v>
      </c>
      <c r="I51" s="638">
        <v>616</v>
      </c>
      <c r="J51" s="638">
        <v>0</v>
      </c>
      <c r="K51" s="639">
        <v>22</v>
      </c>
      <c r="L51" s="639">
        <f t="shared" si="22"/>
        <v>28</v>
      </c>
      <c r="M51" s="641">
        <v>45691</v>
      </c>
      <c r="N51" s="641">
        <v>45687</v>
      </c>
      <c r="O51" s="641"/>
      <c r="P51" s="642" t="s">
        <v>100</v>
      </c>
      <c r="Q51" s="643" t="s">
        <v>418</v>
      </c>
      <c r="R51" s="642" t="s">
        <v>419</v>
      </c>
      <c r="S51" s="641"/>
      <c r="T51" s="641"/>
      <c r="U51" s="642" t="s">
        <v>420</v>
      </c>
      <c r="V51" s="642"/>
      <c r="W51" s="645"/>
      <c r="X51" s="647" t="s">
        <v>421</v>
      </c>
      <c r="Y51" s="646" t="s">
        <v>422</v>
      </c>
      <c r="Z51" s="648">
        <v>2.8179</v>
      </c>
      <c r="AA51" s="650">
        <f t="shared" si="27"/>
        <v>1735.8264</v>
      </c>
      <c r="AB51" s="649">
        <v>616</v>
      </c>
      <c r="AC51" s="649">
        <f t="shared" ref="AC42:AC114" si="34">AB51-I51</f>
        <v>0</v>
      </c>
      <c r="AD51" s="650" t="s">
        <v>106</v>
      </c>
      <c r="AE51" s="661" t="s">
        <v>111</v>
      </c>
      <c r="AF51" s="646" t="s">
        <v>107</v>
      </c>
      <c r="AG51" s="652" t="s">
        <v>43</v>
      </c>
      <c r="AH51" s="646" t="s">
        <v>423</v>
      </c>
      <c r="AI51" s="649"/>
      <c r="AJ51" s="649"/>
      <c r="AK51" s="649"/>
      <c r="AL51" s="652">
        <f t="shared" ref="AL51:AL58" si="35">I51</f>
        <v>616</v>
      </c>
      <c r="AM51" s="652"/>
      <c r="AN51" s="649"/>
      <c r="AO51" s="649"/>
      <c r="AP51" s="649"/>
      <c r="AQ51" s="653"/>
      <c r="AR51" s="649"/>
      <c r="AS51" s="649"/>
      <c r="AT51" s="652">
        <f t="shared" si="31"/>
        <v>616</v>
      </c>
      <c r="AU51" s="649"/>
      <c r="AV51" s="654"/>
      <c r="AW51" s="654"/>
      <c r="AX51" s="652">
        <f>I51/11</f>
        <v>56</v>
      </c>
      <c r="AY51" s="652"/>
      <c r="AZ51" s="654"/>
      <c r="BA51" s="652"/>
      <c r="BB51" s="652"/>
      <c r="BC51" s="654"/>
      <c r="BD51" s="654"/>
      <c r="BE51" s="654"/>
      <c r="BF51" s="654"/>
      <c r="BG51" s="654"/>
      <c r="BH51" s="654"/>
      <c r="BI51" s="654"/>
      <c r="BJ51" s="654"/>
      <c r="BK51" s="654"/>
      <c r="BL51" s="654"/>
      <c r="BM51" s="654"/>
      <c r="BN51" s="654"/>
      <c r="BO51" s="654"/>
      <c r="BP51" s="654"/>
      <c r="BQ51" s="654"/>
      <c r="BR51" s="654"/>
      <c r="BS51" s="654"/>
      <c r="BT51" s="654"/>
      <c r="BU51" s="654"/>
      <c r="BV51" s="654"/>
      <c r="BW51" s="645" t="s">
        <v>109</v>
      </c>
      <c r="BX51" s="658">
        <f>I51/22*5</f>
        <v>140</v>
      </c>
      <c r="BY51" s="658">
        <f>I51/22*6</f>
        <v>168</v>
      </c>
      <c r="BZ51" s="658">
        <f>I51/22*6</f>
        <v>168</v>
      </c>
      <c r="CA51" s="658">
        <f>I51/22*5</f>
        <v>140</v>
      </c>
      <c r="CB51" s="644">
        <f t="shared" si="32"/>
        <v>616</v>
      </c>
      <c r="CC51" s="658">
        <f>I51/11</f>
        <v>56</v>
      </c>
      <c r="CD51" s="644">
        <f t="shared" si="33"/>
        <v>616</v>
      </c>
      <c r="CE51" s="644">
        <f>I51-CD51</f>
        <v>0</v>
      </c>
    </row>
    <row r="52" s="338" customFormat="1" ht="40" customHeight="1" spans="1:83">
      <c r="A52" s="632">
        <v>45601</v>
      </c>
      <c r="B52" s="633" t="s">
        <v>424</v>
      </c>
      <c r="C52" s="634" t="s">
        <v>380</v>
      </c>
      <c r="D52" s="635">
        <v>4500150157</v>
      </c>
      <c r="E52" s="659" t="s">
        <v>425</v>
      </c>
      <c r="F52" s="636" t="s">
        <v>426</v>
      </c>
      <c r="G52" s="637" t="s">
        <v>427</v>
      </c>
      <c r="H52" s="637" t="s">
        <v>99</v>
      </c>
      <c r="I52" s="638">
        <v>1498</v>
      </c>
      <c r="J52" s="638">
        <v>0</v>
      </c>
      <c r="K52" s="639">
        <v>7</v>
      </c>
      <c r="L52" s="639">
        <f t="shared" si="22"/>
        <v>214</v>
      </c>
      <c r="M52" s="641">
        <v>45695</v>
      </c>
      <c r="N52" s="641">
        <v>45691</v>
      </c>
      <c r="O52" s="641"/>
      <c r="P52" s="642" t="s">
        <v>100</v>
      </c>
      <c r="Q52" s="643" t="s">
        <v>428</v>
      </c>
      <c r="R52" s="642" t="s">
        <v>429</v>
      </c>
      <c r="S52" s="641"/>
      <c r="T52" s="641"/>
      <c r="U52" s="642" t="s">
        <v>113</v>
      </c>
      <c r="V52" s="642"/>
      <c r="W52" s="646"/>
      <c r="X52" s="647" t="s">
        <v>430</v>
      </c>
      <c r="Y52" s="646" t="s">
        <v>152</v>
      </c>
      <c r="Z52" s="648">
        <v>2.8304</v>
      </c>
      <c r="AA52" s="650">
        <f t="shared" si="27"/>
        <v>4239.9392</v>
      </c>
      <c r="AB52" s="649">
        <v>1498</v>
      </c>
      <c r="AC52" s="649">
        <f t="shared" si="34"/>
        <v>0</v>
      </c>
      <c r="AD52" s="642" t="s">
        <v>113</v>
      </c>
      <c r="AE52" s="637" t="s">
        <v>427</v>
      </c>
      <c r="AF52" s="646" t="s">
        <v>107</v>
      </c>
      <c r="AG52" s="652" t="s">
        <v>43</v>
      </c>
      <c r="AH52" s="646" t="s">
        <v>431</v>
      </c>
      <c r="AI52" s="649"/>
      <c r="AJ52" s="649"/>
      <c r="AK52" s="649"/>
      <c r="AL52" s="652">
        <f t="shared" si="35"/>
        <v>1498</v>
      </c>
      <c r="AM52" s="652"/>
      <c r="AN52" s="649"/>
      <c r="AO52" s="649"/>
      <c r="AP52" s="649"/>
      <c r="AQ52" s="653"/>
      <c r="AR52" s="649"/>
      <c r="AS52" s="649"/>
      <c r="AT52" s="652">
        <f t="shared" si="31"/>
        <v>1498</v>
      </c>
      <c r="AU52" s="649"/>
      <c r="AV52" s="654"/>
      <c r="AW52" s="654"/>
      <c r="AX52" s="652"/>
      <c r="AY52" s="652"/>
      <c r="AZ52" s="654"/>
      <c r="BA52" s="652"/>
      <c r="BB52" s="652"/>
      <c r="BC52" s="654"/>
      <c r="BD52" s="654"/>
      <c r="BE52" s="654"/>
      <c r="BF52" s="654"/>
      <c r="BG52" s="652">
        <f>I52/7</f>
        <v>214</v>
      </c>
      <c r="BH52" s="652"/>
      <c r="BI52" s="654"/>
      <c r="BJ52" s="654"/>
      <c r="BK52" s="654"/>
      <c r="BL52" s="654"/>
      <c r="BM52" s="654"/>
      <c r="BN52" s="654"/>
      <c r="BO52" s="654"/>
      <c r="BP52" s="654"/>
      <c r="BQ52" s="654"/>
      <c r="BR52" s="654"/>
      <c r="BS52" s="654"/>
      <c r="BT52" s="654"/>
      <c r="BU52" s="654"/>
      <c r="BV52" s="654"/>
      <c r="BW52" s="645" t="s">
        <v>109</v>
      </c>
      <c r="BX52" s="658">
        <f>I52/4</f>
        <v>374.5</v>
      </c>
      <c r="BY52" s="658">
        <f>I52/4</f>
        <v>374.5</v>
      </c>
      <c r="BZ52" s="658">
        <f>I52/4</f>
        <v>374.5</v>
      </c>
      <c r="CA52" s="658">
        <f>I52/4</f>
        <v>374.5</v>
      </c>
      <c r="CB52" s="644">
        <f t="shared" si="32"/>
        <v>1498</v>
      </c>
      <c r="CC52" s="644">
        <f>I52/7</f>
        <v>214</v>
      </c>
      <c r="CD52" s="644">
        <f t="shared" si="33"/>
        <v>1498</v>
      </c>
      <c r="CE52" s="644">
        <f>CD52-I52</f>
        <v>0</v>
      </c>
    </row>
    <row r="53" s="338" customFormat="1" ht="40" customHeight="1" spans="1:83">
      <c r="A53" s="632">
        <v>45614</v>
      </c>
      <c r="B53" s="633" t="s">
        <v>432</v>
      </c>
      <c r="C53" s="634" t="s">
        <v>380</v>
      </c>
      <c r="D53" s="635">
        <v>4500150417</v>
      </c>
      <c r="E53" s="659" t="s">
        <v>433</v>
      </c>
      <c r="F53" s="636" t="s">
        <v>434</v>
      </c>
      <c r="G53" s="637" t="s">
        <v>98</v>
      </c>
      <c r="H53" s="637" t="s">
        <v>99</v>
      </c>
      <c r="I53" s="638">
        <v>1008</v>
      </c>
      <c r="J53" s="638">
        <v>0</v>
      </c>
      <c r="K53" s="639">
        <v>24</v>
      </c>
      <c r="L53" s="639">
        <f t="shared" si="22"/>
        <v>42</v>
      </c>
      <c r="M53" s="641">
        <v>45702</v>
      </c>
      <c r="N53" s="641">
        <v>45698</v>
      </c>
      <c r="O53" s="641"/>
      <c r="P53" s="642" t="s">
        <v>100</v>
      </c>
      <c r="Q53" s="643" t="s">
        <v>418</v>
      </c>
      <c r="R53" s="642" t="s">
        <v>353</v>
      </c>
      <c r="S53" s="641"/>
      <c r="T53" s="641"/>
      <c r="U53" s="642" t="s">
        <v>435</v>
      </c>
      <c r="V53" s="642"/>
      <c r="W53" s="646"/>
      <c r="X53" s="647" t="s">
        <v>436</v>
      </c>
      <c r="Y53" s="646" t="s">
        <v>152</v>
      </c>
      <c r="Z53" s="648">
        <v>2.5816</v>
      </c>
      <c r="AA53" s="650">
        <f t="shared" si="27"/>
        <v>2602.2528</v>
      </c>
      <c r="AB53" s="649">
        <v>1008</v>
      </c>
      <c r="AC53" s="649">
        <f t="shared" si="34"/>
        <v>0</v>
      </c>
      <c r="AD53" s="650" t="s">
        <v>106</v>
      </c>
      <c r="AE53" s="637" t="s">
        <v>98</v>
      </c>
      <c r="AF53" s="646" t="s">
        <v>107</v>
      </c>
      <c r="AG53" s="652" t="s">
        <v>43</v>
      </c>
      <c r="AH53" s="646" t="s">
        <v>437</v>
      </c>
      <c r="AI53" s="649"/>
      <c r="AJ53" s="649"/>
      <c r="AK53" s="649"/>
      <c r="AL53" s="652">
        <f t="shared" si="35"/>
        <v>1008</v>
      </c>
      <c r="AM53" s="652"/>
      <c r="AN53" s="649"/>
      <c r="AO53" s="649"/>
      <c r="AP53" s="649"/>
      <c r="AQ53" s="653"/>
      <c r="AR53" s="649"/>
      <c r="AS53" s="649"/>
      <c r="AT53" s="652">
        <f t="shared" si="31"/>
        <v>1008</v>
      </c>
      <c r="AU53" s="649"/>
      <c r="AV53" s="654"/>
      <c r="AW53" s="654"/>
      <c r="AX53" s="652"/>
      <c r="AY53" s="652"/>
      <c r="AZ53" s="654"/>
      <c r="BA53" s="652"/>
      <c r="BB53" s="652"/>
      <c r="BC53" s="654"/>
      <c r="BD53" s="654"/>
      <c r="BE53" s="654"/>
      <c r="BF53" s="654"/>
      <c r="BG53" s="652"/>
      <c r="BH53" s="652"/>
      <c r="BI53" s="654"/>
      <c r="BJ53" s="654"/>
      <c r="BK53" s="654"/>
      <c r="BL53" s="654"/>
      <c r="BM53" s="654"/>
      <c r="BN53" s="654"/>
      <c r="BO53" s="654"/>
      <c r="BP53" s="654"/>
      <c r="BQ53" s="654"/>
      <c r="BR53" s="654"/>
      <c r="BS53" s="654"/>
      <c r="BT53" s="654"/>
      <c r="BU53" s="654"/>
      <c r="BV53" s="654"/>
      <c r="BW53" s="645" t="s">
        <v>109</v>
      </c>
      <c r="BX53" s="658">
        <f>I53/4</f>
        <v>252</v>
      </c>
      <c r="BY53" s="658">
        <f>I53/4</f>
        <v>252</v>
      </c>
      <c r="BZ53" s="658">
        <f>I53/4</f>
        <v>252</v>
      </c>
      <c r="CA53" s="658">
        <f>I53/4</f>
        <v>252</v>
      </c>
      <c r="CB53" s="644">
        <f t="shared" si="32"/>
        <v>1008</v>
      </c>
      <c r="CC53" s="644"/>
      <c r="CD53" s="644">
        <f t="shared" si="33"/>
        <v>1008</v>
      </c>
      <c r="CE53" s="644">
        <f t="shared" ref="CE53:CE60" si="36">I53-CD53</f>
        <v>0</v>
      </c>
    </row>
    <row r="54" s="338" customFormat="1" ht="40" customHeight="1" spans="1:83">
      <c r="A54" s="632">
        <v>45615</v>
      </c>
      <c r="B54" s="633" t="s">
        <v>213</v>
      </c>
      <c r="C54" s="634" t="s">
        <v>214</v>
      </c>
      <c r="D54" s="635">
        <v>4500151558</v>
      </c>
      <c r="E54" s="659">
        <v>70054059</v>
      </c>
      <c r="F54" s="636" t="s">
        <v>438</v>
      </c>
      <c r="G54" s="637" t="s">
        <v>111</v>
      </c>
      <c r="H54" s="637" t="s">
        <v>99</v>
      </c>
      <c r="I54" s="638">
        <v>616</v>
      </c>
      <c r="J54" s="638">
        <v>0</v>
      </c>
      <c r="K54" s="639">
        <v>22</v>
      </c>
      <c r="L54" s="639">
        <f t="shared" si="22"/>
        <v>28</v>
      </c>
      <c r="M54" s="641">
        <v>45705</v>
      </c>
      <c r="N54" s="641">
        <v>45701</v>
      </c>
      <c r="O54" s="641"/>
      <c r="P54" s="642" t="s">
        <v>100</v>
      </c>
      <c r="Q54" s="643" t="s">
        <v>439</v>
      </c>
      <c r="R54" s="642" t="s">
        <v>217</v>
      </c>
      <c r="S54" s="641"/>
      <c r="T54" s="641"/>
      <c r="U54" s="642" t="s">
        <v>113</v>
      </c>
      <c r="V54" s="642" t="s">
        <v>440</v>
      </c>
      <c r="W54" s="646"/>
      <c r="X54" s="647" t="s">
        <v>326</v>
      </c>
      <c r="Y54" s="646" t="s">
        <v>220</v>
      </c>
      <c r="Z54" s="648">
        <v>2.8179</v>
      </c>
      <c r="AA54" s="650">
        <f t="shared" si="27"/>
        <v>1735.8264</v>
      </c>
      <c r="AB54" s="649">
        <v>616</v>
      </c>
      <c r="AC54" s="649">
        <f t="shared" si="34"/>
        <v>0</v>
      </c>
      <c r="AD54" s="650" t="s">
        <v>106</v>
      </c>
      <c r="AE54" s="661" t="s">
        <v>111</v>
      </c>
      <c r="AF54" s="646" t="s">
        <v>107</v>
      </c>
      <c r="AG54" s="652" t="s">
        <v>43</v>
      </c>
      <c r="AH54" s="646" t="s">
        <v>441</v>
      </c>
      <c r="AI54" s="649"/>
      <c r="AJ54" s="649"/>
      <c r="AK54" s="649"/>
      <c r="AL54" s="652">
        <f t="shared" si="35"/>
        <v>616</v>
      </c>
      <c r="AM54" s="652"/>
      <c r="AN54" s="649"/>
      <c r="AO54" s="649"/>
      <c r="AP54" s="649"/>
      <c r="AQ54" s="653"/>
      <c r="AR54" s="649"/>
      <c r="AS54" s="649"/>
      <c r="AT54" s="652">
        <f t="shared" si="31"/>
        <v>616</v>
      </c>
      <c r="AU54" s="649"/>
      <c r="AV54" s="654"/>
      <c r="AW54" s="654"/>
      <c r="AX54" s="652">
        <f>I54/11</f>
        <v>56</v>
      </c>
      <c r="AY54" s="652"/>
      <c r="AZ54" s="654"/>
      <c r="BA54" s="652"/>
      <c r="BB54" s="652"/>
      <c r="BC54" s="654"/>
      <c r="BD54" s="654"/>
      <c r="BE54" s="654"/>
      <c r="BF54" s="654"/>
      <c r="BG54" s="652"/>
      <c r="BH54" s="652"/>
      <c r="BI54" s="654"/>
      <c r="BJ54" s="654"/>
      <c r="BK54" s="654"/>
      <c r="BL54" s="654"/>
      <c r="BM54" s="654"/>
      <c r="BN54" s="654"/>
      <c r="BO54" s="654"/>
      <c r="BP54" s="654"/>
      <c r="BQ54" s="654"/>
      <c r="BR54" s="654"/>
      <c r="BS54" s="654"/>
      <c r="BT54" s="654"/>
      <c r="BU54" s="654"/>
      <c r="BV54" s="654"/>
      <c r="BW54" s="645" t="s">
        <v>109</v>
      </c>
      <c r="BX54" s="658">
        <f>I54/22*5</f>
        <v>140</v>
      </c>
      <c r="BY54" s="658">
        <f>I54/22*6</f>
        <v>168</v>
      </c>
      <c r="BZ54" s="658">
        <f>I54/22*6</f>
        <v>168</v>
      </c>
      <c r="CA54" s="658">
        <f>I54/22*5</f>
        <v>140</v>
      </c>
      <c r="CB54" s="644">
        <f t="shared" si="32"/>
        <v>616</v>
      </c>
      <c r="CC54" s="658">
        <f>I54/11</f>
        <v>56</v>
      </c>
      <c r="CD54" s="644">
        <f t="shared" si="33"/>
        <v>616</v>
      </c>
      <c r="CE54" s="644">
        <f t="shared" si="36"/>
        <v>0</v>
      </c>
    </row>
    <row r="55" s="338" customFormat="1" ht="40" customHeight="1" spans="1:83">
      <c r="A55" s="632">
        <v>45643</v>
      </c>
      <c r="B55" s="633" t="s">
        <v>442</v>
      </c>
      <c r="C55" s="634" t="s">
        <v>144</v>
      </c>
      <c r="D55" s="635">
        <v>4500154198</v>
      </c>
      <c r="E55" s="659"/>
      <c r="F55" s="636" t="s">
        <v>443</v>
      </c>
      <c r="G55" s="637" t="s">
        <v>132</v>
      </c>
      <c r="H55" s="637" t="s">
        <v>99</v>
      </c>
      <c r="I55" s="638">
        <v>240</v>
      </c>
      <c r="J55" s="638">
        <v>0</v>
      </c>
      <c r="K55" s="639">
        <v>24</v>
      </c>
      <c r="L55" s="639">
        <f t="shared" si="22"/>
        <v>10</v>
      </c>
      <c r="M55" s="641">
        <v>45695</v>
      </c>
      <c r="N55" s="641">
        <v>45691</v>
      </c>
      <c r="O55" s="641"/>
      <c r="P55" s="642" t="s">
        <v>100</v>
      </c>
      <c r="Q55" s="643" t="s">
        <v>428</v>
      </c>
      <c r="R55" s="642" t="s">
        <v>444</v>
      </c>
      <c r="S55" s="641"/>
      <c r="T55" s="641"/>
      <c r="U55" s="642" t="s">
        <v>445</v>
      </c>
      <c r="V55" s="642"/>
      <c r="W55" s="646"/>
      <c r="X55" s="647" t="s">
        <v>446</v>
      </c>
      <c r="Y55" s="646" t="s">
        <v>447</v>
      </c>
      <c r="Z55" s="648">
        <v>2.5958</v>
      </c>
      <c r="AA55" s="650">
        <f t="shared" si="27"/>
        <v>622.992</v>
      </c>
      <c r="AB55" s="649">
        <v>240</v>
      </c>
      <c r="AC55" s="649">
        <f t="shared" si="34"/>
        <v>0</v>
      </c>
      <c r="AD55" s="650" t="s">
        <v>123</v>
      </c>
      <c r="AE55" s="662" t="s">
        <v>138</v>
      </c>
      <c r="AF55" s="646" t="s">
        <v>107</v>
      </c>
      <c r="AG55" s="652" t="s">
        <v>43</v>
      </c>
      <c r="AH55" s="646" t="s">
        <v>448</v>
      </c>
      <c r="AI55" s="651"/>
      <c r="AJ55" s="651"/>
      <c r="AK55" s="651"/>
      <c r="AL55" s="652">
        <f t="shared" si="35"/>
        <v>240</v>
      </c>
      <c r="AM55" s="652"/>
      <c r="AN55" s="651"/>
      <c r="AO55" s="649"/>
      <c r="AP55" s="649"/>
      <c r="AQ55" s="653"/>
      <c r="AR55" s="651"/>
      <c r="AS55" s="651"/>
      <c r="AT55" s="652">
        <f t="shared" si="31"/>
        <v>240</v>
      </c>
      <c r="AU55" s="649"/>
      <c r="AV55" s="654"/>
      <c r="AW55" s="656"/>
      <c r="AX55" s="652"/>
      <c r="AY55" s="652"/>
      <c r="AZ55" s="656"/>
      <c r="BA55" s="652"/>
      <c r="BB55" s="652"/>
      <c r="BC55" s="656"/>
      <c r="BD55" s="656"/>
      <c r="BE55" s="654"/>
      <c r="BF55" s="656"/>
      <c r="BG55" s="652"/>
      <c r="BH55" s="652"/>
      <c r="BI55" s="656"/>
      <c r="BJ55" s="656"/>
      <c r="BK55" s="654"/>
      <c r="BL55" s="654"/>
      <c r="BM55" s="654"/>
      <c r="BN55" s="654"/>
      <c r="BO55" s="654"/>
      <c r="BP55" s="656"/>
      <c r="BQ55" s="654"/>
      <c r="BR55" s="656"/>
      <c r="BS55" s="654"/>
      <c r="BT55" s="654"/>
      <c r="BU55" s="654"/>
      <c r="BV55" s="654"/>
      <c r="BW55" s="645" t="s">
        <v>109</v>
      </c>
      <c r="BX55" s="658">
        <f>I55</f>
        <v>240</v>
      </c>
      <c r="BY55" s="658"/>
      <c r="BZ55" s="658"/>
      <c r="CA55" s="658"/>
      <c r="CB55" s="644">
        <f t="shared" si="32"/>
        <v>240</v>
      </c>
      <c r="CC55" s="644"/>
      <c r="CD55" s="644">
        <f t="shared" si="33"/>
        <v>240</v>
      </c>
      <c r="CE55" s="644">
        <f t="shared" si="36"/>
        <v>0</v>
      </c>
    </row>
    <row r="56" s="338" customFormat="1" ht="40" customHeight="1" spans="1:83">
      <c r="A56" s="632">
        <v>45643</v>
      </c>
      <c r="B56" s="633" t="s">
        <v>442</v>
      </c>
      <c r="C56" s="634" t="s">
        <v>144</v>
      </c>
      <c r="D56" s="635">
        <v>4500154198</v>
      </c>
      <c r="E56" s="659"/>
      <c r="F56" s="636" t="s">
        <v>449</v>
      </c>
      <c r="G56" s="637" t="s">
        <v>159</v>
      </c>
      <c r="H56" s="637" t="s">
        <v>99</v>
      </c>
      <c r="I56" s="638">
        <v>288</v>
      </c>
      <c r="J56" s="638">
        <v>0</v>
      </c>
      <c r="K56" s="639">
        <v>24</v>
      </c>
      <c r="L56" s="639">
        <f t="shared" si="22"/>
        <v>12</v>
      </c>
      <c r="M56" s="641">
        <v>45695</v>
      </c>
      <c r="N56" s="641">
        <v>45691</v>
      </c>
      <c r="O56" s="641"/>
      <c r="P56" s="642" t="s">
        <v>100</v>
      </c>
      <c r="Q56" s="643" t="s">
        <v>428</v>
      </c>
      <c r="R56" s="642" t="s">
        <v>444</v>
      </c>
      <c r="S56" s="641"/>
      <c r="T56" s="641"/>
      <c r="U56" s="642" t="s">
        <v>445</v>
      </c>
      <c r="V56" s="642"/>
      <c r="W56" s="646"/>
      <c r="X56" s="647" t="s">
        <v>450</v>
      </c>
      <c r="Y56" s="646" t="s">
        <v>447</v>
      </c>
      <c r="Z56" s="648">
        <v>2.5958</v>
      </c>
      <c r="AA56" s="650">
        <f t="shared" si="27"/>
        <v>747.5904</v>
      </c>
      <c r="AB56" s="649">
        <v>288</v>
      </c>
      <c r="AC56" s="649">
        <f t="shared" si="34"/>
        <v>0</v>
      </c>
      <c r="AD56" s="650" t="s">
        <v>123</v>
      </c>
      <c r="AE56" s="661" t="s">
        <v>451</v>
      </c>
      <c r="AF56" s="646" t="s">
        <v>107</v>
      </c>
      <c r="AG56" s="652" t="s">
        <v>43</v>
      </c>
      <c r="AH56" s="646" t="s">
        <v>448</v>
      </c>
      <c r="AI56" s="651"/>
      <c r="AJ56" s="651"/>
      <c r="AK56" s="651"/>
      <c r="AL56" s="652">
        <f t="shared" si="35"/>
        <v>288</v>
      </c>
      <c r="AM56" s="652"/>
      <c r="AN56" s="651"/>
      <c r="AO56" s="649"/>
      <c r="AP56" s="649"/>
      <c r="AQ56" s="653"/>
      <c r="AR56" s="651"/>
      <c r="AS56" s="651"/>
      <c r="AT56" s="652">
        <f t="shared" si="31"/>
        <v>288</v>
      </c>
      <c r="AU56" s="649"/>
      <c r="AV56" s="654"/>
      <c r="AW56" s="656"/>
      <c r="AX56" s="652"/>
      <c r="AY56" s="652"/>
      <c r="AZ56" s="656"/>
      <c r="BA56" s="652"/>
      <c r="BB56" s="652"/>
      <c r="BC56" s="656"/>
      <c r="BD56" s="656"/>
      <c r="BE56" s="654"/>
      <c r="BF56" s="656"/>
      <c r="BG56" s="652"/>
      <c r="BH56" s="652"/>
      <c r="BI56" s="656"/>
      <c r="BJ56" s="656"/>
      <c r="BK56" s="654"/>
      <c r="BL56" s="654"/>
      <c r="BM56" s="654"/>
      <c r="BN56" s="654"/>
      <c r="BO56" s="654"/>
      <c r="BP56" s="656"/>
      <c r="BQ56" s="654"/>
      <c r="BR56" s="656"/>
      <c r="BS56" s="654"/>
      <c r="BT56" s="654"/>
      <c r="BU56" s="654"/>
      <c r="BV56" s="654"/>
      <c r="BW56" s="645" t="s">
        <v>109</v>
      </c>
      <c r="BX56" s="658"/>
      <c r="BY56" s="658">
        <f>I56</f>
        <v>288</v>
      </c>
      <c r="BZ56" s="658"/>
      <c r="CA56" s="658"/>
      <c r="CB56" s="644">
        <f t="shared" si="32"/>
        <v>288</v>
      </c>
      <c r="CC56" s="644"/>
      <c r="CD56" s="644">
        <f t="shared" si="33"/>
        <v>288</v>
      </c>
      <c r="CE56" s="644">
        <f t="shared" si="36"/>
        <v>0</v>
      </c>
    </row>
    <row r="57" s="338" customFormat="1" ht="40" customHeight="1" spans="1:83">
      <c r="A57" s="632">
        <v>45643</v>
      </c>
      <c r="B57" s="633" t="s">
        <v>442</v>
      </c>
      <c r="C57" s="634" t="s">
        <v>144</v>
      </c>
      <c r="D57" s="635">
        <v>4500154198</v>
      </c>
      <c r="E57" s="659"/>
      <c r="F57" s="636" t="s">
        <v>452</v>
      </c>
      <c r="G57" s="637" t="s">
        <v>141</v>
      </c>
      <c r="H57" s="637" t="s">
        <v>99</v>
      </c>
      <c r="I57" s="638">
        <v>288</v>
      </c>
      <c r="J57" s="638">
        <v>0</v>
      </c>
      <c r="K57" s="639">
        <v>24</v>
      </c>
      <c r="L57" s="639">
        <f t="shared" si="22"/>
        <v>12</v>
      </c>
      <c r="M57" s="641">
        <v>45695</v>
      </c>
      <c r="N57" s="641">
        <v>45691</v>
      </c>
      <c r="O57" s="641"/>
      <c r="P57" s="642" t="s">
        <v>100</v>
      </c>
      <c r="Q57" s="643" t="s">
        <v>428</v>
      </c>
      <c r="R57" s="642" t="s">
        <v>444</v>
      </c>
      <c r="S57" s="641"/>
      <c r="T57" s="641"/>
      <c r="U57" s="642" t="s">
        <v>445</v>
      </c>
      <c r="V57" s="642"/>
      <c r="W57" s="646"/>
      <c r="X57" s="647" t="s">
        <v>453</v>
      </c>
      <c r="Y57" s="646" t="s">
        <v>447</v>
      </c>
      <c r="Z57" s="648">
        <v>2.5958</v>
      </c>
      <c r="AA57" s="650">
        <f t="shared" si="27"/>
        <v>747.5904</v>
      </c>
      <c r="AB57" s="649">
        <v>288</v>
      </c>
      <c r="AC57" s="649">
        <f t="shared" si="34"/>
        <v>0</v>
      </c>
      <c r="AD57" s="650" t="s">
        <v>123</v>
      </c>
      <c r="AE57" s="661" t="s">
        <v>142</v>
      </c>
      <c r="AF57" s="646" t="s">
        <v>107</v>
      </c>
      <c r="AG57" s="652" t="s">
        <v>43</v>
      </c>
      <c r="AH57" s="646" t="s">
        <v>448</v>
      </c>
      <c r="AI57" s="651"/>
      <c r="AJ57" s="651"/>
      <c r="AK57" s="651"/>
      <c r="AL57" s="652">
        <f t="shared" si="35"/>
        <v>288</v>
      </c>
      <c r="AM57" s="652"/>
      <c r="AN57" s="651"/>
      <c r="AO57" s="649"/>
      <c r="AP57" s="649"/>
      <c r="AQ57" s="653"/>
      <c r="AR57" s="651"/>
      <c r="AS57" s="651"/>
      <c r="AT57" s="652">
        <f t="shared" si="31"/>
        <v>288</v>
      </c>
      <c r="AU57" s="649"/>
      <c r="AV57" s="654"/>
      <c r="AW57" s="656"/>
      <c r="AX57" s="652"/>
      <c r="AY57" s="652"/>
      <c r="AZ57" s="656"/>
      <c r="BA57" s="652"/>
      <c r="BB57" s="652"/>
      <c r="BC57" s="656"/>
      <c r="BD57" s="656"/>
      <c r="BE57" s="654"/>
      <c r="BF57" s="656"/>
      <c r="BG57" s="652"/>
      <c r="BH57" s="652"/>
      <c r="BI57" s="656"/>
      <c r="BJ57" s="656"/>
      <c r="BK57" s="654"/>
      <c r="BL57" s="654"/>
      <c r="BM57" s="654"/>
      <c r="BN57" s="654"/>
      <c r="BO57" s="654"/>
      <c r="BP57" s="656"/>
      <c r="BQ57" s="654"/>
      <c r="BR57" s="656"/>
      <c r="BS57" s="654"/>
      <c r="BT57" s="654"/>
      <c r="BU57" s="654"/>
      <c r="BV57" s="654"/>
      <c r="BW57" s="645" t="s">
        <v>109</v>
      </c>
      <c r="BX57" s="658"/>
      <c r="BY57" s="658"/>
      <c r="BZ57" s="658">
        <f>I57</f>
        <v>288</v>
      </c>
      <c r="CA57" s="658"/>
      <c r="CB57" s="644">
        <f t="shared" si="32"/>
        <v>288</v>
      </c>
      <c r="CC57" s="644"/>
      <c r="CD57" s="644">
        <f t="shared" si="33"/>
        <v>288</v>
      </c>
      <c r="CE57" s="644">
        <f t="shared" si="36"/>
        <v>0</v>
      </c>
    </row>
    <row r="58" s="338" customFormat="1" ht="40" customHeight="1" spans="1:83">
      <c r="A58" s="632">
        <v>45643</v>
      </c>
      <c r="B58" s="633" t="s">
        <v>442</v>
      </c>
      <c r="C58" s="634" t="s">
        <v>144</v>
      </c>
      <c r="D58" s="635">
        <v>4500154198</v>
      </c>
      <c r="E58" s="659"/>
      <c r="F58" s="636" t="s">
        <v>454</v>
      </c>
      <c r="G58" s="637" t="s">
        <v>189</v>
      </c>
      <c r="H58" s="637" t="s">
        <v>99</v>
      </c>
      <c r="I58" s="638">
        <v>408</v>
      </c>
      <c r="J58" s="638">
        <v>0</v>
      </c>
      <c r="K58" s="639">
        <v>24</v>
      </c>
      <c r="L58" s="639">
        <f t="shared" si="22"/>
        <v>17</v>
      </c>
      <c r="M58" s="641">
        <v>45695</v>
      </c>
      <c r="N58" s="641">
        <v>45691</v>
      </c>
      <c r="O58" s="641"/>
      <c r="P58" s="642" t="s">
        <v>100</v>
      </c>
      <c r="Q58" s="643" t="s">
        <v>428</v>
      </c>
      <c r="R58" s="642" t="s">
        <v>444</v>
      </c>
      <c r="S58" s="641"/>
      <c r="T58" s="641"/>
      <c r="U58" s="642" t="s">
        <v>445</v>
      </c>
      <c r="V58" s="642"/>
      <c r="W58" s="646"/>
      <c r="X58" s="647" t="s">
        <v>455</v>
      </c>
      <c r="Y58" s="646" t="s">
        <v>447</v>
      </c>
      <c r="Z58" s="648">
        <v>2.5958</v>
      </c>
      <c r="AA58" s="650">
        <f t="shared" si="27"/>
        <v>1059.0864</v>
      </c>
      <c r="AB58" s="649">
        <v>408</v>
      </c>
      <c r="AC58" s="649">
        <f t="shared" si="34"/>
        <v>0</v>
      </c>
      <c r="AD58" s="650" t="s">
        <v>123</v>
      </c>
      <c r="AE58" s="661" t="s">
        <v>456</v>
      </c>
      <c r="AF58" s="646" t="s">
        <v>107</v>
      </c>
      <c r="AG58" s="652" t="s">
        <v>43</v>
      </c>
      <c r="AH58" s="646" t="s">
        <v>448</v>
      </c>
      <c r="AI58" s="651"/>
      <c r="AJ58" s="651"/>
      <c r="AK58" s="651"/>
      <c r="AL58" s="652">
        <f t="shared" si="35"/>
        <v>408</v>
      </c>
      <c r="AM58" s="652"/>
      <c r="AN58" s="651"/>
      <c r="AO58" s="649"/>
      <c r="AP58" s="649"/>
      <c r="AQ58" s="653"/>
      <c r="AR58" s="651"/>
      <c r="AS58" s="651"/>
      <c r="AT58" s="652">
        <f t="shared" si="31"/>
        <v>408</v>
      </c>
      <c r="AU58" s="649"/>
      <c r="AV58" s="654"/>
      <c r="AW58" s="656"/>
      <c r="AX58" s="652"/>
      <c r="AY58" s="652"/>
      <c r="AZ58" s="656"/>
      <c r="BA58" s="652"/>
      <c r="BB58" s="652"/>
      <c r="BC58" s="656"/>
      <c r="BD58" s="656"/>
      <c r="BE58" s="654"/>
      <c r="BF58" s="656"/>
      <c r="BG58" s="652"/>
      <c r="BH58" s="652"/>
      <c r="BI58" s="656"/>
      <c r="BJ58" s="656"/>
      <c r="BK58" s="654"/>
      <c r="BL58" s="654"/>
      <c r="BM58" s="654"/>
      <c r="BN58" s="654"/>
      <c r="BO58" s="654"/>
      <c r="BP58" s="656"/>
      <c r="BQ58" s="654"/>
      <c r="BR58" s="656"/>
      <c r="BS58" s="654"/>
      <c r="BT58" s="654"/>
      <c r="BU58" s="654"/>
      <c r="BV58" s="654"/>
      <c r="BW58" s="645" t="s">
        <v>109</v>
      </c>
      <c r="BX58" s="658"/>
      <c r="BY58" s="658"/>
      <c r="BZ58" s="658"/>
      <c r="CA58" s="658">
        <f>I58</f>
        <v>408</v>
      </c>
      <c r="CB58" s="644">
        <f t="shared" si="32"/>
        <v>408</v>
      </c>
      <c r="CC58" s="644"/>
      <c r="CD58" s="644">
        <f t="shared" si="33"/>
        <v>408</v>
      </c>
      <c r="CE58" s="644">
        <f t="shared" si="36"/>
        <v>0</v>
      </c>
    </row>
    <row r="59" s="338" customFormat="1" ht="40" customHeight="1" spans="1:83">
      <c r="A59" s="632">
        <v>45651</v>
      </c>
      <c r="B59" s="633" t="s">
        <v>457</v>
      </c>
      <c r="C59" s="634" t="s">
        <v>144</v>
      </c>
      <c r="D59" s="635">
        <v>4500153900</v>
      </c>
      <c r="E59" s="659">
        <v>4500183563</v>
      </c>
      <c r="F59" s="636" t="s">
        <v>458</v>
      </c>
      <c r="G59" s="637" t="s">
        <v>111</v>
      </c>
      <c r="H59" s="637" t="s">
        <v>99</v>
      </c>
      <c r="I59" s="638">
        <v>814</v>
      </c>
      <c r="J59" s="638">
        <v>0</v>
      </c>
      <c r="K59" s="639">
        <v>22</v>
      </c>
      <c r="L59" s="639">
        <f t="shared" si="22"/>
        <v>37</v>
      </c>
      <c r="M59" s="641">
        <v>45706</v>
      </c>
      <c r="N59" s="641">
        <v>45702</v>
      </c>
      <c r="O59" s="641"/>
      <c r="P59" s="642" t="s">
        <v>100</v>
      </c>
      <c r="Q59" s="643" t="s">
        <v>459</v>
      </c>
      <c r="R59" s="642" t="s">
        <v>460</v>
      </c>
      <c r="S59" s="641"/>
      <c r="T59" s="641"/>
      <c r="U59" s="642" t="s">
        <v>461</v>
      </c>
      <c r="V59" s="677"/>
      <c r="W59" s="645" t="s">
        <v>462</v>
      </c>
      <c r="X59" s="647" t="s">
        <v>463</v>
      </c>
      <c r="Y59" s="646" t="s">
        <v>202</v>
      </c>
      <c r="Z59" s="648">
        <v>2.7825</v>
      </c>
      <c r="AA59" s="650">
        <f t="shared" si="27"/>
        <v>2264.955</v>
      </c>
      <c r="AB59" s="649">
        <v>814</v>
      </c>
      <c r="AC59" s="649">
        <f t="shared" si="34"/>
        <v>0</v>
      </c>
      <c r="AD59" s="650" t="s">
        <v>106</v>
      </c>
      <c r="AE59" s="637" t="s">
        <v>230</v>
      </c>
      <c r="AF59" s="646" t="s">
        <v>107</v>
      </c>
      <c r="AG59" s="652" t="s">
        <v>43</v>
      </c>
      <c r="AH59" s="646" t="s">
        <v>464</v>
      </c>
      <c r="AI59" s="651"/>
      <c r="AJ59" s="651"/>
      <c r="AK59" s="651"/>
      <c r="AL59" s="649"/>
      <c r="AM59" s="649"/>
      <c r="AN59" s="651"/>
      <c r="AO59" s="649">
        <f>I59</f>
        <v>814</v>
      </c>
      <c r="AP59" s="649"/>
      <c r="AQ59" s="653"/>
      <c r="AR59" s="651"/>
      <c r="AS59" s="651"/>
      <c r="AT59" s="652">
        <f t="shared" ref="AT59:AT68" si="37">I59</f>
        <v>814</v>
      </c>
      <c r="AU59" s="649"/>
      <c r="AV59" s="654"/>
      <c r="AW59" s="656"/>
      <c r="AX59" s="652"/>
      <c r="AY59" s="652"/>
      <c r="AZ59" s="656"/>
      <c r="BA59" s="652">
        <f>I59/11</f>
        <v>74</v>
      </c>
      <c r="BB59" s="652"/>
      <c r="BC59" s="656"/>
      <c r="BD59" s="656"/>
      <c r="BE59" s="654"/>
      <c r="BF59" s="656"/>
      <c r="BG59" s="652"/>
      <c r="BH59" s="652"/>
      <c r="BI59" s="656"/>
      <c r="BJ59" s="656"/>
      <c r="BK59" s="654"/>
      <c r="BL59" s="654"/>
      <c r="BM59" s="654"/>
      <c r="BN59" s="654"/>
      <c r="BO59" s="654"/>
      <c r="BP59" s="656"/>
      <c r="BQ59" s="654"/>
      <c r="BR59" s="656"/>
      <c r="BS59" s="654"/>
      <c r="BT59" s="654"/>
      <c r="BU59" s="654"/>
      <c r="BV59" s="654"/>
      <c r="BW59" s="645" t="s">
        <v>109</v>
      </c>
      <c r="BX59" s="658">
        <f>I59/22*5</f>
        <v>185</v>
      </c>
      <c r="BY59" s="658">
        <f>I59/22*6</f>
        <v>222</v>
      </c>
      <c r="BZ59" s="658">
        <f>I59/22*6</f>
        <v>222</v>
      </c>
      <c r="CA59" s="658">
        <f>I59/22*5</f>
        <v>185</v>
      </c>
      <c r="CB59" s="644">
        <f t="shared" si="32"/>
        <v>814</v>
      </c>
      <c r="CC59" s="658">
        <f>I59/11</f>
        <v>74</v>
      </c>
      <c r="CD59" s="644">
        <f t="shared" si="33"/>
        <v>814</v>
      </c>
      <c r="CE59" s="644">
        <f t="shared" si="36"/>
        <v>0</v>
      </c>
    </row>
    <row r="60" s="338" customFormat="1" ht="40" customHeight="1" spans="1:83">
      <c r="A60" s="632">
        <v>45617</v>
      </c>
      <c r="B60" s="633" t="s">
        <v>465</v>
      </c>
      <c r="C60" s="634" t="s">
        <v>466</v>
      </c>
      <c r="D60" s="635">
        <v>4500151799</v>
      </c>
      <c r="E60" s="659"/>
      <c r="F60" s="636" t="s">
        <v>467</v>
      </c>
      <c r="G60" s="637" t="s">
        <v>111</v>
      </c>
      <c r="H60" s="637" t="s">
        <v>99</v>
      </c>
      <c r="I60" s="638">
        <v>396</v>
      </c>
      <c r="J60" s="638">
        <v>0</v>
      </c>
      <c r="K60" s="639">
        <v>22</v>
      </c>
      <c r="L60" s="639">
        <f t="shared" si="22"/>
        <v>18</v>
      </c>
      <c r="M60" s="641">
        <v>45705</v>
      </c>
      <c r="N60" s="641">
        <v>45701</v>
      </c>
      <c r="O60" s="641" t="s">
        <v>468</v>
      </c>
      <c r="P60" s="642" t="s">
        <v>100</v>
      </c>
      <c r="Q60" s="643" t="s">
        <v>469</v>
      </c>
      <c r="R60" s="642" t="s">
        <v>470</v>
      </c>
      <c r="S60" s="641"/>
      <c r="T60" s="641"/>
      <c r="U60" s="677" t="s">
        <v>471</v>
      </c>
      <c r="V60" s="677"/>
      <c r="W60" s="645"/>
      <c r="X60" s="647" t="s">
        <v>472</v>
      </c>
      <c r="Y60" s="646" t="s">
        <v>105</v>
      </c>
      <c r="Z60" s="648">
        <v>2.7825</v>
      </c>
      <c r="AA60" s="650">
        <f t="shared" si="27"/>
        <v>1101.87</v>
      </c>
      <c r="AB60" s="649">
        <v>396</v>
      </c>
      <c r="AC60" s="649">
        <f t="shared" si="34"/>
        <v>0</v>
      </c>
      <c r="AD60" s="650" t="s">
        <v>106</v>
      </c>
      <c r="AE60" s="661" t="s">
        <v>111</v>
      </c>
      <c r="AF60" s="646" t="s">
        <v>107</v>
      </c>
      <c r="AG60" s="652" t="s">
        <v>43</v>
      </c>
      <c r="AH60" s="646" t="s">
        <v>473</v>
      </c>
      <c r="AI60" s="664"/>
      <c r="AJ60" s="664"/>
      <c r="AK60" s="664"/>
      <c r="AL60" s="652">
        <f>I60</f>
        <v>396</v>
      </c>
      <c r="AM60" s="652"/>
      <c r="AN60" s="664"/>
      <c r="AO60" s="649"/>
      <c r="AP60" s="649"/>
      <c r="AQ60" s="653"/>
      <c r="AR60" s="664"/>
      <c r="AS60" s="664"/>
      <c r="AT60" s="652">
        <f t="shared" si="37"/>
        <v>396</v>
      </c>
      <c r="AU60" s="649"/>
      <c r="AV60" s="654"/>
      <c r="AW60" s="665"/>
      <c r="AX60" s="652">
        <f>I60/11</f>
        <v>36</v>
      </c>
      <c r="AY60" s="652"/>
      <c r="AZ60" s="665"/>
      <c r="BA60" s="652"/>
      <c r="BB60" s="652"/>
      <c r="BC60" s="665"/>
      <c r="BD60" s="665"/>
      <c r="BE60" s="654"/>
      <c r="BF60" s="665"/>
      <c r="BG60" s="652"/>
      <c r="BH60" s="652"/>
      <c r="BI60" s="665"/>
      <c r="BJ60" s="665"/>
      <c r="BK60" s="654"/>
      <c r="BL60" s="654"/>
      <c r="BM60" s="654"/>
      <c r="BN60" s="654"/>
      <c r="BO60" s="654"/>
      <c r="BP60" s="665"/>
      <c r="BQ60" s="654"/>
      <c r="BR60" s="665"/>
      <c r="BS60" s="654"/>
      <c r="BT60" s="654"/>
      <c r="BU60" s="654"/>
      <c r="BV60" s="654"/>
      <c r="BW60" s="645" t="s">
        <v>109</v>
      </c>
      <c r="BX60" s="658">
        <f>I60/22*5</f>
        <v>90</v>
      </c>
      <c r="BY60" s="658">
        <f>I60/22*6</f>
        <v>108</v>
      </c>
      <c r="BZ60" s="658">
        <f>I60/22*6</f>
        <v>108</v>
      </c>
      <c r="CA60" s="658">
        <f>I60/22*5</f>
        <v>90</v>
      </c>
      <c r="CB60" s="644">
        <f t="shared" si="32"/>
        <v>396</v>
      </c>
      <c r="CC60" s="658">
        <f>I60/11</f>
        <v>36</v>
      </c>
      <c r="CD60" s="644">
        <f t="shared" si="33"/>
        <v>396</v>
      </c>
      <c r="CE60" s="644">
        <f t="shared" si="36"/>
        <v>0</v>
      </c>
    </row>
    <row r="61" s="338" customFormat="1" ht="40" customHeight="1" spans="1:83">
      <c r="A61" s="632">
        <v>45652</v>
      </c>
      <c r="B61" s="633" t="s">
        <v>457</v>
      </c>
      <c r="C61" s="634" t="s">
        <v>144</v>
      </c>
      <c r="D61" s="635">
        <v>4500154798</v>
      </c>
      <c r="E61" s="659" t="s">
        <v>474</v>
      </c>
      <c r="F61" s="636" t="s">
        <v>475</v>
      </c>
      <c r="G61" s="637" t="s">
        <v>395</v>
      </c>
      <c r="H61" s="637" t="s">
        <v>384</v>
      </c>
      <c r="I61" s="638">
        <v>504</v>
      </c>
      <c r="J61" s="638">
        <v>0</v>
      </c>
      <c r="K61" s="639">
        <v>24</v>
      </c>
      <c r="L61" s="639">
        <f t="shared" si="22"/>
        <v>21</v>
      </c>
      <c r="M61" s="641">
        <v>45706</v>
      </c>
      <c r="N61" s="641">
        <v>45702</v>
      </c>
      <c r="O61" s="641" t="s">
        <v>476</v>
      </c>
      <c r="P61" s="642" t="s">
        <v>100</v>
      </c>
      <c r="Q61" s="643" t="s">
        <v>477</v>
      </c>
      <c r="R61" s="642" t="s">
        <v>478</v>
      </c>
      <c r="S61" s="641"/>
      <c r="T61" s="641"/>
      <c r="U61" s="642" t="s">
        <v>479</v>
      </c>
      <c r="V61" s="677" t="s">
        <v>480</v>
      </c>
      <c r="W61" s="645"/>
      <c r="X61" s="647" t="s">
        <v>481</v>
      </c>
      <c r="Y61" s="646" t="s">
        <v>175</v>
      </c>
      <c r="Z61" s="648">
        <v>2.4325</v>
      </c>
      <c r="AA61" s="650">
        <f t="shared" si="27"/>
        <v>1225.98</v>
      </c>
      <c r="AB61" s="649">
        <v>504</v>
      </c>
      <c r="AC61" s="649">
        <f t="shared" si="34"/>
        <v>0</v>
      </c>
      <c r="AD61" s="650" t="s">
        <v>106</v>
      </c>
      <c r="AE61" s="637" t="s">
        <v>193</v>
      </c>
      <c r="AF61" s="646" t="s">
        <v>107</v>
      </c>
      <c r="AG61" s="652" t="s">
        <v>43</v>
      </c>
      <c r="AH61" s="646" t="s">
        <v>482</v>
      </c>
      <c r="AI61" s="651"/>
      <c r="AJ61" s="651"/>
      <c r="AK61" s="651"/>
      <c r="AL61" s="649"/>
      <c r="AM61" s="649"/>
      <c r="AN61" s="651"/>
      <c r="AO61" s="649">
        <f>I61</f>
        <v>504</v>
      </c>
      <c r="AP61" s="649"/>
      <c r="AQ61" s="653"/>
      <c r="AR61" s="651"/>
      <c r="AS61" s="651"/>
      <c r="AT61" s="652">
        <f t="shared" si="37"/>
        <v>504</v>
      </c>
      <c r="AU61" s="649"/>
      <c r="AV61" s="654"/>
      <c r="AW61" s="656"/>
      <c r="AX61" s="652"/>
      <c r="AY61" s="652"/>
      <c r="AZ61" s="656"/>
      <c r="BA61" s="652"/>
      <c r="BB61" s="652"/>
      <c r="BC61" s="656"/>
      <c r="BD61" s="656"/>
      <c r="BE61" s="654"/>
      <c r="BF61" s="656"/>
      <c r="BG61" s="652"/>
      <c r="BH61" s="652"/>
      <c r="BI61" s="656"/>
      <c r="BJ61" s="656"/>
      <c r="BK61" s="654"/>
      <c r="BL61" s="654"/>
      <c r="BM61" s="654"/>
      <c r="BN61" s="654"/>
      <c r="BO61" s="654"/>
      <c r="BP61" s="656"/>
      <c r="BQ61" s="654"/>
      <c r="BR61" s="656"/>
      <c r="BS61" s="654"/>
      <c r="BT61" s="654"/>
      <c r="BU61" s="654"/>
      <c r="BV61" s="654"/>
      <c r="BW61" s="645" t="s">
        <v>109</v>
      </c>
      <c r="BX61" s="658">
        <f>I61</f>
        <v>504</v>
      </c>
      <c r="BY61" s="658"/>
      <c r="BZ61" s="658"/>
      <c r="CA61" s="658"/>
      <c r="CB61" s="644">
        <f>SUM(BX61:CA61)</f>
        <v>504</v>
      </c>
      <c r="CC61" s="658"/>
      <c r="CD61" s="644">
        <f t="shared" si="33"/>
        <v>504</v>
      </c>
      <c r="CE61" s="644">
        <f t="shared" ref="CE53:CE96" si="38">I61-CD61</f>
        <v>0</v>
      </c>
    </row>
    <row r="62" s="338" customFormat="1" ht="40" customHeight="1" spans="1:83">
      <c r="A62" s="632">
        <v>45652</v>
      </c>
      <c r="B62" s="633" t="s">
        <v>457</v>
      </c>
      <c r="C62" s="634" t="s">
        <v>144</v>
      </c>
      <c r="D62" s="635">
        <v>4500154798</v>
      </c>
      <c r="E62" s="659" t="s">
        <v>483</v>
      </c>
      <c r="F62" s="636" t="s">
        <v>484</v>
      </c>
      <c r="G62" s="637" t="s">
        <v>395</v>
      </c>
      <c r="H62" s="637" t="s">
        <v>384</v>
      </c>
      <c r="I62" s="638">
        <v>504</v>
      </c>
      <c r="J62" s="638">
        <v>0</v>
      </c>
      <c r="K62" s="639">
        <v>24</v>
      </c>
      <c r="L62" s="639">
        <f t="shared" si="22"/>
        <v>21</v>
      </c>
      <c r="M62" s="641">
        <v>45706</v>
      </c>
      <c r="N62" s="641">
        <v>45702</v>
      </c>
      <c r="O62" s="641" t="s">
        <v>476</v>
      </c>
      <c r="P62" s="642" t="s">
        <v>100</v>
      </c>
      <c r="Q62" s="643" t="s">
        <v>477</v>
      </c>
      <c r="R62" s="642" t="s">
        <v>478</v>
      </c>
      <c r="S62" s="641"/>
      <c r="T62" s="641"/>
      <c r="U62" s="642" t="s">
        <v>479</v>
      </c>
      <c r="V62" s="677" t="s">
        <v>480</v>
      </c>
      <c r="W62" s="645"/>
      <c r="X62" s="647" t="s">
        <v>481</v>
      </c>
      <c r="Y62" s="646" t="s">
        <v>175</v>
      </c>
      <c r="Z62" s="648">
        <v>2.4325</v>
      </c>
      <c r="AA62" s="650">
        <f t="shared" si="27"/>
        <v>1225.98</v>
      </c>
      <c r="AB62" s="649">
        <v>504</v>
      </c>
      <c r="AC62" s="649">
        <f t="shared" si="34"/>
        <v>0</v>
      </c>
      <c r="AD62" s="650" t="s">
        <v>106</v>
      </c>
      <c r="AE62" s="637" t="s">
        <v>193</v>
      </c>
      <c r="AF62" s="646" t="s">
        <v>107</v>
      </c>
      <c r="AG62" s="652" t="s">
        <v>43</v>
      </c>
      <c r="AH62" s="646" t="s">
        <v>482</v>
      </c>
      <c r="AI62" s="651"/>
      <c r="AJ62" s="651"/>
      <c r="AK62" s="651"/>
      <c r="AL62" s="649"/>
      <c r="AM62" s="649"/>
      <c r="AN62" s="651"/>
      <c r="AO62" s="649">
        <f>I62</f>
        <v>504</v>
      </c>
      <c r="AP62" s="649"/>
      <c r="AQ62" s="653"/>
      <c r="AR62" s="651"/>
      <c r="AS62" s="651"/>
      <c r="AT62" s="652">
        <f t="shared" si="37"/>
        <v>504</v>
      </c>
      <c r="AU62" s="649"/>
      <c r="AV62" s="654"/>
      <c r="AW62" s="656"/>
      <c r="AX62" s="652"/>
      <c r="AY62" s="652"/>
      <c r="AZ62" s="656"/>
      <c r="BA62" s="652"/>
      <c r="BB62" s="652"/>
      <c r="BC62" s="656"/>
      <c r="BD62" s="656"/>
      <c r="BE62" s="654"/>
      <c r="BF62" s="656"/>
      <c r="BG62" s="652"/>
      <c r="BH62" s="652"/>
      <c r="BI62" s="656"/>
      <c r="BJ62" s="656"/>
      <c r="BK62" s="654"/>
      <c r="BL62" s="654"/>
      <c r="BM62" s="654"/>
      <c r="BN62" s="654"/>
      <c r="BO62" s="654"/>
      <c r="BP62" s="656"/>
      <c r="BQ62" s="654"/>
      <c r="BR62" s="656"/>
      <c r="BS62" s="654"/>
      <c r="BT62" s="654"/>
      <c r="BU62" s="654"/>
      <c r="BV62" s="654"/>
      <c r="BW62" s="645" t="s">
        <v>109</v>
      </c>
      <c r="BX62" s="658">
        <f>I62</f>
        <v>504</v>
      </c>
      <c r="BY62" s="658"/>
      <c r="BZ62" s="658"/>
      <c r="CA62" s="658"/>
      <c r="CB62" s="644">
        <f>SUM(BX62:CA62)</f>
        <v>504</v>
      </c>
      <c r="CC62" s="658"/>
      <c r="CD62" s="644">
        <f t="shared" si="33"/>
        <v>504</v>
      </c>
      <c r="CE62" s="644">
        <f t="shared" si="38"/>
        <v>0</v>
      </c>
    </row>
    <row r="63" s="338" customFormat="1" ht="40" customHeight="1" spans="1:83">
      <c r="A63" s="632">
        <v>45652</v>
      </c>
      <c r="B63" s="633" t="s">
        <v>457</v>
      </c>
      <c r="C63" s="634" t="s">
        <v>144</v>
      </c>
      <c r="D63" s="635">
        <v>4500154798</v>
      </c>
      <c r="E63" s="659" t="s">
        <v>485</v>
      </c>
      <c r="F63" s="636" t="s">
        <v>486</v>
      </c>
      <c r="G63" s="637" t="s">
        <v>395</v>
      </c>
      <c r="H63" s="637" t="s">
        <v>384</v>
      </c>
      <c r="I63" s="638">
        <v>504</v>
      </c>
      <c r="J63" s="638">
        <v>0</v>
      </c>
      <c r="K63" s="639">
        <v>24</v>
      </c>
      <c r="L63" s="639">
        <f t="shared" si="22"/>
        <v>21</v>
      </c>
      <c r="M63" s="641">
        <v>45706</v>
      </c>
      <c r="N63" s="641">
        <v>45702</v>
      </c>
      <c r="O63" s="641" t="s">
        <v>476</v>
      </c>
      <c r="P63" s="642" t="s">
        <v>100</v>
      </c>
      <c r="Q63" s="643" t="s">
        <v>487</v>
      </c>
      <c r="R63" s="642" t="s">
        <v>478</v>
      </c>
      <c r="S63" s="641"/>
      <c r="T63" s="641"/>
      <c r="U63" s="642" t="s">
        <v>479</v>
      </c>
      <c r="V63" s="677" t="s">
        <v>480</v>
      </c>
      <c r="W63" s="645"/>
      <c r="X63" s="647" t="s">
        <v>481</v>
      </c>
      <c r="Y63" s="646" t="s">
        <v>175</v>
      </c>
      <c r="Z63" s="648">
        <v>2.4325</v>
      </c>
      <c r="AA63" s="650">
        <f t="shared" si="27"/>
        <v>1225.98</v>
      </c>
      <c r="AB63" s="649">
        <v>504</v>
      </c>
      <c r="AC63" s="649">
        <f t="shared" si="34"/>
        <v>0</v>
      </c>
      <c r="AD63" s="650" t="s">
        <v>106</v>
      </c>
      <c r="AE63" s="637" t="s">
        <v>193</v>
      </c>
      <c r="AF63" s="646" t="s">
        <v>107</v>
      </c>
      <c r="AG63" s="652" t="s">
        <v>43</v>
      </c>
      <c r="AH63" s="646" t="s">
        <v>488</v>
      </c>
      <c r="AI63" s="651"/>
      <c r="AJ63" s="651"/>
      <c r="AK63" s="651"/>
      <c r="AL63" s="649"/>
      <c r="AM63" s="649"/>
      <c r="AN63" s="651"/>
      <c r="AO63" s="649">
        <f>I63</f>
        <v>504</v>
      </c>
      <c r="AP63" s="649"/>
      <c r="AQ63" s="653"/>
      <c r="AR63" s="651"/>
      <c r="AS63" s="651"/>
      <c r="AT63" s="652">
        <f t="shared" si="37"/>
        <v>504</v>
      </c>
      <c r="AU63" s="649"/>
      <c r="AV63" s="654"/>
      <c r="AW63" s="656"/>
      <c r="AX63" s="652"/>
      <c r="AY63" s="652"/>
      <c r="AZ63" s="656"/>
      <c r="BA63" s="652"/>
      <c r="BB63" s="652"/>
      <c r="BC63" s="656"/>
      <c r="BD63" s="656"/>
      <c r="BE63" s="654"/>
      <c r="BF63" s="656"/>
      <c r="BG63" s="652"/>
      <c r="BH63" s="652"/>
      <c r="BI63" s="656"/>
      <c r="BJ63" s="656"/>
      <c r="BK63" s="654"/>
      <c r="BL63" s="654"/>
      <c r="BM63" s="654"/>
      <c r="BN63" s="654"/>
      <c r="BO63" s="654"/>
      <c r="BP63" s="656"/>
      <c r="BQ63" s="654"/>
      <c r="BR63" s="656"/>
      <c r="BS63" s="654"/>
      <c r="BT63" s="654"/>
      <c r="BU63" s="654"/>
      <c r="BV63" s="654"/>
      <c r="BW63" s="645" t="s">
        <v>109</v>
      </c>
      <c r="BX63" s="658">
        <f>I63</f>
        <v>504</v>
      </c>
      <c r="BY63" s="658"/>
      <c r="BZ63" s="658"/>
      <c r="CA63" s="658"/>
      <c r="CB63" s="644">
        <f>SUM(BX63:CA63)</f>
        <v>504</v>
      </c>
      <c r="CC63" s="658"/>
      <c r="CD63" s="644">
        <f t="shared" si="33"/>
        <v>504</v>
      </c>
      <c r="CE63" s="644">
        <f t="shared" si="38"/>
        <v>0</v>
      </c>
    </row>
    <row r="64" s="338" customFormat="1" ht="40" customHeight="1" spans="1:83">
      <c r="A64" s="632">
        <v>45642</v>
      </c>
      <c r="B64" s="633" t="s">
        <v>489</v>
      </c>
      <c r="C64" s="634" t="s">
        <v>214</v>
      </c>
      <c r="D64" s="635">
        <v>4500153992</v>
      </c>
      <c r="E64" s="659" t="s">
        <v>490</v>
      </c>
      <c r="F64" s="636" t="s">
        <v>491</v>
      </c>
      <c r="G64" s="637" t="s">
        <v>132</v>
      </c>
      <c r="H64" s="637" t="s">
        <v>99</v>
      </c>
      <c r="I64" s="638">
        <v>72</v>
      </c>
      <c r="J64" s="638">
        <v>0</v>
      </c>
      <c r="K64" s="639">
        <v>24</v>
      </c>
      <c r="L64" s="639">
        <f t="shared" si="22"/>
        <v>3</v>
      </c>
      <c r="M64" s="641">
        <v>45707</v>
      </c>
      <c r="N64" s="641">
        <v>45703</v>
      </c>
      <c r="O64" s="641"/>
      <c r="P64" s="642" t="s">
        <v>100</v>
      </c>
      <c r="Q64" s="643" t="s">
        <v>492</v>
      </c>
      <c r="R64" s="642" t="s">
        <v>429</v>
      </c>
      <c r="S64" s="641"/>
      <c r="T64" s="641"/>
      <c r="U64" s="642" t="s">
        <v>493</v>
      </c>
      <c r="V64" s="677" t="s">
        <v>494</v>
      </c>
      <c r="W64" s="645"/>
      <c r="X64" s="647" t="s">
        <v>495</v>
      </c>
      <c r="Y64" s="646" t="s">
        <v>496</v>
      </c>
      <c r="Z64" s="648">
        <v>2.5695</v>
      </c>
      <c r="AA64" s="650">
        <f t="shared" si="27"/>
        <v>185.004</v>
      </c>
      <c r="AB64" s="649">
        <v>72</v>
      </c>
      <c r="AC64" s="649">
        <f t="shared" si="34"/>
        <v>0</v>
      </c>
      <c r="AD64" s="650" t="s">
        <v>106</v>
      </c>
      <c r="AE64" s="662" t="s">
        <v>138</v>
      </c>
      <c r="AF64" s="646" t="s">
        <v>107</v>
      </c>
      <c r="AG64" s="652" t="s">
        <v>43</v>
      </c>
      <c r="AH64" s="646" t="s">
        <v>497</v>
      </c>
      <c r="AI64" s="651"/>
      <c r="AJ64" s="651"/>
      <c r="AK64" s="651"/>
      <c r="AL64" s="652">
        <f t="shared" ref="AL64:AL69" si="39">I64</f>
        <v>72</v>
      </c>
      <c r="AM64" s="652"/>
      <c r="AN64" s="651"/>
      <c r="AO64" s="649"/>
      <c r="AP64" s="649"/>
      <c r="AQ64" s="653"/>
      <c r="AR64" s="651"/>
      <c r="AS64" s="651"/>
      <c r="AT64" s="652">
        <f t="shared" si="37"/>
        <v>72</v>
      </c>
      <c r="AU64" s="649"/>
      <c r="AV64" s="654"/>
      <c r="AW64" s="656"/>
      <c r="AX64" s="652"/>
      <c r="AY64" s="652"/>
      <c r="AZ64" s="656"/>
      <c r="BA64" s="652"/>
      <c r="BB64" s="652"/>
      <c r="BC64" s="656"/>
      <c r="BD64" s="656"/>
      <c r="BE64" s="654"/>
      <c r="BF64" s="656"/>
      <c r="BG64" s="652"/>
      <c r="BH64" s="652"/>
      <c r="BI64" s="656"/>
      <c r="BJ64" s="656"/>
      <c r="BK64" s="654"/>
      <c r="BL64" s="654"/>
      <c r="BM64" s="654"/>
      <c r="BN64" s="654"/>
      <c r="BO64" s="654"/>
      <c r="BP64" s="656"/>
      <c r="BQ64" s="654"/>
      <c r="BR64" s="656"/>
      <c r="BS64" s="654"/>
      <c r="BT64" s="654"/>
      <c r="BU64" s="654"/>
      <c r="BV64" s="654"/>
      <c r="BW64" s="645" t="s">
        <v>109</v>
      </c>
      <c r="BX64" s="658">
        <f>I64</f>
        <v>72</v>
      </c>
      <c r="BY64" s="658"/>
      <c r="BZ64" s="658"/>
      <c r="CA64" s="658"/>
      <c r="CB64" s="644">
        <f t="shared" ref="CB64:CB126" si="40">I64</f>
        <v>72</v>
      </c>
      <c r="CC64" s="658"/>
      <c r="CD64" s="644">
        <f t="shared" si="33"/>
        <v>72</v>
      </c>
      <c r="CE64" s="644">
        <f t="shared" si="38"/>
        <v>0</v>
      </c>
    </row>
    <row r="65" s="338" customFormat="1" ht="40" customHeight="1" spans="1:83">
      <c r="A65" s="632">
        <v>45642</v>
      </c>
      <c r="B65" s="633" t="s">
        <v>489</v>
      </c>
      <c r="C65" s="634" t="s">
        <v>214</v>
      </c>
      <c r="D65" s="635">
        <v>4500154101</v>
      </c>
      <c r="E65" s="659" t="s">
        <v>498</v>
      </c>
      <c r="F65" s="636" t="s">
        <v>499</v>
      </c>
      <c r="G65" s="637" t="s">
        <v>159</v>
      </c>
      <c r="H65" s="637" t="s">
        <v>99</v>
      </c>
      <c r="I65" s="638">
        <v>1992</v>
      </c>
      <c r="J65" s="638">
        <v>0</v>
      </c>
      <c r="K65" s="639">
        <v>24</v>
      </c>
      <c r="L65" s="639">
        <f t="shared" si="22"/>
        <v>83</v>
      </c>
      <c r="M65" s="641">
        <v>45707</v>
      </c>
      <c r="N65" s="641">
        <v>45703</v>
      </c>
      <c r="O65" s="641"/>
      <c r="P65" s="642" t="s">
        <v>100</v>
      </c>
      <c r="Q65" s="643" t="s">
        <v>500</v>
      </c>
      <c r="R65" s="642" t="s">
        <v>429</v>
      </c>
      <c r="S65" s="642"/>
      <c r="T65" s="642"/>
      <c r="U65" s="642" t="s">
        <v>493</v>
      </c>
      <c r="V65" s="677" t="s">
        <v>494</v>
      </c>
      <c r="W65" s="646"/>
      <c r="X65" s="647" t="s">
        <v>501</v>
      </c>
      <c r="Y65" s="646" t="s">
        <v>496</v>
      </c>
      <c r="Z65" s="648">
        <v>2.5816</v>
      </c>
      <c r="AA65" s="650">
        <f t="shared" si="27"/>
        <v>5142.5472</v>
      </c>
      <c r="AB65" s="649">
        <v>1992</v>
      </c>
      <c r="AC65" s="649">
        <f t="shared" si="34"/>
        <v>0</v>
      </c>
      <c r="AD65" s="650" t="s">
        <v>106</v>
      </c>
      <c r="AE65" s="661" t="s">
        <v>451</v>
      </c>
      <c r="AF65" s="646" t="s">
        <v>107</v>
      </c>
      <c r="AG65" s="652" t="s">
        <v>43</v>
      </c>
      <c r="AH65" s="646" t="s">
        <v>502</v>
      </c>
      <c r="AI65" s="651"/>
      <c r="AJ65" s="651"/>
      <c r="AK65" s="651"/>
      <c r="AL65" s="652">
        <f t="shared" si="39"/>
        <v>1992</v>
      </c>
      <c r="AM65" s="652"/>
      <c r="AN65" s="651"/>
      <c r="AO65" s="649"/>
      <c r="AP65" s="649"/>
      <c r="AQ65" s="653"/>
      <c r="AR65" s="651"/>
      <c r="AS65" s="651"/>
      <c r="AT65" s="652">
        <f t="shared" si="37"/>
        <v>1992</v>
      </c>
      <c r="AU65" s="649"/>
      <c r="AV65" s="654"/>
      <c r="AW65" s="656"/>
      <c r="AX65" s="652"/>
      <c r="AY65" s="652"/>
      <c r="AZ65" s="656"/>
      <c r="BA65" s="654"/>
      <c r="BB65" s="654"/>
      <c r="BC65" s="656"/>
      <c r="BD65" s="656"/>
      <c r="BE65" s="654"/>
      <c r="BF65" s="656"/>
      <c r="BG65" s="654"/>
      <c r="BH65" s="654"/>
      <c r="BI65" s="656"/>
      <c r="BJ65" s="656"/>
      <c r="BK65" s="654"/>
      <c r="BL65" s="654"/>
      <c r="BM65" s="654"/>
      <c r="BN65" s="654"/>
      <c r="BO65" s="654"/>
      <c r="BP65" s="656"/>
      <c r="BQ65" s="654"/>
      <c r="BR65" s="656"/>
      <c r="BS65" s="654"/>
      <c r="BT65" s="654"/>
      <c r="BU65" s="654"/>
      <c r="BV65" s="654"/>
      <c r="BW65" s="645" t="s">
        <v>109</v>
      </c>
      <c r="BX65" s="658"/>
      <c r="BY65" s="658">
        <f>I65</f>
        <v>1992</v>
      </c>
      <c r="BZ65" s="658"/>
      <c r="CA65" s="658"/>
      <c r="CB65" s="644">
        <f t="shared" si="40"/>
        <v>1992</v>
      </c>
      <c r="CC65" s="644"/>
      <c r="CD65" s="644">
        <f t="shared" si="33"/>
        <v>1992</v>
      </c>
      <c r="CE65" s="644">
        <f t="shared" si="38"/>
        <v>0</v>
      </c>
    </row>
    <row r="66" s="338" customFormat="1" ht="40" customHeight="1" spans="1:83">
      <c r="A66" s="632">
        <v>45642</v>
      </c>
      <c r="B66" s="633" t="s">
        <v>489</v>
      </c>
      <c r="C66" s="634" t="s">
        <v>214</v>
      </c>
      <c r="D66" s="635">
        <v>4500154101</v>
      </c>
      <c r="E66" s="659" t="s">
        <v>503</v>
      </c>
      <c r="F66" s="636" t="s">
        <v>504</v>
      </c>
      <c r="G66" s="637" t="s">
        <v>132</v>
      </c>
      <c r="H66" s="637" t="s">
        <v>99</v>
      </c>
      <c r="I66" s="638">
        <v>48</v>
      </c>
      <c r="J66" s="638">
        <v>0</v>
      </c>
      <c r="K66" s="639">
        <v>24</v>
      </c>
      <c r="L66" s="639">
        <f t="shared" si="22"/>
        <v>2</v>
      </c>
      <c r="M66" s="641">
        <v>45707</v>
      </c>
      <c r="N66" s="641">
        <v>45703</v>
      </c>
      <c r="O66" s="641"/>
      <c r="P66" s="642" t="s">
        <v>100</v>
      </c>
      <c r="Q66" s="643" t="s">
        <v>500</v>
      </c>
      <c r="R66" s="642" t="s">
        <v>429</v>
      </c>
      <c r="S66" s="642"/>
      <c r="T66" s="642"/>
      <c r="U66" s="642" t="s">
        <v>493</v>
      </c>
      <c r="V66" s="677" t="s">
        <v>494</v>
      </c>
      <c r="W66" s="646"/>
      <c r="X66" s="647" t="s">
        <v>501</v>
      </c>
      <c r="Y66" s="646" t="s">
        <v>496</v>
      </c>
      <c r="Z66" s="648">
        <v>2.5958</v>
      </c>
      <c r="AA66" s="650">
        <f t="shared" si="27"/>
        <v>124.5984</v>
      </c>
      <c r="AB66" s="649">
        <v>48</v>
      </c>
      <c r="AC66" s="649">
        <f t="shared" si="34"/>
        <v>0</v>
      </c>
      <c r="AD66" s="650" t="s">
        <v>106</v>
      </c>
      <c r="AE66" s="662" t="s">
        <v>138</v>
      </c>
      <c r="AF66" s="646" t="s">
        <v>107</v>
      </c>
      <c r="AG66" s="652" t="s">
        <v>43</v>
      </c>
      <c r="AH66" s="646" t="s">
        <v>502</v>
      </c>
      <c r="AI66" s="651"/>
      <c r="AJ66" s="651"/>
      <c r="AK66" s="651"/>
      <c r="AL66" s="652">
        <f t="shared" si="39"/>
        <v>48</v>
      </c>
      <c r="AM66" s="652"/>
      <c r="AN66" s="651"/>
      <c r="AO66" s="649"/>
      <c r="AP66" s="649"/>
      <c r="AQ66" s="653"/>
      <c r="AR66" s="651"/>
      <c r="AS66" s="651"/>
      <c r="AT66" s="652">
        <f t="shared" si="37"/>
        <v>48</v>
      </c>
      <c r="AU66" s="649"/>
      <c r="AV66" s="654"/>
      <c r="AW66" s="656"/>
      <c r="AX66" s="652"/>
      <c r="AY66" s="652"/>
      <c r="AZ66" s="656"/>
      <c r="BA66" s="654"/>
      <c r="BB66" s="654"/>
      <c r="BC66" s="656"/>
      <c r="BD66" s="656"/>
      <c r="BE66" s="654"/>
      <c r="BF66" s="656"/>
      <c r="BG66" s="654"/>
      <c r="BH66" s="654"/>
      <c r="BI66" s="656"/>
      <c r="BJ66" s="656"/>
      <c r="BK66" s="654"/>
      <c r="BL66" s="654"/>
      <c r="BM66" s="654"/>
      <c r="BN66" s="654"/>
      <c r="BO66" s="654"/>
      <c r="BP66" s="656"/>
      <c r="BQ66" s="654"/>
      <c r="BR66" s="656"/>
      <c r="BS66" s="654"/>
      <c r="BT66" s="654"/>
      <c r="BU66" s="654"/>
      <c r="BV66" s="654"/>
      <c r="BW66" s="645" t="s">
        <v>109</v>
      </c>
      <c r="BX66" s="658">
        <f>I66</f>
        <v>48</v>
      </c>
      <c r="BY66" s="658"/>
      <c r="BZ66" s="658"/>
      <c r="CA66" s="658"/>
      <c r="CB66" s="644">
        <f t="shared" si="40"/>
        <v>48</v>
      </c>
      <c r="CC66" s="644"/>
      <c r="CD66" s="644">
        <f t="shared" si="33"/>
        <v>48</v>
      </c>
      <c r="CE66" s="644">
        <f t="shared" si="38"/>
        <v>0</v>
      </c>
    </row>
    <row r="67" s="338" customFormat="1" ht="40" customHeight="1" spans="1:83">
      <c r="A67" s="632">
        <v>45642</v>
      </c>
      <c r="B67" s="633" t="s">
        <v>489</v>
      </c>
      <c r="C67" s="634" t="s">
        <v>214</v>
      </c>
      <c r="D67" s="635">
        <v>4500154032</v>
      </c>
      <c r="E67" s="659" t="s">
        <v>505</v>
      </c>
      <c r="F67" s="636" t="s">
        <v>506</v>
      </c>
      <c r="G67" s="637" t="s">
        <v>159</v>
      </c>
      <c r="H67" s="637" t="s">
        <v>99</v>
      </c>
      <c r="I67" s="638">
        <v>528</v>
      </c>
      <c r="J67" s="638">
        <v>0</v>
      </c>
      <c r="K67" s="639">
        <v>24</v>
      </c>
      <c r="L67" s="639">
        <f t="shared" si="22"/>
        <v>22</v>
      </c>
      <c r="M67" s="641">
        <v>45707</v>
      </c>
      <c r="N67" s="641">
        <v>45703</v>
      </c>
      <c r="O67" s="641"/>
      <c r="P67" s="642" t="s">
        <v>100</v>
      </c>
      <c r="Q67" s="643" t="s">
        <v>468</v>
      </c>
      <c r="R67" s="642" t="s">
        <v>429</v>
      </c>
      <c r="S67" s="642"/>
      <c r="T67" s="642"/>
      <c r="U67" s="642" t="s">
        <v>493</v>
      </c>
      <c r="V67" s="677" t="s">
        <v>494</v>
      </c>
      <c r="W67" s="646"/>
      <c r="X67" s="647" t="s">
        <v>507</v>
      </c>
      <c r="Y67" s="646" t="s">
        <v>496</v>
      </c>
      <c r="Z67" s="648">
        <v>2.5695</v>
      </c>
      <c r="AA67" s="650">
        <f t="shared" si="27"/>
        <v>1356.696</v>
      </c>
      <c r="AB67" s="649">
        <v>528</v>
      </c>
      <c r="AC67" s="649">
        <f t="shared" si="34"/>
        <v>0</v>
      </c>
      <c r="AD67" s="650" t="s">
        <v>106</v>
      </c>
      <c r="AE67" s="661" t="s">
        <v>451</v>
      </c>
      <c r="AF67" s="646" t="s">
        <v>107</v>
      </c>
      <c r="AG67" s="652" t="s">
        <v>43</v>
      </c>
      <c r="AH67" s="646" t="s">
        <v>508</v>
      </c>
      <c r="AI67" s="651"/>
      <c r="AJ67" s="651"/>
      <c r="AK67" s="651"/>
      <c r="AL67" s="652">
        <f t="shared" si="39"/>
        <v>528</v>
      </c>
      <c r="AM67" s="652"/>
      <c r="AN67" s="651"/>
      <c r="AO67" s="649"/>
      <c r="AP67" s="649"/>
      <c r="AQ67" s="653"/>
      <c r="AR67" s="651"/>
      <c r="AS67" s="651"/>
      <c r="AT67" s="652">
        <f t="shared" si="37"/>
        <v>528</v>
      </c>
      <c r="AU67" s="649"/>
      <c r="AV67" s="654"/>
      <c r="AW67" s="656"/>
      <c r="AX67" s="652"/>
      <c r="AY67" s="652"/>
      <c r="AZ67" s="656"/>
      <c r="BA67" s="654"/>
      <c r="BB67" s="654"/>
      <c r="BC67" s="656"/>
      <c r="BD67" s="656"/>
      <c r="BE67" s="654"/>
      <c r="BF67" s="656"/>
      <c r="BG67" s="654"/>
      <c r="BH67" s="654"/>
      <c r="BI67" s="656"/>
      <c r="BJ67" s="656"/>
      <c r="BK67" s="654"/>
      <c r="BL67" s="654"/>
      <c r="BM67" s="654"/>
      <c r="BN67" s="654"/>
      <c r="BO67" s="654"/>
      <c r="BP67" s="656"/>
      <c r="BQ67" s="654"/>
      <c r="BR67" s="656"/>
      <c r="BS67" s="654"/>
      <c r="BT67" s="654"/>
      <c r="BU67" s="654"/>
      <c r="BV67" s="654"/>
      <c r="BW67" s="645" t="s">
        <v>109</v>
      </c>
      <c r="BX67" s="658"/>
      <c r="BY67" s="658">
        <f>I67</f>
        <v>528</v>
      </c>
      <c r="BZ67" s="658"/>
      <c r="CA67" s="658"/>
      <c r="CB67" s="644">
        <f t="shared" si="40"/>
        <v>528</v>
      </c>
      <c r="CC67" s="644"/>
      <c r="CD67" s="644">
        <f t="shared" si="33"/>
        <v>528</v>
      </c>
      <c r="CE67" s="644">
        <f t="shared" si="38"/>
        <v>0</v>
      </c>
    </row>
    <row r="68" s="338" customFormat="1" ht="40" customHeight="1" spans="1:83">
      <c r="A68" s="632">
        <v>45642</v>
      </c>
      <c r="B68" s="633" t="s">
        <v>489</v>
      </c>
      <c r="C68" s="634" t="s">
        <v>214</v>
      </c>
      <c r="D68" s="635">
        <v>4500154144</v>
      </c>
      <c r="E68" s="659" t="s">
        <v>509</v>
      </c>
      <c r="F68" s="636" t="s">
        <v>510</v>
      </c>
      <c r="G68" s="637" t="s">
        <v>159</v>
      </c>
      <c r="H68" s="637" t="s">
        <v>99</v>
      </c>
      <c r="I68" s="638">
        <v>264</v>
      </c>
      <c r="J68" s="638">
        <v>0</v>
      </c>
      <c r="K68" s="639">
        <v>24</v>
      </c>
      <c r="L68" s="639">
        <f t="shared" si="22"/>
        <v>11</v>
      </c>
      <c r="M68" s="641">
        <v>45707</v>
      </c>
      <c r="N68" s="641">
        <v>45703</v>
      </c>
      <c r="O68" s="641"/>
      <c r="P68" s="642" t="s">
        <v>100</v>
      </c>
      <c r="Q68" s="643" t="s">
        <v>468</v>
      </c>
      <c r="R68" s="642" t="s">
        <v>429</v>
      </c>
      <c r="S68" s="642"/>
      <c r="T68" s="642"/>
      <c r="U68" s="642" t="s">
        <v>493</v>
      </c>
      <c r="V68" s="677" t="s">
        <v>494</v>
      </c>
      <c r="W68" s="646"/>
      <c r="X68" s="647" t="s">
        <v>501</v>
      </c>
      <c r="Y68" s="646" t="s">
        <v>496</v>
      </c>
      <c r="Z68" s="648">
        <v>2.5958</v>
      </c>
      <c r="AA68" s="650">
        <f t="shared" si="27"/>
        <v>685.2912</v>
      </c>
      <c r="AB68" s="649">
        <v>264</v>
      </c>
      <c r="AC68" s="649">
        <f t="shared" si="34"/>
        <v>0</v>
      </c>
      <c r="AD68" s="650" t="s">
        <v>106</v>
      </c>
      <c r="AE68" s="661" t="s">
        <v>451</v>
      </c>
      <c r="AF68" s="646" t="s">
        <v>107</v>
      </c>
      <c r="AG68" s="652" t="s">
        <v>43</v>
      </c>
      <c r="AH68" s="646" t="s">
        <v>511</v>
      </c>
      <c r="AI68" s="651"/>
      <c r="AJ68" s="651"/>
      <c r="AK68" s="651"/>
      <c r="AL68" s="652">
        <f t="shared" si="39"/>
        <v>264</v>
      </c>
      <c r="AM68" s="652"/>
      <c r="AN68" s="651"/>
      <c r="AO68" s="649"/>
      <c r="AP68" s="649"/>
      <c r="AQ68" s="653"/>
      <c r="AR68" s="651"/>
      <c r="AS68" s="651"/>
      <c r="AT68" s="652">
        <f t="shared" si="37"/>
        <v>264</v>
      </c>
      <c r="AU68" s="649"/>
      <c r="AV68" s="654"/>
      <c r="AW68" s="656"/>
      <c r="AX68" s="652"/>
      <c r="AY68" s="652"/>
      <c r="AZ68" s="656"/>
      <c r="BA68" s="654"/>
      <c r="BB68" s="654"/>
      <c r="BC68" s="656"/>
      <c r="BD68" s="656"/>
      <c r="BE68" s="654"/>
      <c r="BF68" s="656"/>
      <c r="BG68" s="654"/>
      <c r="BH68" s="654"/>
      <c r="BI68" s="656"/>
      <c r="BJ68" s="656"/>
      <c r="BK68" s="654"/>
      <c r="BL68" s="654"/>
      <c r="BM68" s="654"/>
      <c r="BN68" s="654"/>
      <c r="BO68" s="654"/>
      <c r="BP68" s="656"/>
      <c r="BQ68" s="654"/>
      <c r="BR68" s="656"/>
      <c r="BS68" s="654"/>
      <c r="BT68" s="654"/>
      <c r="BU68" s="654"/>
      <c r="BV68" s="654"/>
      <c r="BW68" s="645" t="s">
        <v>109</v>
      </c>
      <c r="BX68" s="658"/>
      <c r="BY68" s="658">
        <f>I68</f>
        <v>264</v>
      </c>
      <c r="BZ68" s="658"/>
      <c r="CA68" s="658"/>
      <c r="CB68" s="644">
        <f t="shared" si="40"/>
        <v>264</v>
      </c>
      <c r="CC68" s="644"/>
      <c r="CD68" s="644">
        <f t="shared" si="33"/>
        <v>264</v>
      </c>
      <c r="CE68" s="644">
        <f t="shared" si="38"/>
        <v>0</v>
      </c>
    </row>
    <row r="69" s="338" customFormat="1" ht="40" customHeight="1" spans="1:83">
      <c r="A69" s="632">
        <v>45642</v>
      </c>
      <c r="B69" s="633" t="s">
        <v>489</v>
      </c>
      <c r="C69" s="634" t="s">
        <v>214</v>
      </c>
      <c r="D69" s="635">
        <v>4500154124</v>
      </c>
      <c r="E69" s="659" t="s">
        <v>512</v>
      </c>
      <c r="F69" s="636" t="s">
        <v>513</v>
      </c>
      <c r="G69" s="637" t="s">
        <v>159</v>
      </c>
      <c r="H69" s="637" t="s">
        <v>99</v>
      </c>
      <c r="I69" s="638">
        <v>360</v>
      </c>
      <c r="J69" s="638">
        <v>0</v>
      </c>
      <c r="K69" s="639">
        <v>24</v>
      </c>
      <c r="L69" s="639">
        <f t="shared" si="22"/>
        <v>15</v>
      </c>
      <c r="M69" s="641">
        <v>45707</v>
      </c>
      <c r="N69" s="641">
        <v>45703</v>
      </c>
      <c r="O69" s="641"/>
      <c r="P69" s="642" t="s">
        <v>100</v>
      </c>
      <c r="Q69" s="643" t="s">
        <v>468</v>
      </c>
      <c r="R69" s="642" t="s">
        <v>429</v>
      </c>
      <c r="S69" s="642"/>
      <c r="T69" s="642"/>
      <c r="U69" s="642" t="s">
        <v>493</v>
      </c>
      <c r="V69" s="677" t="s">
        <v>494</v>
      </c>
      <c r="W69" s="646"/>
      <c r="X69" s="647" t="s">
        <v>514</v>
      </c>
      <c r="Y69" s="646" t="s">
        <v>496</v>
      </c>
      <c r="Z69" s="648">
        <v>2.5958</v>
      </c>
      <c r="AA69" s="650">
        <f t="shared" si="27"/>
        <v>934.488</v>
      </c>
      <c r="AB69" s="649">
        <v>360</v>
      </c>
      <c r="AC69" s="649">
        <f t="shared" si="34"/>
        <v>0</v>
      </c>
      <c r="AD69" s="650" t="s">
        <v>106</v>
      </c>
      <c r="AE69" s="661" t="s">
        <v>451</v>
      </c>
      <c r="AF69" s="646" t="s">
        <v>107</v>
      </c>
      <c r="AG69" s="652" t="s">
        <v>43</v>
      </c>
      <c r="AH69" s="646" t="s">
        <v>515</v>
      </c>
      <c r="AI69" s="651"/>
      <c r="AJ69" s="651"/>
      <c r="AK69" s="651"/>
      <c r="AL69" s="652">
        <f t="shared" si="39"/>
        <v>360</v>
      </c>
      <c r="AM69" s="652"/>
      <c r="AN69" s="651"/>
      <c r="AO69" s="649"/>
      <c r="AP69" s="649"/>
      <c r="AQ69" s="653"/>
      <c r="AR69" s="651"/>
      <c r="AS69" s="651"/>
      <c r="AT69" s="652">
        <f t="shared" ref="AT69:AT77" si="41">I69</f>
        <v>360</v>
      </c>
      <c r="AU69" s="649"/>
      <c r="AV69" s="654"/>
      <c r="AW69" s="656"/>
      <c r="AX69" s="652"/>
      <c r="AY69" s="652"/>
      <c r="AZ69" s="656"/>
      <c r="BA69" s="654"/>
      <c r="BB69" s="654"/>
      <c r="BC69" s="656"/>
      <c r="BD69" s="656"/>
      <c r="BE69" s="654"/>
      <c r="BF69" s="656"/>
      <c r="BG69" s="654"/>
      <c r="BH69" s="654"/>
      <c r="BI69" s="656"/>
      <c r="BJ69" s="656"/>
      <c r="BK69" s="654"/>
      <c r="BL69" s="654"/>
      <c r="BM69" s="654"/>
      <c r="BN69" s="654"/>
      <c r="BO69" s="654"/>
      <c r="BP69" s="656"/>
      <c r="BQ69" s="654"/>
      <c r="BR69" s="656"/>
      <c r="BS69" s="654"/>
      <c r="BT69" s="654"/>
      <c r="BU69" s="654"/>
      <c r="BV69" s="654"/>
      <c r="BW69" s="645" t="s">
        <v>109</v>
      </c>
      <c r="BX69" s="658"/>
      <c r="BY69" s="658">
        <f>I69</f>
        <v>360</v>
      </c>
      <c r="BZ69" s="658"/>
      <c r="CA69" s="658"/>
      <c r="CB69" s="644">
        <f t="shared" si="40"/>
        <v>360</v>
      </c>
      <c r="CC69" s="644"/>
      <c r="CD69" s="644">
        <f t="shared" si="33"/>
        <v>360</v>
      </c>
      <c r="CE69" s="644">
        <f t="shared" si="38"/>
        <v>0</v>
      </c>
    </row>
    <row r="70" s="338" customFormat="1" ht="40" customHeight="1" spans="1:83">
      <c r="A70" s="632">
        <v>45653</v>
      </c>
      <c r="B70" s="633" t="s">
        <v>155</v>
      </c>
      <c r="C70" s="634" t="s">
        <v>156</v>
      </c>
      <c r="D70" s="635">
        <v>4500154883</v>
      </c>
      <c r="E70" s="659" t="s">
        <v>516</v>
      </c>
      <c r="F70" s="636" t="s">
        <v>517</v>
      </c>
      <c r="G70" s="637" t="s">
        <v>132</v>
      </c>
      <c r="H70" s="637" t="s">
        <v>99</v>
      </c>
      <c r="I70" s="638">
        <v>504</v>
      </c>
      <c r="J70" s="638">
        <v>0</v>
      </c>
      <c r="K70" s="639">
        <v>24</v>
      </c>
      <c r="L70" s="639">
        <f t="shared" si="22"/>
        <v>21</v>
      </c>
      <c r="M70" s="641">
        <v>45706</v>
      </c>
      <c r="N70" s="641">
        <v>45702</v>
      </c>
      <c r="O70" s="641"/>
      <c r="P70" s="642" t="s">
        <v>100</v>
      </c>
      <c r="Q70" s="643" t="s">
        <v>518</v>
      </c>
      <c r="R70" s="642" t="s">
        <v>478</v>
      </c>
      <c r="S70" s="641"/>
      <c r="T70" s="641"/>
      <c r="U70" s="642" t="s">
        <v>519</v>
      </c>
      <c r="V70" s="677" t="s">
        <v>520</v>
      </c>
      <c r="W70" s="645"/>
      <c r="X70" s="647" t="s">
        <v>521</v>
      </c>
      <c r="Y70" s="646" t="s">
        <v>165</v>
      </c>
      <c r="Z70" s="648">
        <v>2.5958</v>
      </c>
      <c r="AA70" s="650">
        <f t="shared" si="27"/>
        <v>1308.2832</v>
      </c>
      <c r="AB70" s="649">
        <v>504</v>
      </c>
      <c r="AC70" s="649">
        <f t="shared" si="34"/>
        <v>0</v>
      </c>
      <c r="AD70" s="650" t="s">
        <v>106</v>
      </c>
      <c r="AE70" s="637" t="s">
        <v>193</v>
      </c>
      <c r="AF70" s="646" t="s">
        <v>107</v>
      </c>
      <c r="AG70" s="652" t="s">
        <v>43</v>
      </c>
      <c r="AH70" s="646" t="s">
        <v>522</v>
      </c>
      <c r="AI70" s="664"/>
      <c r="AJ70" s="664"/>
      <c r="AK70" s="664"/>
      <c r="AL70" s="649"/>
      <c r="AM70" s="649"/>
      <c r="AN70" s="664"/>
      <c r="AO70" s="649">
        <f>I70</f>
        <v>504</v>
      </c>
      <c r="AP70" s="649"/>
      <c r="AQ70" s="653"/>
      <c r="AR70" s="664"/>
      <c r="AS70" s="664"/>
      <c r="AT70" s="652">
        <f t="shared" si="41"/>
        <v>504</v>
      </c>
      <c r="AU70" s="649"/>
      <c r="AV70" s="654"/>
      <c r="AW70" s="665"/>
      <c r="AX70" s="652"/>
      <c r="AY70" s="652"/>
      <c r="AZ70" s="665"/>
      <c r="BA70" s="652"/>
      <c r="BB70" s="652"/>
      <c r="BC70" s="665"/>
      <c r="BD70" s="665"/>
      <c r="BE70" s="654"/>
      <c r="BF70" s="665"/>
      <c r="BG70" s="652"/>
      <c r="BH70" s="652"/>
      <c r="BI70" s="665"/>
      <c r="BJ70" s="665"/>
      <c r="BK70" s="654"/>
      <c r="BL70" s="654"/>
      <c r="BM70" s="654"/>
      <c r="BN70" s="654"/>
      <c r="BO70" s="654"/>
      <c r="BP70" s="665"/>
      <c r="BQ70" s="654"/>
      <c r="BR70" s="665"/>
      <c r="BS70" s="654"/>
      <c r="BT70" s="654"/>
      <c r="BU70" s="654"/>
      <c r="BV70" s="654"/>
      <c r="BW70" s="645" t="s">
        <v>109</v>
      </c>
      <c r="BX70" s="658">
        <f>I70</f>
        <v>504</v>
      </c>
      <c r="BY70" s="658"/>
      <c r="BZ70" s="658"/>
      <c r="CA70" s="658"/>
      <c r="CB70" s="644">
        <f t="shared" si="40"/>
        <v>504</v>
      </c>
      <c r="CC70" s="658"/>
      <c r="CD70" s="644">
        <f t="shared" si="33"/>
        <v>504</v>
      </c>
      <c r="CE70" s="644">
        <f t="shared" si="38"/>
        <v>0</v>
      </c>
    </row>
    <row r="71" s="338" customFormat="1" ht="40" customHeight="1" spans="1:83">
      <c r="A71" s="632">
        <v>45667</v>
      </c>
      <c r="B71" s="659" t="s">
        <v>246</v>
      </c>
      <c r="C71" s="634" t="s">
        <v>247</v>
      </c>
      <c r="D71" s="678">
        <v>4500155680</v>
      </c>
      <c r="E71" s="659" t="s">
        <v>523</v>
      </c>
      <c r="F71" s="636" t="s">
        <v>524</v>
      </c>
      <c r="G71" s="637" t="s">
        <v>111</v>
      </c>
      <c r="H71" s="637" t="s">
        <v>99</v>
      </c>
      <c r="I71" s="638">
        <v>528</v>
      </c>
      <c r="J71" s="638">
        <v>0</v>
      </c>
      <c r="K71" s="639">
        <v>22</v>
      </c>
      <c r="L71" s="639">
        <f t="shared" si="22"/>
        <v>24</v>
      </c>
      <c r="M71" s="641">
        <v>45708</v>
      </c>
      <c r="N71" s="641">
        <v>45703</v>
      </c>
      <c r="O71" s="639"/>
      <c r="P71" s="642" t="s">
        <v>100</v>
      </c>
      <c r="Q71" s="643" t="s">
        <v>525</v>
      </c>
      <c r="R71" s="644" t="s">
        <v>526</v>
      </c>
      <c r="S71" s="642"/>
      <c r="T71" s="642"/>
      <c r="U71" s="644" t="s">
        <v>251</v>
      </c>
      <c r="V71" s="645"/>
      <c r="W71" s="645"/>
      <c r="X71" s="647" t="s">
        <v>527</v>
      </c>
      <c r="Y71" s="646" t="s">
        <v>253</v>
      </c>
      <c r="Z71" s="648">
        <v>2.8789</v>
      </c>
      <c r="AA71" s="650">
        <f t="shared" si="27"/>
        <v>1520.0592</v>
      </c>
      <c r="AB71" s="649">
        <v>528</v>
      </c>
      <c r="AC71" s="649">
        <f t="shared" si="34"/>
        <v>0</v>
      </c>
      <c r="AD71" s="650" t="s">
        <v>123</v>
      </c>
      <c r="AE71" s="661" t="s">
        <v>111</v>
      </c>
      <c r="AF71" s="646" t="s">
        <v>107</v>
      </c>
      <c r="AG71" s="652" t="s">
        <v>43</v>
      </c>
      <c r="AH71" s="646" t="s">
        <v>528</v>
      </c>
      <c r="AI71" s="649"/>
      <c r="AJ71" s="649"/>
      <c r="AK71" s="649"/>
      <c r="AL71" s="652">
        <f>I71</f>
        <v>528</v>
      </c>
      <c r="AM71" s="652"/>
      <c r="AN71" s="649"/>
      <c r="AO71" s="652"/>
      <c r="AP71" s="652"/>
      <c r="AQ71" s="654"/>
      <c r="AR71" s="649"/>
      <c r="AS71" s="649"/>
      <c r="AT71" s="652">
        <f t="shared" si="41"/>
        <v>528</v>
      </c>
      <c r="AU71" s="649"/>
      <c r="AV71" s="654"/>
      <c r="AW71" s="649"/>
      <c r="AX71" s="652">
        <f>I71/11</f>
        <v>48</v>
      </c>
      <c r="AY71" s="652"/>
      <c r="AZ71" s="654"/>
      <c r="BA71" s="654"/>
      <c r="BB71" s="654"/>
      <c r="BC71" s="654"/>
      <c r="BD71" s="654"/>
      <c r="BE71" s="658"/>
      <c r="BF71" s="654"/>
      <c r="BG71" s="652"/>
      <c r="BH71" s="652"/>
      <c r="BI71" s="654"/>
      <c r="BJ71" s="654"/>
      <c r="BK71" s="644"/>
      <c r="BL71" s="644"/>
      <c r="BM71" s="644"/>
      <c r="BN71" s="644"/>
      <c r="BO71" s="644"/>
      <c r="BP71" s="654"/>
      <c r="BQ71" s="679"/>
      <c r="BR71" s="654"/>
      <c r="BS71" s="679"/>
      <c r="BT71" s="679"/>
      <c r="BU71" s="679"/>
      <c r="BV71" s="679"/>
      <c r="BW71" s="645" t="s">
        <v>109</v>
      </c>
      <c r="BX71" s="658">
        <f>I71/22*5</f>
        <v>120</v>
      </c>
      <c r="BY71" s="658">
        <f>I71/22*6</f>
        <v>144</v>
      </c>
      <c r="BZ71" s="658">
        <f>I71/22*6</f>
        <v>144</v>
      </c>
      <c r="CA71" s="658">
        <f>I71/22*5</f>
        <v>120</v>
      </c>
      <c r="CB71" s="644">
        <f t="shared" si="40"/>
        <v>528</v>
      </c>
      <c r="CC71" s="658">
        <f>I71/11</f>
        <v>48</v>
      </c>
      <c r="CD71" s="644">
        <f t="shared" si="33"/>
        <v>528</v>
      </c>
      <c r="CE71" s="644">
        <f t="shared" si="38"/>
        <v>0</v>
      </c>
    </row>
    <row r="72" s="338" customFormat="1" ht="40" customHeight="1" spans="1:83">
      <c r="A72" s="632">
        <v>45667</v>
      </c>
      <c r="B72" s="659" t="s">
        <v>246</v>
      </c>
      <c r="C72" s="634" t="s">
        <v>247</v>
      </c>
      <c r="D72" s="678">
        <v>4500155680</v>
      </c>
      <c r="E72" s="659" t="s">
        <v>529</v>
      </c>
      <c r="F72" s="636" t="s">
        <v>530</v>
      </c>
      <c r="G72" s="637" t="s">
        <v>111</v>
      </c>
      <c r="H72" s="637" t="s">
        <v>99</v>
      </c>
      <c r="I72" s="638">
        <v>396</v>
      </c>
      <c r="J72" s="638">
        <v>0</v>
      </c>
      <c r="K72" s="639">
        <v>22</v>
      </c>
      <c r="L72" s="639">
        <f t="shared" si="22"/>
        <v>18</v>
      </c>
      <c r="M72" s="641">
        <v>45708</v>
      </c>
      <c r="N72" s="641">
        <v>45703</v>
      </c>
      <c r="O72" s="639"/>
      <c r="P72" s="642" t="s">
        <v>100</v>
      </c>
      <c r="Q72" s="643" t="s">
        <v>525</v>
      </c>
      <c r="R72" s="644" t="s">
        <v>526</v>
      </c>
      <c r="S72" s="642"/>
      <c r="T72" s="642"/>
      <c r="U72" s="644" t="s">
        <v>251</v>
      </c>
      <c r="V72" s="645"/>
      <c r="W72" s="645"/>
      <c r="X72" s="647" t="s">
        <v>527</v>
      </c>
      <c r="Y72" s="646" t="s">
        <v>253</v>
      </c>
      <c r="Z72" s="648">
        <v>2.8789</v>
      </c>
      <c r="AA72" s="650">
        <f t="shared" si="27"/>
        <v>1140.0444</v>
      </c>
      <c r="AB72" s="649">
        <v>396</v>
      </c>
      <c r="AC72" s="649">
        <f t="shared" si="34"/>
        <v>0</v>
      </c>
      <c r="AD72" s="650" t="s">
        <v>123</v>
      </c>
      <c r="AE72" s="661" t="s">
        <v>111</v>
      </c>
      <c r="AF72" s="646" t="s">
        <v>107</v>
      </c>
      <c r="AG72" s="652" t="s">
        <v>43</v>
      </c>
      <c r="AH72" s="646" t="s">
        <v>531</v>
      </c>
      <c r="AI72" s="649"/>
      <c r="AJ72" s="649"/>
      <c r="AK72" s="649"/>
      <c r="AL72" s="652">
        <f>I72</f>
        <v>396</v>
      </c>
      <c r="AM72" s="652"/>
      <c r="AN72" s="649"/>
      <c r="AO72" s="652"/>
      <c r="AP72" s="652"/>
      <c r="AQ72" s="654"/>
      <c r="AR72" s="649"/>
      <c r="AS72" s="649"/>
      <c r="AT72" s="652">
        <f t="shared" si="41"/>
        <v>396</v>
      </c>
      <c r="AU72" s="649"/>
      <c r="AV72" s="654"/>
      <c r="AW72" s="649"/>
      <c r="AX72" s="652">
        <f>I72/11</f>
        <v>36</v>
      </c>
      <c r="AY72" s="652"/>
      <c r="AZ72" s="654"/>
      <c r="BA72" s="654"/>
      <c r="BB72" s="654"/>
      <c r="BC72" s="654"/>
      <c r="BD72" s="654"/>
      <c r="BE72" s="658"/>
      <c r="BF72" s="654"/>
      <c r="BG72" s="652"/>
      <c r="BH72" s="652"/>
      <c r="BI72" s="654"/>
      <c r="BJ72" s="654"/>
      <c r="BK72" s="644"/>
      <c r="BL72" s="644"/>
      <c r="BM72" s="644"/>
      <c r="BN72" s="644"/>
      <c r="BO72" s="644"/>
      <c r="BP72" s="654"/>
      <c r="BQ72" s="679"/>
      <c r="BR72" s="654"/>
      <c r="BS72" s="679"/>
      <c r="BT72" s="679"/>
      <c r="BU72" s="679"/>
      <c r="BV72" s="679"/>
      <c r="BW72" s="645" t="s">
        <v>109</v>
      </c>
      <c r="BX72" s="658">
        <f>I72/22*5</f>
        <v>90</v>
      </c>
      <c r="BY72" s="658">
        <f>I72/22*6</f>
        <v>108</v>
      </c>
      <c r="BZ72" s="658">
        <f>I72/22*6</f>
        <v>108</v>
      </c>
      <c r="CA72" s="658">
        <f>I72/22*5</f>
        <v>90</v>
      </c>
      <c r="CB72" s="644">
        <f t="shared" si="40"/>
        <v>396</v>
      </c>
      <c r="CC72" s="658">
        <f>I72/11</f>
        <v>36</v>
      </c>
      <c r="CD72" s="644">
        <f t="shared" si="33"/>
        <v>396</v>
      </c>
      <c r="CE72" s="644">
        <f t="shared" si="38"/>
        <v>0</v>
      </c>
    </row>
    <row r="73" s="338" customFormat="1" ht="40" customHeight="1" spans="1:83">
      <c r="A73" s="632">
        <v>45667</v>
      </c>
      <c r="B73" s="659" t="s">
        <v>246</v>
      </c>
      <c r="C73" s="634" t="s">
        <v>247</v>
      </c>
      <c r="D73" s="678">
        <v>4500155680</v>
      </c>
      <c r="E73" s="659" t="s">
        <v>532</v>
      </c>
      <c r="F73" s="636" t="s">
        <v>533</v>
      </c>
      <c r="G73" s="637" t="s">
        <v>111</v>
      </c>
      <c r="H73" s="637" t="s">
        <v>99</v>
      </c>
      <c r="I73" s="638">
        <v>418</v>
      </c>
      <c r="J73" s="638">
        <v>0</v>
      </c>
      <c r="K73" s="639">
        <v>22</v>
      </c>
      <c r="L73" s="639">
        <f t="shared" si="22"/>
        <v>19</v>
      </c>
      <c r="M73" s="641">
        <v>45708</v>
      </c>
      <c r="N73" s="641">
        <v>45703</v>
      </c>
      <c r="O73" s="639"/>
      <c r="P73" s="642" t="s">
        <v>100</v>
      </c>
      <c r="Q73" s="643" t="s">
        <v>525</v>
      </c>
      <c r="R73" s="644" t="s">
        <v>526</v>
      </c>
      <c r="S73" s="642"/>
      <c r="T73" s="642"/>
      <c r="U73" s="644" t="s">
        <v>251</v>
      </c>
      <c r="V73" s="645"/>
      <c r="W73" s="645"/>
      <c r="X73" s="647" t="s">
        <v>527</v>
      </c>
      <c r="Y73" s="646" t="s">
        <v>253</v>
      </c>
      <c r="Z73" s="648">
        <v>2.8789</v>
      </c>
      <c r="AA73" s="650">
        <f t="shared" si="27"/>
        <v>1203.3802</v>
      </c>
      <c r="AB73" s="649">
        <v>418</v>
      </c>
      <c r="AC73" s="649">
        <f t="shared" si="34"/>
        <v>0</v>
      </c>
      <c r="AD73" s="650" t="s">
        <v>123</v>
      </c>
      <c r="AE73" s="661" t="s">
        <v>111</v>
      </c>
      <c r="AF73" s="646" t="s">
        <v>107</v>
      </c>
      <c r="AG73" s="652" t="s">
        <v>43</v>
      </c>
      <c r="AH73" s="646" t="s">
        <v>534</v>
      </c>
      <c r="AI73" s="649"/>
      <c r="AJ73" s="649"/>
      <c r="AK73" s="649"/>
      <c r="AL73" s="652">
        <f>I73</f>
        <v>418</v>
      </c>
      <c r="AM73" s="652"/>
      <c r="AN73" s="649"/>
      <c r="AO73" s="652"/>
      <c r="AP73" s="652"/>
      <c r="AQ73" s="654"/>
      <c r="AR73" s="649"/>
      <c r="AS73" s="649"/>
      <c r="AT73" s="652">
        <f t="shared" si="41"/>
        <v>418</v>
      </c>
      <c r="AU73" s="649"/>
      <c r="AV73" s="654"/>
      <c r="AW73" s="649"/>
      <c r="AX73" s="652">
        <f>I73/11</f>
        <v>38</v>
      </c>
      <c r="AY73" s="652"/>
      <c r="AZ73" s="654"/>
      <c r="BA73" s="654"/>
      <c r="BB73" s="654"/>
      <c r="BC73" s="654"/>
      <c r="BD73" s="654"/>
      <c r="BE73" s="658"/>
      <c r="BF73" s="654"/>
      <c r="BG73" s="652"/>
      <c r="BH73" s="652"/>
      <c r="BI73" s="654"/>
      <c r="BJ73" s="654"/>
      <c r="BK73" s="644"/>
      <c r="BL73" s="644"/>
      <c r="BM73" s="644"/>
      <c r="BN73" s="644"/>
      <c r="BO73" s="644"/>
      <c r="BP73" s="654"/>
      <c r="BQ73" s="679"/>
      <c r="BR73" s="654"/>
      <c r="BS73" s="679"/>
      <c r="BT73" s="679"/>
      <c r="BU73" s="679"/>
      <c r="BV73" s="679"/>
      <c r="BW73" s="645" t="s">
        <v>109</v>
      </c>
      <c r="BX73" s="658">
        <f>I73/22*5</f>
        <v>95</v>
      </c>
      <c r="BY73" s="658">
        <f>I73/22*6</f>
        <v>114</v>
      </c>
      <c r="BZ73" s="658">
        <f>I73/22*6</f>
        <v>114</v>
      </c>
      <c r="CA73" s="658">
        <f>I73/22*5</f>
        <v>95</v>
      </c>
      <c r="CB73" s="644">
        <f t="shared" si="40"/>
        <v>418</v>
      </c>
      <c r="CC73" s="658">
        <f>I73/11</f>
        <v>38</v>
      </c>
      <c r="CD73" s="644">
        <f t="shared" si="33"/>
        <v>418</v>
      </c>
      <c r="CE73" s="644">
        <f t="shared" si="38"/>
        <v>0</v>
      </c>
    </row>
    <row r="74" s="338" customFormat="1" ht="40" customHeight="1" spans="1:83">
      <c r="A74" s="632">
        <v>45667</v>
      </c>
      <c r="B74" s="659" t="s">
        <v>246</v>
      </c>
      <c r="C74" s="634" t="s">
        <v>247</v>
      </c>
      <c r="D74" s="678">
        <v>4500155680</v>
      </c>
      <c r="E74" s="659" t="s">
        <v>535</v>
      </c>
      <c r="F74" s="636" t="s">
        <v>536</v>
      </c>
      <c r="G74" s="637" t="s">
        <v>111</v>
      </c>
      <c r="H74" s="637" t="s">
        <v>99</v>
      </c>
      <c r="I74" s="638">
        <v>176</v>
      </c>
      <c r="J74" s="638">
        <v>0</v>
      </c>
      <c r="K74" s="639">
        <v>22</v>
      </c>
      <c r="L74" s="639">
        <f t="shared" si="22"/>
        <v>8</v>
      </c>
      <c r="M74" s="641">
        <v>45708</v>
      </c>
      <c r="N74" s="641">
        <v>45703</v>
      </c>
      <c r="O74" s="639"/>
      <c r="P74" s="642" t="s">
        <v>100</v>
      </c>
      <c r="Q74" s="643" t="s">
        <v>525</v>
      </c>
      <c r="R74" s="644" t="s">
        <v>526</v>
      </c>
      <c r="S74" s="642"/>
      <c r="T74" s="642"/>
      <c r="U74" s="644" t="s">
        <v>251</v>
      </c>
      <c r="V74" s="645"/>
      <c r="W74" s="645"/>
      <c r="X74" s="647" t="s">
        <v>527</v>
      </c>
      <c r="Y74" s="646" t="s">
        <v>253</v>
      </c>
      <c r="Z74" s="648">
        <v>2.8789</v>
      </c>
      <c r="AA74" s="650">
        <f t="shared" si="27"/>
        <v>506.6864</v>
      </c>
      <c r="AB74" s="649">
        <v>176</v>
      </c>
      <c r="AC74" s="649">
        <f t="shared" si="34"/>
        <v>0</v>
      </c>
      <c r="AD74" s="650" t="s">
        <v>123</v>
      </c>
      <c r="AE74" s="661" t="s">
        <v>111</v>
      </c>
      <c r="AF74" s="646" t="s">
        <v>107</v>
      </c>
      <c r="AG74" s="652" t="s">
        <v>43</v>
      </c>
      <c r="AH74" s="646" t="s">
        <v>531</v>
      </c>
      <c r="AI74" s="651"/>
      <c r="AJ74" s="651"/>
      <c r="AK74" s="651"/>
      <c r="AL74" s="652">
        <f>I74</f>
        <v>176</v>
      </c>
      <c r="AM74" s="652"/>
      <c r="AN74" s="651"/>
      <c r="AO74" s="652"/>
      <c r="AP74" s="652"/>
      <c r="AQ74" s="654"/>
      <c r="AR74" s="651"/>
      <c r="AS74" s="651"/>
      <c r="AT74" s="652">
        <f t="shared" si="41"/>
        <v>176</v>
      </c>
      <c r="AU74" s="649"/>
      <c r="AV74" s="654"/>
      <c r="AW74" s="651"/>
      <c r="AX74" s="652">
        <f>I74/11</f>
        <v>16</v>
      </c>
      <c r="AY74" s="652"/>
      <c r="AZ74" s="656"/>
      <c r="BA74" s="654"/>
      <c r="BB74" s="654"/>
      <c r="BC74" s="656"/>
      <c r="BD74" s="656"/>
      <c r="BE74" s="658"/>
      <c r="BF74" s="656"/>
      <c r="BG74" s="652"/>
      <c r="BH74" s="652"/>
      <c r="BI74" s="656"/>
      <c r="BJ74" s="656"/>
      <c r="BK74" s="644"/>
      <c r="BL74" s="644"/>
      <c r="BM74" s="644"/>
      <c r="BN74" s="644"/>
      <c r="BO74" s="644"/>
      <c r="BP74" s="656"/>
      <c r="BQ74" s="679"/>
      <c r="BR74" s="656"/>
      <c r="BS74" s="679"/>
      <c r="BT74" s="679"/>
      <c r="BU74" s="679"/>
      <c r="BV74" s="679"/>
      <c r="BW74" s="645" t="s">
        <v>109</v>
      </c>
      <c r="BX74" s="658">
        <f>I74/22*5</f>
        <v>40</v>
      </c>
      <c r="BY74" s="658">
        <f>I74/22*6</f>
        <v>48</v>
      </c>
      <c r="BZ74" s="658">
        <f>I74/22*6</f>
        <v>48</v>
      </c>
      <c r="CA74" s="658">
        <f>I74/22*5</f>
        <v>40</v>
      </c>
      <c r="CB74" s="644">
        <f t="shared" si="40"/>
        <v>176</v>
      </c>
      <c r="CC74" s="658">
        <f>I74/11</f>
        <v>16</v>
      </c>
      <c r="CD74" s="644">
        <f t="shared" si="33"/>
        <v>176</v>
      </c>
      <c r="CE74" s="644">
        <f t="shared" si="38"/>
        <v>0</v>
      </c>
    </row>
    <row r="75" s="338" customFormat="1" ht="40" customHeight="1" spans="1:83">
      <c r="A75" s="632">
        <v>45618</v>
      </c>
      <c r="B75" s="633" t="s">
        <v>194</v>
      </c>
      <c r="C75" s="634" t="s">
        <v>144</v>
      </c>
      <c r="D75" s="635">
        <v>4500150125</v>
      </c>
      <c r="E75" s="659" t="s">
        <v>537</v>
      </c>
      <c r="F75" s="636" t="s">
        <v>538</v>
      </c>
      <c r="G75" s="637" t="s">
        <v>98</v>
      </c>
      <c r="H75" s="637" t="s">
        <v>99</v>
      </c>
      <c r="I75" s="638">
        <v>1008</v>
      </c>
      <c r="J75" s="638">
        <v>0</v>
      </c>
      <c r="K75" s="639">
        <v>24</v>
      </c>
      <c r="L75" s="639">
        <f t="shared" si="22"/>
        <v>42</v>
      </c>
      <c r="M75" s="641">
        <v>45709</v>
      </c>
      <c r="N75" s="641">
        <v>45705</v>
      </c>
      <c r="O75" s="641"/>
      <c r="P75" s="642" t="s">
        <v>100</v>
      </c>
      <c r="Q75" s="643"/>
      <c r="R75" s="642" t="s">
        <v>539</v>
      </c>
      <c r="S75" s="642"/>
      <c r="T75" s="642"/>
      <c r="U75" s="642" t="s">
        <v>200</v>
      </c>
      <c r="V75" s="677"/>
      <c r="W75" s="646"/>
      <c r="X75" s="647" t="s">
        <v>540</v>
      </c>
      <c r="Y75" s="646" t="s">
        <v>202</v>
      </c>
      <c r="Z75" s="648">
        <v>2.5816</v>
      </c>
      <c r="AA75" s="650">
        <f t="shared" si="27"/>
        <v>2602.2528</v>
      </c>
      <c r="AB75" s="649">
        <v>1008</v>
      </c>
      <c r="AC75" s="649">
        <f t="shared" si="34"/>
        <v>0</v>
      </c>
      <c r="AD75" s="650" t="s">
        <v>106</v>
      </c>
      <c r="AE75" s="637" t="s">
        <v>98</v>
      </c>
      <c r="AF75" s="646" t="s">
        <v>107</v>
      </c>
      <c r="AG75" s="652" t="s">
        <v>43</v>
      </c>
      <c r="AH75" s="646" t="s">
        <v>541</v>
      </c>
      <c r="AI75" s="664"/>
      <c r="AJ75" s="664"/>
      <c r="AK75" s="664"/>
      <c r="AL75" s="652">
        <f>I75</f>
        <v>1008</v>
      </c>
      <c r="AM75" s="652"/>
      <c r="AN75" s="664"/>
      <c r="AO75" s="649"/>
      <c r="AP75" s="649"/>
      <c r="AQ75" s="653"/>
      <c r="AR75" s="664"/>
      <c r="AS75" s="664"/>
      <c r="AT75" s="652">
        <f t="shared" si="41"/>
        <v>1008</v>
      </c>
      <c r="AU75" s="649"/>
      <c r="AV75" s="654"/>
      <c r="AW75" s="665"/>
      <c r="AX75" s="652"/>
      <c r="AY75" s="652"/>
      <c r="AZ75" s="665"/>
      <c r="BA75" s="654"/>
      <c r="BB75" s="654"/>
      <c r="BC75" s="665"/>
      <c r="BD75" s="665"/>
      <c r="BE75" s="654"/>
      <c r="BF75" s="665"/>
      <c r="BG75" s="654"/>
      <c r="BH75" s="654"/>
      <c r="BI75" s="665"/>
      <c r="BJ75" s="665"/>
      <c r="BK75" s="654"/>
      <c r="BL75" s="654"/>
      <c r="BM75" s="654"/>
      <c r="BN75" s="654"/>
      <c r="BO75" s="654"/>
      <c r="BP75" s="665"/>
      <c r="BQ75" s="654"/>
      <c r="BR75" s="665"/>
      <c r="BS75" s="654"/>
      <c r="BT75" s="654"/>
      <c r="BU75" s="654"/>
      <c r="BV75" s="654"/>
      <c r="BW75" s="645" t="s">
        <v>109</v>
      </c>
      <c r="BX75" s="658">
        <f>I75/4</f>
        <v>252</v>
      </c>
      <c r="BY75" s="658">
        <f>I75/4</f>
        <v>252</v>
      </c>
      <c r="BZ75" s="658">
        <f>I75/4</f>
        <v>252</v>
      </c>
      <c r="CA75" s="658">
        <f>I75/4</f>
        <v>252</v>
      </c>
      <c r="CB75" s="644">
        <f t="shared" si="40"/>
        <v>1008</v>
      </c>
      <c r="CC75" s="644"/>
      <c r="CD75" s="644">
        <f t="shared" si="33"/>
        <v>1008</v>
      </c>
      <c r="CE75" s="644">
        <f t="shared" si="38"/>
        <v>0</v>
      </c>
    </row>
    <row r="76" s="338" customFormat="1" ht="40" customHeight="1" spans="1:83">
      <c r="A76" s="632">
        <v>45656</v>
      </c>
      <c r="B76" s="633" t="s">
        <v>177</v>
      </c>
      <c r="C76" s="634" t="s">
        <v>178</v>
      </c>
      <c r="D76" s="635">
        <v>4500154964</v>
      </c>
      <c r="E76" s="659" t="s">
        <v>542</v>
      </c>
      <c r="F76" s="636" t="s">
        <v>543</v>
      </c>
      <c r="G76" s="637" t="s">
        <v>132</v>
      </c>
      <c r="H76" s="637" t="s">
        <v>99</v>
      </c>
      <c r="I76" s="638">
        <v>24</v>
      </c>
      <c r="J76" s="638">
        <v>0</v>
      </c>
      <c r="K76" s="639">
        <v>24</v>
      </c>
      <c r="L76" s="639">
        <f t="shared" si="22"/>
        <v>1</v>
      </c>
      <c r="M76" s="641">
        <v>45712</v>
      </c>
      <c r="N76" s="641">
        <v>45708</v>
      </c>
      <c r="O76" s="641"/>
      <c r="P76" s="642" t="s">
        <v>100</v>
      </c>
      <c r="Q76" s="643" t="s">
        <v>544</v>
      </c>
      <c r="R76" s="642" t="s">
        <v>545</v>
      </c>
      <c r="S76" s="641"/>
      <c r="T76" s="641"/>
      <c r="U76" s="642" t="s">
        <v>493</v>
      </c>
      <c r="V76" s="677" t="s">
        <v>546</v>
      </c>
      <c r="W76" s="645"/>
      <c r="X76" s="647" t="s">
        <v>547</v>
      </c>
      <c r="Y76" s="646" t="s">
        <v>185</v>
      </c>
      <c r="Z76" s="648">
        <v>2.6514</v>
      </c>
      <c r="AA76" s="650">
        <f t="shared" si="27"/>
        <v>63.6336</v>
      </c>
      <c r="AB76" s="649">
        <v>24</v>
      </c>
      <c r="AC76" s="649">
        <f t="shared" si="34"/>
        <v>0</v>
      </c>
      <c r="AD76" s="650" t="s">
        <v>106</v>
      </c>
      <c r="AE76" s="637" t="s">
        <v>193</v>
      </c>
      <c r="AF76" s="646" t="s">
        <v>107</v>
      </c>
      <c r="AG76" s="652" t="s">
        <v>43</v>
      </c>
      <c r="AH76" s="646" t="s">
        <v>548</v>
      </c>
      <c r="AI76" s="664"/>
      <c r="AJ76" s="664"/>
      <c r="AK76" s="664"/>
      <c r="AL76" s="649"/>
      <c r="AM76" s="649"/>
      <c r="AN76" s="664"/>
      <c r="AO76" s="649">
        <f>I76</f>
        <v>24</v>
      </c>
      <c r="AP76" s="649"/>
      <c r="AQ76" s="653"/>
      <c r="AR76" s="664"/>
      <c r="AS76" s="664"/>
      <c r="AT76" s="652">
        <f t="shared" si="41"/>
        <v>24</v>
      </c>
      <c r="AU76" s="649"/>
      <c r="AV76" s="654"/>
      <c r="AW76" s="665"/>
      <c r="AX76" s="652"/>
      <c r="AY76" s="652"/>
      <c r="AZ76" s="665"/>
      <c r="BA76" s="652"/>
      <c r="BB76" s="652"/>
      <c r="BC76" s="665"/>
      <c r="BD76" s="665"/>
      <c r="BE76" s="654"/>
      <c r="BF76" s="665"/>
      <c r="BG76" s="652"/>
      <c r="BH76" s="652"/>
      <c r="BI76" s="665"/>
      <c r="BJ76" s="665"/>
      <c r="BK76" s="654"/>
      <c r="BL76" s="654"/>
      <c r="BM76" s="654"/>
      <c r="BN76" s="654"/>
      <c r="BO76" s="654"/>
      <c r="BP76" s="665"/>
      <c r="BQ76" s="654"/>
      <c r="BR76" s="665"/>
      <c r="BS76" s="654"/>
      <c r="BT76" s="654"/>
      <c r="BU76" s="654"/>
      <c r="BV76" s="654"/>
      <c r="BW76" s="645" t="s">
        <v>109</v>
      </c>
      <c r="BX76" s="658">
        <f>I76</f>
        <v>24</v>
      </c>
      <c r="BY76" s="658"/>
      <c r="BZ76" s="658"/>
      <c r="CA76" s="658"/>
      <c r="CB76" s="644">
        <f t="shared" si="40"/>
        <v>24</v>
      </c>
      <c r="CC76" s="658"/>
      <c r="CD76" s="644">
        <f t="shared" si="33"/>
        <v>24</v>
      </c>
      <c r="CE76" s="644">
        <f t="shared" si="38"/>
        <v>0</v>
      </c>
    </row>
    <row r="77" s="338" customFormat="1" ht="40" customHeight="1" spans="1:83">
      <c r="A77" s="632">
        <v>45656</v>
      </c>
      <c r="B77" s="633" t="s">
        <v>177</v>
      </c>
      <c r="C77" s="634" t="s">
        <v>178</v>
      </c>
      <c r="D77" s="635">
        <v>4500154964</v>
      </c>
      <c r="E77" s="659" t="s">
        <v>549</v>
      </c>
      <c r="F77" s="636" t="s">
        <v>550</v>
      </c>
      <c r="G77" s="637" t="s">
        <v>132</v>
      </c>
      <c r="H77" s="637" t="s">
        <v>99</v>
      </c>
      <c r="I77" s="638">
        <v>24</v>
      </c>
      <c r="J77" s="638">
        <v>0</v>
      </c>
      <c r="K77" s="639">
        <v>24</v>
      </c>
      <c r="L77" s="639">
        <f t="shared" si="22"/>
        <v>1</v>
      </c>
      <c r="M77" s="641">
        <v>45712</v>
      </c>
      <c r="N77" s="641">
        <v>45708</v>
      </c>
      <c r="O77" s="641"/>
      <c r="P77" s="642" t="s">
        <v>100</v>
      </c>
      <c r="Q77" s="643" t="s">
        <v>544</v>
      </c>
      <c r="R77" s="642" t="s">
        <v>545</v>
      </c>
      <c r="S77" s="641"/>
      <c r="T77" s="641"/>
      <c r="U77" s="642" t="s">
        <v>493</v>
      </c>
      <c r="V77" s="677" t="s">
        <v>546</v>
      </c>
      <c r="W77" s="645"/>
      <c r="X77" s="647" t="s">
        <v>547</v>
      </c>
      <c r="Y77" s="646" t="s">
        <v>185</v>
      </c>
      <c r="Z77" s="648">
        <v>2.5695</v>
      </c>
      <c r="AA77" s="650">
        <f t="shared" si="27"/>
        <v>61.668</v>
      </c>
      <c r="AB77" s="649">
        <v>24</v>
      </c>
      <c r="AC77" s="649">
        <f t="shared" si="34"/>
        <v>0</v>
      </c>
      <c r="AD77" s="650" t="s">
        <v>106</v>
      </c>
      <c r="AE77" s="637" t="s">
        <v>193</v>
      </c>
      <c r="AF77" s="646" t="s">
        <v>107</v>
      </c>
      <c r="AG77" s="652" t="s">
        <v>43</v>
      </c>
      <c r="AH77" s="646" t="s">
        <v>548</v>
      </c>
      <c r="AI77" s="664"/>
      <c r="AJ77" s="664"/>
      <c r="AK77" s="664"/>
      <c r="AL77" s="649"/>
      <c r="AM77" s="649"/>
      <c r="AN77" s="664"/>
      <c r="AO77" s="649">
        <f>I77</f>
        <v>24</v>
      </c>
      <c r="AP77" s="649"/>
      <c r="AQ77" s="653"/>
      <c r="AR77" s="664"/>
      <c r="AS77" s="664"/>
      <c r="AT77" s="652">
        <f t="shared" si="41"/>
        <v>24</v>
      </c>
      <c r="AU77" s="649"/>
      <c r="AV77" s="654"/>
      <c r="AW77" s="665"/>
      <c r="AX77" s="652"/>
      <c r="AY77" s="652"/>
      <c r="AZ77" s="665"/>
      <c r="BA77" s="652"/>
      <c r="BB77" s="652"/>
      <c r="BC77" s="665"/>
      <c r="BD77" s="665"/>
      <c r="BE77" s="654"/>
      <c r="BF77" s="665"/>
      <c r="BG77" s="652"/>
      <c r="BH77" s="652"/>
      <c r="BI77" s="665"/>
      <c r="BJ77" s="665"/>
      <c r="BK77" s="654"/>
      <c r="BL77" s="654"/>
      <c r="BM77" s="654"/>
      <c r="BN77" s="654"/>
      <c r="BO77" s="654"/>
      <c r="BP77" s="665"/>
      <c r="BQ77" s="654"/>
      <c r="BR77" s="665"/>
      <c r="BS77" s="654"/>
      <c r="BT77" s="654"/>
      <c r="BU77" s="654"/>
      <c r="BV77" s="654"/>
      <c r="BW77" s="645" t="s">
        <v>109</v>
      </c>
      <c r="BX77" s="658">
        <f>I77</f>
        <v>24</v>
      </c>
      <c r="BY77" s="658"/>
      <c r="BZ77" s="658"/>
      <c r="CA77" s="658"/>
      <c r="CB77" s="644">
        <f t="shared" si="40"/>
        <v>24</v>
      </c>
      <c r="CC77" s="658"/>
      <c r="CD77" s="644">
        <f t="shared" si="33"/>
        <v>24</v>
      </c>
      <c r="CE77" s="644">
        <f t="shared" si="38"/>
        <v>0</v>
      </c>
    </row>
    <row r="78" s="338" customFormat="1" ht="40" customHeight="1" spans="1:83">
      <c r="A78" s="632">
        <v>45656</v>
      </c>
      <c r="B78" s="633" t="s">
        <v>177</v>
      </c>
      <c r="C78" s="634" t="s">
        <v>178</v>
      </c>
      <c r="D78" s="635">
        <v>4500154964</v>
      </c>
      <c r="E78" s="659" t="s">
        <v>551</v>
      </c>
      <c r="F78" s="636" t="s">
        <v>552</v>
      </c>
      <c r="G78" s="637" t="s">
        <v>132</v>
      </c>
      <c r="H78" s="637" t="s">
        <v>99</v>
      </c>
      <c r="I78" s="638">
        <v>24</v>
      </c>
      <c r="J78" s="638">
        <v>0</v>
      </c>
      <c r="K78" s="639">
        <v>24</v>
      </c>
      <c r="L78" s="639">
        <f t="shared" si="22"/>
        <v>1</v>
      </c>
      <c r="M78" s="641">
        <v>45712</v>
      </c>
      <c r="N78" s="641">
        <v>45708</v>
      </c>
      <c r="O78" s="641"/>
      <c r="P78" s="642" t="s">
        <v>100</v>
      </c>
      <c r="Q78" s="643" t="s">
        <v>544</v>
      </c>
      <c r="R78" s="642" t="s">
        <v>545</v>
      </c>
      <c r="S78" s="641"/>
      <c r="T78" s="641"/>
      <c r="U78" s="642" t="s">
        <v>493</v>
      </c>
      <c r="V78" s="677" t="s">
        <v>546</v>
      </c>
      <c r="W78" s="645"/>
      <c r="X78" s="647" t="s">
        <v>547</v>
      </c>
      <c r="Y78" s="646" t="s">
        <v>185</v>
      </c>
      <c r="Z78" s="648">
        <v>2.5695</v>
      </c>
      <c r="AA78" s="650">
        <f t="shared" si="27"/>
        <v>61.668</v>
      </c>
      <c r="AB78" s="649">
        <v>24</v>
      </c>
      <c r="AC78" s="649">
        <f t="shared" si="34"/>
        <v>0</v>
      </c>
      <c r="AD78" s="650" t="s">
        <v>106</v>
      </c>
      <c r="AE78" s="637" t="s">
        <v>193</v>
      </c>
      <c r="AF78" s="646" t="s">
        <v>107</v>
      </c>
      <c r="AG78" s="652" t="s">
        <v>43</v>
      </c>
      <c r="AH78" s="646" t="s">
        <v>548</v>
      </c>
      <c r="AI78" s="664"/>
      <c r="AJ78" s="664"/>
      <c r="AK78" s="664"/>
      <c r="AL78" s="649"/>
      <c r="AM78" s="649"/>
      <c r="AN78" s="664"/>
      <c r="AO78" s="649">
        <f>I78</f>
        <v>24</v>
      </c>
      <c r="AP78" s="649"/>
      <c r="AQ78" s="653"/>
      <c r="AR78" s="664"/>
      <c r="AS78" s="664"/>
      <c r="AT78" s="652">
        <f t="shared" ref="AT78:AT85" si="42">I78</f>
        <v>24</v>
      </c>
      <c r="AU78" s="649"/>
      <c r="AV78" s="654"/>
      <c r="AW78" s="665"/>
      <c r="AX78" s="652"/>
      <c r="AY78" s="652"/>
      <c r="AZ78" s="665"/>
      <c r="BA78" s="652"/>
      <c r="BB78" s="652"/>
      <c r="BC78" s="665"/>
      <c r="BD78" s="665"/>
      <c r="BE78" s="654"/>
      <c r="BF78" s="665"/>
      <c r="BG78" s="652"/>
      <c r="BH78" s="652"/>
      <c r="BI78" s="665"/>
      <c r="BJ78" s="665"/>
      <c r="BK78" s="654"/>
      <c r="BL78" s="654"/>
      <c r="BM78" s="654"/>
      <c r="BN78" s="654"/>
      <c r="BO78" s="654"/>
      <c r="BP78" s="665"/>
      <c r="BQ78" s="654"/>
      <c r="BR78" s="665"/>
      <c r="BS78" s="654"/>
      <c r="BT78" s="654"/>
      <c r="BU78" s="654"/>
      <c r="BV78" s="654"/>
      <c r="BW78" s="645" t="s">
        <v>109</v>
      </c>
      <c r="BX78" s="658">
        <f>I78</f>
        <v>24</v>
      </c>
      <c r="BY78" s="658"/>
      <c r="BZ78" s="658"/>
      <c r="CA78" s="658"/>
      <c r="CB78" s="644">
        <f t="shared" si="40"/>
        <v>24</v>
      </c>
      <c r="CC78" s="658"/>
      <c r="CD78" s="644">
        <f t="shared" si="33"/>
        <v>24</v>
      </c>
      <c r="CE78" s="644">
        <f t="shared" si="38"/>
        <v>0</v>
      </c>
    </row>
    <row r="79" s="338" customFormat="1" ht="40" customHeight="1" spans="1:83">
      <c r="A79" s="632">
        <v>45656</v>
      </c>
      <c r="B79" s="633" t="s">
        <v>177</v>
      </c>
      <c r="C79" s="634" t="s">
        <v>178</v>
      </c>
      <c r="D79" s="635">
        <v>4500154964</v>
      </c>
      <c r="E79" s="659" t="s">
        <v>553</v>
      </c>
      <c r="F79" s="636" t="s">
        <v>554</v>
      </c>
      <c r="G79" s="637" t="s">
        <v>132</v>
      </c>
      <c r="H79" s="637" t="s">
        <v>99</v>
      </c>
      <c r="I79" s="638">
        <v>24</v>
      </c>
      <c r="J79" s="638">
        <v>0</v>
      </c>
      <c r="K79" s="639">
        <v>24</v>
      </c>
      <c r="L79" s="639">
        <f t="shared" si="22"/>
        <v>1</v>
      </c>
      <c r="M79" s="641">
        <v>45712</v>
      </c>
      <c r="N79" s="641">
        <v>45708</v>
      </c>
      <c r="O79" s="641"/>
      <c r="P79" s="642" t="s">
        <v>100</v>
      </c>
      <c r="Q79" s="643" t="s">
        <v>544</v>
      </c>
      <c r="R79" s="642" t="s">
        <v>545</v>
      </c>
      <c r="S79" s="641"/>
      <c r="T79" s="641"/>
      <c r="U79" s="642" t="s">
        <v>493</v>
      </c>
      <c r="V79" s="677" t="s">
        <v>546</v>
      </c>
      <c r="W79" s="645"/>
      <c r="X79" s="647" t="s">
        <v>547</v>
      </c>
      <c r="Y79" s="646" t="s">
        <v>185</v>
      </c>
      <c r="Z79" s="648">
        <v>2.5695</v>
      </c>
      <c r="AA79" s="650">
        <f t="shared" si="27"/>
        <v>61.668</v>
      </c>
      <c r="AB79" s="649">
        <v>24</v>
      </c>
      <c r="AC79" s="649">
        <f t="shared" si="34"/>
        <v>0</v>
      </c>
      <c r="AD79" s="650" t="s">
        <v>106</v>
      </c>
      <c r="AE79" s="637" t="s">
        <v>193</v>
      </c>
      <c r="AF79" s="646" t="s">
        <v>107</v>
      </c>
      <c r="AG79" s="652" t="s">
        <v>43</v>
      </c>
      <c r="AH79" s="646" t="s">
        <v>548</v>
      </c>
      <c r="AI79" s="664"/>
      <c r="AJ79" s="664"/>
      <c r="AK79" s="664"/>
      <c r="AL79" s="649"/>
      <c r="AM79" s="649"/>
      <c r="AN79" s="664"/>
      <c r="AO79" s="649">
        <f>I79</f>
        <v>24</v>
      </c>
      <c r="AP79" s="649"/>
      <c r="AQ79" s="653"/>
      <c r="AR79" s="664"/>
      <c r="AS79" s="664"/>
      <c r="AT79" s="652">
        <f t="shared" si="42"/>
        <v>24</v>
      </c>
      <c r="AU79" s="649"/>
      <c r="AV79" s="654"/>
      <c r="AW79" s="665"/>
      <c r="AX79" s="652"/>
      <c r="AY79" s="652"/>
      <c r="AZ79" s="665"/>
      <c r="BA79" s="652"/>
      <c r="BB79" s="652"/>
      <c r="BC79" s="665"/>
      <c r="BD79" s="665"/>
      <c r="BE79" s="654"/>
      <c r="BF79" s="665"/>
      <c r="BG79" s="652"/>
      <c r="BH79" s="652"/>
      <c r="BI79" s="665"/>
      <c r="BJ79" s="665"/>
      <c r="BK79" s="654"/>
      <c r="BL79" s="654"/>
      <c r="BM79" s="654"/>
      <c r="BN79" s="654"/>
      <c r="BO79" s="654"/>
      <c r="BP79" s="665"/>
      <c r="BQ79" s="654"/>
      <c r="BR79" s="665"/>
      <c r="BS79" s="654"/>
      <c r="BT79" s="654"/>
      <c r="BU79" s="654"/>
      <c r="BV79" s="654"/>
      <c r="BW79" s="645" t="s">
        <v>109</v>
      </c>
      <c r="BX79" s="658">
        <f>I79</f>
        <v>24</v>
      </c>
      <c r="BY79" s="658"/>
      <c r="BZ79" s="658"/>
      <c r="CA79" s="658"/>
      <c r="CB79" s="644">
        <f t="shared" si="40"/>
        <v>24</v>
      </c>
      <c r="CC79" s="658"/>
      <c r="CD79" s="644">
        <f t="shared" si="33"/>
        <v>24</v>
      </c>
      <c r="CE79" s="644">
        <f t="shared" si="38"/>
        <v>0</v>
      </c>
    </row>
    <row r="80" s="338" customFormat="1" ht="40" customHeight="1" spans="1:83">
      <c r="A80" s="632">
        <v>45651</v>
      </c>
      <c r="B80" s="633" t="s">
        <v>555</v>
      </c>
      <c r="C80" s="634" t="s">
        <v>556</v>
      </c>
      <c r="D80" s="635">
        <v>4500154694</v>
      </c>
      <c r="E80" s="659" t="s">
        <v>557</v>
      </c>
      <c r="F80" s="636" t="s">
        <v>558</v>
      </c>
      <c r="G80" s="637" t="s">
        <v>111</v>
      </c>
      <c r="H80" s="637" t="s">
        <v>99</v>
      </c>
      <c r="I80" s="638">
        <v>1386</v>
      </c>
      <c r="J80" s="638">
        <v>0</v>
      </c>
      <c r="K80" s="639">
        <v>22</v>
      </c>
      <c r="L80" s="639">
        <f t="shared" si="22"/>
        <v>63</v>
      </c>
      <c r="M80" s="641">
        <v>45712</v>
      </c>
      <c r="N80" s="641">
        <v>45708</v>
      </c>
      <c r="O80" s="641"/>
      <c r="P80" s="642" t="s">
        <v>100</v>
      </c>
      <c r="Q80" s="643" t="s">
        <v>500</v>
      </c>
      <c r="R80" s="642" t="s">
        <v>559</v>
      </c>
      <c r="S80" s="642"/>
      <c r="T80" s="642"/>
      <c r="U80" s="642" t="s">
        <v>560</v>
      </c>
      <c r="V80" s="677"/>
      <c r="W80" s="646"/>
      <c r="X80" s="647" t="s">
        <v>561</v>
      </c>
      <c r="Y80" s="646" t="s">
        <v>422</v>
      </c>
      <c r="Z80" s="648">
        <v>2.8038</v>
      </c>
      <c r="AA80" s="650">
        <f t="shared" si="27"/>
        <v>3886.0668</v>
      </c>
      <c r="AB80" s="649">
        <v>1386</v>
      </c>
      <c r="AC80" s="649">
        <f t="shared" si="34"/>
        <v>0</v>
      </c>
      <c r="AD80" s="650" t="s">
        <v>106</v>
      </c>
      <c r="AE80" s="661" t="s">
        <v>111</v>
      </c>
      <c r="AF80" s="646" t="s">
        <v>107</v>
      </c>
      <c r="AG80" s="652" t="s">
        <v>43</v>
      </c>
      <c r="AH80" s="646" t="s">
        <v>562</v>
      </c>
      <c r="AI80" s="651"/>
      <c r="AJ80" s="651"/>
      <c r="AK80" s="651"/>
      <c r="AL80" s="652">
        <f>I80</f>
        <v>1386</v>
      </c>
      <c r="AM80" s="652"/>
      <c r="AN80" s="651"/>
      <c r="AO80" s="649"/>
      <c r="AP80" s="649"/>
      <c r="AQ80" s="653"/>
      <c r="AR80" s="651"/>
      <c r="AS80" s="651"/>
      <c r="AT80" s="652">
        <f t="shared" si="42"/>
        <v>1386</v>
      </c>
      <c r="AU80" s="649"/>
      <c r="AV80" s="654"/>
      <c r="AW80" s="656"/>
      <c r="AX80" s="652">
        <f>I80/11</f>
        <v>126</v>
      </c>
      <c r="AY80" s="652"/>
      <c r="AZ80" s="656"/>
      <c r="BA80" s="654"/>
      <c r="BB80" s="654"/>
      <c r="BC80" s="656"/>
      <c r="BD80" s="656"/>
      <c r="BE80" s="654"/>
      <c r="BF80" s="656"/>
      <c r="BG80" s="654"/>
      <c r="BH80" s="654"/>
      <c r="BI80" s="656"/>
      <c r="BJ80" s="656"/>
      <c r="BK80" s="654"/>
      <c r="BL80" s="654"/>
      <c r="BM80" s="654"/>
      <c r="BN80" s="654"/>
      <c r="BO80" s="654"/>
      <c r="BP80" s="656"/>
      <c r="BQ80" s="654"/>
      <c r="BR80" s="656"/>
      <c r="BS80" s="654"/>
      <c r="BT80" s="654"/>
      <c r="BU80" s="654"/>
      <c r="BV80" s="654"/>
      <c r="BW80" s="645" t="s">
        <v>109</v>
      </c>
      <c r="BX80" s="658">
        <f>I80/22*5</f>
        <v>315</v>
      </c>
      <c r="BY80" s="658">
        <f>I80/22*6</f>
        <v>378</v>
      </c>
      <c r="BZ80" s="658">
        <f>I80/22*6</f>
        <v>378</v>
      </c>
      <c r="CA80" s="658">
        <f>I80/22*5</f>
        <v>315</v>
      </c>
      <c r="CB80" s="644">
        <f t="shared" si="40"/>
        <v>1386</v>
      </c>
      <c r="CC80" s="658">
        <f>I80/11</f>
        <v>126</v>
      </c>
      <c r="CD80" s="644">
        <f t="shared" si="33"/>
        <v>1386</v>
      </c>
      <c r="CE80" s="644">
        <f t="shared" si="38"/>
        <v>0</v>
      </c>
    </row>
    <row r="81" s="338" customFormat="1" ht="40" customHeight="1" spans="1:83">
      <c r="A81" s="632">
        <v>45608</v>
      </c>
      <c r="B81" s="659" t="s">
        <v>563</v>
      </c>
      <c r="C81" s="634" t="s">
        <v>564</v>
      </c>
      <c r="D81" s="678">
        <v>4500150411</v>
      </c>
      <c r="E81" s="659" t="s">
        <v>565</v>
      </c>
      <c r="F81" s="636" t="s">
        <v>566</v>
      </c>
      <c r="G81" s="637" t="s">
        <v>567</v>
      </c>
      <c r="H81" s="637" t="s">
        <v>99</v>
      </c>
      <c r="I81" s="638">
        <v>2520</v>
      </c>
      <c r="J81" s="638">
        <v>7</v>
      </c>
      <c r="K81" s="639">
        <v>28</v>
      </c>
      <c r="L81" s="639">
        <f t="shared" si="22"/>
        <v>90</v>
      </c>
      <c r="M81" s="641">
        <v>45713</v>
      </c>
      <c r="N81" s="641">
        <v>45709</v>
      </c>
      <c r="O81" s="639"/>
      <c r="P81" s="642" t="s">
        <v>100</v>
      </c>
      <c r="Q81" s="643"/>
      <c r="R81" s="644" t="s">
        <v>568</v>
      </c>
      <c r="S81" s="642"/>
      <c r="T81" s="642"/>
      <c r="U81" s="644" t="s">
        <v>569</v>
      </c>
      <c r="V81" s="645"/>
      <c r="W81" s="645"/>
      <c r="X81" s="647" t="s">
        <v>570</v>
      </c>
      <c r="Y81" s="646" t="s">
        <v>370</v>
      </c>
      <c r="Z81" s="648">
        <v>2.8346</v>
      </c>
      <c r="AA81" s="650">
        <f t="shared" si="27"/>
        <v>7143.192</v>
      </c>
      <c r="AB81" s="649">
        <v>2520</v>
      </c>
      <c r="AC81" s="649">
        <f t="shared" si="34"/>
        <v>0</v>
      </c>
      <c r="AD81" s="650" t="s">
        <v>106</v>
      </c>
      <c r="AE81" s="637" t="s">
        <v>567</v>
      </c>
      <c r="AF81" s="646" t="s">
        <v>107</v>
      </c>
      <c r="AG81" s="652" t="s">
        <v>43</v>
      </c>
      <c r="AH81" s="646" t="s">
        <v>571</v>
      </c>
      <c r="AI81" s="651"/>
      <c r="AJ81" s="651"/>
      <c r="AK81" s="651"/>
      <c r="AL81" s="652">
        <f>I81</f>
        <v>2520</v>
      </c>
      <c r="AM81" s="652"/>
      <c r="AN81" s="651"/>
      <c r="AO81" s="652"/>
      <c r="AP81" s="652"/>
      <c r="AQ81" s="654"/>
      <c r="AR81" s="651"/>
      <c r="AS81" s="651"/>
      <c r="AT81" s="652">
        <f t="shared" si="42"/>
        <v>2520</v>
      </c>
      <c r="AU81" s="649"/>
      <c r="AV81" s="654"/>
      <c r="AW81" s="651"/>
      <c r="AX81" s="652"/>
      <c r="AY81" s="652"/>
      <c r="AZ81" s="656"/>
      <c r="BA81" s="654"/>
      <c r="BB81" s="654"/>
      <c r="BC81" s="656"/>
      <c r="BD81" s="656"/>
      <c r="BE81" s="658"/>
      <c r="BF81" s="656"/>
      <c r="BG81" s="652">
        <f>I81/7</f>
        <v>360</v>
      </c>
      <c r="BH81" s="652"/>
      <c r="BI81" s="656"/>
      <c r="BJ81" s="656"/>
      <c r="BK81" s="644"/>
      <c r="BL81" s="644"/>
      <c r="BM81" s="644"/>
      <c r="BN81" s="644"/>
      <c r="BO81" s="644"/>
      <c r="BP81" s="656"/>
      <c r="BQ81" s="679"/>
      <c r="BR81" s="656"/>
      <c r="BS81" s="679"/>
      <c r="BT81" s="679"/>
      <c r="BU81" s="679"/>
      <c r="BV81" s="679"/>
      <c r="BW81" s="645" t="s">
        <v>109</v>
      </c>
      <c r="BX81" s="658">
        <f>I81/4</f>
        <v>630</v>
      </c>
      <c r="BY81" s="658">
        <f>I81/4</f>
        <v>630</v>
      </c>
      <c r="BZ81" s="658">
        <f>I81/4</f>
        <v>630</v>
      </c>
      <c r="CA81" s="658">
        <f>I81/4</f>
        <v>630</v>
      </c>
      <c r="CB81" s="644">
        <f t="shared" si="40"/>
        <v>2520</v>
      </c>
      <c r="CC81" s="658">
        <f>I81/11</f>
        <v>229.090909090909</v>
      </c>
      <c r="CD81" s="644">
        <f t="shared" si="33"/>
        <v>2520</v>
      </c>
      <c r="CE81" s="644">
        <f t="shared" si="38"/>
        <v>0</v>
      </c>
    </row>
    <row r="82" s="338" customFormat="1" ht="40" customHeight="1" spans="1:83">
      <c r="A82" s="632">
        <v>45577</v>
      </c>
      <c r="B82" s="633" t="s">
        <v>572</v>
      </c>
      <c r="C82" s="634" t="s">
        <v>380</v>
      </c>
      <c r="D82" s="635">
        <v>4500147426</v>
      </c>
      <c r="E82" s="659">
        <v>14067124</v>
      </c>
      <c r="F82" s="636" t="s">
        <v>573</v>
      </c>
      <c r="G82" s="637" t="s">
        <v>574</v>
      </c>
      <c r="H82" s="637" t="s">
        <v>99</v>
      </c>
      <c r="I82" s="638">
        <v>4004</v>
      </c>
      <c r="J82" s="638">
        <v>11</v>
      </c>
      <c r="K82" s="639">
        <v>44</v>
      </c>
      <c r="L82" s="639">
        <f t="shared" si="22"/>
        <v>91</v>
      </c>
      <c r="M82" s="641">
        <v>45715</v>
      </c>
      <c r="N82" s="641">
        <v>45712</v>
      </c>
      <c r="O82" s="641"/>
      <c r="P82" s="642" t="s">
        <v>100</v>
      </c>
      <c r="Q82" s="643" t="s">
        <v>575</v>
      </c>
      <c r="R82" s="642" t="s">
        <v>576</v>
      </c>
      <c r="S82" s="642"/>
      <c r="T82" s="642"/>
      <c r="U82" s="642" t="s">
        <v>113</v>
      </c>
      <c r="V82" s="677"/>
      <c r="W82" s="646"/>
      <c r="X82" s="647" t="s">
        <v>577</v>
      </c>
      <c r="Y82" s="646" t="s">
        <v>578</v>
      </c>
      <c r="Z82" s="648">
        <v>2.83</v>
      </c>
      <c r="AA82" s="650">
        <f t="shared" si="27"/>
        <v>11331.32</v>
      </c>
      <c r="AB82" s="649">
        <v>4004</v>
      </c>
      <c r="AC82" s="649">
        <f t="shared" si="34"/>
        <v>0</v>
      </c>
      <c r="AD82" s="650" t="s">
        <v>113</v>
      </c>
      <c r="AE82" s="637" t="s">
        <v>574</v>
      </c>
      <c r="AF82" s="646" t="s">
        <v>107</v>
      </c>
      <c r="AG82" s="652" t="s">
        <v>43</v>
      </c>
      <c r="AH82" s="646" t="s">
        <v>579</v>
      </c>
      <c r="AI82" s="651"/>
      <c r="AJ82" s="651"/>
      <c r="AK82" s="651"/>
      <c r="AL82" s="652">
        <f>I82</f>
        <v>4004</v>
      </c>
      <c r="AM82" s="652"/>
      <c r="AN82" s="651"/>
      <c r="AO82" s="649"/>
      <c r="AP82" s="649"/>
      <c r="AQ82" s="653"/>
      <c r="AR82" s="651"/>
      <c r="AS82" s="651"/>
      <c r="AT82" s="652">
        <f t="shared" si="42"/>
        <v>4004</v>
      </c>
      <c r="AU82" s="649"/>
      <c r="AV82" s="654"/>
      <c r="AW82" s="656"/>
      <c r="AX82" s="652">
        <f>I82/11</f>
        <v>364</v>
      </c>
      <c r="AY82" s="652"/>
      <c r="AZ82" s="656"/>
      <c r="BA82" s="654"/>
      <c r="BB82" s="654"/>
      <c r="BC82" s="656"/>
      <c r="BD82" s="656"/>
      <c r="BE82" s="654"/>
      <c r="BF82" s="656"/>
      <c r="BG82" s="654"/>
      <c r="BH82" s="654"/>
      <c r="BI82" s="656"/>
      <c r="BJ82" s="656"/>
      <c r="BK82" s="654"/>
      <c r="BL82" s="654"/>
      <c r="BM82" s="654"/>
      <c r="BN82" s="654"/>
      <c r="BO82" s="654"/>
      <c r="BP82" s="656"/>
      <c r="BQ82" s="654"/>
      <c r="BR82" s="656"/>
      <c r="BS82" s="654"/>
      <c r="BT82" s="654"/>
      <c r="BU82" s="654"/>
      <c r="BV82" s="654"/>
      <c r="BW82" s="645" t="s">
        <v>109</v>
      </c>
      <c r="BX82" s="658">
        <f>I82/22*5</f>
        <v>910</v>
      </c>
      <c r="BY82" s="658">
        <f>I82/22*6</f>
        <v>1092</v>
      </c>
      <c r="BZ82" s="658">
        <f>I82/22*6</f>
        <v>1092</v>
      </c>
      <c r="CA82" s="658">
        <f>I82/22*5</f>
        <v>910</v>
      </c>
      <c r="CB82" s="644">
        <f t="shared" si="40"/>
        <v>4004</v>
      </c>
      <c r="CC82" s="658">
        <f>I82/11</f>
        <v>364</v>
      </c>
      <c r="CD82" s="644">
        <f t="shared" si="33"/>
        <v>4004</v>
      </c>
      <c r="CE82" s="644">
        <f t="shared" si="38"/>
        <v>0</v>
      </c>
    </row>
    <row r="83" s="338" customFormat="1" ht="40" customHeight="1" spans="1:83">
      <c r="A83" s="632">
        <v>45652</v>
      </c>
      <c r="B83" s="633" t="s">
        <v>379</v>
      </c>
      <c r="C83" s="634" t="s">
        <v>144</v>
      </c>
      <c r="D83" s="635">
        <v>4500154803</v>
      </c>
      <c r="E83" s="659" t="s">
        <v>580</v>
      </c>
      <c r="F83" s="636" t="s">
        <v>581</v>
      </c>
      <c r="G83" s="637" t="s">
        <v>582</v>
      </c>
      <c r="H83" s="637" t="s">
        <v>384</v>
      </c>
      <c r="I83" s="638">
        <v>504</v>
      </c>
      <c r="J83" s="638">
        <v>0</v>
      </c>
      <c r="K83" s="639">
        <v>24</v>
      </c>
      <c r="L83" s="639">
        <f t="shared" si="22"/>
        <v>21</v>
      </c>
      <c r="M83" s="641">
        <v>45716</v>
      </c>
      <c r="N83" s="641">
        <v>45712</v>
      </c>
      <c r="O83" s="641"/>
      <c r="P83" s="642" t="s">
        <v>100</v>
      </c>
      <c r="Q83" s="643" t="s">
        <v>583</v>
      </c>
      <c r="R83" s="642" t="s">
        <v>478</v>
      </c>
      <c r="S83" s="642"/>
      <c r="T83" s="642"/>
      <c r="U83" s="642" t="s">
        <v>479</v>
      </c>
      <c r="V83" s="677" t="s">
        <v>584</v>
      </c>
      <c r="W83" s="646"/>
      <c r="X83" s="647" t="s">
        <v>585</v>
      </c>
      <c r="Y83" s="646" t="s">
        <v>175</v>
      </c>
      <c r="Z83" s="648">
        <v>2.4196</v>
      </c>
      <c r="AA83" s="650">
        <f t="shared" si="27"/>
        <v>1219.4784</v>
      </c>
      <c r="AB83" s="649">
        <v>504</v>
      </c>
      <c r="AC83" s="649">
        <f t="shared" si="34"/>
        <v>0</v>
      </c>
      <c r="AD83" s="650" t="s">
        <v>106</v>
      </c>
      <c r="AE83" s="661" t="s">
        <v>190</v>
      </c>
      <c r="AF83" s="646" t="s">
        <v>107</v>
      </c>
      <c r="AG83" s="652" t="s">
        <v>43</v>
      </c>
      <c r="AH83" s="646" t="s">
        <v>586</v>
      </c>
      <c r="AI83" s="649"/>
      <c r="AJ83" s="649"/>
      <c r="AK83" s="649"/>
      <c r="AL83" s="649"/>
      <c r="AM83" s="649"/>
      <c r="AN83" s="649"/>
      <c r="AO83" s="649">
        <f>I83</f>
        <v>504</v>
      </c>
      <c r="AP83" s="649"/>
      <c r="AQ83" s="653"/>
      <c r="AR83" s="649"/>
      <c r="AS83" s="649"/>
      <c r="AT83" s="652">
        <f t="shared" si="42"/>
        <v>504</v>
      </c>
      <c r="AU83" s="649"/>
      <c r="AV83" s="654"/>
      <c r="AW83" s="654"/>
      <c r="AX83" s="652"/>
      <c r="AY83" s="652"/>
      <c r="AZ83" s="654"/>
      <c r="BA83" s="654"/>
      <c r="BB83" s="654"/>
      <c r="BC83" s="654"/>
      <c r="BD83" s="654"/>
      <c r="BE83" s="654"/>
      <c r="BF83" s="654"/>
      <c r="BG83" s="654"/>
      <c r="BH83" s="654"/>
      <c r="BI83" s="654"/>
      <c r="BJ83" s="654"/>
      <c r="BK83" s="654"/>
      <c r="BL83" s="654"/>
      <c r="BM83" s="654"/>
      <c r="BN83" s="654"/>
      <c r="BO83" s="654"/>
      <c r="BP83" s="654"/>
      <c r="BQ83" s="654"/>
      <c r="BR83" s="654"/>
      <c r="BS83" s="654"/>
      <c r="BT83" s="654"/>
      <c r="BU83" s="654"/>
      <c r="BV83" s="654"/>
      <c r="BW83" s="645" t="s">
        <v>109</v>
      </c>
      <c r="BX83" s="658"/>
      <c r="BY83" s="658"/>
      <c r="BZ83" s="658"/>
      <c r="CA83" s="658">
        <f>I83</f>
        <v>504</v>
      </c>
      <c r="CB83" s="644">
        <f t="shared" si="40"/>
        <v>504</v>
      </c>
      <c r="CC83" s="644"/>
      <c r="CD83" s="644">
        <f t="shared" si="33"/>
        <v>504</v>
      </c>
      <c r="CE83" s="644">
        <f t="shared" si="38"/>
        <v>0</v>
      </c>
    </row>
    <row r="84" s="338" customFormat="1" ht="40" customHeight="1" spans="1:83">
      <c r="A84" s="632">
        <v>45652</v>
      </c>
      <c r="B84" s="633" t="s">
        <v>379</v>
      </c>
      <c r="C84" s="634" t="s">
        <v>144</v>
      </c>
      <c r="D84" s="635">
        <v>4500154803</v>
      </c>
      <c r="E84" s="659" t="s">
        <v>587</v>
      </c>
      <c r="F84" s="636" t="s">
        <v>588</v>
      </c>
      <c r="G84" s="637" t="s">
        <v>582</v>
      </c>
      <c r="H84" s="637" t="s">
        <v>384</v>
      </c>
      <c r="I84" s="638">
        <v>504</v>
      </c>
      <c r="J84" s="638">
        <v>0</v>
      </c>
      <c r="K84" s="639">
        <v>24</v>
      </c>
      <c r="L84" s="639">
        <f t="shared" si="22"/>
        <v>21</v>
      </c>
      <c r="M84" s="641">
        <v>45716</v>
      </c>
      <c r="N84" s="641">
        <v>45712</v>
      </c>
      <c r="O84" s="641"/>
      <c r="P84" s="642" t="s">
        <v>100</v>
      </c>
      <c r="Q84" s="643" t="s">
        <v>583</v>
      </c>
      <c r="R84" s="642" t="s">
        <v>478</v>
      </c>
      <c r="S84" s="642"/>
      <c r="T84" s="642"/>
      <c r="U84" s="642" t="s">
        <v>479</v>
      </c>
      <c r="V84" s="677" t="s">
        <v>584</v>
      </c>
      <c r="W84" s="646"/>
      <c r="X84" s="647" t="s">
        <v>585</v>
      </c>
      <c r="Y84" s="646" t="s">
        <v>175</v>
      </c>
      <c r="Z84" s="648">
        <v>2.4196</v>
      </c>
      <c r="AA84" s="650">
        <f t="shared" si="27"/>
        <v>1219.4784</v>
      </c>
      <c r="AB84" s="649">
        <v>504</v>
      </c>
      <c r="AC84" s="649">
        <f t="shared" si="34"/>
        <v>0</v>
      </c>
      <c r="AD84" s="650" t="s">
        <v>106</v>
      </c>
      <c r="AE84" s="661" t="s">
        <v>190</v>
      </c>
      <c r="AF84" s="646" t="s">
        <v>107</v>
      </c>
      <c r="AG84" s="652" t="s">
        <v>43</v>
      </c>
      <c r="AH84" s="646" t="s">
        <v>586</v>
      </c>
      <c r="AI84" s="649"/>
      <c r="AJ84" s="649"/>
      <c r="AK84" s="649"/>
      <c r="AL84" s="649"/>
      <c r="AM84" s="649"/>
      <c r="AN84" s="649"/>
      <c r="AO84" s="649">
        <f>I84</f>
        <v>504</v>
      </c>
      <c r="AP84" s="649"/>
      <c r="AQ84" s="653"/>
      <c r="AR84" s="649"/>
      <c r="AS84" s="649"/>
      <c r="AT84" s="652">
        <f t="shared" si="42"/>
        <v>504</v>
      </c>
      <c r="AU84" s="649"/>
      <c r="AV84" s="654"/>
      <c r="AW84" s="654"/>
      <c r="AX84" s="652"/>
      <c r="AY84" s="652"/>
      <c r="AZ84" s="654"/>
      <c r="BA84" s="654"/>
      <c r="BB84" s="654"/>
      <c r="BC84" s="654"/>
      <c r="BD84" s="654"/>
      <c r="BE84" s="654"/>
      <c r="BF84" s="654"/>
      <c r="BG84" s="654"/>
      <c r="BH84" s="654"/>
      <c r="BI84" s="654"/>
      <c r="BJ84" s="654"/>
      <c r="BK84" s="654"/>
      <c r="BL84" s="654"/>
      <c r="BM84" s="654"/>
      <c r="BN84" s="654"/>
      <c r="BO84" s="654"/>
      <c r="BP84" s="654"/>
      <c r="BQ84" s="654"/>
      <c r="BR84" s="654"/>
      <c r="BS84" s="654"/>
      <c r="BT84" s="654"/>
      <c r="BU84" s="654"/>
      <c r="BV84" s="654"/>
      <c r="BW84" s="645" t="s">
        <v>109</v>
      </c>
      <c r="BX84" s="658"/>
      <c r="BY84" s="658"/>
      <c r="BZ84" s="658"/>
      <c r="CA84" s="658">
        <f>I84</f>
        <v>504</v>
      </c>
      <c r="CB84" s="644">
        <f t="shared" si="40"/>
        <v>504</v>
      </c>
      <c r="CC84" s="644"/>
      <c r="CD84" s="644">
        <f t="shared" si="33"/>
        <v>504</v>
      </c>
      <c r="CE84" s="644">
        <f t="shared" si="38"/>
        <v>0</v>
      </c>
    </row>
    <row r="85" s="338" customFormat="1" ht="40" customHeight="1" spans="1:83">
      <c r="A85" s="632">
        <v>45672</v>
      </c>
      <c r="B85" s="633" t="s">
        <v>589</v>
      </c>
      <c r="C85" s="634" t="s">
        <v>590</v>
      </c>
      <c r="D85" s="635">
        <v>4500155889</v>
      </c>
      <c r="E85" s="659">
        <v>4507867714</v>
      </c>
      <c r="F85" s="636" t="s">
        <v>591</v>
      </c>
      <c r="G85" s="637" t="s">
        <v>241</v>
      </c>
      <c r="H85" s="637" t="s">
        <v>99</v>
      </c>
      <c r="I85" s="638">
        <v>363</v>
      </c>
      <c r="J85" s="638">
        <v>0</v>
      </c>
      <c r="K85" s="639">
        <v>11</v>
      </c>
      <c r="L85" s="639">
        <f t="shared" si="22"/>
        <v>33</v>
      </c>
      <c r="M85" s="641">
        <v>45719</v>
      </c>
      <c r="N85" s="641">
        <v>45715</v>
      </c>
      <c r="O85" s="641"/>
      <c r="P85" s="642" t="s">
        <v>100</v>
      </c>
      <c r="Q85" s="643" t="s">
        <v>592</v>
      </c>
      <c r="R85" s="642" t="s">
        <v>593</v>
      </c>
      <c r="S85" s="642"/>
      <c r="T85" s="642"/>
      <c r="U85" s="642" t="s">
        <v>594</v>
      </c>
      <c r="V85" s="677"/>
      <c r="W85" s="646"/>
      <c r="X85" s="647" t="s">
        <v>595</v>
      </c>
      <c r="Y85" s="646" t="s">
        <v>596</v>
      </c>
      <c r="Z85" s="648">
        <v>2.8812</v>
      </c>
      <c r="AA85" s="650">
        <f t="shared" si="27"/>
        <v>1045.8756</v>
      </c>
      <c r="AB85" s="649">
        <v>363</v>
      </c>
      <c r="AC85" s="649">
        <f t="shared" si="34"/>
        <v>0</v>
      </c>
      <c r="AD85" s="650" t="s">
        <v>106</v>
      </c>
      <c r="AE85" s="637" t="s">
        <v>597</v>
      </c>
      <c r="AF85" s="646" t="s">
        <v>107</v>
      </c>
      <c r="AG85" s="652" t="s">
        <v>43</v>
      </c>
      <c r="AH85" s="646" t="s">
        <v>598</v>
      </c>
      <c r="AI85" s="651"/>
      <c r="AJ85" s="651"/>
      <c r="AK85" s="651"/>
      <c r="AL85" s="649"/>
      <c r="AM85" s="649"/>
      <c r="AN85" s="651"/>
      <c r="AO85" s="649">
        <f>I85</f>
        <v>363</v>
      </c>
      <c r="AP85" s="649"/>
      <c r="AQ85" s="653"/>
      <c r="AR85" s="651"/>
      <c r="AS85" s="651"/>
      <c r="AT85" s="652">
        <f t="shared" si="42"/>
        <v>363</v>
      </c>
      <c r="AU85" s="649"/>
      <c r="AV85" s="654"/>
      <c r="AW85" s="656"/>
      <c r="AX85" s="652"/>
      <c r="AY85" s="652"/>
      <c r="AZ85" s="656"/>
      <c r="BA85" s="652">
        <f>I85/11</f>
        <v>33</v>
      </c>
      <c r="BB85" s="652"/>
      <c r="BC85" s="656"/>
      <c r="BD85" s="656"/>
      <c r="BE85" s="654"/>
      <c r="BF85" s="656"/>
      <c r="BG85" s="654"/>
      <c r="BH85" s="654"/>
      <c r="BI85" s="656"/>
      <c r="BJ85" s="656"/>
      <c r="BK85" s="654"/>
      <c r="BL85" s="654"/>
      <c r="BM85" s="654"/>
      <c r="BN85" s="654"/>
      <c r="BO85" s="654"/>
      <c r="BP85" s="656"/>
      <c r="BQ85" s="654"/>
      <c r="BR85" s="656"/>
      <c r="BS85" s="654"/>
      <c r="BT85" s="654"/>
      <c r="BU85" s="654"/>
      <c r="BV85" s="654"/>
      <c r="BW85" s="645" t="s">
        <v>109</v>
      </c>
      <c r="BX85" s="658">
        <f>I85/22*5</f>
        <v>82.5</v>
      </c>
      <c r="BY85" s="658">
        <f>I85/22*6</f>
        <v>99</v>
      </c>
      <c r="BZ85" s="658">
        <f>I85/22*6</f>
        <v>99</v>
      </c>
      <c r="CA85" s="658">
        <f>I85/22*5</f>
        <v>82.5</v>
      </c>
      <c r="CB85" s="644">
        <f t="shared" si="40"/>
        <v>363</v>
      </c>
      <c r="CC85" s="675">
        <f>I85/11</f>
        <v>33</v>
      </c>
      <c r="CD85" s="675">
        <f t="shared" si="33"/>
        <v>363</v>
      </c>
      <c r="CE85" s="644">
        <f t="shared" si="38"/>
        <v>0</v>
      </c>
    </row>
    <row r="86" s="338" customFormat="1" ht="40" customHeight="1" spans="1:83">
      <c r="A86" s="632">
        <v>45671</v>
      </c>
      <c r="B86" s="633" t="s">
        <v>599</v>
      </c>
      <c r="C86" s="634" t="s">
        <v>600</v>
      </c>
      <c r="D86" s="635">
        <v>4500155860</v>
      </c>
      <c r="E86" s="659" t="s">
        <v>601</v>
      </c>
      <c r="F86" s="636" t="s">
        <v>602</v>
      </c>
      <c r="G86" s="637" t="s">
        <v>241</v>
      </c>
      <c r="H86" s="637" t="s">
        <v>99</v>
      </c>
      <c r="I86" s="638">
        <v>5060</v>
      </c>
      <c r="J86" s="638">
        <v>0</v>
      </c>
      <c r="K86" s="639">
        <v>11</v>
      </c>
      <c r="L86" s="639">
        <f t="shared" si="22"/>
        <v>460</v>
      </c>
      <c r="M86" s="641">
        <v>45719</v>
      </c>
      <c r="N86" s="641">
        <v>45715</v>
      </c>
      <c r="O86" s="641"/>
      <c r="P86" s="642" t="s">
        <v>100</v>
      </c>
      <c r="Q86" s="643" t="s">
        <v>603</v>
      </c>
      <c r="R86" s="642" t="s">
        <v>604</v>
      </c>
      <c r="S86" s="642"/>
      <c r="T86" s="642"/>
      <c r="U86" s="642" t="s">
        <v>605</v>
      </c>
      <c r="V86" s="677" t="s">
        <v>606</v>
      </c>
      <c r="W86" s="646"/>
      <c r="X86" s="647" t="s">
        <v>607</v>
      </c>
      <c r="Y86" s="646" t="s">
        <v>422</v>
      </c>
      <c r="Z86" s="648">
        <v>2.7699</v>
      </c>
      <c r="AA86" s="650">
        <f t="shared" si="27"/>
        <v>14015.694</v>
      </c>
      <c r="AB86" s="649">
        <f>5049+11</f>
        <v>5060</v>
      </c>
      <c r="AC86" s="649">
        <f t="shared" si="34"/>
        <v>0</v>
      </c>
      <c r="AD86" s="650" t="s">
        <v>106</v>
      </c>
      <c r="AE86" s="637" t="s">
        <v>608</v>
      </c>
      <c r="AF86" s="646" t="s">
        <v>107</v>
      </c>
      <c r="AG86" s="652" t="s">
        <v>43</v>
      </c>
      <c r="AH86" s="646" t="s">
        <v>609</v>
      </c>
      <c r="AI86" s="651"/>
      <c r="AJ86" s="651"/>
      <c r="AK86" s="651"/>
      <c r="AL86" s="652">
        <f>I86</f>
        <v>5060</v>
      </c>
      <c r="AM86" s="652"/>
      <c r="AN86" s="651"/>
      <c r="AO86" s="649"/>
      <c r="AP86" s="649"/>
      <c r="AQ86" s="653"/>
      <c r="AR86" s="651"/>
      <c r="AS86" s="651"/>
      <c r="AT86" s="649"/>
      <c r="AU86" s="649"/>
      <c r="AV86" s="652">
        <f>I86</f>
        <v>5060</v>
      </c>
      <c r="AW86" s="656"/>
      <c r="AX86" s="652">
        <f>I86/11</f>
        <v>460</v>
      </c>
      <c r="AY86" s="652"/>
      <c r="AZ86" s="656"/>
      <c r="BA86" s="654"/>
      <c r="BB86" s="654"/>
      <c r="BC86" s="656"/>
      <c r="BD86" s="656"/>
      <c r="BE86" s="654"/>
      <c r="BF86" s="656"/>
      <c r="BG86" s="654"/>
      <c r="BH86" s="654"/>
      <c r="BI86" s="656"/>
      <c r="BJ86" s="656"/>
      <c r="BK86" s="654"/>
      <c r="BL86" s="654"/>
      <c r="BM86" s="654"/>
      <c r="BN86" s="654"/>
      <c r="BO86" s="654"/>
      <c r="BP86" s="656"/>
      <c r="BQ86" s="654"/>
      <c r="BR86" s="656"/>
      <c r="BS86" s="654"/>
      <c r="BT86" s="654"/>
      <c r="BU86" s="654"/>
      <c r="BV86" s="654"/>
      <c r="BW86" s="645" t="s">
        <v>109</v>
      </c>
      <c r="BX86" s="658">
        <f>I86/22*5</f>
        <v>1150</v>
      </c>
      <c r="BY86" s="658">
        <f>I86/22*6</f>
        <v>1380</v>
      </c>
      <c r="BZ86" s="658">
        <f>I86/22*6</f>
        <v>1380</v>
      </c>
      <c r="CA86" s="658">
        <f>I86/22*5</f>
        <v>1150</v>
      </c>
      <c r="CB86" s="644">
        <f t="shared" si="40"/>
        <v>5060</v>
      </c>
      <c r="CC86" s="675">
        <f>I86/11</f>
        <v>460</v>
      </c>
      <c r="CD86" s="675">
        <f t="shared" si="33"/>
        <v>5060</v>
      </c>
      <c r="CE86" s="644">
        <f t="shared" si="38"/>
        <v>0</v>
      </c>
    </row>
    <row r="87" s="338" customFormat="1" ht="40" customHeight="1" spans="1:83">
      <c r="A87" s="632">
        <v>45672</v>
      </c>
      <c r="B87" s="633" t="s">
        <v>344</v>
      </c>
      <c r="C87" s="634" t="s">
        <v>345</v>
      </c>
      <c r="D87" s="635">
        <v>4500155723</v>
      </c>
      <c r="E87" s="659"/>
      <c r="F87" s="636" t="s">
        <v>610</v>
      </c>
      <c r="G87" s="637" t="s">
        <v>111</v>
      </c>
      <c r="H87" s="637" t="s">
        <v>99</v>
      </c>
      <c r="I87" s="638">
        <v>4180</v>
      </c>
      <c r="J87" s="638">
        <v>0</v>
      </c>
      <c r="K87" s="639">
        <v>22</v>
      </c>
      <c r="L87" s="639">
        <f t="shared" si="22"/>
        <v>190</v>
      </c>
      <c r="M87" s="641">
        <v>45720</v>
      </c>
      <c r="N87" s="641">
        <v>45717</v>
      </c>
      <c r="O87" s="641"/>
      <c r="P87" s="642" t="s">
        <v>100</v>
      </c>
      <c r="Q87" s="643" t="s">
        <v>611</v>
      </c>
      <c r="R87" s="642" t="s">
        <v>612</v>
      </c>
      <c r="S87" s="642"/>
      <c r="T87" s="642"/>
      <c r="U87" s="642" t="s">
        <v>613</v>
      </c>
      <c r="V87" s="677"/>
      <c r="W87" s="646"/>
      <c r="X87" s="647" t="s">
        <v>614</v>
      </c>
      <c r="Y87" s="646" t="s">
        <v>137</v>
      </c>
      <c r="Z87" s="648">
        <v>2.7927</v>
      </c>
      <c r="AA87" s="650">
        <f t="shared" si="27"/>
        <v>11673.486</v>
      </c>
      <c r="AB87" s="649">
        <v>4180</v>
      </c>
      <c r="AC87" s="649">
        <f t="shared" si="34"/>
        <v>0</v>
      </c>
      <c r="AD87" s="650" t="s">
        <v>123</v>
      </c>
      <c r="AE87" s="637" t="s">
        <v>230</v>
      </c>
      <c r="AF87" s="646" t="s">
        <v>107</v>
      </c>
      <c r="AG87" s="652" t="s">
        <v>43</v>
      </c>
      <c r="AH87" s="646" t="s">
        <v>615</v>
      </c>
      <c r="AI87" s="680"/>
      <c r="AJ87" s="680"/>
      <c r="AK87" s="680"/>
      <c r="AL87" s="649"/>
      <c r="AM87" s="649"/>
      <c r="AN87" s="680"/>
      <c r="AO87" s="649">
        <f>I87</f>
        <v>4180</v>
      </c>
      <c r="AP87" s="649"/>
      <c r="AQ87" s="653"/>
      <c r="AR87" s="680"/>
      <c r="AS87" s="680"/>
      <c r="AT87" s="652">
        <f t="shared" ref="AT87:AT94" si="43">I87</f>
        <v>4180</v>
      </c>
      <c r="AU87" s="649"/>
      <c r="AV87" s="652"/>
      <c r="AW87" s="681"/>
      <c r="AX87" s="652"/>
      <c r="AY87" s="652"/>
      <c r="AZ87" s="681"/>
      <c r="BA87" s="652">
        <f>I87/11</f>
        <v>380</v>
      </c>
      <c r="BB87" s="652"/>
      <c r="BC87" s="681"/>
      <c r="BD87" s="681"/>
      <c r="BE87" s="654"/>
      <c r="BF87" s="681"/>
      <c r="BG87" s="654"/>
      <c r="BH87" s="654"/>
      <c r="BI87" s="681"/>
      <c r="BJ87" s="681"/>
      <c r="BK87" s="654"/>
      <c r="BL87" s="654"/>
      <c r="BM87" s="654"/>
      <c r="BN87" s="654"/>
      <c r="BO87" s="654"/>
      <c r="BP87" s="681"/>
      <c r="BQ87" s="654"/>
      <c r="BR87" s="681"/>
      <c r="BS87" s="654"/>
      <c r="BT87" s="654"/>
      <c r="BU87" s="654"/>
      <c r="BV87" s="654"/>
      <c r="BW87" s="645" t="s">
        <v>109</v>
      </c>
      <c r="BX87" s="658">
        <f>I87/22*5</f>
        <v>950</v>
      </c>
      <c r="BY87" s="658">
        <f>I87/22*6</f>
        <v>1140</v>
      </c>
      <c r="BZ87" s="658">
        <f>I87/22*6</f>
        <v>1140</v>
      </c>
      <c r="CA87" s="658">
        <f>I87/22*5</f>
        <v>950</v>
      </c>
      <c r="CB87" s="644">
        <f t="shared" si="40"/>
        <v>4180</v>
      </c>
      <c r="CC87" s="658">
        <f>I87/11</f>
        <v>380</v>
      </c>
      <c r="CD87" s="644">
        <f t="shared" si="33"/>
        <v>4180</v>
      </c>
      <c r="CE87" s="644">
        <f t="shared" si="38"/>
        <v>0</v>
      </c>
    </row>
    <row r="88" s="338" customFormat="1" ht="40" customHeight="1" spans="1:83">
      <c r="A88" s="632">
        <v>45694</v>
      </c>
      <c r="B88" s="633" t="s">
        <v>616</v>
      </c>
      <c r="C88" s="634" t="s">
        <v>617</v>
      </c>
      <c r="D88" s="635">
        <v>4500156774</v>
      </c>
      <c r="E88" s="659">
        <v>4400464037</v>
      </c>
      <c r="F88" s="636" t="s">
        <v>618</v>
      </c>
      <c r="G88" s="637" t="s">
        <v>111</v>
      </c>
      <c r="H88" s="637" t="s">
        <v>99</v>
      </c>
      <c r="I88" s="638">
        <v>1320</v>
      </c>
      <c r="J88" s="638">
        <v>0</v>
      </c>
      <c r="K88" s="639">
        <v>22</v>
      </c>
      <c r="L88" s="639">
        <f t="shared" si="22"/>
        <v>60</v>
      </c>
      <c r="M88" s="641">
        <v>45720</v>
      </c>
      <c r="N88" s="641">
        <v>45717</v>
      </c>
      <c r="O88" s="641"/>
      <c r="P88" s="642" t="s">
        <v>100</v>
      </c>
      <c r="Q88" s="643" t="s">
        <v>619</v>
      </c>
      <c r="R88" s="642" t="s">
        <v>620</v>
      </c>
      <c r="S88" s="642"/>
      <c r="T88" s="642"/>
      <c r="U88" s="642" t="s">
        <v>621</v>
      </c>
      <c r="V88" s="677"/>
      <c r="W88" s="646"/>
      <c r="X88" s="647" t="s">
        <v>622</v>
      </c>
      <c r="Y88" s="646" t="s">
        <v>623</v>
      </c>
      <c r="Z88" s="648">
        <v>2.8038</v>
      </c>
      <c r="AA88" s="650">
        <f t="shared" si="27"/>
        <v>3701.016</v>
      </c>
      <c r="AB88" s="649">
        <v>1320</v>
      </c>
      <c r="AC88" s="649">
        <f t="shared" si="34"/>
        <v>0</v>
      </c>
      <c r="AD88" s="650" t="s">
        <v>106</v>
      </c>
      <c r="AE88" s="637" t="s">
        <v>230</v>
      </c>
      <c r="AF88" s="646" t="s">
        <v>107</v>
      </c>
      <c r="AG88" s="652" t="s">
        <v>43</v>
      </c>
      <c r="AH88" s="646" t="s">
        <v>624</v>
      </c>
      <c r="AI88" s="680"/>
      <c r="AJ88" s="680"/>
      <c r="AK88" s="680"/>
      <c r="AL88" s="649"/>
      <c r="AM88" s="649"/>
      <c r="AN88" s="680"/>
      <c r="AO88" s="649">
        <f>I88</f>
        <v>1320</v>
      </c>
      <c r="AP88" s="649"/>
      <c r="AQ88" s="653"/>
      <c r="AR88" s="680"/>
      <c r="AS88" s="680"/>
      <c r="AT88" s="652">
        <f t="shared" si="43"/>
        <v>1320</v>
      </c>
      <c r="AU88" s="649"/>
      <c r="AV88" s="652"/>
      <c r="AW88" s="681"/>
      <c r="AX88" s="652"/>
      <c r="AY88" s="652"/>
      <c r="AZ88" s="681"/>
      <c r="BA88" s="652">
        <f>I88/11</f>
        <v>120</v>
      </c>
      <c r="BB88" s="652"/>
      <c r="BC88" s="681"/>
      <c r="BD88" s="681"/>
      <c r="BE88" s="654"/>
      <c r="BF88" s="681"/>
      <c r="BG88" s="654"/>
      <c r="BH88" s="654"/>
      <c r="BI88" s="681"/>
      <c r="BJ88" s="681"/>
      <c r="BK88" s="654"/>
      <c r="BL88" s="654"/>
      <c r="BM88" s="654"/>
      <c r="BN88" s="654"/>
      <c r="BO88" s="654"/>
      <c r="BP88" s="681"/>
      <c r="BQ88" s="654"/>
      <c r="BR88" s="681"/>
      <c r="BS88" s="654"/>
      <c r="BT88" s="654"/>
      <c r="BU88" s="654"/>
      <c r="BV88" s="654"/>
      <c r="BW88" s="645" t="s">
        <v>109</v>
      </c>
      <c r="BX88" s="658">
        <f>I88/22*5</f>
        <v>300</v>
      </c>
      <c r="BY88" s="658">
        <f>I88/22*6</f>
        <v>360</v>
      </c>
      <c r="BZ88" s="658">
        <f>I88/22*6</f>
        <v>360</v>
      </c>
      <c r="CA88" s="658">
        <f>I88/22*5</f>
        <v>300</v>
      </c>
      <c r="CB88" s="644">
        <f t="shared" si="40"/>
        <v>1320</v>
      </c>
      <c r="CC88" s="658">
        <f>I88/11</f>
        <v>120</v>
      </c>
      <c r="CD88" s="644">
        <f t="shared" si="33"/>
        <v>1320</v>
      </c>
      <c r="CE88" s="644">
        <f t="shared" si="38"/>
        <v>0</v>
      </c>
    </row>
    <row r="89" s="338" customFormat="1" ht="40" customHeight="1" spans="1:83">
      <c r="A89" s="632">
        <v>45649</v>
      </c>
      <c r="B89" s="633" t="s">
        <v>625</v>
      </c>
      <c r="C89" s="634" t="s">
        <v>626</v>
      </c>
      <c r="D89" s="635">
        <v>4500154572</v>
      </c>
      <c r="E89" s="659" t="s">
        <v>627</v>
      </c>
      <c r="F89" s="636" t="s">
        <v>628</v>
      </c>
      <c r="G89" s="637" t="s">
        <v>98</v>
      </c>
      <c r="H89" s="637" t="s">
        <v>99</v>
      </c>
      <c r="I89" s="638">
        <v>504</v>
      </c>
      <c r="J89" s="638">
        <v>0</v>
      </c>
      <c r="K89" s="639">
        <v>24</v>
      </c>
      <c r="L89" s="639">
        <f t="shared" si="22"/>
        <v>21</v>
      </c>
      <c r="M89" s="641">
        <v>45723</v>
      </c>
      <c r="N89" s="641">
        <v>45719</v>
      </c>
      <c r="O89" s="641"/>
      <c r="P89" s="642" t="s">
        <v>100</v>
      </c>
      <c r="Q89" s="643" t="s">
        <v>619</v>
      </c>
      <c r="R89" s="642" t="s">
        <v>629</v>
      </c>
      <c r="S89" s="642"/>
      <c r="T89" s="642"/>
      <c r="U89" s="642" t="s">
        <v>630</v>
      </c>
      <c r="V89" s="677"/>
      <c r="W89" s="646"/>
      <c r="X89" s="647" t="s">
        <v>631</v>
      </c>
      <c r="Y89" s="646" t="s">
        <v>632</v>
      </c>
      <c r="Z89" s="648">
        <v>2.5695</v>
      </c>
      <c r="AA89" s="650">
        <f t="shared" si="27"/>
        <v>1295.028</v>
      </c>
      <c r="AB89" s="649">
        <v>504</v>
      </c>
      <c r="AC89" s="649">
        <f t="shared" si="34"/>
        <v>0</v>
      </c>
      <c r="AD89" s="650" t="s">
        <v>106</v>
      </c>
      <c r="AE89" s="637" t="s">
        <v>98</v>
      </c>
      <c r="AF89" s="646" t="s">
        <v>107</v>
      </c>
      <c r="AG89" s="652" t="s">
        <v>43</v>
      </c>
      <c r="AH89" s="646" t="s">
        <v>633</v>
      </c>
      <c r="AI89" s="680"/>
      <c r="AJ89" s="680"/>
      <c r="AK89" s="680"/>
      <c r="AL89" s="652">
        <f>I89</f>
        <v>504</v>
      </c>
      <c r="AM89" s="652"/>
      <c r="AN89" s="680"/>
      <c r="AO89" s="649"/>
      <c r="AP89" s="649"/>
      <c r="AQ89" s="653"/>
      <c r="AR89" s="680"/>
      <c r="AS89" s="680"/>
      <c r="AT89" s="652">
        <f t="shared" si="43"/>
        <v>504</v>
      </c>
      <c r="AU89" s="649"/>
      <c r="AV89" s="654"/>
      <c r="AW89" s="681"/>
      <c r="AX89" s="652"/>
      <c r="AY89" s="652"/>
      <c r="AZ89" s="681"/>
      <c r="BA89" s="654"/>
      <c r="BB89" s="654"/>
      <c r="BC89" s="681"/>
      <c r="BD89" s="681"/>
      <c r="BE89" s="654"/>
      <c r="BF89" s="681"/>
      <c r="BG89" s="654"/>
      <c r="BH89" s="654"/>
      <c r="BI89" s="681"/>
      <c r="BJ89" s="681"/>
      <c r="BK89" s="654"/>
      <c r="BL89" s="654"/>
      <c r="BM89" s="654"/>
      <c r="BN89" s="654"/>
      <c r="BO89" s="654"/>
      <c r="BP89" s="681"/>
      <c r="BQ89" s="654"/>
      <c r="BR89" s="681"/>
      <c r="BS89" s="654"/>
      <c r="BT89" s="654"/>
      <c r="BU89" s="654"/>
      <c r="BV89" s="654"/>
      <c r="BW89" s="645" t="s">
        <v>109</v>
      </c>
      <c r="BX89" s="658">
        <f>I89/4</f>
        <v>126</v>
      </c>
      <c r="BY89" s="658">
        <f>I89/4</f>
        <v>126</v>
      </c>
      <c r="BZ89" s="658">
        <f>I89/4</f>
        <v>126</v>
      </c>
      <c r="CA89" s="658">
        <f>I89/4</f>
        <v>126</v>
      </c>
      <c r="CB89" s="644">
        <f t="shared" si="40"/>
        <v>504</v>
      </c>
      <c r="CC89" s="644"/>
      <c r="CD89" s="644">
        <f t="shared" si="33"/>
        <v>504</v>
      </c>
      <c r="CE89" s="644">
        <f t="shared" si="38"/>
        <v>0</v>
      </c>
    </row>
    <row r="90" s="338" customFormat="1" ht="40" customHeight="1" spans="1:83">
      <c r="A90" s="632">
        <v>45649</v>
      </c>
      <c r="B90" s="633" t="s">
        <v>625</v>
      </c>
      <c r="C90" s="634" t="s">
        <v>626</v>
      </c>
      <c r="D90" s="635">
        <v>4500154572</v>
      </c>
      <c r="E90" s="659" t="s">
        <v>627</v>
      </c>
      <c r="F90" s="636" t="s">
        <v>634</v>
      </c>
      <c r="G90" s="637" t="s">
        <v>111</v>
      </c>
      <c r="H90" s="637" t="s">
        <v>99</v>
      </c>
      <c r="I90" s="638">
        <v>660</v>
      </c>
      <c r="J90" s="638">
        <v>0</v>
      </c>
      <c r="K90" s="639">
        <v>22</v>
      </c>
      <c r="L90" s="639">
        <f t="shared" si="22"/>
        <v>30</v>
      </c>
      <c r="M90" s="641">
        <v>45723</v>
      </c>
      <c r="N90" s="641">
        <v>45719</v>
      </c>
      <c r="O90" s="641"/>
      <c r="P90" s="642" t="s">
        <v>100</v>
      </c>
      <c r="Q90" s="643" t="s">
        <v>619</v>
      </c>
      <c r="R90" s="642" t="s">
        <v>629</v>
      </c>
      <c r="S90" s="642"/>
      <c r="T90" s="642"/>
      <c r="U90" s="642" t="s">
        <v>630</v>
      </c>
      <c r="V90" s="677"/>
      <c r="W90" s="646"/>
      <c r="X90" s="647" t="s">
        <v>631</v>
      </c>
      <c r="Y90" s="646" t="s">
        <v>632</v>
      </c>
      <c r="Z90" s="649">
        <v>2.7825</v>
      </c>
      <c r="AA90" s="650">
        <f t="shared" si="27"/>
        <v>1836.45</v>
      </c>
      <c r="AB90" s="649">
        <v>660</v>
      </c>
      <c r="AC90" s="649">
        <f t="shared" si="34"/>
        <v>0</v>
      </c>
      <c r="AD90" s="650" t="s">
        <v>106</v>
      </c>
      <c r="AE90" s="661" t="s">
        <v>111</v>
      </c>
      <c r="AF90" s="646" t="s">
        <v>107</v>
      </c>
      <c r="AG90" s="652" t="s">
        <v>43</v>
      </c>
      <c r="AH90" s="646" t="s">
        <v>633</v>
      </c>
      <c r="AI90" s="680"/>
      <c r="AJ90" s="680"/>
      <c r="AK90" s="680"/>
      <c r="AL90" s="652">
        <f>I90</f>
        <v>660</v>
      </c>
      <c r="AM90" s="652"/>
      <c r="AN90" s="680"/>
      <c r="AO90" s="649"/>
      <c r="AP90" s="649"/>
      <c r="AQ90" s="653"/>
      <c r="AR90" s="680"/>
      <c r="AS90" s="680"/>
      <c r="AT90" s="652">
        <f t="shared" si="43"/>
        <v>660</v>
      </c>
      <c r="AU90" s="649"/>
      <c r="AV90" s="654"/>
      <c r="AW90" s="681"/>
      <c r="AX90" s="652">
        <f>I90/11</f>
        <v>60</v>
      </c>
      <c r="AY90" s="652"/>
      <c r="AZ90" s="681"/>
      <c r="BA90" s="654"/>
      <c r="BB90" s="654"/>
      <c r="BC90" s="681"/>
      <c r="BD90" s="681"/>
      <c r="BE90" s="654"/>
      <c r="BF90" s="681"/>
      <c r="BG90" s="654"/>
      <c r="BH90" s="654"/>
      <c r="BI90" s="681"/>
      <c r="BJ90" s="681"/>
      <c r="BK90" s="654"/>
      <c r="BL90" s="654"/>
      <c r="BM90" s="654"/>
      <c r="BN90" s="654"/>
      <c r="BO90" s="654"/>
      <c r="BP90" s="681"/>
      <c r="BQ90" s="654"/>
      <c r="BR90" s="681"/>
      <c r="BS90" s="654"/>
      <c r="BT90" s="654"/>
      <c r="BU90" s="654"/>
      <c r="BV90" s="654"/>
      <c r="BW90" s="645" t="s">
        <v>109</v>
      </c>
      <c r="BX90" s="658">
        <f>I90/22*5</f>
        <v>150</v>
      </c>
      <c r="BY90" s="658">
        <f>I90/22*6</f>
        <v>180</v>
      </c>
      <c r="BZ90" s="658">
        <f>I90/22*6</f>
        <v>180</v>
      </c>
      <c r="CA90" s="658">
        <f>I90/22*5</f>
        <v>150</v>
      </c>
      <c r="CB90" s="644">
        <f t="shared" si="40"/>
        <v>660</v>
      </c>
      <c r="CC90" s="658">
        <f>I90/11</f>
        <v>60</v>
      </c>
      <c r="CD90" s="644">
        <f t="shared" si="33"/>
        <v>660</v>
      </c>
      <c r="CE90" s="644">
        <f t="shared" si="38"/>
        <v>0</v>
      </c>
    </row>
    <row r="91" s="338" customFormat="1" ht="40" customHeight="1" spans="1:83">
      <c r="A91" s="632">
        <v>45663</v>
      </c>
      <c r="B91" s="659" t="s">
        <v>300</v>
      </c>
      <c r="C91" s="634" t="s">
        <v>301</v>
      </c>
      <c r="D91" s="678">
        <v>4500155330</v>
      </c>
      <c r="E91" s="659"/>
      <c r="F91" s="636" t="s">
        <v>635</v>
      </c>
      <c r="G91" s="637" t="s">
        <v>111</v>
      </c>
      <c r="H91" s="637" t="s">
        <v>99</v>
      </c>
      <c r="I91" s="638">
        <v>2222</v>
      </c>
      <c r="J91" s="638">
        <v>0</v>
      </c>
      <c r="K91" s="639">
        <v>22</v>
      </c>
      <c r="L91" s="639">
        <f t="shared" si="22"/>
        <v>101</v>
      </c>
      <c r="M91" s="641">
        <v>45723</v>
      </c>
      <c r="N91" s="641">
        <v>45719</v>
      </c>
      <c r="O91" s="641"/>
      <c r="P91" s="642" t="s">
        <v>100</v>
      </c>
      <c r="Q91" s="643" t="s">
        <v>603</v>
      </c>
      <c r="R91" s="645" t="s">
        <v>636</v>
      </c>
      <c r="S91" s="645"/>
      <c r="T91" s="645"/>
      <c r="U91" s="645" t="s">
        <v>637</v>
      </c>
      <c r="V91" s="645"/>
      <c r="W91" s="645"/>
      <c r="X91" s="647" t="s">
        <v>638</v>
      </c>
      <c r="Y91" s="646" t="s">
        <v>281</v>
      </c>
      <c r="Z91" s="648">
        <v>2.7943</v>
      </c>
      <c r="AA91" s="650">
        <f t="shared" si="27"/>
        <v>6208.9346</v>
      </c>
      <c r="AB91" s="649">
        <v>2222</v>
      </c>
      <c r="AC91" s="649">
        <f t="shared" si="34"/>
        <v>0</v>
      </c>
      <c r="AD91" s="650" t="s">
        <v>123</v>
      </c>
      <c r="AE91" s="661" t="s">
        <v>111</v>
      </c>
      <c r="AF91" s="646" t="s">
        <v>107</v>
      </c>
      <c r="AG91" s="652" t="s">
        <v>43</v>
      </c>
      <c r="AH91" s="646" t="s">
        <v>639</v>
      </c>
      <c r="AI91" s="680"/>
      <c r="AJ91" s="680"/>
      <c r="AK91" s="680"/>
      <c r="AL91" s="652">
        <f>I91</f>
        <v>2222</v>
      </c>
      <c r="AM91" s="652"/>
      <c r="AN91" s="680"/>
      <c r="AO91" s="652"/>
      <c r="AP91" s="652"/>
      <c r="AQ91" s="654"/>
      <c r="AR91" s="680"/>
      <c r="AS91" s="680"/>
      <c r="AT91" s="652">
        <f t="shared" si="43"/>
        <v>2222</v>
      </c>
      <c r="AU91" s="649"/>
      <c r="AV91" s="654"/>
      <c r="AW91" s="680"/>
      <c r="AX91" s="652">
        <f>I91/11</f>
        <v>202</v>
      </c>
      <c r="AY91" s="652"/>
      <c r="AZ91" s="681"/>
      <c r="BA91" s="654"/>
      <c r="BB91" s="654"/>
      <c r="BC91" s="681"/>
      <c r="BD91" s="681"/>
      <c r="BE91" s="658"/>
      <c r="BF91" s="681"/>
      <c r="BG91" s="652"/>
      <c r="BH91" s="652"/>
      <c r="BI91" s="681"/>
      <c r="BJ91" s="681"/>
      <c r="BK91" s="644"/>
      <c r="BL91" s="644"/>
      <c r="BM91" s="644"/>
      <c r="BN91" s="644"/>
      <c r="BO91" s="644"/>
      <c r="BP91" s="681"/>
      <c r="BQ91" s="679"/>
      <c r="BR91" s="681"/>
      <c r="BS91" s="679"/>
      <c r="BT91" s="679"/>
      <c r="BU91" s="679"/>
      <c r="BV91" s="679"/>
      <c r="BW91" s="645" t="s">
        <v>109</v>
      </c>
      <c r="BX91" s="658">
        <f>I91/22*5</f>
        <v>505</v>
      </c>
      <c r="BY91" s="658">
        <f>I91/22*6</f>
        <v>606</v>
      </c>
      <c r="BZ91" s="658">
        <f>I91/22*6</f>
        <v>606</v>
      </c>
      <c r="CA91" s="658">
        <f>I91/22*5</f>
        <v>505</v>
      </c>
      <c r="CB91" s="644">
        <f t="shared" si="40"/>
        <v>2222</v>
      </c>
      <c r="CC91" s="658">
        <f>I91/11</f>
        <v>202</v>
      </c>
      <c r="CD91" s="644">
        <f t="shared" si="33"/>
        <v>2222</v>
      </c>
      <c r="CE91" s="644">
        <f t="shared" si="38"/>
        <v>0</v>
      </c>
    </row>
    <row r="92" s="338" customFormat="1" ht="40" customHeight="1" spans="1:83">
      <c r="A92" s="632">
        <v>45695</v>
      </c>
      <c r="B92" s="633" t="s">
        <v>414</v>
      </c>
      <c r="C92" s="634" t="s">
        <v>415</v>
      </c>
      <c r="D92" s="635">
        <v>4500156900</v>
      </c>
      <c r="E92" s="659" t="s">
        <v>640</v>
      </c>
      <c r="F92" s="636" t="s">
        <v>641</v>
      </c>
      <c r="G92" s="637" t="s">
        <v>111</v>
      </c>
      <c r="H92" s="637" t="s">
        <v>99</v>
      </c>
      <c r="I92" s="638">
        <v>594</v>
      </c>
      <c r="J92" s="638">
        <v>0</v>
      </c>
      <c r="K92" s="639">
        <v>22</v>
      </c>
      <c r="L92" s="639">
        <f t="shared" si="22"/>
        <v>27</v>
      </c>
      <c r="M92" s="641">
        <v>45719</v>
      </c>
      <c r="N92" s="641">
        <f>M92-4</f>
        <v>45715</v>
      </c>
      <c r="O92" s="641"/>
      <c r="P92" s="642" t="s">
        <v>100</v>
      </c>
      <c r="Q92" s="643" t="s">
        <v>603</v>
      </c>
      <c r="R92" s="642" t="s">
        <v>642</v>
      </c>
      <c r="S92" s="642"/>
      <c r="T92" s="642"/>
      <c r="U92" s="642" t="s">
        <v>643</v>
      </c>
      <c r="V92" s="677"/>
      <c r="W92" s="646"/>
      <c r="X92" s="647" t="s">
        <v>644</v>
      </c>
      <c r="Y92" s="646" t="s">
        <v>422</v>
      </c>
      <c r="Z92" s="648">
        <v>2.7825</v>
      </c>
      <c r="AA92" s="650">
        <f t="shared" si="27"/>
        <v>1652.805</v>
      </c>
      <c r="AB92" s="649">
        <v>594</v>
      </c>
      <c r="AC92" s="649">
        <f t="shared" si="34"/>
        <v>0</v>
      </c>
      <c r="AD92" s="650" t="s">
        <v>106</v>
      </c>
      <c r="AE92" s="661" t="s">
        <v>111</v>
      </c>
      <c r="AF92" s="646" t="s">
        <v>107</v>
      </c>
      <c r="AG92" s="652" t="s">
        <v>43</v>
      </c>
      <c r="AH92" s="646" t="s">
        <v>645</v>
      </c>
      <c r="AI92" s="651"/>
      <c r="AJ92" s="651"/>
      <c r="AK92" s="651"/>
      <c r="AL92" s="652">
        <f>I92</f>
        <v>594</v>
      </c>
      <c r="AM92" s="652"/>
      <c r="AN92" s="651"/>
      <c r="AO92" s="649"/>
      <c r="AP92" s="649"/>
      <c r="AQ92" s="653"/>
      <c r="AR92" s="651"/>
      <c r="AS92" s="651"/>
      <c r="AT92" s="652">
        <f t="shared" si="43"/>
        <v>594</v>
      </c>
      <c r="AU92" s="649"/>
      <c r="AV92" s="652"/>
      <c r="AW92" s="656"/>
      <c r="AX92" s="652">
        <f>I92/11</f>
        <v>54</v>
      </c>
      <c r="AY92" s="652"/>
      <c r="AZ92" s="656"/>
      <c r="BA92" s="654"/>
      <c r="BB92" s="654"/>
      <c r="BC92" s="656"/>
      <c r="BD92" s="656"/>
      <c r="BE92" s="654"/>
      <c r="BF92" s="656"/>
      <c r="BG92" s="654"/>
      <c r="BH92" s="654"/>
      <c r="BI92" s="656"/>
      <c r="BJ92" s="656"/>
      <c r="BK92" s="654"/>
      <c r="BL92" s="654"/>
      <c r="BM92" s="654"/>
      <c r="BN92" s="654"/>
      <c r="BO92" s="654"/>
      <c r="BP92" s="656"/>
      <c r="BQ92" s="654"/>
      <c r="BR92" s="656"/>
      <c r="BS92" s="654"/>
      <c r="BT92" s="654"/>
      <c r="BU92" s="654"/>
      <c r="BV92" s="654"/>
      <c r="BW92" s="645" t="s">
        <v>109</v>
      </c>
      <c r="BX92" s="658">
        <f>I92/22*5</f>
        <v>135</v>
      </c>
      <c r="BY92" s="658">
        <f>I92/22*6</f>
        <v>162</v>
      </c>
      <c r="BZ92" s="658">
        <f>I92/22*6</f>
        <v>162</v>
      </c>
      <c r="CA92" s="658">
        <f>I92/22*5</f>
        <v>135</v>
      </c>
      <c r="CB92" s="644">
        <f t="shared" si="40"/>
        <v>594</v>
      </c>
      <c r="CC92" s="658">
        <f>I92/11</f>
        <v>54</v>
      </c>
      <c r="CD92" s="644">
        <f t="shared" si="33"/>
        <v>594</v>
      </c>
      <c r="CE92" s="644">
        <f t="shared" si="38"/>
        <v>0</v>
      </c>
    </row>
    <row r="93" s="338" customFormat="1" ht="40" customHeight="1" spans="1:83">
      <c r="A93" s="632">
        <v>45677</v>
      </c>
      <c r="B93" s="633" t="s">
        <v>646</v>
      </c>
      <c r="C93" s="634" t="s">
        <v>247</v>
      </c>
      <c r="D93" s="635">
        <v>4500156224</v>
      </c>
      <c r="E93" s="659">
        <v>20611030</v>
      </c>
      <c r="F93" s="636" t="s">
        <v>647</v>
      </c>
      <c r="G93" s="637" t="s">
        <v>648</v>
      </c>
      <c r="H93" s="637" t="s">
        <v>99</v>
      </c>
      <c r="I93" s="638">
        <v>1500</v>
      </c>
      <c r="J93" s="638">
        <v>0</v>
      </c>
      <c r="K93" s="639">
        <v>6</v>
      </c>
      <c r="L93" s="639">
        <f t="shared" si="22"/>
        <v>250</v>
      </c>
      <c r="M93" s="641">
        <v>45726</v>
      </c>
      <c r="N93" s="641">
        <v>45722</v>
      </c>
      <c r="O93" s="641"/>
      <c r="P93" s="642" t="s">
        <v>100</v>
      </c>
      <c r="Q93" s="682" t="s">
        <v>649</v>
      </c>
      <c r="R93" s="642" t="s">
        <v>650</v>
      </c>
      <c r="S93" s="642"/>
      <c r="T93" s="642"/>
      <c r="U93" s="642" t="s">
        <v>651</v>
      </c>
      <c r="V93" s="677"/>
      <c r="W93" s="646"/>
      <c r="X93" s="647" t="s">
        <v>652</v>
      </c>
      <c r="Y93" s="646" t="s">
        <v>653</v>
      </c>
      <c r="Z93" s="648">
        <v>2.771</v>
      </c>
      <c r="AA93" s="650">
        <f t="shared" si="27"/>
        <v>4156.5</v>
      </c>
      <c r="AB93" s="649">
        <v>1500</v>
      </c>
      <c r="AC93" s="649">
        <f t="shared" si="34"/>
        <v>0</v>
      </c>
      <c r="AD93" s="650" t="s">
        <v>106</v>
      </c>
      <c r="AE93" s="637" t="s">
        <v>648</v>
      </c>
      <c r="AF93" s="646" t="s">
        <v>107</v>
      </c>
      <c r="AG93" s="652" t="s">
        <v>43</v>
      </c>
      <c r="AH93" s="646" t="s">
        <v>654</v>
      </c>
      <c r="AI93" s="651"/>
      <c r="AJ93" s="651"/>
      <c r="AK93" s="651"/>
      <c r="AL93" s="652">
        <f>I93</f>
        <v>1500</v>
      </c>
      <c r="AM93" s="652"/>
      <c r="AN93" s="651"/>
      <c r="AO93" s="649"/>
      <c r="AP93" s="649"/>
      <c r="AQ93" s="653"/>
      <c r="AR93" s="651"/>
      <c r="AS93" s="651"/>
      <c r="AT93" s="652">
        <f t="shared" si="43"/>
        <v>1500</v>
      </c>
      <c r="AU93" s="649"/>
      <c r="AV93" s="654"/>
      <c r="AW93" s="656"/>
      <c r="AX93" s="652"/>
      <c r="AY93" s="652"/>
      <c r="AZ93" s="656"/>
      <c r="BA93" s="652"/>
      <c r="BB93" s="652"/>
      <c r="BC93" s="656"/>
      <c r="BD93" s="656"/>
      <c r="BE93" s="652">
        <f>I93/6</f>
        <v>250</v>
      </c>
      <c r="BF93" s="656"/>
      <c r="BG93" s="654"/>
      <c r="BH93" s="654"/>
      <c r="BI93" s="656"/>
      <c r="BJ93" s="656"/>
      <c r="BK93" s="654"/>
      <c r="BL93" s="654"/>
      <c r="BM93" s="654"/>
      <c r="BN93" s="654"/>
      <c r="BO93" s="654"/>
      <c r="BP93" s="656"/>
      <c r="BQ93" s="654"/>
      <c r="BR93" s="656"/>
      <c r="BS93" s="654"/>
      <c r="BT93" s="654"/>
      <c r="BU93" s="654"/>
      <c r="BV93" s="654"/>
      <c r="BW93" s="645" t="s">
        <v>109</v>
      </c>
      <c r="BX93" s="658">
        <f>I93/4</f>
        <v>375</v>
      </c>
      <c r="BY93" s="658">
        <f>I93/4</f>
        <v>375</v>
      </c>
      <c r="BZ93" s="658">
        <f>I93/4</f>
        <v>375</v>
      </c>
      <c r="CA93" s="658">
        <f>I93/4</f>
        <v>375</v>
      </c>
      <c r="CB93" s="644">
        <f t="shared" si="40"/>
        <v>1500</v>
      </c>
      <c r="CC93" s="675"/>
      <c r="CD93" s="644">
        <f t="shared" si="33"/>
        <v>1500</v>
      </c>
      <c r="CE93" s="644">
        <f t="shared" si="38"/>
        <v>0</v>
      </c>
    </row>
    <row r="94" s="338" customFormat="1" ht="40" customHeight="1" spans="1:83">
      <c r="A94" s="632">
        <v>45677</v>
      </c>
      <c r="B94" s="633" t="s">
        <v>655</v>
      </c>
      <c r="C94" s="634" t="s">
        <v>267</v>
      </c>
      <c r="D94" s="635">
        <v>4500156115</v>
      </c>
      <c r="E94" s="666">
        <v>7631985</v>
      </c>
      <c r="F94" s="636" t="s">
        <v>656</v>
      </c>
      <c r="G94" s="637" t="s">
        <v>132</v>
      </c>
      <c r="H94" s="637" t="s">
        <v>99</v>
      </c>
      <c r="I94" s="638">
        <v>216</v>
      </c>
      <c r="J94" s="638">
        <v>0</v>
      </c>
      <c r="K94" s="639">
        <v>24</v>
      </c>
      <c r="L94" s="639">
        <f t="shared" si="22"/>
        <v>9</v>
      </c>
      <c r="M94" s="641">
        <v>45730</v>
      </c>
      <c r="N94" s="641">
        <v>45726</v>
      </c>
      <c r="O94" s="641"/>
      <c r="P94" s="642" t="s">
        <v>100</v>
      </c>
      <c r="Q94" s="643" t="s">
        <v>657</v>
      </c>
      <c r="R94" s="642" t="s">
        <v>650</v>
      </c>
      <c r="S94" s="642"/>
      <c r="T94" s="642"/>
      <c r="U94" s="642" t="s">
        <v>658</v>
      </c>
      <c r="V94" s="677"/>
      <c r="W94" s="646"/>
      <c r="X94" s="647" t="s">
        <v>659</v>
      </c>
      <c r="Y94" s="646" t="s">
        <v>175</v>
      </c>
      <c r="Z94" s="648">
        <v>2.5695</v>
      </c>
      <c r="AA94" s="650">
        <f t="shared" si="27"/>
        <v>555.012</v>
      </c>
      <c r="AB94" s="649">
        <v>216</v>
      </c>
      <c r="AC94" s="649">
        <f t="shared" si="34"/>
        <v>0</v>
      </c>
      <c r="AD94" s="650" t="s">
        <v>123</v>
      </c>
      <c r="AE94" s="637" t="s">
        <v>193</v>
      </c>
      <c r="AF94" s="646" t="s">
        <v>107</v>
      </c>
      <c r="AG94" s="652" t="s">
        <v>43</v>
      </c>
      <c r="AH94" s="646" t="s">
        <v>660</v>
      </c>
      <c r="AI94" s="651"/>
      <c r="AJ94" s="651"/>
      <c r="AK94" s="651"/>
      <c r="AL94" s="649"/>
      <c r="AM94" s="649"/>
      <c r="AN94" s="651"/>
      <c r="AO94" s="649">
        <f>I94</f>
        <v>216</v>
      </c>
      <c r="AP94" s="649"/>
      <c r="AQ94" s="653"/>
      <c r="AR94" s="651"/>
      <c r="AS94" s="651"/>
      <c r="AT94" s="652">
        <f t="shared" si="43"/>
        <v>216</v>
      </c>
      <c r="AU94" s="649"/>
      <c r="AV94" s="654"/>
      <c r="AW94" s="656"/>
      <c r="AX94" s="652"/>
      <c r="AY94" s="652"/>
      <c r="AZ94" s="656"/>
      <c r="BA94" s="652"/>
      <c r="BB94" s="652"/>
      <c r="BC94" s="656"/>
      <c r="BD94" s="656"/>
      <c r="BE94" s="654"/>
      <c r="BF94" s="656"/>
      <c r="BG94" s="654"/>
      <c r="BH94" s="654"/>
      <c r="BI94" s="656"/>
      <c r="BJ94" s="656"/>
      <c r="BK94" s="654"/>
      <c r="BL94" s="654"/>
      <c r="BM94" s="654"/>
      <c r="BN94" s="654"/>
      <c r="BO94" s="654"/>
      <c r="BP94" s="656"/>
      <c r="BQ94" s="654"/>
      <c r="BR94" s="656"/>
      <c r="BS94" s="654"/>
      <c r="BT94" s="654"/>
      <c r="BU94" s="654"/>
      <c r="BV94" s="654"/>
      <c r="BW94" s="645" t="s">
        <v>109</v>
      </c>
      <c r="BX94" s="658">
        <f>I94</f>
        <v>216</v>
      </c>
      <c r="BY94" s="658"/>
      <c r="BZ94" s="658"/>
      <c r="CA94" s="658"/>
      <c r="CB94" s="644">
        <f t="shared" si="40"/>
        <v>216</v>
      </c>
      <c r="CC94" s="675"/>
      <c r="CD94" s="644">
        <f t="shared" si="33"/>
        <v>216</v>
      </c>
      <c r="CE94" s="644">
        <f t="shared" si="38"/>
        <v>0</v>
      </c>
    </row>
    <row r="95" s="338" customFormat="1" ht="40" customHeight="1" spans="1:83">
      <c r="A95" s="632">
        <v>45677</v>
      </c>
      <c r="B95" s="633" t="s">
        <v>655</v>
      </c>
      <c r="C95" s="634" t="s">
        <v>267</v>
      </c>
      <c r="D95" s="635">
        <v>4500156115</v>
      </c>
      <c r="E95" s="666">
        <v>7631985</v>
      </c>
      <c r="F95" s="636" t="s">
        <v>661</v>
      </c>
      <c r="G95" s="637" t="s">
        <v>189</v>
      </c>
      <c r="H95" s="637" t="s">
        <v>99</v>
      </c>
      <c r="I95" s="638">
        <v>216</v>
      </c>
      <c r="J95" s="638">
        <v>0</v>
      </c>
      <c r="K95" s="639">
        <v>24</v>
      </c>
      <c r="L95" s="639">
        <f t="shared" si="22"/>
        <v>9</v>
      </c>
      <c r="M95" s="641">
        <v>45730</v>
      </c>
      <c r="N95" s="641">
        <v>45726</v>
      </c>
      <c r="O95" s="641"/>
      <c r="P95" s="642" t="s">
        <v>100</v>
      </c>
      <c r="Q95" s="643" t="s">
        <v>657</v>
      </c>
      <c r="R95" s="642" t="s">
        <v>650</v>
      </c>
      <c r="S95" s="642"/>
      <c r="T95" s="642"/>
      <c r="U95" s="642" t="s">
        <v>658</v>
      </c>
      <c r="V95" s="677"/>
      <c r="W95" s="646"/>
      <c r="X95" s="647" t="s">
        <v>662</v>
      </c>
      <c r="Y95" s="646" t="s">
        <v>175</v>
      </c>
      <c r="Z95" s="648">
        <v>2.5695</v>
      </c>
      <c r="AA95" s="650">
        <f t="shared" si="27"/>
        <v>555.012</v>
      </c>
      <c r="AB95" s="649">
        <v>216</v>
      </c>
      <c r="AC95" s="649">
        <f t="shared" si="34"/>
        <v>0</v>
      </c>
      <c r="AD95" s="650" t="s">
        <v>123</v>
      </c>
      <c r="AE95" s="661" t="s">
        <v>190</v>
      </c>
      <c r="AF95" s="646" t="s">
        <v>107</v>
      </c>
      <c r="AG95" s="652" t="s">
        <v>43</v>
      </c>
      <c r="AH95" s="646" t="s">
        <v>660</v>
      </c>
      <c r="AI95" s="651"/>
      <c r="AJ95" s="651"/>
      <c r="AK95" s="651"/>
      <c r="AL95" s="649"/>
      <c r="AM95" s="649"/>
      <c r="AN95" s="651"/>
      <c r="AO95" s="649">
        <f>I95</f>
        <v>216</v>
      </c>
      <c r="AP95" s="649"/>
      <c r="AQ95" s="653"/>
      <c r="AR95" s="651"/>
      <c r="AS95" s="651"/>
      <c r="AT95" s="652">
        <f t="shared" ref="AT95:AT102" si="44">I95</f>
        <v>216</v>
      </c>
      <c r="AU95" s="649"/>
      <c r="AV95" s="654"/>
      <c r="AW95" s="656"/>
      <c r="AX95" s="652"/>
      <c r="AY95" s="652"/>
      <c r="AZ95" s="656"/>
      <c r="BA95" s="652"/>
      <c r="BB95" s="652"/>
      <c r="BC95" s="656"/>
      <c r="BD95" s="656"/>
      <c r="BE95" s="654"/>
      <c r="BF95" s="656"/>
      <c r="BG95" s="654"/>
      <c r="BH95" s="654"/>
      <c r="BI95" s="656"/>
      <c r="BJ95" s="656"/>
      <c r="BK95" s="654"/>
      <c r="BL95" s="654"/>
      <c r="BM95" s="654"/>
      <c r="BN95" s="654"/>
      <c r="BO95" s="654"/>
      <c r="BP95" s="656"/>
      <c r="BQ95" s="654"/>
      <c r="BR95" s="656"/>
      <c r="BS95" s="654"/>
      <c r="BT95" s="654"/>
      <c r="BU95" s="654"/>
      <c r="BV95" s="654"/>
      <c r="BW95" s="645" t="s">
        <v>109</v>
      </c>
      <c r="BX95" s="658"/>
      <c r="BY95" s="658"/>
      <c r="BZ95" s="658"/>
      <c r="CA95" s="658">
        <f>I95</f>
        <v>216</v>
      </c>
      <c r="CB95" s="644">
        <f t="shared" si="40"/>
        <v>216</v>
      </c>
      <c r="CC95" s="675"/>
      <c r="CD95" s="644">
        <f t="shared" si="33"/>
        <v>216</v>
      </c>
      <c r="CE95" s="644">
        <f t="shared" ref="CE95:CE104" si="45">I95-CD95</f>
        <v>0</v>
      </c>
    </row>
    <row r="96" s="338" customFormat="1" ht="40" customHeight="1" spans="1:83">
      <c r="A96" s="632">
        <v>45677</v>
      </c>
      <c r="B96" s="633" t="s">
        <v>655</v>
      </c>
      <c r="C96" s="634" t="s">
        <v>267</v>
      </c>
      <c r="D96" s="635">
        <v>4500156115</v>
      </c>
      <c r="E96" s="666">
        <v>7631985</v>
      </c>
      <c r="F96" s="636" t="s">
        <v>663</v>
      </c>
      <c r="G96" s="637" t="s">
        <v>141</v>
      </c>
      <c r="H96" s="637" t="s">
        <v>99</v>
      </c>
      <c r="I96" s="638">
        <v>216</v>
      </c>
      <c r="J96" s="638">
        <v>0</v>
      </c>
      <c r="K96" s="639">
        <v>24</v>
      </c>
      <c r="L96" s="639">
        <f t="shared" ref="L96:L159" si="46">I96/K96</f>
        <v>9</v>
      </c>
      <c r="M96" s="641">
        <v>45730</v>
      </c>
      <c r="N96" s="641">
        <v>45726</v>
      </c>
      <c r="O96" s="641"/>
      <c r="P96" s="642" t="s">
        <v>100</v>
      </c>
      <c r="Q96" s="643" t="s">
        <v>657</v>
      </c>
      <c r="R96" s="642" t="s">
        <v>650</v>
      </c>
      <c r="S96" s="642"/>
      <c r="T96" s="642"/>
      <c r="U96" s="642" t="s">
        <v>658</v>
      </c>
      <c r="V96" s="677"/>
      <c r="W96" s="646"/>
      <c r="X96" s="647" t="s">
        <v>664</v>
      </c>
      <c r="Y96" s="646" t="s">
        <v>175</v>
      </c>
      <c r="Z96" s="648">
        <v>2.5695</v>
      </c>
      <c r="AA96" s="650">
        <f t="shared" si="27"/>
        <v>555.012</v>
      </c>
      <c r="AB96" s="649">
        <v>216</v>
      </c>
      <c r="AC96" s="649">
        <f t="shared" si="34"/>
        <v>0</v>
      </c>
      <c r="AD96" s="650" t="s">
        <v>123</v>
      </c>
      <c r="AE96" s="637" t="s">
        <v>153</v>
      </c>
      <c r="AF96" s="646" t="s">
        <v>107</v>
      </c>
      <c r="AG96" s="652" t="s">
        <v>43</v>
      </c>
      <c r="AH96" s="646" t="s">
        <v>660</v>
      </c>
      <c r="AI96" s="651"/>
      <c r="AJ96" s="651"/>
      <c r="AK96" s="651"/>
      <c r="AL96" s="649"/>
      <c r="AM96" s="649"/>
      <c r="AN96" s="651"/>
      <c r="AO96" s="649">
        <f>I96</f>
        <v>216</v>
      </c>
      <c r="AP96" s="649"/>
      <c r="AQ96" s="653"/>
      <c r="AR96" s="651"/>
      <c r="AS96" s="651"/>
      <c r="AT96" s="652">
        <f t="shared" si="44"/>
        <v>216</v>
      </c>
      <c r="AU96" s="649"/>
      <c r="AV96" s="654"/>
      <c r="AW96" s="656"/>
      <c r="AX96" s="652"/>
      <c r="AY96" s="652"/>
      <c r="AZ96" s="656"/>
      <c r="BA96" s="652"/>
      <c r="BB96" s="652"/>
      <c r="BC96" s="656"/>
      <c r="BD96" s="656"/>
      <c r="BE96" s="654"/>
      <c r="BF96" s="656"/>
      <c r="BG96" s="654"/>
      <c r="BH96" s="654"/>
      <c r="BI96" s="656"/>
      <c r="BJ96" s="656"/>
      <c r="BK96" s="654"/>
      <c r="BL96" s="654"/>
      <c r="BM96" s="654"/>
      <c r="BN96" s="654"/>
      <c r="BO96" s="654"/>
      <c r="BP96" s="656"/>
      <c r="BQ96" s="654"/>
      <c r="BR96" s="656"/>
      <c r="BS96" s="654"/>
      <c r="BT96" s="654"/>
      <c r="BU96" s="654"/>
      <c r="BV96" s="654"/>
      <c r="BW96" s="645" t="s">
        <v>109</v>
      </c>
      <c r="BX96" s="658"/>
      <c r="BY96" s="658"/>
      <c r="BZ96" s="658">
        <f>I96</f>
        <v>216</v>
      </c>
      <c r="CA96" s="658"/>
      <c r="CB96" s="644">
        <f t="shared" si="40"/>
        <v>216</v>
      </c>
      <c r="CC96" s="675"/>
      <c r="CD96" s="644">
        <f t="shared" si="33"/>
        <v>216</v>
      </c>
      <c r="CE96" s="644">
        <f t="shared" si="45"/>
        <v>0</v>
      </c>
    </row>
    <row r="97" s="338" customFormat="1" ht="40" customHeight="1" spans="1:83">
      <c r="A97" s="632">
        <v>45677</v>
      </c>
      <c r="B97" s="633" t="s">
        <v>655</v>
      </c>
      <c r="C97" s="634" t="s">
        <v>267</v>
      </c>
      <c r="D97" s="635">
        <v>4500156115</v>
      </c>
      <c r="E97" s="666">
        <v>7631985</v>
      </c>
      <c r="F97" s="636" t="s">
        <v>665</v>
      </c>
      <c r="G97" s="637" t="s">
        <v>159</v>
      </c>
      <c r="H97" s="637" t="s">
        <v>99</v>
      </c>
      <c r="I97" s="638">
        <v>216</v>
      </c>
      <c r="J97" s="638">
        <v>0</v>
      </c>
      <c r="K97" s="639">
        <v>24</v>
      </c>
      <c r="L97" s="639">
        <f t="shared" si="46"/>
        <v>9</v>
      </c>
      <c r="M97" s="641">
        <v>45730</v>
      </c>
      <c r="N97" s="641">
        <v>45726</v>
      </c>
      <c r="O97" s="641"/>
      <c r="P97" s="642" t="s">
        <v>100</v>
      </c>
      <c r="Q97" s="643" t="s">
        <v>657</v>
      </c>
      <c r="R97" s="642" t="s">
        <v>650</v>
      </c>
      <c r="S97" s="642"/>
      <c r="T97" s="642"/>
      <c r="U97" s="642" t="s">
        <v>658</v>
      </c>
      <c r="V97" s="677"/>
      <c r="W97" s="646"/>
      <c r="X97" s="647" t="s">
        <v>662</v>
      </c>
      <c r="Y97" s="646" t="s">
        <v>175</v>
      </c>
      <c r="Z97" s="648">
        <v>2.5695</v>
      </c>
      <c r="AA97" s="650">
        <f t="shared" ref="AA97:AA107" si="47">I97*Z97</f>
        <v>555.012</v>
      </c>
      <c r="AB97" s="649">
        <v>216</v>
      </c>
      <c r="AC97" s="649">
        <f t="shared" si="34"/>
        <v>0</v>
      </c>
      <c r="AD97" s="650" t="s">
        <v>123</v>
      </c>
      <c r="AE97" s="661" t="s">
        <v>166</v>
      </c>
      <c r="AF97" s="646" t="s">
        <v>107</v>
      </c>
      <c r="AG97" s="652" t="s">
        <v>43</v>
      </c>
      <c r="AH97" s="646" t="s">
        <v>660</v>
      </c>
      <c r="AI97" s="651"/>
      <c r="AJ97" s="651"/>
      <c r="AK97" s="651"/>
      <c r="AL97" s="649"/>
      <c r="AM97" s="649"/>
      <c r="AN97" s="651"/>
      <c r="AO97" s="649">
        <f>I97</f>
        <v>216</v>
      </c>
      <c r="AP97" s="649"/>
      <c r="AQ97" s="653"/>
      <c r="AR97" s="651"/>
      <c r="AS97" s="651"/>
      <c r="AT97" s="652">
        <f t="shared" si="44"/>
        <v>216</v>
      </c>
      <c r="AU97" s="649"/>
      <c r="AV97" s="654"/>
      <c r="AW97" s="656"/>
      <c r="AX97" s="652"/>
      <c r="AY97" s="652"/>
      <c r="AZ97" s="656"/>
      <c r="BA97" s="652"/>
      <c r="BB97" s="652"/>
      <c r="BC97" s="656"/>
      <c r="BD97" s="656"/>
      <c r="BE97" s="654"/>
      <c r="BF97" s="656"/>
      <c r="BG97" s="654"/>
      <c r="BH97" s="654"/>
      <c r="BI97" s="656"/>
      <c r="BJ97" s="656"/>
      <c r="BK97" s="654"/>
      <c r="BL97" s="654"/>
      <c r="BM97" s="654"/>
      <c r="BN97" s="654"/>
      <c r="BO97" s="654"/>
      <c r="BP97" s="656"/>
      <c r="BQ97" s="654"/>
      <c r="BR97" s="656"/>
      <c r="BS97" s="654"/>
      <c r="BT97" s="654"/>
      <c r="BU97" s="654"/>
      <c r="BV97" s="654"/>
      <c r="BW97" s="645" t="s">
        <v>109</v>
      </c>
      <c r="BX97" s="658"/>
      <c r="BY97" s="658">
        <f>I97</f>
        <v>216</v>
      </c>
      <c r="BZ97" s="658"/>
      <c r="CA97" s="658"/>
      <c r="CB97" s="644">
        <f t="shared" si="40"/>
        <v>216</v>
      </c>
      <c r="CC97" s="675"/>
      <c r="CD97" s="644">
        <f t="shared" si="33"/>
        <v>216</v>
      </c>
      <c r="CE97" s="644">
        <f t="shared" si="45"/>
        <v>0</v>
      </c>
    </row>
    <row r="98" s="338" customFormat="1" ht="40" customHeight="1" spans="1:83">
      <c r="A98" s="632">
        <v>45695</v>
      </c>
      <c r="B98" s="633" t="s">
        <v>246</v>
      </c>
      <c r="C98" s="634" t="s">
        <v>247</v>
      </c>
      <c r="D98" s="635">
        <v>4500156306</v>
      </c>
      <c r="E98" s="666" t="s">
        <v>666</v>
      </c>
      <c r="F98" s="636" t="s">
        <v>667</v>
      </c>
      <c r="G98" s="637" t="s">
        <v>111</v>
      </c>
      <c r="H98" s="637" t="s">
        <v>99</v>
      </c>
      <c r="I98" s="638">
        <v>528</v>
      </c>
      <c r="J98" s="638">
        <v>0</v>
      </c>
      <c r="K98" s="639">
        <v>22</v>
      </c>
      <c r="L98" s="639">
        <f t="shared" si="46"/>
        <v>24</v>
      </c>
      <c r="M98" s="641">
        <v>45730</v>
      </c>
      <c r="N98" s="641">
        <f>M98-4</f>
        <v>45726</v>
      </c>
      <c r="O98" s="641"/>
      <c r="P98" s="642" t="s">
        <v>100</v>
      </c>
      <c r="Q98" s="643" t="s">
        <v>668</v>
      </c>
      <c r="R98" s="642" t="s">
        <v>642</v>
      </c>
      <c r="S98" s="642"/>
      <c r="T98" s="642"/>
      <c r="U98" s="642" t="s">
        <v>251</v>
      </c>
      <c r="V98" s="677"/>
      <c r="W98" s="646"/>
      <c r="X98" s="647" t="s">
        <v>669</v>
      </c>
      <c r="Y98" s="646" t="s">
        <v>253</v>
      </c>
      <c r="Z98" s="649">
        <v>2.8789</v>
      </c>
      <c r="AA98" s="650">
        <f t="shared" si="47"/>
        <v>1520.0592</v>
      </c>
      <c r="AB98" s="649">
        <v>528</v>
      </c>
      <c r="AC98" s="649">
        <f t="shared" si="34"/>
        <v>0</v>
      </c>
      <c r="AD98" s="650" t="s">
        <v>106</v>
      </c>
      <c r="AE98" s="661" t="s">
        <v>111</v>
      </c>
      <c r="AF98" s="646" t="s">
        <v>107</v>
      </c>
      <c r="AG98" s="652" t="s">
        <v>43</v>
      </c>
      <c r="AH98" s="646" t="s">
        <v>670</v>
      </c>
      <c r="AI98" s="651"/>
      <c r="AJ98" s="651"/>
      <c r="AK98" s="651"/>
      <c r="AL98" s="652">
        <f t="shared" ref="AL98:AL110" si="48">I98</f>
        <v>528</v>
      </c>
      <c r="AM98" s="652"/>
      <c r="AN98" s="651"/>
      <c r="AO98" s="649"/>
      <c r="AP98" s="649"/>
      <c r="AQ98" s="653"/>
      <c r="AR98" s="651"/>
      <c r="AS98" s="651"/>
      <c r="AT98" s="652">
        <f t="shared" si="44"/>
        <v>528</v>
      </c>
      <c r="AU98" s="649"/>
      <c r="AV98" s="654"/>
      <c r="AW98" s="656"/>
      <c r="AX98" s="652">
        <f t="shared" ref="AX98:AX103" si="49">I98/11</f>
        <v>48</v>
      </c>
      <c r="AY98" s="652"/>
      <c r="AZ98" s="656"/>
      <c r="BA98" s="652"/>
      <c r="BB98" s="652"/>
      <c r="BC98" s="656"/>
      <c r="BD98" s="656"/>
      <c r="BE98" s="654"/>
      <c r="BF98" s="656"/>
      <c r="BG98" s="654"/>
      <c r="BH98" s="654"/>
      <c r="BI98" s="656"/>
      <c r="BJ98" s="656"/>
      <c r="BK98" s="654"/>
      <c r="BL98" s="654"/>
      <c r="BM98" s="654"/>
      <c r="BN98" s="654"/>
      <c r="BO98" s="654"/>
      <c r="BP98" s="656"/>
      <c r="BQ98" s="654"/>
      <c r="BR98" s="656"/>
      <c r="BS98" s="654"/>
      <c r="BT98" s="654"/>
      <c r="BU98" s="654"/>
      <c r="BV98" s="654"/>
      <c r="BW98" s="645" t="s">
        <v>109</v>
      </c>
      <c r="BX98" s="658">
        <f t="shared" ref="BX98:BX103" si="50">I98/22*5</f>
        <v>120</v>
      </c>
      <c r="BY98" s="658">
        <f t="shared" ref="BY98:BY103" si="51">I98/22*6</f>
        <v>144</v>
      </c>
      <c r="BZ98" s="658">
        <f t="shared" ref="BZ98:BZ103" si="52">I98/22*6</f>
        <v>144</v>
      </c>
      <c r="CA98" s="658">
        <f t="shared" ref="CA98:CA103" si="53">I98/22*5</f>
        <v>120</v>
      </c>
      <c r="CB98" s="644">
        <f t="shared" si="40"/>
        <v>528</v>
      </c>
      <c r="CC98" s="675">
        <f t="shared" ref="CC98:CC103" si="54">I98/11</f>
        <v>48</v>
      </c>
      <c r="CD98" s="644">
        <f t="shared" si="33"/>
        <v>528</v>
      </c>
      <c r="CE98" s="644">
        <f t="shared" si="45"/>
        <v>0</v>
      </c>
    </row>
    <row r="99" s="338" customFormat="1" ht="40" customHeight="1" spans="1:83">
      <c r="A99" s="632">
        <v>45695</v>
      </c>
      <c r="B99" s="633" t="s">
        <v>246</v>
      </c>
      <c r="C99" s="634" t="s">
        <v>247</v>
      </c>
      <c r="D99" s="635">
        <v>4500156306</v>
      </c>
      <c r="E99" s="666" t="s">
        <v>671</v>
      </c>
      <c r="F99" s="636" t="s">
        <v>672</v>
      </c>
      <c r="G99" s="637" t="s">
        <v>111</v>
      </c>
      <c r="H99" s="637" t="s">
        <v>99</v>
      </c>
      <c r="I99" s="638">
        <v>396</v>
      </c>
      <c r="J99" s="638">
        <v>0</v>
      </c>
      <c r="K99" s="639">
        <v>22</v>
      </c>
      <c r="L99" s="639">
        <f t="shared" si="46"/>
        <v>18</v>
      </c>
      <c r="M99" s="641">
        <v>45730</v>
      </c>
      <c r="N99" s="641">
        <f>M99-4</f>
        <v>45726</v>
      </c>
      <c r="O99" s="641"/>
      <c r="P99" s="642" t="s">
        <v>100</v>
      </c>
      <c r="Q99" s="643" t="s">
        <v>673</v>
      </c>
      <c r="R99" s="642" t="s">
        <v>642</v>
      </c>
      <c r="S99" s="642"/>
      <c r="T99" s="642"/>
      <c r="U99" s="642" t="s">
        <v>251</v>
      </c>
      <c r="V99" s="677"/>
      <c r="W99" s="646"/>
      <c r="X99" s="647" t="s">
        <v>669</v>
      </c>
      <c r="Y99" s="646" t="s">
        <v>253</v>
      </c>
      <c r="Z99" s="649">
        <v>2.8789</v>
      </c>
      <c r="AA99" s="650">
        <f t="shared" si="47"/>
        <v>1140.0444</v>
      </c>
      <c r="AB99" s="649">
        <v>396</v>
      </c>
      <c r="AC99" s="649">
        <f t="shared" si="34"/>
        <v>0</v>
      </c>
      <c r="AD99" s="650" t="s">
        <v>106</v>
      </c>
      <c r="AE99" s="661" t="s">
        <v>111</v>
      </c>
      <c r="AF99" s="646" t="s">
        <v>107</v>
      </c>
      <c r="AG99" s="652" t="s">
        <v>43</v>
      </c>
      <c r="AH99" s="646" t="s">
        <v>674</v>
      </c>
      <c r="AI99" s="651"/>
      <c r="AJ99" s="651"/>
      <c r="AK99" s="651"/>
      <c r="AL99" s="652">
        <f t="shared" si="48"/>
        <v>396</v>
      </c>
      <c r="AM99" s="652"/>
      <c r="AN99" s="651"/>
      <c r="AO99" s="649"/>
      <c r="AP99" s="649"/>
      <c r="AQ99" s="653"/>
      <c r="AR99" s="651"/>
      <c r="AS99" s="651"/>
      <c r="AT99" s="652">
        <f t="shared" si="44"/>
        <v>396</v>
      </c>
      <c r="AU99" s="649"/>
      <c r="AV99" s="654"/>
      <c r="AW99" s="656"/>
      <c r="AX99" s="652">
        <f t="shared" si="49"/>
        <v>36</v>
      </c>
      <c r="AY99" s="652"/>
      <c r="AZ99" s="656"/>
      <c r="BA99" s="652"/>
      <c r="BB99" s="652"/>
      <c r="BC99" s="656"/>
      <c r="BD99" s="656"/>
      <c r="BE99" s="654"/>
      <c r="BF99" s="656"/>
      <c r="BG99" s="654"/>
      <c r="BH99" s="654"/>
      <c r="BI99" s="656"/>
      <c r="BJ99" s="656"/>
      <c r="BK99" s="654"/>
      <c r="BL99" s="654"/>
      <c r="BM99" s="654"/>
      <c r="BN99" s="654"/>
      <c r="BO99" s="654"/>
      <c r="BP99" s="656"/>
      <c r="BQ99" s="654"/>
      <c r="BR99" s="656"/>
      <c r="BS99" s="654"/>
      <c r="BT99" s="654"/>
      <c r="BU99" s="654"/>
      <c r="BV99" s="654"/>
      <c r="BW99" s="645" t="s">
        <v>109</v>
      </c>
      <c r="BX99" s="658">
        <f t="shared" si="50"/>
        <v>90</v>
      </c>
      <c r="BY99" s="658">
        <f t="shared" si="51"/>
        <v>108</v>
      </c>
      <c r="BZ99" s="658">
        <f t="shared" si="52"/>
        <v>108</v>
      </c>
      <c r="CA99" s="658">
        <f t="shared" si="53"/>
        <v>90</v>
      </c>
      <c r="CB99" s="644">
        <f t="shared" si="40"/>
        <v>396</v>
      </c>
      <c r="CC99" s="675">
        <f t="shared" si="54"/>
        <v>36</v>
      </c>
      <c r="CD99" s="644">
        <f t="shared" si="33"/>
        <v>396</v>
      </c>
      <c r="CE99" s="644">
        <f t="shared" si="45"/>
        <v>0</v>
      </c>
    </row>
    <row r="100" s="338" customFormat="1" ht="40" customHeight="1" spans="1:83">
      <c r="A100" s="632">
        <v>45695</v>
      </c>
      <c r="B100" s="633" t="s">
        <v>246</v>
      </c>
      <c r="C100" s="634" t="s">
        <v>247</v>
      </c>
      <c r="D100" s="635">
        <v>4500156306</v>
      </c>
      <c r="E100" s="666" t="s">
        <v>675</v>
      </c>
      <c r="F100" s="636" t="s">
        <v>676</v>
      </c>
      <c r="G100" s="637" t="s">
        <v>111</v>
      </c>
      <c r="H100" s="637" t="s">
        <v>99</v>
      </c>
      <c r="I100" s="638">
        <v>418</v>
      </c>
      <c r="J100" s="638">
        <v>0</v>
      </c>
      <c r="K100" s="639">
        <v>22</v>
      </c>
      <c r="L100" s="639">
        <f t="shared" si="46"/>
        <v>19</v>
      </c>
      <c r="M100" s="641">
        <v>45730</v>
      </c>
      <c r="N100" s="641">
        <f>M100-4</f>
        <v>45726</v>
      </c>
      <c r="O100" s="641"/>
      <c r="P100" s="642" t="s">
        <v>100</v>
      </c>
      <c r="Q100" s="643" t="s">
        <v>677</v>
      </c>
      <c r="R100" s="642" t="s">
        <v>642</v>
      </c>
      <c r="S100" s="642"/>
      <c r="T100" s="642"/>
      <c r="U100" s="642" t="s">
        <v>251</v>
      </c>
      <c r="V100" s="677"/>
      <c r="W100" s="646"/>
      <c r="X100" s="647" t="s">
        <v>669</v>
      </c>
      <c r="Y100" s="646" t="s">
        <v>253</v>
      </c>
      <c r="Z100" s="649">
        <v>2.8789</v>
      </c>
      <c r="AA100" s="650">
        <f t="shared" si="47"/>
        <v>1203.3802</v>
      </c>
      <c r="AB100" s="649">
        <v>418</v>
      </c>
      <c r="AC100" s="649">
        <f t="shared" si="34"/>
        <v>0</v>
      </c>
      <c r="AD100" s="650" t="s">
        <v>106</v>
      </c>
      <c r="AE100" s="661" t="s">
        <v>111</v>
      </c>
      <c r="AF100" s="646" t="s">
        <v>107</v>
      </c>
      <c r="AG100" s="652" t="s">
        <v>43</v>
      </c>
      <c r="AH100" s="646" t="s">
        <v>678</v>
      </c>
      <c r="AI100" s="651"/>
      <c r="AJ100" s="651"/>
      <c r="AK100" s="651"/>
      <c r="AL100" s="652">
        <f t="shared" si="48"/>
        <v>418</v>
      </c>
      <c r="AM100" s="652"/>
      <c r="AN100" s="651"/>
      <c r="AO100" s="649"/>
      <c r="AP100" s="649"/>
      <c r="AQ100" s="653"/>
      <c r="AR100" s="651"/>
      <c r="AS100" s="651"/>
      <c r="AT100" s="652">
        <f t="shared" si="44"/>
        <v>418</v>
      </c>
      <c r="AU100" s="649"/>
      <c r="AV100" s="654"/>
      <c r="AW100" s="656"/>
      <c r="AX100" s="652">
        <f t="shared" si="49"/>
        <v>38</v>
      </c>
      <c r="AY100" s="652"/>
      <c r="AZ100" s="656"/>
      <c r="BA100" s="652"/>
      <c r="BB100" s="652"/>
      <c r="BC100" s="656"/>
      <c r="BD100" s="656"/>
      <c r="BE100" s="654"/>
      <c r="BF100" s="656"/>
      <c r="BG100" s="654"/>
      <c r="BH100" s="654"/>
      <c r="BI100" s="656"/>
      <c r="BJ100" s="656"/>
      <c r="BK100" s="654"/>
      <c r="BL100" s="654"/>
      <c r="BM100" s="654"/>
      <c r="BN100" s="654"/>
      <c r="BO100" s="654"/>
      <c r="BP100" s="656"/>
      <c r="BQ100" s="654"/>
      <c r="BR100" s="656"/>
      <c r="BS100" s="654"/>
      <c r="BT100" s="654"/>
      <c r="BU100" s="654"/>
      <c r="BV100" s="654"/>
      <c r="BW100" s="645" t="s">
        <v>109</v>
      </c>
      <c r="BX100" s="658">
        <f t="shared" si="50"/>
        <v>95</v>
      </c>
      <c r="BY100" s="658">
        <f t="shared" si="51"/>
        <v>114</v>
      </c>
      <c r="BZ100" s="658">
        <f t="shared" si="52"/>
        <v>114</v>
      </c>
      <c r="CA100" s="658">
        <f t="shared" si="53"/>
        <v>95</v>
      </c>
      <c r="CB100" s="644">
        <f t="shared" si="40"/>
        <v>418</v>
      </c>
      <c r="CC100" s="675">
        <f t="shared" si="54"/>
        <v>38</v>
      </c>
      <c r="CD100" s="644">
        <f t="shared" si="33"/>
        <v>418</v>
      </c>
      <c r="CE100" s="644">
        <f t="shared" si="45"/>
        <v>0</v>
      </c>
    </row>
    <row r="101" s="338" customFormat="1" ht="40" customHeight="1" spans="1:83">
      <c r="A101" s="632">
        <v>45695</v>
      </c>
      <c r="B101" s="633" t="s">
        <v>246</v>
      </c>
      <c r="C101" s="634" t="s">
        <v>247</v>
      </c>
      <c r="D101" s="635">
        <v>4500156306</v>
      </c>
      <c r="E101" s="666" t="s">
        <v>679</v>
      </c>
      <c r="F101" s="636" t="s">
        <v>680</v>
      </c>
      <c r="G101" s="637" t="s">
        <v>111</v>
      </c>
      <c r="H101" s="637" t="s">
        <v>99</v>
      </c>
      <c r="I101" s="638">
        <v>176</v>
      </c>
      <c r="J101" s="638">
        <v>0</v>
      </c>
      <c r="K101" s="639">
        <v>22</v>
      </c>
      <c r="L101" s="639">
        <f t="shared" si="46"/>
        <v>8</v>
      </c>
      <c r="M101" s="641">
        <v>45730</v>
      </c>
      <c r="N101" s="641">
        <f>M101-4</f>
        <v>45726</v>
      </c>
      <c r="O101" s="641"/>
      <c r="P101" s="642" t="s">
        <v>100</v>
      </c>
      <c r="Q101" s="643" t="s">
        <v>681</v>
      </c>
      <c r="R101" s="642" t="s">
        <v>642</v>
      </c>
      <c r="S101" s="642"/>
      <c r="T101" s="642"/>
      <c r="U101" s="642" t="s">
        <v>251</v>
      </c>
      <c r="V101" s="677"/>
      <c r="W101" s="646"/>
      <c r="X101" s="647" t="s">
        <v>669</v>
      </c>
      <c r="Y101" s="646" t="s">
        <v>253</v>
      </c>
      <c r="Z101" s="649">
        <v>2.8789</v>
      </c>
      <c r="AA101" s="650">
        <f t="shared" si="47"/>
        <v>506.6864</v>
      </c>
      <c r="AB101" s="649">
        <v>176</v>
      </c>
      <c r="AC101" s="649">
        <f t="shared" si="34"/>
        <v>0</v>
      </c>
      <c r="AD101" s="650" t="s">
        <v>106</v>
      </c>
      <c r="AE101" s="661" t="s">
        <v>111</v>
      </c>
      <c r="AF101" s="646" t="s">
        <v>107</v>
      </c>
      <c r="AG101" s="652" t="s">
        <v>43</v>
      </c>
      <c r="AH101" s="646" t="s">
        <v>682</v>
      </c>
      <c r="AI101" s="651"/>
      <c r="AJ101" s="651"/>
      <c r="AK101" s="651"/>
      <c r="AL101" s="652">
        <f t="shared" si="48"/>
        <v>176</v>
      </c>
      <c r="AM101" s="652"/>
      <c r="AN101" s="651"/>
      <c r="AO101" s="649"/>
      <c r="AP101" s="649"/>
      <c r="AQ101" s="653"/>
      <c r="AR101" s="651"/>
      <c r="AS101" s="651"/>
      <c r="AT101" s="652">
        <f t="shared" si="44"/>
        <v>176</v>
      </c>
      <c r="AU101" s="649"/>
      <c r="AV101" s="654"/>
      <c r="AW101" s="656"/>
      <c r="AX101" s="652">
        <f t="shared" si="49"/>
        <v>16</v>
      </c>
      <c r="AY101" s="652"/>
      <c r="AZ101" s="656"/>
      <c r="BA101" s="652"/>
      <c r="BB101" s="652"/>
      <c r="BC101" s="656"/>
      <c r="BD101" s="656"/>
      <c r="BE101" s="654"/>
      <c r="BF101" s="656"/>
      <c r="BG101" s="654"/>
      <c r="BH101" s="654"/>
      <c r="BI101" s="656"/>
      <c r="BJ101" s="656"/>
      <c r="BK101" s="654"/>
      <c r="BL101" s="654"/>
      <c r="BM101" s="654"/>
      <c r="BN101" s="654"/>
      <c r="BO101" s="654"/>
      <c r="BP101" s="656"/>
      <c r="BQ101" s="654"/>
      <c r="BR101" s="656"/>
      <c r="BS101" s="654"/>
      <c r="BT101" s="654"/>
      <c r="BU101" s="654"/>
      <c r="BV101" s="654"/>
      <c r="BW101" s="645" t="s">
        <v>109</v>
      </c>
      <c r="BX101" s="658">
        <f t="shared" si="50"/>
        <v>40</v>
      </c>
      <c r="BY101" s="658">
        <f t="shared" si="51"/>
        <v>48</v>
      </c>
      <c r="BZ101" s="658">
        <f t="shared" si="52"/>
        <v>48</v>
      </c>
      <c r="CA101" s="658">
        <f t="shared" si="53"/>
        <v>40</v>
      </c>
      <c r="CB101" s="644">
        <f t="shared" si="40"/>
        <v>176</v>
      </c>
      <c r="CC101" s="675">
        <f t="shared" si="54"/>
        <v>16</v>
      </c>
      <c r="CD101" s="644">
        <f t="shared" si="33"/>
        <v>176</v>
      </c>
      <c r="CE101" s="644">
        <f t="shared" si="45"/>
        <v>0</v>
      </c>
    </row>
    <row r="102" s="338" customFormat="1" ht="40" customHeight="1" spans="1:83">
      <c r="A102" s="632">
        <v>45628</v>
      </c>
      <c r="B102" s="633" t="s">
        <v>414</v>
      </c>
      <c r="C102" s="634" t="s">
        <v>415</v>
      </c>
      <c r="D102" s="635">
        <v>4500153106</v>
      </c>
      <c r="E102" s="659" t="s">
        <v>683</v>
      </c>
      <c r="F102" s="636" t="s">
        <v>684</v>
      </c>
      <c r="G102" s="637" t="s">
        <v>111</v>
      </c>
      <c r="H102" s="637" t="s">
        <v>99</v>
      </c>
      <c r="I102" s="638">
        <v>594</v>
      </c>
      <c r="J102" s="638">
        <v>0</v>
      </c>
      <c r="K102" s="639">
        <v>22</v>
      </c>
      <c r="L102" s="639">
        <f t="shared" si="46"/>
        <v>27</v>
      </c>
      <c r="M102" s="641">
        <v>45733</v>
      </c>
      <c r="N102" s="641">
        <v>45729</v>
      </c>
      <c r="O102" s="641"/>
      <c r="P102" s="642" t="s">
        <v>100</v>
      </c>
      <c r="Q102" s="643"/>
      <c r="R102" s="642" t="s">
        <v>419</v>
      </c>
      <c r="S102" s="642"/>
      <c r="T102" s="642"/>
      <c r="U102" s="642" t="s">
        <v>420</v>
      </c>
      <c r="V102" s="677"/>
      <c r="W102" s="646"/>
      <c r="X102" s="647" t="s">
        <v>685</v>
      </c>
      <c r="Y102" s="646" t="s">
        <v>422</v>
      </c>
      <c r="Z102" s="683">
        <v>2.8179</v>
      </c>
      <c r="AA102" s="650">
        <f t="shared" si="47"/>
        <v>1673.8326</v>
      </c>
      <c r="AB102" s="649">
        <v>594</v>
      </c>
      <c r="AC102" s="649">
        <f t="shared" si="34"/>
        <v>0</v>
      </c>
      <c r="AD102" s="650" t="s">
        <v>106</v>
      </c>
      <c r="AE102" s="661" t="s">
        <v>111</v>
      </c>
      <c r="AF102" s="646" t="s">
        <v>107</v>
      </c>
      <c r="AG102" s="652" t="s">
        <v>43</v>
      </c>
      <c r="AH102" s="646" t="s">
        <v>686</v>
      </c>
      <c r="AI102" s="651"/>
      <c r="AJ102" s="651"/>
      <c r="AK102" s="651"/>
      <c r="AL102" s="652">
        <f t="shared" si="48"/>
        <v>594</v>
      </c>
      <c r="AM102" s="652"/>
      <c r="AN102" s="651"/>
      <c r="AO102" s="649"/>
      <c r="AP102" s="649"/>
      <c r="AQ102" s="653"/>
      <c r="AR102" s="651"/>
      <c r="AS102" s="651"/>
      <c r="AT102" s="652">
        <f t="shared" si="44"/>
        <v>594</v>
      </c>
      <c r="AU102" s="649"/>
      <c r="AV102" s="654"/>
      <c r="AW102" s="656"/>
      <c r="AX102" s="652">
        <f t="shared" si="49"/>
        <v>54</v>
      </c>
      <c r="AY102" s="652"/>
      <c r="AZ102" s="656"/>
      <c r="BA102" s="654"/>
      <c r="BB102" s="654"/>
      <c r="BC102" s="656"/>
      <c r="BD102" s="656"/>
      <c r="BE102" s="654"/>
      <c r="BF102" s="656"/>
      <c r="BG102" s="654"/>
      <c r="BH102" s="654"/>
      <c r="BI102" s="656"/>
      <c r="BJ102" s="656"/>
      <c r="BK102" s="654"/>
      <c r="BL102" s="654"/>
      <c r="BM102" s="654"/>
      <c r="BN102" s="654"/>
      <c r="BO102" s="654"/>
      <c r="BP102" s="656"/>
      <c r="BQ102" s="654"/>
      <c r="BR102" s="656"/>
      <c r="BS102" s="654"/>
      <c r="BT102" s="654"/>
      <c r="BU102" s="654"/>
      <c r="BV102" s="654"/>
      <c r="BW102" s="645" t="s">
        <v>109</v>
      </c>
      <c r="BX102" s="658">
        <f t="shared" si="50"/>
        <v>135</v>
      </c>
      <c r="BY102" s="658">
        <f t="shared" si="51"/>
        <v>162</v>
      </c>
      <c r="BZ102" s="658">
        <f t="shared" si="52"/>
        <v>162</v>
      </c>
      <c r="CA102" s="658">
        <f t="shared" si="53"/>
        <v>135</v>
      </c>
      <c r="CB102" s="644">
        <f t="shared" si="40"/>
        <v>594</v>
      </c>
      <c r="CC102" s="658">
        <f t="shared" si="54"/>
        <v>54</v>
      </c>
      <c r="CD102" s="644">
        <f t="shared" si="33"/>
        <v>594</v>
      </c>
      <c r="CE102" s="644">
        <f t="shared" si="45"/>
        <v>0</v>
      </c>
    </row>
    <row r="103" s="338" customFormat="1" ht="40" customHeight="1" spans="1:83">
      <c r="A103" s="632">
        <v>45683</v>
      </c>
      <c r="B103" s="633" t="s">
        <v>465</v>
      </c>
      <c r="C103" s="634" t="s">
        <v>466</v>
      </c>
      <c r="D103" s="635">
        <v>4500156659</v>
      </c>
      <c r="E103" s="659"/>
      <c r="F103" s="636" t="s">
        <v>687</v>
      </c>
      <c r="G103" s="637" t="s">
        <v>111</v>
      </c>
      <c r="H103" s="637" t="s">
        <v>99</v>
      </c>
      <c r="I103" s="638">
        <v>506</v>
      </c>
      <c r="J103" s="638">
        <v>0</v>
      </c>
      <c r="K103" s="639">
        <v>22</v>
      </c>
      <c r="L103" s="639">
        <f t="shared" si="46"/>
        <v>23</v>
      </c>
      <c r="M103" s="641">
        <v>45734</v>
      </c>
      <c r="N103" s="641">
        <f>M103-4</f>
        <v>45730</v>
      </c>
      <c r="O103" s="641"/>
      <c r="P103" s="642" t="s">
        <v>100</v>
      </c>
      <c r="Q103" s="643" t="s">
        <v>688</v>
      </c>
      <c r="R103" s="642" t="s">
        <v>689</v>
      </c>
      <c r="S103" s="642"/>
      <c r="T103" s="642"/>
      <c r="U103" s="642" t="s">
        <v>690</v>
      </c>
      <c r="V103" s="677"/>
      <c r="W103" s="646"/>
      <c r="X103" s="647" t="s">
        <v>691</v>
      </c>
      <c r="Y103" s="646" t="s">
        <v>105</v>
      </c>
      <c r="Z103" s="683">
        <v>2.8179</v>
      </c>
      <c r="AA103" s="650">
        <f t="shared" si="47"/>
        <v>1425.8574</v>
      </c>
      <c r="AB103" s="649">
        <v>506</v>
      </c>
      <c r="AC103" s="649">
        <f t="shared" si="34"/>
        <v>0</v>
      </c>
      <c r="AD103" s="650" t="s">
        <v>106</v>
      </c>
      <c r="AE103" s="661" t="s">
        <v>111</v>
      </c>
      <c r="AF103" s="646" t="s">
        <v>107</v>
      </c>
      <c r="AG103" s="652" t="s">
        <v>43</v>
      </c>
      <c r="AH103" s="646" t="s">
        <v>692</v>
      </c>
      <c r="AI103" s="649"/>
      <c r="AJ103" s="649"/>
      <c r="AK103" s="649"/>
      <c r="AL103" s="652">
        <f t="shared" si="48"/>
        <v>506</v>
      </c>
      <c r="AM103" s="652"/>
      <c r="AN103" s="649"/>
      <c r="AO103" s="649"/>
      <c r="AP103" s="649"/>
      <c r="AQ103" s="653"/>
      <c r="AR103" s="649"/>
      <c r="AS103" s="649"/>
      <c r="AT103" s="652">
        <f t="shared" ref="AT103:AT112" si="55">I103</f>
        <v>506</v>
      </c>
      <c r="AU103" s="649"/>
      <c r="AV103" s="654"/>
      <c r="AW103" s="654"/>
      <c r="AX103" s="652">
        <f t="shared" si="49"/>
        <v>46</v>
      </c>
      <c r="AY103" s="652"/>
      <c r="AZ103" s="654"/>
      <c r="BA103" s="654"/>
      <c r="BB103" s="654"/>
      <c r="BC103" s="654"/>
      <c r="BD103" s="654"/>
      <c r="BE103" s="654"/>
      <c r="BF103" s="654"/>
      <c r="BG103" s="654"/>
      <c r="BH103" s="654"/>
      <c r="BI103" s="654"/>
      <c r="BJ103" s="654"/>
      <c r="BK103" s="654"/>
      <c r="BL103" s="654"/>
      <c r="BM103" s="654"/>
      <c r="BN103" s="654"/>
      <c r="BO103" s="654"/>
      <c r="BP103" s="654"/>
      <c r="BQ103" s="654"/>
      <c r="BR103" s="654"/>
      <c r="BS103" s="654"/>
      <c r="BT103" s="654"/>
      <c r="BU103" s="654"/>
      <c r="BV103" s="654"/>
      <c r="BW103" s="645" t="s">
        <v>109</v>
      </c>
      <c r="BX103" s="658">
        <f t="shared" si="50"/>
        <v>115</v>
      </c>
      <c r="BY103" s="658">
        <f t="shared" si="51"/>
        <v>138</v>
      </c>
      <c r="BZ103" s="658">
        <f t="shared" si="52"/>
        <v>138</v>
      </c>
      <c r="CA103" s="658">
        <f t="shared" si="53"/>
        <v>115</v>
      </c>
      <c r="CB103" s="644">
        <f t="shared" si="40"/>
        <v>506</v>
      </c>
      <c r="CC103" s="675">
        <f t="shared" si="54"/>
        <v>46</v>
      </c>
      <c r="CD103" s="644">
        <f t="shared" si="33"/>
        <v>506</v>
      </c>
      <c r="CE103" s="644">
        <f t="shared" si="45"/>
        <v>0</v>
      </c>
    </row>
    <row r="104" s="338" customFormat="1" ht="40" customHeight="1" spans="1:83">
      <c r="A104" s="632">
        <v>45601</v>
      </c>
      <c r="B104" s="633" t="s">
        <v>424</v>
      </c>
      <c r="C104" s="634" t="s">
        <v>380</v>
      </c>
      <c r="D104" s="635">
        <v>4500150158</v>
      </c>
      <c r="E104" s="659" t="s">
        <v>693</v>
      </c>
      <c r="F104" s="636" t="s">
        <v>694</v>
      </c>
      <c r="G104" s="637" t="s">
        <v>427</v>
      </c>
      <c r="H104" s="637" t="s">
        <v>99</v>
      </c>
      <c r="I104" s="638">
        <v>1197</v>
      </c>
      <c r="J104" s="638">
        <v>0</v>
      </c>
      <c r="K104" s="639">
        <v>7</v>
      </c>
      <c r="L104" s="639">
        <f t="shared" si="46"/>
        <v>171</v>
      </c>
      <c r="M104" s="641">
        <v>45737</v>
      </c>
      <c r="N104" s="641">
        <v>45733</v>
      </c>
      <c r="O104" s="641"/>
      <c r="P104" s="642" t="s">
        <v>100</v>
      </c>
      <c r="Q104" s="643" t="s">
        <v>673</v>
      </c>
      <c r="R104" s="642" t="s">
        <v>429</v>
      </c>
      <c r="S104" s="642"/>
      <c r="T104" s="642"/>
      <c r="U104" s="642" t="s">
        <v>113</v>
      </c>
      <c r="V104" s="677"/>
      <c r="W104" s="646"/>
      <c r="X104" s="647" t="s">
        <v>695</v>
      </c>
      <c r="Y104" s="646" t="s">
        <v>152</v>
      </c>
      <c r="Z104" s="648">
        <v>2.8304</v>
      </c>
      <c r="AA104" s="650">
        <f t="shared" si="47"/>
        <v>3387.9888</v>
      </c>
      <c r="AB104" s="649">
        <v>1197</v>
      </c>
      <c r="AC104" s="649">
        <f t="shared" si="34"/>
        <v>0</v>
      </c>
      <c r="AD104" s="650"/>
      <c r="AE104" s="637" t="s">
        <v>427</v>
      </c>
      <c r="AF104" s="646" t="s">
        <v>107</v>
      </c>
      <c r="AG104" s="652" t="s">
        <v>43</v>
      </c>
      <c r="AH104" s="646" t="s">
        <v>696</v>
      </c>
      <c r="AI104" s="651"/>
      <c r="AJ104" s="651"/>
      <c r="AK104" s="651"/>
      <c r="AL104" s="652">
        <f t="shared" si="48"/>
        <v>1197</v>
      </c>
      <c r="AM104" s="652"/>
      <c r="AN104" s="651"/>
      <c r="AO104" s="649"/>
      <c r="AP104" s="649"/>
      <c r="AQ104" s="653"/>
      <c r="AR104" s="651"/>
      <c r="AS104" s="651"/>
      <c r="AT104" s="652">
        <f t="shared" si="55"/>
        <v>1197</v>
      </c>
      <c r="AU104" s="649"/>
      <c r="AV104" s="654"/>
      <c r="AW104" s="656"/>
      <c r="AX104" s="652"/>
      <c r="AY104" s="652"/>
      <c r="AZ104" s="656"/>
      <c r="BA104" s="654"/>
      <c r="BB104" s="654"/>
      <c r="BC104" s="656"/>
      <c r="BD104" s="656"/>
      <c r="BE104" s="654"/>
      <c r="BF104" s="656"/>
      <c r="BG104" s="652">
        <f>I104/7</f>
        <v>171</v>
      </c>
      <c r="BH104" s="652"/>
      <c r="BI104" s="656"/>
      <c r="BJ104" s="656"/>
      <c r="BK104" s="654"/>
      <c r="BL104" s="654"/>
      <c r="BM104" s="654"/>
      <c r="BN104" s="654"/>
      <c r="BO104" s="654"/>
      <c r="BP104" s="656"/>
      <c r="BQ104" s="654"/>
      <c r="BR104" s="656"/>
      <c r="BS104" s="654"/>
      <c r="BT104" s="654"/>
      <c r="BU104" s="654"/>
      <c r="BV104" s="654"/>
      <c r="BW104" s="645" t="s">
        <v>109</v>
      </c>
      <c r="BX104" s="658">
        <f>I104/4</f>
        <v>299.25</v>
      </c>
      <c r="BY104" s="658">
        <f>I104/4</f>
        <v>299.25</v>
      </c>
      <c r="BZ104" s="658">
        <f>I104/4</f>
        <v>299.25</v>
      </c>
      <c r="CA104" s="658">
        <f>I104/4</f>
        <v>299.25</v>
      </c>
      <c r="CB104" s="644">
        <f t="shared" si="40"/>
        <v>1197</v>
      </c>
      <c r="CC104" s="644">
        <f>I104/7</f>
        <v>171</v>
      </c>
      <c r="CD104" s="644">
        <f t="shared" si="33"/>
        <v>1197</v>
      </c>
      <c r="CE104" s="644">
        <f>CD104-I104</f>
        <v>0</v>
      </c>
    </row>
    <row r="105" s="338" customFormat="1" ht="40" customHeight="1" spans="1:83">
      <c r="A105" s="632">
        <v>45651</v>
      </c>
      <c r="B105" s="633" t="s">
        <v>432</v>
      </c>
      <c r="C105" s="634" t="s">
        <v>380</v>
      </c>
      <c r="D105" s="635">
        <v>4500154348</v>
      </c>
      <c r="E105" s="659" t="s">
        <v>697</v>
      </c>
      <c r="F105" s="636" t="s">
        <v>698</v>
      </c>
      <c r="G105" s="637" t="s">
        <v>98</v>
      </c>
      <c r="H105" s="637" t="s">
        <v>99</v>
      </c>
      <c r="I105" s="638">
        <v>504</v>
      </c>
      <c r="J105" s="638">
        <v>0</v>
      </c>
      <c r="K105" s="639">
        <v>24</v>
      </c>
      <c r="L105" s="639">
        <f t="shared" si="46"/>
        <v>21</v>
      </c>
      <c r="M105" s="641">
        <v>45737</v>
      </c>
      <c r="N105" s="641">
        <v>45733</v>
      </c>
      <c r="O105" s="641"/>
      <c r="P105" s="642" t="s">
        <v>100</v>
      </c>
      <c r="Q105" s="643" t="s">
        <v>673</v>
      </c>
      <c r="R105" s="642" t="s">
        <v>699</v>
      </c>
      <c r="S105" s="642"/>
      <c r="T105" s="642"/>
      <c r="U105" s="642" t="s">
        <v>700</v>
      </c>
      <c r="V105" s="677"/>
      <c r="W105" s="646"/>
      <c r="X105" s="647" t="s">
        <v>701</v>
      </c>
      <c r="Y105" s="646" t="s">
        <v>578</v>
      </c>
      <c r="Z105" s="648">
        <v>2.5695</v>
      </c>
      <c r="AA105" s="650">
        <f t="shared" si="47"/>
        <v>1295.028</v>
      </c>
      <c r="AB105" s="649">
        <v>504</v>
      </c>
      <c r="AC105" s="649">
        <f t="shared" si="34"/>
        <v>0</v>
      </c>
      <c r="AD105" s="650" t="s">
        <v>123</v>
      </c>
      <c r="AE105" s="637" t="s">
        <v>98</v>
      </c>
      <c r="AF105" s="646" t="s">
        <v>107</v>
      </c>
      <c r="AG105" s="652" t="s">
        <v>43</v>
      </c>
      <c r="AH105" s="646" t="s">
        <v>702</v>
      </c>
      <c r="AI105" s="651"/>
      <c r="AJ105" s="651"/>
      <c r="AK105" s="651"/>
      <c r="AL105" s="652">
        <f t="shared" si="48"/>
        <v>504</v>
      </c>
      <c r="AM105" s="652"/>
      <c r="AN105" s="651"/>
      <c r="AO105" s="649"/>
      <c r="AP105" s="649"/>
      <c r="AQ105" s="653"/>
      <c r="AR105" s="651"/>
      <c r="AS105" s="651"/>
      <c r="AT105" s="652">
        <f t="shared" si="55"/>
        <v>504</v>
      </c>
      <c r="AU105" s="649"/>
      <c r="AV105" s="654"/>
      <c r="AW105" s="656"/>
      <c r="AX105" s="652"/>
      <c r="AY105" s="652"/>
      <c r="AZ105" s="656"/>
      <c r="BA105" s="654"/>
      <c r="BB105" s="654"/>
      <c r="BC105" s="656"/>
      <c r="BD105" s="656"/>
      <c r="BE105" s="654"/>
      <c r="BF105" s="656"/>
      <c r="BG105" s="654"/>
      <c r="BH105" s="654"/>
      <c r="BI105" s="656"/>
      <c r="BJ105" s="656"/>
      <c r="BK105" s="654"/>
      <c r="BL105" s="654"/>
      <c r="BM105" s="654"/>
      <c r="BN105" s="654"/>
      <c r="BO105" s="654"/>
      <c r="BP105" s="656"/>
      <c r="BQ105" s="654"/>
      <c r="BR105" s="656"/>
      <c r="BS105" s="654"/>
      <c r="BT105" s="654"/>
      <c r="BU105" s="654"/>
      <c r="BV105" s="654"/>
      <c r="BW105" s="645" t="s">
        <v>109</v>
      </c>
      <c r="BX105" s="658">
        <f>I105/4</f>
        <v>126</v>
      </c>
      <c r="BY105" s="658">
        <f>I105/4</f>
        <v>126</v>
      </c>
      <c r="BZ105" s="658">
        <f>I105/4</f>
        <v>126</v>
      </c>
      <c r="CA105" s="658">
        <f>I105/4</f>
        <v>126</v>
      </c>
      <c r="CB105" s="644">
        <f t="shared" si="40"/>
        <v>504</v>
      </c>
      <c r="CC105" s="658"/>
      <c r="CD105" s="644">
        <f t="shared" si="33"/>
        <v>504</v>
      </c>
      <c r="CE105" s="644">
        <f t="shared" ref="CE105:CE168" si="56">I105-CD105</f>
        <v>0</v>
      </c>
    </row>
    <row r="106" s="338" customFormat="1" ht="40" customHeight="1" spans="1:83">
      <c r="A106" s="632">
        <v>45695</v>
      </c>
      <c r="B106" s="633" t="s">
        <v>703</v>
      </c>
      <c r="C106" s="634" t="s">
        <v>704</v>
      </c>
      <c r="D106" s="635">
        <v>4500156940</v>
      </c>
      <c r="E106" s="659"/>
      <c r="F106" s="636" t="s">
        <v>705</v>
      </c>
      <c r="G106" s="637" t="s">
        <v>111</v>
      </c>
      <c r="H106" s="637" t="s">
        <v>99</v>
      </c>
      <c r="I106" s="638">
        <v>616</v>
      </c>
      <c r="J106" s="638">
        <v>0</v>
      </c>
      <c r="K106" s="639">
        <v>22</v>
      </c>
      <c r="L106" s="639">
        <f t="shared" si="46"/>
        <v>28</v>
      </c>
      <c r="M106" s="641">
        <v>45737</v>
      </c>
      <c r="N106" s="641">
        <f>M106-4</f>
        <v>45733</v>
      </c>
      <c r="O106" s="641"/>
      <c r="P106" s="642" t="s">
        <v>100</v>
      </c>
      <c r="Q106" s="643" t="s">
        <v>668</v>
      </c>
      <c r="R106" s="642" t="s">
        <v>642</v>
      </c>
      <c r="S106" s="642"/>
      <c r="T106" s="642"/>
      <c r="U106" s="642" t="s">
        <v>613</v>
      </c>
      <c r="V106" s="677"/>
      <c r="W106" s="646"/>
      <c r="X106" s="647" t="s">
        <v>706</v>
      </c>
      <c r="Y106" s="646" t="s">
        <v>707</v>
      </c>
      <c r="Z106" s="683">
        <v>2.7825</v>
      </c>
      <c r="AA106" s="650">
        <f t="shared" si="47"/>
        <v>1714.02</v>
      </c>
      <c r="AB106" s="649">
        <v>616</v>
      </c>
      <c r="AC106" s="649">
        <f t="shared" si="34"/>
        <v>0</v>
      </c>
      <c r="AD106" s="650" t="s">
        <v>123</v>
      </c>
      <c r="AE106" s="661" t="s">
        <v>111</v>
      </c>
      <c r="AF106" s="646" t="s">
        <v>107</v>
      </c>
      <c r="AG106" s="652" t="s">
        <v>43</v>
      </c>
      <c r="AH106" s="646" t="s">
        <v>708</v>
      </c>
      <c r="AI106" s="649"/>
      <c r="AJ106" s="649"/>
      <c r="AK106" s="649"/>
      <c r="AL106" s="652">
        <f t="shared" si="48"/>
        <v>616</v>
      </c>
      <c r="AM106" s="652"/>
      <c r="AN106" s="649"/>
      <c r="AO106" s="649"/>
      <c r="AP106" s="649"/>
      <c r="AQ106" s="653"/>
      <c r="AR106" s="649"/>
      <c r="AS106" s="649"/>
      <c r="AT106" s="652">
        <f t="shared" si="55"/>
        <v>616</v>
      </c>
      <c r="AU106" s="649"/>
      <c r="AV106" s="654"/>
      <c r="AW106" s="654"/>
      <c r="AX106" s="652">
        <f>I106/11</f>
        <v>56</v>
      </c>
      <c r="AY106" s="652"/>
      <c r="AZ106" s="654"/>
      <c r="BA106" s="654"/>
      <c r="BB106" s="654"/>
      <c r="BC106" s="654"/>
      <c r="BD106" s="654"/>
      <c r="BE106" s="654"/>
      <c r="BF106" s="654"/>
      <c r="BG106" s="654"/>
      <c r="BH106" s="654"/>
      <c r="BI106" s="654"/>
      <c r="BJ106" s="654"/>
      <c r="BK106" s="654"/>
      <c r="BL106" s="654"/>
      <c r="BM106" s="654"/>
      <c r="BN106" s="654"/>
      <c r="BO106" s="654"/>
      <c r="BP106" s="654"/>
      <c r="BQ106" s="654"/>
      <c r="BR106" s="654"/>
      <c r="BS106" s="654"/>
      <c r="BT106" s="654"/>
      <c r="BU106" s="654"/>
      <c r="BV106" s="654"/>
      <c r="BW106" s="645" t="s">
        <v>109</v>
      </c>
      <c r="BX106" s="658">
        <f>I106/22*5</f>
        <v>140</v>
      </c>
      <c r="BY106" s="658">
        <f>I106/22*6</f>
        <v>168</v>
      </c>
      <c r="BZ106" s="658">
        <f>I106/22*6</f>
        <v>168</v>
      </c>
      <c r="CA106" s="658">
        <f>I106/22*5</f>
        <v>140</v>
      </c>
      <c r="CB106" s="644">
        <f t="shared" si="40"/>
        <v>616</v>
      </c>
      <c r="CC106" s="658">
        <f>I106/11</f>
        <v>56</v>
      </c>
      <c r="CD106" s="644">
        <f t="shared" si="33"/>
        <v>616</v>
      </c>
      <c r="CE106" s="644">
        <f t="shared" si="56"/>
        <v>0</v>
      </c>
    </row>
    <row r="107" s="338" customFormat="1" ht="40" customHeight="1" spans="1:83">
      <c r="A107" s="632">
        <v>45702</v>
      </c>
      <c r="B107" s="633" t="s">
        <v>709</v>
      </c>
      <c r="C107" s="634" t="s">
        <v>247</v>
      </c>
      <c r="D107" s="635">
        <v>4500157706</v>
      </c>
      <c r="E107" s="659">
        <v>2450665</v>
      </c>
      <c r="F107" s="636" t="s">
        <v>710</v>
      </c>
      <c r="G107" s="637" t="s">
        <v>111</v>
      </c>
      <c r="H107" s="637" t="s">
        <v>99</v>
      </c>
      <c r="I107" s="638">
        <v>1804</v>
      </c>
      <c r="J107" s="638">
        <v>0</v>
      </c>
      <c r="K107" s="639">
        <v>22</v>
      </c>
      <c r="L107" s="639">
        <f t="shared" si="46"/>
        <v>82</v>
      </c>
      <c r="M107" s="641">
        <v>45733</v>
      </c>
      <c r="N107" s="641">
        <v>45729</v>
      </c>
      <c r="O107" s="641"/>
      <c r="P107" s="642" t="s">
        <v>100</v>
      </c>
      <c r="Q107" s="643" t="s">
        <v>711</v>
      </c>
      <c r="R107" s="642" t="s">
        <v>712</v>
      </c>
      <c r="S107" s="642"/>
      <c r="T107" s="642"/>
      <c r="U107" s="642" t="s">
        <v>713</v>
      </c>
      <c r="V107" s="677"/>
      <c r="W107" s="646"/>
      <c r="X107" s="647" t="s">
        <v>714</v>
      </c>
      <c r="Y107" s="646" t="s">
        <v>253</v>
      </c>
      <c r="Z107" s="683">
        <v>2.8789</v>
      </c>
      <c r="AA107" s="650">
        <f t="shared" si="47"/>
        <v>5193.5356</v>
      </c>
      <c r="AB107" s="649">
        <v>1804</v>
      </c>
      <c r="AC107" s="649">
        <f t="shared" si="34"/>
        <v>0</v>
      </c>
      <c r="AD107" s="650" t="s">
        <v>106</v>
      </c>
      <c r="AE107" s="637" t="s">
        <v>111</v>
      </c>
      <c r="AF107" s="646" t="s">
        <v>107</v>
      </c>
      <c r="AG107" s="652" t="s">
        <v>43</v>
      </c>
      <c r="AH107" s="646" t="s">
        <v>715</v>
      </c>
      <c r="AI107" s="651"/>
      <c r="AJ107" s="651"/>
      <c r="AK107" s="651"/>
      <c r="AL107" s="652">
        <f t="shared" si="48"/>
        <v>1804</v>
      </c>
      <c r="AM107" s="652"/>
      <c r="AN107" s="651"/>
      <c r="AO107" s="649"/>
      <c r="AP107" s="649"/>
      <c r="AQ107" s="653"/>
      <c r="AR107" s="651"/>
      <c r="AS107" s="651"/>
      <c r="AT107" s="652">
        <f t="shared" si="55"/>
        <v>1804</v>
      </c>
      <c r="AU107" s="649"/>
      <c r="AV107" s="654"/>
      <c r="AW107" s="656"/>
      <c r="AX107" s="652">
        <f>I107/11</f>
        <v>164</v>
      </c>
      <c r="AY107" s="652"/>
      <c r="AZ107" s="656"/>
      <c r="BA107" s="654"/>
      <c r="BB107" s="654"/>
      <c r="BC107" s="656"/>
      <c r="BD107" s="656"/>
      <c r="BE107" s="654"/>
      <c r="BF107" s="656"/>
      <c r="BG107" s="654"/>
      <c r="BH107" s="654"/>
      <c r="BI107" s="656"/>
      <c r="BJ107" s="656"/>
      <c r="BK107" s="654"/>
      <c r="BL107" s="654"/>
      <c r="BM107" s="654"/>
      <c r="BN107" s="654"/>
      <c r="BO107" s="654"/>
      <c r="BP107" s="656"/>
      <c r="BQ107" s="654"/>
      <c r="BR107" s="656"/>
      <c r="BS107" s="654"/>
      <c r="BT107" s="654"/>
      <c r="BU107" s="654"/>
      <c r="BV107" s="654"/>
      <c r="BW107" s="645" t="s">
        <v>109</v>
      </c>
      <c r="BX107" s="658">
        <f>I107/22*5</f>
        <v>410</v>
      </c>
      <c r="BY107" s="658">
        <f>I107/22*6</f>
        <v>492</v>
      </c>
      <c r="BZ107" s="658">
        <f>I107/22*6</f>
        <v>492</v>
      </c>
      <c r="CA107" s="658">
        <f>I107/22*5</f>
        <v>410</v>
      </c>
      <c r="CB107" s="644">
        <f t="shared" si="40"/>
        <v>1804</v>
      </c>
      <c r="CC107" s="658">
        <f>I107/11</f>
        <v>164</v>
      </c>
      <c r="CD107" s="644">
        <f t="shared" si="33"/>
        <v>1804</v>
      </c>
      <c r="CE107" s="644">
        <f t="shared" si="56"/>
        <v>0</v>
      </c>
    </row>
    <row r="108" s="338" customFormat="1" ht="40" customHeight="1" spans="1:83">
      <c r="A108" s="632">
        <v>45699</v>
      </c>
      <c r="B108" s="659" t="s">
        <v>716</v>
      </c>
      <c r="C108" s="634" t="s">
        <v>214</v>
      </c>
      <c r="D108" s="635">
        <v>4500157168</v>
      </c>
      <c r="E108" s="659">
        <v>4551467042</v>
      </c>
      <c r="F108" s="636" t="s">
        <v>717</v>
      </c>
      <c r="G108" s="637" t="s">
        <v>718</v>
      </c>
      <c r="H108" s="637" t="s">
        <v>99</v>
      </c>
      <c r="I108" s="638">
        <v>1452</v>
      </c>
      <c r="J108" s="638">
        <v>0</v>
      </c>
      <c r="K108" s="639">
        <v>6</v>
      </c>
      <c r="L108" s="639">
        <f t="shared" si="46"/>
        <v>242</v>
      </c>
      <c r="M108" s="641">
        <v>45740</v>
      </c>
      <c r="N108" s="641">
        <v>45736</v>
      </c>
      <c r="O108" s="641" t="s">
        <v>719</v>
      </c>
      <c r="P108" s="642" t="s">
        <v>100</v>
      </c>
      <c r="Q108" s="643" t="s">
        <v>720</v>
      </c>
      <c r="R108" s="642" t="s">
        <v>721</v>
      </c>
      <c r="S108" s="642"/>
      <c r="T108" s="642"/>
      <c r="U108" s="642" t="s">
        <v>722</v>
      </c>
      <c r="V108" s="642"/>
      <c r="W108" s="645" t="s">
        <v>723</v>
      </c>
      <c r="X108" s="647" t="s">
        <v>724</v>
      </c>
      <c r="Y108" s="646" t="s">
        <v>725</v>
      </c>
      <c r="Z108" s="648">
        <v>2.771</v>
      </c>
      <c r="AA108" s="650">
        <f>Z108*I108</f>
        <v>4023.492</v>
      </c>
      <c r="AB108" s="649">
        <v>1452</v>
      </c>
      <c r="AC108" s="649">
        <f t="shared" si="34"/>
        <v>0</v>
      </c>
      <c r="AD108" s="650" t="s">
        <v>123</v>
      </c>
      <c r="AE108" s="637" t="s">
        <v>718</v>
      </c>
      <c r="AF108" s="646" t="s">
        <v>107</v>
      </c>
      <c r="AG108" s="652" t="s">
        <v>43</v>
      </c>
      <c r="AH108" s="646" t="s">
        <v>726</v>
      </c>
      <c r="AI108" s="649"/>
      <c r="AJ108" s="649"/>
      <c r="AK108" s="649"/>
      <c r="AL108" s="652">
        <f t="shared" si="48"/>
        <v>1452</v>
      </c>
      <c r="AM108" s="652"/>
      <c r="AN108" s="649"/>
      <c r="AO108" s="649"/>
      <c r="AP108" s="649"/>
      <c r="AQ108" s="653"/>
      <c r="AR108" s="649"/>
      <c r="AS108" s="649"/>
      <c r="AT108" s="652">
        <f t="shared" si="55"/>
        <v>1452</v>
      </c>
      <c r="AU108" s="649"/>
      <c r="AV108" s="654"/>
      <c r="AW108" s="652"/>
      <c r="AX108" s="652"/>
      <c r="AY108" s="652"/>
      <c r="AZ108" s="654"/>
      <c r="BA108" s="652"/>
      <c r="BB108" s="652"/>
      <c r="BC108" s="654"/>
      <c r="BD108" s="654"/>
      <c r="BE108" s="654"/>
      <c r="BF108" s="654"/>
      <c r="BG108" s="654"/>
      <c r="BH108" s="654"/>
      <c r="BI108" s="654"/>
      <c r="BJ108" s="654"/>
      <c r="BK108" s="652">
        <f>I108/6</f>
        <v>242</v>
      </c>
      <c r="BL108" s="652"/>
      <c r="BM108" s="654"/>
      <c r="BN108" s="654"/>
      <c r="BO108" s="654"/>
      <c r="BP108" s="654"/>
      <c r="BQ108" s="654"/>
      <c r="BR108" s="654"/>
      <c r="BS108" s="654"/>
      <c r="BT108" s="654"/>
      <c r="BU108" s="654"/>
      <c r="BV108" s="654"/>
      <c r="BW108" s="645" t="s">
        <v>109</v>
      </c>
      <c r="BX108" s="658">
        <f>I108/4</f>
        <v>363</v>
      </c>
      <c r="BY108" s="658">
        <f>I108/4</f>
        <v>363</v>
      </c>
      <c r="BZ108" s="658">
        <f>I108/4</f>
        <v>363</v>
      </c>
      <c r="CA108" s="658">
        <f>I108/4</f>
        <v>363</v>
      </c>
      <c r="CB108" s="644">
        <f t="shared" si="40"/>
        <v>1452</v>
      </c>
      <c r="CC108" s="644"/>
      <c r="CD108" s="644">
        <f t="shared" si="33"/>
        <v>1452</v>
      </c>
      <c r="CE108" s="644">
        <f t="shared" si="56"/>
        <v>0</v>
      </c>
    </row>
    <row r="109" s="338" customFormat="1" ht="40" customHeight="1" spans="1:83">
      <c r="A109" s="632">
        <v>45699</v>
      </c>
      <c r="B109" s="659" t="s">
        <v>716</v>
      </c>
      <c r="C109" s="634" t="s">
        <v>214</v>
      </c>
      <c r="D109" s="635">
        <v>4500157168</v>
      </c>
      <c r="E109" s="659">
        <v>4551466906</v>
      </c>
      <c r="F109" s="636" t="s">
        <v>727</v>
      </c>
      <c r="G109" s="637" t="s">
        <v>718</v>
      </c>
      <c r="H109" s="637" t="s">
        <v>99</v>
      </c>
      <c r="I109" s="638">
        <v>2226</v>
      </c>
      <c r="J109" s="638">
        <v>0</v>
      </c>
      <c r="K109" s="639">
        <v>6</v>
      </c>
      <c r="L109" s="639">
        <f t="shared" si="46"/>
        <v>371</v>
      </c>
      <c r="M109" s="641">
        <v>45740</v>
      </c>
      <c r="N109" s="641">
        <v>45736</v>
      </c>
      <c r="O109" s="641" t="s">
        <v>719</v>
      </c>
      <c r="P109" s="642" t="s">
        <v>100</v>
      </c>
      <c r="Q109" s="643" t="s">
        <v>720</v>
      </c>
      <c r="R109" s="642" t="s">
        <v>721</v>
      </c>
      <c r="S109" s="642"/>
      <c r="T109" s="642"/>
      <c r="U109" s="642" t="s">
        <v>722</v>
      </c>
      <c r="V109" s="642"/>
      <c r="W109" s="645" t="s">
        <v>723</v>
      </c>
      <c r="X109" s="647" t="s">
        <v>724</v>
      </c>
      <c r="Y109" s="646" t="s">
        <v>725</v>
      </c>
      <c r="Z109" s="648">
        <v>2.7615</v>
      </c>
      <c r="AA109" s="650">
        <f>Z109*I109</f>
        <v>6147.099</v>
      </c>
      <c r="AB109" s="649">
        <v>2226</v>
      </c>
      <c r="AC109" s="649">
        <f t="shared" si="34"/>
        <v>0</v>
      </c>
      <c r="AD109" s="650" t="s">
        <v>123</v>
      </c>
      <c r="AE109" s="637" t="s">
        <v>718</v>
      </c>
      <c r="AF109" s="646" t="s">
        <v>107</v>
      </c>
      <c r="AG109" s="652" t="s">
        <v>43</v>
      </c>
      <c r="AH109" s="646" t="s">
        <v>726</v>
      </c>
      <c r="AI109" s="649"/>
      <c r="AJ109" s="649"/>
      <c r="AK109" s="649"/>
      <c r="AL109" s="652">
        <f t="shared" si="48"/>
        <v>2226</v>
      </c>
      <c r="AM109" s="652"/>
      <c r="AN109" s="649"/>
      <c r="AO109" s="649"/>
      <c r="AP109" s="649"/>
      <c r="AQ109" s="653"/>
      <c r="AR109" s="649"/>
      <c r="AS109" s="649"/>
      <c r="AT109" s="652">
        <f t="shared" si="55"/>
        <v>2226</v>
      </c>
      <c r="AU109" s="649"/>
      <c r="AV109" s="654"/>
      <c r="AW109" s="652"/>
      <c r="AX109" s="652"/>
      <c r="AY109" s="652"/>
      <c r="AZ109" s="654"/>
      <c r="BA109" s="652"/>
      <c r="BB109" s="652"/>
      <c r="BC109" s="654"/>
      <c r="BD109" s="654"/>
      <c r="BE109" s="654"/>
      <c r="BF109" s="654"/>
      <c r="BG109" s="654"/>
      <c r="BH109" s="654"/>
      <c r="BI109" s="654"/>
      <c r="BJ109" s="654"/>
      <c r="BK109" s="652">
        <f>I109/6</f>
        <v>371</v>
      </c>
      <c r="BL109" s="652"/>
      <c r="BM109" s="654"/>
      <c r="BN109" s="654"/>
      <c r="BO109" s="654"/>
      <c r="BP109" s="654"/>
      <c r="BQ109" s="654"/>
      <c r="BR109" s="654"/>
      <c r="BS109" s="654"/>
      <c r="BT109" s="654"/>
      <c r="BU109" s="654"/>
      <c r="BV109" s="654"/>
      <c r="BW109" s="645" t="s">
        <v>109</v>
      </c>
      <c r="BX109" s="658">
        <f>I109/4</f>
        <v>556.5</v>
      </c>
      <c r="BY109" s="658">
        <f>I109/4</f>
        <v>556.5</v>
      </c>
      <c r="BZ109" s="658">
        <f>I109/4</f>
        <v>556.5</v>
      </c>
      <c r="CA109" s="658">
        <f>I109/4</f>
        <v>556.5</v>
      </c>
      <c r="CB109" s="644">
        <f t="shared" si="40"/>
        <v>2226</v>
      </c>
      <c r="CC109" s="644"/>
      <c r="CD109" s="644">
        <f t="shared" si="33"/>
        <v>2226</v>
      </c>
      <c r="CE109" s="644">
        <f t="shared" si="56"/>
        <v>0</v>
      </c>
    </row>
    <row r="110" s="338" customFormat="1" ht="40" customHeight="1" spans="1:83">
      <c r="A110" s="632">
        <v>45694</v>
      </c>
      <c r="B110" s="633" t="s">
        <v>489</v>
      </c>
      <c r="C110" s="634" t="s">
        <v>214</v>
      </c>
      <c r="D110" s="635">
        <v>4500156625</v>
      </c>
      <c r="E110" s="659" t="s">
        <v>728</v>
      </c>
      <c r="F110" s="636" t="s">
        <v>729</v>
      </c>
      <c r="G110" s="637" t="s">
        <v>159</v>
      </c>
      <c r="H110" s="637" t="s">
        <v>99</v>
      </c>
      <c r="I110" s="638">
        <v>312</v>
      </c>
      <c r="J110" s="638">
        <v>0</v>
      </c>
      <c r="K110" s="639">
        <v>24</v>
      </c>
      <c r="L110" s="639">
        <f t="shared" si="46"/>
        <v>13</v>
      </c>
      <c r="M110" s="641">
        <v>45744</v>
      </c>
      <c r="N110" s="641">
        <f>M110-4</f>
        <v>45740</v>
      </c>
      <c r="O110" s="641"/>
      <c r="P110" s="642" t="s">
        <v>100</v>
      </c>
      <c r="Q110" s="660" t="s">
        <v>730</v>
      </c>
      <c r="R110" s="642" t="s">
        <v>731</v>
      </c>
      <c r="S110" s="642"/>
      <c r="T110" s="642"/>
      <c r="U110" s="642" t="s">
        <v>493</v>
      </c>
      <c r="V110" s="642" t="s">
        <v>732</v>
      </c>
      <c r="W110" s="646"/>
      <c r="X110" s="647" t="s">
        <v>733</v>
      </c>
      <c r="Y110" s="646" t="s">
        <v>734</v>
      </c>
      <c r="Z110" s="648">
        <v>2.5958</v>
      </c>
      <c r="AA110" s="650">
        <f t="shared" ref="AA110:AA118" si="57">I110*Z110</f>
        <v>809.8896</v>
      </c>
      <c r="AB110" s="649">
        <v>312</v>
      </c>
      <c r="AC110" s="649">
        <f t="shared" si="34"/>
        <v>0</v>
      </c>
      <c r="AD110" s="650" t="s">
        <v>106</v>
      </c>
      <c r="AE110" s="661" t="s">
        <v>451</v>
      </c>
      <c r="AF110" s="646" t="s">
        <v>107</v>
      </c>
      <c r="AG110" s="652" t="s">
        <v>43</v>
      </c>
      <c r="AH110" s="646" t="s">
        <v>735</v>
      </c>
      <c r="AI110" s="319"/>
      <c r="AJ110" s="319"/>
      <c r="AK110" s="319"/>
      <c r="AL110" s="652">
        <f t="shared" si="48"/>
        <v>312</v>
      </c>
      <c r="AM110" s="652"/>
      <c r="AN110" s="319"/>
      <c r="AO110" s="649"/>
      <c r="AP110" s="649"/>
      <c r="AQ110" s="653"/>
      <c r="AR110" s="319"/>
      <c r="AS110" s="319"/>
      <c r="AT110" s="652">
        <f t="shared" si="55"/>
        <v>312</v>
      </c>
      <c r="AU110" s="649"/>
      <c r="AV110" s="654"/>
      <c r="AW110" s="332"/>
      <c r="AX110" s="652"/>
      <c r="AY110" s="652"/>
      <c r="AZ110" s="332"/>
      <c r="BA110" s="654"/>
      <c r="BB110" s="654"/>
      <c r="BC110" s="332"/>
      <c r="BD110" s="332"/>
      <c r="BE110" s="654"/>
      <c r="BF110" s="332"/>
      <c r="BG110" s="654"/>
      <c r="BH110" s="654"/>
      <c r="BI110" s="332"/>
      <c r="BJ110" s="332"/>
      <c r="BK110" s="654"/>
      <c r="BL110" s="654"/>
      <c r="BM110" s="654"/>
      <c r="BN110" s="654"/>
      <c r="BO110" s="654"/>
      <c r="BP110" s="332"/>
      <c r="BQ110" s="654"/>
      <c r="BR110" s="332"/>
      <c r="BS110" s="654"/>
      <c r="BT110" s="654"/>
      <c r="BU110" s="654"/>
      <c r="BV110" s="654"/>
      <c r="BW110" s="645" t="s">
        <v>109</v>
      </c>
      <c r="BX110" s="658"/>
      <c r="BY110" s="658">
        <f>I110</f>
        <v>312</v>
      </c>
      <c r="BZ110" s="658"/>
      <c r="CA110" s="658"/>
      <c r="CB110" s="644">
        <f t="shared" si="40"/>
        <v>312</v>
      </c>
      <c r="CC110" s="658"/>
      <c r="CD110" s="644">
        <f t="shared" si="33"/>
        <v>312</v>
      </c>
      <c r="CE110" s="644">
        <f t="shared" si="56"/>
        <v>0</v>
      </c>
    </row>
    <row r="111" s="338" customFormat="1" ht="40" customHeight="1" spans="1:83">
      <c r="A111" s="632">
        <v>45716</v>
      </c>
      <c r="B111" s="633" t="s">
        <v>589</v>
      </c>
      <c r="C111" s="634" t="s">
        <v>590</v>
      </c>
      <c r="D111" s="635">
        <v>4500158843</v>
      </c>
      <c r="E111" s="659">
        <v>4508171305</v>
      </c>
      <c r="F111" s="636" t="s">
        <v>736</v>
      </c>
      <c r="G111" s="637" t="s">
        <v>241</v>
      </c>
      <c r="H111" s="637" t="s">
        <v>99</v>
      </c>
      <c r="I111" s="638">
        <v>363</v>
      </c>
      <c r="J111" s="638">
        <v>0</v>
      </c>
      <c r="K111" s="639">
        <v>11</v>
      </c>
      <c r="L111" s="639">
        <f t="shared" si="46"/>
        <v>33</v>
      </c>
      <c r="M111" s="641">
        <v>45744</v>
      </c>
      <c r="N111" s="641">
        <f>M111-4</f>
        <v>45740</v>
      </c>
      <c r="O111" s="641"/>
      <c r="P111" s="642" t="s">
        <v>100</v>
      </c>
      <c r="Q111" s="660" t="s">
        <v>737</v>
      </c>
      <c r="R111" s="642" t="s">
        <v>738</v>
      </c>
      <c r="S111" s="642"/>
      <c r="T111" s="642"/>
      <c r="U111" s="642" t="s">
        <v>739</v>
      </c>
      <c r="V111" s="642"/>
      <c r="W111" s="646"/>
      <c r="X111" s="647" t="s">
        <v>740</v>
      </c>
      <c r="Y111" s="646" t="s">
        <v>596</v>
      </c>
      <c r="Z111" s="648">
        <v>2.8812</v>
      </c>
      <c r="AA111" s="650">
        <f t="shared" si="57"/>
        <v>1045.8756</v>
      </c>
      <c r="AB111" s="649">
        <v>363</v>
      </c>
      <c r="AC111" s="649">
        <f t="shared" si="34"/>
        <v>0</v>
      </c>
      <c r="AD111" s="650" t="s">
        <v>106</v>
      </c>
      <c r="AE111" s="637" t="s">
        <v>597</v>
      </c>
      <c r="AF111" s="646" t="s">
        <v>107</v>
      </c>
      <c r="AG111" s="652" t="s">
        <v>43</v>
      </c>
      <c r="AH111" s="646" t="s">
        <v>741</v>
      </c>
      <c r="AI111" s="649"/>
      <c r="AJ111" s="649"/>
      <c r="AK111" s="649"/>
      <c r="AL111" s="649"/>
      <c r="AM111" s="649"/>
      <c r="AN111" s="649"/>
      <c r="AO111" s="649">
        <f>I111</f>
        <v>363</v>
      </c>
      <c r="AP111" s="649"/>
      <c r="AQ111" s="653"/>
      <c r="AR111" s="649"/>
      <c r="AS111" s="649"/>
      <c r="AT111" s="652">
        <f t="shared" si="55"/>
        <v>363</v>
      </c>
      <c r="AU111" s="649"/>
      <c r="AV111" s="654"/>
      <c r="AW111" s="654"/>
      <c r="AX111" s="652"/>
      <c r="AY111" s="652"/>
      <c r="AZ111" s="654"/>
      <c r="BA111" s="652">
        <f>I111/11</f>
        <v>33</v>
      </c>
      <c r="BB111" s="652"/>
      <c r="BC111" s="654"/>
      <c r="BD111" s="654"/>
      <c r="BE111" s="654"/>
      <c r="BF111" s="654"/>
      <c r="BG111" s="654"/>
      <c r="BH111" s="654"/>
      <c r="BI111" s="654"/>
      <c r="BJ111" s="654"/>
      <c r="BK111" s="654"/>
      <c r="BL111" s="654"/>
      <c r="BM111" s="654"/>
      <c r="BN111" s="654"/>
      <c r="BO111" s="654"/>
      <c r="BP111" s="654"/>
      <c r="BQ111" s="654"/>
      <c r="BR111" s="654"/>
      <c r="BS111" s="654"/>
      <c r="BT111" s="654"/>
      <c r="BU111" s="654"/>
      <c r="BV111" s="654"/>
      <c r="BW111" s="645" t="s">
        <v>109</v>
      </c>
      <c r="BX111" s="658">
        <f>I111/22*5</f>
        <v>82.5</v>
      </c>
      <c r="BY111" s="658">
        <f>I111/22*6</f>
        <v>99</v>
      </c>
      <c r="BZ111" s="658">
        <f>I111/22*6</f>
        <v>99</v>
      </c>
      <c r="CA111" s="658">
        <f>I111/22*5</f>
        <v>82.5</v>
      </c>
      <c r="CB111" s="644">
        <f t="shared" si="40"/>
        <v>363</v>
      </c>
      <c r="CC111" s="675">
        <f>I111/11</f>
        <v>33</v>
      </c>
      <c r="CD111" s="644">
        <f t="shared" si="33"/>
        <v>363</v>
      </c>
      <c r="CE111" s="644">
        <f t="shared" si="56"/>
        <v>0</v>
      </c>
    </row>
    <row r="112" s="338" customFormat="1" ht="40" customHeight="1" spans="1:83">
      <c r="A112" s="632">
        <v>45712</v>
      </c>
      <c r="B112" s="659" t="s">
        <v>742</v>
      </c>
      <c r="C112" s="634" t="s">
        <v>743</v>
      </c>
      <c r="D112" s="635">
        <v>4500158356</v>
      </c>
      <c r="E112" s="659"/>
      <c r="F112" s="636" t="s">
        <v>744</v>
      </c>
      <c r="G112" s="637" t="s">
        <v>111</v>
      </c>
      <c r="H112" s="637" t="s">
        <v>99</v>
      </c>
      <c r="I112" s="638">
        <v>176</v>
      </c>
      <c r="J112" s="638">
        <v>0</v>
      </c>
      <c r="K112" s="639">
        <v>22</v>
      </c>
      <c r="L112" s="639">
        <f t="shared" si="46"/>
        <v>8</v>
      </c>
      <c r="M112" s="641">
        <v>45744</v>
      </c>
      <c r="N112" s="641">
        <v>45740</v>
      </c>
      <c r="O112" s="641"/>
      <c r="P112" s="642" t="s">
        <v>100</v>
      </c>
      <c r="Q112" s="643" t="s">
        <v>745</v>
      </c>
      <c r="R112" s="642" t="s">
        <v>746</v>
      </c>
      <c r="S112" s="642"/>
      <c r="T112" s="642"/>
      <c r="U112" s="642" t="s">
        <v>113</v>
      </c>
      <c r="V112" s="642"/>
      <c r="W112" s="645"/>
      <c r="X112" s="647" t="s">
        <v>747</v>
      </c>
      <c r="Y112" s="646" t="s">
        <v>281</v>
      </c>
      <c r="Z112" s="683">
        <v>2.8179</v>
      </c>
      <c r="AA112" s="650">
        <f t="shared" si="57"/>
        <v>495.9504</v>
      </c>
      <c r="AB112" s="649">
        <v>176</v>
      </c>
      <c r="AC112" s="649">
        <f t="shared" si="34"/>
        <v>0</v>
      </c>
      <c r="AD112" s="650" t="s">
        <v>113</v>
      </c>
      <c r="AE112" s="637" t="s">
        <v>230</v>
      </c>
      <c r="AF112" s="646" t="s">
        <v>107</v>
      </c>
      <c r="AG112" s="652" t="s">
        <v>43</v>
      </c>
      <c r="AH112" s="646" t="s">
        <v>748</v>
      </c>
      <c r="AI112" s="649"/>
      <c r="AJ112" s="649"/>
      <c r="AK112" s="649"/>
      <c r="AL112" s="649"/>
      <c r="AM112" s="649"/>
      <c r="AN112" s="649"/>
      <c r="AO112" s="649">
        <f>I112</f>
        <v>176</v>
      </c>
      <c r="AP112" s="649"/>
      <c r="AQ112" s="653"/>
      <c r="AR112" s="649"/>
      <c r="AS112" s="649"/>
      <c r="AT112" s="652">
        <f t="shared" si="55"/>
        <v>176</v>
      </c>
      <c r="AU112" s="649"/>
      <c r="AV112" s="654"/>
      <c r="AW112" s="652"/>
      <c r="AX112" s="652"/>
      <c r="AY112" s="652"/>
      <c r="AZ112" s="654"/>
      <c r="BA112" s="652">
        <f>I112/11</f>
        <v>16</v>
      </c>
      <c r="BB112" s="652"/>
      <c r="BC112" s="654"/>
      <c r="BD112" s="654"/>
      <c r="BE112" s="654"/>
      <c r="BF112" s="654"/>
      <c r="BG112" s="654"/>
      <c r="BH112" s="654"/>
      <c r="BI112" s="654"/>
      <c r="BJ112" s="654"/>
      <c r="BK112" s="652"/>
      <c r="BL112" s="652"/>
      <c r="BM112" s="654"/>
      <c r="BN112" s="654"/>
      <c r="BO112" s="654"/>
      <c r="BP112" s="654"/>
      <c r="BQ112" s="654"/>
      <c r="BR112" s="654"/>
      <c r="BS112" s="654"/>
      <c r="BT112" s="654"/>
      <c r="BU112" s="654"/>
      <c r="BV112" s="654"/>
      <c r="BW112" s="645" t="s">
        <v>109</v>
      </c>
      <c r="BX112" s="658">
        <f>I112/22*5</f>
        <v>40</v>
      </c>
      <c r="BY112" s="658">
        <f>I112/22*6</f>
        <v>48</v>
      </c>
      <c r="BZ112" s="658">
        <f>I112/22*6</f>
        <v>48</v>
      </c>
      <c r="CA112" s="658">
        <f>I112/22*5</f>
        <v>40</v>
      </c>
      <c r="CB112" s="644">
        <f t="shared" si="40"/>
        <v>176</v>
      </c>
      <c r="CC112" s="658">
        <f>I112/11</f>
        <v>16</v>
      </c>
      <c r="CD112" s="644">
        <f t="shared" si="33"/>
        <v>176</v>
      </c>
      <c r="CE112" s="644">
        <f t="shared" si="56"/>
        <v>0</v>
      </c>
    </row>
    <row r="113" s="338" customFormat="1" ht="40" customHeight="1" spans="1:83">
      <c r="A113" s="632">
        <v>45611</v>
      </c>
      <c r="B113" s="659" t="s">
        <v>94</v>
      </c>
      <c r="C113" s="634" t="s">
        <v>205</v>
      </c>
      <c r="D113" s="635">
        <v>4500151398</v>
      </c>
      <c r="E113" s="659" t="s">
        <v>116</v>
      </c>
      <c r="F113" s="636" t="s">
        <v>749</v>
      </c>
      <c r="G113" s="637" t="s">
        <v>98</v>
      </c>
      <c r="H113" s="637" t="s">
        <v>99</v>
      </c>
      <c r="I113" s="638">
        <v>1080</v>
      </c>
      <c r="J113" s="638">
        <v>0</v>
      </c>
      <c r="K113" s="639">
        <v>24</v>
      </c>
      <c r="L113" s="639">
        <f t="shared" si="46"/>
        <v>45</v>
      </c>
      <c r="M113" s="641">
        <v>45750</v>
      </c>
      <c r="N113" s="641">
        <v>45747</v>
      </c>
      <c r="O113" s="641"/>
      <c r="P113" s="642" t="s">
        <v>100</v>
      </c>
      <c r="Q113" s="643" t="s">
        <v>750</v>
      </c>
      <c r="R113" s="642" t="s">
        <v>270</v>
      </c>
      <c r="S113" s="642"/>
      <c r="T113" s="642"/>
      <c r="U113" s="642" t="s">
        <v>751</v>
      </c>
      <c r="V113" s="642"/>
      <c r="W113" s="645" t="s">
        <v>210</v>
      </c>
      <c r="X113" s="647" t="s">
        <v>752</v>
      </c>
      <c r="Y113" s="646" t="s">
        <v>105</v>
      </c>
      <c r="Z113" s="648">
        <v>2.5554</v>
      </c>
      <c r="AA113" s="650">
        <f t="shared" si="57"/>
        <v>2759.832</v>
      </c>
      <c r="AB113" s="649">
        <v>1080</v>
      </c>
      <c r="AC113" s="649">
        <f t="shared" si="34"/>
        <v>0</v>
      </c>
      <c r="AD113" s="650" t="s">
        <v>123</v>
      </c>
      <c r="AE113" s="637" t="s">
        <v>98</v>
      </c>
      <c r="AF113" s="646" t="s">
        <v>107</v>
      </c>
      <c r="AG113" s="652" t="s">
        <v>43</v>
      </c>
      <c r="AH113" s="646" t="s">
        <v>753</v>
      </c>
      <c r="AI113" s="651"/>
      <c r="AJ113" s="651"/>
      <c r="AK113" s="651"/>
      <c r="AL113" s="652">
        <f t="shared" ref="AL113:AL118" si="58">I113</f>
        <v>1080</v>
      </c>
      <c r="AM113" s="652"/>
      <c r="AN113" s="651"/>
      <c r="AO113" s="649"/>
      <c r="AP113" s="649"/>
      <c r="AQ113" s="653"/>
      <c r="AR113" s="651"/>
      <c r="AS113" s="651"/>
      <c r="AT113" s="652">
        <f t="shared" ref="AT113:AT125" si="59">I113</f>
        <v>1080</v>
      </c>
      <c r="AU113" s="649"/>
      <c r="AV113" s="654"/>
      <c r="AW113" s="655"/>
      <c r="AX113" s="652"/>
      <c r="AY113" s="652"/>
      <c r="AZ113" s="656"/>
      <c r="BA113" s="652"/>
      <c r="BB113" s="652"/>
      <c r="BC113" s="656"/>
      <c r="BD113" s="656"/>
      <c r="BE113" s="654"/>
      <c r="BF113" s="656"/>
      <c r="BG113" s="654"/>
      <c r="BH113" s="654"/>
      <c r="BI113" s="656"/>
      <c r="BJ113" s="656"/>
      <c r="BK113" s="654"/>
      <c r="BL113" s="654"/>
      <c r="BM113" s="654"/>
      <c r="BN113" s="654"/>
      <c r="BO113" s="654"/>
      <c r="BP113" s="656"/>
      <c r="BQ113" s="654"/>
      <c r="BR113" s="656"/>
      <c r="BS113" s="654"/>
      <c r="BT113" s="654"/>
      <c r="BU113" s="654"/>
      <c r="BV113" s="654"/>
      <c r="BW113" s="645" t="s">
        <v>109</v>
      </c>
      <c r="BX113" s="658">
        <f>I113/4</f>
        <v>270</v>
      </c>
      <c r="BY113" s="658">
        <f>I113/4</f>
        <v>270</v>
      </c>
      <c r="BZ113" s="658">
        <f>I113/4</f>
        <v>270</v>
      </c>
      <c r="CA113" s="658">
        <f>I113/4</f>
        <v>270</v>
      </c>
      <c r="CB113" s="644">
        <f t="shared" si="40"/>
        <v>1080</v>
      </c>
      <c r="CC113" s="644"/>
      <c r="CD113" s="644">
        <f t="shared" si="33"/>
        <v>1080</v>
      </c>
      <c r="CE113" s="644">
        <f t="shared" si="56"/>
        <v>0</v>
      </c>
    </row>
    <row r="114" s="338" customFormat="1" ht="40" customHeight="1" spans="1:83">
      <c r="A114" s="632">
        <v>45712</v>
      </c>
      <c r="B114" s="659" t="s">
        <v>754</v>
      </c>
      <c r="C114" s="634" t="s">
        <v>205</v>
      </c>
      <c r="D114" s="635">
        <v>4500158125</v>
      </c>
      <c r="E114" s="659"/>
      <c r="F114" s="636" t="s">
        <v>755</v>
      </c>
      <c r="G114" s="637" t="s">
        <v>111</v>
      </c>
      <c r="H114" s="637" t="s">
        <v>99</v>
      </c>
      <c r="I114" s="638">
        <v>506</v>
      </c>
      <c r="J114" s="638">
        <v>0</v>
      </c>
      <c r="K114" s="639">
        <v>22</v>
      </c>
      <c r="L114" s="639">
        <f t="shared" si="46"/>
        <v>23</v>
      </c>
      <c r="M114" s="641">
        <v>45756</v>
      </c>
      <c r="N114" s="641">
        <v>45752</v>
      </c>
      <c r="O114" s="641"/>
      <c r="P114" s="642" t="s">
        <v>100</v>
      </c>
      <c r="Q114" s="643" t="s">
        <v>756</v>
      </c>
      <c r="R114" s="642" t="s">
        <v>757</v>
      </c>
      <c r="S114" s="642"/>
      <c r="T114" s="642"/>
      <c r="U114" s="642" t="s">
        <v>758</v>
      </c>
      <c r="V114" s="642"/>
      <c r="W114" s="645"/>
      <c r="X114" s="647" t="s">
        <v>759</v>
      </c>
      <c r="Y114" s="646" t="s">
        <v>105</v>
      </c>
      <c r="Z114" s="683">
        <v>2.7825</v>
      </c>
      <c r="AA114" s="650">
        <f t="shared" si="57"/>
        <v>1407.945</v>
      </c>
      <c r="AB114" s="649">
        <v>506</v>
      </c>
      <c r="AC114" s="649">
        <f t="shared" si="34"/>
        <v>0</v>
      </c>
      <c r="AD114" s="650" t="s">
        <v>123</v>
      </c>
      <c r="AE114" s="637" t="s">
        <v>111</v>
      </c>
      <c r="AF114" s="646" t="s">
        <v>107</v>
      </c>
      <c r="AG114" s="652" t="s">
        <v>43</v>
      </c>
      <c r="AH114" s="646" t="s">
        <v>760</v>
      </c>
      <c r="AI114" s="651"/>
      <c r="AJ114" s="651"/>
      <c r="AK114" s="651"/>
      <c r="AL114" s="652">
        <f t="shared" si="58"/>
        <v>506</v>
      </c>
      <c r="AM114" s="652"/>
      <c r="AN114" s="651"/>
      <c r="AO114" s="649"/>
      <c r="AP114" s="649"/>
      <c r="AQ114" s="653"/>
      <c r="AR114" s="651"/>
      <c r="AS114" s="651"/>
      <c r="AT114" s="652">
        <f t="shared" si="59"/>
        <v>506</v>
      </c>
      <c r="AU114" s="649"/>
      <c r="AV114" s="654"/>
      <c r="AW114" s="655"/>
      <c r="AX114" s="652">
        <f>I114/11</f>
        <v>46</v>
      </c>
      <c r="AY114" s="652"/>
      <c r="AZ114" s="656"/>
      <c r="BA114" s="652"/>
      <c r="BB114" s="652"/>
      <c r="BC114" s="656"/>
      <c r="BD114" s="656"/>
      <c r="BE114" s="654"/>
      <c r="BF114" s="656"/>
      <c r="BG114" s="654"/>
      <c r="BH114" s="654"/>
      <c r="BI114" s="656"/>
      <c r="BJ114" s="656"/>
      <c r="BK114" s="652"/>
      <c r="BL114" s="652"/>
      <c r="BM114" s="654"/>
      <c r="BN114" s="654"/>
      <c r="BO114" s="654"/>
      <c r="BP114" s="656"/>
      <c r="BQ114" s="654"/>
      <c r="BR114" s="656"/>
      <c r="BS114" s="654"/>
      <c r="BT114" s="654"/>
      <c r="BU114" s="654"/>
      <c r="BV114" s="654"/>
      <c r="BW114" s="645" t="s">
        <v>109</v>
      </c>
      <c r="BX114" s="658">
        <f t="shared" ref="BX114:BX122" si="60">I114/22*5</f>
        <v>115</v>
      </c>
      <c r="BY114" s="658">
        <f t="shared" ref="BY114:BY122" si="61">I114/22*6</f>
        <v>138</v>
      </c>
      <c r="BZ114" s="658">
        <f t="shared" ref="BZ114:BZ122" si="62">I114/22*6</f>
        <v>138</v>
      </c>
      <c r="CA114" s="658">
        <f t="shared" ref="CA114:CA122" si="63">I114/22*5</f>
        <v>115</v>
      </c>
      <c r="CB114" s="644">
        <f t="shared" si="40"/>
        <v>506</v>
      </c>
      <c r="CC114" s="658">
        <f t="shared" ref="CC114:CC122" si="64">I114/11</f>
        <v>46</v>
      </c>
      <c r="CD114" s="644">
        <f t="shared" ref="CD114:CD177" si="65">SUM(BX114:CA114)</f>
        <v>506</v>
      </c>
      <c r="CE114" s="644">
        <f t="shared" si="56"/>
        <v>0</v>
      </c>
    </row>
    <row r="115" s="338" customFormat="1" ht="40" customHeight="1" spans="1:83">
      <c r="A115" s="632">
        <v>45707</v>
      </c>
      <c r="B115" s="633" t="s">
        <v>246</v>
      </c>
      <c r="C115" s="634" t="s">
        <v>247</v>
      </c>
      <c r="D115" s="635">
        <v>4500157965</v>
      </c>
      <c r="E115" s="659" t="s">
        <v>761</v>
      </c>
      <c r="F115" s="636" t="s">
        <v>762</v>
      </c>
      <c r="G115" s="637" t="s">
        <v>111</v>
      </c>
      <c r="H115" s="637" t="s">
        <v>99</v>
      </c>
      <c r="I115" s="638">
        <v>528</v>
      </c>
      <c r="J115" s="638">
        <v>0</v>
      </c>
      <c r="K115" s="639">
        <v>22</v>
      </c>
      <c r="L115" s="639">
        <f t="shared" si="46"/>
        <v>24</v>
      </c>
      <c r="M115" s="641">
        <v>45756</v>
      </c>
      <c r="N115" s="641">
        <v>45752</v>
      </c>
      <c r="O115" s="641"/>
      <c r="P115" s="642" t="s">
        <v>100</v>
      </c>
      <c r="Q115" s="643" t="s">
        <v>763</v>
      </c>
      <c r="R115" s="642" t="s">
        <v>738</v>
      </c>
      <c r="S115" s="642"/>
      <c r="T115" s="642"/>
      <c r="U115" s="642" t="s">
        <v>251</v>
      </c>
      <c r="V115" s="677"/>
      <c r="W115" s="646"/>
      <c r="X115" s="647" t="s">
        <v>764</v>
      </c>
      <c r="Y115" s="646" t="s">
        <v>253</v>
      </c>
      <c r="Z115" s="683">
        <v>2.8789</v>
      </c>
      <c r="AA115" s="650">
        <f t="shared" si="57"/>
        <v>1520.0592</v>
      </c>
      <c r="AB115" s="649">
        <v>528</v>
      </c>
      <c r="AC115" s="649">
        <f t="shared" ref="AC115:AC126" si="66">AB115-I115</f>
        <v>0</v>
      </c>
      <c r="AD115" s="650" t="s">
        <v>106</v>
      </c>
      <c r="AE115" s="637" t="s">
        <v>111</v>
      </c>
      <c r="AF115" s="646" t="s">
        <v>107</v>
      </c>
      <c r="AG115" s="652" t="s">
        <v>43</v>
      </c>
      <c r="AH115" s="646" t="s">
        <v>765</v>
      </c>
      <c r="AI115" s="651"/>
      <c r="AJ115" s="651"/>
      <c r="AK115" s="651"/>
      <c r="AL115" s="652">
        <f t="shared" si="58"/>
        <v>528</v>
      </c>
      <c r="AM115" s="652"/>
      <c r="AN115" s="651"/>
      <c r="AO115" s="649"/>
      <c r="AP115" s="649"/>
      <c r="AQ115" s="653"/>
      <c r="AR115" s="651"/>
      <c r="AS115" s="651"/>
      <c r="AT115" s="652">
        <f t="shared" si="59"/>
        <v>528</v>
      </c>
      <c r="AU115" s="649"/>
      <c r="AV115" s="654"/>
      <c r="AW115" s="656"/>
      <c r="AX115" s="652">
        <f>I115/11</f>
        <v>48</v>
      </c>
      <c r="AY115" s="652"/>
      <c r="AZ115" s="656"/>
      <c r="BA115" s="654"/>
      <c r="BB115" s="654"/>
      <c r="BC115" s="656"/>
      <c r="BD115" s="656"/>
      <c r="BE115" s="654"/>
      <c r="BF115" s="656"/>
      <c r="BG115" s="654"/>
      <c r="BH115" s="654"/>
      <c r="BI115" s="656"/>
      <c r="BJ115" s="656"/>
      <c r="BK115" s="654"/>
      <c r="BL115" s="654"/>
      <c r="BM115" s="654"/>
      <c r="BN115" s="654"/>
      <c r="BO115" s="654"/>
      <c r="BP115" s="656"/>
      <c r="BQ115" s="654"/>
      <c r="BR115" s="656"/>
      <c r="BS115" s="654"/>
      <c r="BT115" s="654"/>
      <c r="BU115" s="654"/>
      <c r="BV115" s="654"/>
      <c r="BW115" s="645" t="s">
        <v>109</v>
      </c>
      <c r="BX115" s="658">
        <f t="shared" si="60"/>
        <v>120</v>
      </c>
      <c r="BY115" s="658">
        <f t="shared" si="61"/>
        <v>144</v>
      </c>
      <c r="BZ115" s="658">
        <f t="shared" si="62"/>
        <v>144</v>
      </c>
      <c r="CA115" s="658">
        <f t="shared" si="63"/>
        <v>120</v>
      </c>
      <c r="CB115" s="644">
        <f t="shared" si="40"/>
        <v>528</v>
      </c>
      <c r="CC115" s="658">
        <f t="shared" si="64"/>
        <v>48</v>
      </c>
      <c r="CD115" s="644">
        <f t="shared" si="65"/>
        <v>528</v>
      </c>
      <c r="CE115" s="644">
        <f t="shared" si="56"/>
        <v>0</v>
      </c>
    </row>
    <row r="116" s="338" customFormat="1" ht="40" customHeight="1" spans="1:83">
      <c r="A116" s="632">
        <v>45707</v>
      </c>
      <c r="B116" s="633" t="s">
        <v>246</v>
      </c>
      <c r="C116" s="634" t="s">
        <v>247</v>
      </c>
      <c r="D116" s="635">
        <v>4500157965</v>
      </c>
      <c r="E116" s="659" t="s">
        <v>766</v>
      </c>
      <c r="F116" s="636" t="s">
        <v>767</v>
      </c>
      <c r="G116" s="637" t="s">
        <v>111</v>
      </c>
      <c r="H116" s="637" t="s">
        <v>99</v>
      </c>
      <c r="I116" s="638">
        <v>396</v>
      </c>
      <c r="J116" s="638">
        <v>0</v>
      </c>
      <c r="K116" s="639">
        <v>22</v>
      </c>
      <c r="L116" s="639">
        <f t="shared" si="46"/>
        <v>18</v>
      </c>
      <c r="M116" s="641">
        <v>45756</v>
      </c>
      <c r="N116" s="641">
        <v>45752</v>
      </c>
      <c r="O116" s="641"/>
      <c r="P116" s="642" t="s">
        <v>100</v>
      </c>
      <c r="Q116" s="643" t="s">
        <v>763</v>
      </c>
      <c r="R116" s="642" t="s">
        <v>738</v>
      </c>
      <c r="S116" s="642"/>
      <c r="T116" s="642"/>
      <c r="U116" s="642" t="s">
        <v>251</v>
      </c>
      <c r="V116" s="677"/>
      <c r="W116" s="646"/>
      <c r="X116" s="647" t="s">
        <v>764</v>
      </c>
      <c r="Y116" s="646" t="s">
        <v>253</v>
      </c>
      <c r="Z116" s="683">
        <v>2.8789</v>
      </c>
      <c r="AA116" s="650">
        <f t="shared" si="57"/>
        <v>1140.0444</v>
      </c>
      <c r="AB116" s="649">
        <v>396</v>
      </c>
      <c r="AC116" s="649">
        <f t="shared" si="66"/>
        <v>0</v>
      </c>
      <c r="AD116" s="650" t="s">
        <v>106</v>
      </c>
      <c r="AE116" s="637" t="s">
        <v>111</v>
      </c>
      <c r="AF116" s="646" t="s">
        <v>107</v>
      </c>
      <c r="AG116" s="652" t="s">
        <v>43</v>
      </c>
      <c r="AH116" s="646" t="s">
        <v>765</v>
      </c>
      <c r="AI116" s="651"/>
      <c r="AJ116" s="651"/>
      <c r="AK116" s="651"/>
      <c r="AL116" s="652">
        <f t="shared" si="58"/>
        <v>396</v>
      </c>
      <c r="AM116" s="652"/>
      <c r="AN116" s="651"/>
      <c r="AO116" s="649"/>
      <c r="AP116" s="649"/>
      <c r="AQ116" s="653"/>
      <c r="AR116" s="651"/>
      <c r="AS116" s="651"/>
      <c r="AT116" s="652">
        <f t="shared" si="59"/>
        <v>396</v>
      </c>
      <c r="AU116" s="649"/>
      <c r="AV116" s="654"/>
      <c r="AW116" s="656"/>
      <c r="AX116" s="652">
        <f>I116/11</f>
        <v>36</v>
      </c>
      <c r="AY116" s="652"/>
      <c r="AZ116" s="656"/>
      <c r="BA116" s="654"/>
      <c r="BB116" s="654"/>
      <c r="BC116" s="656"/>
      <c r="BD116" s="656"/>
      <c r="BE116" s="654"/>
      <c r="BF116" s="656"/>
      <c r="BG116" s="654"/>
      <c r="BH116" s="654"/>
      <c r="BI116" s="656"/>
      <c r="BJ116" s="656"/>
      <c r="BK116" s="654"/>
      <c r="BL116" s="654"/>
      <c r="BM116" s="654"/>
      <c r="BN116" s="654"/>
      <c r="BO116" s="654"/>
      <c r="BP116" s="656"/>
      <c r="BQ116" s="654"/>
      <c r="BR116" s="656"/>
      <c r="BS116" s="654"/>
      <c r="BT116" s="654"/>
      <c r="BU116" s="654"/>
      <c r="BV116" s="654"/>
      <c r="BW116" s="645" t="s">
        <v>109</v>
      </c>
      <c r="BX116" s="658">
        <f t="shared" si="60"/>
        <v>90</v>
      </c>
      <c r="BY116" s="658">
        <f t="shared" si="61"/>
        <v>108</v>
      </c>
      <c r="BZ116" s="658">
        <f t="shared" si="62"/>
        <v>108</v>
      </c>
      <c r="CA116" s="658">
        <f t="shared" si="63"/>
        <v>90</v>
      </c>
      <c r="CB116" s="644">
        <f t="shared" si="40"/>
        <v>396</v>
      </c>
      <c r="CC116" s="658">
        <f t="shared" si="64"/>
        <v>36</v>
      </c>
      <c r="CD116" s="644">
        <f t="shared" si="65"/>
        <v>396</v>
      </c>
      <c r="CE116" s="644">
        <f t="shared" si="56"/>
        <v>0</v>
      </c>
    </row>
    <row r="117" s="338" customFormat="1" ht="40" customHeight="1" spans="1:83">
      <c r="A117" s="632">
        <v>45707</v>
      </c>
      <c r="B117" s="633" t="s">
        <v>246</v>
      </c>
      <c r="C117" s="634" t="s">
        <v>247</v>
      </c>
      <c r="D117" s="635">
        <v>4500157965</v>
      </c>
      <c r="E117" s="659" t="s">
        <v>768</v>
      </c>
      <c r="F117" s="636" t="s">
        <v>769</v>
      </c>
      <c r="G117" s="637" t="s">
        <v>111</v>
      </c>
      <c r="H117" s="637" t="s">
        <v>99</v>
      </c>
      <c r="I117" s="638">
        <v>418</v>
      </c>
      <c r="J117" s="638">
        <v>0</v>
      </c>
      <c r="K117" s="639">
        <v>22</v>
      </c>
      <c r="L117" s="639">
        <f t="shared" si="46"/>
        <v>19</v>
      </c>
      <c r="M117" s="641">
        <v>45756</v>
      </c>
      <c r="N117" s="641">
        <v>45752</v>
      </c>
      <c r="O117" s="641"/>
      <c r="P117" s="642" t="s">
        <v>100</v>
      </c>
      <c r="Q117" s="643" t="s">
        <v>763</v>
      </c>
      <c r="R117" s="642" t="s">
        <v>738</v>
      </c>
      <c r="S117" s="642"/>
      <c r="T117" s="642"/>
      <c r="U117" s="642" t="s">
        <v>251</v>
      </c>
      <c r="V117" s="677"/>
      <c r="W117" s="646"/>
      <c r="X117" s="647" t="s">
        <v>764</v>
      </c>
      <c r="Y117" s="646" t="s">
        <v>253</v>
      </c>
      <c r="Z117" s="683">
        <v>2.8789</v>
      </c>
      <c r="AA117" s="650">
        <f t="shared" si="57"/>
        <v>1203.3802</v>
      </c>
      <c r="AB117" s="649">
        <v>418</v>
      </c>
      <c r="AC117" s="649">
        <f t="shared" si="66"/>
        <v>0</v>
      </c>
      <c r="AD117" s="650" t="s">
        <v>106</v>
      </c>
      <c r="AE117" s="637" t="s">
        <v>111</v>
      </c>
      <c r="AF117" s="646" t="s">
        <v>107</v>
      </c>
      <c r="AG117" s="652" t="s">
        <v>43</v>
      </c>
      <c r="AH117" s="646" t="s">
        <v>765</v>
      </c>
      <c r="AI117" s="651"/>
      <c r="AJ117" s="651"/>
      <c r="AK117" s="651"/>
      <c r="AL117" s="652">
        <f t="shared" si="58"/>
        <v>418</v>
      </c>
      <c r="AM117" s="652"/>
      <c r="AN117" s="651"/>
      <c r="AO117" s="649"/>
      <c r="AP117" s="649"/>
      <c r="AQ117" s="653"/>
      <c r="AR117" s="651"/>
      <c r="AS117" s="651"/>
      <c r="AT117" s="652">
        <f t="shared" si="59"/>
        <v>418</v>
      </c>
      <c r="AU117" s="649"/>
      <c r="AV117" s="654"/>
      <c r="AW117" s="656"/>
      <c r="AX117" s="652">
        <f>I117/11</f>
        <v>38</v>
      </c>
      <c r="AY117" s="652"/>
      <c r="AZ117" s="656"/>
      <c r="BA117" s="654"/>
      <c r="BB117" s="654"/>
      <c r="BC117" s="656"/>
      <c r="BD117" s="656"/>
      <c r="BE117" s="654"/>
      <c r="BF117" s="656"/>
      <c r="BG117" s="654"/>
      <c r="BH117" s="654"/>
      <c r="BI117" s="656"/>
      <c r="BJ117" s="656"/>
      <c r="BK117" s="654"/>
      <c r="BL117" s="654"/>
      <c r="BM117" s="654"/>
      <c r="BN117" s="654"/>
      <c r="BO117" s="654"/>
      <c r="BP117" s="656"/>
      <c r="BQ117" s="654"/>
      <c r="BR117" s="656"/>
      <c r="BS117" s="654"/>
      <c r="BT117" s="654"/>
      <c r="BU117" s="654"/>
      <c r="BV117" s="654"/>
      <c r="BW117" s="645" t="s">
        <v>109</v>
      </c>
      <c r="BX117" s="658">
        <f t="shared" si="60"/>
        <v>95</v>
      </c>
      <c r="BY117" s="658">
        <f t="shared" si="61"/>
        <v>114</v>
      </c>
      <c r="BZ117" s="658">
        <f t="shared" si="62"/>
        <v>114</v>
      </c>
      <c r="CA117" s="658">
        <f t="shared" si="63"/>
        <v>95</v>
      </c>
      <c r="CB117" s="644">
        <f t="shared" si="40"/>
        <v>418</v>
      </c>
      <c r="CC117" s="658">
        <f t="shared" si="64"/>
        <v>38</v>
      </c>
      <c r="CD117" s="644">
        <f t="shared" si="65"/>
        <v>418</v>
      </c>
      <c r="CE117" s="644">
        <f t="shared" si="56"/>
        <v>0</v>
      </c>
    </row>
    <row r="118" s="338" customFormat="1" ht="40" customHeight="1" spans="1:83">
      <c r="A118" s="632">
        <v>45707</v>
      </c>
      <c r="B118" s="633" t="s">
        <v>246</v>
      </c>
      <c r="C118" s="634" t="s">
        <v>247</v>
      </c>
      <c r="D118" s="635">
        <v>4500157965</v>
      </c>
      <c r="E118" s="659" t="s">
        <v>770</v>
      </c>
      <c r="F118" s="636" t="s">
        <v>771</v>
      </c>
      <c r="G118" s="637" t="s">
        <v>111</v>
      </c>
      <c r="H118" s="637" t="s">
        <v>99</v>
      </c>
      <c r="I118" s="638">
        <v>176</v>
      </c>
      <c r="J118" s="638">
        <v>0</v>
      </c>
      <c r="K118" s="639">
        <v>22</v>
      </c>
      <c r="L118" s="639">
        <f t="shared" si="46"/>
        <v>8</v>
      </c>
      <c r="M118" s="641">
        <v>45756</v>
      </c>
      <c r="N118" s="641">
        <v>45752</v>
      </c>
      <c r="O118" s="641"/>
      <c r="P118" s="642" t="s">
        <v>100</v>
      </c>
      <c r="Q118" s="643" t="s">
        <v>763</v>
      </c>
      <c r="R118" s="642" t="s">
        <v>738</v>
      </c>
      <c r="S118" s="642"/>
      <c r="T118" s="642"/>
      <c r="U118" s="642" t="s">
        <v>251</v>
      </c>
      <c r="V118" s="677"/>
      <c r="W118" s="646"/>
      <c r="X118" s="647" t="s">
        <v>764</v>
      </c>
      <c r="Y118" s="646" t="s">
        <v>253</v>
      </c>
      <c r="Z118" s="683">
        <v>2.8789</v>
      </c>
      <c r="AA118" s="650">
        <f t="shared" si="57"/>
        <v>506.6864</v>
      </c>
      <c r="AB118" s="649">
        <v>176</v>
      </c>
      <c r="AC118" s="649">
        <f t="shared" si="66"/>
        <v>0</v>
      </c>
      <c r="AD118" s="650" t="s">
        <v>106</v>
      </c>
      <c r="AE118" s="637" t="s">
        <v>111</v>
      </c>
      <c r="AF118" s="646" t="s">
        <v>107</v>
      </c>
      <c r="AG118" s="652" t="s">
        <v>43</v>
      </c>
      <c r="AH118" s="646" t="s">
        <v>765</v>
      </c>
      <c r="AI118" s="651"/>
      <c r="AJ118" s="651"/>
      <c r="AK118" s="651"/>
      <c r="AL118" s="652">
        <f t="shared" si="58"/>
        <v>176</v>
      </c>
      <c r="AM118" s="652"/>
      <c r="AN118" s="651"/>
      <c r="AO118" s="649"/>
      <c r="AP118" s="649"/>
      <c r="AQ118" s="653"/>
      <c r="AR118" s="651"/>
      <c r="AS118" s="651"/>
      <c r="AT118" s="652">
        <f t="shared" si="59"/>
        <v>176</v>
      </c>
      <c r="AU118" s="649"/>
      <c r="AV118" s="654"/>
      <c r="AW118" s="656"/>
      <c r="AX118" s="652">
        <f>I118/11</f>
        <v>16</v>
      </c>
      <c r="AY118" s="652"/>
      <c r="AZ118" s="656"/>
      <c r="BA118" s="654"/>
      <c r="BB118" s="654"/>
      <c r="BC118" s="656"/>
      <c r="BD118" s="656"/>
      <c r="BE118" s="654"/>
      <c r="BF118" s="656"/>
      <c r="BG118" s="654"/>
      <c r="BH118" s="654"/>
      <c r="BI118" s="656"/>
      <c r="BJ118" s="656"/>
      <c r="BK118" s="654"/>
      <c r="BL118" s="654"/>
      <c r="BM118" s="654"/>
      <c r="BN118" s="654"/>
      <c r="BO118" s="654"/>
      <c r="BP118" s="656"/>
      <c r="BQ118" s="654"/>
      <c r="BR118" s="656"/>
      <c r="BS118" s="654"/>
      <c r="BT118" s="654"/>
      <c r="BU118" s="654"/>
      <c r="BV118" s="654"/>
      <c r="BW118" s="645" t="s">
        <v>109</v>
      </c>
      <c r="BX118" s="658">
        <f t="shared" si="60"/>
        <v>40</v>
      </c>
      <c r="BY118" s="658">
        <f t="shared" si="61"/>
        <v>48</v>
      </c>
      <c r="BZ118" s="658">
        <f t="shared" si="62"/>
        <v>48</v>
      </c>
      <c r="CA118" s="658">
        <f t="shared" si="63"/>
        <v>40</v>
      </c>
      <c r="CB118" s="644">
        <f t="shared" si="40"/>
        <v>176</v>
      </c>
      <c r="CC118" s="658">
        <f t="shared" si="64"/>
        <v>16</v>
      </c>
      <c r="CD118" s="644">
        <f t="shared" si="65"/>
        <v>176</v>
      </c>
      <c r="CE118" s="644">
        <f t="shared" si="56"/>
        <v>0</v>
      </c>
    </row>
    <row r="119" s="338" customFormat="1" ht="40" customHeight="1" spans="1:83">
      <c r="A119" s="632">
        <v>45707</v>
      </c>
      <c r="B119" s="633" t="s">
        <v>772</v>
      </c>
      <c r="C119" s="634" t="s">
        <v>144</v>
      </c>
      <c r="D119" s="635">
        <v>4500157858</v>
      </c>
      <c r="E119" s="634">
        <v>5200006149</v>
      </c>
      <c r="F119" s="636" t="s">
        <v>773</v>
      </c>
      <c r="G119" s="637" t="s">
        <v>774</v>
      </c>
      <c r="H119" s="637" t="s">
        <v>99</v>
      </c>
      <c r="I119" s="638">
        <v>3300</v>
      </c>
      <c r="J119" s="638">
        <v>0</v>
      </c>
      <c r="K119" s="639">
        <v>11</v>
      </c>
      <c r="L119" s="639">
        <f t="shared" si="46"/>
        <v>300</v>
      </c>
      <c r="M119" s="641">
        <v>45757</v>
      </c>
      <c r="N119" s="641">
        <v>45754</v>
      </c>
      <c r="O119" s="641"/>
      <c r="P119" s="642" t="s">
        <v>100</v>
      </c>
      <c r="Q119" s="643" t="s">
        <v>775</v>
      </c>
      <c r="R119" s="642" t="s">
        <v>776</v>
      </c>
      <c r="S119" s="642"/>
      <c r="T119" s="642"/>
      <c r="U119" s="642" t="s">
        <v>777</v>
      </c>
      <c r="V119" s="642"/>
      <c r="W119" s="646"/>
      <c r="X119" s="647" t="s">
        <v>778</v>
      </c>
      <c r="Y119" s="646" t="s">
        <v>779</v>
      </c>
      <c r="Z119" s="648">
        <v>2.7874</v>
      </c>
      <c r="AA119" s="650">
        <v>9198.42</v>
      </c>
      <c r="AB119" s="649">
        <v>3300</v>
      </c>
      <c r="AC119" s="649">
        <f t="shared" si="66"/>
        <v>0</v>
      </c>
      <c r="AD119" s="650" t="s">
        <v>123</v>
      </c>
      <c r="AE119" s="661" t="s">
        <v>597</v>
      </c>
      <c r="AF119" s="646" t="s">
        <v>107</v>
      </c>
      <c r="AG119" s="652" t="s">
        <v>43</v>
      </c>
      <c r="AH119" s="646" t="s">
        <v>780</v>
      </c>
      <c r="AI119" s="651"/>
      <c r="AJ119" s="651"/>
      <c r="AK119" s="651"/>
      <c r="AL119" s="649"/>
      <c r="AM119" s="649"/>
      <c r="AN119" s="651"/>
      <c r="AO119" s="649">
        <v>3300</v>
      </c>
      <c r="AP119" s="649"/>
      <c r="AQ119" s="653"/>
      <c r="AR119" s="651"/>
      <c r="AS119" s="651"/>
      <c r="AT119" s="652">
        <f t="shared" si="59"/>
        <v>3300</v>
      </c>
      <c r="AU119" s="649"/>
      <c r="AV119" s="654"/>
      <c r="AW119" s="656"/>
      <c r="AX119" s="652"/>
      <c r="AY119" s="652"/>
      <c r="AZ119" s="656"/>
      <c r="BA119" s="652">
        <v>300</v>
      </c>
      <c r="BB119" s="652"/>
      <c r="BC119" s="656"/>
      <c r="BD119" s="656"/>
      <c r="BE119" s="654"/>
      <c r="BF119" s="656"/>
      <c r="BG119" s="654"/>
      <c r="BH119" s="654"/>
      <c r="BI119" s="656"/>
      <c r="BJ119" s="656"/>
      <c r="BK119" s="654"/>
      <c r="BL119" s="654"/>
      <c r="BM119" s="654"/>
      <c r="BN119" s="654"/>
      <c r="BO119" s="654"/>
      <c r="BP119" s="656"/>
      <c r="BQ119" s="654"/>
      <c r="BR119" s="656"/>
      <c r="BS119" s="654"/>
      <c r="BT119" s="654"/>
      <c r="BU119" s="654"/>
      <c r="BV119" s="654"/>
      <c r="BW119" s="645" t="s">
        <v>109</v>
      </c>
      <c r="BX119" s="658">
        <f t="shared" si="60"/>
        <v>750</v>
      </c>
      <c r="BY119" s="658">
        <f t="shared" si="61"/>
        <v>900</v>
      </c>
      <c r="BZ119" s="658">
        <f t="shared" si="62"/>
        <v>900</v>
      </c>
      <c r="CA119" s="658">
        <f t="shared" si="63"/>
        <v>750</v>
      </c>
      <c r="CB119" s="644">
        <f t="shared" si="40"/>
        <v>3300</v>
      </c>
      <c r="CC119" s="658">
        <f t="shared" si="64"/>
        <v>300</v>
      </c>
      <c r="CD119" s="644">
        <f t="shared" si="65"/>
        <v>3300</v>
      </c>
      <c r="CE119" s="644">
        <f t="shared" si="56"/>
        <v>0</v>
      </c>
    </row>
    <row r="120" s="338" customFormat="1" ht="40" customHeight="1" spans="1:83">
      <c r="A120" s="632">
        <v>45695</v>
      </c>
      <c r="B120" s="633" t="s">
        <v>414</v>
      </c>
      <c r="C120" s="634" t="s">
        <v>415</v>
      </c>
      <c r="D120" s="635">
        <v>4500156906</v>
      </c>
      <c r="E120" s="659" t="s">
        <v>781</v>
      </c>
      <c r="F120" s="636" t="s">
        <v>782</v>
      </c>
      <c r="G120" s="637" t="s">
        <v>111</v>
      </c>
      <c r="H120" s="637" t="s">
        <v>99</v>
      </c>
      <c r="I120" s="638">
        <v>616</v>
      </c>
      <c r="J120" s="638">
        <v>0</v>
      </c>
      <c r="K120" s="639">
        <v>22</v>
      </c>
      <c r="L120" s="639">
        <f t="shared" si="46"/>
        <v>28</v>
      </c>
      <c r="M120" s="641">
        <v>45758</v>
      </c>
      <c r="N120" s="641">
        <f>M120-4</f>
        <v>45754</v>
      </c>
      <c r="O120" s="641"/>
      <c r="P120" s="642" t="s">
        <v>100</v>
      </c>
      <c r="Q120" s="643" t="s">
        <v>720</v>
      </c>
      <c r="R120" s="642" t="s">
        <v>642</v>
      </c>
      <c r="S120" s="642"/>
      <c r="T120" s="642"/>
      <c r="U120" s="642" t="s">
        <v>783</v>
      </c>
      <c r="V120" s="677"/>
      <c r="W120" s="646"/>
      <c r="X120" s="647" t="s">
        <v>784</v>
      </c>
      <c r="Y120" s="646" t="s">
        <v>422</v>
      </c>
      <c r="Z120" s="683">
        <v>2.7825</v>
      </c>
      <c r="AA120" s="650">
        <f>I120*Z120</f>
        <v>1714.02</v>
      </c>
      <c r="AB120" s="649">
        <v>616</v>
      </c>
      <c r="AC120" s="649">
        <f t="shared" si="66"/>
        <v>0</v>
      </c>
      <c r="AD120" s="650" t="s">
        <v>106</v>
      </c>
      <c r="AE120" s="661" t="s">
        <v>111</v>
      </c>
      <c r="AF120" s="646" t="s">
        <v>107</v>
      </c>
      <c r="AG120" s="652" t="s">
        <v>43</v>
      </c>
      <c r="AH120" s="646" t="s">
        <v>785</v>
      </c>
      <c r="AI120" s="651"/>
      <c r="AJ120" s="651"/>
      <c r="AK120" s="651"/>
      <c r="AL120" s="652">
        <f>I120</f>
        <v>616</v>
      </c>
      <c r="AM120" s="652"/>
      <c r="AN120" s="651"/>
      <c r="AO120" s="649"/>
      <c r="AP120" s="649"/>
      <c r="AQ120" s="653"/>
      <c r="AR120" s="651"/>
      <c r="AS120" s="651"/>
      <c r="AT120" s="652">
        <f t="shared" si="59"/>
        <v>616</v>
      </c>
      <c r="AU120" s="649"/>
      <c r="AV120" s="654"/>
      <c r="AW120" s="656"/>
      <c r="AX120" s="652">
        <f>I120/11</f>
        <v>56</v>
      </c>
      <c r="AY120" s="652"/>
      <c r="AZ120" s="656"/>
      <c r="BA120" s="654"/>
      <c r="BB120" s="654"/>
      <c r="BC120" s="656"/>
      <c r="BD120" s="656"/>
      <c r="BE120" s="654"/>
      <c r="BF120" s="656"/>
      <c r="BG120" s="654"/>
      <c r="BH120" s="654"/>
      <c r="BI120" s="656"/>
      <c r="BJ120" s="656"/>
      <c r="BK120" s="654"/>
      <c r="BL120" s="654"/>
      <c r="BM120" s="654"/>
      <c r="BN120" s="654"/>
      <c r="BO120" s="654"/>
      <c r="BP120" s="656"/>
      <c r="BQ120" s="654"/>
      <c r="BR120" s="656"/>
      <c r="BS120" s="654"/>
      <c r="BT120" s="654"/>
      <c r="BU120" s="654"/>
      <c r="BV120" s="654"/>
      <c r="BW120" s="645" t="s">
        <v>109</v>
      </c>
      <c r="BX120" s="658">
        <f t="shared" si="60"/>
        <v>140</v>
      </c>
      <c r="BY120" s="658">
        <f t="shared" si="61"/>
        <v>168</v>
      </c>
      <c r="BZ120" s="658">
        <f t="shared" si="62"/>
        <v>168</v>
      </c>
      <c r="CA120" s="658">
        <f t="shared" si="63"/>
        <v>140</v>
      </c>
      <c r="CB120" s="644">
        <f t="shared" si="40"/>
        <v>616</v>
      </c>
      <c r="CC120" s="658">
        <f t="shared" si="64"/>
        <v>56</v>
      </c>
      <c r="CD120" s="644">
        <f t="shared" si="65"/>
        <v>616</v>
      </c>
      <c r="CE120" s="644">
        <f t="shared" si="56"/>
        <v>0</v>
      </c>
    </row>
    <row r="121" s="338" customFormat="1" ht="40" customHeight="1" spans="1:83">
      <c r="A121" s="632">
        <v>45723</v>
      </c>
      <c r="B121" s="659" t="s">
        <v>616</v>
      </c>
      <c r="C121" s="634" t="s">
        <v>617</v>
      </c>
      <c r="D121" s="635">
        <v>4500159418</v>
      </c>
      <c r="E121" s="659">
        <v>4400470222</v>
      </c>
      <c r="F121" s="636" t="s">
        <v>786</v>
      </c>
      <c r="G121" s="637" t="s">
        <v>111</v>
      </c>
      <c r="H121" s="637" t="s">
        <v>99</v>
      </c>
      <c r="I121" s="638">
        <v>2420</v>
      </c>
      <c r="J121" s="638">
        <v>0</v>
      </c>
      <c r="K121" s="639">
        <v>22</v>
      </c>
      <c r="L121" s="639">
        <f t="shared" si="46"/>
        <v>110</v>
      </c>
      <c r="M121" s="641">
        <v>45761</v>
      </c>
      <c r="N121" s="641">
        <v>45757</v>
      </c>
      <c r="O121" s="641"/>
      <c r="P121" s="642" t="s">
        <v>100</v>
      </c>
      <c r="Q121" s="643" t="s">
        <v>787</v>
      </c>
      <c r="R121" s="642" t="s">
        <v>788</v>
      </c>
      <c r="S121" s="642"/>
      <c r="T121" s="642"/>
      <c r="U121" s="642" t="s">
        <v>789</v>
      </c>
      <c r="V121" s="642"/>
      <c r="W121" s="645"/>
      <c r="X121" s="647" t="s">
        <v>790</v>
      </c>
      <c r="Y121" s="646" t="s">
        <v>791</v>
      </c>
      <c r="Z121" s="683">
        <v>2.7352</v>
      </c>
      <c r="AA121" s="650">
        <f>I121*Z121</f>
        <v>6619.184</v>
      </c>
      <c r="AB121" s="649">
        <v>2420</v>
      </c>
      <c r="AC121" s="649">
        <f t="shared" si="66"/>
        <v>0</v>
      </c>
      <c r="AD121" s="650" t="s">
        <v>106</v>
      </c>
      <c r="AE121" s="637" t="s">
        <v>230</v>
      </c>
      <c r="AF121" s="646" t="s">
        <v>107</v>
      </c>
      <c r="AG121" s="652" t="s">
        <v>43</v>
      </c>
      <c r="AH121" s="646" t="s">
        <v>792</v>
      </c>
      <c r="AI121" s="651"/>
      <c r="AJ121" s="651"/>
      <c r="AK121" s="651"/>
      <c r="AL121" s="649"/>
      <c r="AM121" s="649"/>
      <c r="AN121" s="651"/>
      <c r="AO121" s="649">
        <f>I121</f>
        <v>2420</v>
      </c>
      <c r="AP121" s="649"/>
      <c r="AQ121" s="653"/>
      <c r="AR121" s="651"/>
      <c r="AS121" s="651"/>
      <c r="AT121" s="652">
        <f t="shared" si="59"/>
        <v>2420</v>
      </c>
      <c r="AU121" s="649"/>
      <c r="AV121" s="654"/>
      <c r="AW121" s="655"/>
      <c r="AX121" s="652"/>
      <c r="AY121" s="652"/>
      <c r="AZ121" s="656"/>
      <c r="BA121" s="652">
        <f>I121/11</f>
        <v>220</v>
      </c>
      <c r="BB121" s="652"/>
      <c r="BC121" s="656"/>
      <c r="BD121" s="656"/>
      <c r="BE121" s="654"/>
      <c r="BF121" s="656"/>
      <c r="BG121" s="654"/>
      <c r="BH121" s="654"/>
      <c r="BI121" s="656"/>
      <c r="BJ121" s="656"/>
      <c r="BK121" s="652"/>
      <c r="BL121" s="652"/>
      <c r="BM121" s="654"/>
      <c r="BN121" s="654"/>
      <c r="BO121" s="654"/>
      <c r="BP121" s="656"/>
      <c r="BQ121" s="654"/>
      <c r="BR121" s="656"/>
      <c r="BS121" s="654"/>
      <c r="BT121" s="654"/>
      <c r="BU121" s="654"/>
      <c r="BV121" s="654"/>
      <c r="BW121" s="645" t="s">
        <v>109</v>
      </c>
      <c r="BX121" s="658">
        <f t="shared" si="60"/>
        <v>550</v>
      </c>
      <c r="BY121" s="658">
        <f t="shared" si="61"/>
        <v>660</v>
      </c>
      <c r="BZ121" s="658">
        <f t="shared" si="62"/>
        <v>660</v>
      </c>
      <c r="CA121" s="658">
        <f t="shared" si="63"/>
        <v>550</v>
      </c>
      <c r="CB121" s="644">
        <f t="shared" si="40"/>
        <v>2420</v>
      </c>
      <c r="CC121" s="658">
        <f t="shared" si="64"/>
        <v>220</v>
      </c>
      <c r="CD121" s="644">
        <f t="shared" si="65"/>
        <v>2420</v>
      </c>
      <c r="CE121" s="644">
        <f t="shared" si="56"/>
        <v>0</v>
      </c>
    </row>
    <row r="122" s="338" customFormat="1" ht="40" customHeight="1" spans="1:83">
      <c r="A122" s="632">
        <v>45611</v>
      </c>
      <c r="B122" s="659" t="s">
        <v>94</v>
      </c>
      <c r="C122" s="634" t="s">
        <v>205</v>
      </c>
      <c r="D122" s="635">
        <v>4500151398</v>
      </c>
      <c r="E122" s="659" t="s">
        <v>125</v>
      </c>
      <c r="F122" s="636" t="s">
        <v>793</v>
      </c>
      <c r="G122" s="637" t="s">
        <v>98</v>
      </c>
      <c r="H122" s="637" t="s">
        <v>99</v>
      </c>
      <c r="I122" s="638">
        <v>384</v>
      </c>
      <c r="J122" s="638">
        <v>0</v>
      </c>
      <c r="K122" s="639">
        <v>24</v>
      </c>
      <c r="L122" s="639">
        <f t="shared" si="46"/>
        <v>16</v>
      </c>
      <c r="M122" s="641">
        <v>45750</v>
      </c>
      <c r="N122" s="641">
        <v>45747</v>
      </c>
      <c r="O122" s="641"/>
      <c r="P122" s="642" t="s">
        <v>100</v>
      </c>
      <c r="Q122" s="643" t="s">
        <v>794</v>
      </c>
      <c r="R122" s="642" t="s">
        <v>270</v>
      </c>
      <c r="S122" s="642"/>
      <c r="T122" s="642"/>
      <c r="U122" s="642" t="s">
        <v>751</v>
      </c>
      <c r="V122" s="642"/>
      <c r="W122" s="645" t="s">
        <v>210</v>
      </c>
      <c r="X122" s="647" t="s">
        <v>752</v>
      </c>
      <c r="Y122" s="646" t="s">
        <v>105</v>
      </c>
      <c r="Z122" s="648">
        <v>2.5554</v>
      </c>
      <c r="AA122" s="650">
        <f>I122*Z122</f>
        <v>981.2736</v>
      </c>
      <c r="AB122" s="649">
        <v>384</v>
      </c>
      <c r="AC122" s="649">
        <f t="shared" si="66"/>
        <v>0</v>
      </c>
      <c r="AD122" s="650" t="s">
        <v>123</v>
      </c>
      <c r="AE122" s="637" t="s">
        <v>98</v>
      </c>
      <c r="AF122" s="646" t="s">
        <v>107</v>
      </c>
      <c r="AG122" s="652" t="s">
        <v>43</v>
      </c>
      <c r="AH122" s="646" t="s">
        <v>753</v>
      </c>
      <c r="AI122" s="649"/>
      <c r="AJ122" s="649"/>
      <c r="AK122" s="649"/>
      <c r="AL122" s="652">
        <f>I122</f>
        <v>384</v>
      </c>
      <c r="AM122" s="652"/>
      <c r="AN122" s="649"/>
      <c r="AO122" s="649"/>
      <c r="AP122" s="649"/>
      <c r="AQ122" s="653"/>
      <c r="AR122" s="649"/>
      <c r="AS122" s="649"/>
      <c r="AT122" s="652">
        <f t="shared" si="59"/>
        <v>384</v>
      </c>
      <c r="AU122" s="649"/>
      <c r="AV122" s="654"/>
      <c r="AW122" s="652"/>
      <c r="AX122" s="652"/>
      <c r="AY122" s="652"/>
      <c r="AZ122" s="654"/>
      <c r="BA122" s="652"/>
      <c r="BB122" s="652"/>
      <c r="BC122" s="654"/>
      <c r="BD122" s="654"/>
      <c r="BE122" s="654"/>
      <c r="BF122" s="654"/>
      <c r="BG122" s="654"/>
      <c r="BH122" s="654"/>
      <c r="BI122" s="654"/>
      <c r="BJ122" s="654"/>
      <c r="BK122" s="654"/>
      <c r="BL122" s="654"/>
      <c r="BM122" s="654"/>
      <c r="BN122" s="654"/>
      <c r="BO122" s="654"/>
      <c r="BP122" s="654"/>
      <c r="BQ122" s="654"/>
      <c r="BR122" s="654"/>
      <c r="BS122" s="654"/>
      <c r="BT122" s="654"/>
      <c r="BU122" s="654"/>
      <c r="BV122" s="654"/>
      <c r="BW122" s="645" t="s">
        <v>109</v>
      </c>
      <c r="BX122" s="658">
        <f>I122/4</f>
        <v>96</v>
      </c>
      <c r="BY122" s="658">
        <f>I122/4</f>
        <v>96</v>
      </c>
      <c r="BZ122" s="658">
        <f>I122/4</f>
        <v>96</v>
      </c>
      <c r="CA122" s="658">
        <f>I122/4</f>
        <v>96</v>
      </c>
      <c r="CB122" s="644">
        <f t="shared" si="40"/>
        <v>384</v>
      </c>
      <c r="CC122" s="644"/>
      <c r="CD122" s="644">
        <f t="shared" si="65"/>
        <v>384</v>
      </c>
      <c r="CE122" s="644">
        <f t="shared" si="56"/>
        <v>0</v>
      </c>
    </row>
    <row r="123" s="338" customFormat="1" ht="40" customHeight="1" spans="1:83">
      <c r="A123" s="632">
        <v>45719</v>
      </c>
      <c r="B123" s="633" t="s">
        <v>772</v>
      </c>
      <c r="C123" s="634" t="s">
        <v>144</v>
      </c>
      <c r="D123" s="635">
        <v>4500158832</v>
      </c>
      <c r="E123" s="634">
        <v>5200006286</v>
      </c>
      <c r="F123" s="636" t="s">
        <v>795</v>
      </c>
      <c r="G123" s="637" t="s">
        <v>774</v>
      </c>
      <c r="H123" s="637" t="s">
        <v>99</v>
      </c>
      <c r="I123" s="638">
        <v>3300</v>
      </c>
      <c r="J123" s="638">
        <v>0</v>
      </c>
      <c r="K123" s="639">
        <v>11</v>
      </c>
      <c r="L123" s="639">
        <f t="shared" si="46"/>
        <v>300</v>
      </c>
      <c r="M123" s="641">
        <v>45754</v>
      </c>
      <c r="N123" s="641">
        <v>45750</v>
      </c>
      <c r="O123" s="641"/>
      <c r="P123" s="642" t="s">
        <v>100</v>
      </c>
      <c r="Q123" s="643" t="s">
        <v>796</v>
      </c>
      <c r="R123" s="642" t="s">
        <v>797</v>
      </c>
      <c r="S123" s="642"/>
      <c r="T123" s="642"/>
      <c r="U123" s="642" t="s">
        <v>777</v>
      </c>
      <c r="V123" s="642"/>
      <c r="W123" s="646"/>
      <c r="X123" s="647" t="s">
        <v>798</v>
      </c>
      <c r="Y123" s="646" t="s">
        <v>779</v>
      </c>
      <c r="Z123" s="648">
        <v>2.7874</v>
      </c>
      <c r="AA123" s="650">
        <f>I123*Z123</f>
        <v>9198.42</v>
      </c>
      <c r="AB123" s="649">
        <v>3300</v>
      </c>
      <c r="AC123" s="649">
        <f t="shared" si="66"/>
        <v>0</v>
      </c>
      <c r="AD123" s="650" t="s">
        <v>123</v>
      </c>
      <c r="AE123" s="661" t="s">
        <v>597</v>
      </c>
      <c r="AF123" s="646" t="s">
        <v>107</v>
      </c>
      <c r="AG123" s="652" t="s">
        <v>43</v>
      </c>
      <c r="AH123" s="646" t="s">
        <v>799</v>
      </c>
      <c r="AI123" s="651"/>
      <c r="AJ123" s="651"/>
      <c r="AK123" s="651"/>
      <c r="AL123" s="649"/>
      <c r="AM123" s="649"/>
      <c r="AN123" s="651"/>
      <c r="AO123" s="649">
        <f>I123</f>
        <v>3300</v>
      </c>
      <c r="AP123" s="649"/>
      <c r="AQ123" s="653"/>
      <c r="AR123" s="651"/>
      <c r="AS123" s="651"/>
      <c r="AT123" s="652">
        <f t="shared" si="59"/>
        <v>3300</v>
      </c>
      <c r="AU123" s="649"/>
      <c r="AV123" s="654"/>
      <c r="AW123" s="656"/>
      <c r="AX123" s="652"/>
      <c r="AY123" s="652"/>
      <c r="AZ123" s="656"/>
      <c r="BA123" s="652">
        <f>I123/11</f>
        <v>300</v>
      </c>
      <c r="BB123" s="652"/>
      <c r="BC123" s="656"/>
      <c r="BD123" s="656"/>
      <c r="BE123" s="654"/>
      <c r="BF123" s="656"/>
      <c r="BG123" s="654"/>
      <c r="BH123" s="654"/>
      <c r="BI123" s="656"/>
      <c r="BJ123" s="656"/>
      <c r="BK123" s="654"/>
      <c r="BL123" s="654"/>
      <c r="BM123" s="654"/>
      <c r="BN123" s="654"/>
      <c r="BO123" s="654"/>
      <c r="BP123" s="656"/>
      <c r="BQ123" s="654"/>
      <c r="BR123" s="656"/>
      <c r="BS123" s="654"/>
      <c r="BT123" s="654"/>
      <c r="BU123" s="654"/>
      <c r="BV123" s="654"/>
      <c r="BW123" s="645" t="s">
        <v>109</v>
      </c>
      <c r="BX123" s="658">
        <f>I123/22*5</f>
        <v>750</v>
      </c>
      <c r="BY123" s="658">
        <f>I123/22*6</f>
        <v>900</v>
      </c>
      <c r="BZ123" s="658">
        <f>I123/22*6</f>
        <v>900</v>
      </c>
      <c r="CA123" s="658">
        <f>I123/22*5</f>
        <v>750</v>
      </c>
      <c r="CB123" s="644">
        <f t="shared" si="40"/>
        <v>3300</v>
      </c>
      <c r="CC123" s="658">
        <f>I123/11</f>
        <v>300</v>
      </c>
      <c r="CD123" s="644">
        <f t="shared" si="65"/>
        <v>3300</v>
      </c>
      <c r="CE123" s="644">
        <f t="shared" si="56"/>
        <v>0</v>
      </c>
    </row>
    <row r="124" s="338" customFormat="1" ht="40" customHeight="1" spans="1:83">
      <c r="A124" s="632">
        <v>45740</v>
      </c>
      <c r="B124" s="633"/>
      <c r="C124" s="634"/>
      <c r="D124" s="635" t="s">
        <v>800</v>
      </c>
      <c r="E124" s="659"/>
      <c r="F124" s="636"/>
      <c r="G124" s="637" t="s">
        <v>111</v>
      </c>
      <c r="H124" s="637" t="s">
        <v>99</v>
      </c>
      <c r="I124" s="638">
        <f>20*11</f>
        <v>220</v>
      </c>
      <c r="J124" s="638">
        <v>0</v>
      </c>
      <c r="K124" s="639">
        <v>22</v>
      </c>
      <c r="L124" s="639">
        <f t="shared" si="46"/>
        <v>10</v>
      </c>
      <c r="M124" s="641">
        <v>45760</v>
      </c>
      <c r="N124" s="641">
        <v>45756</v>
      </c>
      <c r="O124" s="641"/>
      <c r="P124" s="642" t="s">
        <v>100</v>
      </c>
      <c r="Q124" s="643"/>
      <c r="R124" s="642" t="s">
        <v>112</v>
      </c>
      <c r="S124" s="642"/>
      <c r="T124" s="642"/>
      <c r="U124" s="642" t="s">
        <v>113</v>
      </c>
      <c r="V124" s="677"/>
      <c r="W124" s="646"/>
      <c r="X124" s="647" t="s">
        <v>801</v>
      </c>
      <c r="Y124" s="646" t="s">
        <v>115</v>
      </c>
      <c r="Z124" s="683"/>
      <c r="AA124" s="650"/>
      <c r="AB124" s="649">
        <v>220</v>
      </c>
      <c r="AC124" s="649">
        <f t="shared" si="66"/>
        <v>0</v>
      </c>
      <c r="AD124" s="650" t="s">
        <v>113</v>
      </c>
      <c r="AE124" s="661" t="s">
        <v>111</v>
      </c>
      <c r="AF124" s="646" t="s">
        <v>107</v>
      </c>
      <c r="AG124" s="652" t="s">
        <v>43</v>
      </c>
      <c r="AH124" s="646"/>
      <c r="AI124" s="649"/>
      <c r="AJ124" s="649"/>
      <c r="AK124" s="649"/>
      <c r="AL124" s="652">
        <f>I124</f>
        <v>220</v>
      </c>
      <c r="AM124" s="652"/>
      <c r="AN124" s="649"/>
      <c r="AO124" s="649"/>
      <c r="AP124" s="649"/>
      <c r="AQ124" s="653"/>
      <c r="AR124" s="649"/>
      <c r="AS124" s="649"/>
      <c r="AT124" s="652">
        <f t="shared" si="59"/>
        <v>220</v>
      </c>
      <c r="AU124" s="649"/>
      <c r="AV124" s="654"/>
      <c r="AW124" s="654"/>
      <c r="AX124" s="652">
        <f>I124/11</f>
        <v>20</v>
      </c>
      <c r="AY124" s="652"/>
      <c r="AZ124" s="654"/>
      <c r="BA124" s="654"/>
      <c r="BB124" s="654"/>
      <c r="BC124" s="654"/>
      <c r="BD124" s="654"/>
      <c r="BE124" s="654"/>
      <c r="BF124" s="654"/>
      <c r="BG124" s="654"/>
      <c r="BH124" s="654"/>
      <c r="BI124" s="654"/>
      <c r="BJ124" s="654"/>
      <c r="BK124" s="654"/>
      <c r="BL124" s="654"/>
      <c r="BM124" s="654"/>
      <c r="BN124" s="654"/>
      <c r="BO124" s="654"/>
      <c r="BP124" s="654"/>
      <c r="BQ124" s="654"/>
      <c r="BR124" s="654"/>
      <c r="BS124" s="654"/>
      <c r="BT124" s="654"/>
      <c r="BU124" s="654"/>
      <c r="BV124" s="654"/>
      <c r="BW124" s="645" t="s">
        <v>109</v>
      </c>
      <c r="BX124" s="658">
        <f>I124/22*5</f>
        <v>50</v>
      </c>
      <c r="BY124" s="658">
        <f>I124/22*6</f>
        <v>60</v>
      </c>
      <c r="BZ124" s="658">
        <f>I124/22*6</f>
        <v>60</v>
      </c>
      <c r="CA124" s="658">
        <f>I124/22*5</f>
        <v>50</v>
      </c>
      <c r="CB124" s="644">
        <f t="shared" si="40"/>
        <v>220</v>
      </c>
      <c r="CC124" s="658">
        <f>I124/11</f>
        <v>20</v>
      </c>
      <c r="CD124" s="644">
        <f t="shared" si="65"/>
        <v>220</v>
      </c>
      <c r="CE124" s="644">
        <f t="shared" si="56"/>
        <v>0</v>
      </c>
    </row>
    <row r="125" s="338" customFormat="1" ht="40" customHeight="1" spans="1:83">
      <c r="A125" s="632">
        <v>45726</v>
      </c>
      <c r="B125" s="659" t="s">
        <v>802</v>
      </c>
      <c r="C125" s="634" t="s">
        <v>214</v>
      </c>
      <c r="D125" s="635">
        <v>4500159706</v>
      </c>
      <c r="E125" s="659">
        <v>5200006347</v>
      </c>
      <c r="F125" s="636" t="s">
        <v>803</v>
      </c>
      <c r="G125" s="637" t="s">
        <v>456</v>
      </c>
      <c r="H125" s="637" t="s">
        <v>804</v>
      </c>
      <c r="I125" s="638">
        <v>1680</v>
      </c>
      <c r="J125" s="638">
        <v>0</v>
      </c>
      <c r="K125" s="639">
        <v>24</v>
      </c>
      <c r="L125" s="639">
        <f t="shared" si="46"/>
        <v>70</v>
      </c>
      <c r="M125" s="641">
        <v>45761</v>
      </c>
      <c r="N125" s="641">
        <v>45757</v>
      </c>
      <c r="O125" s="641"/>
      <c r="P125" s="642" t="s">
        <v>100</v>
      </c>
      <c r="Q125" s="643" t="s">
        <v>805</v>
      </c>
      <c r="R125" s="642" t="s">
        <v>806</v>
      </c>
      <c r="S125" s="642"/>
      <c r="T125" s="642"/>
      <c r="U125" s="642" t="s">
        <v>807</v>
      </c>
      <c r="V125" s="642"/>
      <c r="W125" s="645"/>
      <c r="X125" s="647" t="s">
        <v>808</v>
      </c>
      <c r="Y125" s="646" t="s">
        <v>809</v>
      </c>
      <c r="Z125" s="683">
        <v>2.4745</v>
      </c>
      <c r="AA125" s="650">
        <f>I125*Z125</f>
        <v>4157.16</v>
      </c>
      <c r="AB125" s="649">
        <v>1680</v>
      </c>
      <c r="AC125" s="649">
        <f t="shared" si="66"/>
        <v>0</v>
      </c>
      <c r="AD125" s="650" t="s">
        <v>106</v>
      </c>
      <c r="AE125" s="637" t="s">
        <v>456</v>
      </c>
      <c r="AF125" s="646" t="s">
        <v>107</v>
      </c>
      <c r="AG125" s="652" t="s">
        <v>43</v>
      </c>
      <c r="AH125" s="646" t="s">
        <v>810</v>
      </c>
      <c r="AI125" s="651"/>
      <c r="AJ125" s="651"/>
      <c r="AK125" s="651"/>
      <c r="AL125" s="652">
        <f>I125</f>
        <v>1680</v>
      </c>
      <c r="AM125" s="652"/>
      <c r="AN125" s="651"/>
      <c r="AO125" s="649"/>
      <c r="AP125" s="649"/>
      <c r="AQ125" s="653"/>
      <c r="AR125" s="651"/>
      <c r="AS125" s="651"/>
      <c r="AT125" s="652">
        <f t="shared" si="59"/>
        <v>1680</v>
      </c>
      <c r="AU125" s="649"/>
      <c r="AV125" s="654"/>
      <c r="AW125" s="655"/>
      <c r="AX125" s="652"/>
      <c r="AY125" s="652"/>
      <c r="AZ125" s="656"/>
      <c r="BA125" s="652"/>
      <c r="BB125" s="652"/>
      <c r="BC125" s="656"/>
      <c r="BD125" s="656"/>
      <c r="BE125" s="654"/>
      <c r="BF125" s="656"/>
      <c r="BG125" s="654"/>
      <c r="BH125" s="654"/>
      <c r="BI125" s="656"/>
      <c r="BJ125" s="656"/>
      <c r="BK125" s="652"/>
      <c r="BL125" s="652"/>
      <c r="BM125" s="654"/>
      <c r="BN125" s="654"/>
      <c r="BO125" s="654"/>
      <c r="BP125" s="656"/>
      <c r="BQ125" s="654"/>
      <c r="BR125" s="656"/>
      <c r="BS125" s="654"/>
      <c r="BT125" s="654"/>
      <c r="BU125" s="654"/>
      <c r="BV125" s="654"/>
      <c r="BW125" s="645" t="s">
        <v>109</v>
      </c>
      <c r="BX125" s="658"/>
      <c r="BY125" s="658"/>
      <c r="BZ125" s="658"/>
      <c r="CA125" s="658">
        <f>I125</f>
        <v>1680</v>
      </c>
      <c r="CB125" s="644">
        <f t="shared" si="40"/>
        <v>1680</v>
      </c>
      <c r="CC125" s="658"/>
      <c r="CD125" s="644">
        <f t="shared" si="65"/>
        <v>1680</v>
      </c>
      <c r="CE125" s="644">
        <f t="shared" si="56"/>
        <v>0</v>
      </c>
    </row>
    <row r="126" s="338" customFormat="1" ht="40" customHeight="1" spans="1:83">
      <c r="A126" s="632">
        <v>45712</v>
      </c>
      <c r="B126" s="659" t="s">
        <v>811</v>
      </c>
      <c r="C126" s="634" t="s">
        <v>812</v>
      </c>
      <c r="D126" s="635">
        <v>4500158358</v>
      </c>
      <c r="E126" s="659"/>
      <c r="F126" s="636" t="s">
        <v>813</v>
      </c>
      <c r="G126" s="637" t="s">
        <v>111</v>
      </c>
      <c r="H126" s="637" t="s">
        <v>99</v>
      </c>
      <c r="I126" s="638">
        <v>88</v>
      </c>
      <c r="J126" s="638">
        <v>0</v>
      </c>
      <c r="K126" s="639">
        <v>22</v>
      </c>
      <c r="L126" s="639">
        <f t="shared" si="46"/>
        <v>4</v>
      </c>
      <c r="M126" s="641">
        <v>45763</v>
      </c>
      <c r="N126" s="641">
        <v>45759</v>
      </c>
      <c r="O126" s="641"/>
      <c r="P126" s="642" t="s">
        <v>100</v>
      </c>
      <c r="Q126" s="643" t="s">
        <v>814</v>
      </c>
      <c r="R126" s="642" t="s">
        <v>815</v>
      </c>
      <c r="S126" s="642"/>
      <c r="T126" s="642"/>
      <c r="U126" s="642" t="s">
        <v>816</v>
      </c>
      <c r="V126" s="642"/>
      <c r="W126" s="645"/>
      <c r="X126" s="647" t="s">
        <v>817</v>
      </c>
      <c r="Y126" s="646" t="s">
        <v>818</v>
      </c>
      <c r="Z126" s="683">
        <v>2.8179</v>
      </c>
      <c r="AA126" s="650">
        <f t="shared" ref="AA126:AA132" si="67">I126*Z126</f>
        <v>247.9752</v>
      </c>
      <c r="AB126" s="649">
        <v>88</v>
      </c>
      <c r="AC126" s="649">
        <f t="shared" ref="AC126:AC171" si="68">AB126-I126</f>
        <v>0</v>
      </c>
      <c r="AD126" s="650" t="s">
        <v>123</v>
      </c>
      <c r="AE126" s="637" t="s">
        <v>230</v>
      </c>
      <c r="AF126" s="646" t="s">
        <v>107</v>
      </c>
      <c r="AG126" s="652" t="s">
        <v>43</v>
      </c>
      <c r="AH126" s="646" t="s">
        <v>819</v>
      </c>
      <c r="AI126" s="649"/>
      <c r="AJ126" s="649"/>
      <c r="AK126" s="649"/>
      <c r="AL126" s="649"/>
      <c r="AM126" s="649"/>
      <c r="AN126" s="649"/>
      <c r="AO126" s="649">
        <f t="shared" ref="AO126:AO132" si="69">I126</f>
        <v>88</v>
      </c>
      <c r="AP126" s="649"/>
      <c r="AQ126" s="653"/>
      <c r="AR126" s="649"/>
      <c r="AS126" s="649"/>
      <c r="AT126" s="652">
        <f t="shared" ref="AT126:AT138" si="70">I126</f>
        <v>88</v>
      </c>
      <c r="AU126" s="649"/>
      <c r="AV126" s="654"/>
      <c r="AW126" s="652"/>
      <c r="AX126" s="652"/>
      <c r="AY126" s="652"/>
      <c r="AZ126" s="654"/>
      <c r="BA126" s="652">
        <f>I126/11</f>
        <v>8</v>
      </c>
      <c r="BB126" s="652"/>
      <c r="BC126" s="654"/>
      <c r="BD126" s="654"/>
      <c r="BE126" s="654"/>
      <c r="BF126" s="654"/>
      <c r="BG126" s="654"/>
      <c r="BH126" s="654"/>
      <c r="BI126" s="654"/>
      <c r="BJ126" s="654"/>
      <c r="BK126" s="652"/>
      <c r="BL126" s="652"/>
      <c r="BM126" s="654"/>
      <c r="BN126" s="654"/>
      <c r="BO126" s="654"/>
      <c r="BP126" s="654"/>
      <c r="BQ126" s="654"/>
      <c r="BR126" s="654"/>
      <c r="BS126" s="654"/>
      <c r="BT126" s="654"/>
      <c r="BU126" s="654"/>
      <c r="BV126" s="654"/>
      <c r="BW126" s="645" t="s">
        <v>109</v>
      </c>
      <c r="BX126" s="658">
        <f>I126/22*5</f>
        <v>20</v>
      </c>
      <c r="BY126" s="658">
        <f>I126/22*6</f>
        <v>24</v>
      </c>
      <c r="BZ126" s="658">
        <f>I126/22*6</f>
        <v>24</v>
      </c>
      <c r="CA126" s="658">
        <f>I126/22*5</f>
        <v>20</v>
      </c>
      <c r="CB126" s="644">
        <f t="shared" ref="CB126:CB132" si="71">I126</f>
        <v>88</v>
      </c>
      <c r="CC126" s="658">
        <f>I126/11</f>
        <v>8</v>
      </c>
      <c r="CD126" s="644">
        <f t="shared" si="65"/>
        <v>88</v>
      </c>
      <c r="CE126" s="644">
        <f t="shared" si="56"/>
        <v>0</v>
      </c>
    </row>
    <row r="127" s="338" customFormat="1" ht="40" customHeight="1" spans="1:83">
      <c r="A127" s="632">
        <v>45714</v>
      </c>
      <c r="B127" s="659" t="s">
        <v>820</v>
      </c>
      <c r="C127" s="634" t="s">
        <v>275</v>
      </c>
      <c r="D127" s="635">
        <v>4500158535</v>
      </c>
      <c r="E127" s="659"/>
      <c r="F127" s="636" t="s">
        <v>821</v>
      </c>
      <c r="G127" s="637" t="s">
        <v>111</v>
      </c>
      <c r="H127" s="637" t="s">
        <v>99</v>
      </c>
      <c r="I127" s="638">
        <v>660</v>
      </c>
      <c r="J127" s="638">
        <v>0</v>
      </c>
      <c r="K127" s="639">
        <v>22</v>
      </c>
      <c r="L127" s="639">
        <f t="shared" si="46"/>
        <v>30</v>
      </c>
      <c r="M127" s="641">
        <v>45763</v>
      </c>
      <c r="N127" s="641">
        <v>45759</v>
      </c>
      <c r="O127" s="641"/>
      <c r="P127" s="642" t="s">
        <v>100</v>
      </c>
      <c r="Q127" s="643" t="s">
        <v>822</v>
      </c>
      <c r="R127" s="642" t="s">
        <v>815</v>
      </c>
      <c r="S127" s="642"/>
      <c r="T127" s="642"/>
      <c r="U127" s="642" t="s">
        <v>816</v>
      </c>
      <c r="V127" s="642"/>
      <c r="W127" s="645"/>
      <c r="X127" s="647" t="s">
        <v>823</v>
      </c>
      <c r="Y127" s="646" t="s">
        <v>818</v>
      </c>
      <c r="Z127" s="683">
        <v>2.8179</v>
      </c>
      <c r="AA127" s="650">
        <f t="shared" si="67"/>
        <v>1859.814</v>
      </c>
      <c r="AB127" s="649">
        <v>660</v>
      </c>
      <c r="AC127" s="649">
        <f t="shared" si="68"/>
        <v>0</v>
      </c>
      <c r="AD127" s="650" t="s">
        <v>123</v>
      </c>
      <c r="AE127" s="637" t="s">
        <v>230</v>
      </c>
      <c r="AF127" s="646" t="s">
        <v>107</v>
      </c>
      <c r="AG127" s="652" t="s">
        <v>43</v>
      </c>
      <c r="AH127" s="646" t="s">
        <v>824</v>
      </c>
      <c r="AI127" s="649"/>
      <c r="AJ127" s="649"/>
      <c r="AK127" s="649"/>
      <c r="AL127" s="649"/>
      <c r="AM127" s="649"/>
      <c r="AN127" s="649"/>
      <c r="AO127" s="649">
        <f t="shared" si="69"/>
        <v>660</v>
      </c>
      <c r="AP127" s="649"/>
      <c r="AQ127" s="653"/>
      <c r="AR127" s="649"/>
      <c r="AS127" s="649"/>
      <c r="AT127" s="652">
        <f t="shared" si="70"/>
        <v>660</v>
      </c>
      <c r="AU127" s="649"/>
      <c r="AV127" s="654"/>
      <c r="AW127" s="652"/>
      <c r="AX127" s="652"/>
      <c r="AY127" s="652"/>
      <c r="AZ127" s="654"/>
      <c r="BA127" s="652">
        <f>I127/11</f>
        <v>60</v>
      </c>
      <c r="BB127" s="652"/>
      <c r="BC127" s="654"/>
      <c r="BD127" s="654"/>
      <c r="BE127" s="654"/>
      <c r="BF127" s="654"/>
      <c r="BG127" s="654"/>
      <c r="BH127" s="654"/>
      <c r="BI127" s="654"/>
      <c r="BJ127" s="654"/>
      <c r="BK127" s="652"/>
      <c r="BL127" s="652"/>
      <c r="BM127" s="654"/>
      <c r="BN127" s="654"/>
      <c r="BO127" s="654"/>
      <c r="BP127" s="654"/>
      <c r="BQ127" s="654"/>
      <c r="BR127" s="654"/>
      <c r="BS127" s="654"/>
      <c r="BT127" s="654"/>
      <c r="BU127" s="654"/>
      <c r="BV127" s="654"/>
      <c r="BW127" s="645" t="s">
        <v>109</v>
      </c>
      <c r="BX127" s="658">
        <f>I127/22*5</f>
        <v>150</v>
      </c>
      <c r="BY127" s="658">
        <f>I127/22*6</f>
        <v>180</v>
      </c>
      <c r="BZ127" s="658">
        <f>I127/22*6</f>
        <v>180</v>
      </c>
      <c r="CA127" s="658">
        <f>I127/22*5</f>
        <v>150</v>
      </c>
      <c r="CB127" s="644">
        <f t="shared" si="71"/>
        <v>660</v>
      </c>
      <c r="CC127" s="658">
        <f>I127/11</f>
        <v>60</v>
      </c>
      <c r="CD127" s="644">
        <f t="shared" si="65"/>
        <v>660</v>
      </c>
      <c r="CE127" s="644">
        <f t="shared" si="56"/>
        <v>0</v>
      </c>
    </row>
    <row r="128" s="338" customFormat="1" ht="40" customHeight="1" spans="1:83">
      <c r="A128" s="632">
        <v>45712</v>
      </c>
      <c r="B128" s="659" t="s">
        <v>825</v>
      </c>
      <c r="C128" s="634" t="s">
        <v>826</v>
      </c>
      <c r="D128" s="635">
        <v>4500158415</v>
      </c>
      <c r="E128" s="659"/>
      <c r="F128" s="636" t="s">
        <v>827</v>
      </c>
      <c r="G128" s="637" t="s">
        <v>111</v>
      </c>
      <c r="H128" s="637" t="s">
        <v>99</v>
      </c>
      <c r="I128" s="638">
        <v>176</v>
      </c>
      <c r="J128" s="638">
        <v>0</v>
      </c>
      <c r="K128" s="639">
        <v>22</v>
      </c>
      <c r="L128" s="639">
        <f t="shared" si="46"/>
        <v>8</v>
      </c>
      <c r="M128" s="641">
        <v>45763</v>
      </c>
      <c r="N128" s="641">
        <v>45759</v>
      </c>
      <c r="O128" s="641"/>
      <c r="P128" s="642" t="s">
        <v>100</v>
      </c>
      <c r="Q128" s="643" t="s">
        <v>822</v>
      </c>
      <c r="R128" s="642" t="s">
        <v>815</v>
      </c>
      <c r="S128" s="642"/>
      <c r="T128" s="642"/>
      <c r="U128" s="642" t="s">
        <v>816</v>
      </c>
      <c r="V128" s="642"/>
      <c r="W128" s="645"/>
      <c r="X128" s="647" t="s">
        <v>828</v>
      </c>
      <c r="Y128" s="646" t="s">
        <v>818</v>
      </c>
      <c r="Z128" s="683">
        <v>2.8179</v>
      </c>
      <c r="AA128" s="650">
        <f t="shared" si="67"/>
        <v>495.9504</v>
      </c>
      <c r="AB128" s="649">
        <v>176</v>
      </c>
      <c r="AC128" s="649">
        <f t="shared" si="68"/>
        <v>0</v>
      </c>
      <c r="AD128" s="650" t="s">
        <v>123</v>
      </c>
      <c r="AE128" s="637" t="s">
        <v>230</v>
      </c>
      <c r="AF128" s="646" t="s">
        <v>107</v>
      </c>
      <c r="AG128" s="652" t="s">
        <v>43</v>
      </c>
      <c r="AH128" s="684" t="s">
        <v>829</v>
      </c>
      <c r="AI128" s="649"/>
      <c r="AJ128" s="649"/>
      <c r="AK128" s="649"/>
      <c r="AL128" s="649"/>
      <c r="AM128" s="649"/>
      <c r="AN128" s="649"/>
      <c r="AO128" s="649">
        <f t="shared" si="69"/>
        <v>176</v>
      </c>
      <c r="AP128" s="649"/>
      <c r="AQ128" s="653"/>
      <c r="AR128" s="649"/>
      <c r="AS128" s="649"/>
      <c r="AT128" s="652">
        <f t="shared" si="70"/>
        <v>176</v>
      </c>
      <c r="AU128" s="649"/>
      <c r="AV128" s="654"/>
      <c r="AW128" s="652"/>
      <c r="AX128" s="652"/>
      <c r="AY128" s="652"/>
      <c r="AZ128" s="654"/>
      <c r="BA128" s="652">
        <f>I128/11</f>
        <v>16</v>
      </c>
      <c r="BB128" s="652"/>
      <c r="BC128" s="654"/>
      <c r="BD128" s="654"/>
      <c r="BE128" s="654"/>
      <c r="BF128" s="654"/>
      <c r="BG128" s="654"/>
      <c r="BH128" s="654"/>
      <c r="BI128" s="654"/>
      <c r="BJ128" s="654"/>
      <c r="BK128" s="652"/>
      <c r="BL128" s="652"/>
      <c r="BM128" s="654"/>
      <c r="BN128" s="654"/>
      <c r="BO128" s="654"/>
      <c r="BP128" s="654"/>
      <c r="BQ128" s="654"/>
      <c r="BR128" s="654"/>
      <c r="BS128" s="654"/>
      <c r="BT128" s="654"/>
      <c r="BU128" s="654"/>
      <c r="BV128" s="654"/>
      <c r="BW128" s="645" t="s">
        <v>109</v>
      </c>
      <c r="BX128" s="658">
        <f>I128/22*5</f>
        <v>40</v>
      </c>
      <c r="BY128" s="658">
        <f>I128/22*6</f>
        <v>48</v>
      </c>
      <c r="BZ128" s="658">
        <f>I128/22*6</f>
        <v>48</v>
      </c>
      <c r="CA128" s="658">
        <f>I128/22*5</f>
        <v>40</v>
      </c>
      <c r="CB128" s="644">
        <f t="shared" si="71"/>
        <v>176</v>
      </c>
      <c r="CC128" s="658">
        <f>I128/11</f>
        <v>16</v>
      </c>
      <c r="CD128" s="644">
        <f t="shared" si="65"/>
        <v>176</v>
      </c>
      <c r="CE128" s="644">
        <f t="shared" si="56"/>
        <v>0</v>
      </c>
    </row>
    <row r="129" s="338" customFormat="1" ht="40" customHeight="1" spans="1:83">
      <c r="A129" s="632">
        <v>45712</v>
      </c>
      <c r="B129" s="659" t="s">
        <v>830</v>
      </c>
      <c r="C129" s="634" t="s">
        <v>831</v>
      </c>
      <c r="D129" s="635">
        <v>4500158302</v>
      </c>
      <c r="E129" s="659"/>
      <c r="F129" s="636" t="s">
        <v>832</v>
      </c>
      <c r="G129" s="637" t="s">
        <v>111</v>
      </c>
      <c r="H129" s="637" t="s">
        <v>99</v>
      </c>
      <c r="I129" s="638">
        <v>264</v>
      </c>
      <c r="J129" s="638">
        <v>0</v>
      </c>
      <c r="K129" s="639">
        <v>22</v>
      </c>
      <c r="L129" s="639">
        <f t="shared" si="46"/>
        <v>12</v>
      </c>
      <c r="M129" s="641">
        <v>45763</v>
      </c>
      <c r="N129" s="641">
        <v>45759</v>
      </c>
      <c r="O129" s="641"/>
      <c r="P129" s="642" t="s">
        <v>100</v>
      </c>
      <c r="Q129" s="643" t="s">
        <v>814</v>
      </c>
      <c r="R129" s="642" t="s">
        <v>815</v>
      </c>
      <c r="S129" s="642"/>
      <c r="T129" s="642"/>
      <c r="U129" s="642" t="s">
        <v>816</v>
      </c>
      <c r="V129" s="642"/>
      <c r="W129" s="645"/>
      <c r="X129" s="647" t="s">
        <v>833</v>
      </c>
      <c r="Y129" s="646" t="s">
        <v>818</v>
      </c>
      <c r="Z129" s="683">
        <v>2.8179</v>
      </c>
      <c r="AA129" s="650">
        <f t="shared" si="67"/>
        <v>743.9256</v>
      </c>
      <c r="AB129" s="649">
        <v>264</v>
      </c>
      <c r="AC129" s="649">
        <f t="shared" si="68"/>
        <v>0</v>
      </c>
      <c r="AD129" s="650" t="s">
        <v>123</v>
      </c>
      <c r="AE129" s="637" t="s">
        <v>230</v>
      </c>
      <c r="AF129" s="646" t="s">
        <v>107</v>
      </c>
      <c r="AG129" s="652" t="s">
        <v>43</v>
      </c>
      <c r="AH129" s="646" t="s">
        <v>834</v>
      </c>
      <c r="AI129" s="649"/>
      <c r="AJ129" s="649"/>
      <c r="AK129" s="649"/>
      <c r="AL129" s="649"/>
      <c r="AM129" s="649"/>
      <c r="AN129" s="649"/>
      <c r="AO129" s="649">
        <f t="shared" si="69"/>
        <v>264</v>
      </c>
      <c r="AP129" s="649"/>
      <c r="AQ129" s="653"/>
      <c r="AR129" s="649"/>
      <c r="AS129" s="649"/>
      <c r="AT129" s="652">
        <f t="shared" si="70"/>
        <v>264</v>
      </c>
      <c r="AU129" s="649"/>
      <c r="AV129" s="654"/>
      <c r="AW129" s="652"/>
      <c r="AX129" s="652"/>
      <c r="AY129" s="652"/>
      <c r="AZ129" s="654"/>
      <c r="BA129" s="652">
        <f>I129/11</f>
        <v>24</v>
      </c>
      <c r="BB129" s="652"/>
      <c r="BC129" s="654"/>
      <c r="BD129" s="654"/>
      <c r="BE129" s="654"/>
      <c r="BF129" s="654"/>
      <c r="BG129" s="654"/>
      <c r="BH129" s="654"/>
      <c r="BI129" s="654"/>
      <c r="BJ129" s="654"/>
      <c r="BK129" s="652"/>
      <c r="BL129" s="652"/>
      <c r="BM129" s="654"/>
      <c r="BN129" s="654"/>
      <c r="BO129" s="654"/>
      <c r="BP129" s="654"/>
      <c r="BQ129" s="654"/>
      <c r="BR129" s="654"/>
      <c r="BS129" s="654"/>
      <c r="BT129" s="654"/>
      <c r="BU129" s="654"/>
      <c r="BV129" s="654"/>
      <c r="BW129" s="645" t="s">
        <v>109</v>
      </c>
      <c r="BX129" s="658">
        <f>I129/22*5</f>
        <v>60</v>
      </c>
      <c r="BY129" s="658">
        <f>I129/22*6</f>
        <v>72</v>
      </c>
      <c r="BZ129" s="658">
        <f>I129/22*6</f>
        <v>72</v>
      </c>
      <c r="CA129" s="658">
        <f>I129/22*5</f>
        <v>60</v>
      </c>
      <c r="CB129" s="644">
        <f t="shared" si="71"/>
        <v>264</v>
      </c>
      <c r="CC129" s="658">
        <f>I129/11</f>
        <v>24</v>
      </c>
      <c r="CD129" s="644">
        <f t="shared" si="65"/>
        <v>264</v>
      </c>
      <c r="CE129" s="644">
        <f t="shared" si="56"/>
        <v>0</v>
      </c>
    </row>
    <row r="130" s="338" customFormat="1" ht="40" customHeight="1" spans="1:83">
      <c r="A130" s="632">
        <v>45714</v>
      </c>
      <c r="B130" s="659" t="s">
        <v>835</v>
      </c>
      <c r="C130" s="634" t="s">
        <v>836</v>
      </c>
      <c r="D130" s="635">
        <v>4500158447</v>
      </c>
      <c r="E130" s="659"/>
      <c r="F130" s="636" t="s">
        <v>837</v>
      </c>
      <c r="G130" s="637" t="s">
        <v>111</v>
      </c>
      <c r="H130" s="637" t="s">
        <v>99</v>
      </c>
      <c r="I130" s="638">
        <v>484</v>
      </c>
      <c r="J130" s="638">
        <v>0</v>
      </c>
      <c r="K130" s="639">
        <v>22</v>
      </c>
      <c r="L130" s="639">
        <f t="shared" si="46"/>
        <v>22</v>
      </c>
      <c r="M130" s="641">
        <v>45763</v>
      </c>
      <c r="N130" s="641">
        <v>45759</v>
      </c>
      <c r="O130" s="641"/>
      <c r="P130" s="642" t="s">
        <v>100</v>
      </c>
      <c r="Q130" s="643" t="s">
        <v>814</v>
      </c>
      <c r="R130" s="642" t="s">
        <v>815</v>
      </c>
      <c r="S130" s="642"/>
      <c r="T130" s="642"/>
      <c r="U130" s="642" t="s">
        <v>816</v>
      </c>
      <c r="V130" s="642"/>
      <c r="W130" s="645"/>
      <c r="X130" s="647" t="s">
        <v>828</v>
      </c>
      <c r="Y130" s="646" t="s">
        <v>818</v>
      </c>
      <c r="Z130" s="683">
        <v>2.8179</v>
      </c>
      <c r="AA130" s="650">
        <f t="shared" si="67"/>
        <v>1363.8636</v>
      </c>
      <c r="AB130" s="649">
        <v>484</v>
      </c>
      <c r="AC130" s="649">
        <f t="shared" si="68"/>
        <v>0</v>
      </c>
      <c r="AD130" s="650" t="s">
        <v>123</v>
      </c>
      <c r="AE130" s="637" t="s">
        <v>230</v>
      </c>
      <c r="AF130" s="646" t="s">
        <v>107</v>
      </c>
      <c r="AG130" s="652" t="s">
        <v>43</v>
      </c>
      <c r="AH130" s="646" t="s">
        <v>838</v>
      </c>
      <c r="AI130" s="649"/>
      <c r="AJ130" s="649"/>
      <c r="AK130" s="649"/>
      <c r="AL130" s="649"/>
      <c r="AM130" s="649"/>
      <c r="AN130" s="649"/>
      <c r="AO130" s="649">
        <f t="shared" si="69"/>
        <v>484</v>
      </c>
      <c r="AP130" s="649"/>
      <c r="AQ130" s="653"/>
      <c r="AR130" s="649"/>
      <c r="AS130" s="649"/>
      <c r="AT130" s="652">
        <f t="shared" si="70"/>
        <v>484</v>
      </c>
      <c r="AU130" s="649"/>
      <c r="AV130" s="654"/>
      <c r="AW130" s="652"/>
      <c r="AX130" s="652"/>
      <c r="AY130" s="652"/>
      <c r="AZ130" s="654"/>
      <c r="BA130" s="652">
        <f>I130/11</f>
        <v>44</v>
      </c>
      <c r="BB130" s="652"/>
      <c r="BC130" s="654"/>
      <c r="BD130" s="654"/>
      <c r="BE130" s="654"/>
      <c r="BF130" s="654"/>
      <c r="BG130" s="654"/>
      <c r="BH130" s="654"/>
      <c r="BI130" s="654"/>
      <c r="BJ130" s="654"/>
      <c r="BK130" s="652"/>
      <c r="BL130" s="652"/>
      <c r="BM130" s="654"/>
      <c r="BN130" s="654"/>
      <c r="BO130" s="654"/>
      <c r="BP130" s="654"/>
      <c r="BQ130" s="654"/>
      <c r="BR130" s="654"/>
      <c r="BS130" s="654"/>
      <c r="BT130" s="654"/>
      <c r="BU130" s="654"/>
      <c r="BV130" s="654"/>
      <c r="BW130" s="645" t="s">
        <v>109</v>
      </c>
      <c r="BX130" s="658">
        <f>I130/22*5</f>
        <v>110</v>
      </c>
      <c r="BY130" s="658">
        <f>I130/22*6</f>
        <v>132</v>
      </c>
      <c r="BZ130" s="658">
        <f>I130/22*6</f>
        <v>132</v>
      </c>
      <c r="CA130" s="658">
        <f>I130/22*5</f>
        <v>110</v>
      </c>
      <c r="CB130" s="644">
        <f t="shared" si="71"/>
        <v>484</v>
      </c>
      <c r="CC130" s="658">
        <f>I130/11</f>
        <v>44</v>
      </c>
      <c r="CD130" s="644">
        <f t="shared" si="65"/>
        <v>484</v>
      </c>
      <c r="CE130" s="644">
        <f t="shared" si="56"/>
        <v>0</v>
      </c>
    </row>
    <row r="131" s="338" customFormat="1" ht="40" customHeight="1" spans="1:83">
      <c r="A131" s="632">
        <v>45719</v>
      </c>
      <c r="B131" s="659" t="s">
        <v>177</v>
      </c>
      <c r="C131" s="634" t="s">
        <v>178</v>
      </c>
      <c r="D131" s="635">
        <v>4500158946</v>
      </c>
      <c r="E131" s="659" t="s">
        <v>839</v>
      </c>
      <c r="F131" s="636" t="s">
        <v>840</v>
      </c>
      <c r="G131" s="637" t="s">
        <v>141</v>
      </c>
      <c r="H131" s="637" t="s">
        <v>99</v>
      </c>
      <c r="I131" s="638">
        <v>24</v>
      </c>
      <c r="J131" s="638">
        <v>0</v>
      </c>
      <c r="K131" s="639">
        <v>24</v>
      </c>
      <c r="L131" s="639">
        <f t="shared" si="46"/>
        <v>1</v>
      </c>
      <c r="M131" s="641">
        <v>45763</v>
      </c>
      <c r="N131" s="641">
        <v>45759</v>
      </c>
      <c r="O131" s="641"/>
      <c r="P131" s="642" t="s">
        <v>100</v>
      </c>
      <c r="Q131" s="660" t="s">
        <v>841</v>
      </c>
      <c r="R131" s="642" t="s">
        <v>797</v>
      </c>
      <c r="S131" s="642"/>
      <c r="T131" s="642"/>
      <c r="U131" s="642" t="s">
        <v>493</v>
      </c>
      <c r="V131" s="642" t="s">
        <v>842</v>
      </c>
      <c r="W131" s="645"/>
      <c r="X131" s="647" t="s">
        <v>843</v>
      </c>
      <c r="Y131" s="646" t="s">
        <v>809</v>
      </c>
      <c r="Z131" s="648">
        <v>2.5695</v>
      </c>
      <c r="AA131" s="650">
        <f t="shared" si="67"/>
        <v>61.668</v>
      </c>
      <c r="AB131" s="649">
        <v>24</v>
      </c>
      <c r="AC131" s="649">
        <f t="shared" si="68"/>
        <v>0</v>
      </c>
      <c r="AD131" s="650" t="s">
        <v>123</v>
      </c>
      <c r="AE131" s="637" t="s">
        <v>153</v>
      </c>
      <c r="AF131" s="646" t="s">
        <v>107</v>
      </c>
      <c r="AG131" s="652" t="s">
        <v>43</v>
      </c>
      <c r="AH131" s="646" t="s">
        <v>844</v>
      </c>
      <c r="AI131" s="649"/>
      <c r="AJ131" s="649"/>
      <c r="AK131" s="649"/>
      <c r="AL131" s="649"/>
      <c r="AM131" s="649"/>
      <c r="AN131" s="649"/>
      <c r="AO131" s="649">
        <f t="shared" si="69"/>
        <v>24</v>
      </c>
      <c r="AP131" s="649"/>
      <c r="AQ131" s="653"/>
      <c r="AR131" s="649"/>
      <c r="AS131" s="649"/>
      <c r="AT131" s="652">
        <f t="shared" si="70"/>
        <v>24</v>
      </c>
      <c r="AU131" s="649"/>
      <c r="AV131" s="654"/>
      <c r="AW131" s="652"/>
      <c r="AX131" s="652"/>
      <c r="AY131" s="652"/>
      <c r="AZ131" s="654"/>
      <c r="BA131" s="652"/>
      <c r="BB131" s="652"/>
      <c r="BC131" s="654"/>
      <c r="BD131" s="654"/>
      <c r="BE131" s="654"/>
      <c r="BF131" s="654"/>
      <c r="BG131" s="654"/>
      <c r="BH131" s="654"/>
      <c r="BI131" s="654"/>
      <c r="BJ131" s="654"/>
      <c r="BK131" s="652"/>
      <c r="BL131" s="652"/>
      <c r="BM131" s="654"/>
      <c r="BN131" s="654"/>
      <c r="BO131" s="654"/>
      <c r="BP131" s="654"/>
      <c r="BQ131" s="654"/>
      <c r="BR131" s="654"/>
      <c r="BS131" s="654"/>
      <c r="BT131" s="654"/>
      <c r="BU131" s="654"/>
      <c r="BV131" s="654"/>
      <c r="BW131" s="645" t="s">
        <v>109</v>
      </c>
      <c r="BX131" s="658"/>
      <c r="BY131" s="658"/>
      <c r="BZ131" s="658">
        <f>I131</f>
        <v>24</v>
      </c>
      <c r="CA131" s="658"/>
      <c r="CB131" s="644">
        <f t="shared" si="71"/>
        <v>24</v>
      </c>
      <c r="CC131" s="644"/>
      <c r="CD131" s="644">
        <f t="shared" si="65"/>
        <v>24</v>
      </c>
      <c r="CE131" s="644">
        <f t="shared" si="56"/>
        <v>0</v>
      </c>
    </row>
    <row r="132" s="338" customFormat="1" ht="40" customHeight="1" spans="1:83">
      <c r="A132" s="632">
        <v>45719</v>
      </c>
      <c r="B132" s="659" t="s">
        <v>177</v>
      </c>
      <c r="C132" s="634" t="s">
        <v>178</v>
      </c>
      <c r="D132" s="635">
        <v>4500158946</v>
      </c>
      <c r="E132" s="659" t="s">
        <v>845</v>
      </c>
      <c r="F132" s="636" t="s">
        <v>846</v>
      </c>
      <c r="G132" s="637" t="s">
        <v>141</v>
      </c>
      <c r="H132" s="637" t="s">
        <v>99</v>
      </c>
      <c r="I132" s="638">
        <v>24</v>
      </c>
      <c r="J132" s="638">
        <v>0</v>
      </c>
      <c r="K132" s="639">
        <v>24</v>
      </c>
      <c r="L132" s="639">
        <f t="shared" si="46"/>
        <v>1</v>
      </c>
      <c r="M132" s="641">
        <v>45763</v>
      </c>
      <c r="N132" s="641">
        <v>45759</v>
      </c>
      <c r="O132" s="641"/>
      <c r="P132" s="642" t="s">
        <v>100</v>
      </c>
      <c r="Q132" s="660" t="s">
        <v>841</v>
      </c>
      <c r="R132" s="642" t="s">
        <v>797</v>
      </c>
      <c r="S132" s="642"/>
      <c r="T132" s="642"/>
      <c r="U132" s="642" t="s">
        <v>493</v>
      </c>
      <c r="V132" s="642" t="s">
        <v>842</v>
      </c>
      <c r="W132" s="645"/>
      <c r="X132" s="647" t="s">
        <v>843</v>
      </c>
      <c r="Y132" s="646" t="s">
        <v>809</v>
      </c>
      <c r="Z132" s="648">
        <v>2.5695</v>
      </c>
      <c r="AA132" s="650">
        <f t="shared" si="67"/>
        <v>61.668</v>
      </c>
      <c r="AB132" s="649">
        <v>24</v>
      </c>
      <c r="AC132" s="649">
        <f t="shared" si="68"/>
        <v>0</v>
      </c>
      <c r="AD132" s="650" t="s">
        <v>123</v>
      </c>
      <c r="AE132" s="637" t="s">
        <v>153</v>
      </c>
      <c r="AF132" s="646" t="s">
        <v>107</v>
      </c>
      <c r="AG132" s="652" t="s">
        <v>43</v>
      </c>
      <c r="AH132" s="646" t="s">
        <v>844</v>
      </c>
      <c r="AI132" s="649"/>
      <c r="AJ132" s="649"/>
      <c r="AK132" s="649"/>
      <c r="AL132" s="649"/>
      <c r="AM132" s="649"/>
      <c r="AN132" s="649"/>
      <c r="AO132" s="649">
        <f t="shared" si="69"/>
        <v>24</v>
      </c>
      <c r="AP132" s="649"/>
      <c r="AQ132" s="653"/>
      <c r="AR132" s="649"/>
      <c r="AS132" s="649"/>
      <c r="AT132" s="652">
        <f t="shared" si="70"/>
        <v>24</v>
      </c>
      <c r="AU132" s="649"/>
      <c r="AV132" s="654"/>
      <c r="AW132" s="652"/>
      <c r="AX132" s="652"/>
      <c r="AY132" s="652"/>
      <c r="AZ132" s="654"/>
      <c r="BA132" s="652"/>
      <c r="BB132" s="652"/>
      <c r="BC132" s="654"/>
      <c r="BD132" s="654"/>
      <c r="BE132" s="654"/>
      <c r="BF132" s="654"/>
      <c r="BG132" s="654"/>
      <c r="BH132" s="654"/>
      <c r="BI132" s="654"/>
      <c r="BJ132" s="654"/>
      <c r="BK132" s="652"/>
      <c r="BL132" s="652"/>
      <c r="BM132" s="654"/>
      <c r="BN132" s="654"/>
      <c r="BO132" s="654"/>
      <c r="BP132" s="654"/>
      <c r="BQ132" s="654"/>
      <c r="BR132" s="654"/>
      <c r="BS132" s="654"/>
      <c r="BT132" s="654"/>
      <c r="BU132" s="654"/>
      <c r="BV132" s="654"/>
      <c r="BW132" s="645" t="s">
        <v>109</v>
      </c>
      <c r="BX132" s="658"/>
      <c r="BY132" s="658"/>
      <c r="BZ132" s="658">
        <f>I132</f>
        <v>24</v>
      </c>
      <c r="CA132" s="658"/>
      <c r="CB132" s="644">
        <f t="shared" si="71"/>
        <v>24</v>
      </c>
      <c r="CC132" s="644"/>
      <c r="CD132" s="644">
        <f t="shared" si="65"/>
        <v>24</v>
      </c>
      <c r="CE132" s="644">
        <f t="shared" si="56"/>
        <v>0</v>
      </c>
    </row>
    <row r="133" s="338" customFormat="1" ht="40" customHeight="1" spans="1:83">
      <c r="A133" s="632">
        <v>45699</v>
      </c>
      <c r="B133" s="659" t="s">
        <v>716</v>
      </c>
      <c r="C133" s="634" t="s">
        <v>214</v>
      </c>
      <c r="D133" s="635">
        <v>4500157168</v>
      </c>
      <c r="E133" s="659">
        <v>4551467069</v>
      </c>
      <c r="F133" s="636" t="s">
        <v>847</v>
      </c>
      <c r="G133" s="637" t="s">
        <v>718</v>
      </c>
      <c r="H133" s="637" t="s">
        <v>99</v>
      </c>
      <c r="I133" s="638">
        <v>354</v>
      </c>
      <c r="J133" s="638">
        <v>0</v>
      </c>
      <c r="K133" s="639">
        <v>6</v>
      </c>
      <c r="L133" s="639">
        <f t="shared" si="46"/>
        <v>59</v>
      </c>
      <c r="M133" s="641">
        <v>45764</v>
      </c>
      <c r="N133" s="641">
        <v>45761</v>
      </c>
      <c r="O133" s="641"/>
      <c r="P133" s="642" t="s">
        <v>100</v>
      </c>
      <c r="Q133" s="643" t="s">
        <v>720</v>
      </c>
      <c r="R133" s="642" t="s">
        <v>721</v>
      </c>
      <c r="S133" s="642"/>
      <c r="T133" s="642"/>
      <c r="U133" s="642" t="s">
        <v>722</v>
      </c>
      <c r="V133" s="642"/>
      <c r="W133" s="645" t="s">
        <v>723</v>
      </c>
      <c r="X133" s="647" t="s">
        <v>724</v>
      </c>
      <c r="Y133" s="646" t="s">
        <v>725</v>
      </c>
      <c r="Z133" s="648">
        <v>2.7852</v>
      </c>
      <c r="AA133" s="650">
        <f t="shared" ref="AA133:AA140" si="72">Z133*I133</f>
        <v>985.9608</v>
      </c>
      <c r="AB133" s="649">
        <v>354</v>
      </c>
      <c r="AC133" s="649">
        <f t="shared" si="68"/>
        <v>0</v>
      </c>
      <c r="AD133" s="650" t="s">
        <v>123</v>
      </c>
      <c r="AE133" s="637" t="s">
        <v>718</v>
      </c>
      <c r="AF133" s="646" t="s">
        <v>107</v>
      </c>
      <c r="AG133" s="652" t="s">
        <v>43</v>
      </c>
      <c r="AH133" s="646" t="s">
        <v>726</v>
      </c>
      <c r="AI133" s="651"/>
      <c r="AJ133" s="651"/>
      <c r="AK133" s="651"/>
      <c r="AL133" s="652">
        <f t="shared" ref="AL133:AL138" si="73">I133</f>
        <v>354</v>
      </c>
      <c r="AM133" s="652"/>
      <c r="AN133" s="651"/>
      <c r="AO133" s="649"/>
      <c r="AP133" s="649"/>
      <c r="AQ133" s="653"/>
      <c r="AR133" s="651"/>
      <c r="AS133" s="651"/>
      <c r="AT133" s="652">
        <f t="shared" si="70"/>
        <v>354</v>
      </c>
      <c r="AU133" s="649"/>
      <c r="AV133" s="654"/>
      <c r="AW133" s="655"/>
      <c r="AX133" s="652"/>
      <c r="AY133" s="652"/>
      <c r="AZ133" s="656"/>
      <c r="BA133" s="652"/>
      <c r="BB133" s="652"/>
      <c r="BC133" s="656"/>
      <c r="BD133" s="656"/>
      <c r="BE133" s="654"/>
      <c r="BF133" s="656"/>
      <c r="BG133" s="654"/>
      <c r="BH133" s="654"/>
      <c r="BI133" s="656"/>
      <c r="BJ133" s="656"/>
      <c r="BK133" s="652">
        <f t="shared" ref="BK133:BK139" si="74">I133/6</f>
        <v>59</v>
      </c>
      <c r="BL133" s="652"/>
      <c r="BM133" s="654"/>
      <c r="BN133" s="654"/>
      <c r="BO133" s="654"/>
      <c r="BP133" s="656"/>
      <c r="BQ133" s="654"/>
      <c r="BR133" s="656"/>
      <c r="BS133" s="654"/>
      <c r="BT133" s="654"/>
      <c r="BU133" s="654"/>
      <c r="BV133" s="654"/>
      <c r="BW133" s="645" t="s">
        <v>109</v>
      </c>
      <c r="BX133" s="658">
        <f t="shared" ref="BX133:BX139" si="75">I133/4</f>
        <v>88.5</v>
      </c>
      <c r="BY133" s="658">
        <f t="shared" ref="BY133:BY139" si="76">I133/4</f>
        <v>88.5</v>
      </c>
      <c r="BZ133" s="658">
        <f t="shared" ref="BZ133:BZ139" si="77">I133/4</f>
        <v>88.5</v>
      </c>
      <c r="CA133" s="658">
        <f t="shared" ref="CA133:CA139" si="78">I133/4</f>
        <v>88.5</v>
      </c>
      <c r="CB133" s="644">
        <f t="shared" ref="CB133:CB144" si="79">I133</f>
        <v>354</v>
      </c>
      <c r="CC133" s="644"/>
      <c r="CD133" s="644">
        <f t="shared" si="65"/>
        <v>354</v>
      </c>
      <c r="CE133" s="644">
        <f t="shared" si="56"/>
        <v>0</v>
      </c>
    </row>
    <row r="134" s="338" customFormat="1" ht="40" customHeight="1" spans="1:83">
      <c r="A134" s="632">
        <v>45699</v>
      </c>
      <c r="B134" s="659" t="s">
        <v>716</v>
      </c>
      <c r="C134" s="634" t="s">
        <v>214</v>
      </c>
      <c r="D134" s="635">
        <v>4500157168</v>
      </c>
      <c r="E134" s="659">
        <v>4551467153</v>
      </c>
      <c r="F134" s="636" t="s">
        <v>848</v>
      </c>
      <c r="G134" s="637" t="s">
        <v>718</v>
      </c>
      <c r="H134" s="637" t="s">
        <v>99</v>
      </c>
      <c r="I134" s="638">
        <v>1710</v>
      </c>
      <c r="J134" s="638">
        <v>0</v>
      </c>
      <c r="K134" s="639">
        <v>6</v>
      </c>
      <c r="L134" s="639">
        <f t="shared" si="46"/>
        <v>285</v>
      </c>
      <c r="M134" s="641">
        <v>45764</v>
      </c>
      <c r="N134" s="641">
        <v>45761</v>
      </c>
      <c r="O134" s="641"/>
      <c r="P134" s="642" t="s">
        <v>100</v>
      </c>
      <c r="Q134" s="643" t="s">
        <v>720</v>
      </c>
      <c r="R134" s="642" t="s">
        <v>721</v>
      </c>
      <c r="S134" s="642"/>
      <c r="T134" s="642"/>
      <c r="U134" s="642" t="s">
        <v>722</v>
      </c>
      <c r="V134" s="642"/>
      <c r="W134" s="645" t="s">
        <v>723</v>
      </c>
      <c r="X134" s="647" t="s">
        <v>724</v>
      </c>
      <c r="Y134" s="646" t="s">
        <v>725</v>
      </c>
      <c r="Z134" s="648">
        <v>2.771</v>
      </c>
      <c r="AA134" s="650">
        <f t="shared" si="72"/>
        <v>4738.41</v>
      </c>
      <c r="AB134" s="649">
        <v>1710</v>
      </c>
      <c r="AC134" s="649">
        <f t="shared" si="68"/>
        <v>0</v>
      </c>
      <c r="AD134" s="650" t="s">
        <v>123</v>
      </c>
      <c r="AE134" s="637" t="s">
        <v>718</v>
      </c>
      <c r="AF134" s="646" t="s">
        <v>107</v>
      </c>
      <c r="AG134" s="652" t="s">
        <v>43</v>
      </c>
      <c r="AH134" s="646" t="s">
        <v>726</v>
      </c>
      <c r="AI134" s="651"/>
      <c r="AJ134" s="651"/>
      <c r="AK134" s="651"/>
      <c r="AL134" s="652">
        <f t="shared" si="73"/>
        <v>1710</v>
      </c>
      <c r="AM134" s="652"/>
      <c r="AN134" s="651"/>
      <c r="AO134" s="649"/>
      <c r="AP134" s="649"/>
      <c r="AQ134" s="653"/>
      <c r="AR134" s="651"/>
      <c r="AS134" s="651"/>
      <c r="AT134" s="652">
        <f t="shared" si="70"/>
        <v>1710</v>
      </c>
      <c r="AU134" s="649"/>
      <c r="AV134" s="654"/>
      <c r="AW134" s="655"/>
      <c r="AX134" s="652"/>
      <c r="AY134" s="652"/>
      <c r="AZ134" s="656"/>
      <c r="BA134" s="652"/>
      <c r="BB134" s="652"/>
      <c r="BC134" s="656"/>
      <c r="BD134" s="656"/>
      <c r="BE134" s="654"/>
      <c r="BF134" s="656"/>
      <c r="BG134" s="654"/>
      <c r="BH134" s="654"/>
      <c r="BI134" s="656"/>
      <c r="BJ134" s="656"/>
      <c r="BK134" s="652">
        <f t="shared" si="74"/>
        <v>285</v>
      </c>
      <c r="BL134" s="652"/>
      <c r="BM134" s="654"/>
      <c r="BN134" s="654"/>
      <c r="BO134" s="654"/>
      <c r="BP134" s="656"/>
      <c r="BQ134" s="654"/>
      <c r="BR134" s="656"/>
      <c r="BS134" s="654"/>
      <c r="BT134" s="654"/>
      <c r="BU134" s="654"/>
      <c r="BV134" s="654"/>
      <c r="BW134" s="645" t="s">
        <v>109</v>
      </c>
      <c r="BX134" s="658">
        <f t="shared" si="75"/>
        <v>427.5</v>
      </c>
      <c r="BY134" s="658">
        <f t="shared" si="76"/>
        <v>427.5</v>
      </c>
      <c r="BZ134" s="658">
        <f t="shared" si="77"/>
        <v>427.5</v>
      </c>
      <c r="CA134" s="658">
        <f t="shared" si="78"/>
        <v>427.5</v>
      </c>
      <c r="CB134" s="644">
        <f t="shared" si="79"/>
        <v>1710</v>
      </c>
      <c r="CC134" s="644"/>
      <c r="CD134" s="644">
        <f t="shared" si="65"/>
        <v>1710</v>
      </c>
      <c r="CE134" s="644">
        <f t="shared" si="56"/>
        <v>0</v>
      </c>
    </row>
    <row r="135" s="338" customFormat="1" ht="40" customHeight="1" spans="1:83">
      <c r="A135" s="632">
        <v>45699</v>
      </c>
      <c r="B135" s="659" t="s">
        <v>716</v>
      </c>
      <c r="C135" s="634" t="s">
        <v>214</v>
      </c>
      <c r="D135" s="635">
        <v>4500157168</v>
      </c>
      <c r="E135" s="659">
        <v>4551466792</v>
      </c>
      <c r="F135" s="636" t="s">
        <v>849</v>
      </c>
      <c r="G135" s="637" t="s">
        <v>718</v>
      </c>
      <c r="H135" s="637" t="s">
        <v>99</v>
      </c>
      <c r="I135" s="638">
        <v>702</v>
      </c>
      <c r="J135" s="638">
        <v>0</v>
      </c>
      <c r="K135" s="639">
        <v>6</v>
      </c>
      <c r="L135" s="639">
        <f t="shared" si="46"/>
        <v>117</v>
      </c>
      <c r="M135" s="641">
        <v>45764</v>
      </c>
      <c r="N135" s="641">
        <v>45761</v>
      </c>
      <c r="O135" s="641"/>
      <c r="P135" s="642" t="s">
        <v>100</v>
      </c>
      <c r="Q135" s="643" t="s">
        <v>720</v>
      </c>
      <c r="R135" s="642" t="s">
        <v>721</v>
      </c>
      <c r="S135" s="642"/>
      <c r="T135" s="642"/>
      <c r="U135" s="642" t="s">
        <v>722</v>
      </c>
      <c r="V135" s="642"/>
      <c r="W135" s="645" t="s">
        <v>723</v>
      </c>
      <c r="X135" s="647" t="s">
        <v>724</v>
      </c>
      <c r="Y135" s="646" t="s">
        <v>725</v>
      </c>
      <c r="Z135" s="648">
        <v>2.7852</v>
      </c>
      <c r="AA135" s="650">
        <f t="shared" si="72"/>
        <v>1955.2104</v>
      </c>
      <c r="AB135" s="649">
        <v>702</v>
      </c>
      <c r="AC135" s="649">
        <f t="shared" si="68"/>
        <v>0</v>
      </c>
      <c r="AD135" s="650" t="s">
        <v>123</v>
      </c>
      <c r="AE135" s="637" t="s">
        <v>718</v>
      </c>
      <c r="AF135" s="646" t="s">
        <v>107</v>
      </c>
      <c r="AG135" s="652" t="s">
        <v>43</v>
      </c>
      <c r="AH135" s="646" t="s">
        <v>726</v>
      </c>
      <c r="AI135" s="651"/>
      <c r="AJ135" s="651"/>
      <c r="AK135" s="651"/>
      <c r="AL135" s="652">
        <f t="shared" si="73"/>
        <v>702</v>
      </c>
      <c r="AM135" s="652"/>
      <c r="AN135" s="651"/>
      <c r="AO135" s="649"/>
      <c r="AP135" s="649"/>
      <c r="AQ135" s="653"/>
      <c r="AR135" s="651"/>
      <c r="AS135" s="651"/>
      <c r="AT135" s="652">
        <f t="shared" si="70"/>
        <v>702</v>
      </c>
      <c r="AU135" s="649"/>
      <c r="AV135" s="654"/>
      <c r="AW135" s="655"/>
      <c r="AX135" s="652"/>
      <c r="AY135" s="652"/>
      <c r="AZ135" s="656"/>
      <c r="BA135" s="652"/>
      <c r="BB135" s="652"/>
      <c r="BC135" s="656"/>
      <c r="BD135" s="656"/>
      <c r="BE135" s="654"/>
      <c r="BF135" s="656"/>
      <c r="BG135" s="654"/>
      <c r="BH135" s="654"/>
      <c r="BI135" s="656"/>
      <c r="BJ135" s="656"/>
      <c r="BK135" s="652">
        <f t="shared" si="74"/>
        <v>117</v>
      </c>
      <c r="BL135" s="652"/>
      <c r="BM135" s="654"/>
      <c r="BN135" s="654"/>
      <c r="BO135" s="654"/>
      <c r="BP135" s="656"/>
      <c r="BQ135" s="654"/>
      <c r="BR135" s="656"/>
      <c r="BS135" s="654"/>
      <c r="BT135" s="654"/>
      <c r="BU135" s="654"/>
      <c r="BV135" s="654"/>
      <c r="BW135" s="645" t="s">
        <v>109</v>
      </c>
      <c r="BX135" s="658">
        <f t="shared" si="75"/>
        <v>175.5</v>
      </c>
      <c r="BY135" s="658">
        <f t="shared" si="76"/>
        <v>175.5</v>
      </c>
      <c r="BZ135" s="658">
        <f t="shared" si="77"/>
        <v>175.5</v>
      </c>
      <c r="CA135" s="658">
        <f t="shared" si="78"/>
        <v>175.5</v>
      </c>
      <c r="CB135" s="644">
        <f t="shared" si="79"/>
        <v>702</v>
      </c>
      <c r="CC135" s="644"/>
      <c r="CD135" s="644">
        <f t="shared" si="65"/>
        <v>702</v>
      </c>
      <c r="CE135" s="644">
        <f t="shared" si="56"/>
        <v>0</v>
      </c>
    </row>
    <row r="136" s="338" customFormat="1" ht="40" customHeight="1" spans="1:83">
      <c r="A136" s="632">
        <v>45699</v>
      </c>
      <c r="B136" s="659" t="s">
        <v>716</v>
      </c>
      <c r="C136" s="634" t="s">
        <v>214</v>
      </c>
      <c r="D136" s="635">
        <v>4500157168</v>
      </c>
      <c r="E136" s="659">
        <v>4551466806</v>
      </c>
      <c r="F136" s="636" t="s">
        <v>850</v>
      </c>
      <c r="G136" s="637" t="s">
        <v>718</v>
      </c>
      <c r="H136" s="637" t="s">
        <v>99</v>
      </c>
      <c r="I136" s="638">
        <v>3336</v>
      </c>
      <c r="J136" s="638">
        <v>0</v>
      </c>
      <c r="K136" s="639">
        <v>6</v>
      </c>
      <c r="L136" s="639">
        <f t="shared" si="46"/>
        <v>556</v>
      </c>
      <c r="M136" s="641">
        <v>45764</v>
      </c>
      <c r="N136" s="641">
        <v>45761</v>
      </c>
      <c r="O136" s="641"/>
      <c r="P136" s="642" t="s">
        <v>100</v>
      </c>
      <c r="Q136" s="643" t="s">
        <v>720</v>
      </c>
      <c r="R136" s="642" t="s">
        <v>721</v>
      </c>
      <c r="S136" s="642"/>
      <c r="T136" s="642"/>
      <c r="U136" s="642" t="s">
        <v>722</v>
      </c>
      <c r="V136" s="642"/>
      <c r="W136" s="645" t="s">
        <v>723</v>
      </c>
      <c r="X136" s="647" t="s">
        <v>724</v>
      </c>
      <c r="Y136" s="646" t="s">
        <v>725</v>
      </c>
      <c r="Z136" s="648">
        <v>2.7599</v>
      </c>
      <c r="AA136" s="650">
        <f t="shared" si="72"/>
        <v>9207.0264</v>
      </c>
      <c r="AB136" s="649">
        <v>3336</v>
      </c>
      <c r="AC136" s="649">
        <f t="shared" si="68"/>
        <v>0</v>
      </c>
      <c r="AD136" s="650" t="s">
        <v>123</v>
      </c>
      <c r="AE136" s="637" t="s">
        <v>718</v>
      </c>
      <c r="AF136" s="646" t="s">
        <v>107</v>
      </c>
      <c r="AG136" s="652" t="s">
        <v>43</v>
      </c>
      <c r="AH136" s="646" t="s">
        <v>726</v>
      </c>
      <c r="AI136" s="651"/>
      <c r="AJ136" s="651"/>
      <c r="AK136" s="651"/>
      <c r="AL136" s="652">
        <f t="shared" si="73"/>
        <v>3336</v>
      </c>
      <c r="AM136" s="652"/>
      <c r="AN136" s="651"/>
      <c r="AO136" s="649"/>
      <c r="AP136" s="649"/>
      <c r="AQ136" s="653"/>
      <c r="AR136" s="651"/>
      <c r="AS136" s="651"/>
      <c r="AT136" s="652">
        <f t="shared" si="70"/>
        <v>3336</v>
      </c>
      <c r="AU136" s="649"/>
      <c r="AV136" s="654"/>
      <c r="AW136" s="655"/>
      <c r="AX136" s="652"/>
      <c r="AY136" s="652"/>
      <c r="AZ136" s="656"/>
      <c r="BA136" s="652"/>
      <c r="BB136" s="652"/>
      <c r="BC136" s="656"/>
      <c r="BD136" s="656"/>
      <c r="BE136" s="654"/>
      <c r="BF136" s="656"/>
      <c r="BG136" s="654"/>
      <c r="BH136" s="654"/>
      <c r="BI136" s="656"/>
      <c r="BJ136" s="656"/>
      <c r="BK136" s="652">
        <f t="shared" si="74"/>
        <v>556</v>
      </c>
      <c r="BL136" s="652"/>
      <c r="BM136" s="654"/>
      <c r="BN136" s="654"/>
      <c r="BO136" s="654"/>
      <c r="BP136" s="656"/>
      <c r="BQ136" s="654"/>
      <c r="BR136" s="656"/>
      <c r="BS136" s="654"/>
      <c r="BT136" s="654"/>
      <c r="BU136" s="654"/>
      <c r="BV136" s="654"/>
      <c r="BW136" s="645" t="s">
        <v>109</v>
      </c>
      <c r="BX136" s="658">
        <f t="shared" si="75"/>
        <v>834</v>
      </c>
      <c r="BY136" s="658">
        <f t="shared" si="76"/>
        <v>834</v>
      </c>
      <c r="BZ136" s="658">
        <f t="shared" si="77"/>
        <v>834</v>
      </c>
      <c r="CA136" s="658">
        <f t="shared" si="78"/>
        <v>834</v>
      </c>
      <c r="CB136" s="644">
        <f t="shared" si="79"/>
        <v>3336</v>
      </c>
      <c r="CC136" s="644"/>
      <c r="CD136" s="644">
        <f t="shared" si="65"/>
        <v>3336</v>
      </c>
      <c r="CE136" s="644">
        <f t="shared" si="56"/>
        <v>0</v>
      </c>
    </row>
    <row r="137" s="338" customFormat="1" ht="40" customHeight="1" spans="1:83">
      <c r="A137" s="632">
        <v>45699</v>
      </c>
      <c r="B137" s="659" t="s">
        <v>716</v>
      </c>
      <c r="C137" s="634" t="s">
        <v>214</v>
      </c>
      <c r="D137" s="635">
        <v>4500157168</v>
      </c>
      <c r="E137" s="659">
        <v>4551467064</v>
      </c>
      <c r="F137" s="636" t="s">
        <v>851</v>
      </c>
      <c r="G137" s="637" t="s">
        <v>718</v>
      </c>
      <c r="H137" s="637" t="s">
        <v>99</v>
      </c>
      <c r="I137" s="638">
        <v>1890</v>
      </c>
      <c r="J137" s="638">
        <v>0</v>
      </c>
      <c r="K137" s="639">
        <v>6</v>
      </c>
      <c r="L137" s="639">
        <f t="shared" si="46"/>
        <v>315</v>
      </c>
      <c r="M137" s="641">
        <v>45764</v>
      </c>
      <c r="N137" s="641">
        <v>45761</v>
      </c>
      <c r="O137" s="641"/>
      <c r="P137" s="642" t="s">
        <v>100</v>
      </c>
      <c r="Q137" s="643" t="s">
        <v>720</v>
      </c>
      <c r="R137" s="642" t="s">
        <v>721</v>
      </c>
      <c r="S137" s="642"/>
      <c r="T137" s="642"/>
      <c r="U137" s="642" t="s">
        <v>722</v>
      </c>
      <c r="V137" s="642"/>
      <c r="W137" s="645" t="s">
        <v>723</v>
      </c>
      <c r="X137" s="647" t="s">
        <v>724</v>
      </c>
      <c r="Y137" s="646" t="s">
        <v>725</v>
      </c>
      <c r="Z137" s="648">
        <v>2.771</v>
      </c>
      <c r="AA137" s="650">
        <f t="shared" si="72"/>
        <v>5237.19</v>
      </c>
      <c r="AB137" s="649">
        <v>1890</v>
      </c>
      <c r="AC137" s="649">
        <f t="shared" si="68"/>
        <v>0</v>
      </c>
      <c r="AD137" s="650" t="s">
        <v>123</v>
      </c>
      <c r="AE137" s="637" t="s">
        <v>718</v>
      </c>
      <c r="AF137" s="646" t="s">
        <v>107</v>
      </c>
      <c r="AG137" s="652" t="s">
        <v>43</v>
      </c>
      <c r="AH137" s="646" t="s">
        <v>726</v>
      </c>
      <c r="AI137" s="651"/>
      <c r="AJ137" s="651"/>
      <c r="AK137" s="651"/>
      <c r="AL137" s="652">
        <f t="shared" si="73"/>
        <v>1890</v>
      </c>
      <c r="AM137" s="652"/>
      <c r="AN137" s="651"/>
      <c r="AO137" s="649"/>
      <c r="AP137" s="649"/>
      <c r="AQ137" s="653"/>
      <c r="AR137" s="651"/>
      <c r="AS137" s="651"/>
      <c r="AT137" s="652">
        <f t="shared" si="70"/>
        <v>1890</v>
      </c>
      <c r="AU137" s="649"/>
      <c r="AV137" s="654"/>
      <c r="AW137" s="655"/>
      <c r="AX137" s="652"/>
      <c r="AY137" s="652"/>
      <c r="AZ137" s="656"/>
      <c r="BA137" s="652"/>
      <c r="BB137" s="652"/>
      <c r="BC137" s="656"/>
      <c r="BD137" s="656"/>
      <c r="BE137" s="654"/>
      <c r="BF137" s="656"/>
      <c r="BG137" s="654"/>
      <c r="BH137" s="654"/>
      <c r="BI137" s="656"/>
      <c r="BJ137" s="656"/>
      <c r="BK137" s="652">
        <f t="shared" si="74"/>
        <v>315</v>
      </c>
      <c r="BL137" s="652"/>
      <c r="BM137" s="654"/>
      <c r="BN137" s="654"/>
      <c r="BO137" s="654"/>
      <c r="BP137" s="656"/>
      <c r="BQ137" s="654"/>
      <c r="BR137" s="656"/>
      <c r="BS137" s="654"/>
      <c r="BT137" s="654"/>
      <c r="BU137" s="654"/>
      <c r="BV137" s="654"/>
      <c r="BW137" s="645" t="s">
        <v>109</v>
      </c>
      <c r="BX137" s="658">
        <f t="shared" si="75"/>
        <v>472.5</v>
      </c>
      <c r="BY137" s="658">
        <f t="shared" si="76"/>
        <v>472.5</v>
      </c>
      <c r="BZ137" s="658">
        <f t="shared" si="77"/>
        <v>472.5</v>
      </c>
      <c r="CA137" s="658">
        <f t="shared" si="78"/>
        <v>472.5</v>
      </c>
      <c r="CB137" s="644">
        <f t="shared" si="79"/>
        <v>1890</v>
      </c>
      <c r="CC137" s="644"/>
      <c r="CD137" s="644">
        <f t="shared" si="65"/>
        <v>1890</v>
      </c>
      <c r="CE137" s="644">
        <f t="shared" si="56"/>
        <v>0</v>
      </c>
    </row>
    <row r="138" s="338" customFormat="1" ht="40" customHeight="1" spans="1:83">
      <c r="A138" s="632">
        <v>45699</v>
      </c>
      <c r="B138" s="659" t="s">
        <v>716</v>
      </c>
      <c r="C138" s="634" t="s">
        <v>214</v>
      </c>
      <c r="D138" s="635">
        <v>4500157168</v>
      </c>
      <c r="E138" s="659">
        <v>4551467155</v>
      </c>
      <c r="F138" s="636" t="s">
        <v>852</v>
      </c>
      <c r="G138" s="637" t="s">
        <v>718</v>
      </c>
      <c r="H138" s="637" t="s">
        <v>99</v>
      </c>
      <c r="I138" s="638">
        <v>2898</v>
      </c>
      <c r="J138" s="638">
        <v>0</v>
      </c>
      <c r="K138" s="639">
        <v>6</v>
      </c>
      <c r="L138" s="639">
        <f t="shared" si="46"/>
        <v>483</v>
      </c>
      <c r="M138" s="641">
        <v>45764</v>
      </c>
      <c r="N138" s="641">
        <v>45761</v>
      </c>
      <c r="O138" s="641"/>
      <c r="P138" s="642" t="s">
        <v>100</v>
      </c>
      <c r="Q138" s="643" t="s">
        <v>720</v>
      </c>
      <c r="R138" s="642" t="s">
        <v>721</v>
      </c>
      <c r="S138" s="642"/>
      <c r="T138" s="642"/>
      <c r="U138" s="642" t="s">
        <v>722</v>
      </c>
      <c r="V138" s="642"/>
      <c r="W138" s="645" t="s">
        <v>723</v>
      </c>
      <c r="X138" s="647" t="s">
        <v>724</v>
      </c>
      <c r="Y138" s="646" t="s">
        <v>725</v>
      </c>
      <c r="Z138" s="648">
        <v>2.7615</v>
      </c>
      <c r="AA138" s="650">
        <f t="shared" si="72"/>
        <v>8002.827</v>
      </c>
      <c r="AB138" s="649">
        <v>2898</v>
      </c>
      <c r="AC138" s="649">
        <f t="shared" si="68"/>
        <v>0</v>
      </c>
      <c r="AD138" s="650" t="s">
        <v>123</v>
      </c>
      <c r="AE138" s="637" t="s">
        <v>718</v>
      </c>
      <c r="AF138" s="646" t="s">
        <v>107</v>
      </c>
      <c r="AG138" s="652" t="s">
        <v>43</v>
      </c>
      <c r="AH138" s="646" t="s">
        <v>726</v>
      </c>
      <c r="AI138" s="651"/>
      <c r="AJ138" s="651"/>
      <c r="AK138" s="651"/>
      <c r="AL138" s="652">
        <f t="shared" si="73"/>
        <v>2898</v>
      </c>
      <c r="AM138" s="652"/>
      <c r="AN138" s="651"/>
      <c r="AO138" s="649"/>
      <c r="AP138" s="649"/>
      <c r="AQ138" s="653"/>
      <c r="AR138" s="651"/>
      <c r="AS138" s="651"/>
      <c r="AT138" s="652">
        <f t="shared" si="70"/>
        <v>2898</v>
      </c>
      <c r="AU138" s="649"/>
      <c r="AV138" s="654"/>
      <c r="AW138" s="655"/>
      <c r="AX138" s="652"/>
      <c r="AY138" s="652"/>
      <c r="AZ138" s="656"/>
      <c r="BA138" s="652"/>
      <c r="BB138" s="652"/>
      <c r="BC138" s="656"/>
      <c r="BD138" s="656"/>
      <c r="BE138" s="654"/>
      <c r="BF138" s="656"/>
      <c r="BG138" s="654"/>
      <c r="BH138" s="654"/>
      <c r="BI138" s="656"/>
      <c r="BJ138" s="656"/>
      <c r="BK138" s="652">
        <f t="shared" si="74"/>
        <v>483</v>
      </c>
      <c r="BL138" s="652"/>
      <c r="BM138" s="654"/>
      <c r="BN138" s="654"/>
      <c r="BO138" s="654"/>
      <c r="BP138" s="656"/>
      <c r="BQ138" s="654"/>
      <c r="BR138" s="656"/>
      <c r="BS138" s="654"/>
      <c r="BT138" s="654"/>
      <c r="BU138" s="654"/>
      <c r="BV138" s="654"/>
      <c r="BW138" s="645" t="s">
        <v>109</v>
      </c>
      <c r="BX138" s="658">
        <f t="shared" si="75"/>
        <v>724.5</v>
      </c>
      <c r="BY138" s="658">
        <f t="shared" si="76"/>
        <v>724.5</v>
      </c>
      <c r="BZ138" s="658">
        <f t="shared" si="77"/>
        <v>724.5</v>
      </c>
      <c r="CA138" s="658">
        <f t="shared" si="78"/>
        <v>724.5</v>
      </c>
      <c r="CB138" s="644">
        <f t="shared" si="79"/>
        <v>2898</v>
      </c>
      <c r="CC138" s="644"/>
      <c r="CD138" s="644">
        <f t="shared" si="65"/>
        <v>2898</v>
      </c>
      <c r="CE138" s="644">
        <f t="shared" si="56"/>
        <v>0</v>
      </c>
    </row>
    <row r="139" s="338" customFormat="1" ht="40" customHeight="1" spans="1:83">
      <c r="A139" s="632">
        <v>45723</v>
      </c>
      <c r="B139" s="659" t="s">
        <v>155</v>
      </c>
      <c r="C139" s="634" t="s">
        <v>156</v>
      </c>
      <c r="D139" s="635">
        <v>4500159385</v>
      </c>
      <c r="E139" s="659" t="s">
        <v>853</v>
      </c>
      <c r="F139" s="636" t="s">
        <v>854</v>
      </c>
      <c r="G139" s="637" t="s">
        <v>855</v>
      </c>
      <c r="H139" s="637" t="s">
        <v>856</v>
      </c>
      <c r="I139" s="638">
        <v>504</v>
      </c>
      <c r="J139" s="638">
        <v>0</v>
      </c>
      <c r="K139" s="639">
        <v>24</v>
      </c>
      <c r="L139" s="639">
        <f t="shared" si="46"/>
        <v>21</v>
      </c>
      <c r="M139" s="641">
        <v>45764</v>
      </c>
      <c r="N139" s="641">
        <v>45761</v>
      </c>
      <c r="O139" s="641"/>
      <c r="P139" s="642" t="s">
        <v>100</v>
      </c>
      <c r="Q139" s="643" t="s">
        <v>857</v>
      </c>
      <c r="R139" s="642" t="s">
        <v>478</v>
      </c>
      <c r="S139" s="642"/>
      <c r="T139" s="642"/>
      <c r="U139" s="642" t="s">
        <v>858</v>
      </c>
      <c r="V139" s="642"/>
      <c r="W139" s="645" t="s">
        <v>859</v>
      </c>
      <c r="X139" s="647" t="s">
        <v>860</v>
      </c>
      <c r="Y139" s="646" t="s">
        <v>861</v>
      </c>
      <c r="Z139" s="648">
        <v>2.4325</v>
      </c>
      <c r="AA139" s="650">
        <f t="shared" si="72"/>
        <v>1225.98</v>
      </c>
      <c r="AB139" s="649">
        <v>504</v>
      </c>
      <c r="AC139" s="649">
        <f t="shared" si="68"/>
        <v>0</v>
      </c>
      <c r="AD139" s="650" t="s">
        <v>123</v>
      </c>
      <c r="AE139" s="661" t="s">
        <v>862</v>
      </c>
      <c r="AF139" s="646" t="s">
        <v>107</v>
      </c>
      <c r="AG139" s="652" t="s">
        <v>43</v>
      </c>
      <c r="AH139" s="646" t="s">
        <v>863</v>
      </c>
      <c r="AI139" s="649"/>
      <c r="AJ139" s="649"/>
      <c r="AK139" s="649"/>
      <c r="AL139" s="649"/>
      <c r="AM139" s="649"/>
      <c r="AN139" s="649"/>
      <c r="AO139" s="649">
        <f>I139</f>
        <v>504</v>
      </c>
      <c r="AP139" s="649"/>
      <c r="AQ139" s="653"/>
      <c r="AR139" s="649"/>
      <c r="AS139" s="649"/>
      <c r="AT139" s="652">
        <f t="shared" ref="AT139:AT151" si="80">I139</f>
        <v>504</v>
      </c>
      <c r="AU139" s="649"/>
      <c r="AV139" s="654"/>
      <c r="AW139" s="652"/>
      <c r="AX139" s="652"/>
      <c r="AY139" s="652"/>
      <c r="AZ139" s="654"/>
      <c r="BA139" s="652"/>
      <c r="BB139" s="652"/>
      <c r="BC139" s="654"/>
      <c r="BD139" s="654"/>
      <c r="BE139" s="654"/>
      <c r="BF139" s="654"/>
      <c r="BG139" s="654"/>
      <c r="BH139" s="654"/>
      <c r="BI139" s="654"/>
      <c r="BJ139" s="654"/>
      <c r="BK139" s="654"/>
      <c r="BL139" s="654"/>
      <c r="BM139" s="654"/>
      <c r="BN139" s="654"/>
      <c r="BO139" s="654"/>
      <c r="BP139" s="654"/>
      <c r="BQ139" s="654"/>
      <c r="BR139" s="654"/>
      <c r="BS139" s="654"/>
      <c r="BT139" s="654"/>
      <c r="BU139" s="654"/>
      <c r="BV139" s="654"/>
      <c r="BW139" s="645" t="s">
        <v>109</v>
      </c>
      <c r="BX139" s="658"/>
      <c r="BY139" s="658"/>
      <c r="BZ139" s="658">
        <f>I139</f>
        <v>504</v>
      </c>
      <c r="CA139" s="658"/>
      <c r="CB139" s="644"/>
      <c r="CC139" s="658"/>
      <c r="CD139" s="644">
        <f t="shared" si="65"/>
        <v>504</v>
      </c>
      <c r="CE139" s="644">
        <f t="shared" si="56"/>
        <v>0</v>
      </c>
    </row>
    <row r="140" s="338" customFormat="1" ht="40" customHeight="1" spans="1:83">
      <c r="A140" s="632">
        <v>45699</v>
      </c>
      <c r="B140" s="659" t="s">
        <v>716</v>
      </c>
      <c r="C140" s="634" t="s">
        <v>214</v>
      </c>
      <c r="D140" s="635">
        <v>4500157168</v>
      </c>
      <c r="E140" s="659">
        <v>4551467211</v>
      </c>
      <c r="F140" s="636" t="s">
        <v>864</v>
      </c>
      <c r="G140" s="637" t="s">
        <v>718</v>
      </c>
      <c r="H140" s="637" t="s">
        <v>99</v>
      </c>
      <c r="I140" s="638">
        <v>2502</v>
      </c>
      <c r="J140" s="638">
        <v>0</v>
      </c>
      <c r="K140" s="639">
        <v>6</v>
      </c>
      <c r="L140" s="639">
        <f t="shared" si="46"/>
        <v>417</v>
      </c>
      <c r="M140" s="641">
        <v>45764</v>
      </c>
      <c r="N140" s="641">
        <v>45761</v>
      </c>
      <c r="O140" s="641"/>
      <c r="P140" s="642" t="s">
        <v>100</v>
      </c>
      <c r="Q140" s="643" t="s">
        <v>720</v>
      </c>
      <c r="R140" s="642" t="s">
        <v>721</v>
      </c>
      <c r="S140" s="642"/>
      <c r="T140" s="642"/>
      <c r="U140" s="642" t="s">
        <v>722</v>
      </c>
      <c r="V140" s="642"/>
      <c r="W140" s="645" t="s">
        <v>723</v>
      </c>
      <c r="X140" s="647" t="s">
        <v>724</v>
      </c>
      <c r="Y140" s="646" t="s">
        <v>725</v>
      </c>
      <c r="Z140" s="648">
        <v>2.7615</v>
      </c>
      <c r="AA140" s="650">
        <f t="shared" si="72"/>
        <v>6909.273</v>
      </c>
      <c r="AB140" s="649">
        <v>2502</v>
      </c>
      <c r="AC140" s="649">
        <f t="shared" si="68"/>
        <v>0</v>
      </c>
      <c r="AD140" s="650" t="s">
        <v>123</v>
      </c>
      <c r="AE140" s="637" t="s">
        <v>718</v>
      </c>
      <c r="AF140" s="646" t="s">
        <v>107</v>
      </c>
      <c r="AG140" s="652" t="s">
        <v>43</v>
      </c>
      <c r="AH140" s="646" t="s">
        <v>726</v>
      </c>
      <c r="AI140" s="651"/>
      <c r="AJ140" s="651"/>
      <c r="AK140" s="651"/>
      <c r="AL140" s="652">
        <f>I140</f>
        <v>2502</v>
      </c>
      <c r="AM140" s="652"/>
      <c r="AN140" s="651"/>
      <c r="AO140" s="649"/>
      <c r="AP140" s="649"/>
      <c r="AQ140" s="653"/>
      <c r="AR140" s="651"/>
      <c r="AS140" s="651"/>
      <c r="AT140" s="652">
        <f t="shared" si="80"/>
        <v>2502</v>
      </c>
      <c r="AU140" s="649"/>
      <c r="AV140" s="654"/>
      <c r="AW140" s="655"/>
      <c r="AX140" s="652"/>
      <c r="AY140" s="652"/>
      <c r="AZ140" s="656"/>
      <c r="BA140" s="652"/>
      <c r="BB140" s="652"/>
      <c r="BC140" s="656"/>
      <c r="BD140" s="656"/>
      <c r="BE140" s="654"/>
      <c r="BF140" s="656"/>
      <c r="BG140" s="654"/>
      <c r="BH140" s="654"/>
      <c r="BI140" s="656"/>
      <c r="BJ140" s="656"/>
      <c r="BK140" s="652">
        <f>I140/6</f>
        <v>417</v>
      </c>
      <c r="BL140" s="652"/>
      <c r="BM140" s="654"/>
      <c r="BN140" s="654"/>
      <c r="BO140" s="654"/>
      <c r="BP140" s="656"/>
      <c r="BQ140" s="654"/>
      <c r="BR140" s="656"/>
      <c r="BS140" s="654"/>
      <c r="BT140" s="654"/>
      <c r="BU140" s="654"/>
      <c r="BV140" s="654"/>
      <c r="BW140" s="645" t="s">
        <v>109</v>
      </c>
      <c r="BX140" s="658">
        <f>I140/4</f>
        <v>625.5</v>
      </c>
      <c r="BY140" s="658">
        <f>I140/4</f>
        <v>625.5</v>
      </c>
      <c r="BZ140" s="658">
        <f>I140/4</f>
        <v>625.5</v>
      </c>
      <c r="CA140" s="658">
        <f>I140/4</f>
        <v>625.5</v>
      </c>
      <c r="CB140" s="644">
        <f t="shared" ref="CB140:CB182" si="81">I140</f>
        <v>2502</v>
      </c>
      <c r="CC140" s="644"/>
      <c r="CD140" s="644">
        <f t="shared" si="65"/>
        <v>2502</v>
      </c>
      <c r="CE140" s="644">
        <f t="shared" si="56"/>
        <v>0</v>
      </c>
    </row>
    <row r="141" s="338" customFormat="1" ht="40" customHeight="1" spans="1:83">
      <c r="A141" s="632">
        <v>45726</v>
      </c>
      <c r="B141" s="659" t="s">
        <v>865</v>
      </c>
      <c r="C141" s="634" t="s">
        <v>144</v>
      </c>
      <c r="D141" s="635">
        <v>4500159614</v>
      </c>
      <c r="E141" s="659">
        <v>4400470523</v>
      </c>
      <c r="F141" s="636" t="s">
        <v>866</v>
      </c>
      <c r="G141" s="637" t="s">
        <v>111</v>
      </c>
      <c r="H141" s="637" t="s">
        <v>99</v>
      </c>
      <c r="I141" s="638">
        <v>2002</v>
      </c>
      <c r="J141" s="638">
        <v>0</v>
      </c>
      <c r="K141" s="639">
        <v>22</v>
      </c>
      <c r="L141" s="639">
        <f t="shared" si="46"/>
        <v>91</v>
      </c>
      <c r="M141" s="641">
        <v>45764</v>
      </c>
      <c r="N141" s="641">
        <v>45761</v>
      </c>
      <c r="O141" s="641"/>
      <c r="P141" s="642" t="s">
        <v>100</v>
      </c>
      <c r="Q141" s="643" t="s">
        <v>867</v>
      </c>
      <c r="R141" s="642" t="s">
        <v>868</v>
      </c>
      <c r="S141" s="642"/>
      <c r="T141" s="642"/>
      <c r="U141" s="642" t="s">
        <v>869</v>
      </c>
      <c r="V141" s="642"/>
      <c r="W141" s="645"/>
      <c r="X141" s="647" t="s">
        <v>870</v>
      </c>
      <c r="Y141" s="646" t="s">
        <v>202</v>
      </c>
      <c r="Z141" s="648">
        <v>2.6733</v>
      </c>
      <c r="AA141" s="650">
        <f>I141*Z141</f>
        <v>5351.9466</v>
      </c>
      <c r="AB141" s="649">
        <v>2002</v>
      </c>
      <c r="AC141" s="649">
        <f t="shared" si="68"/>
        <v>0</v>
      </c>
      <c r="AD141" s="650" t="s">
        <v>106</v>
      </c>
      <c r="AE141" s="661" t="s">
        <v>230</v>
      </c>
      <c r="AF141" s="646" t="s">
        <v>107</v>
      </c>
      <c r="AG141" s="652" t="s">
        <v>43</v>
      </c>
      <c r="AH141" s="646" t="s">
        <v>871</v>
      </c>
      <c r="AI141" s="649"/>
      <c r="AJ141" s="649"/>
      <c r="AK141" s="649"/>
      <c r="AL141" s="649"/>
      <c r="AM141" s="649"/>
      <c r="AN141" s="649"/>
      <c r="AO141" s="649">
        <f>I141</f>
        <v>2002</v>
      </c>
      <c r="AP141" s="649"/>
      <c r="AQ141" s="653"/>
      <c r="AR141" s="649"/>
      <c r="AS141" s="649"/>
      <c r="AT141" s="652">
        <f t="shared" si="80"/>
        <v>2002</v>
      </c>
      <c r="AU141" s="649"/>
      <c r="AV141" s="654"/>
      <c r="AW141" s="652"/>
      <c r="AX141" s="652"/>
      <c r="AY141" s="652"/>
      <c r="AZ141" s="654"/>
      <c r="BA141" s="652">
        <f>I141/11</f>
        <v>182</v>
      </c>
      <c r="BB141" s="652"/>
      <c r="BC141" s="654"/>
      <c r="BD141" s="654"/>
      <c r="BE141" s="654"/>
      <c r="BF141" s="654"/>
      <c r="BG141" s="654"/>
      <c r="BH141" s="654"/>
      <c r="BI141" s="654"/>
      <c r="BJ141" s="654"/>
      <c r="BK141" s="652"/>
      <c r="BL141" s="652"/>
      <c r="BM141" s="654"/>
      <c r="BN141" s="654"/>
      <c r="BO141" s="654"/>
      <c r="BP141" s="654"/>
      <c r="BQ141" s="654"/>
      <c r="BR141" s="654"/>
      <c r="BS141" s="654"/>
      <c r="BT141" s="654"/>
      <c r="BU141" s="654"/>
      <c r="BV141" s="654"/>
      <c r="BW141" s="645" t="s">
        <v>109</v>
      </c>
      <c r="BX141" s="658">
        <f>I141/22*5</f>
        <v>455</v>
      </c>
      <c r="BY141" s="658">
        <f>I141/22*6</f>
        <v>546</v>
      </c>
      <c r="BZ141" s="658">
        <f>I141/22*6</f>
        <v>546</v>
      </c>
      <c r="CA141" s="658">
        <f>I141/22*5</f>
        <v>455</v>
      </c>
      <c r="CB141" s="644">
        <f t="shared" si="81"/>
        <v>2002</v>
      </c>
      <c r="CC141" s="658">
        <f>I141/11</f>
        <v>182</v>
      </c>
      <c r="CD141" s="644">
        <f t="shared" si="65"/>
        <v>2002</v>
      </c>
      <c r="CE141" s="644">
        <f t="shared" si="56"/>
        <v>0</v>
      </c>
    </row>
    <row r="142" s="338" customFormat="1" ht="40" customHeight="1" spans="1:83">
      <c r="A142" s="632">
        <v>45723</v>
      </c>
      <c r="B142" s="659" t="s">
        <v>379</v>
      </c>
      <c r="C142" s="634" t="s">
        <v>380</v>
      </c>
      <c r="D142" s="635">
        <v>4500159542</v>
      </c>
      <c r="E142" s="659" t="s">
        <v>872</v>
      </c>
      <c r="F142" s="636" t="s">
        <v>873</v>
      </c>
      <c r="G142" s="637" t="s">
        <v>855</v>
      </c>
      <c r="H142" s="637" t="s">
        <v>384</v>
      </c>
      <c r="I142" s="638">
        <v>504</v>
      </c>
      <c r="J142" s="638">
        <v>0</v>
      </c>
      <c r="K142" s="639">
        <v>24</v>
      </c>
      <c r="L142" s="639">
        <f t="shared" si="46"/>
        <v>21</v>
      </c>
      <c r="M142" s="641">
        <v>45765</v>
      </c>
      <c r="N142" s="641">
        <v>45761</v>
      </c>
      <c r="O142" s="641"/>
      <c r="P142" s="642" t="s">
        <v>100</v>
      </c>
      <c r="Q142" s="643" t="s">
        <v>367</v>
      </c>
      <c r="R142" s="642" t="s">
        <v>874</v>
      </c>
      <c r="S142" s="642"/>
      <c r="T142" s="642"/>
      <c r="U142" s="642" t="s">
        <v>875</v>
      </c>
      <c r="V142" s="642"/>
      <c r="W142" s="645"/>
      <c r="X142" s="647" t="s">
        <v>876</v>
      </c>
      <c r="Y142" s="646" t="s">
        <v>175</v>
      </c>
      <c r="Z142" s="648">
        <v>2.5421</v>
      </c>
      <c r="AA142" s="650">
        <f>Z142*I142</f>
        <v>1281.2184</v>
      </c>
      <c r="AB142" s="649">
        <v>504</v>
      </c>
      <c r="AC142" s="649">
        <f t="shared" si="68"/>
        <v>0</v>
      </c>
      <c r="AD142" s="650" t="s">
        <v>106</v>
      </c>
      <c r="AE142" s="637" t="s">
        <v>862</v>
      </c>
      <c r="AF142" s="646" t="s">
        <v>107</v>
      </c>
      <c r="AG142" s="652" t="s">
        <v>43</v>
      </c>
      <c r="AH142" s="646" t="s">
        <v>877</v>
      </c>
      <c r="AI142" s="649"/>
      <c r="AJ142" s="649"/>
      <c r="AK142" s="649"/>
      <c r="AL142" s="649"/>
      <c r="AM142" s="649"/>
      <c r="AN142" s="649"/>
      <c r="AO142" s="649">
        <f>I142</f>
        <v>504</v>
      </c>
      <c r="AP142" s="649"/>
      <c r="AQ142" s="653"/>
      <c r="AR142" s="649"/>
      <c r="AS142" s="649"/>
      <c r="AT142" s="652">
        <f t="shared" si="80"/>
        <v>504</v>
      </c>
      <c r="AU142" s="649"/>
      <c r="AV142" s="654"/>
      <c r="AW142" s="652"/>
      <c r="AX142" s="652"/>
      <c r="AY142" s="652"/>
      <c r="AZ142" s="654"/>
      <c r="BA142" s="652"/>
      <c r="BB142" s="652"/>
      <c r="BC142" s="654"/>
      <c r="BD142" s="654"/>
      <c r="BE142" s="654"/>
      <c r="BF142" s="654"/>
      <c r="BG142" s="654"/>
      <c r="BH142" s="654"/>
      <c r="BI142" s="654"/>
      <c r="BJ142" s="654"/>
      <c r="BK142" s="652"/>
      <c r="BL142" s="652"/>
      <c r="BM142" s="654"/>
      <c r="BN142" s="654"/>
      <c r="BO142" s="654"/>
      <c r="BP142" s="654"/>
      <c r="BQ142" s="654"/>
      <c r="BR142" s="654"/>
      <c r="BS142" s="654"/>
      <c r="BT142" s="654"/>
      <c r="BU142" s="654"/>
      <c r="BV142" s="654"/>
      <c r="BW142" s="645" t="s">
        <v>109</v>
      </c>
      <c r="BX142" s="658"/>
      <c r="BY142" s="658"/>
      <c r="BZ142" s="658">
        <f>I142</f>
        <v>504</v>
      </c>
      <c r="CA142" s="658"/>
      <c r="CB142" s="644">
        <f t="shared" si="81"/>
        <v>504</v>
      </c>
      <c r="CC142" s="658"/>
      <c r="CD142" s="644">
        <f t="shared" si="65"/>
        <v>504</v>
      </c>
      <c r="CE142" s="644">
        <f t="shared" si="56"/>
        <v>0</v>
      </c>
    </row>
    <row r="143" s="338" customFormat="1" ht="40" customHeight="1" spans="1:83">
      <c r="A143" s="632">
        <v>45723</v>
      </c>
      <c r="B143" s="659" t="s">
        <v>379</v>
      </c>
      <c r="C143" s="634" t="s">
        <v>380</v>
      </c>
      <c r="D143" s="635">
        <v>4500159542</v>
      </c>
      <c r="E143" s="659" t="s">
        <v>872</v>
      </c>
      <c r="F143" s="636" t="s">
        <v>878</v>
      </c>
      <c r="G143" s="637" t="s">
        <v>383</v>
      </c>
      <c r="H143" s="637" t="s">
        <v>384</v>
      </c>
      <c r="I143" s="638">
        <v>504</v>
      </c>
      <c r="J143" s="638">
        <v>0</v>
      </c>
      <c r="K143" s="639">
        <v>24</v>
      </c>
      <c r="L143" s="639">
        <f t="shared" si="46"/>
        <v>21</v>
      </c>
      <c r="M143" s="641">
        <v>45765</v>
      </c>
      <c r="N143" s="641">
        <v>45761</v>
      </c>
      <c r="O143" s="641"/>
      <c r="P143" s="642" t="s">
        <v>100</v>
      </c>
      <c r="Q143" s="643" t="s">
        <v>367</v>
      </c>
      <c r="R143" s="642" t="s">
        <v>874</v>
      </c>
      <c r="S143" s="642"/>
      <c r="T143" s="642"/>
      <c r="U143" s="642" t="s">
        <v>875</v>
      </c>
      <c r="V143" s="642"/>
      <c r="W143" s="645"/>
      <c r="X143" s="647" t="s">
        <v>879</v>
      </c>
      <c r="Y143" s="646" t="s">
        <v>175</v>
      </c>
      <c r="Z143" s="648">
        <v>2.6249</v>
      </c>
      <c r="AA143" s="650">
        <f t="shared" ref="AA143:AA159" si="82">I143*Z143</f>
        <v>1322.9496</v>
      </c>
      <c r="AB143" s="649">
        <v>504</v>
      </c>
      <c r="AC143" s="649">
        <f t="shared" si="68"/>
        <v>0</v>
      </c>
      <c r="AD143" s="650" t="s">
        <v>106</v>
      </c>
      <c r="AE143" s="637" t="s">
        <v>880</v>
      </c>
      <c r="AF143" s="646" t="s">
        <v>107</v>
      </c>
      <c r="AG143" s="652" t="s">
        <v>43</v>
      </c>
      <c r="AH143" s="646" t="s">
        <v>877</v>
      </c>
      <c r="AI143" s="649"/>
      <c r="AJ143" s="649"/>
      <c r="AK143" s="649"/>
      <c r="AL143" s="649"/>
      <c r="AM143" s="649"/>
      <c r="AN143" s="649"/>
      <c r="AO143" s="649">
        <f>I143</f>
        <v>504</v>
      </c>
      <c r="AP143" s="649"/>
      <c r="AQ143" s="653"/>
      <c r="AR143" s="649"/>
      <c r="AS143" s="649"/>
      <c r="AT143" s="652">
        <f t="shared" si="80"/>
        <v>504</v>
      </c>
      <c r="AU143" s="649"/>
      <c r="AV143" s="654"/>
      <c r="AW143" s="652"/>
      <c r="AX143" s="652"/>
      <c r="AY143" s="652"/>
      <c r="AZ143" s="654"/>
      <c r="BA143" s="652"/>
      <c r="BB143" s="652"/>
      <c r="BC143" s="654"/>
      <c r="BD143" s="654"/>
      <c r="BE143" s="654"/>
      <c r="BF143" s="654"/>
      <c r="BG143" s="654"/>
      <c r="BH143" s="654"/>
      <c r="BI143" s="654"/>
      <c r="BJ143" s="654"/>
      <c r="BK143" s="652"/>
      <c r="BL143" s="652"/>
      <c r="BM143" s="654"/>
      <c r="BN143" s="654"/>
      <c r="BO143" s="654"/>
      <c r="BP143" s="654"/>
      <c r="BQ143" s="654"/>
      <c r="BR143" s="654"/>
      <c r="BS143" s="654"/>
      <c r="BT143" s="654"/>
      <c r="BU143" s="654"/>
      <c r="BV143" s="654"/>
      <c r="BW143" s="645" t="s">
        <v>109</v>
      </c>
      <c r="BX143" s="658"/>
      <c r="BY143" s="658">
        <f>I143</f>
        <v>504</v>
      </c>
      <c r="BZ143" s="658"/>
      <c r="CA143" s="658"/>
      <c r="CB143" s="644">
        <f t="shared" si="81"/>
        <v>504</v>
      </c>
      <c r="CC143" s="658"/>
      <c r="CD143" s="644">
        <f t="shared" si="65"/>
        <v>504</v>
      </c>
      <c r="CE143" s="644">
        <f t="shared" si="56"/>
        <v>0</v>
      </c>
    </row>
    <row r="144" s="338" customFormat="1" ht="40" customHeight="1" spans="1:83">
      <c r="A144" s="632">
        <v>45723</v>
      </c>
      <c r="B144" s="659" t="s">
        <v>881</v>
      </c>
      <c r="C144" s="634" t="s">
        <v>380</v>
      </c>
      <c r="D144" s="635">
        <v>4500159411</v>
      </c>
      <c r="E144" s="659">
        <v>4400470225</v>
      </c>
      <c r="F144" s="636" t="s">
        <v>882</v>
      </c>
      <c r="G144" s="637" t="s">
        <v>111</v>
      </c>
      <c r="H144" s="637" t="s">
        <v>99</v>
      </c>
      <c r="I144" s="638">
        <v>4620</v>
      </c>
      <c r="J144" s="638">
        <v>0</v>
      </c>
      <c r="K144" s="639">
        <v>22</v>
      </c>
      <c r="L144" s="639">
        <f t="shared" si="46"/>
        <v>210</v>
      </c>
      <c r="M144" s="641">
        <v>45768</v>
      </c>
      <c r="N144" s="641">
        <f>M144-4</f>
        <v>45764</v>
      </c>
      <c r="O144" s="641"/>
      <c r="P144" s="642" t="s">
        <v>100</v>
      </c>
      <c r="Q144" s="643"/>
      <c r="R144" s="642" t="s">
        <v>788</v>
      </c>
      <c r="S144" s="642"/>
      <c r="T144" s="642"/>
      <c r="U144" s="642" t="s">
        <v>789</v>
      </c>
      <c r="V144" s="642"/>
      <c r="W144" s="645" t="s">
        <v>814</v>
      </c>
      <c r="X144" s="647" t="s">
        <v>883</v>
      </c>
      <c r="Y144" s="646" t="s">
        <v>791</v>
      </c>
      <c r="Z144" s="683">
        <v>2.7336</v>
      </c>
      <c r="AA144" s="650">
        <f t="shared" si="82"/>
        <v>12629.232</v>
      </c>
      <c r="AB144" s="649">
        <v>4620</v>
      </c>
      <c r="AC144" s="649">
        <f t="shared" si="68"/>
        <v>0</v>
      </c>
      <c r="AD144" s="650" t="s">
        <v>106</v>
      </c>
      <c r="AE144" s="637" t="s">
        <v>230</v>
      </c>
      <c r="AF144" s="646" t="s">
        <v>107</v>
      </c>
      <c r="AG144" s="652" t="s">
        <v>43</v>
      </c>
      <c r="AH144" s="646" t="s">
        <v>884</v>
      </c>
      <c r="AI144" s="649"/>
      <c r="AJ144" s="649"/>
      <c r="AK144" s="649"/>
      <c r="AL144" s="649"/>
      <c r="AM144" s="649"/>
      <c r="AN144" s="649"/>
      <c r="AO144" s="649">
        <f>I144</f>
        <v>4620</v>
      </c>
      <c r="AP144" s="649"/>
      <c r="AQ144" s="653"/>
      <c r="AR144" s="649"/>
      <c r="AS144" s="649"/>
      <c r="AT144" s="652">
        <f t="shared" si="80"/>
        <v>4620</v>
      </c>
      <c r="AU144" s="649"/>
      <c r="AV144" s="654"/>
      <c r="AW144" s="652"/>
      <c r="AX144" s="652"/>
      <c r="AY144" s="652"/>
      <c r="AZ144" s="654"/>
      <c r="BA144" s="652">
        <f>I144/11</f>
        <v>420</v>
      </c>
      <c r="BB144" s="652"/>
      <c r="BC144" s="654"/>
      <c r="BD144" s="654"/>
      <c r="BE144" s="654"/>
      <c r="BF144" s="654"/>
      <c r="BG144" s="654"/>
      <c r="BH144" s="654"/>
      <c r="BI144" s="654"/>
      <c r="BJ144" s="654"/>
      <c r="BK144" s="652"/>
      <c r="BL144" s="652"/>
      <c r="BM144" s="654"/>
      <c r="BN144" s="654"/>
      <c r="BO144" s="654"/>
      <c r="BP144" s="654"/>
      <c r="BQ144" s="654"/>
      <c r="BR144" s="654"/>
      <c r="BS144" s="654"/>
      <c r="BT144" s="654"/>
      <c r="BU144" s="654"/>
      <c r="BV144" s="654"/>
      <c r="BW144" s="645" t="s">
        <v>109</v>
      </c>
      <c r="BX144" s="658">
        <f>I144/22*5</f>
        <v>1050</v>
      </c>
      <c r="BY144" s="658">
        <f>I144/22*6</f>
        <v>1260</v>
      </c>
      <c r="BZ144" s="658">
        <f>I144/22*6</f>
        <v>1260</v>
      </c>
      <c r="CA144" s="658">
        <f>I144/22*5</f>
        <v>1050</v>
      </c>
      <c r="CB144" s="644">
        <f t="shared" si="81"/>
        <v>4620</v>
      </c>
      <c r="CC144" s="658">
        <f>I144/11</f>
        <v>420</v>
      </c>
      <c r="CD144" s="644">
        <f t="shared" si="65"/>
        <v>4620</v>
      </c>
      <c r="CE144" s="644">
        <f t="shared" si="56"/>
        <v>0</v>
      </c>
    </row>
    <row r="145" s="338" customFormat="1" ht="40" customHeight="1" spans="1:83">
      <c r="A145" s="632">
        <v>45737</v>
      </c>
      <c r="B145" s="659" t="s">
        <v>885</v>
      </c>
      <c r="C145" s="634" t="s">
        <v>556</v>
      </c>
      <c r="D145" s="635">
        <v>4500161136</v>
      </c>
      <c r="E145" s="659"/>
      <c r="F145" s="636" t="s">
        <v>886</v>
      </c>
      <c r="G145" s="637" t="s">
        <v>111</v>
      </c>
      <c r="H145" s="637" t="s">
        <v>99</v>
      </c>
      <c r="I145" s="638">
        <v>616</v>
      </c>
      <c r="J145" s="638">
        <v>0</v>
      </c>
      <c r="K145" s="639">
        <v>22</v>
      </c>
      <c r="L145" s="639">
        <f t="shared" si="46"/>
        <v>28</v>
      </c>
      <c r="M145" s="641">
        <v>45770</v>
      </c>
      <c r="N145" s="641">
        <v>45766</v>
      </c>
      <c r="O145" s="641"/>
      <c r="P145" s="642" t="s">
        <v>100</v>
      </c>
      <c r="Q145" s="643" t="s">
        <v>867</v>
      </c>
      <c r="R145" s="642" t="s">
        <v>887</v>
      </c>
      <c r="S145" s="642"/>
      <c r="T145" s="642"/>
      <c r="U145" s="642" t="s">
        <v>113</v>
      </c>
      <c r="V145" s="642"/>
      <c r="W145" s="645"/>
      <c r="X145" s="647" t="s">
        <v>888</v>
      </c>
      <c r="Y145" s="646" t="s">
        <v>422</v>
      </c>
      <c r="Z145" s="683">
        <v>2.7583</v>
      </c>
      <c r="AA145" s="650">
        <f t="shared" si="82"/>
        <v>1699.1128</v>
      </c>
      <c r="AB145" s="649">
        <v>616</v>
      </c>
      <c r="AC145" s="649">
        <f t="shared" si="68"/>
        <v>0</v>
      </c>
      <c r="AD145" s="650" t="s">
        <v>113</v>
      </c>
      <c r="AE145" s="661" t="s">
        <v>111</v>
      </c>
      <c r="AF145" s="646" t="s">
        <v>107</v>
      </c>
      <c r="AG145" s="652" t="s">
        <v>43</v>
      </c>
      <c r="AH145" s="646" t="s">
        <v>889</v>
      </c>
      <c r="AI145" s="649"/>
      <c r="AJ145" s="649"/>
      <c r="AK145" s="649"/>
      <c r="AL145" s="652">
        <f>I145</f>
        <v>616</v>
      </c>
      <c r="AM145" s="652"/>
      <c r="AN145" s="649"/>
      <c r="AO145" s="649"/>
      <c r="AP145" s="649"/>
      <c r="AQ145" s="653"/>
      <c r="AR145" s="649"/>
      <c r="AS145" s="649"/>
      <c r="AT145" s="652">
        <f t="shared" si="80"/>
        <v>616</v>
      </c>
      <c r="AU145" s="649"/>
      <c r="AV145" s="654"/>
      <c r="AW145" s="652"/>
      <c r="AX145" s="652">
        <f>I145/11</f>
        <v>56</v>
      </c>
      <c r="AY145" s="652"/>
      <c r="AZ145" s="654"/>
      <c r="BA145" s="652"/>
      <c r="BB145" s="652"/>
      <c r="BC145" s="654"/>
      <c r="BD145" s="654"/>
      <c r="BE145" s="652"/>
      <c r="BF145" s="654"/>
      <c r="BG145" s="654"/>
      <c r="BH145" s="654"/>
      <c r="BI145" s="654"/>
      <c r="BJ145" s="654"/>
      <c r="BK145" s="654"/>
      <c r="BL145" s="654"/>
      <c r="BM145" s="654"/>
      <c r="BN145" s="654"/>
      <c r="BO145" s="654"/>
      <c r="BP145" s="654"/>
      <c r="BQ145" s="654"/>
      <c r="BR145" s="654"/>
      <c r="BS145" s="654"/>
      <c r="BT145" s="654"/>
      <c r="BU145" s="654"/>
      <c r="BV145" s="654"/>
      <c r="BW145" s="645" t="s">
        <v>109</v>
      </c>
      <c r="BX145" s="658">
        <f>I145/22*5</f>
        <v>140</v>
      </c>
      <c r="BY145" s="658">
        <f>I145/22*6</f>
        <v>168</v>
      </c>
      <c r="BZ145" s="658">
        <f>I145/22*6</f>
        <v>168</v>
      </c>
      <c r="CA145" s="658">
        <f>I145/22*5</f>
        <v>140</v>
      </c>
      <c r="CB145" s="644">
        <f t="shared" si="81"/>
        <v>616</v>
      </c>
      <c r="CC145" s="658">
        <f>I145/11</f>
        <v>56</v>
      </c>
      <c r="CD145" s="644">
        <f t="shared" si="65"/>
        <v>616</v>
      </c>
      <c r="CE145" s="644">
        <f t="shared" si="56"/>
        <v>0</v>
      </c>
    </row>
    <row r="146" s="338" customFormat="1" ht="40" customHeight="1" spans="1:83">
      <c r="A146" s="632">
        <v>45730</v>
      </c>
      <c r="B146" s="659" t="s">
        <v>646</v>
      </c>
      <c r="C146" s="634" t="s">
        <v>247</v>
      </c>
      <c r="D146" s="635">
        <v>4500160284</v>
      </c>
      <c r="E146" s="659">
        <v>20709474</v>
      </c>
      <c r="F146" s="636" t="s">
        <v>890</v>
      </c>
      <c r="G146" s="637" t="s">
        <v>648</v>
      </c>
      <c r="H146" s="637" t="s">
        <v>99</v>
      </c>
      <c r="I146" s="638">
        <v>1398</v>
      </c>
      <c r="J146" s="638">
        <v>0</v>
      </c>
      <c r="K146" s="639">
        <v>6</v>
      </c>
      <c r="L146" s="639">
        <f t="shared" si="46"/>
        <v>233</v>
      </c>
      <c r="M146" s="641">
        <v>45771</v>
      </c>
      <c r="N146" s="641">
        <v>45768</v>
      </c>
      <c r="O146" s="641"/>
      <c r="P146" s="642" t="s">
        <v>100</v>
      </c>
      <c r="Q146" s="682" t="s">
        <v>891</v>
      </c>
      <c r="R146" s="642" t="s">
        <v>892</v>
      </c>
      <c r="S146" s="642"/>
      <c r="T146" s="642"/>
      <c r="U146" s="642" t="s">
        <v>893</v>
      </c>
      <c r="V146" s="642"/>
      <c r="W146" s="645"/>
      <c r="X146" s="647" t="s">
        <v>894</v>
      </c>
      <c r="Y146" s="646" t="s">
        <v>653</v>
      </c>
      <c r="Z146" s="648">
        <v>2.771</v>
      </c>
      <c r="AA146" s="650">
        <f t="shared" si="82"/>
        <v>3873.858</v>
      </c>
      <c r="AB146" s="649">
        <v>1398</v>
      </c>
      <c r="AC146" s="649">
        <f t="shared" si="68"/>
        <v>0</v>
      </c>
      <c r="AD146" s="650" t="s">
        <v>106</v>
      </c>
      <c r="AE146" s="637" t="s">
        <v>648</v>
      </c>
      <c r="AF146" s="646" t="s">
        <v>107</v>
      </c>
      <c r="AG146" s="652" t="s">
        <v>43</v>
      </c>
      <c r="AH146" s="646" t="s">
        <v>895</v>
      </c>
      <c r="AI146" s="649"/>
      <c r="AJ146" s="649"/>
      <c r="AK146" s="649"/>
      <c r="AL146" s="652">
        <f>I146</f>
        <v>1398</v>
      </c>
      <c r="AM146" s="652"/>
      <c r="AN146" s="649"/>
      <c r="AO146" s="649"/>
      <c r="AP146" s="649"/>
      <c r="AQ146" s="653"/>
      <c r="AR146" s="649"/>
      <c r="AS146" s="649"/>
      <c r="AT146" s="652">
        <f t="shared" si="80"/>
        <v>1398</v>
      </c>
      <c r="AU146" s="649"/>
      <c r="AV146" s="654"/>
      <c r="AW146" s="652"/>
      <c r="AX146" s="652"/>
      <c r="AY146" s="652"/>
      <c r="AZ146" s="654"/>
      <c r="BA146" s="652"/>
      <c r="BB146" s="652"/>
      <c r="BC146" s="654"/>
      <c r="BD146" s="654"/>
      <c r="BE146" s="652">
        <f>I146/6</f>
        <v>233</v>
      </c>
      <c r="BF146" s="654"/>
      <c r="BG146" s="654"/>
      <c r="BH146" s="654"/>
      <c r="BI146" s="654"/>
      <c r="BJ146" s="654"/>
      <c r="BK146" s="654"/>
      <c r="BL146" s="654"/>
      <c r="BM146" s="654"/>
      <c r="BN146" s="654"/>
      <c r="BO146" s="654"/>
      <c r="BP146" s="654"/>
      <c r="BQ146" s="654"/>
      <c r="BR146" s="654"/>
      <c r="BS146" s="654"/>
      <c r="BT146" s="654"/>
      <c r="BU146" s="654"/>
      <c r="BV146" s="654"/>
      <c r="BW146" s="645" t="s">
        <v>109</v>
      </c>
      <c r="BX146" s="658">
        <f>I146/4</f>
        <v>349.5</v>
      </c>
      <c r="BY146" s="658">
        <f>I146/4</f>
        <v>349.5</v>
      </c>
      <c r="BZ146" s="658">
        <f>I146/4</f>
        <v>349.5</v>
      </c>
      <c r="CA146" s="658">
        <f>I146/4</f>
        <v>349.5</v>
      </c>
      <c r="CB146" s="644">
        <f t="shared" si="81"/>
        <v>1398</v>
      </c>
      <c r="CC146" s="658"/>
      <c r="CD146" s="644">
        <f t="shared" si="65"/>
        <v>1398</v>
      </c>
      <c r="CE146" s="644">
        <f t="shared" si="56"/>
        <v>0</v>
      </c>
    </row>
    <row r="147" s="338" customFormat="1" ht="40" customHeight="1" spans="1:83">
      <c r="A147" s="632">
        <v>45730</v>
      </c>
      <c r="B147" s="659" t="s">
        <v>896</v>
      </c>
      <c r="C147" s="634" t="s">
        <v>267</v>
      </c>
      <c r="D147" s="635">
        <v>4500160289</v>
      </c>
      <c r="E147" s="659">
        <v>20709475</v>
      </c>
      <c r="F147" s="636" t="s">
        <v>897</v>
      </c>
      <c r="G147" s="637" t="s">
        <v>648</v>
      </c>
      <c r="H147" s="637" t="s">
        <v>99</v>
      </c>
      <c r="I147" s="638">
        <v>102</v>
      </c>
      <c r="J147" s="638">
        <v>0</v>
      </c>
      <c r="K147" s="639">
        <v>6</v>
      </c>
      <c r="L147" s="639">
        <f t="shared" si="46"/>
        <v>17</v>
      </c>
      <c r="M147" s="641">
        <v>45771</v>
      </c>
      <c r="N147" s="641">
        <v>45768</v>
      </c>
      <c r="O147" s="641"/>
      <c r="P147" s="642" t="s">
        <v>100</v>
      </c>
      <c r="Q147" s="682" t="s">
        <v>891</v>
      </c>
      <c r="R147" s="642" t="s">
        <v>892</v>
      </c>
      <c r="S147" s="642"/>
      <c r="T147" s="642"/>
      <c r="U147" s="642" t="s">
        <v>893</v>
      </c>
      <c r="V147" s="642"/>
      <c r="W147" s="645"/>
      <c r="X147" s="647" t="s">
        <v>898</v>
      </c>
      <c r="Y147" s="646" t="s">
        <v>653</v>
      </c>
      <c r="Z147" s="648">
        <v>2.7852</v>
      </c>
      <c r="AA147" s="650">
        <f t="shared" si="82"/>
        <v>284.0904</v>
      </c>
      <c r="AB147" s="649">
        <v>102</v>
      </c>
      <c r="AC147" s="649">
        <f t="shared" si="68"/>
        <v>0</v>
      </c>
      <c r="AD147" s="650" t="s">
        <v>106</v>
      </c>
      <c r="AE147" s="637" t="s">
        <v>648</v>
      </c>
      <c r="AF147" s="646" t="s">
        <v>107</v>
      </c>
      <c r="AG147" s="652" t="s">
        <v>43</v>
      </c>
      <c r="AH147" s="646" t="s">
        <v>899</v>
      </c>
      <c r="AI147" s="649"/>
      <c r="AJ147" s="649"/>
      <c r="AK147" s="649"/>
      <c r="AL147" s="652">
        <f>I147</f>
        <v>102</v>
      </c>
      <c r="AM147" s="652"/>
      <c r="AN147" s="649"/>
      <c r="AO147" s="649"/>
      <c r="AP147" s="649"/>
      <c r="AQ147" s="653"/>
      <c r="AR147" s="649"/>
      <c r="AS147" s="649"/>
      <c r="AT147" s="652">
        <f t="shared" si="80"/>
        <v>102</v>
      </c>
      <c r="AU147" s="649"/>
      <c r="AV147" s="654"/>
      <c r="AW147" s="652"/>
      <c r="AX147" s="652"/>
      <c r="AY147" s="652"/>
      <c r="AZ147" s="654"/>
      <c r="BA147" s="652"/>
      <c r="BB147" s="652"/>
      <c r="BC147" s="654"/>
      <c r="BD147" s="654"/>
      <c r="BE147" s="652">
        <f>I147/6</f>
        <v>17</v>
      </c>
      <c r="BF147" s="654"/>
      <c r="BG147" s="654"/>
      <c r="BH147" s="654"/>
      <c r="BI147" s="654"/>
      <c r="BJ147" s="654"/>
      <c r="BK147" s="654"/>
      <c r="BL147" s="654"/>
      <c r="BM147" s="654"/>
      <c r="BN147" s="654"/>
      <c r="BO147" s="654"/>
      <c r="BP147" s="654"/>
      <c r="BQ147" s="654"/>
      <c r="BR147" s="654"/>
      <c r="BS147" s="654"/>
      <c r="BT147" s="654"/>
      <c r="BU147" s="654"/>
      <c r="BV147" s="654"/>
      <c r="BW147" s="645" t="s">
        <v>109</v>
      </c>
      <c r="BX147" s="658">
        <f>I147/4</f>
        <v>25.5</v>
      </c>
      <c r="BY147" s="658">
        <f>I147/4</f>
        <v>25.5</v>
      </c>
      <c r="BZ147" s="658">
        <f>I147/4</f>
        <v>25.5</v>
      </c>
      <c r="CA147" s="658">
        <f>I147/4</f>
        <v>25.5</v>
      </c>
      <c r="CB147" s="644">
        <f t="shared" si="81"/>
        <v>102</v>
      </c>
      <c r="CC147" s="658"/>
      <c r="CD147" s="644">
        <f t="shared" si="65"/>
        <v>102</v>
      </c>
      <c r="CE147" s="644">
        <f t="shared" si="56"/>
        <v>0</v>
      </c>
    </row>
    <row r="148" s="338" customFormat="1" ht="40" customHeight="1" spans="1:83">
      <c r="A148" s="632">
        <v>45719</v>
      </c>
      <c r="B148" s="659" t="s">
        <v>900</v>
      </c>
      <c r="C148" s="634" t="s">
        <v>901</v>
      </c>
      <c r="D148" s="635">
        <v>4500158989</v>
      </c>
      <c r="E148" s="659"/>
      <c r="F148" s="636" t="s">
        <v>902</v>
      </c>
      <c r="G148" s="637" t="s">
        <v>111</v>
      </c>
      <c r="H148" s="637" t="s">
        <v>99</v>
      </c>
      <c r="I148" s="638">
        <v>1518</v>
      </c>
      <c r="J148" s="638">
        <v>0</v>
      </c>
      <c r="K148" s="639">
        <v>22</v>
      </c>
      <c r="L148" s="639">
        <f t="shared" si="46"/>
        <v>69</v>
      </c>
      <c r="M148" s="641">
        <v>45772</v>
      </c>
      <c r="N148" s="641">
        <v>45768</v>
      </c>
      <c r="O148" s="641"/>
      <c r="P148" s="642" t="s">
        <v>100</v>
      </c>
      <c r="Q148" s="643" t="s">
        <v>903</v>
      </c>
      <c r="R148" s="642" t="s">
        <v>797</v>
      </c>
      <c r="S148" s="642"/>
      <c r="T148" s="642"/>
      <c r="U148" s="642" t="s">
        <v>904</v>
      </c>
      <c r="V148" s="642"/>
      <c r="W148" s="645"/>
      <c r="X148" s="647" t="s">
        <v>905</v>
      </c>
      <c r="Y148" s="646" t="s">
        <v>906</v>
      </c>
      <c r="Z148" s="683">
        <v>2.7684</v>
      </c>
      <c r="AA148" s="650">
        <f t="shared" si="82"/>
        <v>4202.4312</v>
      </c>
      <c r="AB148" s="649">
        <v>1518</v>
      </c>
      <c r="AC148" s="649">
        <f t="shared" si="68"/>
        <v>0</v>
      </c>
      <c r="AD148" s="650" t="s">
        <v>106</v>
      </c>
      <c r="AE148" s="661" t="s">
        <v>111</v>
      </c>
      <c r="AF148" s="646" t="s">
        <v>107</v>
      </c>
      <c r="AG148" s="652" t="s">
        <v>43</v>
      </c>
      <c r="AH148" s="646" t="s">
        <v>907</v>
      </c>
      <c r="AI148" s="649"/>
      <c r="AJ148" s="649"/>
      <c r="AK148" s="649"/>
      <c r="AL148" s="652">
        <f>I148</f>
        <v>1518</v>
      </c>
      <c r="AM148" s="652"/>
      <c r="AN148" s="649"/>
      <c r="AO148" s="649"/>
      <c r="AP148" s="649"/>
      <c r="AQ148" s="653"/>
      <c r="AR148" s="649"/>
      <c r="AS148" s="649"/>
      <c r="AT148" s="652">
        <f t="shared" si="80"/>
        <v>1518</v>
      </c>
      <c r="AU148" s="649"/>
      <c r="AV148" s="654"/>
      <c r="AW148" s="652"/>
      <c r="AX148" s="652">
        <f>I148/11</f>
        <v>138</v>
      </c>
      <c r="AY148" s="652"/>
      <c r="AZ148" s="654"/>
      <c r="BA148" s="652"/>
      <c r="BB148" s="652"/>
      <c r="BC148" s="654"/>
      <c r="BD148" s="654"/>
      <c r="BE148" s="654"/>
      <c r="BF148" s="654"/>
      <c r="BG148" s="654"/>
      <c r="BH148" s="654"/>
      <c r="BI148" s="654"/>
      <c r="BJ148" s="654"/>
      <c r="BK148" s="654"/>
      <c r="BL148" s="654"/>
      <c r="BM148" s="654"/>
      <c r="BN148" s="654"/>
      <c r="BO148" s="654"/>
      <c r="BP148" s="654"/>
      <c r="BQ148" s="654"/>
      <c r="BR148" s="654"/>
      <c r="BS148" s="654"/>
      <c r="BT148" s="654"/>
      <c r="BU148" s="654"/>
      <c r="BV148" s="654"/>
      <c r="BW148" s="645" t="s">
        <v>109</v>
      </c>
      <c r="BX148" s="658">
        <f>I148/22*5</f>
        <v>345</v>
      </c>
      <c r="BY148" s="658">
        <f>I148/22*6</f>
        <v>414</v>
      </c>
      <c r="BZ148" s="658">
        <f>I148/22*6</f>
        <v>414</v>
      </c>
      <c r="CA148" s="658">
        <f>I148/22*5</f>
        <v>345</v>
      </c>
      <c r="CB148" s="644">
        <f t="shared" si="81"/>
        <v>1518</v>
      </c>
      <c r="CC148" s="658">
        <f>I148/11</f>
        <v>138</v>
      </c>
      <c r="CD148" s="644">
        <f t="shared" si="65"/>
        <v>1518</v>
      </c>
      <c r="CE148" s="644">
        <f t="shared" si="56"/>
        <v>0</v>
      </c>
    </row>
    <row r="149" s="338" customFormat="1" ht="40" customHeight="1" spans="1:83">
      <c r="A149" s="632">
        <v>45737</v>
      </c>
      <c r="B149" s="659" t="s">
        <v>286</v>
      </c>
      <c r="C149" s="634" t="s">
        <v>214</v>
      </c>
      <c r="D149" s="635">
        <v>4500160963</v>
      </c>
      <c r="E149" s="659" t="s">
        <v>908</v>
      </c>
      <c r="F149" s="636" t="s">
        <v>909</v>
      </c>
      <c r="G149" s="637" t="s">
        <v>241</v>
      </c>
      <c r="H149" s="637" t="s">
        <v>99</v>
      </c>
      <c r="I149" s="638">
        <v>2497</v>
      </c>
      <c r="J149" s="638">
        <v>0</v>
      </c>
      <c r="K149" s="639">
        <v>11</v>
      </c>
      <c r="L149" s="639">
        <f t="shared" si="46"/>
        <v>227</v>
      </c>
      <c r="M149" s="641">
        <v>45775</v>
      </c>
      <c r="N149" s="641">
        <v>45771</v>
      </c>
      <c r="O149" s="641"/>
      <c r="P149" s="642" t="s">
        <v>100</v>
      </c>
      <c r="Q149" s="643" t="s">
        <v>910</v>
      </c>
      <c r="R149" s="642" t="s">
        <v>887</v>
      </c>
      <c r="S149" s="642"/>
      <c r="T149" s="642"/>
      <c r="U149" s="642" t="s">
        <v>113</v>
      </c>
      <c r="V149" s="642"/>
      <c r="W149" s="645"/>
      <c r="X149" s="647" t="s">
        <v>911</v>
      </c>
      <c r="Y149" s="646" t="s">
        <v>289</v>
      </c>
      <c r="Z149" s="648">
        <v>2.789</v>
      </c>
      <c r="AA149" s="650">
        <f t="shared" si="82"/>
        <v>6964.133</v>
      </c>
      <c r="AB149" s="649">
        <v>2497</v>
      </c>
      <c r="AC149" s="649">
        <f t="shared" si="68"/>
        <v>0</v>
      </c>
      <c r="AD149" s="650" t="s">
        <v>113</v>
      </c>
      <c r="AE149" s="637" t="s">
        <v>241</v>
      </c>
      <c r="AF149" s="646" t="s">
        <v>107</v>
      </c>
      <c r="AG149" s="652" t="s">
        <v>43</v>
      </c>
      <c r="AH149" s="646" t="s">
        <v>912</v>
      </c>
      <c r="AI149" s="649"/>
      <c r="AJ149" s="649"/>
      <c r="AK149" s="649"/>
      <c r="AL149" s="652">
        <f>I149</f>
        <v>2497</v>
      </c>
      <c r="AM149" s="652"/>
      <c r="AN149" s="649"/>
      <c r="AO149" s="649"/>
      <c r="AP149" s="649"/>
      <c r="AQ149" s="653"/>
      <c r="AR149" s="649"/>
      <c r="AS149" s="649"/>
      <c r="AT149" s="652">
        <f t="shared" si="80"/>
        <v>2497</v>
      </c>
      <c r="AU149" s="649"/>
      <c r="AV149" s="654"/>
      <c r="AW149" s="652"/>
      <c r="AX149" s="652">
        <f>I149/11</f>
        <v>227</v>
      </c>
      <c r="AY149" s="652"/>
      <c r="AZ149" s="654"/>
      <c r="BA149" s="652"/>
      <c r="BB149" s="652"/>
      <c r="BC149" s="654"/>
      <c r="BD149" s="654"/>
      <c r="BE149" s="652"/>
      <c r="BF149" s="654"/>
      <c r="BG149" s="654"/>
      <c r="BH149" s="654"/>
      <c r="BI149" s="654"/>
      <c r="BJ149" s="654"/>
      <c r="BK149" s="654"/>
      <c r="BL149" s="654"/>
      <c r="BM149" s="654"/>
      <c r="BN149" s="654"/>
      <c r="BO149" s="654"/>
      <c r="BP149" s="654"/>
      <c r="BQ149" s="654"/>
      <c r="BR149" s="654"/>
      <c r="BS149" s="654"/>
      <c r="BT149" s="654"/>
      <c r="BU149" s="654"/>
      <c r="BV149" s="654"/>
      <c r="BW149" s="645" t="s">
        <v>109</v>
      </c>
      <c r="BX149" s="658">
        <f>I149/22*5</f>
        <v>567.5</v>
      </c>
      <c r="BY149" s="658">
        <f>I149/22*6</f>
        <v>681</v>
      </c>
      <c r="BZ149" s="658">
        <f>I149/22*6</f>
        <v>681</v>
      </c>
      <c r="CA149" s="658">
        <f>I149/22*5</f>
        <v>567.5</v>
      </c>
      <c r="CB149" s="644">
        <f t="shared" si="81"/>
        <v>2497</v>
      </c>
      <c r="CC149" s="658">
        <f>I149/11</f>
        <v>227</v>
      </c>
      <c r="CD149" s="644">
        <f t="shared" si="65"/>
        <v>2497</v>
      </c>
      <c r="CE149" s="644">
        <f t="shared" si="56"/>
        <v>0</v>
      </c>
    </row>
    <row r="150" s="338" customFormat="1" ht="40" customHeight="1" spans="1:83">
      <c r="A150" s="632">
        <v>45722</v>
      </c>
      <c r="B150" s="659" t="s">
        <v>128</v>
      </c>
      <c r="C150" s="634" t="s">
        <v>129</v>
      </c>
      <c r="D150" s="635">
        <v>4500159357</v>
      </c>
      <c r="E150" s="659" t="s">
        <v>913</v>
      </c>
      <c r="F150" s="636" t="s">
        <v>914</v>
      </c>
      <c r="G150" s="637" t="s">
        <v>141</v>
      </c>
      <c r="H150" s="637" t="s">
        <v>99</v>
      </c>
      <c r="I150" s="638">
        <v>24</v>
      </c>
      <c r="J150" s="638">
        <v>0</v>
      </c>
      <c r="K150" s="639">
        <v>24</v>
      </c>
      <c r="L150" s="639">
        <f t="shared" si="46"/>
        <v>1</v>
      </c>
      <c r="M150" s="641">
        <v>45776</v>
      </c>
      <c r="N150" s="641">
        <v>45772</v>
      </c>
      <c r="O150" s="641"/>
      <c r="P150" s="642" t="s">
        <v>100</v>
      </c>
      <c r="Q150" s="643" t="s">
        <v>915</v>
      </c>
      <c r="R150" s="642" t="s">
        <v>133</v>
      </c>
      <c r="S150" s="642"/>
      <c r="T150" s="642"/>
      <c r="U150" s="642" t="s">
        <v>916</v>
      </c>
      <c r="V150" s="642" t="s">
        <v>917</v>
      </c>
      <c r="W150" s="645"/>
      <c r="X150" s="647" t="s">
        <v>918</v>
      </c>
      <c r="Y150" s="646" t="s">
        <v>818</v>
      </c>
      <c r="Z150" s="648">
        <v>2.6514</v>
      </c>
      <c r="AA150" s="650">
        <f t="shared" si="82"/>
        <v>63.6336</v>
      </c>
      <c r="AB150" s="649">
        <v>24</v>
      </c>
      <c r="AC150" s="649">
        <f t="shared" si="68"/>
        <v>0</v>
      </c>
      <c r="AD150" s="650" t="s">
        <v>106</v>
      </c>
      <c r="AE150" s="661" t="s">
        <v>142</v>
      </c>
      <c r="AF150" s="646" t="s">
        <v>107</v>
      </c>
      <c r="AG150" s="652" t="s">
        <v>43</v>
      </c>
      <c r="AH150" s="646"/>
      <c r="AI150" s="651"/>
      <c r="AJ150" s="651"/>
      <c r="AK150" s="651"/>
      <c r="AL150" s="649"/>
      <c r="AM150" s="649"/>
      <c r="AN150" s="651"/>
      <c r="AO150" s="649">
        <f>I150</f>
        <v>24</v>
      </c>
      <c r="AP150" s="649"/>
      <c r="AQ150" s="653"/>
      <c r="AR150" s="651"/>
      <c r="AS150" s="651"/>
      <c r="AT150" s="652">
        <f t="shared" si="80"/>
        <v>24</v>
      </c>
      <c r="AU150" s="649"/>
      <c r="AV150" s="654"/>
      <c r="AW150" s="655"/>
      <c r="AX150" s="652"/>
      <c r="AY150" s="652"/>
      <c r="AZ150" s="656"/>
      <c r="BA150" s="652"/>
      <c r="BB150" s="652"/>
      <c r="BC150" s="656"/>
      <c r="BD150" s="656"/>
      <c r="BE150" s="654"/>
      <c r="BF150" s="656"/>
      <c r="BG150" s="654"/>
      <c r="BH150" s="654"/>
      <c r="BI150" s="656"/>
      <c r="BJ150" s="656"/>
      <c r="BK150" s="654"/>
      <c r="BL150" s="654"/>
      <c r="BM150" s="654"/>
      <c r="BN150" s="654"/>
      <c r="BO150" s="654"/>
      <c r="BP150" s="656"/>
      <c r="BQ150" s="654"/>
      <c r="BR150" s="656"/>
      <c r="BS150" s="654"/>
      <c r="BT150" s="654"/>
      <c r="BU150" s="654"/>
      <c r="BV150" s="654"/>
      <c r="BW150" s="645" t="s">
        <v>109</v>
      </c>
      <c r="BX150" s="658"/>
      <c r="BY150" s="658"/>
      <c r="BZ150" s="658">
        <f>I150</f>
        <v>24</v>
      </c>
      <c r="CA150" s="658"/>
      <c r="CB150" s="644">
        <f t="shared" si="81"/>
        <v>24</v>
      </c>
      <c r="CC150" s="658"/>
      <c r="CD150" s="644">
        <f t="shared" si="65"/>
        <v>24</v>
      </c>
      <c r="CE150" s="644">
        <f t="shared" si="56"/>
        <v>0</v>
      </c>
    </row>
    <row r="151" s="338" customFormat="1" ht="40" customHeight="1" spans="1:83">
      <c r="A151" s="632">
        <v>45730</v>
      </c>
      <c r="B151" s="659" t="s">
        <v>919</v>
      </c>
      <c r="C151" s="634" t="s">
        <v>920</v>
      </c>
      <c r="D151" s="635">
        <v>4500160092</v>
      </c>
      <c r="E151" s="659" t="s">
        <v>921</v>
      </c>
      <c r="F151" s="636" t="s">
        <v>922</v>
      </c>
      <c r="G151" s="637" t="s">
        <v>111</v>
      </c>
      <c r="H151" s="637" t="s">
        <v>99</v>
      </c>
      <c r="I151" s="638">
        <v>1100</v>
      </c>
      <c r="J151" s="638">
        <v>0</v>
      </c>
      <c r="K151" s="639">
        <v>22</v>
      </c>
      <c r="L151" s="639">
        <f t="shared" si="46"/>
        <v>50</v>
      </c>
      <c r="M151" s="641">
        <v>45775</v>
      </c>
      <c r="N151" s="641">
        <v>45783</v>
      </c>
      <c r="O151" s="641"/>
      <c r="P151" s="642" t="s">
        <v>100</v>
      </c>
      <c r="Q151" s="643" t="s">
        <v>923</v>
      </c>
      <c r="R151" s="642" t="s">
        <v>924</v>
      </c>
      <c r="S151" s="642"/>
      <c r="T151" s="642"/>
      <c r="U151" s="642" t="s">
        <v>925</v>
      </c>
      <c r="V151" s="642"/>
      <c r="W151" s="645" t="s">
        <v>926</v>
      </c>
      <c r="X151" s="647" t="s">
        <v>927</v>
      </c>
      <c r="Y151" s="646" t="s">
        <v>281</v>
      </c>
      <c r="Z151" s="648">
        <v>2.7445</v>
      </c>
      <c r="AA151" s="650">
        <f t="shared" si="82"/>
        <v>3018.95</v>
      </c>
      <c r="AB151" s="649">
        <v>1100</v>
      </c>
      <c r="AC151" s="649">
        <f t="shared" si="68"/>
        <v>0</v>
      </c>
      <c r="AD151" s="650" t="s">
        <v>106</v>
      </c>
      <c r="AE151" s="661" t="s">
        <v>230</v>
      </c>
      <c r="AF151" s="646" t="s">
        <v>107</v>
      </c>
      <c r="AG151" s="652" t="s">
        <v>43</v>
      </c>
      <c r="AH151" s="646"/>
      <c r="AI151" s="649"/>
      <c r="AJ151" s="649"/>
      <c r="AK151" s="649"/>
      <c r="AL151" s="649"/>
      <c r="AM151" s="649"/>
      <c r="AN151" s="649"/>
      <c r="AO151" s="649">
        <f>I151</f>
        <v>1100</v>
      </c>
      <c r="AP151" s="649"/>
      <c r="AQ151" s="653"/>
      <c r="AR151" s="649"/>
      <c r="AS151" s="649"/>
      <c r="AT151" s="652">
        <f t="shared" si="80"/>
        <v>1100</v>
      </c>
      <c r="AU151" s="649"/>
      <c r="AV151" s="654"/>
      <c r="AW151" s="652"/>
      <c r="AX151" s="652"/>
      <c r="AY151" s="652"/>
      <c r="AZ151" s="654"/>
      <c r="BA151" s="652">
        <f>I151/11</f>
        <v>100</v>
      </c>
      <c r="BB151" s="652"/>
      <c r="BC151" s="654"/>
      <c r="BD151" s="654"/>
      <c r="BE151" s="654"/>
      <c r="BF151" s="654"/>
      <c r="BG151" s="654"/>
      <c r="BH151" s="654"/>
      <c r="BI151" s="654"/>
      <c r="BJ151" s="654"/>
      <c r="BK151" s="654"/>
      <c r="BL151" s="654"/>
      <c r="BM151" s="654"/>
      <c r="BN151" s="654"/>
      <c r="BO151" s="654"/>
      <c r="BP151" s="654"/>
      <c r="BQ151" s="654"/>
      <c r="BR151" s="654"/>
      <c r="BS151" s="654"/>
      <c r="BT151" s="654"/>
      <c r="BU151" s="654"/>
      <c r="BV151" s="654"/>
      <c r="BW151" s="645" t="s">
        <v>109</v>
      </c>
      <c r="BX151" s="658">
        <f>I151/22*5</f>
        <v>250</v>
      </c>
      <c r="BY151" s="658">
        <f>I151/22*6</f>
        <v>300</v>
      </c>
      <c r="BZ151" s="658">
        <f>I151/22*6</f>
        <v>300</v>
      </c>
      <c r="CA151" s="658">
        <f>I151/22*5</f>
        <v>250</v>
      </c>
      <c r="CB151" s="644">
        <f t="shared" si="81"/>
        <v>1100</v>
      </c>
      <c r="CC151" s="658">
        <f>I151/11</f>
        <v>100</v>
      </c>
      <c r="CD151" s="644">
        <f t="shared" si="65"/>
        <v>1100</v>
      </c>
      <c r="CE151" s="644">
        <f t="shared" si="56"/>
        <v>0</v>
      </c>
    </row>
    <row r="152" s="338" customFormat="1" ht="40" customHeight="1" spans="1:83">
      <c r="A152" s="632">
        <v>45754</v>
      </c>
      <c r="B152" s="659" t="s">
        <v>928</v>
      </c>
      <c r="C152" s="634" t="s">
        <v>590</v>
      </c>
      <c r="D152" s="635">
        <v>4500162346</v>
      </c>
      <c r="E152" s="659">
        <v>5200006527</v>
      </c>
      <c r="F152" s="636" t="s">
        <v>929</v>
      </c>
      <c r="G152" s="637" t="s">
        <v>774</v>
      </c>
      <c r="H152" s="637" t="s">
        <v>99</v>
      </c>
      <c r="I152" s="638">
        <v>3784</v>
      </c>
      <c r="J152" s="638">
        <v>0</v>
      </c>
      <c r="K152" s="639">
        <v>11</v>
      </c>
      <c r="L152" s="639">
        <f t="shared" si="46"/>
        <v>344</v>
      </c>
      <c r="M152" s="641">
        <v>45783</v>
      </c>
      <c r="N152" s="641">
        <v>45779</v>
      </c>
      <c r="O152" s="641"/>
      <c r="P152" s="642" t="s">
        <v>100</v>
      </c>
      <c r="Q152" s="643" t="s">
        <v>903</v>
      </c>
      <c r="R152" s="642" t="s">
        <v>930</v>
      </c>
      <c r="S152" s="642"/>
      <c r="T152" s="642"/>
      <c r="U152" s="642" t="s">
        <v>931</v>
      </c>
      <c r="V152" s="642"/>
      <c r="W152" s="642" t="s">
        <v>932</v>
      </c>
      <c r="X152" s="647" t="s">
        <v>933</v>
      </c>
      <c r="Y152" s="646" t="s">
        <v>934</v>
      </c>
      <c r="Z152" s="648">
        <v>2.7874</v>
      </c>
      <c r="AA152" s="650">
        <f t="shared" si="82"/>
        <v>10547.5216</v>
      </c>
      <c r="AB152" s="649">
        <v>3784</v>
      </c>
      <c r="AC152" s="649">
        <f t="shared" si="68"/>
        <v>0</v>
      </c>
      <c r="AD152" s="650" t="s">
        <v>106</v>
      </c>
      <c r="AE152" s="637" t="s">
        <v>935</v>
      </c>
      <c r="AF152" s="646" t="s">
        <v>107</v>
      </c>
      <c r="AG152" s="652" t="s">
        <v>43</v>
      </c>
      <c r="AH152" s="646" t="s">
        <v>936</v>
      </c>
      <c r="AI152" s="649"/>
      <c r="AJ152" s="649"/>
      <c r="AK152" s="649"/>
      <c r="AL152" s="649"/>
      <c r="AM152" s="649"/>
      <c r="AN152" s="649"/>
      <c r="AO152" s="649">
        <f>I152</f>
        <v>3784</v>
      </c>
      <c r="AP152" s="649"/>
      <c r="AQ152" s="653"/>
      <c r="AR152" s="649"/>
      <c r="AS152" s="649"/>
      <c r="AT152" s="649"/>
      <c r="AU152" s="649"/>
      <c r="AV152" s="652">
        <f>I152</f>
        <v>3784</v>
      </c>
      <c r="AW152" s="652"/>
      <c r="AX152" s="652"/>
      <c r="AY152" s="652"/>
      <c r="AZ152" s="654"/>
      <c r="BA152" s="652">
        <f>I152/11</f>
        <v>344</v>
      </c>
      <c r="BB152" s="652"/>
      <c r="BC152" s="654"/>
      <c r="BD152" s="654"/>
      <c r="BE152" s="654"/>
      <c r="BF152" s="654"/>
      <c r="BG152" s="654"/>
      <c r="BH152" s="654"/>
      <c r="BI152" s="654"/>
      <c r="BJ152" s="654"/>
      <c r="BK152" s="652"/>
      <c r="BL152" s="652"/>
      <c r="BM152" s="654"/>
      <c r="BN152" s="654"/>
      <c r="BO152" s="654"/>
      <c r="BP152" s="654"/>
      <c r="BQ152" s="654"/>
      <c r="BR152" s="654"/>
      <c r="BS152" s="654"/>
      <c r="BT152" s="654"/>
      <c r="BU152" s="654"/>
      <c r="BV152" s="652"/>
      <c r="BW152" s="645" t="s">
        <v>109</v>
      </c>
      <c r="BX152" s="658">
        <f>I152/22*5</f>
        <v>860</v>
      </c>
      <c r="BY152" s="658">
        <f>I152/22*6</f>
        <v>1032</v>
      </c>
      <c r="BZ152" s="658">
        <f>I152/22*6</f>
        <v>1032</v>
      </c>
      <c r="CA152" s="658">
        <f>I152/22*5</f>
        <v>860</v>
      </c>
      <c r="CB152" s="644">
        <f t="shared" si="81"/>
        <v>3784</v>
      </c>
      <c r="CC152" s="658">
        <f>I152/11</f>
        <v>344</v>
      </c>
      <c r="CD152" s="644">
        <f t="shared" si="65"/>
        <v>3784</v>
      </c>
      <c r="CE152" s="644">
        <f t="shared" si="56"/>
        <v>0</v>
      </c>
    </row>
    <row r="153" s="338" customFormat="1" ht="40" customHeight="1" spans="1:83">
      <c r="A153" s="632">
        <v>45715</v>
      </c>
      <c r="B153" s="659" t="s">
        <v>937</v>
      </c>
      <c r="C153" s="634" t="s">
        <v>214</v>
      </c>
      <c r="D153" s="635">
        <v>4500158761</v>
      </c>
      <c r="E153" s="659" t="s">
        <v>938</v>
      </c>
      <c r="F153" s="636" t="s">
        <v>939</v>
      </c>
      <c r="G153" s="637" t="s">
        <v>98</v>
      </c>
      <c r="H153" s="637" t="s">
        <v>99</v>
      </c>
      <c r="I153" s="638">
        <v>2016</v>
      </c>
      <c r="J153" s="638">
        <v>0</v>
      </c>
      <c r="K153" s="639">
        <v>24</v>
      </c>
      <c r="L153" s="639">
        <f t="shared" si="46"/>
        <v>84</v>
      </c>
      <c r="M153" s="641">
        <v>45784</v>
      </c>
      <c r="N153" s="641">
        <v>45780</v>
      </c>
      <c r="O153" s="641" t="s">
        <v>940</v>
      </c>
      <c r="P153" s="642" t="s">
        <v>100</v>
      </c>
      <c r="Q153" s="643"/>
      <c r="R153" s="642" t="s">
        <v>797</v>
      </c>
      <c r="S153" s="642"/>
      <c r="T153" s="642"/>
      <c r="U153" s="642" t="s">
        <v>941</v>
      </c>
      <c r="V153" s="642"/>
      <c r="W153" s="645"/>
      <c r="X153" s="647" t="s">
        <v>942</v>
      </c>
      <c r="Y153" s="646" t="s">
        <v>943</v>
      </c>
      <c r="Z153" s="648">
        <v>2.5459</v>
      </c>
      <c r="AA153" s="650">
        <f t="shared" si="82"/>
        <v>5132.5344</v>
      </c>
      <c r="AB153" s="649">
        <v>2016</v>
      </c>
      <c r="AC153" s="649">
        <f t="shared" si="68"/>
        <v>0</v>
      </c>
      <c r="AD153" s="650" t="s">
        <v>106</v>
      </c>
      <c r="AE153" s="637" t="s">
        <v>98</v>
      </c>
      <c r="AF153" s="646" t="s">
        <v>107</v>
      </c>
      <c r="AG153" s="652" t="s">
        <v>43</v>
      </c>
      <c r="AH153" s="646"/>
      <c r="AI153" s="649"/>
      <c r="AJ153" s="649"/>
      <c r="AK153" s="649"/>
      <c r="AL153" s="652">
        <f>I153</f>
        <v>2016</v>
      </c>
      <c r="AM153" s="652"/>
      <c r="AN153" s="649"/>
      <c r="AO153" s="649"/>
      <c r="AP153" s="649"/>
      <c r="AQ153" s="653"/>
      <c r="AR153" s="649"/>
      <c r="AS153" s="649"/>
      <c r="AT153" s="652">
        <f t="shared" ref="AT153:AT159" si="83">I153</f>
        <v>2016</v>
      </c>
      <c r="AU153" s="649"/>
      <c r="AV153" s="654"/>
      <c r="AW153" s="652"/>
      <c r="AX153" s="652"/>
      <c r="AY153" s="652"/>
      <c r="AZ153" s="654"/>
      <c r="BA153" s="652"/>
      <c r="BB153" s="652"/>
      <c r="BC153" s="654"/>
      <c r="BD153" s="654"/>
      <c r="BE153" s="654"/>
      <c r="BF153" s="654"/>
      <c r="BG153" s="654"/>
      <c r="BH153" s="654"/>
      <c r="BI153" s="654"/>
      <c r="BJ153" s="654"/>
      <c r="BK153" s="652"/>
      <c r="BL153" s="652"/>
      <c r="BM153" s="654"/>
      <c r="BN153" s="654"/>
      <c r="BO153" s="654"/>
      <c r="BP153" s="654"/>
      <c r="BQ153" s="654"/>
      <c r="BR153" s="654"/>
      <c r="BS153" s="654"/>
      <c r="BT153" s="654"/>
      <c r="BU153" s="654"/>
      <c r="BV153" s="654"/>
      <c r="BW153" s="645" t="s">
        <v>109</v>
      </c>
      <c r="BX153" s="658">
        <f>I153/4</f>
        <v>504</v>
      </c>
      <c r="BY153" s="658">
        <f>I153/4</f>
        <v>504</v>
      </c>
      <c r="BZ153" s="658">
        <f>I153/4</f>
        <v>504</v>
      </c>
      <c r="CA153" s="658">
        <f>I153/4</f>
        <v>504</v>
      </c>
      <c r="CB153" s="644">
        <f t="shared" si="81"/>
        <v>2016</v>
      </c>
      <c r="CC153" s="658"/>
      <c r="CD153" s="644">
        <f t="shared" si="65"/>
        <v>2016</v>
      </c>
      <c r="CE153" s="644">
        <f t="shared" si="56"/>
        <v>0</v>
      </c>
    </row>
    <row r="154" s="338" customFormat="1" ht="40" customHeight="1" spans="1:83">
      <c r="A154" s="632">
        <v>45743</v>
      </c>
      <c r="B154" s="659" t="s">
        <v>865</v>
      </c>
      <c r="C154" s="634" t="s">
        <v>144</v>
      </c>
      <c r="D154" s="635">
        <v>4500161489</v>
      </c>
      <c r="E154" s="659">
        <v>4400474093</v>
      </c>
      <c r="F154" s="636" t="s">
        <v>944</v>
      </c>
      <c r="G154" s="637" t="s">
        <v>111</v>
      </c>
      <c r="H154" s="637" t="s">
        <v>99</v>
      </c>
      <c r="I154" s="638">
        <v>2002</v>
      </c>
      <c r="J154" s="638">
        <v>0</v>
      </c>
      <c r="K154" s="639">
        <v>22</v>
      </c>
      <c r="L154" s="639">
        <f t="shared" si="46"/>
        <v>91</v>
      </c>
      <c r="M154" s="641">
        <v>45786</v>
      </c>
      <c r="N154" s="641">
        <v>45782</v>
      </c>
      <c r="O154" s="641"/>
      <c r="P154" s="642" t="s">
        <v>100</v>
      </c>
      <c r="Q154" s="643" t="s">
        <v>945</v>
      </c>
      <c r="R154" s="642" t="s">
        <v>946</v>
      </c>
      <c r="S154" s="642"/>
      <c r="T154" s="642"/>
      <c r="U154" s="642" t="s">
        <v>947</v>
      </c>
      <c r="V154" s="642"/>
      <c r="W154" s="645"/>
      <c r="X154" s="647" t="s">
        <v>948</v>
      </c>
      <c r="Y154" s="646" t="s">
        <v>202</v>
      </c>
      <c r="Z154" s="648">
        <v>2.7352</v>
      </c>
      <c r="AA154" s="650">
        <f t="shared" si="82"/>
        <v>5475.8704</v>
      </c>
      <c r="AB154" s="649">
        <f>1056+946</f>
        <v>2002</v>
      </c>
      <c r="AC154" s="649">
        <f t="shared" si="68"/>
        <v>0</v>
      </c>
      <c r="AD154" s="650" t="s">
        <v>106</v>
      </c>
      <c r="AE154" s="661" t="s">
        <v>230</v>
      </c>
      <c r="AF154" s="646" t="s">
        <v>107</v>
      </c>
      <c r="AG154" s="652" t="s">
        <v>43</v>
      </c>
      <c r="AH154" s="646"/>
      <c r="AI154" s="649"/>
      <c r="AJ154" s="649"/>
      <c r="AK154" s="649"/>
      <c r="AL154" s="649"/>
      <c r="AM154" s="649"/>
      <c r="AN154" s="649"/>
      <c r="AO154" s="649">
        <f>I154</f>
        <v>2002</v>
      </c>
      <c r="AP154" s="649"/>
      <c r="AQ154" s="653"/>
      <c r="AR154" s="649"/>
      <c r="AS154" s="649"/>
      <c r="AT154" s="652">
        <f t="shared" si="83"/>
        <v>2002</v>
      </c>
      <c r="AU154" s="649"/>
      <c r="AV154" s="654"/>
      <c r="AW154" s="652"/>
      <c r="AX154" s="652"/>
      <c r="AY154" s="652"/>
      <c r="AZ154" s="654"/>
      <c r="BA154" s="652">
        <f>I154/11</f>
        <v>182</v>
      </c>
      <c r="BB154" s="652"/>
      <c r="BC154" s="654"/>
      <c r="BD154" s="654"/>
      <c r="BE154" s="654"/>
      <c r="BF154" s="654"/>
      <c r="BG154" s="654"/>
      <c r="BH154" s="654"/>
      <c r="BI154" s="654"/>
      <c r="BJ154" s="654"/>
      <c r="BK154" s="652"/>
      <c r="BL154" s="652"/>
      <c r="BM154" s="654"/>
      <c r="BN154" s="654"/>
      <c r="BO154" s="654"/>
      <c r="BP154" s="654"/>
      <c r="BQ154" s="654"/>
      <c r="BR154" s="654"/>
      <c r="BS154" s="654"/>
      <c r="BT154" s="654"/>
      <c r="BU154" s="654"/>
      <c r="BV154" s="652"/>
      <c r="BW154" s="645" t="s">
        <v>109</v>
      </c>
      <c r="BX154" s="658">
        <f>I154/22*5</f>
        <v>455</v>
      </c>
      <c r="BY154" s="658">
        <f>I154/22*6</f>
        <v>546</v>
      </c>
      <c r="BZ154" s="658">
        <f>I154/22*6</f>
        <v>546</v>
      </c>
      <c r="CA154" s="658">
        <f>I154/22*5</f>
        <v>455</v>
      </c>
      <c r="CB154" s="644">
        <f t="shared" si="81"/>
        <v>2002</v>
      </c>
      <c r="CC154" s="658">
        <f>I154/11</f>
        <v>182</v>
      </c>
      <c r="CD154" s="644">
        <f t="shared" si="65"/>
        <v>2002</v>
      </c>
      <c r="CE154" s="644">
        <f t="shared" si="56"/>
        <v>0</v>
      </c>
    </row>
    <row r="155" s="338" customFormat="1" ht="40" customHeight="1" spans="1:83">
      <c r="A155" s="632">
        <v>45744</v>
      </c>
      <c r="B155" s="659" t="s">
        <v>949</v>
      </c>
      <c r="C155" s="634" t="s">
        <v>380</v>
      </c>
      <c r="D155" s="635">
        <v>4500161792</v>
      </c>
      <c r="E155" s="659" t="s">
        <v>950</v>
      </c>
      <c r="F155" s="636" t="s">
        <v>951</v>
      </c>
      <c r="G155" s="637" t="s">
        <v>952</v>
      </c>
      <c r="H155" s="637" t="s">
        <v>99</v>
      </c>
      <c r="I155" s="638">
        <v>506</v>
      </c>
      <c r="J155" s="638">
        <v>11</v>
      </c>
      <c r="K155" s="639">
        <v>22</v>
      </c>
      <c r="L155" s="639">
        <f t="shared" si="46"/>
        <v>23</v>
      </c>
      <c r="M155" s="641">
        <v>45789</v>
      </c>
      <c r="N155" s="641">
        <v>45785</v>
      </c>
      <c r="O155" s="641"/>
      <c r="P155" s="642" t="s">
        <v>100</v>
      </c>
      <c r="Q155" s="643" t="s">
        <v>923</v>
      </c>
      <c r="R155" s="642" t="s">
        <v>953</v>
      </c>
      <c r="S155" s="642"/>
      <c r="T155" s="642"/>
      <c r="U155" s="642" t="s">
        <v>113</v>
      </c>
      <c r="V155" s="642"/>
      <c r="W155" s="645"/>
      <c r="X155" s="647" t="s">
        <v>954</v>
      </c>
      <c r="Y155" s="646" t="s">
        <v>955</v>
      </c>
      <c r="Z155" s="648">
        <v>2.8552</v>
      </c>
      <c r="AA155" s="650">
        <f t="shared" si="82"/>
        <v>1444.7312</v>
      </c>
      <c r="AB155" s="649">
        <v>506</v>
      </c>
      <c r="AC155" s="649">
        <f t="shared" si="68"/>
        <v>0</v>
      </c>
      <c r="AD155" s="650" t="s">
        <v>113</v>
      </c>
      <c r="AE155" s="637" t="s">
        <v>952</v>
      </c>
      <c r="AF155" s="646" t="s">
        <v>107</v>
      </c>
      <c r="AG155" s="652" t="s">
        <v>43</v>
      </c>
      <c r="AH155" s="646"/>
      <c r="AI155" s="649"/>
      <c r="AJ155" s="649"/>
      <c r="AK155" s="649"/>
      <c r="AL155" s="652">
        <f>I155</f>
        <v>506</v>
      </c>
      <c r="AM155" s="652"/>
      <c r="AN155" s="649"/>
      <c r="AO155" s="649"/>
      <c r="AP155" s="649"/>
      <c r="AQ155" s="653"/>
      <c r="AR155" s="649"/>
      <c r="AS155" s="649"/>
      <c r="AT155" s="652">
        <f t="shared" si="83"/>
        <v>506</v>
      </c>
      <c r="AU155" s="649"/>
      <c r="AV155" s="654"/>
      <c r="AW155" s="652"/>
      <c r="AX155" s="652">
        <f>I155/11</f>
        <v>46</v>
      </c>
      <c r="AY155" s="652"/>
      <c r="AZ155" s="654"/>
      <c r="BA155" s="652"/>
      <c r="BB155" s="652"/>
      <c r="BC155" s="654"/>
      <c r="BD155" s="654"/>
      <c r="BE155" s="652"/>
      <c r="BF155" s="654"/>
      <c r="BG155" s="654"/>
      <c r="BH155" s="654"/>
      <c r="BI155" s="654"/>
      <c r="BJ155" s="654"/>
      <c r="BK155" s="654"/>
      <c r="BL155" s="654"/>
      <c r="BM155" s="654"/>
      <c r="BN155" s="654"/>
      <c r="BO155" s="654"/>
      <c r="BP155" s="654"/>
      <c r="BQ155" s="654"/>
      <c r="BR155" s="654"/>
      <c r="BS155" s="654"/>
      <c r="BT155" s="654"/>
      <c r="BU155" s="654"/>
      <c r="BV155" s="654"/>
      <c r="BW155" s="645" t="s">
        <v>109</v>
      </c>
      <c r="BX155" s="658">
        <f>I155/22*5</f>
        <v>115</v>
      </c>
      <c r="BY155" s="658">
        <f>I155/22*6</f>
        <v>138</v>
      </c>
      <c r="BZ155" s="658">
        <f>I155/22*6</f>
        <v>138</v>
      </c>
      <c r="CA155" s="658">
        <f>I155/22*5</f>
        <v>115</v>
      </c>
      <c r="CB155" s="644">
        <f t="shared" si="81"/>
        <v>506</v>
      </c>
      <c r="CC155" s="658">
        <f>I155/11</f>
        <v>46</v>
      </c>
      <c r="CD155" s="644">
        <f t="shared" si="65"/>
        <v>506</v>
      </c>
      <c r="CE155" s="644">
        <f t="shared" si="56"/>
        <v>0</v>
      </c>
    </row>
    <row r="156" s="338" customFormat="1" ht="40" customHeight="1" spans="1:83">
      <c r="A156" s="632">
        <v>45754</v>
      </c>
      <c r="B156" s="659" t="s">
        <v>956</v>
      </c>
      <c r="C156" s="634" t="s">
        <v>214</v>
      </c>
      <c r="D156" s="635">
        <v>4500162669</v>
      </c>
      <c r="E156" s="659">
        <v>217111479</v>
      </c>
      <c r="F156" s="636" t="s">
        <v>957</v>
      </c>
      <c r="G156" s="637" t="s">
        <v>241</v>
      </c>
      <c r="H156" s="637" t="s">
        <v>99</v>
      </c>
      <c r="I156" s="638">
        <v>990</v>
      </c>
      <c r="J156" s="638">
        <v>0</v>
      </c>
      <c r="K156" s="639">
        <v>11</v>
      </c>
      <c r="L156" s="639">
        <f t="shared" si="46"/>
        <v>90</v>
      </c>
      <c r="M156" s="641">
        <v>45791</v>
      </c>
      <c r="N156" s="641">
        <v>45787</v>
      </c>
      <c r="O156" s="641"/>
      <c r="P156" s="642" t="s">
        <v>100</v>
      </c>
      <c r="Q156" s="643" t="s">
        <v>367</v>
      </c>
      <c r="R156" s="642" t="s">
        <v>958</v>
      </c>
      <c r="S156" s="642"/>
      <c r="T156" s="642"/>
      <c r="U156" s="642" t="s">
        <v>113</v>
      </c>
      <c r="V156" s="642"/>
      <c r="W156" s="645"/>
      <c r="X156" s="647" t="s">
        <v>959</v>
      </c>
      <c r="Y156" s="646" t="s">
        <v>960</v>
      </c>
      <c r="Z156" s="648">
        <v>2.6944</v>
      </c>
      <c r="AA156" s="650">
        <f t="shared" si="82"/>
        <v>2667.456</v>
      </c>
      <c r="AB156" s="649">
        <v>990</v>
      </c>
      <c r="AC156" s="649">
        <f t="shared" si="68"/>
        <v>0</v>
      </c>
      <c r="AD156" s="650" t="s">
        <v>113</v>
      </c>
      <c r="AE156" s="637" t="s">
        <v>241</v>
      </c>
      <c r="AF156" s="646" t="s">
        <v>107</v>
      </c>
      <c r="AG156" s="652" t="s">
        <v>43</v>
      </c>
      <c r="AH156" s="646" t="s">
        <v>961</v>
      </c>
      <c r="AI156" s="649"/>
      <c r="AJ156" s="649"/>
      <c r="AK156" s="649"/>
      <c r="AL156" s="652">
        <f>I156</f>
        <v>990</v>
      </c>
      <c r="AM156" s="652"/>
      <c r="AN156" s="649"/>
      <c r="AO156" s="649"/>
      <c r="AP156" s="649"/>
      <c r="AQ156" s="653"/>
      <c r="AR156" s="649"/>
      <c r="AS156" s="649"/>
      <c r="AT156" s="652">
        <f t="shared" si="83"/>
        <v>990</v>
      </c>
      <c r="AU156" s="649"/>
      <c r="AV156" s="654"/>
      <c r="AW156" s="652"/>
      <c r="AX156" s="652">
        <f>I156/11</f>
        <v>90</v>
      </c>
      <c r="AY156" s="652"/>
      <c r="AZ156" s="654"/>
      <c r="BA156" s="652"/>
      <c r="BB156" s="652"/>
      <c r="BC156" s="654"/>
      <c r="BD156" s="654"/>
      <c r="BE156" s="652"/>
      <c r="BF156" s="654"/>
      <c r="BG156" s="654"/>
      <c r="BH156" s="654"/>
      <c r="BI156" s="654"/>
      <c r="BJ156" s="654"/>
      <c r="BK156" s="654"/>
      <c r="BL156" s="654"/>
      <c r="BM156" s="654"/>
      <c r="BN156" s="654"/>
      <c r="BO156" s="654"/>
      <c r="BP156" s="654"/>
      <c r="BQ156" s="654"/>
      <c r="BR156" s="654"/>
      <c r="BS156" s="654"/>
      <c r="BT156" s="654"/>
      <c r="BU156" s="654"/>
      <c r="BV156" s="654"/>
      <c r="BW156" s="645" t="s">
        <v>109</v>
      </c>
      <c r="BX156" s="658">
        <f>I156/22*5</f>
        <v>225</v>
      </c>
      <c r="BY156" s="658">
        <f>I156/22*6</f>
        <v>270</v>
      </c>
      <c r="BZ156" s="658">
        <f>I156/22*6</f>
        <v>270</v>
      </c>
      <c r="CA156" s="658">
        <f>I156/22*5</f>
        <v>225</v>
      </c>
      <c r="CB156" s="644">
        <f t="shared" si="81"/>
        <v>990</v>
      </c>
      <c r="CC156" s="658">
        <f>I156/11</f>
        <v>90</v>
      </c>
      <c r="CD156" s="644">
        <f t="shared" si="65"/>
        <v>990</v>
      </c>
      <c r="CE156" s="644">
        <f t="shared" si="56"/>
        <v>0</v>
      </c>
    </row>
    <row r="157" s="338" customFormat="1" ht="45" customHeight="1" spans="1:83">
      <c r="A157" s="632">
        <v>45754</v>
      </c>
      <c r="B157" s="659" t="s">
        <v>956</v>
      </c>
      <c r="C157" s="634" t="s">
        <v>214</v>
      </c>
      <c r="D157" s="635">
        <v>4500162658</v>
      </c>
      <c r="E157" s="659">
        <v>217111438</v>
      </c>
      <c r="F157" s="636" t="s">
        <v>962</v>
      </c>
      <c r="G157" s="637" t="s">
        <v>241</v>
      </c>
      <c r="H157" s="637" t="s">
        <v>99</v>
      </c>
      <c r="I157" s="638">
        <v>1826</v>
      </c>
      <c r="J157" s="638">
        <v>0</v>
      </c>
      <c r="K157" s="639">
        <v>11</v>
      </c>
      <c r="L157" s="639">
        <f t="shared" si="46"/>
        <v>166</v>
      </c>
      <c r="M157" s="641">
        <v>45791</v>
      </c>
      <c r="N157" s="641">
        <v>45787</v>
      </c>
      <c r="O157" s="641"/>
      <c r="P157" s="642" t="s">
        <v>100</v>
      </c>
      <c r="Q157" s="643" t="s">
        <v>963</v>
      </c>
      <c r="R157" s="642" t="s">
        <v>958</v>
      </c>
      <c r="S157" s="642"/>
      <c r="T157" s="642"/>
      <c r="U157" s="642" t="s">
        <v>113</v>
      </c>
      <c r="V157" s="642"/>
      <c r="W157" s="645"/>
      <c r="X157" s="647" t="s">
        <v>959</v>
      </c>
      <c r="Y157" s="646" t="s">
        <v>960</v>
      </c>
      <c r="Z157" s="648">
        <v>2.6805</v>
      </c>
      <c r="AA157" s="650">
        <f t="shared" si="82"/>
        <v>4894.593</v>
      </c>
      <c r="AB157" s="649">
        <v>1826</v>
      </c>
      <c r="AC157" s="649">
        <f t="shared" si="68"/>
        <v>0</v>
      </c>
      <c r="AD157" s="650" t="s">
        <v>113</v>
      </c>
      <c r="AE157" s="637" t="s">
        <v>241</v>
      </c>
      <c r="AF157" s="646" t="s">
        <v>107</v>
      </c>
      <c r="AG157" s="652" t="s">
        <v>43</v>
      </c>
      <c r="AH157" s="646" t="s">
        <v>964</v>
      </c>
      <c r="AI157" s="649"/>
      <c r="AJ157" s="649"/>
      <c r="AK157" s="649"/>
      <c r="AL157" s="652">
        <f>I157</f>
        <v>1826</v>
      </c>
      <c r="AM157" s="652"/>
      <c r="AN157" s="649"/>
      <c r="AO157" s="649"/>
      <c r="AP157" s="649"/>
      <c r="AQ157" s="653"/>
      <c r="AR157" s="649"/>
      <c r="AS157" s="649"/>
      <c r="AT157" s="652">
        <f t="shared" si="83"/>
        <v>1826</v>
      </c>
      <c r="AU157" s="649"/>
      <c r="AV157" s="654"/>
      <c r="AW157" s="652"/>
      <c r="AX157" s="652">
        <f>I157/11</f>
        <v>166</v>
      </c>
      <c r="AY157" s="652"/>
      <c r="AZ157" s="654"/>
      <c r="BA157" s="652"/>
      <c r="BB157" s="652"/>
      <c r="BC157" s="654"/>
      <c r="BD157" s="654"/>
      <c r="BE157" s="652"/>
      <c r="BF157" s="654"/>
      <c r="BG157" s="654"/>
      <c r="BH157" s="654"/>
      <c r="BI157" s="654"/>
      <c r="BJ157" s="654"/>
      <c r="BK157" s="654"/>
      <c r="BL157" s="654"/>
      <c r="BM157" s="654"/>
      <c r="BN157" s="654"/>
      <c r="BO157" s="654"/>
      <c r="BP157" s="654"/>
      <c r="BQ157" s="654"/>
      <c r="BR157" s="654"/>
      <c r="BS157" s="654"/>
      <c r="BT157" s="654"/>
      <c r="BU157" s="654"/>
      <c r="BV157" s="654"/>
      <c r="BW157" s="645" t="s">
        <v>109</v>
      </c>
      <c r="BX157" s="658">
        <f>I157/22*5</f>
        <v>415</v>
      </c>
      <c r="BY157" s="658">
        <f>I157/22*6</f>
        <v>498</v>
      </c>
      <c r="BZ157" s="658">
        <f>I157/22*6</f>
        <v>498</v>
      </c>
      <c r="CA157" s="658">
        <f>I157/22*5</f>
        <v>415</v>
      </c>
      <c r="CB157" s="644">
        <f t="shared" si="81"/>
        <v>1826</v>
      </c>
      <c r="CC157" s="658">
        <f>I157/11</f>
        <v>166</v>
      </c>
      <c r="CD157" s="644">
        <f t="shared" si="65"/>
        <v>1826</v>
      </c>
      <c r="CE157" s="644">
        <f t="shared" si="56"/>
        <v>0</v>
      </c>
    </row>
    <row r="158" s="338" customFormat="1" ht="40" customHeight="1" spans="1:83">
      <c r="A158" s="632">
        <v>45765</v>
      </c>
      <c r="B158" s="659" t="s">
        <v>94</v>
      </c>
      <c r="C158" s="634" t="s">
        <v>205</v>
      </c>
      <c r="D158" s="635">
        <v>4500164028</v>
      </c>
      <c r="E158" s="659" t="s">
        <v>965</v>
      </c>
      <c r="F158" s="636" t="s">
        <v>966</v>
      </c>
      <c r="G158" s="637" t="s">
        <v>98</v>
      </c>
      <c r="H158" s="637" t="s">
        <v>99</v>
      </c>
      <c r="I158" s="638">
        <v>3600</v>
      </c>
      <c r="J158" s="638">
        <v>0</v>
      </c>
      <c r="K158" s="639">
        <v>24</v>
      </c>
      <c r="L158" s="639">
        <f t="shared" si="46"/>
        <v>150</v>
      </c>
      <c r="M158" s="641">
        <v>45792</v>
      </c>
      <c r="N158" s="641">
        <v>45789</v>
      </c>
      <c r="O158" s="641" t="s">
        <v>967</v>
      </c>
      <c r="P158" s="642" t="s">
        <v>100</v>
      </c>
      <c r="Q158" s="643" t="s">
        <v>968</v>
      </c>
      <c r="R158" s="642" t="s">
        <v>969</v>
      </c>
      <c r="S158" s="642"/>
      <c r="T158" s="642"/>
      <c r="U158" s="642" t="s">
        <v>970</v>
      </c>
      <c r="V158" s="642"/>
      <c r="W158" s="645" t="s">
        <v>210</v>
      </c>
      <c r="X158" s="685" t="s">
        <v>971</v>
      </c>
      <c r="Y158" s="646" t="s">
        <v>972</v>
      </c>
      <c r="Z158" s="648">
        <v>2.4888</v>
      </c>
      <c r="AA158" s="650">
        <f t="shared" si="82"/>
        <v>8959.68</v>
      </c>
      <c r="AB158" s="675">
        <f>912+2688</f>
        <v>3600</v>
      </c>
      <c r="AC158" s="649">
        <f t="shared" si="68"/>
        <v>0</v>
      </c>
      <c r="AD158" s="650" t="s">
        <v>113</v>
      </c>
      <c r="AE158" s="637" t="s">
        <v>98</v>
      </c>
      <c r="AF158" s="646" t="s">
        <v>107</v>
      </c>
      <c r="AG158" s="652"/>
      <c r="AH158" s="646"/>
      <c r="AI158" s="651"/>
      <c r="AJ158" s="651"/>
      <c r="AK158" s="651"/>
      <c r="AL158" s="652">
        <f>I158</f>
        <v>3600</v>
      </c>
      <c r="AM158" s="652"/>
      <c r="AN158" s="651"/>
      <c r="AO158" s="649"/>
      <c r="AP158" s="649"/>
      <c r="AQ158" s="653"/>
      <c r="AR158" s="651"/>
      <c r="AS158" s="651"/>
      <c r="AT158" s="652">
        <f t="shared" si="83"/>
        <v>3600</v>
      </c>
      <c r="AU158" s="649"/>
      <c r="AV158" s="654"/>
      <c r="AW158" s="655"/>
      <c r="AX158" s="652"/>
      <c r="AY158" s="652"/>
      <c r="AZ158" s="656"/>
      <c r="BA158" s="652"/>
      <c r="BB158" s="652"/>
      <c r="BC158" s="656"/>
      <c r="BD158" s="656"/>
      <c r="BE158" s="652"/>
      <c r="BF158" s="656"/>
      <c r="BG158" s="654"/>
      <c r="BH158" s="654"/>
      <c r="BI158" s="656"/>
      <c r="BJ158" s="656"/>
      <c r="BK158" s="654"/>
      <c r="BL158" s="654"/>
      <c r="BM158" s="654"/>
      <c r="BN158" s="654"/>
      <c r="BO158" s="654"/>
      <c r="BP158" s="656"/>
      <c r="BQ158" s="654"/>
      <c r="BR158" s="656"/>
      <c r="BS158" s="654"/>
      <c r="BT158" s="654"/>
      <c r="BU158" s="654"/>
      <c r="BV158" s="654"/>
      <c r="BW158" s="645" t="s">
        <v>109</v>
      </c>
      <c r="BX158" s="658">
        <f>I158/4</f>
        <v>900</v>
      </c>
      <c r="BY158" s="658">
        <f>I158/4</f>
        <v>900</v>
      </c>
      <c r="BZ158" s="658">
        <f>I158/4</f>
        <v>900</v>
      </c>
      <c r="CA158" s="658">
        <f>I158/4</f>
        <v>900</v>
      </c>
      <c r="CB158" s="644">
        <f t="shared" si="81"/>
        <v>3600</v>
      </c>
      <c r="CC158" s="658"/>
      <c r="CD158" s="644">
        <f t="shared" si="65"/>
        <v>3600</v>
      </c>
      <c r="CE158" s="644">
        <f t="shared" si="56"/>
        <v>0</v>
      </c>
    </row>
    <row r="159" s="338" customFormat="1" ht="40" customHeight="1" spans="1:83">
      <c r="A159" s="632">
        <v>45733</v>
      </c>
      <c r="B159" s="659" t="s">
        <v>973</v>
      </c>
      <c r="C159" s="634" t="s">
        <v>214</v>
      </c>
      <c r="D159" s="635">
        <v>4500160416</v>
      </c>
      <c r="E159" s="659">
        <v>70057978</v>
      </c>
      <c r="F159" s="636" t="s">
        <v>974</v>
      </c>
      <c r="G159" s="637" t="s">
        <v>111</v>
      </c>
      <c r="H159" s="637" t="s">
        <v>99</v>
      </c>
      <c r="I159" s="638">
        <v>616</v>
      </c>
      <c r="J159" s="638">
        <v>0</v>
      </c>
      <c r="K159" s="639">
        <v>22</v>
      </c>
      <c r="L159" s="639">
        <f t="shared" si="46"/>
        <v>28</v>
      </c>
      <c r="M159" s="641">
        <v>45783</v>
      </c>
      <c r="N159" s="641">
        <v>45779</v>
      </c>
      <c r="O159" s="642" t="s">
        <v>940</v>
      </c>
      <c r="P159" s="642" t="s">
        <v>100</v>
      </c>
      <c r="Q159" s="643" t="s">
        <v>975</v>
      </c>
      <c r="R159" s="642" t="s">
        <v>976</v>
      </c>
      <c r="S159" s="642"/>
      <c r="T159" s="642"/>
      <c r="U159" s="642" t="s">
        <v>113</v>
      </c>
      <c r="V159" s="642" t="s">
        <v>977</v>
      </c>
      <c r="W159" s="645"/>
      <c r="X159" s="647" t="s">
        <v>978</v>
      </c>
      <c r="Y159" s="646" t="s">
        <v>979</v>
      </c>
      <c r="Z159" s="648">
        <v>2.7583</v>
      </c>
      <c r="AA159" s="650">
        <f t="shared" si="82"/>
        <v>1699.1128</v>
      </c>
      <c r="AB159" s="649">
        <v>616</v>
      </c>
      <c r="AC159" s="649">
        <f t="shared" si="68"/>
        <v>0</v>
      </c>
      <c r="AD159" s="650" t="s">
        <v>106</v>
      </c>
      <c r="AE159" s="661" t="s">
        <v>111</v>
      </c>
      <c r="AF159" s="646" t="s">
        <v>107</v>
      </c>
      <c r="AG159" s="652" t="s">
        <v>43</v>
      </c>
      <c r="AH159" s="646" t="s">
        <v>980</v>
      </c>
      <c r="AI159" s="649"/>
      <c r="AJ159" s="649"/>
      <c r="AK159" s="649"/>
      <c r="AL159" s="652">
        <f>I159</f>
        <v>616</v>
      </c>
      <c r="AM159" s="652"/>
      <c r="AN159" s="649"/>
      <c r="AO159" s="649"/>
      <c r="AP159" s="649"/>
      <c r="AQ159" s="653"/>
      <c r="AR159" s="649"/>
      <c r="AS159" s="649"/>
      <c r="AT159" s="652">
        <f t="shared" si="83"/>
        <v>616</v>
      </c>
      <c r="AU159" s="649"/>
      <c r="AV159" s="654"/>
      <c r="AW159" s="652"/>
      <c r="AX159" s="652">
        <f>I159/11</f>
        <v>56</v>
      </c>
      <c r="AY159" s="652"/>
      <c r="AZ159" s="654"/>
      <c r="BA159" s="652"/>
      <c r="BB159" s="652"/>
      <c r="BC159" s="654"/>
      <c r="BD159" s="654"/>
      <c r="BE159" s="654"/>
      <c r="BF159" s="654"/>
      <c r="BG159" s="654"/>
      <c r="BH159" s="654"/>
      <c r="BI159" s="654"/>
      <c r="BJ159" s="654"/>
      <c r="BK159" s="652"/>
      <c r="BL159" s="652"/>
      <c r="BM159" s="654"/>
      <c r="BN159" s="654"/>
      <c r="BO159" s="654"/>
      <c r="BP159" s="654"/>
      <c r="BQ159" s="654"/>
      <c r="BR159" s="654"/>
      <c r="BS159" s="654"/>
      <c r="BT159" s="654"/>
      <c r="BU159" s="654"/>
      <c r="BV159" s="654"/>
      <c r="BW159" s="645" t="s">
        <v>109</v>
      </c>
      <c r="BX159" s="658">
        <f>I159/22*5</f>
        <v>140</v>
      </c>
      <c r="BY159" s="658">
        <f>I159/22*6</f>
        <v>168</v>
      </c>
      <c r="BZ159" s="658">
        <f>I159/22*6</f>
        <v>168</v>
      </c>
      <c r="CA159" s="658">
        <f>I159/22*5</f>
        <v>140</v>
      </c>
      <c r="CB159" s="644">
        <f t="shared" si="81"/>
        <v>616</v>
      </c>
      <c r="CC159" s="658">
        <f>I159/11</f>
        <v>56</v>
      </c>
      <c r="CD159" s="644">
        <f t="shared" si="65"/>
        <v>616</v>
      </c>
      <c r="CE159" s="644">
        <f t="shared" si="56"/>
        <v>0</v>
      </c>
    </row>
    <row r="160" s="338" customFormat="1" ht="40" customHeight="1" spans="1:83">
      <c r="A160" s="632">
        <v>45749</v>
      </c>
      <c r="B160" s="659" t="s">
        <v>155</v>
      </c>
      <c r="C160" s="634" t="s">
        <v>156</v>
      </c>
      <c r="D160" s="635">
        <v>4500162293</v>
      </c>
      <c r="E160" s="659" t="s">
        <v>981</v>
      </c>
      <c r="F160" s="636" t="s">
        <v>982</v>
      </c>
      <c r="G160" s="637" t="s">
        <v>855</v>
      </c>
      <c r="H160" s="637" t="s">
        <v>983</v>
      </c>
      <c r="I160" s="638">
        <v>504</v>
      </c>
      <c r="J160" s="638">
        <v>0</v>
      </c>
      <c r="K160" s="639">
        <v>24</v>
      </c>
      <c r="L160" s="639">
        <f t="shared" ref="L160:L182" si="84">I160/K160</f>
        <v>21</v>
      </c>
      <c r="M160" s="641">
        <v>45792</v>
      </c>
      <c r="N160" s="641">
        <v>45789</v>
      </c>
      <c r="O160" s="641"/>
      <c r="P160" s="642" t="s">
        <v>100</v>
      </c>
      <c r="Q160" s="643" t="s">
        <v>984</v>
      </c>
      <c r="R160" s="642" t="s">
        <v>478</v>
      </c>
      <c r="S160" s="642"/>
      <c r="T160" s="642"/>
      <c r="U160" s="642" t="s">
        <v>985</v>
      </c>
      <c r="V160" s="642" t="s">
        <v>986</v>
      </c>
      <c r="W160" s="645"/>
      <c r="X160" s="647" t="s">
        <v>987</v>
      </c>
      <c r="Y160" s="646" t="s">
        <v>165</v>
      </c>
      <c r="Z160" s="648">
        <v>2.5421</v>
      </c>
      <c r="AA160" s="650">
        <f>Z160*I160</f>
        <v>1281.2184</v>
      </c>
      <c r="AB160" s="649">
        <v>504</v>
      </c>
      <c r="AC160" s="649">
        <f t="shared" si="68"/>
        <v>0</v>
      </c>
      <c r="AD160" s="650" t="s">
        <v>106</v>
      </c>
      <c r="AE160" s="637" t="s">
        <v>862</v>
      </c>
      <c r="AF160" s="646" t="s">
        <v>107</v>
      </c>
      <c r="AG160" s="652" t="s">
        <v>43</v>
      </c>
      <c r="AH160" s="646"/>
      <c r="AI160" s="651"/>
      <c r="AJ160" s="651"/>
      <c r="AK160" s="651"/>
      <c r="AL160" s="649"/>
      <c r="AM160" s="649"/>
      <c r="AN160" s="651"/>
      <c r="AO160" s="649">
        <f t="shared" ref="AO160:AO167" si="85">I160</f>
        <v>504</v>
      </c>
      <c r="AP160" s="649"/>
      <c r="AQ160" s="653"/>
      <c r="AR160" s="651"/>
      <c r="AS160" s="651"/>
      <c r="AT160" s="652">
        <f t="shared" ref="AT160:AT165" si="86">I160</f>
        <v>504</v>
      </c>
      <c r="AU160" s="649"/>
      <c r="AV160" s="654"/>
      <c r="AW160" s="655"/>
      <c r="AX160" s="652"/>
      <c r="AY160" s="652"/>
      <c r="AZ160" s="656"/>
      <c r="BA160" s="652"/>
      <c r="BB160" s="652"/>
      <c r="BC160" s="656"/>
      <c r="BD160" s="656"/>
      <c r="BE160" s="652"/>
      <c r="BF160" s="656"/>
      <c r="BG160" s="654"/>
      <c r="BH160" s="654"/>
      <c r="BI160" s="656"/>
      <c r="BJ160" s="656"/>
      <c r="BK160" s="654"/>
      <c r="BL160" s="654"/>
      <c r="BM160" s="654"/>
      <c r="BN160" s="654"/>
      <c r="BO160" s="654"/>
      <c r="BP160" s="656"/>
      <c r="BQ160" s="654"/>
      <c r="BR160" s="656"/>
      <c r="BS160" s="654"/>
      <c r="BT160" s="654"/>
      <c r="BU160" s="654"/>
      <c r="BV160" s="654"/>
      <c r="BW160" s="645" t="s">
        <v>109</v>
      </c>
      <c r="BX160" s="658"/>
      <c r="BY160" s="658"/>
      <c r="BZ160" s="658">
        <f>I160</f>
        <v>504</v>
      </c>
      <c r="CA160" s="658"/>
      <c r="CB160" s="644">
        <f t="shared" si="81"/>
        <v>504</v>
      </c>
      <c r="CC160" s="658"/>
      <c r="CD160" s="644">
        <f t="shared" si="65"/>
        <v>504</v>
      </c>
      <c r="CE160" s="644">
        <f t="shared" si="56"/>
        <v>0</v>
      </c>
    </row>
    <row r="161" s="338" customFormat="1" ht="40" customHeight="1" spans="1:83">
      <c r="A161" s="632">
        <v>45749</v>
      </c>
      <c r="B161" s="659" t="s">
        <v>155</v>
      </c>
      <c r="C161" s="634" t="s">
        <v>156</v>
      </c>
      <c r="D161" s="635">
        <v>4500162293</v>
      </c>
      <c r="E161" s="659" t="s">
        <v>981</v>
      </c>
      <c r="F161" s="636" t="s">
        <v>988</v>
      </c>
      <c r="G161" s="637" t="s">
        <v>383</v>
      </c>
      <c r="H161" s="637" t="s">
        <v>384</v>
      </c>
      <c r="I161" s="638">
        <v>504</v>
      </c>
      <c r="J161" s="638">
        <v>0</v>
      </c>
      <c r="K161" s="639">
        <v>24</v>
      </c>
      <c r="L161" s="639">
        <f t="shared" si="84"/>
        <v>21</v>
      </c>
      <c r="M161" s="641">
        <v>45792</v>
      </c>
      <c r="N161" s="641">
        <v>45789</v>
      </c>
      <c r="O161" s="641"/>
      <c r="P161" s="642" t="s">
        <v>100</v>
      </c>
      <c r="Q161" s="643" t="s">
        <v>984</v>
      </c>
      <c r="R161" s="642" t="s">
        <v>478</v>
      </c>
      <c r="S161" s="642"/>
      <c r="T161" s="642"/>
      <c r="U161" s="642" t="s">
        <v>985</v>
      </c>
      <c r="V161" s="642" t="s">
        <v>986</v>
      </c>
      <c r="W161" s="645"/>
      <c r="X161" s="647" t="s">
        <v>989</v>
      </c>
      <c r="Y161" s="646" t="s">
        <v>165</v>
      </c>
      <c r="Z161" s="648">
        <v>2.6249</v>
      </c>
      <c r="AA161" s="650">
        <f>I161*Z161</f>
        <v>1322.9496</v>
      </c>
      <c r="AB161" s="649">
        <v>504</v>
      </c>
      <c r="AC161" s="649">
        <f t="shared" si="68"/>
        <v>0</v>
      </c>
      <c r="AD161" s="650" t="s">
        <v>106</v>
      </c>
      <c r="AE161" s="637" t="s">
        <v>880</v>
      </c>
      <c r="AF161" s="646" t="s">
        <v>107</v>
      </c>
      <c r="AG161" s="652" t="s">
        <v>43</v>
      </c>
      <c r="AH161" s="646"/>
      <c r="AI161" s="651"/>
      <c r="AJ161" s="651"/>
      <c r="AK161" s="651"/>
      <c r="AL161" s="649"/>
      <c r="AM161" s="649"/>
      <c r="AN161" s="651"/>
      <c r="AO161" s="649">
        <f t="shared" si="85"/>
        <v>504</v>
      </c>
      <c r="AP161" s="649"/>
      <c r="AQ161" s="653"/>
      <c r="AR161" s="651"/>
      <c r="AS161" s="651"/>
      <c r="AT161" s="652">
        <f t="shared" si="86"/>
        <v>504</v>
      </c>
      <c r="AU161" s="649"/>
      <c r="AV161" s="654"/>
      <c r="AW161" s="655"/>
      <c r="AX161" s="652"/>
      <c r="AY161" s="652"/>
      <c r="AZ161" s="656"/>
      <c r="BA161" s="652"/>
      <c r="BB161" s="652"/>
      <c r="BC161" s="656"/>
      <c r="BD161" s="656"/>
      <c r="BE161" s="652"/>
      <c r="BF161" s="656"/>
      <c r="BG161" s="654"/>
      <c r="BH161" s="654"/>
      <c r="BI161" s="656"/>
      <c r="BJ161" s="656"/>
      <c r="BK161" s="654"/>
      <c r="BL161" s="654"/>
      <c r="BM161" s="654"/>
      <c r="BN161" s="654"/>
      <c r="BO161" s="654"/>
      <c r="BP161" s="656"/>
      <c r="BQ161" s="654"/>
      <c r="BR161" s="656"/>
      <c r="BS161" s="654"/>
      <c r="BT161" s="654"/>
      <c r="BU161" s="654"/>
      <c r="BV161" s="654"/>
      <c r="BW161" s="645" t="s">
        <v>109</v>
      </c>
      <c r="BX161" s="658"/>
      <c r="BY161" s="658">
        <f>I161</f>
        <v>504</v>
      </c>
      <c r="BZ161" s="658"/>
      <c r="CA161" s="658"/>
      <c r="CB161" s="644">
        <f t="shared" si="81"/>
        <v>504</v>
      </c>
      <c r="CC161" s="658"/>
      <c r="CD161" s="644">
        <f t="shared" si="65"/>
        <v>504</v>
      </c>
      <c r="CE161" s="644">
        <f t="shared" si="56"/>
        <v>0</v>
      </c>
    </row>
    <row r="162" s="338" customFormat="1" ht="40" customHeight="1" spans="1:83">
      <c r="A162" s="632">
        <v>45750</v>
      </c>
      <c r="B162" s="659" t="s">
        <v>379</v>
      </c>
      <c r="C162" s="634" t="s">
        <v>380</v>
      </c>
      <c r="D162" s="635">
        <v>4500162456</v>
      </c>
      <c r="E162" s="659" t="s">
        <v>990</v>
      </c>
      <c r="F162" s="636" t="s">
        <v>991</v>
      </c>
      <c r="G162" s="637" t="s">
        <v>855</v>
      </c>
      <c r="H162" s="637" t="s">
        <v>384</v>
      </c>
      <c r="I162" s="638">
        <v>504</v>
      </c>
      <c r="J162" s="638">
        <v>0</v>
      </c>
      <c r="K162" s="639">
        <v>24</v>
      </c>
      <c r="L162" s="639">
        <f t="shared" si="84"/>
        <v>21</v>
      </c>
      <c r="M162" s="641">
        <v>45792</v>
      </c>
      <c r="N162" s="641">
        <v>45789</v>
      </c>
      <c r="O162" s="641"/>
      <c r="P162" s="642" t="s">
        <v>100</v>
      </c>
      <c r="Q162" s="643" t="s">
        <v>992</v>
      </c>
      <c r="R162" s="642" t="s">
        <v>993</v>
      </c>
      <c r="S162" s="642"/>
      <c r="T162" s="642"/>
      <c r="U162" s="642" t="s">
        <v>994</v>
      </c>
      <c r="V162" s="642" t="s">
        <v>986</v>
      </c>
      <c r="W162" s="645"/>
      <c r="X162" s="647" t="s">
        <v>995</v>
      </c>
      <c r="Y162" s="646" t="s">
        <v>175</v>
      </c>
      <c r="Z162" s="648">
        <v>2.5282</v>
      </c>
      <c r="AA162" s="650">
        <f>Z162*I162</f>
        <v>1274.2128</v>
      </c>
      <c r="AB162" s="649">
        <v>504</v>
      </c>
      <c r="AC162" s="649">
        <f t="shared" si="68"/>
        <v>0</v>
      </c>
      <c r="AD162" s="650" t="s">
        <v>106</v>
      </c>
      <c r="AE162" s="637" t="s">
        <v>862</v>
      </c>
      <c r="AF162" s="646" t="s">
        <v>107</v>
      </c>
      <c r="AG162" s="652" t="s">
        <v>43</v>
      </c>
      <c r="AH162" s="646"/>
      <c r="AI162" s="651"/>
      <c r="AJ162" s="651"/>
      <c r="AK162" s="651"/>
      <c r="AL162" s="649"/>
      <c r="AM162" s="649"/>
      <c r="AN162" s="651"/>
      <c r="AO162" s="649">
        <f t="shared" si="85"/>
        <v>504</v>
      </c>
      <c r="AP162" s="649"/>
      <c r="AQ162" s="653"/>
      <c r="AR162" s="651"/>
      <c r="AS162" s="651"/>
      <c r="AT162" s="652">
        <f t="shared" si="86"/>
        <v>504</v>
      </c>
      <c r="AU162" s="649"/>
      <c r="AV162" s="654"/>
      <c r="AW162" s="655"/>
      <c r="AX162" s="652"/>
      <c r="AY162" s="652"/>
      <c r="AZ162" s="656"/>
      <c r="BA162" s="652"/>
      <c r="BB162" s="652"/>
      <c r="BC162" s="656"/>
      <c r="BD162" s="656"/>
      <c r="BE162" s="652"/>
      <c r="BF162" s="656"/>
      <c r="BG162" s="654"/>
      <c r="BH162" s="654"/>
      <c r="BI162" s="656"/>
      <c r="BJ162" s="656"/>
      <c r="BK162" s="654"/>
      <c r="BL162" s="654"/>
      <c r="BM162" s="654"/>
      <c r="BN162" s="654"/>
      <c r="BO162" s="654"/>
      <c r="BP162" s="656"/>
      <c r="BQ162" s="654"/>
      <c r="BR162" s="656"/>
      <c r="BS162" s="654"/>
      <c r="BT162" s="654"/>
      <c r="BU162" s="654"/>
      <c r="BV162" s="654"/>
      <c r="BW162" s="645" t="s">
        <v>109</v>
      </c>
      <c r="BX162" s="658"/>
      <c r="BY162" s="658"/>
      <c r="BZ162" s="658">
        <f>I162</f>
        <v>504</v>
      </c>
      <c r="CA162" s="658"/>
      <c r="CB162" s="644">
        <f t="shared" si="81"/>
        <v>504</v>
      </c>
      <c r="CC162" s="658"/>
      <c r="CD162" s="644">
        <f t="shared" si="65"/>
        <v>504</v>
      </c>
      <c r="CE162" s="644">
        <f t="shared" si="56"/>
        <v>0</v>
      </c>
    </row>
    <row r="163" s="338" customFormat="1" ht="40" customHeight="1" spans="1:83">
      <c r="A163" s="632">
        <v>45750</v>
      </c>
      <c r="B163" s="659" t="s">
        <v>379</v>
      </c>
      <c r="C163" s="634" t="s">
        <v>380</v>
      </c>
      <c r="D163" s="635">
        <v>4500162456</v>
      </c>
      <c r="E163" s="659" t="s">
        <v>990</v>
      </c>
      <c r="F163" s="636" t="s">
        <v>996</v>
      </c>
      <c r="G163" s="637" t="s">
        <v>383</v>
      </c>
      <c r="H163" s="637" t="s">
        <v>384</v>
      </c>
      <c r="I163" s="638">
        <v>504</v>
      </c>
      <c r="J163" s="638">
        <v>0</v>
      </c>
      <c r="K163" s="639">
        <v>24</v>
      </c>
      <c r="L163" s="639">
        <f t="shared" si="84"/>
        <v>21</v>
      </c>
      <c r="M163" s="641">
        <v>45792</v>
      </c>
      <c r="N163" s="641">
        <v>45789</v>
      </c>
      <c r="O163" s="641"/>
      <c r="P163" s="642" t="s">
        <v>100</v>
      </c>
      <c r="Q163" s="643" t="s">
        <v>992</v>
      </c>
      <c r="R163" s="642" t="s">
        <v>993</v>
      </c>
      <c r="S163" s="642"/>
      <c r="T163" s="642"/>
      <c r="U163" s="642" t="s">
        <v>997</v>
      </c>
      <c r="V163" s="642" t="s">
        <v>986</v>
      </c>
      <c r="W163" s="645"/>
      <c r="X163" s="647" t="s">
        <v>998</v>
      </c>
      <c r="Y163" s="646" t="s">
        <v>175</v>
      </c>
      <c r="Z163" s="648">
        <v>2.6249</v>
      </c>
      <c r="AA163" s="650">
        <f>I163*Z163</f>
        <v>1322.9496</v>
      </c>
      <c r="AB163" s="649">
        <v>504</v>
      </c>
      <c r="AC163" s="649">
        <f t="shared" si="68"/>
        <v>0</v>
      </c>
      <c r="AD163" s="650" t="s">
        <v>106</v>
      </c>
      <c r="AE163" s="637" t="s">
        <v>880</v>
      </c>
      <c r="AF163" s="646" t="s">
        <v>107</v>
      </c>
      <c r="AG163" s="652" t="s">
        <v>43</v>
      </c>
      <c r="AH163" s="646"/>
      <c r="AI163" s="651"/>
      <c r="AJ163" s="651"/>
      <c r="AK163" s="651"/>
      <c r="AL163" s="649"/>
      <c r="AM163" s="649"/>
      <c r="AN163" s="651"/>
      <c r="AO163" s="649">
        <f t="shared" si="85"/>
        <v>504</v>
      </c>
      <c r="AP163" s="649"/>
      <c r="AQ163" s="653"/>
      <c r="AR163" s="651"/>
      <c r="AS163" s="651"/>
      <c r="AT163" s="652">
        <f t="shared" si="86"/>
        <v>504</v>
      </c>
      <c r="AU163" s="649"/>
      <c r="AV163" s="654"/>
      <c r="AW163" s="655"/>
      <c r="AX163" s="652"/>
      <c r="AY163" s="652"/>
      <c r="AZ163" s="656"/>
      <c r="BA163" s="652"/>
      <c r="BB163" s="652"/>
      <c r="BC163" s="656"/>
      <c r="BD163" s="656"/>
      <c r="BE163" s="652"/>
      <c r="BF163" s="656"/>
      <c r="BG163" s="654"/>
      <c r="BH163" s="654"/>
      <c r="BI163" s="656"/>
      <c r="BJ163" s="656"/>
      <c r="BK163" s="654"/>
      <c r="BL163" s="654"/>
      <c r="BM163" s="654"/>
      <c r="BN163" s="654"/>
      <c r="BO163" s="654"/>
      <c r="BP163" s="656"/>
      <c r="BQ163" s="654"/>
      <c r="BR163" s="656"/>
      <c r="BS163" s="654"/>
      <c r="BT163" s="654"/>
      <c r="BU163" s="654"/>
      <c r="BV163" s="654"/>
      <c r="BW163" s="645" t="s">
        <v>109</v>
      </c>
      <c r="BX163" s="658"/>
      <c r="BY163" s="658">
        <f>I163</f>
        <v>504</v>
      </c>
      <c r="BZ163" s="658"/>
      <c r="CA163" s="658"/>
      <c r="CB163" s="644">
        <f t="shared" si="81"/>
        <v>504</v>
      </c>
      <c r="CC163" s="658"/>
      <c r="CD163" s="644">
        <f t="shared" si="65"/>
        <v>504</v>
      </c>
      <c r="CE163" s="644">
        <f t="shared" si="56"/>
        <v>0</v>
      </c>
    </row>
    <row r="164" s="338" customFormat="1" ht="40" customHeight="1" spans="1:83">
      <c r="A164" s="632">
        <v>45750</v>
      </c>
      <c r="B164" s="659" t="s">
        <v>379</v>
      </c>
      <c r="C164" s="634" t="s">
        <v>380</v>
      </c>
      <c r="D164" s="635">
        <v>4500162456</v>
      </c>
      <c r="E164" s="659" t="s">
        <v>999</v>
      </c>
      <c r="F164" s="636" t="s">
        <v>1000</v>
      </c>
      <c r="G164" s="637" t="s">
        <v>855</v>
      </c>
      <c r="H164" s="637" t="s">
        <v>384</v>
      </c>
      <c r="I164" s="638">
        <v>504</v>
      </c>
      <c r="J164" s="638">
        <v>0</v>
      </c>
      <c r="K164" s="639">
        <v>24</v>
      </c>
      <c r="L164" s="639">
        <f t="shared" si="84"/>
        <v>21</v>
      </c>
      <c r="M164" s="641">
        <v>45792</v>
      </c>
      <c r="N164" s="641">
        <v>45789</v>
      </c>
      <c r="O164" s="641"/>
      <c r="P164" s="642" t="s">
        <v>100</v>
      </c>
      <c r="Q164" s="643" t="s">
        <v>992</v>
      </c>
      <c r="R164" s="642" t="s">
        <v>993</v>
      </c>
      <c r="S164" s="642"/>
      <c r="T164" s="642"/>
      <c r="U164" s="642" t="s">
        <v>994</v>
      </c>
      <c r="V164" s="642" t="s">
        <v>986</v>
      </c>
      <c r="W164" s="645"/>
      <c r="X164" s="647" t="s">
        <v>995</v>
      </c>
      <c r="Y164" s="646" t="s">
        <v>175</v>
      </c>
      <c r="Z164" s="648">
        <v>2.5282</v>
      </c>
      <c r="AA164" s="650">
        <f>Z164*I164</f>
        <v>1274.2128</v>
      </c>
      <c r="AB164" s="649">
        <v>504</v>
      </c>
      <c r="AC164" s="649">
        <f t="shared" si="68"/>
        <v>0</v>
      </c>
      <c r="AD164" s="650" t="s">
        <v>106</v>
      </c>
      <c r="AE164" s="637" t="s">
        <v>862</v>
      </c>
      <c r="AF164" s="646" t="s">
        <v>107</v>
      </c>
      <c r="AG164" s="652" t="s">
        <v>43</v>
      </c>
      <c r="AH164" s="646"/>
      <c r="AI164" s="651"/>
      <c r="AJ164" s="651"/>
      <c r="AK164" s="651"/>
      <c r="AL164" s="649"/>
      <c r="AM164" s="649"/>
      <c r="AN164" s="651"/>
      <c r="AO164" s="649">
        <f t="shared" si="85"/>
        <v>504</v>
      </c>
      <c r="AP164" s="649"/>
      <c r="AQ164" s="653"/>
      <c r="AR164" s="651"/>
      <c r="AS164" s="651"/>
      <c r="AT164" s="652">
        <f t="shared" si="86"/>
        <v>504</v>
      </c>
      <c r="AU164" s="649"/>
      <c r="AV164" s="654"/>
      <c r="AW164" s="655"/>
      <c r="AX164" s="652"/>
      <c r="AY164" s="652"/>
      <c r="AZ164" s="656"/>
      <c r="BA164" s="652"/>
      <c r="BB164" s="652"/>
      <c r="BC164" s="656"/>
      <c r="BD164" s="656"/>
      <c r="BE164" s="652"/>
      <c r="BF164" s="656"/>
      <c r="BG164" s="654"/>
      <c r="BH164" s="654"/>
      <c r="BI164" s="656"/>
      <c r="BJ164" s="656"/>
      <c r="BK164" s="654"/>
      <c r="BL164" s="654"/>
      <c r="BM164" s="654"/>
      <c r="BN164" s="654"/>
      <c r="BO164" s="654"/>
      <c r="BP164" s="656"/>
      <c r="BQ164" s="654"/>
      <c r="BR164" s="656"/>
      <c r="BS164" s="654"/>
      <c r="BT164" s="654"/>
      <c r="BU164" s="654"/>
      <c r="BV164" s="654"/>
      <c r="BW164" s="645" t="s">
        <v>109</v>
      </c>
      <c r="BX164" s="658"/>
      <c r="BY164" s="658"/>
      <c r="BZ164" s="658">
        <f>I164</f>
        <v>504</v>
      </c>
      <c r="CA164" s="658"/>
      <c r="CB164" s="644">
        <f t="shared" si="81"/>
        <v>504</v>
      </c>
      <c r="CC164" s="658"/>
      <c r="CD164" s="644">
        <f t="shared" si="65"/>
        <v>504</v>
      </c>
      <c r="CE164" s="644">
        <f t="shared" si="56"/>
        <v>0</v>
      </c>
    </row>
    <row r="165" s="338" customFormat="1" ht="40" customHeight="1" spans="1:83">
      <c r="A165" s="632">
        <v>45750</v>
      </c>
      <c r="B165" s="659" t="s">
        <v>379</v>
      </c>
      <c r="C165" s="634" t="s">
        <v>380</v>
      </c>
      <c r="D165" s="635">
        <v>4500162456</v>
      </c>
      <c r="E165" s="659" t="s">
        <v>999</v>
      </c>
      <c r="F165" s="636" t="s">
        <v>1001</v>
      </c>
      <c r="G165" s="637" t="s">
        <v>383</v>
      </c>
      <c r="H165" s="637" t="s">
        <v>384</v>
      </c>
      <c r="I165" s="638">
        <v>504</v>
      </c>
      <c r="J165" s="638">
        <v>0</v>
      </c>
      <c r="K165" s="639">
        <v>24</v>
      </c>
      <c r="L165" s="639">
        <f t="shared" si="84"/>
        <v>21</v>
      </c>
      <c r="M165" s="641">
        <v>45792</v>
      </c>
      <c r="N165" s="641">
        <v>45789</v>
      </c>
      <c r="O165" s="641"/>
      <c r="P165" s="642" t="s">
        <v>100</v>
      </c>
      <c r="Q165" s="643" t="s">
        <v>992</v>
      </c>
      <c r="R165" s="642" t="s">
        <v>993</v>
      </c>
      <c r="S165" s="642"/>
      <c r="T165" s="642"/>
      <c r="U165" s="642" t="s">
        <v>997</v>
      </c>
      <c r="V165" s="642" t="s">
        <v>986</v>
      </c>
      <c r="W165" s="645"/>
      <c r="X165" s="647" t="s">
        <v>998</v>
      </c>
      <c r="Y165" s="646" t="s">
        <v>175</v>
      </c>
      <c r="Z165" s="648">
        <v>2.6249</v>
      </c>
      <c r="AA165" s="650">
        <f>I165*Z165</f>
        <v>1322.9496</v>
      </c>
      <c r="AB165" s="649">
        <v>504</v>
      </c>
      <c r="AC165" s="649">
        <f t="shared" si="68"/>
        <v>0</v>
      </c>
      <c r="AD165" s="650" t="s">
        <v>106</v>
      </c>
      <c r="AE165" s="637" t="s">
        <v>880</v>
      </c>
      <c r="AF165" s="646" t="s">
        <v>107</v>
      </c>
      <c r="AG165" s="652" t="s">
        <v>43</v>
      </c>
      <c r="AH165" s="646"/>
      <c r="AI165" s="651"/>
      <c r="AJ165" s="651"/>
      <c r="AK165" s="651"/>
      <c r="AL165" s="649"/>
      <c r="AM165" s="649"/>
      <c r="AN165" s="651"/>
      <c r="AO165" s="649">
        <f t="shared" si="85"/>
        <v>504</v>
      </c>
      <c r="AP165" s="649"/>
      <c r="AQ165" s="653"/>
      <c r="AR165" s="651"/>
      <c r="AS165" s="651"/>
      <c r="AT165" s="652">
        <f t="shared" si="86"/>
        <v>504</v>
      </c>
      <c r="AU165" s="649"/>
      <c r="AV165" s="654"/>
      <c r="AW165" s="655"/>
      <c r="AX165" s="652"/>
      <c r="AY165" s="652"/>
      <c r="AZ165" s="656"/>
      <c r="BA165" s="652"/>
      <c r="BB165" s="652"/>
      <c r="BC165" s="656"/>
      <c r="BD165" s="656"/>
      <c r="BE165" s="652"/>
      <c r="BF165" s="656"/>
      <c r="BG165" s="654"/>
      <c r="BH165" s="654"/>
      <c r="BI165" s="656"/>
      <c r="BJ165" s="656"/>
      <c r="BK165" s="654"/>
      <c r="BL165" s="654"/>
      <c r="BM165" s="654"/>
      <c r="BN165" s="654"/>
      <c r="BO165" s="654"/>
      <c r="BP165" s="656"/>
      <c r="BQ165" s="654"/>
      <c r="BR165" s="656"/>
      <c r="BS165" s="654"/>
      <c r="BT165" s="654"/>
      <c r="BU165" s="654"/>
      <c r="BV165" s="654"/>
      <c r="BW165" s="645" t="s">
        <v>109</v>
      </c>
      <c r="BX165" s="658"/>
      <c r="BY165" s="658">
        <f>I165</f>
        <v>504</v>
      </c>
      <c r="BZ165" s="658"/>
      <c r="CA165" s="658"/>
      <c r="CB165" s="644">
        <f t="shared" si="81"/>
        <v>504</v>
      </c>
      <c r="CC165" s="658"/>
      <c r="CD165" s="644">
        <f t="shared" si="65"/>
        <v>504</v>
      </c>
      <c r="CE165" s="644">
        <f t="shared" si="56"/>
        <v>0</v>
      </c>
    </row>
    <row r="166" s="338" customFormat="1" ht="40" customHeight="1" spans="1:83">
      <c r="A166" s="632">
        <v>45750</v>
      </c>
      <c r="B166" s="659" t="s">
        <v>1002</v>
      </c>
      <c r="C166" s="634" t="s">
        <v>1003</v>
      </c>
      <c r="D166" s="635">
        <v>4500162345</v>
      </c>
      <c r="E166" s="659"/>
      <c r="F166" s="636" t="s">
        <v>1004</v>
      </c>
      <c r="G166" s="637" t="s">
        <v>111</v>
      </c>
      <c r="H166" s="637" t="s">
        <v>99</v>
      </c>
      <c r="I166" s="638">
        <v>1210</v>
      </c>
      <c r="J166" s="638">
        <v>0</v>
      </c>
      <c r="K166" s="639">
        <v>22</v>
      </c>
      <c r="L166" s="639">
        <f t="shared" si="84"/>
        <v>55</v>
      </c>
      <c r="M166" s="641">
        <v>45792</v>
      </c>
      <c r="N166" s="641">
        <v>45789</v>
      </c>
      <c r="O166" s="641" t="s">
        <v>1005</v>
      </c>
      <c r="P166" s="642" t="s">
        <v>100</v>
      </c>
      <c r="Q166" s="643" t="s">
        <v>367</v>
      </c>
      <c r="R166" s="642" t="s">
        <v>1006</v>
      </c>
      <c r="S166" s="642"/>
      <c r="T166" s="642"/>
      <c r="U166" s="642" t="s">
        <v>1007</v>
      </c>
      <c r="V166" s="642"/>
      <c r="W166" s="645"/>
      <c r="X166" s="647" t="s">
        <v>1008</v>
      </c>
      <c r="Y166" s="646" t="s">
        <v>298</v>
      </c>
      <c r="Z166" s="648">
        <v>2.7172</v>
      </c>
      <c r="AA166" s="650">
        <f>I166*Z166</f>
        <v>3287.812</v>
      </c>
      <c r="AB166" s="649">
        <v>1210</v>
      </c>
      <c r="AC166" s="649">
        <f t="shared" si="68"/>
        <v>0</v>
      </c>
      <c r="AD166" s="650" t="s">
        <v>123</v>
      </c>
      <c r="AE166" s="637" t="s">
        <v>111</v>
      </c>
      <c r="AF166" s="646" t="s">
        <v>107</v>
      </c>
      <c r="AG166" s="652" t="s">
        <v>43</v>
      </c>
      <c r="AH166" s="646"/>
      <c r="AI166" s="649"/>
      <c r="AJ166" s="649"/>
      <c r="AK166" s="649"/>
      <c r="AL166" s="652">
        <f>I166</f>
        <v>1210</v>
      </c>
      <c r="AM166" s="652"/>
      <c r="AN166" s="649"/>
      <c r="AO166" s="649"/>
      <c r="AP166" s="649"/>
      <c r="AQ166" s="653"/>
      <c r="AR166" s="649"/>
      <c r="AS166" s="649"/>
      <c r="AT166" s="652">
        <f t="shared" ref="AT166:AT173" si="87">I166</f>
        <v>1210</v>
      </c>
      <c r="AU166" s="649"/>
      <c r="AV166" s="654"/>
      <c r="AW166" s="652"/>
      <c r="AX166" s="652">
        <f>I166/11</f>
        <v>110</v>
      </c>
      <c r="AY166" s="652"/>
      <c r="AZ166" s="654"/>
      <c r="BA166" s="652"/>
      <c r="BB166" s="652"/>
      <c r="BC166" s="654"/>
      <c r="BD166" s="654"/>
      <c r="BE166" s="652"/>
      <c r="BF166" s="654"/>
      <c r="BG166" s="654"/>
      <c r="BH166" s="654"/>
      <c r="BI166" s="654"/>
      <c r="BJ166" s="654"/>
      <c r="BK166" s="654"/>
      <c r="BL166" s="654"/>
      <c r="BM166" s="654"/>
      <c r="BN166" s="654"/>
      <c r="BO166" s="654"/>
      <c r="BP166" s="654"/>
      <c r="BQ166" s="654"/>
      <c r="BR166" s="654"/>
      <c r="BS166" s="654"/>
      <c r="BT166" s="654"/>
      <c r="BU166" s="654"/>
      <c r="BV166" s="654"/>
      <c r="BW166" s="645" t="s">
        <v>109</v>
      </c>
      <c r="BX166" s="658">
        <f>I166/22*5</f>
        <v>275</v>
      </c>
      <c r="BY166" s="658">
        <f>I166/22*6</f>
        <v>330</v>
      </c>
      <c r="BZ166" s="658">
        <f>I166/22*6</f>
        <v>330</v>
      </c>
      <c r="CA166" s="658">
        <f>I166/22*5</f>
        <v>275</v>
      </c>
      <c r="CB166" s="644">
        <f t="shared" si="81"/>
        <v>1210</v>
      </c>
      <c r="CC166" s="658">
        <f>I166/11</f>
        <v>110</v>
      </c>
      <c r="CD166" s="644">
        <f t="shared" si="65"/>
        <v>1210</v>
      </c>
      <c r="CE166" s="644">
        <f t="shared" si="56"/>
        <v>0</v>
      </c>
    </row>
    <row r="167" s="338" customFormat="1" ht="40" customHeight="1" spans="1:83">
      <c r="A167" s="632">
        <v>45750</v>
      </c>
      <c r="B167" s="659" t="s">
        <v>1009</v>
      </c>
      <c r="C167" s="634" t="s">
        <v>1010</v>
      </c>
      <c r="D167" s="635">
        <v>4500162472</v>
      </c>
      <c r="E167" s="659" t="s">
        <v>1011</v>
      </c>
      <c r="F167" s="636" t="s">
        <v>1012</v>
      </c>
      <c r="G167" s="637" t="s">
        <v>111</v>
      </c>
      <c r="H167" s="637" t="s">
        <v>99</v>
      </c>
      <c r="I167" s="638">
        <v>770</v>
      </c>
      <c r="J167" s="638">
        <v>0</v>
      </c>
      <c r="K167" s="639">
        <v>22</v>
      </c>
      <c r="L167" s="639">
        <f t="shared" si="84"/>
        <v>35</v>
      </c>
      <c r="M167" s="641">
        <v>45792</v>
      </c>
      <c r="N167" s="641">
        <v>45789</v>
      </c>
      <c r="O167" s="641" t="s">
        <v>1005</v>
      </c>
      <c r="P167" s="642" t="s">
        <v>100</v>
      </c>
      <c r="Q167" s="643" t="s">
        <v>1013</v>
      </c>
      <c r="R167" s="642" t="s">
        <v>1006</v>
      </c>
      <c r="S167" s="642"/>
      <c r="T167" s="642"/>
      <c r="U167" s="642" t="s">
        <v>1007</v>
      </c>
      <c r="V167" s="642"/>
      <c r="W167" s="645"/>
      <c r="X167" s="647" t="s">
        <v>1008</v>
      </c>
      <c r="Y167" s="646" t="s">
        <v>298</v>
      </c>
      <c r="Z167" s="648">
        <v>2.7311</v>
      </c>
      <c r="AA167" s="650">
        <f>I167*Z167</f>
        <v>2102.947</v>
      </c>
      <c r="AB167" s="649">
        <v>770</v>
      </c>
      <c r="AC167" s="649">
        <f t="shared" si="68"/>
        <v>0</v>
      </c>
      <c r="AD167" s="650" t="s">
        <v>123</v>
      </c>
      <c r="AE167" s="637" t="s">
        <v>111</v>
      </c>
      <c r="AF167" s="646" t="s">
        <v>107</v>
      </c>
      <c r="AG167" s="652" t="s">
        <v>43</v>
      </c>
      <c r="AH167" s="646"/>
      <c r="AI167" s="649"/>
      <c r="AJ167" s="649"/>
      <c r="AK167" s="649"/>
      <c r="AL167" s="652">
        <f>I167</f>
        <v>770</v>
      </c>
      <c r="AM167" s="652"/>
      <c r="AN167" s="649"/>
      <c r="AO167" s="649"/>
      <c r="AP167" s="649"/>
      <c r="AQ167" s="653"/>
      <c r="AR167" s="649"/>
      <c r="AS167" s="649"/>
      <c r="AT167" s="652">
        <f t="shared" si="87"/>
        <v>770</v>
      </c>
      <c r="AU167" s="649"/>
      <c r="AV167" s="654"/>
      <c r="AW167" s="652"/>
      <c r="AX167" s="652">
        <f>I167/11</f>
        <v>70</v>
      </c>
      <c r="AY167" s="652"/>
      <c r="AZ167" s="654"/>
      <c r="BA167" s="652"/>
      <c r="BB167" s="652"/>
      <c r="BC167" s="654"/>
      <c r="BD167" s="654"/>
      <c r="BE167" s="652"/>
      <c r="BF167" s="654"/>
      <c r="BG167" s="654"/>
      <c r="BH167" s="654"/>
      <c r="BI167" s="654"/>
      <c r="BJ167" s="654"/>
      <c r="BK167" s="654"/>
      <c r="BL167" s="654"/>
      <c r="BM167" s="654"/>
      <c r="BN167" s="654"/>
      <c r="BO167" s="654"/>
      <c r="BP167" s="654"/>
      <c r="BQ167" s="654"/>
      <c r="BR167" s="654"/>
      <c r="BS167" s="654"/>
      <c r="BT167" s="654"/>
      <c r="BU167" s="654"/>
      <c r="BV167" s="654"/>
      <c r="BW167" s="645" t="s">
        <v>109</v>
      </c>
      <c r="BX167" s="658">
        <f>I167/22*5</f>
        <v>175</v>
      </c>
      <c r="BY167" s="658">
        <f>I167/22*6</f>
        <v>210</v>
      </c>
      <c r="BZ167" s="658">
        <f>I167/22*6</f>
        <v>210</v>
      </c>
      <c r="CA167" s="658">
        <f>I167/22*5</f>
        <v>175</v>
      </c>
      <c r="CB167" s="644">
        <f t="shared" si="81"/>
        <v>770</v>
      </c>
      <c r="CC167" s="658">
        <f>I167/11</f>
        <v>70</v>
      </c>
      <c r="CD167" s="644">
        <f t="shared" si="65"/>
        <v>770</v>
      </c>
      <c r="CE167" s="644">
        <f t="shared" si="56"/>
        <v>0</v>
      </c>
    </row>
    <row r="168" s="338" customFormat="1" ht="40" customHeight="1" spans="1:83">
      <c r="A168" s="632">
        <v>45755</v>
      </c>
      <c r="B168" s="659" t="s">
        <v>1014</v>
      </c>
      <c r="C168" s="634" t="s">
        <v>836</v>
      </c>
      <c r="D168" s="635">
        <v>4500162922</v>
      </c>
      <c r="E168" s="659">
        <v>4504192366</v>
      </c>
      <c r="F168" s="636" t="s">
        <v>1015</v>
      </c>
      <c r="G168" s="637" t="s">
        <v>111</v>
      </c>
      <c r="H168" s="637" t="s">
        <v>99</v>
      </c>
      <c r="I168" s="638">
        <v>1100</v>
      </c>
      <c r="J168" s="638">
        <v>0</v>
      </c>
      <c r="K168" s="639">
        <v>22</v>
      </c>
      <c r="L168" s="639">
        <f t="shared" si="84"/>
        <v>50</v>
      </c>
      <c r="M168" s="641">
        <v>45792</v>
      </c>
      <c r="N168" s="641">
        <v>45789</v>
      </c>
      <c r="O168" s="642" t="s">
        <v>1016</v>
      </c>
      <c r="P168" s="642" t="s">
        <v>100</v>
      </c>
      <c r="Q168" s="643" t="s">
        <v>367</v>
      </c>
      <c r="R168" s="642" t="s">
        <v>1006</v>
      </c>
      <c r="S168" s="642"/>
      <c r="T168" s="642"/>
      <c r="U168" s="642" t="s">
        <v>113</v>
      </c>
      <c r="V168" s="642"/>
      <c r="W168" s="645"/>
      <c r="X168" s="647" t="s">
        <v>1017</v>
      </c>
      <c r="Y168" s="646" t="s">
        <v>281</v>
      </c>
      <c r="Z168" s="648">
        <v>2.6826</v>
      </c>
      <c r="AA168" s="650">
        <f>I168*Z168</f>
        <v>2950.86</v>
      </c>
      <c r="AB168" s="649">
        <v>1100</v>
      </c>
      <c r="AC168" s="649">
        <f t="shared" si="68"/>
        <v>0</v>
      </c>
      <c r="AD168" s="650" t="s">
        <v>113</v>
      </c>
      <c r="AE168" s="637" t="s">
        <v>230</v>
      </c>
      <c r="AF168" s="646" t="s">
        <v>107</v>
      </c>
      <c r="AG168" s="652" t="s">
        <v>43</v>
      </c>
      <c r="AH168" s="646"/>
      <c r="AI168" s="649"/>
      <c r="AJ168" s="649"/>
      <c r="AK168" s="649"/>
      <c r="AL168" s="649"/>
      <c r="AM168" s="649"/>
      <c r="AN168" s="649"/>
      <c r="AO168" s="649">
        <f>I168</f>
        <v>1100</v>
      </c>
      <c r="AP168" s="649"/>
      <c r="AQ168" s="653"/>
      <c r="AR168" s="649"/>
      <c r="AS168" s="649"/>
      <c r="AT168" s="652">
        <f t="shared" si="87"/>
        <v>1100</v>
      </c>
      <c r="AU168" s="649"/>
      <c r="AV168" s="654"/>
      <c r="AW168" s="652"/>
      <c r="AX168" s="652"/>
      <c r="AY168" s="652"/>
      <c r="AZ168" s="654"/>
      <c r="BA168" s="652">
        <f>I168/11</f>
        <v>100</v>
      </c>
      <c r="BB168" s="652"/>
      <c r="BC168" s="654"/>
      <c r="BD168" s="654"/>
      <c r="BE168" s="652"/>
      <c r="BF168" s="654"/>
      <c r="BG168" s="654"/>
      <c r="BH168" s="654"/>
      <c r="BI168" s="654"/>
      <c r="BJ168" s="654"/>
      <c r="BK168" s="654"/>
      <c r="BL168" s="654"/>
      <c r="BM168" s="654"/>
      <c r="BN168" s="654"/>
      <c r="BO168" s="654"/>
      <c r="BP168" s="654"/>
      <c r="BQ168" s="654"/>
      <c r="BR168" s="654"/>
      <c r="BS168" s="654"/>
      <c r="BT168" s="654"/>
      <c r="BU168" s="654"/>
      <c r="BV168" s="654"/>
      <c r="BW168" s="645" t="s">
        <v>109</v>
      </c>
      <c r="BX168" s="658">
        <f>I168/22*5</f>
        <v>250</v>
      </c>
      <c r="BY168" s="658">
        <f>I168/22*6</f>
        <v>300</v>
      </c>
      <c r="BZ168" s="658">
        <f>I168/22*6</f>
        <v>300</v>
      </c>
      <c r="CA168" s="658">
        <f>I168/22*5</f>
        <v>250</v>
      </c>
      <c r="CB168" s="644">
        <f t="shared" si="81"/>
        <v>1100</v>
      </c>
      <c r="CC168" s="658">
        <f>I168/11</f>
        <v>100</v>
      </c>
      <c r="CD168" s="644">
        <f t="shared" si="65"/>
        <v>1100</v>
      </c>
      <c r="CE168" s="644">
        <f t="shared" si="56"/>
        <v>0</v>
      </c>
    </row>
    <row r="169" s="338" customFormat="1" ht="40" customHeight="1" spans="1:83">
      <c r="A169" s="632">
        <v>45757</v>
      </c>
      <c r="B169" s="659" t="s">
        <v>625</v>
      </c>
      <c r="C169" s="634" t="s">
        <v>626</v>
      </c>
      <c r="D169" s="635">
        <v>4500163177</v>
      </c>
      <c r="E169" s="659" t="s">
        <v>1018</v>
      </c>
      <c r="F169" s="636" t="s">
        <v>1019</v>
      </c>
      <c r="G169" s="637" t="s">
        <v>111</v>
      </c>
      <c r="H169" s="637" t="s">
        <v>99</v>
      </c>
      <c r="I169" s="638">
        <v>506</v>
      </c>
      <c r="J169" s="638">
        <v>0</v>
      </c>
      <c r="K169" s="639">
        <v>22</v>
      </c>
      <c r="L169" s="639">
        <f t="shared" si="84"/>
        <v>23</v>
      </c>
      <c r="M169" s="641">
        <v>45792</v>
      </c>
      <c r="N169" s="641">
        <v>45789</v>
      </c>
      <c r="O169" s="641"/>
      <c r="P169" s="642" t="s">
        <v>100</v>
      </c>
      <c r="Q169" s="643" t="s">
        <v>1020</v>
      </c>
      <c r="R169" s="642" t="s">
        <v>958</v>
      </c>
      <c r="S169" s="642"/>
      <c r="T169" s="642"/>
      <c r="U169" s="642" t="s">
        <v>1021</v>
      </c>
      <c r="V169" s="642"/>
      <c r="W169" s="645"/>
      <c r="X169" s="647" t="s">
        <v>1022</v>
      </c>
      <c r="Y169" s="646" t="s">
        <v>632</v>
      </c>
      <c r="Z169" s="648">
        <v>2.7583</v>
      </c>
      <c r="AA169" s="650">
        <f>I169*Z169</f>
        <v>1395.6998</v>
      </c>
      <c r="AB169" s="649">
        <v>506</v>
      </c>
      <c r="AC169" s="649">
        <f t="shared" si="68"/>
        <v>0</v>
      </c>
      <c r="AD169" s="650" t="s">
        <v>106</v>
      </c>
      <c r="AE169" s="637" t="s">
        <v>111</v>
      </c>
      <c r="AF169" s="646" t="s">
        <v>107</v>
      </c>
      <c r="AG169" s="652" t="s">
        <v>43</v>
      </c>
      <c r="AH169" s="646"/>
      <c r="AI169" s="649"/>
      <c r="AJ169" s="649"/>
      <c r="AK169" s="649"/>
      <c r="AL169" s="652">
        <f>I169</f>
        <v>506</v>
      </c>
      <c r="AM169" s="652"/>
      <c r="AN169" s="649"/>
      <c r="AO169" s="649"/>
      <c r="AP169" s="649"/>
      <c r="AQ169" s="653"/>
      <c r="AR169" s="649"/>
      <c r="AS169" s="649"/>
      <c r="AT169" s="652">
        <f t="shared" si="87"/>
        <v>506</v>
      </c>
      <c r="AU169" s="649"/>
      <c r="AV169" s="654"/>
      <c r="AW169" s="652"/>
      <c r="AX169" s="652">
        <f>I169/11</f>
        <v>46</v>
      </c>
      <c r="AY169" s="652"/>
      <c r="AZ169" s="654"/>
      <c r="BA169" s="652"/>
      <c r="BB169" s="652"/>
      <c r="BC169" s="654"/>
      <c r="BD169" s="654"/>
      <c r="BE169" s="652"/>
      <c r="BF169" s="654"/>
      <c r="BG169" s="654"/>
      <c r="BH169" s="654"/>
      <c r="BI169" s="654"/>
      <c r="BJ169" s="654"/>
      <c r="BK169" s="654"/>
      <c r="BL169" s="654"/>
      <c r="BM169" s="654"/>
      <c r="BN169" s="654"/>
      <c r="BO169" s="654"/>
      <c r="BP169" s="654"/>
      <c r="BQ169" s="654"/>
      <c r="BR169" s="654"/>
      <c r="BS169" s="654"/>
      <c r="BT169" s="654"/>
      <c r="BU169" s="654"/>
      <c r="BV169" s="654"/>
      <c r="BW169" s="645" t="s">
        <v>109</v>
      </c>
      <c r="BX169" s="658">
        <f>I169/22*5</f>
        <v>115</v>
      </c>
      <c r="BY169" s="658">
        <f>I169/22*6</f>
        <v>138</v>
      </c>
      <c r="BZ169" s="658">
        <f>I169/22*6</f>
        <v>138</v>
      </c>
      <c r="CA169" s="658">
        <f>I169/22*5</f>
        <v>115</v>
      </c>
      <c r="CB169" s="644">
        <f t="shared" si="81"/>
        <v>506</v>
      </c>
      <c r="CC169" s="658">
        <f>I169/11</f>
        <v>46</v>
      </c>
      <c r="CD169" s="644">
        <f t="shared" si="65"/>
        <v>506</v>
      </c>
      <c r="CE169" s="644">
        <f t="shared" ref="CE169:CE182" si="88">I169-CD169</f>
        <v>0</v>
      </c>
    </row>
    <row r="170" s="338" customFormat="1" ht="40" customHeight="1" spans="1:83">
      <c r="A170" s="632">
        <v>45742</v>
      </c>
      <c r="B170" s="659" t="s">
        <v>1023</v>
      </c>
      <c r="C170" s="634" t="s">
        <v>1024</v>
      </c>
      <c r="D170" s="635">
        <v>4500161075</v>
      </c>
      <c r="E170" s="659">
        <v>11098</v>
      </c>
      <c r="F170" s="636" t="s">
        <v>1025</v>
      </c>
      <c r="G170" s="637" t="s">
        <v>241</v>
      </c>
      <c r="H170" s="637" t="s">
        <v>99</v>
      </c>
      <c r="I170" s="638">
        <v>594</v>
      </c>
      <c r="J170" s="638">
        <v>0</v>
      </c>
      <c r="K170" s="639">
        <v>11</v>
      </c>
      <c r="L170" s="639">
        <f t="shared" si="84"/>
        <v>54</v>
      </c>
      <c r="M170" s="641">
        <v>45793</v>
      </c>
      <c r="N170" s="641">
        <v>45789</v>
      </c>
      <c r="O170" s="641"/>
      <c r="P170" s="642" t="s">
        <v>100</v>
      </c>
      <c r="Q170" s="643" t="s">
        <v>1026</v>
      </c>
      <c r="R170" s="642" t="s">
        <v>958</v>
      </c>
      <c r="S170" s="642"/>
      <c r="T170" s="642"/>
      <c r="U170" s="642" t="s">
        <v>1027</v>
      </c>
      <c r="V170" s="642"/>
      <c r="W170" s="645"/>
      <c r="X170" s="647" t="s">
        <v>1028</v>
      </c>
      <c r="Y170" s="646" t="s">
        <v>1029</v>
      </c>
      <c r="Z170" s="648">
        <v>2.8127</v>
      </c>
      <c r="AA170" s="650">
        <f>Z170*I170</f>
        <v>1670.7438</v>
      </c>
      <c r="AB170" s="649">
        <v>594</v>
      </c>
      <c r="AC170" s="649">
        <f t="shared" si="68"/>
        <v>0</v>
      </c>
      <c r="AD170" s="650" t="s">
        <v>106</v>
      </c>
      <c r="AE170" s="637" t="s">
        <v>597</v>
      </c>
      <c r="AF170" s="646" t="s">
        <v>107</v>
      </c>
      <c r="AG170" s="652" t="s">
        <v>43</v>
      </c>
      <c r="AH170" s="646"/>
      <c r="AI170" s="649"/>
      <c r="AJ170" s="649"/>
      <c r="AK170" s="649"/>
      <c r="AL170" s="649"/>
      <c r="AM170" s="649"/>
      <c r="AN170" s="649"/>
      <c r="AO170" s="649">
        <f>I170</f>
        <v>594</v>
      </c>
      <c r="AP170" s="649"/>
      <c r="AQ170" s="653"/>
      <c r="AR170" s="649"/>
      <c r="AS170" s="649"/>
      <c r="AT170" s="652">
        <f t="shared" si="87"/>
        <v>594</v>
      </c>
      <c r="AU170" s="649"/>
      <c r="AV170" s="654"/>
      <c r="AW170" s="652"/>
      <c r="AX170" s="652"/>
      <c r="AY170" s="652"/>
      <c r="AZ170" s="654"/>
      <c r="BA170" s="652">
        <f>I170/11</f>
        <v>54</v>
      </c>
      <c r="BB170" s="652"/>
      <c r="BC170" s="654"/>
      <c r="BD170" s="654"/>
      <c r="BE170" s="652"/>
      <c r="BF170" s="654"/>
      <c r="BG170" s="654"/>
      <c r="BH170" s="654"/>
      <c r="BI170" s="654"/>
      <c r="BJ170" s="654"/>
      <c r="BK170" s="654"/>
      <c r="BL170" s="654"/>
      <c r="BM170" s="654"/>
      <c r="BN170" s="654"/>
      <c r="BO170" s="654"/>
      <c r="BP170" s="654"/>
      <c r="BQ170" s="654"/>
      <c r="BR170" s="654"/>
      <c r="BS170" s="654"/>
      <c r="BT170" s="654"/>
      <c r="BU170" s="654"/>
      <c r="BV170" s="654"/>
      <c r="BW170" s="645" t="s">
        <v>109</v>
      </c>
      <c r="BX170" s="658">
        <f>I170/22*5</f>
        <v>135</v>
      </c>
      <c r="BY170" s="658">
        <f>I170/22*6</f>
        <v>162</v>
      </c>
      <c r="BZ170" s="658">
        <f>I170/22*6</f>
        <v>162</v>
      </c>
      <c r="CA170" s="658">
        <f>I170/22*5</f>
        <v>135</v>
      </c>
      <c r="CB170" s="644">
        <f t="shared" si="81"/>
        <v>594</v>
      </c>
      <c r="CC170" s="658">
        <f>I170/11</f>
        <v>54</v>
      </c>
      <c r="CD170" s="644">
        <f t="shared" si="65"/>
        <v>594</v>
      </c>
      <c r="CE170" s="644">
        <f t="shared" si="88"/>
        <v>0</v>
      </c>
    </row>
    <row r="171" s="338" customFormat="1" ht="40" customHeight="1" spans="1:83">
      <c r="A171" s="632">
        <v>45749</v>
      </c>
      <c r="B171" s="659" t="s">
        <v>432</v>
      </c>
      <c r="C171" s="634" t="s">
        <v>380</v>
      </c>
      <c r="D171" s="635">
        <v>4500162312</v>
      </c>
      <c r="E171" s="659">
        <v>232250</v>
      </c>
      <c r="F171" s="636" t="s">
        <v>1030</v>
      </c>
      <c r="G171" s="637" t="s">
        <v>98</v>
      </c>
      <c r="H171" s="637" t="s">
        <v>99</v>
      </c>
      <c r="I171" s="638">
        <v>5016</v>
      </c>
      <c r="J171" s="638">
        <v>0</v>
      </c>
      <c r="K171" s="639">
        <v>24</v>
      </c>
      <c r="L171" s="639">
        <f t="shared" si="84"/>
        <v>209</v>
      </c>
      <c r="M171" s="641">
        <v>45793</v>
      </c>
      <c r="N171" s="641">
        <v>45789</v>
      </c>
      <c r="O171" s="641"/>
      <c r="P171" s="642" t="s">
        <v>100</v>
      </c>
      <c r="Q171" s="643" t="s">
        <v>1031</v>
      </c>
      <c r="R171" s="642" t="s">
        <v>1032</v>
      </c>
      <c r="S171" s="642"/>
      <c r="T171" s="642"/>
      <c r="U171" s="642" t="s">
        <v>1033</v>
      </c>
      <c r="V171" s="642"/>
      <c r="W171" s="645"/>
      <c r="X171" s="647" t="s">
        <v>1034</v>
      </c>
      <c r="Y171" s="646" t="s">
        <v>623</v>
      </c>
      <c r="Z171" s="648">
        <v>2.4716</v>
      </c>
      <c r="AA171" s="650">
        <f>I171*Z171</f>
        <v>12397.5456</v>
      </c>
      <c r="AB171" s="649">
        <f>4992+24</f>
        <v>5016</v>
      </c>
      <c r="AC171" s="649">
        <f t="shared" ref="AC171:AC185" si="89">AB171-I171</f>
        <v>0</v>
      </c>
      <c r="AD171" s="650" t="s">
        <v>106</v>
      </c>
      <c r="AE171" s="637" t="s">
        <v>98</v>
      </c>
      <c r="AF171" s="646" t="s">
        <v>107</v>
      </c>
      <c r="AG171" s="652" t="s">
        <v>43</v>
      </c>
      <c r="AH171" s="646"/>
      <c r="AI171" s="649"/>
      <c r="AJ171" s="649"/>
      <c r="AK171" s="649"/>
      <c r="AL171" s="652">
        <f>I171</f>
        <v>5016</v>
      </c>
      <c r="AM171" s="652"/>
      <c r="AN171" s="649"/>
      <c r="AO171" s="649"/>
      <c r="AP171" s="649"/>
      <c r="AQ171" s="653"/>
      <c r="AR171" s="649"/>
      <c r="AS171" s="649"/>
      <c r="AT171" s="652">
        <f t="shared" si="87"/>
        <v>5016</v>
      </c>
      <c r="AU171" s="649"/>
      <c r="AV171" s="654"/>
      <c r="AW171" s="652"/>
      <c r="AX171" s="652"/>
      <c r="AY171" s="652"/>
      <c r="AZ171" s="654"/>
      <c r="BA171" s="652"/>
      <c r="BB171" s="652"/>
      <c r="BC171" s="654"/>
      <c r="BD171" s="654"/>
      <c r="BE171" s="654"/>
      <c r="BF171" s="654"/>
      <c r="BG171" s="654"/>
      <c r="BH171" s="654"/>
      <c r="BI171" s="654"/>
      <c r="BJ171" s="654"/>
      <c r="BK171" s="654"/>
      <c r="BL171" s="654"/>
      <c r="BM171" s="654"/>
      <c r="BN171" s="654"/>
      <c r="BO171" s="654"/>
      <c r="BP171" s="654"/>
      <c r="BQ171" s="654"/>
      <c r="BR171" s="654"/>
      <c r="BS171" s="654"/>
      <c r="BT171" s="654"/>
      <c r="BU171" s="654"/>
      <c r="BV171" s="654"/>
      <c r="BW171" s="645" t="s">
        <v>109</v>
      </c>
      <c r="BX171" s="658">
        <f>I171/4</f>
        <v>1254</v>
      </c>
      <c r="BY171" s="658">
        <f>I171/4</f>
        <v>1254</v>
      </c>
      <c r="BZ171" s="658">
        <f>I171/4</f>
        <v>1254</v>
      </c>
      <c r="CA171" s="658">
        <f>I171/4</f>
        <v>1254</v>
      </c>
      <c r="CB171" s="644">
        <f t="shared" si="81"/>
        <v>5016</v>
      </c>
      <c r="CC171" s="675"/>
      <c r="CD171" s="644">
        <f t="shared" si="65"/>
        <v>5016</v>
      </c>
      <c r="CE171" s="644">
        <f t="shared" si="88"/>
        <v>0</v>
      </c>
    </row>
    <row r="172" s="338" customFormat="1" ht="40" customHeight="1" spans="1:83">
      <c r="A172" s="632">
        <v>45741</v>
      </c>
      <c r="B172" s="659" t="s">
        <v>1035</v>
      </c>
      <c r="C172" s="634" t="s">
        <v>178</v>
      </c>
      <c r="D172" s="635">
        <v>4500161332</v>
      </c>
      <c r="E172" s="659">
        <v>3501527773</v>
      </c>
      <c r="F172" s="636" t="s">
        <v>1036</v>
      </c>
      <c r="G172" s="637" t="s">
        <v>241</v>
      </c>
      <c r="H172" s="637" t="s">
        <v>99</v>
      </c>
      <c r="I172" s="638">
        <v>2409</v>
      </c>
      <c r="J172" s="638">
        <v>0</v>
      </c>
      <c r="K172" s="639">
        <v>11</v>
      </c>
      <c r="L172" s="639">
        <f t="shared" si="84"/>
        <v>219</v>
      </c>
      <c r="M172" s="641">
        <v>45796</v>
      </c>
      <c r="N172" s="641">
        <v>45792</v>
      </c>
      <c r="O172" s="641" t="s">
        <v>1037</v>
      </c>
      <c r="P172" s="642" t="s">
        <v>100</v>
      </c>
      <c r="Q172" s="643"/>
      <c r="R172" s="642" t="s">
        <v>1038</v>
      </c>
      <c r="S172" s="642"/>
      <c r="T172" s="642"/>
      <c r="U172" s="642" t="s">
        <v>113</v>
      </c>
      <c r="V172" s="642"/>
      <c r="W172" s="645"/>
      <c r="X172" s="647" t="s">
        <v>1039</v>
      </c>
      <c r="Y172" s="646" t="s">
        <v>1040</v>
      </c>
      <c r="Z172" s="683">
        <v>2.7313</v>
      </c>
      <c r="AA172" s="650">
        <f>I172*Z172</f>
        <v>6579.7017</v>
      </c>
      <c r="AB172" s="649">
        <v>2409</v>
      </c>
      <c r="AC172" s="649">
        <f t="shared" si="89"/>
        <v>0</v>
      </c>
      <c r="AD172" s="642" t="s">
        <v>113</v>
      </c>
      <c r="AE172" s="637" t="s">
        <v>597</v>
      </c>
      <c r="AF172" s="646" t="s">
        <v>107</v>
      </c>
      <c r="AG172" s="652" t="s">
        <v>43</v>
      </c>
      <c r="AH172" s="646"/>
      <c r="AI172" s="649"/>
      <c r="AJ172" s="649"/>
      <c r="AK172" s="649"/>
      <c r="AL172" s="649"/>
      <c r="AM172" s="649"/>
      <c r="AN172" s="649"/>
      <c r="AO172" s="649">
        <f>I172</f>
        <v>2409</v>
      </c>
      <c r="AP172" s="649"/>
      <c r="AQ172" s="653"/>
      <c r="AR172" s="649"/>
      <c r="AS172" s="649"/>
      <c r="AT172" s="652">
        <f t="shared" si="87"/>
        <v>2409</v>
      </c>
      <c r="AU172" s="649"/>
      <c r="AV172" s="654"/>
      <c r="AW172" s="652"/>
      <c r="AX172" s="652"/>
      <c r="AY172" s="652"/>
      <c r="AZ172" s="654"/>
      <c r="BA172" s="652">
        <f>I172/11</f>
        <v>219</v>
      </c>
      <c r="BB172" s="652"/>
      <c r="BC172" s="654"/>
      <c r="BD172" s="654"/>
      <c r="BE172" s="654"/>
      <c r="BF172" s="654"/>
      <c r="BG172" s="654"/>
      <c r="BH172" s="654"/>
      <c r="BI172" s="654"/>
      <c r="BJ172" s="654"/>
      <c r="BK172" s="654"/>
      <c r="BL172" s="654"/>
      <c r="BM172" s="654"/>
      <c r="BN172" s="654"/>
      <c r="BO172" s="654"/>
      <c r="BP172" s="654"/>
      <c r="BQ172" s="654"/>
      <c r="BR172" s="654"/>
      <c r="BS172" s="654"/>
      <c r="BT172" s="654"/>
      <c r="BU172" s="654"/>
      <c r="BV172" s="654"/>
      <c r="BW172" s="645" t="s">
        <v>109</v>
      </c>
      <c r="BX172" s="658">
        <f>I172/22*5</f>
        <v>547.5</v>
      </c>
      <c r="BY172" s="658">
        <f>I172/22*6</f>
        <v>657</v>
      </c>
      <c r="BZ172" s="658">
        <f>I172/22*6</f>
        <v>657</v>
      </c>
      <c r="CA172" s="658">
        <f>I172/22*5</f>
        <v>547.5</v>
      </c>
      <c r="CB172" s="644">
        <f t="shared" si="81"/>
        <v>2409</v>
      </c>
      <c r="CC172" s="658">
        <f>I172/11</f>
        <v>219</v>
      </c>
      <c r="CD172" s="644">
        <f t="shared" si="65"/>
        <v>2409</v>
      </c>
      <c r="CE172" s="644">
        <f t="shared" si="88"/>
        <v>0</v>
      </c>
    </row>
    <row r="173" s="338" customFormat="1" ht="40" customHeight="1" spans="1:83">
      <c r="A173" s="632">
        <v>45754</v>
      </c>
      <c r="B173" s="659" t="s">
        <v>896</v>
      </c>
      <c r="C173" s="634" t="s">
        <v>267</v>
      </c>
      <c r="D173" s="635">
        <v>4500162692</v>
      </c>
      <c r="E173" s="659">
        <v>20756002</v>
      </c>
      <c r="F173" s="636" t="s">
        <v>1041</v>
      </c>
      <c r="G173" s="637" t="s">
        <v>648</v>
      </c>
      <c r="H173" s="637" t="s">
        <v>99</v>
      </c>
      <c r="I173" s="638">
        <v>102</v>
      </c>
      <c r="J173" s="638">
        <v>0</v>
      </c>
      <c r="K173" s="639">
        <v>6</v>
      </c>
      <c r="L173" s="639">
        <f t="shared" si="84"/>
        <v>17</v>
      </c>
      <c r="M173" s="641">
        <v>45796</v>
      </c>
      <c r="N173" s="641">
        <v>45792</v>
      </c>
      <c r="O173" s="641"/>
      <c r="P173" s="642" t="s">
        <v>100</v>
      </c>
      <c r="Q173" s="682" t="s">
        <v>1042</v>
      </c>
      <c r="R173" s="642" t="s">
        <v>1043</v>
      </c>
      <c r="S173" s="642"/>
      <c r="T173" s="642"/>
      <c r="U173" s="642" t="s">
        <v>1044</v>
      </c>
      <c r="V173" s="642"/>
      <c r="W173" s="645"/>
      <c r="X173" s="647" t="s">
        <v>1045</v>
      </c>
      <c r="Y173" s="646" t="s">
        <v>653</v>
      </c>
      <c r="Z173" s="648">
        <v>2.699</v>
      </c>
      <c r="AA173" s="650">
        <f>I173*Z173</f>
        <v>275.298</v>
      </c>
      <c r="AB173" s="649">
        <v>102</v>
      </c>
      <c r="AC173" s="649">
        <f t="shared" si="89"/>
        <v>0</v>
      </c>
      <c r="AD173" s="650" t="s">
        <v>123</v>
      </c>
      <c r="AE173" s="661" t="s">
        <v>648</v>
      </c>
      <c r="AF173" s="646" t="s">
        <v>107</v>
      </c>
      <c r="AG173" s="652" t="s">
        <v>43</v>
      </c>
      <c r="AH173" s="646"/>
      <c r="AI173" s="649"/>
      <c r="AJ173" s="649"/>
      <c r="AK173" s="649"/>
      <c r="AL173" s="652">
        <f>I173</f>
        <v>102</v>
      </c>
      <c r="AM173" s="652"/>
      <c r="AN173" s="649"/>
      <c r="AO173" s="649"/>
      <c r="AP173" s="649"/>
      <c r="AQ173" s="653"/>
      <c r="AR173" s="649"/>
      <c r="AS173" s="649"/>
      <c r="AT173" s="652">
        <f t="shared" ref="AT173:AT181" si="90">I173</f>
        <v>102</v>
      </c>
      <c r="AU173" s="649"/>
      <c r="AV173" s="654"/>
      <c r="AW173" s="652"/>
      <c r="AX173" s="652"/>
      <c r="AY173" s="652"/>
      <c r="AZ173" s="654"/>
      <c r="BA173" s="652"/>
      <c r="BB173" s="652"/>
      <c r="BC173" s="654"/>
      <c r="BD173" s="654"/>
      <c r="BE173" s="652">
        <f>I173/6</f>
        <v>17</v>
      </c>
      <c r="BF173" s="654"/>
      <c r="BG173" s="654"/>
      <c r="BH173" s="654"/>
      <c r="BI173" s="654"/>
      <c r="BJ173" s="654"/>
      <c r="BK173" s="654"/>
      <c r="BL173" s="654"/>
      <c r="BM173" s="654"/>
      <c r="BN173" s="654"/>
      <c r="BO173" s="654"/>
      <c r="BP173" s="654"/>
      <c r="BQ173" s="654"/>
      <c r="BR173" s="654"/>
      <c r="BS173" s="654"/>
      <c r="BT173" s="654"/>
      <c r="BU173" s="654"/>
      <c r="BV173" s="654"/>
      <c r="BW173" s="645" t="s">
        <v>109</v>
      </c>
      <c r="BX173" s="658">
        <f>I173/4</f>
        <v>25.5</v>
      </c>
      <c r="BY173" s="658">
        <f>I173/4</f>
        <v>25.5</v>
      </c>
      <c r="BZ173" s="658">
        <f>I173/4</f>
        <v>25.5</v>
      </c>
      <c r="CA173" s="658">
        <f>I173/4</f>
        <v>25.5</v>
      </c>
      <c r="CB173" s="644">
        <f t="shared" si="81"/>
        <v>102</v>
      </c>
      <c r="CC173" s="644"/>
      <c r="CD173" s="644">
        <f t="shared" si="65"/>
        <v>102</v>
      </c>
      <c r="CE173" s="644">
        <f t="shared" si="88"/>
        <v>0</v>
      </c>
    </row>
    <row r="174" s="338" customFormat="1" ht="40" customHeight="1" spans="1:83">
      <c r="A174" s="632">
        <v>45754</v>
      </c>
      <c r="B174" s="659" t="s">
        <v>646</v>
      </c>
      <c r="C174" s="634" t="s">
        <v>247</v>
      </c>
      <c r="D174" s="635">
        <v>4500162690</v>
      </c>
      <c r="E174" s="659">
        <v>20756001</v>
      </c>
      <c r="F174" s="636" t="s">
        <v>1046</v>
      </c>
      <c r="G174" s="637" t="s">
        <v>648</v>
      </c>
      <c r="H174" s="637" t="s">
        <v>99</v>
      </c>
      <c r="I174" s="638">
        <v>1398</v>
      </c>
      <c r="J174" s="638">
        <v>0</v>
      </c>
      <c r="K174" s="639">
        <v>6</v>
      </c>
      <c r="L174" s="639">
        <f t="shared" si="84"/>
        <v>233</v>
      </c>
      <c r="M174" s="641">
        <v>45796</v>
      </c>
      <c r="N174" s="641">
        <v>45792</v>
      </c>
      <c r="O174" s="641"/>
      <c r="P174" s="642" t="s">
        <v>100</v>
      </c>
      <c r="Q174" s="682" t="s">
        <v>1042</v>
      </c>
      <c r="R174" s="642" t="s">
        <v>1043</v>
      </c>
      <c r="S174" s="642"/>
      <c r="T174" s="642"/>
      <c r="U174" s="642" t="s">
        <v>1044</v>
      </c>
      <c r="V174" s="642"/>
      <c r="W174" s="645"/>
      <c r="X174" s="647" t="s">
        <v>1047</v>
      </c>
      <c r="Y174" s="646" t="s">
        <v>653</v>
      </c>
      <c r="Z174" s="648">
        <v>2.6851</v>
      </c>
      <c r="AA174" s="650">
        <f>I174*Z174</f>
        <v>3753.7698</v>
      </c>
      <c r="AB174" s="649">
        <v>1398</v>
      </c>
      <c r="AC174" s="649">
        <f t="shared" si="89"/>
        <v>0</v>
      </c>
      <c r="AD174" s="650" t="s">
        <v>106</v>
      </c>
      <c r="AE174" s="661" t="s">
        <v>648</v>
      </c>
      <c r="AF174" s="646" t="s">
        <v>107</v>
      </c>
      <c r="AG174" s="652" t="s">
        <v>43</v>
      </c>
      <c r="AH174" s="646"/>
      <c r="AI174" s="649"/>
      <c r="AJ174" s="649"/>
      <c r="AK174" s="649"/>
      <c r="AL174" s="652">
        <f>I174</f>
        <v>1398</v>
      </c>
      <c r="AM174" s="652"/>
      <c r="AN174" s="649"/>
      <c r="AO174" s="649"/>
      <c r="AP174" s="649"/>
      <c r="AQ174" s="653"/>
      <c r="AR174" s="649"/>
      <c r="AS174" s="649"/>
      <c r="AT174" s="652">
        <f t="shared" si="90"/>
        <v>1398</v>
      </c>
      <c r="AU174" s="649"/>
      <c r="AV174" s="654"/>
      <c r="AW174" s="652"/>
      <c r="AX174" s="652"/>
      <c r="AY174" s="652"/>
      <c r="AZ174" s="654"/>
      <c r="BA174" s="652"/>
      <c r="BB174" s="652"/>
      <c r="BC174" s="654"/>
      <c r="BD174" s="654"/>
      <c r="BE174" s="652">
        <f>I174/6</f>
        <v>233</v>
      </c>
      <c r="BF174" s="654"/>
      <c r="BG174" s="654"/>
      <c r="BH174" s="654"/>
      <c r="BI174" s="654"/>
      <c r="BJ174" s="654"/>
      <c r="BK174" s="654"/>
      <c r="BL174" s="654"/>
      <c r="BM174" s="654"/>
      <c r="BN174" s="654"/>
      <c r="BO174" s="654"/>
      <c r="BP174" s="654"/>
      <c r="BQ174" s="654"/>
      <c r="BR174" s="654"/>
      <c r="BS174" s="654"/>
      <c r="BT174" s="654"/>
      <c r="BU174" s="654"/>
      <c r="BV174" s="654"/>
      <c r="BW174" s="645" t="s">
        <v>109</v>
      </c>
      <c r="BX174" s="658">
        <f>I174/4</f>
        <v>349.5</v>
      </c>
      <c r="BY174" s="658">
        <f>I174/4</f>
        <v>349.5</v>
      </c>
      <c r="BZ174" s="658">
        <f>I174/4</f>
        <v>349.5</v>
      </c>
      <c r="CA174" s="658">
        <f>I174/4</f>
        <v>349.5</v>
      </c>
      <c r="CB174" s="644">
        <f t="shared" si="81"/>
        <v>1398</v>
      </c>
      <c r="CC174" s="644"/>
      <c r="CD174" s="644">
        <f t="shared" si="65"/>
        <v>1398</v>
      </c>
      <c r="CE174" s="644">
        <f t="shared" si="88"/>
        <v>0</v>
      </c>
    </row>
    <row r="175" s="338" customFormat="1" ht="40" customHeight="1" spans="1:83">
      <c r="A175" s="632">
        <v>45749</v>
      </c>
      <c r="B175" s="659" t="s">
        <v>1048</v>
      </c>
      <c r="C175" s="634" t="s">
        <v>1024</v>
      </c>
      <c r="D175" s="635">
        <v>4500162375</v>
      </c>
      <c r="E175" s="659">
        <v>20106</v>
      </c>
      <c r="F175" s="636" t="s">
        <v>1049</v>
      </c>
      <c r="G175" s="637" t="s">
        <v>241</v>
      </c>
      <c r="H175" s="637" t="s">
        <v>99</v>
      </c>
      <c r="I175" s="638">
        <v>220</v>
      </c>
      <c r="J175" s="638">
        <v>0</v>
      </c>
      <c r="K175" s="639">
        <v>11</v>
      </c>
      <c r="L175" s="639">
        <f t="shared" si="84"/>
        <v>20</v>
      </c>
      <c r="M175" s="641">
        <v>45797</v>
      </c>
      <c r="N175" s="641">
        <f>M175-4</f>
        <v>45793</v>
      </c>
      <c r="O175" s="641"/>
      <c r="P175" s="642" t="s">
        <v>100</v>
      </c>
      <c r="Q175" s="643" t="s">
        <v>1050</v>
      </c>
      <c r="R175" s="642" t="s">
        <v>1051</v>
      </c>
      <c r="S175" s="642"/>
      <c r="T175" s="642"/>
      <c r="U175" s="642" t="s">
        <v>1052</v>
      </c>
      <c r="V175" s="642"/>
      <c r="W175" s="645"/>
      <c r="X175" s="647" t="s">
        <v>1053</v>
      </c>
      <c r="Y175" s="646" t="s">
        <v>1054</v>
      </c>
      <c r="Z175" s="648">
        <v>2.726</v>
      </c>
      <c r="AA175" s="650">
        <f>Z175*I175</f>
        <v>599.72</v>
      </c>
      <c r="AB175" s="649">
        <v>220</v>
      </c>
      <c r="AC175" s="649">
        <f t="shared" si="89"/>
        <v>0</v>
      </c>
      <c r="AD175" s="650" t="s">
        <v>106</v>
      </c>
      <c r="AE175" s="637" t="s">
        <v>597</v>
      </c>
      <c r="AF175" s="646" t="s">
        <v>107</v>
      </c>
      <c r="AG175" s="652" t="s">
        <v>43</v>
      </c>
      <c r="AH175" s="646"/>
      <c r="AI175" s="649"/>
      <c r="AJ175" s="649"/>
      <c r="AK175" s="649"/>
      <c r="AL175" s="649"/>
      <c r="AM175" s="649"/>
      <c r="AN175" s="649"/>
      <c r="AO175" s="649">
        <f>I175</f>
        <v>220</v>
      </c>
      <c r="AP175" s="649"/>
      <c r="AQ175" s="653"/>
      <c r="AR175" s="649"/>
      <c r="AS175" s="649"/>
      <c r="AT175" s="652">
        <f t="shared" si="90"/>
        <v>220</v>
      </c>
      <c r="AU175" s="649"/>
      <c r="AV175" s="654"/>
      <c r="AW175" s="652"/>
      <c r="AX175" s="652"/>
      <c r="AY175" s="652"/>
      <c r="AZ175" s="654"/>
      <c r="BA175" s="652">
        <f>I175/11</f>
        <v>20</v>
      </c>
      <c r="BB175" s="652"/>
      <c r="BC175" s="654"/>
      <c r="BD175" s="654"/>
      <c r="BE175" s="654"/>
      <c r="BF175" s="654"/>
      <c r="BG175" s="654"/>
      <c r="BH175" s="654"/>
      <c r="BI175" s="654"/>
      <c r="BJ175" s="654"/>
      <c r="BK175" s="654"/>
      <c r="BL175" s="654"/>
      <c r="BM175" s="654"/>
      <c r="BN175" s="654"/>
      <c r="BO175" s="654"/>
      <c r="BP175" s="654"/>
      <c r="BQ175" s="654"/>
      <c r="BR175" s="654"/>
      <c r="BS175" s="654"/>
      <c r="BT175" s="654"/>
      <c r="BU175" s="654"/>
      <c r="BV175" s="654"/>
      <c r="BW175" s="645" t="s">
        <v>109</v>
      </c>
      <c r="BX175" s="658">
        <f>I175/22*5</f>
        <v>50</v>
      </c>
      <c r="BY175" s="658">
        <f>I175/22*6</f>
        <v>60</v>
      </c>
      <c r="BZ175" s="658">
        <f>I175/22*6</f>
        <v>60</v>
      </c>
      <c r="CA175" s="658">
        <f>I175/22*5</f>
        <v>50</v>
      </c>
      <c r="CB175" s="644">
        <f t="shared" si="81"/>
        <v>220</v>
      </c>
      <c r="CC175" s="658">
        <f>I175/11</f>
        <v>20</v>
      </c>
      <c r="CD175" s="644">
        <f t="shared" si="65"/>
        <v>220</v>
      </c>
      <c r="CE175" s="644">
        <f t="shared" si="88"/>
        <v>0</v>
      </c>
    </row>
    <row r="176" s="338" customFormat="1" ht="40" customHeight="1" spans="1:83">
      <c r="A176" s="632">
        <v>45722</v>
      </c>
      <c r="B176" s="659" t="s">
        <v>1055</v>
      </c>
      <c r="C176" s="634" t="s">
        <v>214</v>
      </c>
      <c r="D176" s="635">
        <v>4500159089</v>
      </c>
      <c r="E176" s="659" t="s">
        <v>1056</v>
      </c>
      <c r="F176" s="636" t="s">
        <v>1057</v>
      </c>
      <c r="G176" s="637" t="s">
        <v>111</v>
      </c>
      <c r="H176" s="637" t="s">
        <v>99</v>
      </c>
      <c r="I176" s="638">
        <v>2112</v>
      </c>
      <c r="J176" s="638">
        <v>0</v>
      </c>
      <c r="K176" s="639">
        <v>22</v>
      </c>
      <c r="L176" s="639">
        <f t="shared" si="84"/>
        <v>96</v>
      </c>
      <c r="M176" s="641">
        <v>45800</v>
      </c>
      <c r="N176" s="641">
        <f>M176-4</f>
        <v>45796</v>
      </c>
      <c r="O176" s="641"/>
      <c r="P176" s="642" t="s">
        <v>100</v>
      </c>
      <c r="Q176" s="643"/>
      <c r="R176" s="642" t="s">
        <v>1058</v>
      </c>
      <c r="S176" s="642"/>
      <c r="T176" s="642"/>
      <c r="U176" s="642" t="s">
        <v>113</v>
      </c>
      <c r="V176" s="642"/>
      <c r="W176" s="645"/>
      <c r="X176" s="647" t="s">
        <v>1059</v>
      </c>
      <c r="Y176" s="646" t="s">
        <v>1060</v>
      </c>
      <c r="Z176" s="683">
        <v>2.7943</v>
      </c>
      <c r="AA176" s="650">
        <f t="shared" ref="AA176:AA186" si="91">I176*Z176</f>
        <v>5901.5616</v>
      </c>
      <c r="AB176" s="649">
        <v>2112</v>
      </c>
      <c r="AC176" s="649">
        <f t="shared" si="89"/>
        <v>0</v>
      </c>
      <c r="AD176" s="642" t="s">
        <v>113</v>
      </c>
      <c r="AE176" s="661" t="s">
        <v>111</v>
      </c>
      <c r="AF176" s="646" t="s">
        <v>107</v>
      </c>
      <c r="AG176" s="652" t="s">
        <v>43</v>
      </c>
      <c r="AH176" s="646" t="s">
        <v>1061</v>
      </c>
      <c r="AI176" s="649"/>
      <c r="AJ176" s="649"/>
      <c r="AK176" s="649"/>
      <c r="AL176" s="652">
        <f>I176</f>
        <v>2112</v>
      </c>
      <c r="AM176" s="652"/>
      <c r="AN176" s="649"/>
      <c r="AO176" s="649"/>
      <c r="AP176" s="649"/>
      <c r="AQ176" s="653"/>
      <c r="AR176" s="649"/>
      <c r="AS176" s="649"/>
      <c r="AT176" s="652">
        <f t="shared" si="90"/>
        <v>2112</v>
      </c>
      <c r="AU176" s="649"/>
      <c r="AV176" s="654"/>
      <c r="AW176" s="652"/>
      <c r="AX176" s="652">
        <f>I176/11</f>
        <v>192</v>
      </c>
      <c r="AY176" s="652"/>
      <c r="AZ176" s="654"/>
      <c r="BA176" s="652"/>
      <c r="BB176" s="652"/>
      <c r="BC176" s="654"/>
      <c r="BD176" s="654"/>
      <c r="BE176" s="654"/>
      <c r="BF176" s="654"/>
      <c r="BG176" s="654"/>
      <c r="BH176" s="654"/>
      <c r="BI176" s="654"/>
      <c r="BJ176" s="654"/>
      <c r="BK176" s="654"/>
      <c r="BL176" s="654"/>
      <c r="BM176" s="654"/>
      <c r="BN176" s="654"/>
      <c r="BO176" s="654"/>
      <c r="BP176" s="654"/>
      <c r="BQ176" s="654"/>
      <c r="BR176" s="654"/>
      <c r="BS176" s="654"/>
      <c r="BT176" s="654"/>
      <c r="BU176" s="654"/>
      <c r="BV176" s="654"/>
      <c r="BW176" s="645" t="s">
        <v>109</v>
      </c>
      <c r="BX176" s="658">
        <f>I176/22*5</f>
        <v>480</v>
      </c>
      <c r="BY176" s="658">
        <f>I176/22*6</f>
        <v>576</v>
      </c>
      <c r="BZ176" s="658">
        <f>I176/22*6</f>
        <v>576</v>
      </c>
      <c r="CA176" s="658">
        <f>I176/22*5</f>
        <v>480</v>
      </c>
      <c r="CB176" s="644">
        <f t="shared" si="81"/>
        <v>2112</v>
      </c>
      <c r="CC176" s="658">
        <f>I176/11</f>
        <v>192</v>
      </c>
      <c r="CD176" s="644">
        <f t="shared" si="65"/>
        <v>2112</v>
      </c>
      <c r="CE176" s="644">
        <f t="shared" si="88"/>
        <v>0</v>
      </c>
    </row>
    <row r="177" s="338" customFormat="1" ht="40" customHeight="1" spans="1:83">
      <c r="A177" s="632">
        <v>45749</v>
      </c>
      <c r="B177" s="633" t="s">
        <v>1062</v>
      </c>
      <c r="C177" s="634" t="s">
        <v>1063</v>
      </c>
      <c r="D177" s="635">
        <v>4500161573</v>
      </c>
      <c r="E177" s="659">
        <v>4100411993</v>
      </c>
      <c r="F177" s="636" t="s">
        <v>1064</v>
      </c>
      <c r="G177" s="637" t="s">
        <v>241</v>
      </c>
      <c r="H177" s="637" t="s">
        <v>99</v>
      </c>
      <c r="I177" s="638">
        <v>275</v>
      </c>
      <c r="J177" s="638">
        <v>0</v>
      </c>
      <c r="K177" s="639">
        <v>11</v>
      </c>
      <c r="L177" s="639">
        <f t="shared" si="84"/>
        <v>25</v>
      </c>
      <c r="M177" s="641">
        <v>45803</v>
      </c>
      <c r="N177" s="641">
        <v>45799</v>
      </c>
      <c r="O177" s="641"/>
      <c r="P177" s="642" t="s">
        <v>100</v>
      </c>
      <c r="Q177" s="643" t="s">
        <v>1065</v>
      </c>
      <c r="R177" s="642" t="s">
        <v>1066</v>
      </c>
      <c r="S177" s="641"/>
      <c r="T177" s="641"/>
      <c r="U177" s="642" t="s">
        <v>1067</v>
      </c>
      <c r="V177" s="642"/>
      <c r="W177" s="645"/>
      <c r="X177" s="647" t="s">
        <v>1068</v>
      </c>
      <c r="Y177" s="646" t="s">
        <v>1029</v>
      </c>
      <c r="Z177" s="683">
        <v>2.6944</v>
      </c>
      <c r="AA177" s="650">
        <f t="shared" si="91"/>
        <v>740.96</v>
      </c>
      <c r="AB177" s="649">
        <v>275</v>
      </c>
      <c r="AC177" s="649">
        <f t="shared" si="89"/>
        <v>0</v>
      </c>
      <c r="AD177" s="650" t="s">
        <v>106</v>
      </c>
      <c r="AE177" s="637" t="s">
        <v>597</v>
      </c>
      <c r="AF177" s="646" t="s">
        <v>107</v>
      </c>
      <c r="AG177" s="652" t="s">
        <v>43</v>
      </c>
      <c r="AH177" s="646"/>
      <c r="AI177" s="649"/>
      <c r="AJ177" s="649"/>
      <c r="AK177" s="649"/>
      <c r="AL177" s="649"/>
      <c r="AM177" s="649"/>
      <c r="AN177" s="649"/>
      <c r="AO177" s="649">
        <f>I177</f>
        <v>275</v>
      </c>
      <c r="AP177" s="649"/>
      <c r="AQ177" s="653"/>
      <c r="AR177" s="649"/>
      <c r="AS177" s="649"/>
      <c r="AT177" s="652">
        <f t="shared" si="90"/>
        <v>275</v>
      </c>
      <c r="AU177" s="649"/>
      <c r="AV177" s="654"/>
      <c r="AW177" s="654"/>
      <c r="AX177" s="652"/>
      <c r="AY177" s="652"/>
      <c r="AZ177" s="654"/>
      <c r="BA177" s="652">
        <f>I177/11</f>
        <v>25</v>
      </c>
      <c r="BB177" s="652"/>
      <c r="BC177" s="654"/>
      <c r="BD177" s="654"/>
      <c r="BE177" s="654"/>
      <c r="BF177" s="654"/>
      <c r="BG177" s="654"/>
      <c r="BH177" s="654"/>
      <c r="BI177" s="654"/>
      <c r="BJ177" s="654"/>
      <c r="BK177" s="654"/>
      <c r="BL177" s="654"/>
      <c r="BM177" s="654"/>
      <c r="BN177" s="654"/>
      <c r="BO177" s="654"/>
      <c r="BP177" s="654"/>
      <c r="BQ177" s="654"/>
      <c r="BR177" s="654"/>
      <c r="BS177" s="654"/>
      <c r="BT177" s="654"/>
      <c r="BU177" s="654"/>
      <c r="BV177" s="654"/>
      <c r="BW177" s="645" t="s">
        <v>109</v>
      </c>
      <c r="BX177" s="658">
        <f>I177/22*5</f>
        <v>62.5</v>
      </c>
      <c r="BY177" s="658">
        <f>I177/22*6</f>
        <v>75</v>
      </c>
      <c r="BZ177" s="658">
        <f>I177/22*6</f>
        <v>75</v>
      </c>
      <c r="CA177" s="658">
        <f>I177/22*5</f>
        <v>62.5</v>
      </c>
      <c r="CB177" s="644">
        <f t="shared" si="81"/>
        <v>275</v>
      </c>
      <c r="CC177" s="658">
        <f>I177/11</f>
        <v>25</v>
      </c>
      <c r="CD177" s="644">
        <f t="shared" si="65"/>
        <v>275</v>
      </c>
      <c r="CE177" s="644">
        <f t="shared" si="88"/>
        <v>0</v>
      </c>
    </row>
    <row r="178" s="338" customFormat="1" ht="40" customHeight="1" spans="1:83">
      <c r="A178" s="632">
        <v>45756</v>
      </c>
      <c r="B178" s="633" t="s">
        <v>646</v>
      </c>
      <c r="C178" s="634" t="s">
        <v>247</v>
      </c>
      <c r="D178" s="635">
        <v>4500162968</v>
      </c>
      <c r="E178" s="659">
        <v>20768435</v>
      </c>
      <c r="F178" s="636" t="s">
        <v>1069</v>
      </c>
      <c r="G178" s="637" t="s">
        <v>648</v>
      </c>
      <c r="H178" s="637" t="s">
        <v>99</v>
      </c>
      <c r="I178" s="638">
        <v>1410</v>
      </c>
      <c r="J178" s="638">
        <v>0</v>
      </c>
      <c r="K178" s="639">
        <v>6</v>
      </c>
      <c r="L178" s="639">
        <f t="shared" si="84"/>
        <v>235</v>
      </c>
      <c r="M178" s="641">
        <v>45803</v>
      </c>
      <c r="N178" s="641">
        <v>45799</v>
      </c>
      <c r="O178" s="641"/>
      <c r="P178" s="642" t="s">
        <v>100</v>
      </c>
      <c r="Q178" s="643" t="s">
        <v>1070</v>
      </c>
      <c r="R178" s="642" t="s">
        <v>1066</v>
      </c>
      <c r="S178" s="641"/>
      <c r="T178" s="641"/>
      <c r="U178" s="642" t="s">
        <v>1071</v>
      </c>
      <c r="V178" s="642"/>
      <c r="W178" s="645"/>
      <c r="X178" s="647" t="s">
        <v>1072</v>
      </c>
      <c r="Y178" s="646" t="s">
        <v>653</v>
      </c>
      <c r="Z178" s="648">
        <v>2.6851</v>
      </c>
      <c r="AA178" s="650">
        <f t="shared" si="91"/>
        <v>3785.991</v>
      </c>
      <c r="AB178" s="649">
        <v>1410</v>
      </c>
      <c r="AC178" s="649">
        <f t="shared" si="89"/>
        <v>0</v>
      </c>
      <c r="AD178" s="650" t="s">
        <v>106</v>
      </c>
      <c r="AE178" s="661" t="s">
        <v>648</v>
      </c>
      <c r="AF178" s="646" t="s">
        <v>107</v>
      </c>
      <c r="AG178" s="652" t="s">
        <v>43</v>
      </c>
      <c r="AH178" s="646"/>
      <c r="AI178" s="649"/>
      <c r="AJ178" s="649"/>
      <c r="AK178" s="649"/>
      <c r="AL178" s="652">
        <f t="shared" ref="AL178:AL188" si="92">I178</f>
        <v>1410</v>
      </c>
      <c r="AM178" s="652"/>
      <c r="AN178" s="649"/>
      <c r="AO178" s="649"/>
      <c r="AP178" s="649"/>
      <c r="AQ178" s="653"/>
      <c r="AR178" s="649"/>
      <c r="AS178" s="649"/>
      <c r="AT178" s="652">
        <f t="shared" si="90"/>
        <v>1410</v>
      </c>
      <c r="AU178" s="649"/>
      <c r="AV178" s="654"/>
      <c r="AW178" s="654"/>
      <c r="AX178" s="652"/>
      <c r="AY178" s="652"/>
      <c r="AZ178" s="654"/>
      <c r="BA178" s="652"/>
      <c r="BB178" s="652"/>
      <c r="BC178" s="654"/>
      <c r="BD178" s="654"/>
      <c r="BE178" s="652">
        <f>I178/6</f>
        <v>235</v>
      </c>
      <c r="BF178" s="654"/>
      <c r="BG178" s="654"/>
      <c r="BH178" s="654"/>
      <c r="BI178" s="654"/>
      <c r="BJ178" s="654"/>
      <c r="BK178" s="654"/>
      <c r="BL178" s="654"/>
      <c r="BM178" s="654"/>
      <c r="BN178" s="654"/>
      <c r="BO178" s="654"/>
      <c r="BP178" s="654"/>
      <c r="BQ178" s="654"/>
      <c r="BR178" s="654"/>
      <c r="BS178" s="654"/>
      <c r="BT178" s="654"/>
      <c r="BU178" s="654"/>
      <c r="BV178" s="654"/>
      <c r="BW178" s="645" t="s">
        <v>109</v>
      </c>
      <c r="BX178" s="658">
        <f>I178/4</f>
        <v>352.5</v>
      </c>
      <c r="BY178" s="658">
        <f>I178/4</f>
        <v>352.5</v>
      </c>
      <c r="BZ178" s="658">
        <f>I178/4</f>
        <v>352.5</v>
      </c>
      <c r="CA178" s="658">
        <f>I178/4</f>
        <v>352.5</v>
      </c>
      <c r="CB178" s="644">
        <f t="shared" si="81"/>
        <v>1410</v>
      </c>
      <c r="CC178" s="644"/>
      <c r="CD178" s="644">
        <f>SUM(BX178:CA178)</f>
        <v>1410</v>
      </c>
      <c r="CE178" s="644">
        <f t="shared" si="88"/>
        <v>0</v>
      </c>
    </row>
    <row r="179" s="338" customFormat="1" ht="40" customHeight="1" spans="1:83">
      <c r="A179" s="632">
        <v>45756</v>
      </c>
      <c r="B179" s="633" t="s">
        <v>896</v>
      </c>
      <c r="C179" s="634" t="s">
        <v>267</v>
      </c>
      <c r="D179" s="635">
        <v>4500162969</v>
      </c>
      <c r="E179" s="666">
        <v>20768436</v>
      </c>
      <c r="F179" s="636" t="s">
        <v>1073</v>
      </c>
      <c r="G179" s="637" t="s">
        <v>648</v>
      </c>
      <c r="H179" s="637" t="s">
        <v>99</v>
      </c>
      <c r="I179" s="638">
        <v>90</v>
      </c>
      <c r="J179" s="638">
        <v>0</v>
      </c>
      <c r="K179" s="639">
        <v>6</v>
      </c>
      <c r="L179" s="639">
        <f t="shared" si="84"/>
        <v>15</v>
      </c>
      <c r="M179" s="641">
        <v>45803</v>
      </c>
      <c r="N179" s="641">
        <v>45799</v>
      </c>
      <c r="O179" s="641"/>
      <c r="P179" s="642" t="s">
        <v>100</v>
      </c>
      <c r="Q179" s="643" t="s">
        <v>1070</v>
      </c>
      <c r="R179" s="642" t="s">
        <v>1066</v>
      </c>
      <c r="S179" s="641"/>
      <c r="T179" s="641"/>
      <c r="U179" s="642" t="s">
        <v>1071</v>
      </c>
      <c r="V179" s="642"/>
      <c r="W179" s="645"/>
      <c r="X179" s="647" t="s">
        <v>898</v>
      </c>
      <c r="Y179" s="646" t="s">
        <v>653</v>
      </c>
      <c r="Z179" s="648">
        <v>2.699</v>
      </c>
      <c r="AA179" s="650">
        <f t="shared" si="91"/>
        <v>242.91</v>
      </c>
      <c r="AB179" s="649">
        <v>90</v>
      </c>
      <c r="AC179" s="649">
        <f t="shared" si="89"/>
        <v>0</v>
      </c>
      <c r="AD179" s="650" t="s">
        <v>106</v>
      </c>
      <c r="AE179" s="661" t="s">
        <v>648</v>
      </c>
      <c r="AF179" s="646" t="s">
        <v>107</v>
      </c>
      <c r="AG179" s="652" t="s">
        <v>43</v>
      </c>
      <c r="AH179" s="646"/>
      <c r="AI179" s="649"/>
      <c r="AJ179" s="649"/>
      <c r="AK179" s="649"/>
      <c r="AL179" s="652">
        <f t="shared" si="92"/>
        <v>90</v>
      </c>
      <c r="AM179" s="652"/>
      <c r="AN179" s="649"/>
      <c r="AO179" s="649"/>
      <c r="AP179" s="649"/>
      <c r="AQ179" s="653"/>
      <c r="AR179" s="649"/>
      <c r="AS179" s="649"/>
      <c r="AT179" s="652">
        <f t="shared" si="90"/>
        <v>90</v>
      </c>
      <c r="AU179" s="649"/>
      <c r="AV179" s="654"/>
      <c r="AW179" s="654"/>
      <c r="AX179" s="652"/>
      <c r="AY179" s="652"/>
      <c r="AZ179" s="654"/>
      <c r="BA179" s="652"/>
      <c r="BB179" s="652"/>
      <c r="BC179" s="654"/>
      <c r="BD179" s="654"/>
      <c r="BE179" s="652">
        <f>I179/6</f>
        <v>15</v>
      </c>
      <c r="BF179" s="654"/>
      <c r="BG179" s="654"/>
      <c r="BH179" s="654"/>
      <c r="BI179" s="654"/>
      <c r="BJ179" s="654"/>
      <c r="BK179" s="654"/>
      <c r="BL179" s="654"/>
      <c r="BM179" s="654"/>
      <c r="BN179" s="654"/>
      <c r="BO179" s="654"/>
      <c r="BP179" s="654"/>
      <c r="BQ179" s="654"/>
      <c r="BR179" s="654"/>
      <c r="BS179" s="654"/>
      <c r="BT179" s="654"/>
      <c r="BU179" s="654"/>
      <c r="BV179" s="654"/>
      <c r="BW179" s="645" t="s">
        <v>109</v>
      </c>
      <c r="BX179" s="658">
        <f>I179/4</f>
        <v>22.5</v>
      </c>
      <c r="BY179" s="658">
        <f>I179/4</f>
        <v>22.5</v>
      </c>
      <c r="BZ179" s="658">
        <f>I179/4</f>
        <v>22.5</v>
      </c>
      <c r="CA179" s="658">
        <f>I179/4</f>
        <v>22.5</v>
      </c>
      <c r="CB179" s="644">
        <f t="shared" si="81"/>
        <v>90</v>
      </c>
      <c r="CC179" s="644"/>
      <c r="CD179" s="644">
        <f>SUM(BX179:CA179)</f>
        <v>90</v>
      </c>
      <c r="CE179" s="644">
        <f t="shared" si="88"/>
        <v>0</v>
      </c>
    </row>
    <row r="180" s="338" customFormat="1" ht="40" customHeight="1" spans="1:83">
      <c r="A180" s="632">
        <v>45727</v>
      </c>
      <c r="B180" s="659" t="s">
        <v>1074</v>
      </c>
      <c r="C180" s="634" t="s">
        <v>380</v>
      </c>
      <c r="D180" s="635">
        <v>4500159586</v>
      </c>
      <c r="E180" s="659" t="s">
        <v>1075</v>
      </c>
      <c r="F180" s="636" t="s">
        <v>1076</v>
      </c>
      <c r="G180" s="637" t="s">
        <v>241</v>
      </c>
      <c r="H180" s="637" t="s">
        <v>99</v>
      </c>
      <c r="I180" s="638">
        <v>10340</v>
      </c>
      <c r="J180" s="638">
        <v>0</v>
      </c>
      <c r="K180" s="639">
        <v>11</v>
      </c>
      <c r="L180" s="639">
        <f t="shared" si="84"/>
        <v>940</v>
      </c>
      <c r="M180" s="641">
        <v>45796</v>
      </c>
      <c r="N180" s="641">
        <v>45792</v>
      </c>
      <c r="O180" s="641"/>
      <c r="P180" s="642" t="s">
        <v>100</v>
      </c>
      <c r="Q180" s="643" t="s">
        <v>1020</v>
      </c>
      <c r="R180" s="642" t="s">
        <v>969</v>
      </c>
      <c r="S180" s="642"/>
      <c r="T180" s="642"/>
      <c r="U180" s="642" t="s">
        <v>113</v>
      </c>
      <c r="V180" s="642"/>
      <c r="W180" s="645"/>
      <c r="X180" s="647" t="s">
        <v>1077</v>
      </c>
      <c r="Y180" s="646" t="s">
        <v>1078</v>
      </c>
      <c r="Z180" s="683">
        <v>2.7106</v>
      </c>
      <c r="AA180" s="650">
        <f t="shared" si="91"/>
        <v>28027.604</v>
      </c>
      <c r="AB180" s="649">
        <v>10340</v>
      </c>
      <c r="AC180" s="649">
        <f t="shared" si="89"/>
        <v>0</v>
      </c>
      <c r="AD180" s="642" t="s">
        <v>113</v>
      </c>
      <c r="AE180" s="637" t="s">
        <v>241</v>
      </c>
      <c r="AF180" s="646" t="s">
        <v>107</v>
      </c>
      <c r="AG180" s="652" t="s">
        <v>43</v>
      </c>
      <c r="AH180" s="646"/>
      <c r="AI180" s="649"/>
      <c r="AJ180" s="649"/>
      <c r="AK180" s="649"/>
      <c r="AL180" s="652">
        <f t="shared" si="92"/>
        <v>10340</v>
      </c>
      <c r="AM180" s="652"/>
      <c r="AN180" s="649"/>
      <c r="AO180" s="649"/>
      <c r="AP180" s="649"/>
      <c r="AQ180" s="653"/>
      <c r="AR180" s="649"/>
      <c r="AS180" s="649"/>
      <c r="AT180" s="652">
        <f t="shared" si="90"/>
        <v>10340</v>
      </c>
      <c r="AU180" s="649"/>
      <c r="AV180" s="654"/>
      <c r="AW180" s="652"/>
      <c r="AX180" s="652">
        <f>I180/11</f>
        <v>940</v>
      </c>
      <c r="AY180" s="652"/>
      <c r="AZ180" s="654"/>
      <c r="BA180" s="652"/>
      <c r="BB180" s="652"/>
      <c r="BC180" s="654"/>
      <c r="BD180" s="654"/>
      <c r="BE180" s="654"/>
      <c r="BF180" s="654"/>
      <c r="BG180" s="654"/>
      <c r="BH180" s="654"/>
      <c r="BI180" s="654"/>
      <c r="BJ180" s="654"/>
      <c r="BK180" s="654"/>
      <c r="BL180" s="654"/>
      <c r="BM180" s="654"/>
      <c r="BN180" s="654"/>
      <c r="BO180" s="654"/>
      <c r="BP180" s="654"/>
      <c r="BQ180" s="654"/>
      <c r="BR180" s="654"/>
      <c r="BS180" s="654"/>
      <c r="BT180" s="654"/>
      <c r="BU180" s="654"/>
      <c r="BV180" s="654"/>
      <c r="BW180" s="645" t="s">
        <v>109</v>
      </c>
      <c r="BX180" s="658">
        <f>I180/22*5</f>
        <v>2350</v>
      </c>
      <c r="BY180" s="658">
        <f>I180/22*6</f>
        <v>2820</v>
      </c>
      <c r="BZ180" s="658">
        <f>I180/22*6</f>
        <v>2820</v>
      </c>
      <c r="CA180" s="658">
        <f>I180/22*5</f>
        <v>2350</v>
      </c>
      <c r="CB180" s="644">
        <f t="shared" si="81"/>
        <v>10340</v>
      </c>
      <c r="CC180" s="658">
        <f>I180/11</f>
        <v>940</v>
      </c>
      <c r="CD180" s="644">
        <f>SUM(BX180:CA180)</f>
        <v>10340</v>
      </c>
      <c r="CE180" s="644">
        <f t="shared" si="88"/>
        <v>0</v>
      </c>
    </row>
    <row r="181" s="338" customFormat="1" ht="40" customHeight="1" spans="1:83">
      <c r="A181" s="632">
        <v>45727</v>
      </c>
      <c r="B181" s="659" t="s">
        <v>1074</v>
      </c>
      <c r="C181" s="634" t="s">
        <v>380</v>
      </c>
      <c r="D181" s="635">
        <v>4500159586</v>
      </c>
      <c r="E181" s="659" t="s">
        <v>1079</v>
      </c>
      <c r="F181" s="636" t="s">
        <v>1080</v>
      </c>
      <c r="G181" s="637" t="s">
        <v>241</v>
      </c>
      <c r="H181" s="637" t="s">
        <v>99</v>
      </c>
      <c r="I181" s="638">
        <v>10340</v>
      </c>
      <c r="J181" s="638">
        <v>0</v>
      </c>
      <c r="K181" s="639">
        <v>11</v>
      </c>
      <c r="L181" s="639">
        <f t="shared" si="84"/>
        <v>940</v>
      </c>
      <c r="M181" s="641">
        <v>45796</v>
      </c>
      <c r="N181" s="641">
        <v>45792</v>
      </c>
      <c r="O181" s="641"/>
      <c r="P181" s="642" t="s">
        <v>100</v>
      </c>
      <c r="Q181" s="643" t="s">
        <v>1020</v>
      </c>
      <c r="R181" s="642" t="s">
        <v>969</v>
      </c>
      <c r="S181" s="642"/>
      <c r="T181" s="642"/>
      <c r="U181" s="642" t="s">
        <v>113</v>
      </c>
      <c r="V181" s="642"/>
      <c r="W181" s="645"/>
      <c r="X181" s="647" t="s">
        <v>1077</v>
      </c>
      <c r="Y181" s="646" t="s">
        <v>1078</v>
      </c>
      <c r="Z181" s="683">
        <v>2.7106</v>
      </c>
      <c r="AA181" s="650">
        <f t="shared" si="91"/>
        <v>28027.604</v>
      </c>
      <c r="AB181" s="649">
        <v>10340</v>
      </c>
      <c r="AC181" s="649">
        <f t="shared" si="89"/>
        <v>0</v>
      </c>
      <c r="AD181" s="642" t="s">
        <v>113</v>
      </c>
      <c r="AE181" s="637" t="s">
        <v>241</v>
      </c>
      <c r="AF181" s="646" t="s">
        <v>107</v>
      </c>
      <c r="AG181" s="652" t="s">
        <v>43</v>
      </c>
      <c r="AH181" s="646"/>
      <c r="AI181" s="649"/>
      <c r="AJ181" s="649"/>
      <c r="AK181" s="649"/>
      <c r="AL181" s="652">
        <f t="shared" si="92"/>
        <v>10340</v>
      </c>
      <c r="AM181" s="652"/>
      <c r="AN181" s="649"/>
      <c r="AO181" s="649"/>
      <c r="AP181" s="649"/>
      <c r="AQ181" s="653"/>
      <c r="AR181" s="649"/>
      <c r="AS181" s="649"/>
      <c r="AT181" s="652">
        <f t="shared" si="90"/>
        <v>10340</v>
      </c>
      <c r="AU181" s="649"/>
      <c r="AV181" s="654"/>
      <c r="AW181" s="652"/>
      <c r="AX181" s="652">
        <f>I181/11</f>
        <v>940</v>
      </c>
      <c r="AY181" s="652"/>
      <c r="AZ181" s="654"/>
      <c r="BA181" s="652"/>
      <c r="BB181" s="652"/>
      <c r="BC181" s="654"/>
      <c r="BD181" s="654"/>
      <c r="BE181" s="654"/>
      <c r="BF181" s="654"/>
      <c r="BG181" s="654"/>
      <c r="BH181" s="654"/>
      <c r="BI181" s="654"/>
      <c r="BJ181" s="654"/>
      <c r="BK181" s="654"/>
      <c r="BL181" s="654"/>
      <c r="BM181" s="654"/>
      <c r="BN181" s="654"/>
      <c r="BO181" s="654"/>
      <c r="BP181" s="654"/>
      <c r="BQ181" s="654"/>
      <c r="BR181" s="654"/>
      <c r="BS181" s="654"/>
      <c r="BT181" s="654"/>
      <c r="BU181" s="654"/>
      <c r="BV181" s="654"/>
      <c r="BW181" s="645" t="s">
        <v>109</v>
      </c>
      <c r="BX181" s="658">
        <f>I181/22*5</f>
        <v>2350</v>
      </c>
      <c r="BY181" s="658">
        <f>I181/22*6</f>
        <v>2820</v>
      </c>
      <c r="BZ181" s="658">
        <f>I181/22*6</f>
        <v>2820</v>
      </c>
      <c r="CA181" s="658">
        <f>I181/22*5</f>
        <v>2350</v>
      </c>
      <c r="CB181" s="644">
        <f t="shared" si="81"/>
        <v>10340</v>
      </c>
      <c r="CC181" s="658">
        <f>I181/11</f>
        <v>940</v>
      </c>
      <c r="CD181" s="644">
        <f>SUM(BX181:CA181)</f>
        <v>10340</v>
      </c>
      <c r="CE181" s="644">
        <f t="shared" si="88"/>
        <v>0</v>
      </c>
    </row>
    <row r="182" s="338" customFormat="1" ht="40" customHeight="1" spans="1:83">
      <c r="A182" s="632">
        <v>45775</v>
      </c>
      <c r="B182" s="633" t="s">
        <v>709</v>
      </c>
      <c r="C182" s="634" t="s">
        <v>247</v>
      </c>
      <c r="D182" s="635">
        <v>4500165268</v>
      </c>
      <c r="E182" s="659">
        <v>2465822</v>
      </c>
      <c r="F182" s="636" t="s">
        <v>1081</v>
      </c>
      <c r="G182" s="637" t="s">
        <v>111</v>
      </c>
      <c r="H182" s="637" t="s">
        <v>99</v>
      </c>
      <c r="I182" s="638">
        <v>1518</v>
      </c>
      <c r="J182" s="638">
        <v>0</v>
      </c>
      <c r="K182" s="639">
        <v>22</v>
      </c>
      <c r="L182" s="639">
        <f t="shared" si="84"/>
        <v>69</v>
      </c>
      <c r="M182" s="641">
        <v>45803</v>
      </c>
      <c r="N182" s="641">
        <v>45799</v>
      </c>
      <c r="O182" s="641"/>
      <c r="P182" s="642" t="s">
        <v>100</v>
      </c>
      <c r="Q182" s="643" t="s">
        <v>1070</v>
      </c>
      <c r="R182" s="642" t="s">
        <v>1082</v>
      </c>
      <c r="S182" s="641"/>
      <c r="T182" s="641"/>
      <c r="U182" s="642" t="s">
        <v>1083</v>
      </c>
      <c r="V182" s="642"/>
      <c r="W182" s="645"/>
      <c r="X182" s="647" t="s">
        <v>1084</v>
      </c>
      <c r="Y182" s="646" t="s">
        <v>253</v>
      </c>
      <c r="Z182" s="683">
        <v>2.7909</v>
      </c>
      <c r="AA182" s="650">
        <f t="shared" si="91"/>
        <v>4236.5862</v>
      </c>
      <c r="AB182" s="649">
        <v>1518</v>
      </c>
      <c r="AC182" s="649">
        <f t="shared" si="89"/>
        <v>0</v>
      </c>
      <c r="AD182" s="650" t="s">
        <v>106</v>
      </c>
      <c r="AE182" s="661" t="s">
        <v>111</v>
      </c>
      <c r="AF182" s="646" t="s">
        <v>107</v>
      </c>
      <c r="AG182" s="652" t="s">
        <v>43</v>
      </c>
      <c r="AH182" s="646"/>
      <c r="AI182" s="649"/>
      <c r="AJ182" s="649"/>
      <c r="AK182" s="649"/>
      <c r="AL182" s="652">
        <f t="shared" si="92"/>
        <v>1518</v>
      </c>
      <c r="AM182" s="652"/>
      <c r="AN182" s="649"/>
      <c r="AO182" s="649"/>
      <c r="AP182" s="649"/>
      <c r="AQ182" s="653"/>
      <c r="AR182" s="649"/>
      <c r="AS182" s="649"/>
      <c r="AT182" s="652">
        <f t="shared" ref="AT182:AT189" si="93">I182</f>
        <v>1518</v>
      </c>
      <c r="AU182" s="649"/>
      <c r="AV182" s="654"/>
      <c r="AW182" s="654"/>
      <c r="AX182" s="652">
        <f>I182/11</f>
        <v>138</v>
      </c>
      <c r="AY182" s="652"/>
      <c r="AZ182" s="654"/>
      <c r="BA182" s="652"/>
      <c r="BB182" s="652"/>
      <c r="BC182" s="654"/>
      <c r="BD182" s="654"/>
      <c r="BE182" s="654"/>
      <c r="BF182" s="654"/>
      <c r="BG182" s="654"/>
      <c r="BH182" s="654"/>
      <c r="BI182" s="654"/>
      <c r="BJ182" s="654"/>
      <c r="BK182" s="654"/>
      <c r="BL182" s="654"/>
      <c r="BM182" s="654"/>
      <c r="BN182" s="654"/>
      <c r="BO182" s="654"/>
      <c r="BP182" s="654"/>
      <c r="BQ182" s="654"/>
      <c r="BR182" s="654"/>
      <c r="BS182" s="654"/>
      <c r="BT182" s="654"/>
      <c r="BU182" s="654"/>
      <c r="BV182" s="654"/>
      <c r="BW182" s="645" t="s">
        <v>109</v>
      </c>
      <c r="BX182" s="658">
        <f>I182/22*5</f>
        <v>345</v>
      </c>
      <c r="BY182" s="658">
        <f>I182/22*6</f>
        <v>414</v>
      </c>
      <c r="BZ182" s="658">
        <f>I182/22*6</f>
        <v>414</v>
      </c>
      <c r="CA182" s="658">
        <f>I182/22*5</f>
        <v>345</v>
      </c>
      <c r="CB182" s="644">
        <f t="shared" si="81"/>
        <v>1518</v>
      </c>
      <c r="CC182" s="658">
        <f>I182/11</f>
        <v>138</v>
      </c>
      <c r="CD182" s="644">
        <f>SUM(BX182:CA182)</f>
        <v>1518</v>
      </c>
      <c r="CE182" s="644">
        <f t="shared" si="88"/>
        <v>0</v>
      </c>
    </row>
    <row r="183" s="338" customFormat="1" ht="40" customHeight="1" spans="1:83">
      <c r="A183" s="632">
        <v>45723</v>
      </c>
      <c r="B183" s="659" t="s">
        <v>1085</v>
      </c>
      <c r="C183" s="634" t="s">
        <v>214</v>
      </c>
      <c r="D183" s="635">
        <v>4500159561</v>
      </c>
      <c r="E183" s="659" t="s">
        <v>1086</v>
      </c>
      <c r="F183" s="636" t="s">
        <v>1087</v>
      </c>
      <c r="G183" s="637" t="s">
        <v>648</v>
      </c>
      <c r="H183" s="637" t="s">
        <v>99</v>
      </c>
      <c r="I183" s="638">
        <v>726</v>
      </c>
      <c r="J183" s="638">
        <v>0</v>
      </c>
      <c r="K183" s="639">
        <v>6</v>
      </c>
      <c r="L183" s="639">
        <f t="shared" ref="L183:L220" si="94">I183/K183</f>
        <v>121</v>
      </c>
      <c r="M183" s="641">
        <v>45806</v>
      </c>
      <c r="N183" s="641">
        <v>45803</v>
      </c>
      <c r="O183" s="641"/>
      <c r="P183" s="642" t="s">
        <v>100</v>
      </c>
      <c r="Q183" s="643"/>
      <c r="R183" s="642" t="s">
        <v>1088</v>
      </c>
      <c r="S183" s="642"/>
      <c r="T183" s="642"/>
      <c r="U183" s="642" t="s">
        <v>1089</v>
      </c>
      <c r="V183" s="642" t="s">
        <v>1090</v>
      </c>
      <c r="W183" s="645" t="s">
        <v>1091</v>
      </c>
      <c r="X183" s="647" t="s">
        <v>1092</v>
      </c>
      <c r="Y183" s="646" t="s">
        <v>1093</v>
      </c>
      <c r="Z183" s="648">
        <v>2.6701</v>
      </c>
      <c r="AA183" s="650">
        <f t="shared" si="91"/>
        <v>1938.4926</v>
      </c>
      <c r="AB183" s="649">
        <f>20706+24</f>
        <v>20730</v>
      </c>
      <c r="AC183" s="649">
        <f t="shared" si="89"/>
        <v>20004</v>
      </c>
      <c r="AD183" s="650" t="s">
        <v>106</v>
      </c>
      <c r="AE183" s="637" t="s">
        <v>1094</v>
      </c>
      <c r="AF183" s="646" t="s">
        <v>107</v>
      </c>
      <c r="AG183" s="652" t="s">
        <v>43</v>
      </c>
      <c r="AH183" s="646" t="s">
        <v>1095</v>
      </c>
      <c r="AI183" s="649"/>
      <c r="AJ183" s="649"/>
      <c r="AK183" s="649"/>
      <c r="AL183" s="652">
        <f t="shared" si="92"/>
        <v>726</v>
      </c>
      <c r="AM183" s="652"/>
      <c r="AN183" s="649"/>
      <c r="AO183" s="649"/>
      <c r="AP183" s="649"/>
      <c r="AQ183" s="653"/>
      <c r="AR183" s="649"/>
      <c r="AS183" s="649"/>
      <c r="AT183" s="652">
        <f t="shared" si="93"/>
        <v>726</v>
      </c>
      <c r="AU183" s="649"/>
      <c r="AV183" s="654"/>
      <c r="AW183" s="652"/>
      <c r="AX183" s="652"/>
      <c r="AY183" s="652"/>
      <c r="AZ183" s="654"/>
      <c r="BA183" s="652"/>
      <c r="BB183" s="652"/>
      <c r="BC183" s="654"/>
      <c r="BD183" s="654"/>
      <c r="BE183" s="654"/>
      <c r="BF183" s="654"/>
      <c r="BG183" s="654"/>
      <c r="BH183" s="654"/>
      <c r="BI183" s="654"/>
      <c r="BJ183" s="654"/>
      <c r="BK183" s="652"/>
      <c r="BL183" s="652"/>
      <c r="BM183" s="654"/>
      <c r="BN183" s="654"/>
      <c r="BO183" s="654"/>
      <c r="BP183" s="654"/>
      <c r="BQ183" s="654"/>
      <c r="BR183" s="654"/>
      <c r="BS183" s="654"/>
      <c r="BT183" s="654"/>
      <c r="BU183" s="654"/>
      <c r="BV183" s="652">
        <f>I183/6</f>
        <v>121</v>
      </c>
      <c r="BW183" s="645" t="s">
        <v>109</v>
      </c>
      <c r="BX183" s="658">
        <f>I183/4</f>
        <v>181.5</v>
      </c>
      <c r="BY183" s="658">
        <f>I183/4</f>
        <v>181.5</v>
      </c>
      <c r="BZ183" s="658">
        <f>I183/4</f>
        <v>181.5</v>
      </c>
      <c r="CA183" s="658">
        <f>I183/4</f>
        <v>181.5</v>
      </c>
      <c r="CB183" s="644">
        <f t="shared" ref="CB183:CB219" si="95">I183</f>
        <v>726</v>
      </c>
      <c r="CC183" s="658"/>
      <c r="CD183" s="644">
        <f t="shared" ref="CD183:CD238" si="96">SUM(BX183:CA183)</f>
        <v>726</v>
      </c>
      <c r="CE183" s="644">
        <f t="shared" ref="CE183:CE231" si="97">I183-CD183</f>
        <v>0</v>
      </c>
    </row>
    <row r="184" s="338" customFormat="1" ht="40" customHeight="1" spans="1:83">
      <c r="A184" s="632">
        <v>45811</v>
      </c>
      <c r="B184" s="659" t="s">
        <v>1096</v>
      </c>
      <c r="C184" s="634" t="s">
        <v>214</v>
      </c>
      <c r="D184" s="635">
        <v>4500159561</v>
      </c>
      <c r="E184" s="659">
        <v>37625547</v>
      </c>
      <c r="F184" s="636" t="s">
        <v>1097</v>
      </c>
      <c r="G184" s="637" t="s">
        <v>648</v>
      </c>
      <c r="H184" s="637" t="s">
        <v>99</v>
      </c>
      <c r="I184" s="638">
        <v>20004</v>
      </c>
      <c r="J184" s="638">
        <v>0</v>
      </c>
      <c r="K184" s="639">
        <v>6</v>
      </c>
      <c r="L184" s="639">
        <f t="shared" si="94"/>
        <v>3334</v>
      </c>
      <c r="M184" s="641">
        <v>45806</v>
      </c>
      <c r="N184" s="641">
        <v>45803</v>
      </c>
      <c r="O184" s="641"/>
      <c r="P184" s="642" t="s">
        <v>100</v>
      </c>
      <c r="Q184" s="643" t="s">
        <v>1098</v>
      </c>
      <c r="R184" s="642" t="s">
        <v>1088</v>
      </c>
      <c r="S184" s="642"/>
      <c r="T184" s="642"/>
      <c r="U184" s="642" t="s">
        <v>1089</v>
      </c>
      <c r="V184" s="642" t="s">
        <v>1090</v>
      </c>
      <c r="W184" s="645" t="s">
        <v>1091</v>
      </c>
      <c r="X184" s="647" t="s">
        <v>1092</v>
      </c>
      <c r="Y184" s="646" t="s">
        <v>1093</v>
      </c>
      <c r="Z184" s="648">
        <v>1.5111</v>
      </c>
      <c r="AA184" s="650">
        <f t="shared" si="91"/>
        <v>30228.0444</v>
      </c>
      <c r="AB184" s="649"/>
      <c r="AC184" s="649">
        <v>0</v>
      </c>
      <c r="AD184" s="650" t="s">
        <v>106</v>
      </c>
      <c r="AE184" s="637" t="s">
        <v>1094</v>
      </c>
      <c r="AF184" s="646" t="s">
        <v>107</v>
      </c>
      <c r="AG184" s="652" t="s">
        <v>43</v>
      </c>
      <c r="AH184" s="645" t="s">
        <v>1099</v>
      </c>
      <c r="AI184" s="649"/>
      <c r="AJ184" s="649"/>
      <c r="AK184" s="649"/>
      <c r="AL184" s="652">
        <f t="shared" si="92"/>
        <v>20004</v>
      </c>
      <c r="AM184" s="652"/>
      <c r="AN184" s="649"/>
      <c r="AO184" s="649"/>
      <c r="AP184" s="649"/>
      <c r="AQ184" s="653"/>
      <c r="AR184" s="649"/>
      <c r="AS184" s="649"/>
      <c r="AT184" s="652">
        <f t="shared" si="93"/>
        <v>20004</v>
      </c>
      <c r="AU184" s="649"/>
      <c r="AV184" s="654"/>
      <c r="AW184" s="652"/>
      <c r="AX184" s="652"/>
      <c r="AY184" s="652"/>
      <c r="AZ184" s="654"/>
      <c r="BA184" s="652"/>
      <c r="BB184" s="652"/>
      <c r="BC184" s="654"/>
      <c r="BD184" s="654"/>
      <c r="BE184" s="654"/>
      <c r="BF184" s="654"/>
      <c r="BG184" s="654"/>
      <c r="BH184" s="654"/>
      <c r="BI184" s="654"/>
      <c r="BJ184" s="654"/>
      <c r="BK184" s="652"/>
      <c r="BL184" s="652"/>
      <c r="BM184" s="654"/>
      <c r="BN184" s="654"/>
      <c r="BO184" s="654"/>
      <c r="BP184" s="654"/>
      <c r="BQ184" s="654"/>
      <c r="BR184" s="654"/>
      <c r="BS184" s="654"/>
      <c r="BT184" s="654"/>
      <c r="BU184" s="654"/>
      <c r="BV184" s="652">
        <f>I184/6</f>
        <v>3334</v>
      </c>
      <c r="BW184" s="645" t="s">
        <v>109</v>
      </c>
      <c r="BX184" s="658">
        <f>I184/4</f>
        <v>5001</v>
      </c>
      <c r="BY184" s="658">
        <f>I184/4</f>
        <v>5001</v>
      </c>
      <c r="BZ184" s="658">
        <f>I184/4</f>
        <v>5001</v>
      </c>
      <c r="CA184" s="658">
        <f>I184/4</f>
        <v>5001</v>
      </c>
      <c r="CB184" s="644">
        <f t="shared" si="95"/>
        <v>20004</v>
      </c>
      <c r="CC184" s="658"/>
      <c r="CD184" s="644">
        <f t="shared" si="96"/>
        <v>20004</v>
      </c>
      <c r="CE184" s="644">
        <f t="shared" si="97"/>
        <v>0</v>
      </c>
    </row>
    <row r="185" s="338" customFormat="1" ht="40" customHeight="1" spans="1:83">
      <c r="A185" s="632">
        <v>45770</v>
      </c>
      <c r="B185" s="659" t="s">
        <v>1100</v>
      </c>
      <c r="C185" s="634" t="s">
        <v>1101</v>
      </c>
      <c r="D185" s="635">
        <v>4500164616</v>
      </c>
      <c r="E185" s="659"/>
      <c r="F185" s="636" t="s">
        <v>1102</v>
      </c>
      <c r="G185" s="637" t="s">
        <v>111</v>
      </c>
      <c r="H185" s="637" t="s">
        <v>99</v>
      </c>
      <c r="I185" s="638">
        <v>132</v>
      </c>
      <c r="J185" s="638">
        <v>0</v>
      </c>
      <c r="K185" s="639">
        <v>22</v>
      </c>
      <c r="L185" s="639">
        <f t="shared" si="94"/>
        <v>6</v>
      </c>
      <c r="M185" s="641">
        <v>45810</v>
      </c>
      <c r="N185" s="641">
        <f>M185-4</f>
        <v>45806</v>
      </c>
      <c r="O185" s="641"/>
      <c r="P185" s="642" t="s">
        <v>100</v>
      </c>
      <c r="Q185" s="643" t="s">
        <v>367</v>
      </c>
      <c r="R185" s="642" t="s">
        <v>1103</v>
      </c>
      <c r="S185" s="642"/>
      <c r="T185" s="642"/>
      <c r="U185" s="642" t="s">
        <v>1104</v>
      </c>
      <c r="V185" s="642"/>
      <c r="W185" s="645"/>
      <c r="X185" s="647" t="s">
        <v>1105</v>
      </c>
      <c r="Y185" s="646" t="s">
        <v>972</v>
      </c>
      <c r="Z185" s="683">
        <v>2.6965</v>
      </c>
      <c r="AA185" s="650">
        <f t="shared" ref="AA185:AA201" si="98">I185*Z185</f>
        <v>355.938</v>
      </c>
      <c r="AB185" s="649">
        <v>132</v>
      </c>
      <c r="AC185" s="649">
        <f t="shared" ref="AC185:AC248" si="99">AB185-I185</f>
        <v>0</v>
      </c>
      <c r="AD185" s="650" t="s">
        <v>123</v>
      </c>
      <c r="AE185" s="661" t="s">
        <v>111</v>
      </c>
      <c r="AF185" s="646" t="s">
        <v>107</v>
      </c>
      <c r="AG185" s="652" t="s">
        <v>43</v>
      </c>
      <c r="AH185" s="646"/>
      <c r="AI185" s="651"/>
      <c r="AJ185" s="651"/>
      <c r="AK185" s="651"/>
      <c r="AL185" s="652">
        <f t="shared" si="92"/>
        <v>132</v>
      </c>
      <c r="AM185" s="652"/>
      <c r="AN185" s="651"/>
      <c r="AO185" s="649"/>
      <c r="AP185" s="649"/>
      <c r="AQ185" s="653"/>
      <c r="AR185" s="651"/>
      <c r="AS185" s="651"/>
      <c r="AT185" s="652">
        <f t="shared" si="93"/>
        <v>132</v>
      </c>
      <c r="AU185" s="649"/>
      <c r="AV185" s="654"/>
      <c r="AW185" s="655"/>
      <c r="AX185" s="652">
        <f>I185/11</f>
        <v>12</v>
      </c>
      <c r="AY185" s="652"/>
      <c r="AZ185" s="656"/>
      <c r="BA185" s="652"/>
      <c r="BB185" s="652"/>
      <c r="BC185" s="656"/>
      <c r="BD185" s="656"/>
      <c r="BE185" s="654"/>
      <c r="BF185" s="656"/>
      <c r="BG185" s="652"/>
      <c r="BH185" s="652"/>
      <c r="BI185" s="656"/>
      <c r="BJ185" s="656"/>
      <c r="BK185" s="652"/>
      <c r="BL185" s="652"/>
      <c r="BM185" s="654"/>
      <c r="BN185" s="654"/>
      <c r="BO185" s="654"/>
      <c r="BP185" s="656"/>
      <c r="BQ185" s="654"/>
      <c r="BR185" s="656"/>
      <c r="BS185" s="654"/>
      <c r="BT185" s="654"/>
      <c r="BU185" s="654"/>
      <c r="BV185" s="652"/>
      <c r="BW185" s="645" t="s">
        <v>109</v>
      </c>
      <c r="BX185" s="658">
        <f>I185/22*5</f>
        <v>30</v>
      </c>
      <c r="BY185" s="658">
        <f>I185/22*6</f>
        <v>36</v>
      </c>
      <c r="BZ185" s="658">
        <f>I185/22*6</f>
        <v>36</v>
      </c>
      <c r="CA185" s="658">
        <f>I185/22*5</f>
        <v>30</v>
      </c>
      <c r="CB185" s="644">
        <f t="shared" si="95"/>
        <v>132</v>
      </c>
      <c r="CC185" s="658">
        <f t="shared" ref="CC185:CC190" si="100">I185/11</f>
        <v>12</v>
      </c>
      <c r="CD185" s="644">
        <f t="shared" si="96"/>
        <v>132</v>
      </c>
      <c r="CE185" s="644">
        <f t="shared" si="97"/>
        <v>0</v>
      </c>
    </row>
    <row r="186" s="338" customFormat="1" ht="40" customHeight="1" spans="1:83">
      <c r="A186" s="632">
        <v>45772</v>
      </c>
      <c r="B186" s="633" t="s">
        <v>956</v>
      </c>
      <c r="C186" s="634" t="s">
        <v>214</v>
      </c>
      <c r="D186" s="635">
        <v>4500164950</v>
      </c>
      <c r="E186" s="659">
        <v>217111499</v>
      </c>
      <c r="F186" s="636" t="s">
        <v>1106</v>
      </c>
      <c r="G186" s="637" t="s">
        <v>241</v>
      </c>
      <c r="H186" s="637" t="s">
        <v>99</v>
      </c>
      <c r="I186" s="638">
        <v>1562</v>
      </c>
      <c r="J186" s="638">
        <v>0</v>
      </c>
      <c r="K186" s="639">
        <v>11</v>
      </c>
      <c r="L186" s="639">
        <f t="shared" si="94"/>
        <v>142</v>
      </c>
      <c r="M186" s="641">
        <v>45810</v>
      </c>
      <c r="N186" s="641">
        <f>M186-4</f>
        <v>45806</v>
      </c>
      <c r="O186" s="641"/>
      <c r="P186" s="642" t="s">
        <v>100</v>
      </c>
      <c r="Q186" s="643"/>
      <c r="R186" s="642" t="s">
        <v>1082</v>
      </c>
      <c r="S186" s="641"/>
      <c r="T186" s="641"/>
      <c r="U186" s="642" t="s">
        <v>113</v>
      </c>
      <c r="V186" s="642"/>
      <c r="W186" s="645"/>
      <c r="X186" s="647" t="s">
        <v>959</v>
      </c>
      <c r="Y186" s="646" t="s">
        <v>960</v>
      </c>
      <c r="Z186" s="683">
        <v>1.6093</v>
      </c>
      <c r="AA186" s="650">
        <f t="shared" si="98"/>
        <v>2513.7266</v>
      </c>
      <c r="AB186" s="649">
        <v>1562</v>
      </c>
      <c r="AC186" s="649">
        <f t="shared" si="99"/>
        <v>0</v>
      </c>
      <c r="AD186" s="650" t="s">
        <v>113</v>
      </c>
      <c r="AE186" s="637" t="s">
        <v>241</v>
      </c>
      <c r="AF186" s="646" t="s">
        <v>107</v>
      </c>
      <c r="AG186" s="652" t="s">
        <v>43</v>
      </c>
      <c r="AH186" s="646" t="s">
        <v>1107</v>
      </c>
      <c r="AI186" s="649"/>
      <c r="AJ186" s="649"/>
      <c r="AK186" s="649"/>
      <c r="AL186" s="652">
        <f t="shared" si="92"/>
        <v>1562</v>
      </c>
      <c r="AM186" s="652"/>
      <c r="AN186" s="649"/>
      <c r="AO186" s="649"/>
      <c r="AP186" s="649"/>
      <c r="AQ186" s="653"/>
      <c r="AR186" s="649"/>
      <c r="AS186" s="649"/>
      <c r="AT186" s="652">
        <f t="shared" si="93"/>
        <v>1562</v>
      </c>
      <c r="AU186" s="649"/>
      <c r="AV186" s="654"/>
      <c r="AW186" s="654"/>
      <c r="AX186" s="652">
        <f>I186/11</f>
        <v>142</v>
      </c>
      <c r="AY186" s="652"/>
      <c r="AZ186" s="654"/>
      <c r="BA186" s="652"/>
      <c r="BB186" s="652"/>
      <c r="BC186" s="654"/>
      <c r="BD186" s="654"/>
      <c r="BE186" s="654"/>
      <c r="BF186" s="654"/>
      <c r="BG186" s="654"/>
      <c r="BH186" s="654"/>
      <c r="BI186" s="654"/>
      <c r="BJ186" s="654"/>
      <c r="BK186" s="654"/>
      <c r="BL186" s="654"/>
      <c r="BM186" s="654"/>
      <c r="BN186" s="654"/>
      <c r="BO186" s="654"/>
      <c r="BP186" s="654"/>
      <c r="BQ186" s="654"/>
      <c r="BR186" s="654"/>
      <c r="BS186" s="654"/>
      <c r="BT186" s="654"/>
      <c r="BU186" s="654"/>
      <c r="BV186" s="654"/>
      <c r="BW186" s="645" t="s">
        <v>109</v>
      </c>
      <c r="BX186" s="658">
        <f>I186/22*5</f>
        <v>355</v>
      </c>
      <c r="BY186" s="658">
        <f>I186/22*6</f>
        <v>426</v>
      </c>
      <c r="BZ186" s="658">
        <f>I186/22*6</f>
        <v>426</v>
      </c>
      <c r="CA186" s="658">
        <f>I186/22*5</f>
        <v>355</v>
      </c>
      <c r="CB186" s="644">
        <f t="shared" si="95"/>
        <v>1562</v>
      </c>
      <c r="CC186" s="658">
        <f t="shared" si="100"/>
        <v>142</v>
      </c>
      <c r="CD186" s="644">
        <f t="shared" si="96"/>
        <v>1562</v>
      </c>
      <c r="CE186" s="644">
        <f t="shared" si="97"/>
        <v>0</v>
      </c>
    </row>
    <row r="187" s="338" customFormat="1" ht="40" customHeight="1" spans="1:83">
      <c r="A187" s="632">
        <v>45772</v>
      </c>
      <c r="B187" s="633" t="s">
        <v>956</v>
      </c>
      <c r="C187" s="634" t="s">
        <v>214</v>
      </c>
      <c r="D187" s="635">
        <v>4500164979</v>
      </c>
      <c r="E187" s="659">
        <v>217111546</v>
      </c>
      <c r="F187" s="636" t="s">
        <v>1108</v>
      </c>
      <c r="G187" s="637" t="s">
        <v>241</v>
      </c>
      <c r="H187" s="637" t="s">
        <v>99</v>
      </c>
      <c r="I187" s="638">
        <v>847</v>
      </c>
      <c r="J187" s="638">
        <v>0</v>
      </c>
      <c r="K187" s="639">
        <v>11</v>
      </c>
      <c r="L187" s="639">
        <f t="shared" si="94"/>
        <v>77</v>
      </c>
      <c r="M187" s="641">
        <v>45810</v>
      </c>
      <c r="N187" s="641">
        <f>M187-4</f>
        <v>45806</v>
      </c>
      <c r="O187" s="641"/>
      <c r="P187" s="642" t="s">
        <v>100</v>
      </c>
      <c r="Q187" s="643" t="s">
        <v>1109</v>
      </c>
      <c r="R187" s="642" t="s">
        <v>1082</v>
      </c>
      <c r="S187" s="641"/>
      <c r="T187" s="641"/>
      <c r="U187" s="642" t="s">
        <v>113</v>
      </c>
      <c r="V187" s="642"/>
      <c r="W187" s="645"/>
      <c r="X187" s="647" t="s">
        <v>959</v>
      </c>
      <c r="Y187" s="646" t="s">
        <v>960</v>
      </c>
      <c r="Z187" s="683">
        <v>1.6759</v>
      </c>
      <c r="AA187" s="650">
        <f t="shared" si="98"/>
        <v>1419.4873</v>
      </c>
      <c r="AB187" s="649">
        <v>847</v>
      </c>
      <c r="AC187" s="649">
        <f t="shared" si="99"/>
        <v>0</v>
      </c>
      <c r="AD187" s="650" t="s">
        <v>113</v>
      </c>
      <c r="AE187" s="637" t="s">
        <v>241</v>
      </c>
      <c r="AF187" s="646" t="s">
        <v>107</v>
      </c>
      <c r="AG187" s="652" t="s">
        <v>43</v>
      </c>
      <c r="AH187" s="646" t="s">
        <v>1110</v>
      </c>
      <c r="AI187" s="649"/>
      <c r="AJ187" s="649"/>
      <c r="AK187" s="649"/>
      <c r="AL187" s="652">
        <f t="shared" si="92"/>
        <v>847</v>
      </c>
      <c r="AM187" s="652"/>
      <c r="AN187" s="649"/>
      <c r="AO187" s="649"/>
      <c r="AP187" s="649"/>
      <c r="AQ187" s="653"/>
      <c r="AR187" s="649"/>
      <c r="AS187" s="649"/>
      <c r="AT187" s="652">
        <f t="shared" si="93"/>
        <v>847</v>
      </c>
      <c r="AU187" s="649"/>
      <c r="AV187" s="654"/>
      <c r="AW187" s="654"/>
      <c r="AX187" s="652">
        <f>I187/11</f>
        <v>77</v>
      </c>
      <c r="AY187" s="652"/>
      <c r="AZ187" s="654"/>
      <c r="BA187" s="652"/>
      <c r="BB187" s="652"/>
      <c r="BC187" s="654"/>
      <c r="BD187" s="654"/>
      <c r="BE187" s="654"/>
      <c r="BF187" s="654"/>
      <c r="BG187" s="654"/>
      <c r="BH187" s="654"/>
      <c r="BI187" s="654"/>
      <c r="BJ187" s="654"/>
      <c r="BK187" s="654"/>
      <c r="BL187" s="654"/>
      <c r="BM187" s="654"/>
      <c r="BN187" s="654"/>
      <c r="BO187" s="654"/>
      <c r="BP187" s="654"/>
      <c r="BQ187" s="654"/>
      <c r="BR187" s="654"/>
      <c r="BS187" s="654"/>
      <c r="BT187" s="654"/>
      <c r="BU187" s="654"/>
      <c r="BV187" s="654"/>
      <c r="BW187" s="645" t="s">
        <v>109</v>
      </c>
      <c r="BX187" s="658">
        <f>I187/22*5</f>
        <v>192.5</v>
      </c>
      <c r="BY187" s="658">
        <f>I187/22*6</f>
        <v>231</v>
      </c>
      <c r="BZ187" s="658">
        <f>I187/22*6</f>
        <v>231</v>
      </c>
      <c r="CA187" s="658">
        <f>I187/22*5</f>
        <v>192.5</v>
      </c>
      <c r="CB187" s="644">
        <f t="shared" si="95"/>
        <v>847</v>
      </c>
      <c r="CC187" s="658">
        <f t="shared" si="100"/>
        <v>77</v>
      </c>
      <c r="CD187" s="644">
        <f t="shared" si="96"/>
        <v>847</v>
      </c>
      <c r="CE187" s="644">
        <f t="shared" si="97"/>
        <v>0</v>
      </c>
    </row>
    <row r="188" s="338" customFormat="1" ht="40" customHeight="1" spans="1:83">
      <c r="A188" s="632">
        <v>45763</v>
      </c>
      <c r="B188" s="633" t="s">
        <v>1111</v>
      </c>
      <c r="C188" s="634" t="s">
        <v>556</v>
      </c>
      <c r="D188" s="635">
        <v>4500163907</v>
      </c>
      <c r="E188" s="659" t="s">
        <v>1112</v>
      </c>
      <c r="F188" s="636" t="s">
        <v>1113</v>
      </c>
      <c r="G188" s="637" t="s">
        <v>111</v>
      </c>
      <c r="H188" s="637" t="s">
        <v>99</v>
      </c>
      <c r="I188" s="638">
        <v>1210</v>
      </c>
      <c r="J188" s="638">
        <v>0</v>
      </c>
      <c r="K188" s="639">
        <v>22</v>
      </c>
      <c r="L188" s="639">
        <f t="shared" si="94"/>
        <v>55</v>
      </c>
      <c r="M188" s="641">
        <v>45811</v>
      </c>
      <c r="N188" s="641">
        <f>M188-4</f>
        <v>45807</v>
      </c>
      <c r="O188" s="641"/>
      <c r="P188" s="642" t="s">
        <v>100</v>
      </c>
      <c r="Q188" s="643" t="s">
        <v>1065</v>
      </c>
      <c r="R188" s="642" t="s">
        <v>1114</v>
      </c>
      <c r="S188" s="641"/>
      <c r="T188" s="641"/>
      <c r="U188" s="642" t="s">
        <v>113</v>
      </c>
      <c r="V188" s="642"/>
      <c r="W188" s="645"/>
      <c r="X188" s="647" t="s">
        <v>1115</v>
      </c>
      <c r="Y188" s="646" t="s">
        <v>422</v>
      </c>
      <c r="Z188" s="683">
        <v>2.6826</v>
      </c>
      <c r="AA188" s="650">
        <f t="shared" si="98"/>
        <v>3245.946</v>
      </c>
      <c r="AB188" s="649">
        <v>1210</v>
      </c>
      <c r="AC188" s="649">
        <f t="shared" si="99"/>
        <v>0</v>
      </c>
      <c r="AD188" s="650" t="s">
        <v>113</v>
      </c>
      <c r="AE188" s="637" t="s">
        <v>111</v>
      </c>
      <c r="AF188" s="646" t="s">
        <v>107</v>
      </c>
      <c r="AG188" s="652" t="s">
        <v>43</v>
      </c>
      <c r="AH188" s="646"/>
      <c r="AI188" s="649"/>
      <c r="AJ188" s="649"/>
      <c r="AK188" s="649"/>
      <c r="AL188" s="652">
        <f t="shared" si="92"/>
        <v>1210</v>
      </c>
      <c r="AM188" s="652"/>
      <c r="AN188" s="649"/>
      <c r="AO188" s="649"/>
      <c r="AP188" s="649"/>
      <c r="AQ188" s="653"/>
      <c r="AR188" s="649"/>
      <c r="AS188" s="649"/>
      <c r="AT188" s="652">
        <f t="shared" si="93"/>
        <v>1210</v>
      </c>
      <c r="AU188" s="649"/>
      <c r="AV188" s="654"/>
      <c r="AW188" s="654"/>
      <c r="AX188" s="652">
        <f>I188/11</f>
        <v>110</v>
      </c>
      <c r="AY188" s="652"/>
      <c r="AZ188" s="654"/>
      <c r="BA188" s="652"/>
      <c r="BB188" s="652"/>
      <c r="BC188" s="654"/>
      <c r="BD188" s="654"/>
      <c r="BE188" s="654"/>
      <c r="BF188" s="654"/>
      <c r="BG188" s="654"/>
      <c r="BH188" s="654"/>
      <c r="BI188" s="654"/>
      <c r="BJ188" s="654"/>
      <c r="BK188" s="654"/>
      <c r="BL188" s="654"/>
      <c r="BM188" s="654"/>
      <c r="BN188" s="654"/>
      <c r="BO188" s="654"/>
      <c r="BP188" s="654"/>
      <c r="BQ188" s="654"/>
      <c r="BR188" s="654"/>
      <c r="BS188" s="654"/>
      <c r="BT188" s="654"/>
      <c r="BU188" s="654"/>
      <c r="BV188" s="654"/>
      <c r="BW188" s="645" t="s">
        <v>109</v>
      </c>
      <c r="BX188" s="658">
        <f>I188/22*5</f>
        <v>275</v>
      </c>
      <c r="BY188" s="658">
        <f>I188/22*6</f>
        <v>330</v>
      </c>
      <c r="BZ188" s="658">
        <f>I188/22*6</f>
        <v>330</v>
      </c>
      <c r="CA188" s="658">
        <f>I188/22*5</f>
        <v>275</v>
      </c>
      <c r="CB188" s="644">
        <f t="shared" si="95"/>
        <v>1210</v>
      </c>
      <c r="CC188" s="658">
        <f t="shared" si="100"/>
        <v>110</v>
      </c>
      <c r="CD188" s="644">
        <f t="shared" si="96"/>
        <v>1210</v>
      </c>
      <c r="CE188" s="644">
        <f t="shared" si="97"/>
        <v>0</v>
      </c>
    </row>
    <row r="189" s="338" customFormat="1" ht="40" customHeight="1" spans="1:83">
      <c r="A189" s="632">
        <v>45765</v>
      </c>
      <c r="B189" s="633" t="s">
        <v>1116</v>
      </c>
      <c r="C189" s="634" t="s">
        <v>1117</v>
      </c>
      <c r="D189" s="635">
        <v>4500164226</v>
      </c>
      <c r="E189" s="659" t="s">
        <v>1118</v>
      </c>
      <c r="F189" s="636" t="s">
        <v>1119</v>
      </c>
      <c r="G189" s="637" t="s">
        <v>241</v>
      </c>
      <c r="H189" s="637" t="s">
        <v>99</v>
      </c>
      <c r="I189" s="638">
        <v>484</v>
      </c>
      <c r="J189" s="638">
        <v>0</v>
      </c>
      <c r="K189" s="639">
        <v>11</v>
      </c>
      <c r="L189" s="639">
        <f t="shared" si="94"/>
        <v>44</v>
      </c>
      <c r="M189" s="641">
        <v>45811</v>
      </c>
      <c r="N189" s="641">
        <f>M189-4</f>
        <v>45807</v>
      </c>
      <c r="O189" s="641"/>
      <c r="P189" s="642" t="s">
        <v>100</v>
      </c>
      <c r="Q189" s="643" t="s">
        <v>1065</v>
      </c>
      <c r="R189" s="642" t="s">
        <v>1120</v>
      </c>
      <c r="S189" s="641"/>
      <c r="T189" s="641"/>
      <c r="U189" s="642" t="s">
        <v>1121</v>
      </c>
      <c r="V189" s="642"/>
      <c r="W189" s="645"/>
      <c r="X189" s="647" t="s">
        <v>1122</v>
      </c>
      <c r="Y189" s="646" t="s">
        <v>596</v>
      </c>
      <c r="Z189" s="683">
        <v>2.726</v>
      </c>
      <c r="AA189" s="650">
        <f t="shared" si="98"/>
        <v>1319.384</v>
      </c>
      <c r="AB189" s="649">
        <f>473+11</f>
        <v>484</v>
      </c>
      <c r="AC189" s="649">
        <f t="shared" si="99"/>
        <v>0</v>
      </c>
      <c r="AD189" s="650" t="s">
        <v>106</v>
      </c>
      <c r="AE189" s="637" t="s">
        <v>597</v>
      </c>
      <c r="AF189" s="646" t="s">
        <v>107</v>
      </c>
      <c r="AG189" s="652" t="s">
        <v>43</v>
      </c>
      <c r="AH189" s="646"/>
      <c r="AI189" s="649"/>
      <c r="AJ189" s="649"/>
      <c r="AK189" s="649"/>
      <c r="AL189" s="649"/>
      <c r="AM189" s="649"/>
      <c r="AN189" s="649"/>
      <c r="AO189" s="649">
        <f>I189</f>
        <v>484</v>
      </c>
      <c r="AP189" s="649"/>
      <c r="AQ189" s="653"/>
      <c r="AR189" s="649"/>
      <c r="AS189" s="649"/>
      <c r="AT189" s="652">
        <f t="shared" si="93"/>
        <v>484</v>
      </c>
      <c r="AU189" s="649"/>
      <c r="AV189" s="654"/>
      <c r="AW189" s="654"/>
      <c r="AX189" s="652"/>
      <c r="AY189" s="652"/>
      <c r="AZ189" s="654"/>
      <c r="BA189" s="652">
        <f>I189/11</f>
        <v>44</v>
      </c>
      <c r="BB189" s="652"/>
      <c r="BC189" s="654"/>
      <c r="BD189" s="654"/>
      <c r="BE189" s="654"/>
      <c r="BF189" s="654"/>
      <c r="BG189" s="654"/>
      <c r="BH189" s="654"/>
      <c r="BI189" s="654"/>
      <c r="BJ189" s="654"/>
      <c r="BK189" s="654"/>
      <c r="BL189" s="654"/>
      <c r="BM189" s="654"/>
      <c r="BN189" s="654"/>
      <c r="BO189" s="654"/>
      <c r="BP189" s="654"/>
      <c r="BQ189" s="654"/>
      <c r="BR189" s="654"/>
      <c r="BS189" s="654"/>
      <c r="BT189" s="654"/>
      <c r="BU189" s="654"/>
      <c r="BV189" s="654"/>
      <c r="BW189" s="645" t="s">
        <v>109</v>
      </c>
      <c r="BX189" s="658">
        <f>I189/22*5</f>
        <v>110</v>
      </c>
      <c r="BY189" s="658">
        <f>I189/22*6</f>
        <v>132</v>
      </c>
      <c r="BZ189" s="658">
        <f>I189/22*6</f>
        <v>132</v>
      </c>
      <c r="CA189" s="658">
        <f>I189/22*5</f>
        <v>110</v>
      </c>
      <c r="CB189" s="644">
        <f t="shared" si="95"/>
        <v>484</v>
      </c>
      <c r="CC189" s="658">
        <f t="shared" si="100"/>
        <v>44</v>
      </c>
      <c r="CD189" s="644">
        <f t="shared" si="96"/>
        <v>484</v>
      </c>
      <c r="CE189" s="644">
        <f t="shared" si="97"/>
        <v>0</v>
      </c>
    </row>
    <row r="190" s="338" customFormat="1" ht="40" customHeight="1" spans="1:83">
      <c r="A190" s="632">
        <v>45773</v>
      </c>
      <c r="B190" s="633" t="s">
        <v>1123</v>
      </c>
      <c r="C190" s="634" t="s">
        <v>214</v>
      </c>
      <c r="D190" s="635">
        <v>4500165031</v>
      </c>
      <c r="E190" s="659" t="s">
        <v>1124</v>
      </c>
      <c r="F190" s="636" t="s">
        <v>1125</v>
      </c>
      <c r="G190" s="637" t="s">
        <v>241</v>
      </c>
      <c r="H190" s="637" t="s">
        <v>99</v>
      </c>
      <c r="I190" s="638">
        <v>1353</v>
      </c>
      <c r="J190" s="638">
        <v>0</v>
      </c>
      <c r="K190" s="639">
        <v>11</v>
      </c>
      <c r="L190" s="639">
        <f t="shared" si="94"/>
        <v>123</v>
      </c>
      <c r="M190" s="641">
        <v>45813</v>
      </c>
      <c r="N190" s="641">
        <v>45810</v>
      </c>
      <c r="O190" s="642" t="s">
        <v>1126</v>
      </c>
      <c r="P190" s="642" t="s">
        <v>100</v>
      </c>
      <c r="Q190" s="643" t="s">
        <v>1127</v>
      </c>
      <c r="R190" s="642" t="s">
        <v>1128</v>
      </c>
      <c r="S190" s="641"/>
      <c r="T190" s="641"/>
      <c r="U190" s="642" t="s">
        <v>113</v>
      </c>
      <c r="V190" s="642"/>
      <c r="W190" s="645"/>
      <c r="X190" s="647" t="s">
        <v>1129</v>
      </c>
      <c r="Y190" s="646" t="s">
        <v>1130</v>
      </c>
      <c r="Z190" s="683">
        <v>1.6675</v>
      </c>
      <c r="AA190" s="650">
        <f t="shared" si="98"/>
        <v>2256.1275</v>
      </c>
      <c r="AB190" s="649">
        <v>1353</v>
      </c>
      <c r="AC190" s="649">
        <f t="shared" si="99"/>
        <v>0</v>
      </c>
      <c r="AD190" s="650" t="s">
        <v>113</v>
      </c>
      <c r="AE190" s="637" t="s">
        <v>241</v>
      </c>
      <c r="AF190" s="646" t="s">
        <v>107</v>
      </c>
      <c r="AG190" s="652" t="s">
        <v>43</v>
      </c>
      <c r="AH190" s="646" t="s">
        <v>1131</v>
      </c>
      <c r="AI190" s="649"/>
      <c r="AJ190" s="649"/>
      <c r="AK190" s="649"/>
      <c r="AL190" s="652">
        <f t="shared" ref="AL190:AL198" si="101">I190</f>
        <v>1353</v>
      </c>
      <c r="AM190" s="652"/>
      <c r="AN190" s="649"/>
      <c r="AO190" s="649"/>
      <c r="AP190" s="649"/>
      <c r="AQ190" s="653"/>
      <c r="AR190" s="649"/>
      <c r="AS190" s="649"/>
      <c r="AT190" s="652">
        <f t="shared" ref="AT190:AT202" si="102">I190</f>
        <v>1353</v>
      </c>
      <c r="AU190" s="649"/>
      <c r="AV190" s="654"/>
      <c r="AW190" s="654"/>
      <c r="AX190" s="652">
        <f>I190/11</f>
        <v>123</v>
      </c>
      <c r="AY190" s="652"/>
      <c r="AZ190" s="654"/>
      <c r="BA190" s="652"/>
      <c r="BB190" s="652"/>
      <c r="BC190" s="654"/>
      <c r="BD190" s="654"/>
      <c r="BE190" s="654"/>
      <c r="BF190" s="654"/>
      <c r="BG190" s="654"/>
      <c r="BH190" s="654"/>
      <c r="BI190" s="654"/>
      <c r="BJ190" s="654"/>
      <c r="BK190" s="654"/>
      <c r="BL190" s="654"/>
      <c r="BM190" s="654"/>
      <c r="BN190" s="654"/>
      <c r="BO190" s="654"/>
      <c r="BP190" s="654"/>
      <c r="BQ190" s="654"/>
      <c r="BR190" s="654"/>
      <c r="BS190" s="654"/>
      <c r="BT190" s="654"/>
      <c r="BU190" s="654"/>
      <c r="BV190" s="654"/>
      <c r="BW190" s="645" t="s">
        <v>109</v>
      </c>
      <c r="BX190" s="658">
        <f t="shared" ref="BX190:BX199" si="103">I190/22*5</f>
        <v>307.5</v>
      </c>
      <c r="BY190" s="658">
        <f t="shared" ref="BY190:BY199" si="104">I190/22*6</f>
        <v>369</v>
      </c>
      <c r="BZ190" s="658">
        <f t="shared" ref="BZ190:BZ199" si="105">I190/22*6</f>
        <v>369</v>
      </c>
      <c r="CA190" s="658">
        <f t="shared" ref="CA190:CA199" si="106">I190/22*5</f>
        <v>307.5</v>
      </c>
      <c r="CB190" s="644">
        <f t="shared" si="95"/>
        <v>1353</v>
      </c>
      <c r="CC190" s="658">
        <f t="shared" si="100"/>
        <v>123</v>
      </c>
      <c r="CD190" s="644">
        <f t="shared" si="96"/>
        <v>1353</v>
      </c>
      <c r="CE190" s="644">
        <f t="shared" si="97"/>
        <v>0</v>
      </c>
    </row>
    <row r="191" s="338" customFormat="1" ht="40" customHeight="1" spans="1:83">
      <c r="A191" s="632">
        <v>45773</v>
      </c>
      <c r="B191" s="633" t="s">
        <v>1123</v>
      </c>
      <c r="C191" s="634" t="s">
        <v>214</v>
      </c>
      <c r="D191" s="635">
        <v>4500165031</v>
      </c>
      <c r="E191" s="659" t="s">
        <v>1132</v>
      </c>
      <c r="F191" s="636" t="s">
        <v>1133</v>
      </c>
      <c r="G191" s="637" t="s">
        <v>241</v>
      </c>
      <c r="H191" s="637" t="s">
        <v>99</v>
      </c>
      <c r="I191" s="638">
        <v>693</v>
      </c>
      <c r="J191" s="638">
        <v>0</v>
      </c>
      <c r="K191" s="639">
        <v>11</v>
      </c>
      <c r="L191" s="639">
        <f t="shared" si="94"/>
        <v>63</v>
      </c>
      <c r="M191" s="641">
        <v>45813</v>
      </c>
      <c r="N191" s="641">
        <v>45810</v>
      </c>
      <c r="O191" s="642" t="s">
        <v>1126</v>
      </c>
      <c r="P191" s="642" t="s">
        <v>100</v>
      </c>
      <c r="Q191" s="643" t="s">
        <v>1134</v>
      </c>
      <c r="R191" s="642" t="s">
        <v>1128</v>
      </c>
      <c r="S191" s="641"/>
      <c r="T191" s="641"/>
      <c r="U191" s="642" t="s">
        <v>113</v>
      </c>
      <c r="V191" s="642"/>
      <c r="W191" s="645"/>
      <c r="X191" s="647" t="s">
        <v>1129</v>
      </c>
      <c r="Y191" s="646" t="s">
        <v>1130</v>
      </c>
      <c r="Z191" s="683">
        <v>1.6759</v>
      </c>
      <c r="AA191" s="650">
        <f t="shared" si="98"/>
        <v>1161.3987</v>
      </c>
      <c r="AB191" s="649">
        <v>693</v>
      </c>
      <c r="AC191" s="649">
        <f t="shared" si="99"/>
        <v>0</v>
      </c>
      <c r="AD191" s="650" t="s">
        <v>113</v>
      </c>
      <c r="AE191" s="637" t="s">
        <v>241</v>
      </c>
      <c r="AF191" s="646" t="s">
        <v>107</v>
      </c>
      <c r="AG191" s="652" t="s">
        <v>43</v>
      </c>
      <c r="AH191" s="646" t="s">
        <v>1135</v>
      </c>
      <c r="AI191" s="649"/>
      <c r="AJ191" s="649"/>
      <c r="AK191" s="649"/>
      <c r="AL191" s="652">
        <f t="shared" si="101"/>
        <v>693</v>
      </c>
      <c r="AM191" s="652"/>
      <c r="AN191" s="649"/>
      <c r="AO191" s="649"/>
      <c r="AP191" s="649"/>
      <c r="AQ191" s="653"/>
      <c r="AR191" s="649"/>
      <c r="AS191" s="649"/>
      <c r="AT191" s="652">
        <f t="shared" si="102"/>
        <v>693</v>
      </c>
      <c r="AU191" s="649"/>
      <c r="AV191" s="654"/>
      <c r="AW191" s="654"/>
      <c r="AX191" s="652">
        <f t="shared" ref="AX191:AX198" si="107">I191/11</f>
        <v>63</v>
      </c>
      <c r="AY191" s="652"/>
      <c r="AZ191" s="654"/>
      <c r="BA191" s="652"/>
      <c r="BB191" s="652"/>
      <c r="BC191" s="654"/>
      <c r="BD191" s="654"/>
      <c r="BE191" s="654"/>
      <c r="BF191" s="654"/>
      <c r="BG191" s="654"/>
      <c r="BH191" s="654"/>
      <c r="BI191" s="654"/>
      <c r="BJ191" s="654"/>
      <c r="BK191" s="654"/>
      <c r="BL191" s="654"/>
      <c r="BM191" s="654"/>
      <c r="BN191" s="654"/>
      <c r="BO191" s="654"/>
      <c r="BP191" s="654"/>
      <c r="BQ191" s="654"/>
      <c r="BR191" s="654"/>
      <c r="BS191" s="654"/>
      <c r="BT191" s="654"/>
      <c r="BU191" s="654"/>
      <c r="BV191" s="654"/>
      <c r="BW191" s="645" t="s">
        <v>109</v>
      </c>
      <c r="BX191" s="658">
        <f t="shared" si="103"/>
        <v>157.5</v>
      </c>
      <c r="BY191" s="658">
        <f t="shared" si="104"/>
        <v>189</v>
      </c>
      <c r="BZ191" s="658">
        <f t="shared" si="105"/>
        <v>189</v>
      </c>
      <c r="CA191" s="658">
        <f t="shared" si="106"/>
        <v>157.5</v>
      </c>
      <c r="CB191" s="644">
        <f t="shared" si="95"/>
        <v>693</v>
      </c>
      <c r="CC191" s="658">
        <f t="shared" ref="CC191:CC199" si="108">I191/11</f>
        <v>63</v>
      </c>
      <c r="CD191" s="644">
        <f t="shared" si="96"/>
        <v>693</v>
      </c>
      <c r="CE191" s="644">
        <f t="shared" si="97"/>
        <v>0</v>
      </c>
    </row>
    <row r="192" s="338" customFormat="1" ht="40" customHeight="1" spans="1:83">
      <c r="A192" s="632">
        <v>45773</v>
      </c>
      <c r="B192" s="633" t="s">
        <v>1123</v>
      </c>
      <c r="C192" s="634" t="s">
        <v>214</v>
      </c>
      <c r="D192" s="635">
        <v>4500165031</v>
      </c>
      <c r="E192" s="659" t="s">
        <v>1136</v>
      </c>
      <c r="F192" s="636" t="s">
        <v>1137</v>
      </c>
      <c r="G192" s="637" t="s">
        <v>241</v>
      </c>
      <c r="H192" s="637" t="s">
        <v>99</v>
      </c>
      <c r="I192" s="638">
        <v>539</v>
      </c>
      <c r="J192" s="638">
        <v>0</v>
      </c>
      <c r="K192" s="639">
        <v>11</v>
      </c>
      <c r="L192" s="639">
        <f t="shared" si="94"/>
        <v>49</v>
      </c>
      <c r="M192" s="641">
        <v>45813</v>
      </c>
      <c r="N192" s="641">
        <v>45810</v>
      </c>
      <c r="O192" s="642" t="s">
        <v>1126</v>
      </c>
      <c r="P192" s="642" t="s">
        <v>100</v>
      </c>
      <c r="Q192" s="643" t="s">
        <v>1138</v>
      </c>
      <c r="R192" s="642" t="s">
        <v>1128</v>
      </c>
      <c r="S192" s="641"/>
      <c r="T192" s="641"/>
      <c r="U192" s="642" t="s">
        <v>113</v>
      </c>
      <c r="V192" s="642"/>
      <c r="W192" s="645"/>
      <c r="X192" s="647" t="s">
        <v>1129</v>
      </c>
      <c r="Y192" s="646" t="s">
        <v>1130</v>
      </c>
      <c r="Z192" s="683">
        <v>1.6759</v>
      </c>
      <c r="AA192" s="650">
        <f t="shared" si="98"/>
        <v>903.3101</v>
      </c>
      <c r="AB192" s="649">
        <v>539</v>
      </c>
      <c r="AC192" s="649">
        <f t="shared" si="99"/>
        <v>0</v>
      </c>
      <c r="AD192" s="650" t="s">
        <v>113</v>
      </c>
      <c r="AE192" s="637" t="s">
        <v>241</v>
      </c>
      <c r="AF192" s="646" t="s">
        <v>107</v>
      </c>
      <c r="AG192" s="652" t="s">
        <v>43</v>
      </c>
      <c r="AH192" s="646" t="s">
        <v>1139</v>
      </c>
      <c r="AI192" s="649"/>
      <c r="AJ192" s="649"/>
      <c r="AK192" s="649"/>
      <c r="AL192" s="652">
        <f t="shared" si="101"/>
        <v>539</v>
      </c>
      <c r="AM192" s="652"/>
      <c r="AN192" s="649"/>
      <c r="AO192" s="649"/>
      <c r="AP192" s="649"/>
      <c r="AQ192" s="653"/>
      <c r="AR192" s="649"/>
      <c r="AS192" s="649"/>
      <c r="AT192" s="652">
        <f t="shared" si="102"/>
        <v>539</v>
      </c>
      <c r="AU192" s="649"/>
      <c r="AV192" s="654"/>
      <c r="AW192" s="654"/>
      <c r="AX192" s="652">
        <f t="shared" si="107"/>
        <v>49</v>
      </c>
      <c r="AY192" s="652"/>
      <c r="AZ192" s="654"/>
      <c r="BA192" s="652"/>
      <c r="BB192" s="652"/>
      <c r="BC192" s="654"/>
      <c r="BD192" s="654"/>
      <c r="BE192" s="654"/>
      <c r="BF192" s="654"/>
      <c r="BG192" s="654"/>
      <c r="BH192" s="654"/>
      <c r="BI192" s="654"/>
      <c r="BJ192" s="654"/>
      <c r="BK192" s="654"/>
      <c r="BL192" s="654"/>
      <c r="BM192" s="654"/>
      <c r="BN192" s="654"/>
      <c r="BO192" s="654"/>
      <c r="BP192" s="654"/>
      <c r="BQ192" s="654"/>
      <c r="BR192" s="654"/>
      <c r="BS192" s="654"/>
      <c r="BT192" s="654"/>
      <c r="BU192" s="654"/>
      <c r="BV192" s="654"/>
      <c r="BW192" s="645" t="s">
        <v>109</v>
      </c>
      <c r="BX192" s="658">
        <f t="shared" si="103"/>
        <v>122.5</v>
      </c>
      <c r="BY192" s="658">
        <f t="shared" si="104"/>
        <v>147</v>
      </c>
      <c r="BZ192" s="658">
        <f t="shared" si="105"/>
        <v>147</v>
      </c>
      <c r="CA192" s="658">
        <f t="shared" si="106"/>
        <v>122.5</v>
      </c>
      <c r="CB192" s="644">
        <f t="shared" si="95"/>
        <v>539</v>
      </c>
      <c r="CC192" s="658">
        <f t="shared" si="108"/>
        <v>49</v>
      </c>
      <c r="CD192" s="644">
        <f t="shared" si="96"/>
        <v>539</v>
      </c>
      <c r="CE192" s="644">
        <f t="shared" si="97"/>
        <v>0</v>
      </c>
    </row>
    <row r="193" s="338" customFormat="1" ht="40" customHeight="1" spans="1:83">
      <c r="A193" s="632">
        <v>45773</v>
      </c>
      <c r="B193" s="633" t="s">
        <v>1123</v>
      </c>
      <c r="C193" s="634" t="s">
        <v>214</v>
      </c>
      <c r="D193" s="635">
        <v>4500165031</v>
      </c>
      <c r="E193" s="659" t="s">
        <v>1140</v>
      </c>
      <c r="F193" s="636" t="s">
        <v>1141</v>
      </c>
      <c r="G193" s="637" t="s">
        <v>241</v>
      </c>
      <c r="H193" s="637" t="s">
        <v>99</v>
      </c>
      <c r="I193" s="638">
        <v>1012</v>
      </c>
      <c r="J193" s="638">
        <v>0</v>
      </c>
      <c r="K193" s="639">
        <v>11</v>
      </c>
      <c r="L193" s="639">
        <f t="shared" si="94"/>
        <v>92</v>
      </c>
      <c r="M193" s="641">
        <v>45813</v>
      </c>
      <c r="N193" s="641">
        <v>45810</v>
      </c>
      <c r="O193" s="642" t="s">
        <v>1126</v>
      </c>
      <c r="P193" s="642" t="s">
        <v>100</v>
      </c>
      <c r="Q193" s="643" t="s">
        <v>1142</v>
      </c>
      <c r="R193" s="642" t="s">
        <v>1128</v>
      </c>
      <c r="S193" s="641"/>
      <c r="T193" s="641"/>
      <c r="U193" s="642" t="s">
        <v>113</v>
      </c>
      <c r="V193" s="642"/>
      <c r="W193" s="645"/>
      <c r="X193" s="647" t="s">
        <v>1129</v>
      </c>
      <c r="Y193" s="646" t="s">
        <v>1130</v>
      </c>
      <c r="Z193" s="683">
        <v>1.6675</v>
      </c>
      <c r="AA193" s="650">
        <f t="shared" si="98"/>
        <v>1687.51</v>
      </c>
      <c r="AB193" s="649">
        <v>1012</v>
      </c>
      <c r="AC193" s="649">
        <f t="shared" si="99"/>
        <v>0</v>
      </c>
      <c r="AD193" s="650" t="s">
        <v>113</v>
      </c>
      <c r="AE193" s="637" t="s">
        <v>241</v>
      </c>
      <c r="AF193" s="646" t="s">
        <v>107</v>
      </c>
      <c r="AG193" s="652" t="s">
        <v>43</v>
      </c>
      <c r="AH193" s="646" t="s">
        <v>1143</v>
      </c>
      <c r="AI193" s="649"/>
      <c r="AJ193" s="649"/>
      <c r="AK193" s="649"/>
      <c r="AL193" s="652">
        <f t="shared" si="101"/>
        <v>1012</v>
      </c>
      <c r="AM193" s="652"/>
      <c r="AN193" s="649"/>
      <c r="AO193" s="649"/>
      <c r="AP193" s="649"/>
      <c r="AQ193" s="653"/>
      <c r="AR193" s="649"/>
      <c r="AS193" s="649"/>
      <c r="AT193" s="652">
        <f t="shared" si="102"/>
        <v>1012</v>
      </c>
      <c r="AU193" s="649"/>
      <c r="AV193" s="654"/>
      <c r="AW193" s="654"/>
      <c r="AX193" s="652">
        <f t="shared" si="107"/>
        <v>92</v>
      </c>
      <c r="AY193" s="652"/>
      <c r="AZ193" s="654"/>
      <c r="BA193" s="652"/>
      <c r="BB193" s="652"/>
      <c r="BC193" s="654"/>
      <c r="BD193" s="654"/>
      <c r="BE193" s="654"/>
      <c r="BF193" s="654"/>
      <c r="BG193" s="654"/>
      <c r="BH193" s="654"/>
      <c r="BI193" s="654"/>
      <c r="BJ193" s="654"/>
      <c r="BK193" s="654"/>
      <c r="BL193" s="654"/>
      <c r="BM193" s="654"/>
      <c r="BN193" s="654"/>
      <c r="BO193" s="654"/>
      <c r="BP193" s="654"/>
      <c r="BQ193" s="654"/>
      <c r="BR193" s="654"/>
      <c r="BS193" s="654"/>
      <c r="BT193" s="654"/>
      <c r="BU193" s="654"/>
      <c r="BV193" s="654"/>
      <c r="BW193" s="645" t="s">
        <v>109</v>
      </c>
      <c r="BX193" s="658">
        <f t="shared" si="103"/>
        <v>230</v>
      </c>
      <c r="BY193" s="658">
        <f t="shared" si="104"/>
        <v>276</v>
      </c>
      <c r="BZ193" s="658">
        <f t="shared" si="105"/>
        <v>276</v>
      </c>
      <c r="CA193" s="658">
        <f t="shared" si="106"/>
        <v>230</v>
      </c>
      <c r="CB193" s="644">
        <f t="shared" si="95"/>
        <v>1012</v>
      </c>
      <c r="CC193" s="658">
        <f t="shared" si="108"/>
        <v>92</v>
      </c>
      <c r="CD193" s="644">
        <f t="shared" si="96"/>
        <v>1012</v>
      </c>
      <c r="CE193" s="644">
        <f t="shared" si="97"/>
        <v>0</v>
      </c>
    </row>
    <row r="194" s="338" customFormat="1" ht="40" customHeight="1" spans="1:83">
      <c r="A194" s="632">
        <v>45773</v>
      </c>
      <c r="B194" s="633" t="s">
        <v>1123</v>
      </c>
      <c r="C194" s="634" t="s">
        <v>214</v>
      </c>
      <c r="D194" s="635">
        <v>4500165031</v>
      </c>
      <c r="E194" s="659" t="s">
        <v>1144</v>
      </c>
      <c r="F194" s="636" t="s">
        <v>1145</v>
      </c>
      <c r="G194" s="637" t="s">
        <v>241</v>
      </c>
      <c r="H194" s="637" t="s">
        <v>99</v>
      </c>
      <c r="I194" s="638">
        <v>242</v>
      </c>
      <c r="J194" s="638">
        <v>0</v>
      </c>
      <c r="K194" s="639">
        <v>11</v>
      </c>
      <c r="L194" s="639">
        <f t="shared" si="94"/>
        <v>22</v>
      </c>
      <c r="M194" s="641">
        <v>45813</v>
      </c>
      <c r="N194" s="641">
        <v>45810</v>
      </c>
      <c r="O194" s="642" t="s">
        <v>1126</v>
      </c>
      <c r="P194" s="642" t="s">
        <v>100</v>
      </c>
      <c r="Q194" s="643"/>
      <c r="R194" s="642" t="s">
        <v>1128</v>
      </c>
      <c r="S194" s="641"/>
      <c r="T194" s="641"/>
      <c r="U194" s="642" t="s">
        <v>113</v>
      </c>
      <c r="V194" s="642"/>
      <c r="W194" s="645"/>
      <c r="X194" s="647" t="s">
        <v>1129</v>
      </c>
      <c r="Y194" s="646" t="s">
        <v>1130</v>
      </c>
      <c r="Z194" s="683">
        <v>1.6759</v>
      </c>
      <c r="AA194" s="650">
        <f t="shared" si="98"/>
        <v>405.5678</v>
      </c>
      <c r="AB194" s="649">
        <v>242</v>
      </c>
      <c r="AC194" s="649">
        <f t="shared" si="99"/>
        <v>0</v>
      </c>
      <c r="AD194" s="650" t="s">
        <v>113</v>
      </c>
      <c r="AE194" s="637" t="s">
        <v>241</v>
      </c>
      <c r="AF194" s="646" t="s">
        <v>107</v>
      </c>
      <c r="AG194" s="652" t="s">
        <v>43</v>
      </c>
      <c r="AH194" s="646" t="s">
        <v>1146</v>
      </c>
      <c r="AI194" s="649"/>
      <c r="AJ194" s="649"/>
      <c r="AK194" s="649"/>
      <c r="AL194" s="652">
        <f t="shared" si="101"/>
        <v>242</v>
      </c>
      <c r="AM194" s="652"/>
      <c r="AN194" s="649"/>
      <c r="AO194" s="649"/>
      <c r="AP194" s="649"/>
      <c r="AQ194" s="653"/>
      <c r="AR194" s="649"/>
      <c r="AS194" s="649"/>
      <c r="AT194" s="652">
        <f t="shared" si="102"/>
        <v>242</v>
      </c>
      <c r="AU194" s="649"/>
      <c r="AV194" s="654"/>
      <c r="AW194" s="654"/>
      <c r="AX194" s="652">
        <f t="shared" si="107"/>
        <v>22</v>
      </c>
      <c r="AY194" s="652"/>
      <c r="AZ194" s="654"/>
      <c r="BA194" s="652"/>
      <c r="BB194" s="652"/>
      <c r="BC194" s="654"/>
      <c r="BD194" s="654"/>
      <c r="BE194" s="654"/>
      <c r="BF194" s="654"/>
      <c r="BG194" s="654"/>
      <c r="BH194" s="654"/>
      <c r="BI194" s="654"/>
      <c r="BJ194" s="654"/>
      <c r="BK194" s="654"/>
      <c r="BL194" s="654"/>
      <c r="BM194" s="654"/>
      <c r="BN194" s="654"/>
      <c r="BO194" s="654"/>
      <c r="BP194" s="654"/>
      <c r="BQ194" s="654"/>
      <c r="BR194" s="654"/>
      <c r="BS194" s="654"/>
      <c r="BT194" s="654"/>
      <c r="BU194" s="654"/>
      <c r="BV194" s="654"/>
      <c r="BW194" s="645" t="s">
        <v>109</v>
      </c>
      <c r="BX194" s="658">
        <f t="shared" si="103"/>
        <v>55</v>
      </c>
      <c r="BY194" s="658">
        <f t="shared" si="104"/>
        <v>66</v>
      </c>
      <c r="BZ194" s="658">
        <f t="shared" si="105"/>
        <v>66</v>
      </c>
      <c r="CA194" s="658">
        <f t="shared" si="106"/>
        <v>55</v>
      </c>
      <c r="CB194" s="644">
        <f t="shared" si="95"/>
        <v>242</v>
      </c>
      <c r="CC194" s="658">
        <f t="shared" si="108"/>
        <v>22</v>
      </c>
      <c r="CD194" s="644">
        <f t="shared" si="96"/>
        <v>242</v>
      </c>
      <c r="CE194" s="644">
        <f t="shared" si="97"/>
        <v>0</v>
      </c>
    </row>
    <row r="195" s="338" customFormat="1" ht="40" customHeight="1" spans="1:83">
      <c r="A195" s="632">
        <v>45773</v>
      </c>
      <c r="B195" s="633" t="s">
        <v>1123</v>
      </c>
      <c r="C195" s="634" t="s">
        <v>214</v>
      </c>
      <c r="D195" s="635">
        <v>4500165031</v>
      </c>
      <c r="E195" s="659" t="s">
        <v>1147</v>
      </c>
      <c r="F195" s="636" t="s">
        <v>1148</v>
      </c>
      <c r="G195" s="637" t="s">
        <v>241</v>
      </c>
      <c r="H195" s="637" t="s">
        <v>99</v>
      </c>
      <c r="I195" s="638">
        <v>627</v>
      </c>
      <c r="J195" s="638">
        <v>0</v>
      </c>
      <c r="K195" s="639">
        <v>11</v>
      </c>
      <c r="L195" s="639">
        <f t="shared" si="94"/>
        <v>57</v>
      </c>
      <c r="M195" s="641">
        <v>45813</v>
      </c>
      <c r="N195" s="641">
        <v>45810</v>
      </c>
      <c r="O195" s="642" t="s">
        <v>1126</v>
      </c>
      <c r="P195" s="642" t="s">
        <v>100</v>
      </c>
      <c r="Q195" s="643" t="s">
        <v>1149</v>
      </c>
      <c r="R195" s="642" t="s">
        <v>1128</v>
      </c>
      <c r="S195" s="641"/>
      <c r="T195" s="641"/>
      <c r="U195" s="642" t="s">
        <v>113</v>
      </c>
      <c r="V195" s="642"/>
      <c r="W195" s="645"/>
      <c r="X195" s="647" t="s">
        <v>1129</v>
      </c>
      <c r="Y195" s="646" t="s">
        <v>1130</v>
      </c>
      <c r="Z195" s="683">
        <v>1.6759</v>
      </c>
      <c r="AA195" s="650">
        <f t="shared" si="98"/>
        <v>1050.7893</v>
      </c>
      <c r="AB195" s="649">
        <v>627</v>
      </c>
      <c r="AC195" s="649">
        <f t="shared" si="99"/>
        <v>0</v>
      </c>
      <c r="AD195" s="650" t="s">
        <v>113</v>
      </c>
      <c r="AE195" s="637" t="s">
        <v>241</v>
      </c>
      <c r="AF195" s="646" t="s">
        <v>107</v>
      </c>
      <c r="AG195" s="652" t="s">
        <v>43</v>
      </c>
      <c r="AH195" s="634" t="s">
        <v>1150</v>
      </c>
      <c r="AI195" s="649"/>
      <c r="AJ195" s="649"/>
      <c r="AK195" s="649"/>
      <c r="AL195" s="652">
        <f t="shared" si="101"/>
        <v>627</v>
      </c>
      <c r="AM195" s="652"/>
      <c r="AN195" s="649"/>
      <c r="AO195" s="649"/>
      <c r="AP195" s="649"/>
      <c r="AQ195" s="653"/>
      <c r="AR195" s="649"/>
      <c r="AS195" s="649"/>
      <c r="AT195" s="652">
        <f t="shared" si="102"/>
        <v>627</v>
      </c>
      <c r="AU195" s="649"/>
      <c r="AV195" s="654"/>
      <c r="AW195" s="654"/>
      <c r="AX195" s="652">
        <f t="shared" si="107"/>
        <v>57</v>
      </c>
      <c r="AY195" s="652"/>
      <c r="AZ195" s="654"/>
      <c r="BA195" s="652"/>
      <c r="BB195" s="652"/>
      <c r="BC195" s="654"/>
      <c r="BD195" s="654"/>
      <c r="BE195" s="654"/>
      <c r="BF195" s="654"/>
      <c r="BG195" s="654"/>
      <c r="BH195" s="654"/>
      <c r="BI195" s="654"/>
      <c r="BJ195" s="654"/>
      <c r="BK195" s="654"/>
      <c r="BL195" s="654"/>
      <c r="BM195" s="654"/>
      <c r="BN195" s="654"/>
      <c r="BO195" s="654"/>
      <c r="BP195" s="654"/>
      <c r="BQ195" s="654"/>
      <c r="BR195" s="654"/>
      <c r="BS195" s="654"/>
      <c r="BT195" s="654"/>
      <c r="BU195" s="654"/>
      <c r="BV195" s="654"/>
      <c r="BW195" s="645" t="s">
        <v>109</v>
      </c>
      <c r="BX195" s="658">
        <f t="shared" si="103"/>
        <v>142.5</v>
      </c>
      <c r="BY195" s="658">
        <f t="shared" si="104"/>
        <v>171</v>
      </c>
      <c r="BZ195" s="658">
        <f t="shared" si="105"/>
        <v>171</v>
      </c>
      <c r="CA195" s="658">
        <f t="shared" si="106"/>
        <v>142.5</v>
      </c>
      <c r="CB195" s="644">
        <f t="shared" si="95"/>
        <v>627</v>
      </c>
      <c r="CC195" s="658">
        <f t="shared" si="108"/>
        <v>57</v>
      </c>
      <c r="CD195" s="644">
        <f t="shared" si="96"/>
        <v>627</v>
      </c>
      <c r="CE195" s="644">
        <f t="shared" si="97"/>
        <v>0</v>
      </c>
    </row>
    <row r="196" s="338" customFormat="1" ht="40" customHeight="1" spans="1:83">
      <c r="A196" s="632">
        <v>45773</v>
      </c>
      <c r="B196" s="633" t="s">
        <v>1123</v>
      </c>
      <c r="C196" s="634" t="s">
        <v>214</v>
      </c>
      <c r="D196" s="635">
        <v>4500165031</v>
      </c>
      <c r="E196" s="659" t="s">
        <v>1151</v>
      </c>
      <c r="F196" s="636" t="s">
        <v>1152</v>
      </c>
      <c r="G196" s="637" t="s">
        <v>241</v>
      </c>
      <c r="H196" s="637" t="s">
        <v>99</v>
      </c>
      <c r="I196" s="638">
        <v>319</v>
      </c>
      <c r="J196" s="638">
        <v>0</v>
      </c>
      <c r="K196" s="639">
        <v>11</v>
      </c>
      <c r="L196" s="639">
        <f t="shared" si="94"/>
        <v>29</v>
      </c>
      <c r="M196" s="641">
        <v>45813</v>
      </c>
      <c r="N196" s="641">
        <v>45810</v>
      </c>
      <c r="O196" s="642" t="s">
        <v>1126</v>
      </c>
      <c r="P196" s="642" t="s">
        <v>100</v>
      </c>
      <c r="Q196" s="643" t="s">
        <v>1153</v>
      </c>
      <c r="R196" s="642" t="s">
        <v>1128</v>
      </c>
      <c r="S196" s="641"/>
      <c r="T196" s="641"/>
      <c r="U196" s="642" t="s">
        <v>113</v>
      </c>
      <c r="V196" s="642"/>
      <c r="W196" s="645"/>
      <c r="X196" s="647" t="s">
        <v>1129</v>
      </c>
      <c r="Y196" s="646" t="s">
        <v>1130</v>
      </c>
      <c r="Z196" s="683">
        <v>1.6759</v>
      </c>
      <c r="AA196" s="650">
        <f t="shared" si="98"/>
        <v>534.6121</v>
      </c>
      <c r="AB196" s="649">
        <v>319</v>
      </c>
      <c r="AC196" s="649">
        <f t="shared" si="99"/>
        <v>0</v>
      </c>
      <c r="AD196" s="650" t="s">
        <v>113</v>
      </c>
      <c r="AE196" s="637" t="s">
        <v>241</v>
      </c>
      <c r="AF196" s="646" t="s">
        <v>107</v>
      </c>
      <c r="AG196" s="652" t="s">
        <v>43</v>
      </c>
      <c r="AH196" s="646" t="s">
        <v>1154</v>
      </c>
      <c r="AI196" s="649"/>
      <c r="AJ196" s="649"/>
      <c r="AK196" s="649"/>
      <c r="AL196" s="652">
        <f t="shared" si="101"/>
        <v>319</v>
      </c>
      <c r="AM196" s="652"/>
      <c r="AN196" s="649"/>
      <c r="AO196" s="649"/>
      <c r="AP196" s="649"/>
      <c r="AQ196" s="653"/>
      <c r="AR196" s="649"/>
      <c r="AS196" s="649"/>
      <c r="AT196" s="652">
        <f t="shared" si="102"/>
        <v>319</v>
      </c>
      <c r="AU196" s="649"/>
      <c r="AV196" s="654"/>
      <c r="AW196" s="654"/>
      <c r="AX196" s="652">
        <f t="shared" si="107"/>
        <v>29</v>
      </c>
      <c r="AY196" s="652"/>
      <c r="AZ196" s="654"/>
      <c r="BA196" s="652"/>
      <c r="BB196" s="652"/>
      <c r="BC196" s="654"/>
      <c r="BD196" s="654"/>
      <c r="BE196" s="654"/>
      <c r="BF196" s="654"/>
      <c r="BG196" s="654"/>
      <c r="BH196" s="654"/>
      <c r="BI196" s="654"/>
      <c r="BJ196" s="654"/>
      <c r="BK196" s="654"/>
      <c r="BL196" s="654"/>
      <c r="BM196" s="654"/>
      <c r="BN196" s="654"/>
      <c r="BO196" s="654"/>
      <c r="BP196" s="654"/>
      <c r="BQ196" s="654"/>
      <c r="BR196" s="654"/>
      <c r="BS196" s="654"/>
      <c r="BT196" s="654"/>
      <c r="BU196" s="654"/>
      <c r="BV196" s="654"/>
      <c r="BW196" s="645" t="s">
        <v>109</v>
      </c>
      <c r="BX196" s="658">
        <f t="shared" si="103"/>
        <v>72.5</v>
      </c>
      <c r="BY196" s="658">
        <f t="shared" si="104"/>
        <v>87</v>
      </c>
      <c r="BZ196" s="658">
        <f t="shared" si="105"/>
        <v>87</v>
      </c>
      <c r="CA196" s="658">
        <f t="shared" si="106"/>
        <v>72.5</v>
      </c>
      <c r="CB196" s="644">
        <f t="shared" si="95"/>
        <v>319</v>
      </c>
      <c r="CC196" s="658">
        <f t="shared" si="108"/>
        <v>29</v>
      </c>
      <c r="CD196" s="644">
        <f t="shared" si="96"/>
        <v>319</v>
      </c>
      <c r="CE196" s="644">
        <f t="shared" si="97"/>
        <v>0</v>
      </c>
    </row>
    <row r="197" s="338" customFormat="1" ht="40" customHeight="1" spans="1:83">
      <c r="A197" s="632">
        <v>45773</v>
      </c>
      <c r="B197" s="633" t="s">
        <v>1123</v>
      </c>
      <c r="C197" s="634" t="s">
        <v>214</v>
      </c>
      <c r="D197" s="635">
        <v>4500165031</v>
      </c>
      <c r="E197" s="659" t="s">
        <v>1155</v>
      </c>
      <c r="F197" s="636" t="s">
        <v>1156</v>
      </c>
      <c r="G197" s="637" t="s">
        <v>241</v>
      </c>
      <c r="H197" s="637" t="s">
        <v>99</v>
      </c>
      <c r="I197" s="638">
        <v>836</v>
      </c>
      <c r="J197" s="638">
        <v>0</v>
      </c>
      <c r="K197" s="639">
        <v>11</v>
      </c>
      <c r="L197" s="639">
        <f t="shared" si="94"/>
        <v>76</v>
      </c>
      <c r="M197" s="641">
        <v>45813</v>
      </c>
      <c r="N197" s="641">
        <v>45810</v>
      </c>
      <c r="O197" s="642" t="s">
        <v>1126</v>
      </c>
      <c r="P197" s="642" t="s">
        <v>100</v>
      </c>
      <c r="Q197" s="643" t="s">
        <v>1157</v>
      </c>
      <c r="R197" s="642" t="s">
        <v>1128</v>
      </c>
      <c r="S197" s="641"/>
      <c r="T197" s="641"/>
      <c r="U197" s="642" t="s">
        <v>113</v>
      </c>
      <c r="V197" s="642"/>
      <c r="W197" s="645"/>
      <c r="X197" s="647" t="s">
        <v>1129</v>
      </c>
      <c r="Y197" s="646" t="s">
        <v>1130</v>
      </c>
      <c r="Z197" s="683">
        <v>1.6759</v>
      </c>
      <c r="AA197" s="650">
        <f t="shared" si="98"/>
        <v>1401.0524</v>
      </c>
      <c r="AB197" s="649">
        <v>836</v>
      </c>
      <c r="AC197" s="649">
        <f t="shared" si="99"/>
        <v>0</v>
      </c>
      <c r="AD197" s="650" t="s">
        <v>113</v>
      </c>
      <c r="AE197" s="637" t="s">
        <v>241</v>
      </c>
      <c r="AF197" s="646" t="s">
        <v>107</v>
      </c>
      <c r="AG197" s="652" t="s">
        <v>43</v>
      </c>
      <c r="AH197" s="634" t="s">
        <v>1158</v>
      </c>
      <c r="AI197" s="649"/>
      <c r="AJ197" s="649"/>
      <c r="AK197" s="649"/>
      <c r="AL197" s="652">
        <f t="shared" si="101"/>
        <v>836</v>
      </c>
      <c r="AM197" s="652"/>
      <c r="AN197" s="649"/>
      <c r="AO197" s="649"/>
      <c r="AP197" s="649"/>
      <c r="AQ197" s="653"/>
      <c r="AR197" s="649"/>
      <c r="AS197" s="649"/>
      <c r="AT197" s="652">
        <f t="shared" si="102"/>
        <v>836</v>
      </c>
      <c r="AU197" s="649"/>
      <c r="AV197" s="654"/>
      <c r="AW197" s="654"/>
      <c r="AX197" s="652">
        <f t="shared" si="107"/>
        <v>76</v>
      </c>
      <c r="AY197" s="652"/>
      <c r="AZ197" s="654"/>
      <c r="BA197" s="652"/>
      <c r="BB197" s="652"/>
      <c r="BC197" s="654"/>
      <c r="BD197" s="654"/>
      <c r="BE197" s="654"/>
      <c r="BF197" s="654"/>
      <c r="BG197" s="654"/>
      <c r="BH197" s="654"/>
      <c r="BI197" s="654"/>
      <c r="BJ197" s="654"/>
      <c r="BK197" s="654"/>
      <c r="BL197" s="654"/>
      <c r="BM197" s="654"/>
      <c r="BN197" s="654"/>
      <c r="BO197" s="654"/>
      <c r="BP197" s="654"/>
      <c r="BQ197" s="654"/>
      <c r="BR197" s="654"/>
      <c r="BS197" s="654"/>
      <c r="BT197" s="654"/>
      <c r="BU197" s="654"/>
      <c r="BV197" s="654"/>
      <c r="BW197" s="645" t="s">
        <v>109</v>
      </c>
      <c r="BX197" s="658">
        <f t="shared" si="103"/>
        <v>190</v>
      </c>
      <c r="BY197" s="658">
        <f t="shared" si="104"/>
        <v>228</v>
      </c>
      <c r="BZ197" s="658">
        <f t="shared" si="105"/>
        <v>228</v>
      </c>
      <c r="CA197" s="658">
        <f t="shared" si="106"/>
        <v>190</v>
      </c>
      <c r="CB197" s="644">
        <f t="shared" si="95"/>
        <v>836</v>
      </c>
      <c r="CC197" s="658">
        <f t="shared" si="108"/>
        <v>76</v>
      </c>
      <c r="CD197" s="644">
        <f t="shared" si="96"/>
        <v>836</v>
      </c>
      <c r="CE197" s="644">
        <f t="shared" si="97"/>
        <v>0</v>
      </c>
    </row>
    <row r="198" s="338" customFormat="1" ht="40" customHeight="1" spans="1:83">
      <c r="A198" s="632">
        <v>45773</v>
      </c>
      <c r="B198" s="633" t="s">
        <v>1123</v>
      </c>
      <c r="C198" s="634" t="s">
        <v>214</v>
      </c>
      <c r="D198" s="635">
        <v>4500165031</v>
      </c>
      <c r="E198" s="659" t="s">
        <v>1159</v>
      </c>
      <c r="F198" s="636" t="s">
        <v>1160</v>
      </c>
      <c r="G198" s="637" t="s">
        <v>241</v>
      </c>
      <c r="H198" s="637" t="s">
        <v>99</v>
      </c>
      <c r="I198" s="638">
        <v>550</v>
      </c>
      <c r="J198" s="638">
        <v>0</v>
      </c>
      <c r="K198" s="639">
        <v>11</v>
      </c>
      <c r="L198" s="639">
        <f t="shared" si="94"/>
        <v>50</v>
      </c>
      <c r="M198" s="641">
        <v>45813</v>
      </c>
      <c r="N198" s="641">
        <v>45810</v>
      </c>
      <c r="O198" s="642" t="s">
        <v>1126</v>
      </c>
      <c r="P198" s="642" t="s">
        <v>100</v>
      </c>
      <c r="Q198" s="643" t="s">
        <v>1161</v>
      </c>
      <c r="R198" s="642" t="s">
        <v>1128</v>
      </c>
      <c r="S198" s="641"/>
      <c r="T198" s="641"/>
      <c r="U198" s="642" t="s">
        <v>113</v>
      </c>
      <c r="V198" s="642"/>
      <c r="W198" s="645"/>
      <c r="X198" s="647" t="s">
        <v>1129</v>
      </c>
      <c r="Y198" s="646" t="s">
        <v>1130</v>
      </c>
      <c r="Z198" s="683">
        <v>1.6759</v>
      </c>
      <c r="AA198" s="650">
        <f t="shared" si="98"/>
        <v>921.745</v>
      </c>
      <c r="AB198" s="649">
        <v>550</v>
      </c>
      <c r="AC198" s="649">
        <f t="shared" si="99"/>
        <v>0</v>
      </c>
      <c r="AD198" s="650" t="s">
        <v>113</v>
      </c>
      <c r="AE198" s="637" t="s">
        <v>241</v>
      </c>
      <c r="AF198" s="646" t="s">
        <v>107</v>
      </c>
      <c r="AG198" s="652" t="s">
        <v>43</v>
      </c>
      <c r="AH198" s="646" t="s">
        <v>1162</v>
      </c>
      <c r="AI198" s="649"/>
      <c r="AJ198" s="649"/>
      <c r="AK198" s="649"/>
      <c r="AL198" s="652">
        <f t="shared" si="101"/>
        <v>550</v>
      </c>
      <c r="AM198" s="652"/>
      <c r="AN198" s="649"/>
      <c r="AO198" s="649"/>
      <c r="AP198" s="649"/>
      <c r="AQ198" s="653"/>
      <c r="AR198" s="649"/>
      <c r="AS198" s="649"/>
      <c r="AT198" s="652">
        <f t="shared" si="102"/>
        <v>550</v>
      </c>
      <c r="AU198" s="649"/>
      <c r="AV198" s="654"/>
      <c r="AW198" s="654"/>
      <c r="AX198" s="652">
        <f t="shared" si="107"/>
        <v>50</v>
      </c>
      <c r="AY198" s="652"/>
      <c r="AZ198" s="654"/>
      <c r="BA198" s="652"/>
      <c r="BB198" s="652"/>
      <c r="BC198" s="654"/>
      <c r="BD198" s="654"/>
      <c r="BE198" s="654"/>
      <c r="BF198" s="654"/>
      <c r="BG198" s="654"/>
      <c r="BH198" s="654"/>
      <c r="BI198" s="654"/>
      <c r="BJ198" s="654"/>
      <c r="BK198" s="654"/>
      <c r="BL198" s="654"/>
      <c r="BM198" s="654"/>
      <c r="BN198" s="654"/>
      <c r="BO198" s="654"/>
      <c r="BP198" s="654"/>
      <c r="BQ198" s="654"/>
      <c r="BR198" s="654"/>
      <c r="BS198" s="654"/>
      <c r="BT198" s="654"/>
      <c r="BU198" s="654"/>
      <c r="BV198" s="654"/>
      <c r="BW198" s="645" t="s">
        <v>109</v>
      </c>
      <c r="BX198" s="658">
        <f t="shared" si="103"/>
        <v>125</v>
      </c>
      <c r="BY198" s="658">
        <f t="shared" si="104"/>
        <v>150</v>
      </c>
      <c r="BZ198" s="658">
        <f t="shared" si="105"/>
        <v>150</v>
      </c>
      <c r="CA198" s="658">
        <f t="shared" si="106"/>
        <v>125</v>
      </c>
      <c r="CB198" s="644">
        <f t="shared" si="95"/>
        <v>550</v>
      </c>
      <c r="CC198" s="658">
        <f t="shared" si="108"/>
        <v>50</v>
      </c>
      <c r="CD198" s="644">
        <f t="shared" si="96"/>
        <v>550</v>
      </c>
      <c r="CE198" s="644">
        <f t="shared" si="97"/>
        <v>0</v>
      </c>
    </row>
    <row r="199" s="338" customFormat="1" ht="40" customHeight="1" spans="1:83">
      <c r="A199" s="632">
        <v>45774</v>
      </c>
      <c r="B199" s="633" t="s">
        <v>616</v>
      </c>
      <c r="C199" s="634" t="s">
        <v>617</v>
      </c>
      <c r="D199" s="635">
        <v>4500165064</v>
      </c>
      <c r="E199" s="659">
        <v>4400480372</v>
      </c>
      <c r="F199" s="636" t="s">
        <v>1163</v>
      </c>
      <c r="G199" s="637" t="s">
        <v>111</v>
      </c>
      <c r="H199" s="637" t="s">
        <v>99</v>
      </c>
      <c r="I199" s="638">
        <v>1012</v>
      </c>
      <c r="J199" s="638">
        <v>0</v>
      </c>
      <c r="K199" s="639">
        <v>22</v>
      </c>
      <c r="L199" s="639">
        <f t="shared" si="94"/>
        <v>46</v>
      </c>
      <c r="M199" s="641">
        <v>45811</v>
      </c>
      <c r="N199" s="641">
        <f>M199-4</f>
        <v>45807</v>
      </c>
      <c r="O199" s="641"/>
      <c r="P199" s="642" t="s">
        <v>100</v>
      </c>
      <c r="Q199" s="643" t="s">
        <v>1164</v>
      </c>
      <c r="R199" s="642" t="s">
        <v>1165</v>
      </c>
      <c r="S199" s="641"/>
      <c r="T199" s="641"/>
      <c r="U199" s="642" t="s">
        <v>1166</v>
      </c>
      <c r="V199" s="642"/>
      <c r="W199" s="645"/>
      <c r="X199" s="647" t="s">
        <v>1167</v>
      </c>
      <c r="Y199" s="646" t="s">
        <v>623</v>
      </c>
      <c r="Z199" s="683">
        <v>2.7172</v>
      </c>
      <c r="AA199" s="650">
        <f t="shared" si="98"/>
        <v>2749.8064</v>
      </c>
      <c r="AB199" s="649">
        <v>1012</v>
      </c>
      <c r="AC199" s="649">
        <f t="shared" si="99"/>
        <v>0</v>
      </c>
      <c r="AD199" s="650" t="s">
        <v>106</v>
      </c>
      <c r="AE199" s="637" t="s">
        <v>230</v>
      </c>
      <c r="AF199" s="646" t="s">
        <v>107</v>
      </c>
      <c r="AG199" s="652" t="s">
        <v>43</v>
      </c>
      <c r="AH199" s="646"/>
      <c r="AI199" s="649"/>
      <c r="AJ199" s="649"/>
      <c r="AK199" s="649"/>
      <c r="AL199" s="649"/>
      <c r="AM199" s="649"/>
      <c r="AN199" s="649"/>
      <c r="AO199" s="649">
        <f>I199</f>
        <v>1012</v>
      </c>
      <c r="AP199" s="649"/>
      <c r="AQ199" s="653"/>
      <c r="AR199" s="649"/>
      <c r="AS199" s="649"/>
      <c r="AT199" s="652">
        <f t="shared" si="102"/>
        <v>1012</v>
      </c>
      <c r="AU199" s="649"/>
      <c r="AV199" s="654"/>
      <c r="AW199" s="654"/>
      <c r="AX199" s="652"/>
      <c r="AY199" s="652"/>
      <c r="AZ199" s="654"/>
      <c r="BA199" s="652">
        <f>I199/11</f>
        <v>92</v>
      </c>
      <c r="BB199" s="652"/>
      <c r="BC199" s="654"/>
      <c r="BD199" s="654"/>
      <c r="BE199" s="654"/>
      <c r="BF199" s="654"/>
      <c r="BG199" s="654"/>
      <c r="BH199" s="654"/>
      <c r="BI199" s="654"/>
      <c r="BJ199" s="654"/>
      <c r="BK199" s="654"/>
      <c r="BL199" s="654"/>
      <c r="BM199" s="654"/>
      <c r="BN199" s="654"/>
      <c r="BO199" s="654"/>
      <c r="BP199" s="654"/>
      <c r="BQ199" s="654"/>
      <c r="BR199" s="654"/>
      <c r="BS199" s="654"/>
      <c r="BT199" s="654"/>
      <c r="BU199" s="654"/>
      <c r="BV199" s="654"/>
      <c r="BW199" s="645" t="s">
        <v>109</v>
      </c>
      <c r="BX199" s="658">
        <f t="shared" si="103"/>
        <v>230</v>
      </c>
      <c r="BY199" s="658">
        <f t="shared" si="104"/>
        <v>276</v>
      </c>
      <c r="BZ199" s="658">
        <f t="shared" si="105"/>
        <v>276</v>
      </c>
      <c r="CA199" s="658">
        <f t="shared" si="106"/>
        <v>230</v>
      </c>
      <c r="CB199" s="644">
        <f t="shared" si="95"/>
        <v>1012</v>
      </c>
      <c r="CC199" s="658">
        <f t="shared" si="108"/>
        <v>92</v>
      </c>
      <c r="CD199" s="644">
        <f t="shared" si="96"/>
        <v>1012</v>
      </c>
      <c r="CE199" s="644">
        <f t="shared" si="97"/>
        <v>0</v>
      </c>
    </row>
    <row r="200" s="338" customFormat="1" ht="40" customHeight="1" spans="1:83">
      <c r="A200" s="632">
        <v>45756</v>
      </c>
      <c r="B200" s="633" t="s">
        <v>128</v>
      </c>
      <c r="C200" s="634" t="s">
        <v>129</v>
      </c>
      <c r="D200" s="635">
        <v>4500163057</v>
      </c>
      <c r="E200" s="659" t="s">
        <v>1168</v>
      </c>
      <c r="F200" s="636" t="s">
        <v>1169</v>
      </c>
      <c r="G200" s="637" t="s">
        <v>141</v>
      </c>
      <c r="H200" s="637" t="s">
        <v>99</v>
      </c>
      <c r="I200" s="638">
        <v>24</v>
      </c>
      <c r="J200" s="638">
        <v>0</v>
      </c>
      <c r="K200" s="639">
        <v>24</v>
      </c>
      <c r="L200" s="639">
        <f t="shared" si="94"/>
        <v>1</v>
      </c>
      <c r="M200" s="641">
        <v>45812</v>
      </c>
      <c r="N200" s="641">
        <f>M200-4</f>
        <v>45808</v>
      </c>
      <c r="O200" s="642" t="s">
        <v>1170</v>
      </c>
      <c r="P200" s="642" t="s">
        <v>100</v>
      </c>
      <c r="Q200" s="643" t="s">
        <v>1171</v>
      </c>
      <c r="R200" s="642" t="s">
        <v>1172</v>
      </c>
      <c r="S200" s="641"/>
      <c r="T200" s="641"/>
      <c r="U200" s="642" t="s">
        <v>1173</v>
      </c>
      <c r="V200" s="642" t="s">
        <v>1174</v>
      </c>
      <c r="W200" s="645"/>
      <c r="X200" s="647" t="s">
        <v>1175</v>
      </c>
      <c r="Y200" s="646" t="s">
        <v>818</v>
      </c>
      <c r="Z200" s="648">
        <v>2.5681</v>
      </c>
      <c r="AA200" s="650">
        <f t="shared" si="98"/>
        <v>61.6344</v>
      </c>
      <c r="AB200" s="649">
        <v>24</v>
      </c>
      <c r="AC200" s="649">
        <f t="shared" si="99"/>
        <v>0</v>
      </c>
      <c r="AD200" s="650" t="s">
        <v>106</v>
      </c>
      <c r="AE200" s="637" t="s">
        <v>153</v>
      </c>
      <c r="AF200" s="646" t="s">
        <v>107</v>
      </c>
      <c r="AG200" s="652" t="s">
        <v>43</v>
      </c>
      <c r="AH200" s="646"/>
      <c r="AI200" s="649"/>
      <c r="AJ200" s="649"/>
      <c r="AK200" s="649"/>
      <c r="AL200" s="649"/>
      <c r="AM200" s="649"/>
      <c r="AN200" s="649"/>
      <c r="AO200" s="649">
        <f>I200</f>
        <v>24</v>
      </c>
      <c r="AP200" s="649"/>
      <c r="AQ200" s="653"/>
      <c r="AR200" s="649"/>
      <c r="AS200" s="649"/>
      <c r="AT200" s="652">
        <f t="shared" si="102"/>
        <v>24</v>
      </c>
      <c r="AU200" s="649"/>
      <c r="AV200" s="654"/>
      <c r="AW200" s="654"/>
      <c r="AX200" s="652"/>
      <c r="AY200" s="652"/>
      <c r="AZ200" s="654"/>
      <c r="BA200" s="652"/>
      <c r="BB200" s="652"/>
      <c r="BC200" s="654"/>
      <c r="BD200" s="654"/>
      <c r="BE200" s="654"/>
      <c r="BF200" s="654"/>
      <c r="BG200" s="654"/>
      <c r="BH200" s="654"/>
      <c r="BI200" s="654"/>
      <c r="BJ200" s="654"/>
      <c r="BK200" s="654"/>
      <c r="BL200" s="654"/>
      <c r="BM200" s="654"/>
      <c r="BN200" s="654"/>
      <c r="BO200" s="654"/>
      <c r="BP200" s="654"/>
      <c r="BQ200" s="654"/>
      <c r="BR200" s="654"/>
      <c r="BS200" s="654"/>
      <c r="BT200" s="654"/>
      <c r="BU200" s="654"/>
      <c r="BV200" s="654"/>
      <c r="BW200" s="645" t="s">
        <v>109</v>
      </c>
      <c r="BX200" s="658"/>
      <c r="BY200" s="658"/>
      <c r="BZ200" s="658">
        <f>I200</f>
        <v>24</v>
      </c>
      <c r="CA200" s="658"/>
      <c r="CB200" s="644">
        <f t="shared" si="95"/>
        <v>24</v>
      </c>
      <c r="CC200" s="644"/>
      <c r="CD200" s="644">
        <f t="shared" si="96"/>
        <v>24</v>
      </c>
      <c r="CE200" s="644">
        <f t="shared" si="97"/>
        <v>0</v>
      </c>
    </row>
    <row r="201" s="338" customFormat="1" ht="40" customHeight="1" spans="1:83">
      <c r="A201" s="632">
        <v>45765</v>
      </c>
      <c r="B201" s="633" t="s">
        <v>155</v>
      </c>
      <c r="C201" s="634" t="s">
        <v>156</v>
      </c>
      <c r="D201" s="635">
        <v>4500164165</v>
      </c>
      <c r="E201" s="659" t="s">
        <v>1176</v>
      </c>
      <c r="F201" s="636" t="s">
        <v>1177</v>
      </c>
      <c r="G201" s="637" t="s">
        <v>855</v>
      </c>
      <c r="H201" s="637" t="s">
        <v>384</v>
      </c>
      <c r="I201" s="638">
        <v>504</v>
      </c>
      <c r="J201" s="638">
        <v>0</v>
      </c>
      <c r="K201" s="639">
        <v>24</v>
      </c>
      <c r="L201" s="639">
        <f t="shared" si="94"/>
        <v>21</v>
      </c>
      <c r="M201" s="641">
        <v>45812</v>
      </c>
      <c r="N201" s="641">
        <f>M201-4</f>
        <v>45808</v>
      </c>
      <c r="O201" s="641"/>
      <c r="P201" s="642" t="s">
        <v>100</v>
      </c>
      <c r="Q201" s="643" t="s">
        <v>1178</v>
      </c>
      <c r="R201" s="642" t="s">
        <v>478</v>
      </c>
      <c r="S201" s="641"/>
      <c r="T201" s="641"/>
      <c r="U201" s="642" t="s">
        <v>1179</v>
      </c>
      <c r="V201" s="642" t="s">
        <v>1180</v>
      </c>
      <c r="W201" s="645"/>
      <c r="X201" s="647" t="s">
        <v>1181</v>
      </c>
      <c r="Y201" s="646" t="s">
        <v>165</v>
      </c>
      <c r="Z201" s="648">
        <v>2.5421</v>
      </c>
      <c r="AA201" s="650">
        <f>Z201*I201</f>
        <v>1281.2184</v>
      </c>
      <c r="AB201" s="649">
        <v>504</v>
      </c>
      <c r="AC201" s="649">
        <f t="shared" si="99"/>
        <v>0</v>
      </c>
      <c r="AD201" s="650" t="s">
        <v>106</v>
      </c>
      <c r="AE201" s="637" t="s">
        <v>862</v>
      </c>
      <c r="AF201" s="646" t="s">
        <v>107</v>
      </c>
      <c r="AG201" s="652" t="s">
        <v>43</v>
      </c>
      <c r="AH201" s="646"/>
      <c r="AI201" s="649"/>
      <c r="AJ201" s="649"/>
      <c r="AK201" s="649"/>
      <c r="AL201" s="649"/>
      <c r="AM201" s="649"/>
      <c r="AN201" s="649"/>
      <c r="AO201" s="649">
        <f>I201</f>
        <v>504</v>
      </c>
      <c r="AP201" s="649"/>
      <c r="AQ201" s="653"/>
      <c r="AR201" s="649"/>
      <c r="AS201" s="649"/>
      <c r="AT201" s="652">
        <f t="shared" ref="AT201:AT211" si="109">I201</f>
        <v>504</v>
      </c>
      <c r="AU201" s="649"/>
      <c r="AV201" s="654"/>
      <c r="AW201" s="654"/>
      <c r="AX201" s="652"/>
      <c r="AY201" s="652"/>
      <c r="AZ201" s="654"/>
      <c r="BA201" s="652"/>
      <c r="BB201" s="652"/>
      <c r="BC201" s="654"/>
      <c r="BD201" s="654"/>
      <c r="BE201" s="654"/>
      <c r="BF201" s="654"/>
      <c r="BG201" s="654"/>
      <c r="BH201" s="654"/>
      <c r="BI201" s="654"/>
      <c r="BJ201" s="654"/>
      <c r="BK201" s="654"/>
      <c r="BL201" s="654"/>
      <c r="BM201" s="654"/>
      <c r="BN201" s="654"/>
      <c r="BO201" s="654"/>
      <c r="BP201" s="654"/>
      <c r="BQ201" s="654"/>
      <c r="BR201" s="654"/>
      <c r="BS201" s="654"/>
      <c r="BT201" s="654"/>
      <c r="BU201" s="654"/>
      <c r="BV201" s="654"/>
      <c r="BW201" s="645" t="s">
        <v>109</v>
      </c>
      <c r="BX201" s="658"/>
      <c r="BY201" s="658"/>
      <c r="BZ201" s="658">
        <f>I201</f>
        <v>504</v>
      </c>
      <c r="CA201" s="658"/>
      <c r="CB201" s="644">
        <f t="shared" si="95"/>
        <v>504</v>
      </c>
      <c r="CC201" s="644"/>
      <c r="CD201" s="644">
        <f t="shared" si="96"/>
        <v>504</v>
      </c>
      <c r="CE201" s="644">
        <f t="shared" si="97"/>
        <v>0</v>
      </c>
    </row>
    <row r="202" s="338" customFormat="1" ht="40" customHeight="1" spans="1:83">
      <c r="A202" s="632">
        <v>45756</v>
      </c>
      <c r="B202" s="633" t="s">
        <v>1182</v>
      </c>
      <c r="C202" s="634" t="s">
        <v>205</v>
      </c>
      <c r="D202" s="635">
        <v>4500162852</v>
      </c>
      <c r="E202" s="659" t="s">
        <v>1183</v>
      </c>
      <c r="F202" s="636" t="s">
        <v>1184</v>
      </c>
      <c r="G202" s="637" t="s">
        <v>111</v>
      </c>
      <c r="H202" s="637" t="s">
        <v>99</v>
      </c>
      <c r="I202" s="638">
        <v>1276</v>
      </c>
      <c r="J202" s="638">
        <v>0</v>
      </c>
      <c r="K202" s="639">
        <v>22</v>
      </c>
      <c r="L202" s="639">
        <f t="shared" si="94"/>
        <v>58</v>
      </c>
      <c r="M202" s="641">
        <v>45812</v>
      </c>
      <c r="N202" s="641">
        <f>M202-4</f>
        <v>45808</v>
      </c>
      <c r="O202" s="641"/>
      <c r="P202" s="642" t="s">
        <v>100</v>
      </c>
      <c r="Q202" s="643" t="s">
        <v>1185</v>
      </c>
      <c r="R202" s="642" t="s">
        <v>1186</v>
      </c>
      <c r="S202" s="641"/>
      <c r="T202" s="641"/>
      <c r="U202" s="642" t="s">
        <v>1187</v>
      </c>
      <c r="V202" s="642"/>
      <c r="W202" s="645"/>
      <c r="X202" s="663" t="s">
        <v>1188</v>
      </c>
      <c r="Y202" s="646" t="s">
        <v>972</v>
      </c>
      <c r="Z202" s="683">
        <v>2.6826</v>
      </c>
      <c r="AA202" s="650">
        <f>I202*Z202</f>
        <v>3422.9976</v>
      </c>
      <c r="AB202" s="649">
        <v>1276</v>
      </c>
      <c r="AC202" s="649">
        <f t="shared" si="99"/>
        <v>0</v>
      </c>
      <c r="AD202" s="650" t="s">
        <v>106</v>
      </c>
      <c r="AE202" s="637" t="s">
        <v>111</v>
      </c>
      <c r="AF202" s="646" t="s">
        <v>107</v>
      </c>
      <c r="AG202" s="652" t="s">
        <v>43</v>
      </c>
      <c r="AH202" s="646"/>
      <c r="AI202" s="649"/>
      <c r="AJ202" s="649"/>
      <c r="AK202" s="649"/>
      <c r="AL202" s="652">
        <f>I202</f>
        <v>1276</v>
      </c>
      <c r="AM202" s="652"/>
      <c r="AN202" s="649"/>
      <c r="AO202" s="649"/>
      <c r="AP202" s="649"/>
      <c r="AQ202" s="653"/>
      <c r="AR202" s="649"/>
      <c r="AS202" s="649"/>
      <c r="AT202" s="652">
        <f t="shared" si="109"/>
        <v>1276</v>
      </c>
      <c r="AU202" s="649"/>
      <c r="AV202" s="654"/>
      <c r="AW202" s="654"/>
      <c r="AX202" s="652">
        <f>I202/11</f>
        <v>116</v>
      </c>
      <c r="AY202" s="652"/>
      <c r="AZ202" s="654"/>
      <c r="BA202" s="652"/>
      <c r="BB202" s="652"/>
      <c r="BC202" s="654"/>
      <c r="BD202" s="654"/>
      <c r="BE202" s="654"/>
      <c r="BF202" s="654"/>
      <c r="BG202" s="654"/>
      <c r="BH202" s="654"/>
      <c r="BI202" s="654"/>
      <c r="BJ202" s="654"/>
      <c r="BK202" s="654"/>
      <c r="BL202" s="654"/>
      <c r="BM202" s="654"/>
      <c r="BN202" s="654"/>
      <c r="BO202" s="654"/>
      <c r="BP202" s="654"/>
      <c r="BQ202" s="654"/>
      <c r="BR202" s="654"/>
      <c r="BS202" s="654"/>
      <c r="BT202" s="654"/>
      <c r="BU202" s="654"/>
      <c r="BV202" s="654"/>
      <c r="BW202" s="645" t="s">
        <v>109</v>
      </c>
      <c r="BX202" s="658">
        <f>I202/22*5</f>
        <v>290</v>
      </c>
      <c r="BY202" s="658">
        <f>I202/22*6</f>
        <v>348</v>
      </c>
      <c r="BZ202" s="658">
        <f>I202/22*6</f>
        <v>348</v>
      </c>
      <c r="CA202" s="658">
        <f>I202/22*5</f>
        <v>290</v>
      </c>
      <c r="CB202" s="644">
        <f t="shared" si="95"/>
        <v>1276</v>
      </c>
      <c r="CC202" s="658">
        <f>I202/11</f>
        <v>116</v>
      </c>
      <c r="CD202" s="644">
        <f t="shared" si="96"/>
        <v>1276</v>
      </c>
      <c r="CE202" s="644">
        <f t="shared" si="97"/>
        <v>0</v>
      </c>
    </row>
    <row r="203" s="338" customFormat="1" ht="40" customHeight="1" spans="1:83">
      <c r="A203" s="632">
        <v>45765</v>
      </c>
      <c r="B203" s="633" t="s">
        <v>143</v>
      </c>
      <c r="C203" s="634" t="s">
        <v>380</v>
      </c>
      <c r="D203" s="635">
        <v>4500164250</v>
      </c>
      <c r="E203" s="659" t="s">
        <v>1189</v>
      </c>
      <c r="F203" s="636" t="s">
        <v>1190</v>
      </c>
      <c r="G203" s="637" t="s">
        <v>582</v>
      </c>
      <c r="H203" s="637" t="s">
        <v>384</v>
      </c>
      <c r="I203" s="638">
        <v>504</v>
      </c>
      <c r="J203" s="638">
        <v>0</v>
      </c>
      <c r="K203" s="639">
        <v>24</v>
      </c>
      <c r="L203" s="639">
        <f t="shared" si="94"/>
        <v>21</v>
      </c>
      <c r="M203" s="641">
        <v>45813</v>
      </c>
      <c r="N203" s="641">
        <v>45810</v>
      </c>
      <c r="O203" s="641"/>
      <c r="P203" s="642" t="s">
        <v>100</v>
      </c>
      <c r="Q203" s="643" t="s">
        <v>1178</v>
      </c>
      <c r="R203" s="642" t="s">
        <v>1191</v>
      </c>
      <c r="S203" s="641"/>
      <c r="T203" s="641"/>
      <c r="U203" s="642" t="s">
        <v>1192</v>
      </c>
      <c r="V203" s="642" t="s">
        <v>1193</v>
      </c>
      <c r="W203" s="645" t="s">
        <v>1194</v>
      </c>
      <c r="X203" s="647" t="s">
        <v>1195</v>
      </c>
      <c r="Y203" s="646" t="s">
        <v>175</v>
      </c>
      <c r="Z203" s="648">
        <v>2.6249</v>
      </c>
      <c r="AA203" s="650">
        <f>I203*Z203</f>
        <v>1322.9496</v>
      </c>
      <c r="AB203" s="649">
        <v>504</v>
      </c>
      <c r="AC203" s="649">
        <f t="shared" si="99"/>
        <v>0</v>
      </c>
      <c r="AD203" s="650" t="s">
        <v>106</v>
      </c>
      <c r="AE203" s="661" t="s">
        <v>190</v>
      </c>
      <c r="AF203" s="646" t="s">
        <v>107</v>
      </c>
      <c r="AG203" s="652" t="s">
        <v>43</v>
      </c>
      <c r="AH203" s="646"/>
      <c r="AI203" s="649"/>
      <c r="AJ203" s="649"/>
      <c r="AK203" s="649"/>
      <c r="AL203" s="649"/>
      <c r="AM203" s="649"/>
      <c r="AN203" s="649"/>
      <c r="AO203" s="649">
        <f>I203</f>
        <v>504</v>
      </c>
      <c r="AP203" s="649"/>
      <c r="AQ203" s="653"/>
      <c r="AR203" s="649"/>
      <c r="AS203" s="649"/>
      <c r="AT203" s="652">
        <f t="shared" si="109"/>
        <v>504</v>
      </c>
      <c r="AU203" s="649"/>
      <c r="AV203" s="654"/>
      <c r="AW203" s="654"/>
      <c r="AX203" s="652"/>
      <c r="AY203" s="652"/>
      <c r="AZ203" s="654"/>
      <c r="BA203" s="652"/>
      <c r="BB203" s="652"/>
      <c r="BC203" s="654"/>
      <c r="BD203" s="654"/>
      <c r="BE203" s="654"/>
      <c r="BF203" s="654"/>
      <c r="BG203" s="654"/>
      <c r="BH203" s="654"/>
      <c r="BI203" s="654"/>
      <c r="BJ203" s="654"/>
      <c r="BK203" s="654"/>
      <c r="BL203" s="654"/>
      <c r="BM203" s="654"/>
      <c r="BN203" s="654"/>
      <c r="BO203" s="654"/>
      <c r="BP203" s="654"/>
      <c r="BQ203" s="654"/>
      <c r="BR203" s="654"/>
      <c r="BS203" s="654"/>
      <c r="BT203" s="654"/>
      <c r="BU203" s="654"/>
      <c r="BV203" s="654"/>
      <c r="BW203" s="645" t="s">
        <v>109</v>
      </c>
      <c r="BX203" s="658"/>
      <c r="BY203" s="658"/>
      <c r="BZ203" s="658"/>
      <c r="CA203" s="658">
        <f>I203</f>
        <v>504</v>
      </c>
      <c r="CB203" s="644">
        <f t="shared" si="95"/>
        <v>504</v>
      </c>
      <c r="CC203" s="644"/>
      <c r="CD203" s="644">
        <f t="shared" si="96"/>
        <v>504</v>
      </c>
      <c r="CE203" s="644">
        <f t="shared" si="97"/>
        <v>0</v>
      </c>
    </row>
    <row r="204" s="338" customFormat="1" ht="40" customHeight="1" spans="1:83">
      <c r="A204" s="632">
        <v>45765</v>
      </c>
      <c r="B204" s="633" t="s">
        <v>143</v>
      </c>
      <c r="C204" s="634" t="s">
        <v>380</v>
      </c>
      <c r="D204" s="635">
        <v>4500164250</v>
      </c>
      <c r="E204" s="659" t="s">
        <v>1196</v>
      </c>
      <c r="F204" s="636" t="s">
        <v>1197</v>
      </c>
      <c r="G204" s="637" t="s">
        <v>855</v>
      </c>
      <c r="H204" s="637" t="s">
        <v>384</v>
      </c>
      <c r="I204" s="638">
        <v>504</v>
      </c>
      <c r="J204" s="638">
        <v>0</v>
      </c>
      <c r="K204" s="639">
        <v>24</v>
      </c>
      <c r="L204" s="639">
        <f t="shared" si="94"/>
        <v>21</v>
      </c>
      <c r="M204" s="641">
        <v>45813</v>
      </c>
      <c r="N204" s="641">
        <v>45810</v>
      </c>
      <c r="O204" s="641"/>
      <c r="P204" s="642" t="s">
        <v>100</v>
      </c>
      <c r="Q204" s="643" t="s">
        <v>1178</v>
      </c>
      <c r="R204" s="642" t="s">
        <v>1191</v>
      </c>
      <c r="S204" s="641"/>
      <c r="T204" s="641"/>
      <c r="U204" s="642" t="s">
        <v>1192</v>
      </c>
      <c r="V204" s="642" t="s">
        <v>1193</v>
      </c>
      <c r="W204" s="645" t="s">
        <v>1198</v>
      </c>
      <c r="X204" s="647" t="s">
        <v>1199</v>
      </c>
      <c r="Y204" s="646" t="s">
        <v>175</v>
      </c>
      <c r="Z204" s="648">
        <v>2.4325</v>
      </c>
      <c r="AA204" s="650">
        <f>Z204*I204</f>
        <v>1225.98</v>
      </c>
      <c r="AB204" s="649">
        <v>504</v>
      </c>
      <c r="AC204" s="649">
        <f t="shared" si="99"/>
        <v>0</v>
      </c>
      <c r="AD204" s="650" t="s">
        <v>106</v>
      </c>
      <c r="AE204" s="637" t="s">
        <v>862</v>
      </c>
      <c r="AF204" s="646" t="s">
        <v>107</v>
      </c>
      <c r="AG204" s="652" t="s">
        <v>43</v>
      </c>
      <c r="AH204" s="646"/>
      <c r="AI204" s="649"/>
      <c r="AJ204" s="649"/>
      <c r="AK204" s="649"/>
      <c r="AL204" s="649"/>
      <c r="AM204" s="649"/>
      <c r="AN204" s="649"/>
      <c r="AO204" s="649">
        <f>I204</f>
        <v>504</v>
      </c>
      <c r="AP204" s="649"/>
      <c r="AQ204" s="653"/>
      <c r="AR204" s="649"/>
      <c r="AS204" s="649"/>
      <c r="AT204" s="652">
        <f t="shared" si="109"/>
        <v>504</v>
      </c>
      <c r="AU204" s="649"/>
      <c r="AV204" s="654"/>
      <c r="AW204" s="654"/>
      <c r="AX204" s="652"/>
      <c r="AY204" s="652"/>
      <c r="AZ204" s="654"/>
      <c r="BA204" s="652"/>
      <c r="BB204" s="652"/>
      <c r="BC204" s="654"/>
      <c r="BD204" s="654"/>
      <c r="BE204" s="654"/>
      <c r="BF204" s="654"/>
      <c r="BG204" s="654"/>
      <c r="BH204" s="654"/>
      <c r="BI204" s="654"/>
      <c r="BJ204" s="654"/>
      <c r="BK204" s="654"/>
      <c r="BL204" s="654"/>
      <c r="BM204" s="654"/>
      <c r="BN204" s="654"/>
      <c r="BO204" s="654"/>
      <c r="BP204" s="654"/>
      <c r="BQ204" s="654"/>
      <c r="BR204" s="654"/>
      <c r="BS204" s="654"/>
      <c r="BT204" s="654"/>
      <c r="BU204" s="654"/>
      <c r="BV204" s="654"/>
      <c r="BW204" s="645" t="s">
        <v>109</v>
      </c>
      <c r="BX204" s="658"/>
      <c r="BY204" s="658"/>
      <c r="BZ204" s="658">
        <f>I204</f>
        <v>504</v>
      </c>
      <c r="CA204" s="658"/>
      <c r="CB204" s="644">
        <f t="shared" si="95"/>
        <v>504</v>
      </c>
      <c r="CC204" s="644"/>
      <c r="CD204" s="644">
        <f t="shared" si="96"/>
        <v>504</v>
      </c>
      <c r="CE204" s="644">
        <f t="shared" si="97"/>
        <v>0</v>
      </c>
    </row>
    <row r="205" s="338" customFormat="1" ht="40" customHeight="1" spans="1:83">
      <c r="A205" s="632">
        <v>45785</v>
      </c>
      <c r="B205" s="633" t="s">
        <v>865</v>
      </c>
      <c r="C205" s="634" t="s">
        <v>144</v>
      </c>
      <c r="D205" s="635">
        <v>4500165774</v>
      </c>
      <c r="E205" s="659">
        <v>4400482764</v>
      </c>
      <c r="F205" s="636" t="s">
        <v>1200</v>
      </c>
      <c r="G205" s="637" t="s">
        <v>111</v>
      </c>
      <c r="H205" s="637" t="s">
        <v>99</v>
      </c>
      <c r="I205" s="638">
        <v>3014</v>
      </c>
      <c r="J205" s="638">
        <v>0</v>
      </c>
      <c r="K205" s="639">
        <v>22</v>
      </c>
      <c r="L205" s="639">
        <f t="shared" si="94"/>
        <v>137</v>
      </c>
      <c r="M205" s="641">
        <v>45813</v>
      </c>
      <c r="N205" s="641">
        <v>45810</v>
      </c>
      <c r="O205" s="641"/>
      <c r="P205" s="642" t="s">
        <v>100</v>
      </c>
      <c r="Q205" s="643" t="s">
        <v>1201</v>
      </c>
      <c r="R205" s="642" t="s">
        <v>1202</v>
      </c>
      <c r="S205" s="641"/>
      <c r="T205" s="641"/>
      <c r="U205" s="642" t="s">
        <v>1203</v>
      </c>
      <c r="V205" s="642"/>
      <c r="W205" s="645"/>
      <c r="X205" s="647" t="s">
        <v>1204</v>
      </c>
      <c r="Y205" s="646" t="s">
        <v>1205</v>
      </c>
      <c r="Z205" s="683">
        <v>2.7064</v>
      </c>
      <c r="AA205" s="650">
        <f t="shared" ref="AA205:AA268" si="110">I205*Z205</f>
        <v>8157.0896</v>
      </c>
      <c r="AB205" s="649">
        <f>2992+22</f>
        <v>3014</v>
      </c>
      <c r="AC205" s="649">
        <f t="shared" si="99"/>
        <v>0</v>
      </c>
      <c r="AD205" s="650" t="s">
        <v>106</v>
      </c>
      <c r="AE205" s="637" t="s">
        <v>230</v>
      </c>
      <c r="AF205" s="646" t="s">
        <v>107</v>
      </c>
      <c r="AG205" s="652" t="s">
        <v>43</v>
      </c>
      <c r="AH205" s="646"/>
      <c r="AI205" s="649"/>
      <c r="AJ205" s="649"/>
      <c r="AK205" s="649"/>
      <c r="AL205" s="649"/>
      <c r="AM205" s="649"/>
      <c r="AN205" s="649"/>
      <c r="AO205" s="649">
        <f>I205</f>
        <v>3014</v>
      </c>
      <c r="AP205" s="649"/>
      <c r="AQ205" s="653"/>
      <c r="AR205" s="649"/>
      <c r="AS205" s="649"/>
      <c r="AT205" s="652">
        <f t="shared" si="109"/>
        <v>3014</v>
      </c>
      <c r="AU205" s="649"/>
      <c r="AV205" s="654"/>
      <c r="AW205" s="654"/>
      <c r="AX205" s="652"/>
      <c r="AY205" s="652"/>
      <c r="AZ205" s="654"/>
      <c r="BA205" s="652">
        <f>I205/11</f>
        <v>274</v>
      </c>
      <c r="BB205" s="652"/>
      <c r="BC205" s="654"/>
      <c r="BD205" s="654"/>
      <c r="BE205" s="654"/>
      <c r="BF205" s="654"/>
      <c r="BG205" s="652"/>
      <c r="BH205" s="652"/>
      <c r="BI205" s="654"/>
      <c r="BJ205" s="654"/>
      <c r="BK205" s="654"/>
      <c r="BL205" s="654"/>
      <c r="BM205" s="654"/>
      <c r="BN205" s="654"/>
      <c r="BO205" s="654"/>
      <c r="BP205" s="654"/>
      <c r="BQ205" s="654"/>
      <c r="BR205" s="654"/>
      <c r="BS205" s="654"/>
      <c r="BT205" s="654"/>
      <c r="BU205" s="654"/>
      <c r="BV205" s="654"/>
      <c r="BW205" s="645" t="s">
        <v>109</v>
      </c>
      <c r="BX205" s="658">
        <f>I205/22*5</f>
        <v>685</v>
      </c>
      <c r="BY205" s="658">
        <f>I205/22*6</f>
        <v>822</v>
      </c>
      <c r="BZ205" s="658">
        <f>I205/22*6</f>
        <v>822</v>
      </c>
      <c r="CA205" s="658">
        <f>I205/22*5</f>
        <v>685</v>
      </c>
      <c r="CB205" s="644">
        <f t="shared" si="95"/>
        <v>3014</v>
      </c>
      <c r="CC205" s="658">
        <f>I205/11</f>
        <v>274</v>
      </c>
      <c r="CD205" s="644">
        <f t="shared" si="96"/>
        <v>3014</v>
      </c>
      <c r="CE205" s="644">
        <f t="shared" si="97"/>
        <v>0</v>
      </c>
    </row>
    <row r="206" s="338" customFormat="1" ht="40" customHeight="1" spans="1:83">
      <c r="A206" s="632">
        <v>45765</v>
      </c>
      <c r="B206" s="633" t="s">
        <v>1206</v>
      </c>
      <c r="C206" s="634" t="s">
        <v>590</v>
      </c>
      <c r="D206" s="635">
        <v>4500164118</v>
      </c>
      <c r="E206" s="659">
        <v>253501</v>
      </c>
      <c r="F206" s="636" t="s">
        <v>1207</v>
      </c>
      <c r="G206" s="637" t="s">
        <v>241</v>
      </c>
      <c r="H206" s="637" t="s">
        <v>99</v>
      </c>
      <c r="I206" s="638">
        <v>308</v>
      </c>
      <c r="J206" s="638">
        <v>0</v>
      </c>
      <c r="K206" s="639">
        <v>11</v>
      </c>
      <c r="L206" s="639">
        <f t="shared" si="94"/>
        <v>28</v>
      </c>
      <c r="M206" s="641">
        <v>45814</v>
      </c>
      <c r="N206" s="641">
        <v>45810</v>
      </c>
      <c r="O206" s="641"/>
      <c r="P206" s="642" t="s">
        <v>100</v>
      </c>
      <c r="Q206" s="643" t="s">
        <v>1208</v>
      </c>
      <c r="R206" s="642" t="s">
        <v>1082</v>
      </c>
      <c r="S206" s="641"/>
      <c r="T206" s="641"/>
      <c r="U206" s="642" t="s">
        <v>1209</v>
      </c>
      <c r="V206" s="642"/>
      <c r="W206" s="645"/>
      <c r="X206" s="647" t="s">
        <v>1210</v>
      </c>
      <c r="Y206" s="646" t="s">
        <v>1029</v>
      </c>
      <c r="Z206" s="683">
        <v>2.726</v>
      </c>
      <c r="AA206" s="650">
        <f t="shared" si="110"/>
        <v>839.608</v>
      </c>
      <c r="AB206" s="649">
        <v>308</v>
      </c>
      <c r="AC206" s="649">
        <f t="shared" si="99"/>
        <v>0</v>
      </c>
      <c r="AD206" s="650" t="s">
        <v>123</v>
      </c>
      <c r="AE206" s="637" t="s">
        <v>597</v>
      </c>
      <c r="AF206" s="646" t="s">
        <v>107</v>
      </c>
      <c r="AG206" s="652" t="s">
        <v>43</v>
      </c>
      <c r="AH206" s="646"/>
      <c r="AI206" s="649"/>
      <c r="AJ206" s="649"/>
      <c r="AK206" s="649"/>
      <c r="AL206" s="649"/>
      <c r="AM206" s="649"/>
      <c r="AN206" s="649"/>
      <c r="AO206" s="649">
        <f>I206</f>
        <v>308</v>
      </c>
      <c r="AP206" s="649"/>
      <c r="AQ206" s="653"/>
      <c r="AR206" s="649"/>
      <c r="AS206" s="649"/>
      <c r="AT206" s="652">
        <f t="shared" si="109"/>
        <v>308</v>
      </c>
      <c r="AU206" s="649"/>
      <c r="AV206" s="654"/>
      <c r="AW206" s="654"/>
      <c r="AX206" s="652"/>
      <c r="AY206" s="652"/>
      <c r="AZ206" s="654"/>
      <c r="BA206" s="652">
        <f>I206/11</f>
        <v>28</v>
      </c>
      <c r="BB206" s="652"/>
      <c r="BC206" s="654"/>
      <c r="BD206" s="654"/>
      <c r="BE206" s="654"/>
      <c r="BF206" s="654"/>
      <c r="BG206" s="654"/>
      <c r="BH206" s="654"/>
      <c r="BI206" s="654"/>
      <c r="BJ206" s="654"/>
      <c r="BK206" s="654"/>
      <c r="BL206" s="654"/>
      <c r="BM206" s="654"/>
      <c r="BN206" s="654"/>
      <c r="BO206" s="654"/>
      <c r="BP206" s="654"/>
      <c r="BQ206" s="654"/>
      <c r="BR206" s="654"/>
      <c r="BS206" s="654"/>
      <c r="BT206" s="654"/>
      <c r="BU206" s="654"/>
      <c r="BV206" s="654"/>
      <c r="BW206" s="645" t="s">
        <v>109</v>
      </c>
      <c r="BX206" s="658">
        <f>I206/22*5</f>
        <v>70</v>
      </c>
      <c r="BY206" s="658">
        <f>I206/22*6</f>
        <v>84</v>
      </c>
      <c r="BZ206" s="658">
        <f>I206/22*6</f>
        <v>84</v>
      </c>
      <c r="CA206" s="658">
        <f>I206/22*5</f>
        <v>70</v>
      </c>
      <c r="CB206" s="644">
        <f t="shared" si="95"/>
        <v>308</v>
      </c>
      <c r="CC206" s="658">
        <f>I206/11</f>
        <v>28</v>
      </c>
      <c r="CD206" s="644">
        <f t="shared" si="96"/>
        <v>308</v>
      </c>
      <c r="CE206" s="644">
        <f t="shared" si="97"/>
        <v>0</v>
      </c>
    </row>
    <row r="207" s="338" customFormat="1" ht="40" customHeight="1" spans="1:83">
      <c r="A207" s="632">
        <v>45765</v>
      </c>
      <c r="B207" s="659" t="s">
        <v>563</v>
      </c>
      <c r="C207" s="634" t="s">
        <v>564</v>
      </c>
      <c r="D207" s="635">
        <v>4500164228</v>
      </c>
      <c r="E207" s="659" t="s">
        <v>1211</v>
      </c>
      <c r="F207" s="636" t="s">
        <v>1212</v>
      </c>
      <c r="G207" s="637" t="s">
        <v>567</v>
      </c>
      <c r="H207" s="637" t="s">
        <v>99</v>
      </c>
      <c r="I207" s="638">
        <v>3500</v>
      </c>
      <c r="J207" s="638">
        <v>7</v>
      </c>
      <c r="K207" s="639">
        <v>28</v>
      </c>
      <c r="L207" s="639">
        <f t="shared" si="94"/>
        <v>125</v>
      </c>
      <c r="M207" s="641">
        <v>45810</v>
      </c>
      <c r="N207" s="641">
        <f>M207-4</f>
        <v>45806</v>
      </c>
      <c r="O207" s="641"/>
      <c r="P207" s="642" t="s">
        <v>100</v>
      </c>
      <c r="Q207" s="643" t="s">
        <v>1213</v>
      </c>
      <c r="R207" s="642" t="s">
        <v>1165</v>
      </c>
      <c r="S207" s="642"/>
      <c r="T207" s="642"/>
      <c r="U207" s="642" t="s">
        <v>569</v>
      </c>
      <c r="V207" s="642"/>
      <c r="W207" s="645"/>
      <c r="X207" s="647" t="s">
        <v>1214</v>
      </c>
      <c r="Y207" s="646" t="s">
        <v>906</v>
      </c>
      <c r="Z207" s="648">
        <v>2.7946</v>
      </c>
      <c r="AA207" s="650">
        <f t="shared" si="110"/>
        <v>9781.1</v>
      </c>
      <c r="AB207" s="649">
        <v>3500</v>
      </c>
      <c r="AC207" s="649">
        <f t="shared" si="99"/>
        <v>0</v>
      </c>
      <c r="AD207" s="650" t="s">
        <v>106</v>
      </c>
      <c r="AE207" s="637" t="s">
        <v>567</v>
      </c>
      <c r="AF207" s="646" t="s">
        <v>107</v>
      </c>
      <c r="AG207" s="652" t="s">
        <v>43</v>
      </c>
      <c r="AH207" s="646"/>
      <c r="AI207" s="649"/>
      <c r="AJ207" s="649"/>
      <c r="AK207" s="649"/>
      <c r="AL207" s="652">
        <f>I207</f>
        <v>3500</v>
      </c>
      <c r="AM207" s="652"/>
      <c r="AN207" s="649"/>
      <c r="AO207" s="649"/>
      <c r="AP207" s="649"/>
      <c r="AQ207" s="653"/>
      <c r="AR207" s="649"/>
      <c r="AS207" s="649"/>
      <c r="AT207" s="652">
        <f t="shared" si="109"/>
        <v>3500</v>
      </c>
      <c r="AU207" s="649"/>
      <c r="AV207" s="654"/>
      <c r="AW207" s="652"/>
      <c r="AX207" s="652"/>
      <c r="AY207" s="652"/>
      <c r="AZ207" s="654"/>
      <c r="BA207" s="652"/>
      <c r="BB207" s="652"/>
      <c r="BC207" s="654"/>
      <c r="BD207" s="654"/>
      <c r="BE207" s="654"/>
      <c r="BF207" s="654"/>
      <c r="BG207" s="652">
        <f>I207/7</f>
        <v>500</v>
      </c>
      <c r="BH207" s="652"/>
      <c r="BI207" s="654"/>
      <c r="BJ207" s="654"/>
      <c r="BK207" s="652"/>
      <c r="BL207" s="652"/>
      <c r="BM207" s="654"/>
      <c r="BN207" s="654"/>
      <c r="BO207" s="654"/>
      <c r="BP207" s="654"/>
      <c r="BQ207" s="654"/>
      <c r="BR207" s="654"/>
      <c r="BS207" s="654"/>
      <c r="BT207" s="654"/>
      <c r="BU207" s="654"/>
      <c r="BV207" s="652"/>
      <c r="BW207" s="645" t="s">
        <v>109</v>
      </c>
      <c r="BX207" s="658">
        <f>I207/4</f>
        <v>875</v>
      </c>
      <c r="BY207" s="658">
        <f>I207/4</f>
        <v>875</v>
      </c>
      <c r="BZ207" s="658">
        <f>I207/4</f>
        <v>875</v>
      </c>
      <c r="CA207" s="658">
        <f>I207/4</f>
        <v>875</v>
      </c>
      <c r="CB207" s="644">
        <f t="shared" si="95"/>
        <v>3500</v>
      </c>
      <c r="CC207" s="658">
        <f>I207/7</f>
        <v>500</v>
      </c>
      <c r="CD207" s="644">
        <f t="shared" si="96"/>
        <v>3500</v>
      </c>
      <c r="CE207" s="644">
        <f t="shared" si="97"/>
        <v>0</v>
      </c>
    </row>
    <row r="208" s="338" customFormat="1" ht="40" customHeight="1" spans="1:83">
      <c r="A208" s="632">
        <v>45775</v>
      </c>
      <c r="B208" s="633" t="s">
        <v>424</v>
      </c>
      <c r="C208" s="634" t="s">
        <v>380</v>
      </c>
      <c r="D208" s="635">
        <v>4500163262</v>
      </c>
      <c r="E208" s="659" t="s">
        <v>1215</v>
      </c>
      <c r="F208" s="636" t="s">
        <v>1216</v>
      </c>
      <c r="G208" s="637" t="s">
        <v>427</v>
      </c>
      <c r="H208" s="637" t="s">
        <v>99</v>
      </c>
      <c r="I208" s="638">
        <v>4494</v>
      </c>
      <c r="J208" s="638">
        <v>0</v>
      </c>
      <c r="K208" s="639">
        <v>7</v>
      </c>
      <c r="L208" s="639">
        <f t="shared" si="94"/>
        <v>642</v>
      </c>
      <c r="M208" s="641">
        <v>45813</v>
      </c>
      <c r="N208" s="641">
        <v>45810</v>
      </c>
      <c r="O208" s="641"/>
      <c r="P208" s="642" t="s">
        <v>100</v>
      </c>
      <c r="Q208" s="643" t="s">
        <v>1217</v>
      </c>
      <c r="R208" s="642" t="s">
        <v>1082</v>
      </c>
      <c r="S208" s="641"/>
      <c r="T208" s="641"/>
      <c r="U208" s="642" t="s">
        <v>113</v>
      </c>
      <c r="V208" s="642"/>
      <c r="W208" s="645"/>
      <c r="X208" s="647" t="s">
        <v>1218</v>
      </c>
      <c r="Y208" s="646" t="s">
        <v>1219</v>
      </c>
      <c r="Z208" s="648">
        <v>2.7882</v>
      </c>
      <c r="AA208" s="650">
        <f t="shared" si="110"/>
        <v>12530.1708</v>
      </c>
      <c r="AB208" s="649">
        <v>4494</v>
      </c>
      <c r="AC208" s="649">
        <f t="shared" si="99"/>
        <v>0</v>
      </c>
      <c r="AD208" s="650" t="s">
        <v>113</v>
      </c>
      <c r="AE208" s="637" t="s">
        <v>427</v>
      </c>
      <c r="AF208" s="646" t="s">
        <v>107</v>
      </c>
      <c r="AG208" s="652" t="s">
        <v>43</v>
      </c>
      <c r="AH208" s="646"/>
      <c r="AI208" s="649"/>
      <c r="AJ208" s="649"/>
      <c r="AK208" s="649"/>
      <c r="AL208" s="652">
        <f>I208</f>
        <v>4494</v>
      </c>
      <c r="AM208" s="652"/>
      <c r="AN208" s="649"/>
      <c r="AO208" s="649"/>
      <c r="AP208" s="649"/>
      <c r="AQ208" s="653"/>
      <c r="AR208" s="649"/>
      <c r="AS208" s="649"/>
      <c r="AT208" s="652">
        <f t="shared" si="109"/>
        <v>4494</v>
      </c>
      <c r="AU208" s="649"/>
      <c r="AV208" s="654"/>
      <c r="AW208" s="654"/>
      <c r="AX208" s="652"/>
      <c r="AY208" s="652"/>
      <c r="AZ208" s="654"/>
      <c r="BA208" s="652"/>
      <c r="BB208" s="652"/>
      <c r="BC208" s="654"/>
      <c r="BD208" s="654"/>
      <c r="BE208" s="654"/>
      <c r="BF208" s="654"/>
      <c r="BG208" s="652">
        <f>I208/7</f>
        <v>642</v>
      </c>
      <c r="BH208" s="652"/>
      <c r="BI208" s="654"/>
      <c r="BJ208" s="654"/>
      <c r="BK208" s="654"/>
      <c r="BL208" s="654"/>
      <c r="BM208" s="654"/>
      <c r="BN208" s="654"/>
      <c r="BO208" s="654"/>
      <c r="BP208" s="654"/>
      <c r="BQ208" s="654"/>
      <c r="BR208" s="654"/>
      <c r="BS208" s="654"/>
      <c r="BT208" s="654"/>
      <c r="BU208" s="654"/>
      <c r="BV208" s="654"/>
      <c r="BW208" s="645" t="s">
        <v>109</v>
      </c>
      <c r="BX208" s="658">
        <f>I208/4</f>
        <v>1123.5</v>
      </c>
      <c r="BY208" s="658">
        <f>I208/4</f>
        <v>1123.5</v>
      </c>
      <c r="BZ208" s="658">
        <f>I208/4</f>
        <v>1123.5</v>
      </c>
      <c r="CA208" s="658">
        <f>I208/4</f>
        <v>1123.5</v>
      </c>
      <c r="CB208" s="644">
        <f t="shared" si="95"/>
        <v>4494</v>
      </c>
      <c r="CC208" s="644">
        <f>I208/7</f>
        <v>642</v>
      </c>
      <c r="CD208" s="644">
        <f t="shared" si="96"/>
        <v>4494</v>
      </c>
      <c r="CE208" s="644">
        <f t="shared" si="97"/>
        <v>0</v>
      </c>
    </row>
    <row r="209" s="338" customFormat="1" ht="40" customHeight="1" spans="1:83">
      <c r="A209" s="632">
        <v>45793</v>
      </c>
      <c r="B209" s="633" t="s">
        <v>1220</v>
      </c>
      <c r="C209" s="634" t="s">
        <v>1024</v>
      </c>
      <c r="D209" s="635">
        <v>4500164402</v>
      </c>
      <c r="E209" s="659">
        <v>1310</v>
      </c>
      <c r="F209" s="636" t="s">
        <v>1221</v>
      </c>
      <c r="G209" s="637" t="s">
        <v>111</v>
      </c>
      <c r="H209" s="637" t="s">
        <v>99</v>
      </c>
      <c r="I209" s="638">
        <v>1804</v>
      </c>
      <c r="J209" s="638">
        <v>0</v>
      </c>
      <c r="K209" s="639">
        <v>22</v>
      </c>
      <c r="L209" s="639">
        <f t="shared" si="94"/>
        <v>82</v>
      </c>
      <c r="M209" s="641">
        <v>45814</v>
      </c>
      <c r="N209" s="641">
        <v>45810</v>
      </c>
      <c r="O209" s="641"/>
      <c r="P209" s="642" t="s">
        <v>100</v>
      </c>
      <c r="Q209" s="643" t="s">
        <v>1217</v>
      </c>
      <c r="R209" s="642" t="s">
        <v>1222</v>
      </c>
      <c r="S209" s="641"/>
      <c r="T209" s="641"/>
      <c r="U209" s="642" t="s">
        <v>1223</v>
      </c>
      <c r="V209" s="642"/>
      <c r="W209" s="645"/>
      <c r="X209" s="647" t="s">
        <v>1224</v>
      </c>
      <c r="Y209" s="646" t="s">
        <v>1225</v>
      </c>
      <c r="Z209" s="648">
        <v>2.7172</v>
      </c>
      <c r="AA209" s="650">
        <f t="shared" si="110"/>
        <v>4901.8288</v>
      </c>
      <c r="AB209" s="649">
        <v>1804</v>
      </c>
      <c r="AC209" s="649">
        <f t="shared" si="99"/>
        <v>0</v>
      </c>
      <c r="AD209" s="650" t="s">
        <v>106</v>
      </c>
      <c r="AE209" s="637" t="s">
        <v>230</v>
      </c>
      <c r="AF209" s="646" t="s">
        <v>107</v>
      </c>
      <c r="AG209" s="652" t="s">
        <v>43</v>
      </c>
      <c r="AH209" s="646"/>
      <c r="AI209" s="649"/>
      <c r="AJ209" s="649"/>
      <c r="AK209" s="649"/>
      <c r="AL209" s="649"/>
      <c r="AM209" s="649"/>
      <c r="AN209" s="649"/>
      <c r="AO209" s="649">
        <f>I209</f>
        <v>1804</v>
      </c>
      <c r="AP209" s="649"/>
      <c r="AQ209" s="653"/>
      <c r="AR209" s="649"/>
      <c r="AS209" s="649"/>
      <c r="AT209" s="652">
        <f t="shared" si="109"/>
        <v>1804</v>
      </c>
      <c r="AU209" s="649"/>
      <c r="AV209" s="654"/>
      <c r="AW209" s="654"/>
      <c r="AX209" s="652"/>
      <c r="AY209" s="652"/>
      <c r="AZ209" s="654"/>
      <c r="BA209" s="652">
        <f>I209/11</f>
        <v>164</v>
      </c>
      <c r="BB209" s="652"/>
      <c r="BC209" s="654"/>
      <c r="BD209" s="654"/>
      <c r="BE209" s="654"/>
      <c r="BF209" s="654"/>
      <c r="BG209" s="654"/>
      <c r="BH209" s="654"/>
      <c r="BI209" s="654"/>
      <c r="BJ209" s="654"/>
      <c r="BK209" s="654"/>
      <c r="BL209" s="654"/>
      <c r="BM209" s="654"/>
      <c r="BN209" s="654"/>
      <c r="BO209" s="654"/>
      <c r="BP209" s="654"/>
      <c r="BQ209" s="654"/>
      <c r="BR209" s="654"/>
      <c r="BS209" s="654"/>
      <c r="BT209" s="654"/>
      <c r="BU209" s="654"/>
      <c r="BV209" s="654"/>
      <c r="BW209" s="645" t="s">
        <v>109</v>
      </c>
      <c r="BX209" s="658">
        <f>I209/22*5</f>
        <v>410</v>
      </c>
      <c r="BY209" s="658">
        <f>I209/22*6</f>
        <v>492</v>
      </c>
      <c r="BZ209" s="658">
        <f>I209/22*6</f>
        <v>492</v>
      </c>
      <c r="CA209" s="658">
        <f>I209/22*5</f>
        <v>410</v>
      </c>
      <c r="CB209" s="644">
        <f t="shared" si="95"/>
        <v>1804</v>
      </c>
      <c r="CC209" s="658">
        <f>I209/11</f>
        <v>164</v>
      </c>
      <c r="CD209" s="644">
        <f t="shared" si="96"/>
        <v>1804</v>
      </c>
      <c r="CE209" s="644">
        <f t="shared" si="97"/>
        <v>0</v>
      </c>
    </row>
    <row r="210" s="338" customFormat="1" ht="40" customHeight="1" spans="1:83">
      <c r="A210" s="632">
        <v>45774</v>
      </c>
      <c r="B210" s="633" t="s">
        <v>1226</v>
      </c>
      <c r="C210" s="634" t="s">
        <v>466</v>
      </c>
      <c r="D210" s="635">
        <v>4500164596</v>
      </c>
      <c r="E210" s="659"/>
      <c r="F210" s="636" t="s">
        <v>1227</v>
      </c>
      <c r="G210" s="637" t="s">
        <v>111</v>
      </c>
      <c r="H210" s="637" t="s">
        <v>99</v>
      </c>
      <c r="I210" s="638">
        <v>242</v>
      </c>
      <c r="J210" s="638">
        <v>0</v>
      </c>
      <c r="K210" s="639">
        <v>22</v>
      </c>
      <c r="L210" s="639">
        <f t="shared" si="94"/>
        <v>11</v>
      </c>
      <c r="M210" s="641">
        <v>45817</v>
      </c>
      <c r="N210" s="641">
        <v>45813</v>
      </c>
      <c r="O210" s="641"/>
      <c r="P210" s="642" t="s">
        <v>100</v>
      </c>
      <c r="Q210" s="643"/>
      <c r="R210" s="642" t="s">
        <v>1165</v>
      </c>
      <c r="S210" s="641"/>
      <c r="T210" s="641"/>
      <c r="U210" s="642" t="s">
        <v>1228</v>
      </c>
      <c r="V210" s="642"/>
      <c r="W210" s="645"/>
      <c r="X210" s="647" t="s">
        <v>1229</v>
      </c>
      <c r="Y210" s="646" t="s">
        <v>972</v>
      </c>
      <c r="Z210" s="683">
        <v>2.6965</v>
      </c>
      <c r="AA210" s="650">
        <f t="shared" si="110"/>
        <v>652.553</v>
      </c>
      <c r="AB210" s="649">
        <v>242</v>
      </c>
      <c r="AC210" s="649">
        <f t="shared" si="99"/>
        <v>0</v>
      </c>
      <c r="AD210" s="650" t="s">
        <v>123</v>
      </c>
      <c r="AE210" s="637" t="s">
        <v>111</v>
      </c>
      <c r="AF210" s="646" t="s">
        <v>107</v>
      </c>
      <c r="AG210" s="652" t="s">
        <v>43</v>
      </c>
      <c r="AH210" s="646"/>
      <c r="AI210" s="649"/>
      <c r="AJ210" s="649"/>
      <c r="AK210" s="649"/>
      <c r="AL210" s="652">
        <f>I210</f>
        <v>242</v>
      </c>
      <c r="AM210" s="652"/>
      <c r="AN210" s="649"/>
      <c r="AO210" s="649"/>
      <c r="AP210" s="649"/>
      <c r="AQ210" s="653"/>
      <c r="AR210" s="649"/>
      <c r="AS210" s="649"/>
      <c r="AT210" s="652">
        <f t="shared" si="109"/>
        <v>242</v>
      </c>
      <c r="AU210" s="649"/>
      <c r="AV210" s="654"/>
      <c r="AW210" s="654"/>
      <c r="AX210" s="652">
        <f>I210/11</f>
        <v>22</v>
      </c>
      <c r="AY210" s="652"/>
      <c r="AZ210" s="654"/>
      <c r="BA210" s="652"/>
      <c r="BB210" s="652"/>
      <c r="BC210" s="654"/>
      <c r="BD210" s="654"/>
      <c r="BE210" s="654"/>
      <c r="BF210" s="654"/>
      <c r="BG210" s="654"/>
      <c r="BH210" s="654"/>
      <c r="BI210" s="654"/>
      <c r="BJ210" s="654"/>
      <c r="BK210" s="654"/>
      <c r="BL210" s="654"/>
      <c r="BM210" s="654"/>
      <c r="BN210" s="654"/>
      <c r="BO210" s="654"/>
      <c r="BP210" s="654"/>
      <c r="BQ210" s="654"/>
      <c r="BR210" s="654"/>
      <c r="BS210" s="654"/>
      <c r="BT210" s="654"/>
      <c r="BU210" s="654"/>
      <c r="BV210" s="654"/>
      <c r="BW210" s="645" t="s">
        <v>109</v>
      </c>
      <c r="BX210" s="658">
        <f>I210/22*5</f>
        <v>55</v>
      </c>
      <c r="BY210" s="658">
        <f>I210/22*6</f>
        <v>66</v>
      </c>
      <c r="BZ210" s="658">
        <f>I210/22*6</f>
        <v>66</v>
      </c>
      <c r="CA210" s="658">
        <f>I210/22*5</f>
        <v>55</v>
      </c>
      <c r="CB210" s="644">
        <f t="shared" si="95"/>
        <v>242</v>
      </c>
      <c r="CC210" s="658">
        <f>I210/11</f>
        <v>22</v>
      </c>
      <c r="CD210" s="644">
        <f t="shared" si="96"/>
        <v>242</v>
      </c>
      <c r="CE210" s="644">
        <f t="shared" si="97"/>
        <v>0</v>
      </c>
    </row>
    <row r="211" s="338" customFormat="1" ht="40" customHeight="1" spans="1:83">
      <c r="A211" s="632">
        <v>45735</v>
      </c>
      <c r="B211" s="659" t="s">
        <v>1230</v>
      </c>
      <c r="C211" s="634" t="s">
        <v>214</v>
      </c>
      <c r="D211" s="635">
        <v>4500160726</v>
      </c>
      <c r="E211" s="659" t="s">
        <v>1231</v>
      </c>
      <c r="F211" s="636" t="s">
        <v>1232</v>
      </c>
      <c r="G211" s="661" t="s">
        <v>111</v>
      </c>
      <c r="H211" s="637" t="s">
        <v>99</v>
      </c>
      <c r="I211" s="638">
        <v>1254</v>
      </c>
      <c r="J211" s="638">
        <v>0</v>
      </c>
      <c r="K211" s="639">
        <v>22</v>
      </c>
      <c r="L211" s="639">
        <f t="shared" si="94"/>
        <v>57</v>
      </c>
      <c r="M211" s="641">
        <v>45818</v>
      </c>
      <c r="N211" s="641">
        <v>45814</v>
      </c>
      <c r="O211" s="642"/>
      <c r="P211" s="642" t="s">
        <v>100</v>
      </c>
      <c r="Q211" s="643" t="s">
        <v>1208</v>
      </c>
      <c r="R211" s="642" t="s">
        <v>1233</v>
      </c>
      <c r="S211" s="642"/>
      <c r="T211" s="642"/>
      <c r="U211" s="642" t="s">
        <v>1234</v>
      </c>
      <c r="V211" s="642"/>
      <c r="W211" s="645"/>
      <c r="X211" s="647" t="s">
        <v>1235</v>
      </c>
      <c r="Y211" s="646" t="s">
        <v>1060</v>
      </c>
      <c r="Z211" s="648">
        <v>2.7445</v>
      </c>
      <c r="AA211" s="650">
        <f t="shared" si="110"/>
        <v>3441.603</v>
      </c>
      <c r="AB211" s="649">
        <v>1254</v>
      </c>
      <c r="AC211" s="649">
        <f t="shared" si="99"/>
        <v>0</v>
      </c>
      <c r="AD211" s="650"/>
      <c r="AE211" s="661" t="s">
        <v>111</v>
      </c>
      <c r="AF211" s="646" t="s">
        <v>107</v>
      </c>
      <c r="AG211" s="652" t="s">
        <v>43</v>
      </c>
      <c r="AH211" s="646"/>
      <c r="AI211" s="649"/>
      <c r="AJ211" s="649"/>
      <c r="AK211" s="649"/>
      <c r="AL211" s="652">
        <f>I211</f>
        <v>1254</v>
      </c>
      <c r="AM211" s="652"/>
      <c r="AN211" s="649"/>
      <c r="AO211" s="649"/>
      <c r="AP211" s="649"/>
      <c r="AQ211" s="653"/>
      <c r="AR211" s="649"/>
      <c r="AS211" s="649"/>
      <c r="AT211" s="652">
        <f t="shared" si="109"/>
        <v>1254</v>
      </c>
      <c r="AU211" s="649"/>
      <c r="AV211" s="654"/>
      <c r="AW211" s="652"/>
      <c r="AX211" s="652">
        <f>I211/11</f>
        <v>114</v>
      </c>
      <c r="AY211" s="652"/>
      <c r="AZ211" s="654"/>
      <c r="BA211" s="652"/>
      <c r="BB211" s="652"/>
      <c r="BC211" s="654"/>
      <c r="BD211" s="654"/>
      <c r="BE211" s="652"/>
      <c r="BF211" s="654"/>
      <c r="BG211" s="654"/>
      <c r="BH211" s="654"/>
      <c r="BI211" s="654"/>
      <c r="BJ211" s="654"/>
      <c r="BK211" s="654"/>
      <c r="BL211" s="654"/>
      <c r="BM211" s="654"/>
      <c r="BN211" s="654"/>
      <c r="BO211" s="654"/>
      <c r="BP211" s="654"/>
      <c r="BQ211" s="654"/>
      <c r="BR211" s="654"/>
      <c r="BS211" s="654"/>
      <c r="BT211" s="654"/>
      <c r="BU211" s="654"/>
      <c r="BV211" s="654"/>
      <c r="BW211" s="645" t="s">
        <v>109</v>
      </c>
      <c r="BX211" s="658">
        <f>I211/22*5</f>
        <v>285</v>
      </c>
      <c r="BY211" s="658">
        <f>I211/22*6</f>
        <v>342</v>
      </c>
      <c r="BZ211" s="658">
        <f>I211/22*6</f>
        <v>342</v>
      </c>
      <c r="CA211" s="658">
        <f>I211/22*5</f>
        <v>285</v>
      </c>
      <c r="CB211" s="644">
        <f t="shared" si="95"/>
        <v>1254</v>
      </c>
      <c r="CC211" s="658">
        <f>I211/11</f>
        <v>114</v>
      </c>
      <c r="CD211" s="644">
        <f t="shared" si="96"/>
        <v>1254</v>
      </c>
      <c r="CE211" s="644">
        <f t="shared" si="97"/>
        <v>0</v>
      </c>
    </row>
    <row r="212" s="338" customFormat="1" ht="40" customHeight="1" spans="1:83">
      <c r="A212" s="632">
        <v>45768</v>
      </c>
      <c r="B212" s="633" t="s">
        <v>364</v>
      </c>
      <c r="C212" s="634" t="s">
        <v>365</v>
      </c>
      <c r="D212" s="635">
        <v>4500164331</v>
      </c>
      <c r="E212" s="659"/>
      <c r="F212" s="636" t="s">
        <v>1236</v>
      </c>
      <c r="G212" s="637" t="s">
        <v>98</v>
      </c>
      <c r="H212" s="637" t="s">
        <v>99</v>
      </c>
      <c r="I212" s="638">
        <v>2616</v>
      </c>
      <c r="J212" s="638">
        <v>0</v>
      </c>
      <c r="K212" s="639">
        <v>24</v>
      </c>
      <c r="L212" s="639">
        <f t="shared" si="94"/>
        <v>109</v>
      </c>
      <c r="M212" s="641">
        <v>45819</v>
      </c>
      <c r="N212" s="641">
        <v>45815</v>
      </c>
      <c r="O212" s="641"/>
      <c r="P212" s="642" t="s">
        <v>100</v>
      </c>
      <c r="Q212" s="643" t="s">
        <v>1237</v>
      </c>
      <c r="R212" s="642" t="s">
        <v>1120</v>
      </c>
      <c r="S212" s="641"/>
      <c r="T212" s="641"/>
      <c r="U212" s="642" t="s">
        <v>1238</v>
      </c>
      <c r="V212" s="677"/>
      <c r="W212" s="645" t="s">
        <v>1239</v>
      </c>
      <c r="X212" s="647" t="s">
        <v>1240</v>
      </c>
      <c r="Y212" s="646" t="s">
        <v>906</v>
      </c>
      <c r="Z212" s="648">
        <v>2.4647</v>
      </c>
      <c r="AA212" s="650">
        <f t="shared" si="110"/>
        <v>6447.6552</v>
      </c>
      <c r="AB212" s="649">
        <f>2592+24</f>
        <v>2616</v>
      </c>
      <c r="AC212" s="649">
        <f t="shared" si="99"/>
        <v>0</v>
      </c>
      <c r="AD212" s="650" t="s">
        <v>106</v>
      </c>
      <c r="AE212" s="637" t="s">
        <v>1241</v>
      </c>
      <c r="AF212" s="646" t="s">
        <v>107</v>
      </c>
      <c r="AG212" s="652" t="s">
        <v>43</v>
      </c>
      <c r="AH212" s="646" t="s">
        <v>1242</v>
      </c>
      <c r="AI212" s="649"/>
      <c r="AJ212" s="649"/>
      <c r="AK212" s="649"/>
      <c r="AL212" s="652">
        <f>I212</f>
        <v>2616</v>
      </c>
      <c r="AM212" s="652"/>
      <c r="AN212" s="649"/>
      <c r="AO212" s="649"/>
      <c r="AP212" s="649"/>
      <c r="AQ212" s="653"/>
      <c r="AR212" s="649"/>
      <c r="AS212" s="649"/>
      <c r="AT212" s="649"/>
      <c r="AU212" s="649"/>
      <c r="AV212" s="652">
        <f>I212</f>
        <v>2616</v>
      </c>
      <c r="AW212" s="654"/>
      <c r="AX212" s="652"/>
      <c r="AY212" s="652"/>
      <c r="AZ212" s="654"/>
      <c r="BA212" s="652"/>
      <c r="BB212" s="652"/>
      <c r="BC212" s="654"/>
      <c r="BD212" s="654"/>
      <c r="BE212" s="654"/>
      <c r="BF212" s="654"/>
      <c r="BG212" s="652"/>
      <c r="BH212" s="652"/>
      <c r="BI212" s="654"/>
      <c r="BJ212" s="654"/>
      <c r="BK212" s="654"/>
      <c r="BL212" s="654"/>
      <c r="BM212" s="654"/>
      <c r="BN212" s="654"/>
      <c r="BO212" s="654"/>
      <c r="BP212" s="654"/>
      <c r="BQ212" s="654"/>
      <c r="BR212" s="654"/>
      <c r="BS212" s="654"/>
      <c r="BT212" s="654"/>
      <c r="BU212" s="654"/>
      <c r="BV212" s="654"/>
      <c r="BW212" s="645" t="s">
        <v>109</v>
      </c>
      <c r="BX212" s="658">
        <f>I212/4</f>
        <v>654</v>
      </c>
      <c r="BY212" s="658">
        <f>I212/4</f>
        <v>654</v>
      </c>
      <c r="BZ212" s="658">
        <f>I212/4</f>
        <v>654</v>
      </c>
      <c r="CA212" s="658">
        <f>I212/4</f>
        <v>654</v>
      </c>
      <c r="CB212" s="644">
        <f t="shared" si="95"/>
        <v>2616</v>
      </c>
      <c r="CC212" s="644"/>
      <c r="CD212" s="644">
        <f t="shared" si="96"/>
        <v>2616</v>
      </c>
      <c r="CE212" s="644">
        <f t="shared" si="97"/>
        <v>0</v>
      </c>
    </row>
    <row r="213" s="338" customFormat="1" ht="40" customHeight="1" spans="1:83">
      <c r="A213" s="632">
        <v>45776</v>
      </c>
      <c r="B213" s="633" t="s">
        <v>155</v>
      </c>
      <c r="C213" s="634" t="s">
        <v>156</v>
      </c>
      <c r="D213" s="635">
        <v>4500165342</v>
      </c>
      <c r="E213" s="659" t="s">
        <v>1243</v>
      </c>
      <c r="F213" s="636" t="s">
        <v>1244</v>
      </c>
      <c r="G213" s="637" t="s">
        <v>383</v>
      </c>
      <c r="H213" s="637" t="s">
        <v>384</v>
      </c>
      <c r="I213" s="638">
        <v>504</v>
      </c>
      <c r="J213" s="638">
        <v>0</v>
      </c>
      <c r="K213" s="639">
        <v>24</v>
      </c>
      <c r="L213" s="639">
        <f t="shared" si="94"/>
        <v>21</v>
      </c>
      <c r="M213" s="641">
        <v>45821</v>
      </c>
      <c r="N213" s="641">
        <v>45817</v>
      </c>
      <c r="O213" s="641"/>
      <c r="P213" s="642" t="s">
        <v>100</v>
      </c>
      <c r="Q213" s="643" t="s">
        <v>1245</v>
      </c>
      <c r="R213" s="642" t="s">
        <v>1191</v>
      </c>
      <c r="S213" s="641"/>
      <c r="T213" s="641"/>
      <c r="U213" s="642" t="s">
        <v>1246</v>
      </c>
      <c r="V213" s="677" t="s">
        <v>1247</v>
      </c>
      <c r="W213" s="645" t="s">
        <v>1248</v>
      </c>
      <c r="X213" s="647" t="s">
        <v>1249</v>
      </c>
      <c r="Y213" s="646" t="s">
        <v>165</v>
      </c>
      <c r="Z213" s="648">
        <v>2.5966</v>
      </c>
      <c r="AA213" s="650">
        <f t="shared" si="110"/>
        <v>1308.6864</v>
      </c>
      <c r="AB213" s="649">
        <v>504</v>
      </c>
      <c r="AC213" s="649">
        <f t="shared" si="99"/>
        <v>0</v>
      </c>
      <c r="AD213" s="650" t="s">
        <v>106</v>
      </c>
      <c r="AE213" s="637" t="s">
        <v>880</v>
      </c>
      <c r="AF213" s="646" t="s">
        <v>107</v>
      </c>
      <c r="AG213" s="652" t="s">
        <v>43</v>
      </c>
      <c r="AH213" s="646" t="s">
        <v>1250</v>
      </c>
      <c r="AI213" s="649"/>
      <c r="AJ213" s="649"/>
      <c r="AK213" s="649"/>
      <c r="AL213" s="649"/>
      <c r="AM213" s="649"/>
      <c r="AN213" s="649"/>
      <c r="AO213" s="649">
        <f>I213</f>
        <v>504</v>
      </c>
      <c r="AP213" s="649"/>
      <c r="AQ213" s="653"/>
      <c r="AR213" s="649"/>
      <c r="AS213" s="649"/>
      <c r="AT213" s="652">
        <f>I213</f>
        <v>504</v>
      </c>
      <c r="AU213" s="649"/>
      <c r="AV213" s="654"/>
      <c r="AW213" s="654"/>
      <c r="AX213" s="652"/>
      <c r="AY213" s="652"/>
      <c r="AZ213" s="654"/>
      <c r="BA213" s="652"/>
      <c r="BB213" s="652"/>
      <c r="BC213" s="654"/>
      <c r="BD213" s="654"/>
      <c r="BE213" s="654"/>
      <c r="BF213" s="654"/>
      <c r="BG213" s="652"/>
      <c r="BH213" s="652"/>
      <c r="BI213" s="654"/>
      <c r="BJ213" s="654"/>
      <c r="BK213" s="654"/>
      <c r="BL213" s="654"/>
      <c r="BM213" s="654"/>
      <c r="BN213" s="654"/>
      <c r="BO213" s="654"/>
      <c r="BP213" s="654"/>
      <c r="BQ213" s="654"/>
      <c r="BR213" s="654"/>
      <c r="BS213" s="654"/>
      <c r="BT213" s="654"/>
      <c r="BU213" s="654"/>
      <c r="BV213" s="654"/>
      <c r="BW213" s="645" t="s">
        <v>109</v>
      </c>
      <c r="BX213" s="658"/>
      <c r="BY213" s="658">
        <f>I213</f>
        <v>504</v>
      </c>
      <c r="BZ213" s="658"/>
      <c r="CA213" s="658"/>
      <c r="CB213" s="644">
        <f t="shared" si="95"/>
        <v>504</v>
      </c>
      <c r="CC213" s="658"/>
      <c r="CD213" s="644">
        <f t="shared" si="96"/>
        <v>504</v>
      </c>
      <c r="CE213" s="644">
        <f t="shared" si="97"/>
        <v>0</v>
      </c>
    </row>
    <row r="214" s="338" customFormat="1" ht="40" customHeight="1" spans="1:83">
      <c r="A214" s="632">
        <v>45786</v>
      </c>
      <c r="B214" s="633" t="s">
        <v>1251</v>
      </c>
      <c r="C214" s="634" t="s">
        <v>214</v>
      </c>
      <c r="D214" s="635">
        <v>4500165256</v>
      </c>
      <c r="E214" s="659" t="s">
        <v>1252</v>
      </c>
      <c r="F214" s="636" t="s">
        <v>1253</v>
      </c>
      <c r="G214" s="637" t="s">
        <v>98</v>
      </c>
      <c r="H214" s="637" t="s">
        <v>99</v>
      </c>
      <c r="I214" s="638">
        <v>1200</v>
      </c>
      <c r="J214" s="638">
        <v>0</v>
      </c>
      <c r="K214" s="639">
        <v>24</v>
      </c>
      <c r="L214" s="639">
        <f t="shared" si="94"/>
        <v>50</v>
      </c>
      <c r="M214" s="641">
        <v>45821</v>
      </c>
      <c r="N214" s="641">
        <v>45817</v>
      </c>
      <c r="O214" s="641"/>
      <c r="P214" s="642" t="s">
        <v>100</v>
      </c>
      <c r="Q214" s="643" t="s">
        <v>1254</v>
      </c>
      <c r="R214" s="642" t="s">
        <v>1255</v>
      </c>
      <c r="S214" s="641"/>
      <c r="T214" s="641"/>
      <c r="U214" s="642" t="s">
        <v>1256</v>
      </c>
      <c r="V214" s="677"/>
      <c r="W214" s="645"/>
      <c r="X214" s="647" t="s">
        <v>942</v>
      </c>
      <c r="Y214" s="646" t="s">
        <v>1257</v>
      </c>
      <c r="Z214" s="648">
        <v>1.4998</v>
      </c>
      <c r="AA214" s="650">
        <f t="shared" si="110"/>
        <v>1799.76</v>
      </c>
      <c r="AB214" s="649">
        <v>1200</v>
      </c>
      <c r="AC214" s="649">
        <f t="shared" si="99"/>
        <v>0</v>
      </c>
      <c r="AD214" s="650" t="s">
        <v>106</v>
      </c>
      <c r="AE214" s="637" t="s">
        <v>98</v>
      </c>
      <c r="AF214" s="646" t="s">
        <v>107</v>
      </c>
      <c r="AG214" s="652" t="s">
        <v>43</v>
      </c>
      <c r="AH214" s="646"/>
      <c r="AI214" s="649"/>
      <c r="AJ214" s="649"/>
      <c r="AK214" s="649"/>
      <c r="AL214" s="652">
        <f>I214</f>
        <v>1200</v>
      </c>
      <c r="AM214" s="652"/>
      <c r="AN214" s="649"/>
      <c r="AO214" s="649"/>
      <c r="AP214" s="649"/>
      <c r="AQ214" s="653"/>
      <c r="AR214" s="649"/>
      <c r="AS214" s="649"/>
      <c r="AT214" s="652">
        <f>I214</f>
        <v>1200</v>
      </c>
      <c r="AU214" s="649"/>
      <c r="AV214" s="654"/>
      <c r="AW214" s="654"/>
      <c r="AX214" s="652"/>
      <c r="AY214" s="652"/>
      <c r="AZ214" s="654"/>
      <c r="BA214" s="652"/>
      <c r="BB214" s="652"/>
      <c r="BC214" s="654"/>
      <c r="BD214" s="654"/>
      <c r="BE214" s="654"/>
      <c r="BF214" s="654"/>
      <c r="BG214" s="652"/>
      <c r="BH214" s="652"/>
      <c r="BI214" s="654"/>
      <c r="BJ214" s="654"/>
      <c r="BK214" s="654"/>
      <c r="BL214" s="654"/>
      <c r="BM214" s="654"/>
      <c r="BN214" s="654"/>
      <c r="BO214" s="654"/>
      <c r="BP214" s="654"/>
      <c r="BQ214" s="654"/>
      <c r="BR214" s="654"/>
      <c r="BS214" s="654"/>
      <c r="BT214" s="654"/>
      <c r="BU214" s="654"/>
      <c r="BV214" s="654"/>
      <c r="BW214" s="645" t="s">
        <v>109</v>
      </c>
      <c r="BX214" s="658">
        <f>I214/4</f>
        <v>300</v>
      </c>
      <c r="BY214" s="658">
        <f>I214/4</f>
        <v>300</v>
      </c>
      <c r="BZ214" s="658">
        <f>I214/4</f>
        <v>300</v>
      </c>
      <c r="CA214" s="658">
        <f>I214/4</f>
        <v>300</v>
      </c>
      <c r="CB214" s="644">
        <f t="shared" si="95"/>
        <v>1200</v>
      </c>
      <c r="CC214" s="644"/>
      <c r="CD214" s="644">
        <f t="shared" si="96"/>
        <v>1200</v>
      </c>
      <c r="CE214" s="644">
        <f t="shared" si="97"/>
        <v>0</v>
      </c>
    </row>
    <row r="215" s="338" customFormat="1" ht="40" customHeight="1" spans="1:83">
      <c r="A215" s="632">
        <v>45774</v>
      </c>
      <c r="B215" s="633" t="s">
        <v>1258</v>
      </c>
      <c r="C215" s="634" t="s">
        <v>1063</v>
      </c>
      <c r="D215" s="635">
        <v>4500161056</v>
      </c>
      <c r="E215" s="659">
        <v>164147</v>
      </c>
      <c r="F215" s="636" t="s">
        <v>1259</v>
      </c>
      <c r="G215" s="637" t="s">
        <v>241</v>
      </c>
      <c r="H215" s="637" t="s">
        <v>99</v>
      </c>
      <c r="I215" s="638">
        <v>1001</v>
      </c>
      <c r="J215" s="638">
        <v>0</v>
      </c>
      <c r="K215" s="639">
        <v>11</v>
      </c>
      <c r="L215" s="639">
        <f t="shared" si="94"/>
        <v>91</v>
      </c>
      <c r="M215" s="641">
        <v>45818</v>
      </c>
      <c r="N215" s="641">
        <v>45822</v>
      </c>
      <c r="O215" s="642"/>
      <c r="P215" s="642" t="s">
        <v>100</v>
      </c>
      <c r="Q215" s="643" t="s">
        <v>1260</v>
      </c>
      <c r="R215" s="642" t="s">
        <v>1202</v>
      </c>
      <c r="S215" s="641"/>
      <c r="T215" s="641"/>
      <c r="U215" s="642" t="s">
        <v>1261</v>
      </c>
      <c r="V215" s="642"/>
      <c r="W215" s="642" t="s">
        <v>1262</v>
      </c>
      <c r="X215" s="647" t="s">
        <v>1263</v>
      </c>
      <c r="Y215" s="646" t="s">
        <v>578</v>
      </c>
      <c r="Z215" s="683">
        <v>2.7985</v>
      </c>
      <c r="AA215" s="650">
        <f t="shared" si="110"/>
        <v>2801.2985</v>
      </c>
      <c r="AB215" s="649">
        <f>990+11</f>
        <v>1001</v>
      </c>
      <c r="AC215" s="649">
        <f t="shared" si="99"/>
        <v>0</v>
      </c>
      <c r="AD215" s="650" t="s">
        <v>106</v>
      </c>
      <c r="AE215" s="637" t="s">
        <v>1264</v>
      </c>
      <c r="AF215" s="646" t="s">
        <v>107</v>
      </c>
      <c r="AG215" s="652" t="s">
        <v>43</v>
      </c>
      <c r="AH215" s="646" t="s">
        <v>1265</v>
      </c>
      <c r="AI215" s="649"/>
      <c r="AJ215" s="649"/>
      <c r="AK215" s="649"/>
      <c r="AL215" s="649"/>
      <c r="AM215" s="649"/>
      <c r="AN215" s="649"/>
      <c r="AO215" s="649">
        <f>I215</f>
        <v>1001</v>
      </c>
      <c r="AP215" s="649"/>
      <c r="AQ215" s="653"/>
      <c r="AR215" s="649"/>
      <c r="AS215" s="649"/>
      <c r="AT215" s="649"/>
      <c r="AU215" s="649"/>
      <c r="AV215" s="652">
        <f>I215</f>
        <v>1001</v>
      </c>
      <c r="AW215" s="654"/>
      <c r="AX215" s="652"/>
      <c r="AY215" s="652"/>
      <c r="AZ215" s="654"/>
      <c r="BA215" s="652">
        <f>I215/11</f>
        <v>91</v>
      </c>
      <c r="BB215" s="652"/>
      <c r="BC215" s="654"/>
      <c r="BD215" s="654"/>
      <c r="BE215" s="654"/>
      <c r="BF215" s="654"/>
      <c r="BG215" s="654"/>
      <c r="BH215" s="654"/>
      <c r="BI215" s="654"/>
      <c r="BJ215" s="654"/>
      <c r="BK215" s="654"/>
      <c r="BL215" s="654"/>
      <c r="BM215" s="654"/>
      <c r="BN215" s="654"/>
      <c r="BO215" s="654"/>
      <c r="BP215" s="654"/>
      <c r="BQ215" s="654"/>
      <c r="BR215" s="654"/>
      <c r="BS215" s="654"/>
      <c r="BT215" s="654"/>
      <c r="BU215" s="654"/>
      <c r="BV215" s="654"/>
      <c r="BW215" s="645" t="s">
        <v>109</v>
      </c>
      <c r="BX215" s="658">
        <f>I215/22*5</f>
        <v>227.5</v>
      </c>
      <c r="BY215" s="658">
        <f>I215/22*6</f>
        <v>273</v>
      </c>
      <c r="BZ215" s="658">
        <f>I215/22*6</f>
        <v>273</v>
      </c>
      <c r="CA215" s="658">
        <f>I215/22*5</f>
        <v>227.5</v>
      </c>
      <c r="CB215" s="644">
        <f t="shared" si="95"/>
        <v>1001</v>
      </c>
      <c r="CC215" s="658">
        <f>I215/11</f>
        <v>91</v>
      </c>
      <c r="CD215" s="644">
        <f t="shared" si="96"/>
        <v>1001</v>
      </c>
      <c r="CE215" s="644">
        <f t="shared" si="97"/>
        <v>0</v>
      </c>
    </row>
    <row r="216" s="338" customFormat="1" ht="40" customHeight="1" spans="1:83">
      <c r="A216" s="632">
        <v>45783</v>
      </c>
      <c r="B216" s="633" t="s">
        <v>896</v>
      </c>
      <c r="C216" s="634" t="s">
        <v>267</v>
      </c>
      <c r="D216" s="635">
        <v>4500165567</v>
      </c>
      <c r="E216" s="659">
        <v>20811641</v>
      </c>
      <c r="F216" s="636" t="s">
        <v>1266</v>
      </c>
      <c r="G216" s="637" t="s">
        <v>648</v>
      </c>
      <c r="H216" s="637" t="s">
        <v>99</v>
      </c>
      <c r="I216" s="638">
        <v>138</v>
      </c>
      <c r="J216" s="638">
        <v>0</v>
      </c>
      <c r="K216" s="639">
        <v>6</v>
      </c>
      <c r="L216" s="639">
        <f t="shared" si="94"/>
        <v>23</v>
      </c>
      <c r="M216" s="641">
        <v>45824</v>
      </c>
      <c r="N216" s="641">
        <v>45820</v>
      </c>
      <c r="O216" s="641"/>
      <c r="P216" s="642" t="s">
        <v>100</v>
      </c>
      <c r="Q216" s="643" t="s">
        <v>1267</v>
      </c>
      <c r="R216" s="642" t="s">
        <v>1268</v>
      </c>
      <c r="S216" s="641"/>
      <c r="T216" s="641"/>
      <c r="U216" s="642" t="s">
        <v>1269</v>
      </c>
      <c r="V216" s="677"/>
      <c r="W216" s="645"/>
      <c r="X216" s="647" t="s">
        <v>1270</v>
      </c>
      <c r="Y216" s="646" t="s">
        <v>1271</v>
      </c>
      <c r="Z216" s="648">
        <v>2.5993</v>
      </c>
      <c r="AA216" s="650">
        <f t="shared" si="110"/>
        <v>358.7034</v>
      </c>
      <c r="AB216" s="649">
        <v>138</v>
      </c>
      <c r="AC216" s="649">
        <f t="shared" si="99"/>
        <v>0</v>
      </c>
      <c r="AD216" s="650" t="s">
        <v>106</v>
      </c>
      <c r="AE216" s="661" t="s">
        <v>648</v>
      </c>
      <c r="AF216" s="646" t="s">
        <v>107</v>
      </c>
      <c r="AG216" s="652" t="s">
        <v>43</v>
      </c>
      <c r="AH216" s="646"/>
      <c r="AI216" s="649"/>
      <c r="AJ216" s="649"/>
      <c r="AK216" s="649"/>
      <c r="AL216" s="652">
        <f t="shared" ref="AL216:AL221" si="111">I216</f>
        <v>138</v>
      </c>
      <c r="AM216" s="652"/>
      <c r="AN216" s="649"/>
      <c r="AO216" s="649"/>
      <c r="AP216" s="649"/>
      <c r="AQ216" s="653"/>
      <c r="AR216" s="649"/>
      <c r="AS216" s="649"/>
      <c r="AT216" s="652">
        <f t="shared" ref="AT216:AT224" si="112">I216</f>
        <v>138</v>
      </c>
      <c r="AU216" s="649"/>
      <c r="AV216" s="654"/>
      <c r="AW216" s="654"/>
      <c r="AX216" s="652"/>
      <c r="AY216" s="652"/>
      <c r="AZ216" s="654"/>
      <c r="BA216" s="652"/>
      <c r="BB216" s="652"/>
      <c r="BC216" s="654"/>
      <c r="BD216" s="654"/>
      <c r="BE216" s="652">
        <f>I216/6</f>
        <v>23</v>
      </c>
      <c r="BF216" s="654"/>
      <c r="BG216" s="652"/>
      <c r="BH216" s="652"/>
      <c r="BI216" s="654"/>
      <c r="BJ216" s="654"/>
      <c r="BK216" s="654"/>
      <c r="BL216" s="654"/>
      <c r="BM216" s="654"/>
      <c r="BN216" s="654"/>
      <c r="BO216" s="654"/>
      <c r="BP216" s="654"/>
      <c r="BQ216" s="654"/>
      <c r="BR216" s="654"/>
      <c r="BS216" s="654"/>
      <c r="BT216" s="654"/>
      <c r="BU216" s="654"/>
      <c r="BV216" s="654"/>
      <c r="BW216" s="645" t="s">
        <v>109</v>
      </c>
      <c r="BX216" s="658">
        <f>I216/4</f>
        <v>34.5</v>
      </c>
      <c r="BY216" s="658">
        <f>I216/4</f>
        <v>34.5</v>
      </c>
      <c r="BZ216" s="658">
        <f>I216/4</f>
        <v>34.5</v>
      </c>
      <c r="CA216" s="658">
        <f>I216/4</f>
        <v>34.5</v>
      </c>
      <c r="CB216" s="644">
        <f t="shared" si="95"/>
        <v>138</v>
      </c>
      <c r="CC216" s="658"/>
      <c r="CD216" s="644">
        <f t="shared" si="96"/>
        <v>138</v>
      </c>
      <c r="CE216" s="644">
        <f t="shared" si="97"/>
        <v>0</v>
      </c>
    </row>
    <row r="217" s="338" customFormat="1" ht="40" customHeight="1" spans="1:83">
      <c r="A217" s="632">
        <v>45783</v>
      </c>
      <c r="B217" s="633" t="s">
        <v>646</v>
      </c>
      <c r="C217" s="634" t="s">
        <v>247</v>
      </c>
      <c r="D217" s="635">
        <v>4500165566</v>
      </c>
      <c r="E217" s="659">
        <v>20811640</v>
      </c>
      <c r="F217" s="636" t="s">
        <v>1272</v>
      </c>
      <c r="G217" s="637" t="s">
        <v>648</v>
      </c>
      <c r="H217" s="637" t="s">
        <v>99</v>
      </c>
      <c r="I217" s="638">
        <v>1362</v>
      </c>
      <c r="J217" s="638">
        <v>0</v>
      </c>
      <c r="K217" s="639">
        <v>6</v>
      </c>
      <c r="L217" s="639">
        <f t="shared" si="94"/>
        <v>227</v>
      </c>
      <c r="M217" s="641">
        <v>45824</v>
      </c>
      <c r="N217" s="641">
        <v>45820</v>
      </c>
      <c r="O217" s="641"/>
      <c r="P217" s="642" t="s">
        <v>100</v>
      </c>
      <c r="Q217" s="682" t="s">
        <v>1267</v>
      </c>
      <c r="R217" s="642" t="s">
        <v>1268</v>
      </c>
      <c r="S217" s="641"/>
      <c r="T217" s="641"/>
      <c r="U217" s="642" t="s">
        <v>1269</v>
      </c>
      <c r="V217" s="677"/>
      <c r="W217" s="645"/>
      <c r="X217" s="647" t="s">
        <v>652</v>
      </c>
      <c r="Y217" s="646" t="s">
        <v>1271</v>
      </c>
      <c r="Z217" s="648">
        <v>2.5854</v>
      </c>
      <c r="AA217" s="650">
        <f t="shared" si="110"/>
        <v>3521.3148</v>
      </c>
      <c r="AB217" s="649">
        <v>1362</v>
      </c>
      <c r="AC217" s="649">
        <f t="shared" si="99"/>
        <v>0</v>
      </c>
      <c r="AD217" s="650" t="s">
        <v>106</v>
      </c>
      <c r="AE217" s="661" t="s">
        <v>648</v>
      </c>
      <c r="AF217" s="646" t="s">
        <v>107</v>
      </c>
      <c r="AG217" s="652" t="s">
        <v>43</v>
      </c>
      <c r="AH217" s="646"/>
      <c r="AI217" s="649"/>
      <c r="AJ217" s="649"/>
      <c r="AK217" s="649"/>
      <c r="AL217" s="652">
        <f t="shared" si="111"/>
        <v>1362</v>
      </c>
      <c r="AM217" s="652"/>
      <c r="AN217" s="649"/>
      <c r="AO217" s="649"/>
      <c r="AP217" s="649"/>
      <c r="AQ217" s="653"/>
      <c r="AR217" s="649"/>
      <c r="AS217" s="649"/>
      <c r="AT217" s="652">
        <f t="shared" si="112"/>
        <v>1362</v>
      </c>
      <c r="AU217" s="649"/>
      <c r="AV217" s="654"/>
      <c r="AW217" s="654"/>
      <c r="AX217" s="652"/>
      <c r="AY217" s="652"/>
      <c r="AZ217" s="654"/>
      <c r="BA217" s="652"/>
      <c r="BB217" s="652"/>
      <c r="BC217" s="654"/>
      <c r="BD217" s="654"/>
      <c r="BE217" s="652">
        <f>I217/6</f>
        <v>227</v>
      </c>
      <c r="BF217" s="654"/>
      <c r="BG217" s="652"/>
      <c r="BH217" s="652"/>
      <c r="BI217" s="654"/>
      <c r="BJ217" s="654"/>
      <c r="BK217" s="654"/>
      <c r="BL217" s="654"/>
      <c r="BM217" s="654"/>
      <c r="BN217" s="654"/>
      <c r="BO217" s="654"/>
      <c r="BP217" s="654"/>
      <c r="BQ217" s="654"/>
      <c r="BR217" s="654"/>
      <c r="BS217" s="654"/>
      <c r="BT217" s="654"/>
      <c r="BU217" s="654"/>
      <c r="BV217" s="654"/>
      <c r="BW217" s="645" t="s">
        <v>109</v>
      </c>
      <c r="BX217" s="658">
        <f>I217/4</f>
        <v>340.5</v>
      </c>
      <c r="BY217" s="658">
        <f>I217/4</f>
        <v>340.5</v>
      </c>
      <c r="BZ217" s="658">
        <f>I217/4</f>
        <v>340.5</v>
      </c>
      <c r="CA217" s="658">
        <f>I217/4</f>
        <v>340.5</v>
      </c>
      <c r="CB217" s="644">
        <f t="shared" si="95"/>
        <v>1362</v>
      </c>
      <c r="CC217" s="658"/>
      <c r="CD217" s="644">
        <f t="shared" si="96"/>
        <v>1362</v>
      </c>
      <c r="CE217" s="644">
        <f t="shared" si="97"/>
        <v>0</v>
      </c>
    </row>
    <row r="218" s="338" customFormat="1" ht="40" customHeight="1" spans="1:83">
      <c r="A218" s="632">
        <v>45786</v>
      </c>
      <c r="B218" s="633" t="s">
        <v>1273</v>
      </c>
      <c r="C218" s="634" t="s">
        <v>1274</v>
      </c>
      <c r="D218" s="635">
        <v>4500165723</v>
      </c>
      <c r="E218" s="659" t="s">
        <v>1275</v>
      </c>
      <c r="F218" s="636" t="s">
        <v>1276</v>
      </c>
      <c r="G218" s="637" t="s">
        <v>111</v>
      </c>
      <c r="H218" s="637" t="s">
        <v>99</v>
      </c>
      <c r="I218" s="638">
        <v>506</v>
      </c>
      <c r="J218" s="638">
        <v>0</v>
      </c>
      <c r="K218" s="639">
        <v>22</v>
      </c>
      <c r="L218" s="639">
        <f t="shared" si="94"/>
        <v>23</v>
      </c>
      <c r="M218" s="641">
        <v>45824</v>
      </c>
      <c r="N218" s="641">
        <f>M218-4</f>
        <v>45820</v>
      </c>
      <c r="O218" s="641"/>
      <c r="P218" s="642" t="s">
        <v>100</v>
      </c>
      <c r="Q218" s="643" t="s">
        <v>1013</v>
      </c>
      <c r="R218" s="642" t="s">
        <v>1268</v>
      </c>
      <c r="S218" s="641"/>
      <c r="T218" s="641"/>
      <c r="U218" s="642" t="s">
        <v>1277</v>
      </c>
      <c r="V218" s="677"/>
      <c r="W218" s="645"/>
      <c r="X218" s="647" t="s">
        <v>1278</v>
      </c>
      <c r="Y218" s="646" t="s">
        <v>1279</v>
      </c>
      <c r="Z218" s="683">
        <v>2.7311</v>
      </c>
      <c r="AA218" s="650">
        <f t="shared" si="110"/>
        <v>1381.9366</v>
      </c>
      <c r="AB218" s="649">
        <v>506</v>
      </c>
      <c r="AC218" s="649">
        <f t="shared" si="99"/>
        <v>0</v>
      </c>
      <c r="AD218" s="650" t="s">
        <v>123</v>
      </c>
      <c r="AE218" s="637" t="s">
        <v>111</v>
      </c>
      <c r="AF218" s="646" t="s">
        <v>107</v>
      </c>
      <c r="AG218" s="652" t="s">
        <v>43</v>
      </c>
      <c r="AH218" s="646"/>
      <c r="AI218" s="649"/>
      <c r="AJ218" s="649"/>
      <c r="AK218" s="649"/>
      <c r="AL218" s="652">
        <f t="shared" si="111"/>
        <v>506</v>
      </c>
      <c r="AM218" s="652"/>
      <c r="AN218" s="649"/>
      <c r="AO218" s="649"/>
      <c r="AP218" s="649"/>
      <c r="AQ218" s="653"/>
      <c r="AR218" s="649"/>
      <c r="AS218" s="649"/>
      <c r="AT218" s="652">
        <f t="shared" si="112"/>
        <v>506</v>
      </c>
      <c r="AU218" s="649"/>
      <c r="AV218" s="654"/>
      <c r="AW218" s="654"/>
      <c r="AX218" s="652">
        <f>I218/11</f>
        <v>46</v>
      </c>
      <c r="AY218" s="652"/>
      <c r="AZ218" s="654"/>
      <c r="BA218" s="652"/>
      <c r="BB218" s="652"/>
      <c r="BC218" s="654"/>
      <c r="BD218" s="654"/>
      <c r="BE218" s="654"/>
      <c r="BF218" s="654"/>
      <c r="BG218" s="652"/>
      <c r="BH218" s="652"/>
      <c r="BI218" s="654"/>
      <c r="BJ218" s="654"/>
      <c r="BK218" s="654"/>
      <c r="BL218" s="654"/>
      <c r="BM218" s="654"/>
      <c r="BN218" s="654"/>
      <c r="BO218" s="654"/>
      <c r="BP218" s="654"/>
      <c r="BQ218" s="654"/>
      <c r="BR218" s="654"/>
      <c r="BS218" s="654"/>
      <c r="BT218" s="654"/>
      <c r="BU218" s="654"/>
      <c r="BV218" s="654"/>
      <c r="BW218" s="645" t="s">
        <v>109</v>
      </c>
      <c r="BX218" s="658">
        <f>I218/22*5</f>
        <v>115</v>
      </c>
      <c r="BY218" s="658">
        <f>I218/22*6</f>
        <v>138</v>
      </c>
      <c r="BZ218" s="658">
        <f>I218/22*6</f>
        <v>138</v>
      </c>
      <c r="CA218" s="658">
        <f>I218/22*5</f>
        <v>115</v>
      </c>
      <c r="CB218" s="644">
        <f t="shared" si="95"/>
        <v>506</v>
      </c>
      <c r="CC218" s="658">
        <f>I218/11</f>
        <v>46</v>
      </c>
      <c r="CD218" s="644">
        <f t="shared" si="96"/>
        <v>506</v>
      </c>
      <c r="CE218" s="644">
        <f t="shared" si="97"/>
        <v>0</v>
      </c>
    </row>
    <row r="219" s="338" customFormat="1" ht="40" customHeight="1" spans="1:83">
      <c r="A219" s="632">
        <v>45758</v>
      </c>
      <c r="B219" s="633" t="s">
        <v>286</v>
      </c>
      <c r="C219" s="634" t="s">
        <v>214</v>
      </c>
      <c r="D219" s="635">
        <v>4500163172</v>
      </c>
      <c r="E219" s="666">
        <v>39248292</v>
      </c>
      <c r="F219" s="636" t="s">
        <v>1280</v>
      </c>
      <c r="G219" s="637" t="s">
        <v>241</v>
      </c>
      <c r="H219" s="637" t="s">
        <v>99</v>
      </c>
      <c r="I219" s="638">
        <v>2046</v>
      </c>
      <c r="J219" s="638">
        <v>0</v>
      </c>
      <c r="K219" s="639">
        <v>11</v>
      </c>
      <c r="L219" s="639">
        <f t="shared" si="94"/>
        <v>186</v>
      </c>
      <c r="M219" s="641">
        <v>45824</v>
      </c>
      <c r="N219" s="641">
        <v>45820</v>
      </c>
      <c r="O219" s="641" t="s">
        <v>1281</v>
      </c>
      <c r="P219" s="642" t="s">
        <v>100</v>
      </c>
      <c r="Q219" s="643" t="s">
        <v>1013</v>
      </c>
      <c r="R219" s="642" t="s">
        <v>958</v>
      </c>
      <c r="S219" s="641"/>
      <c r="T219" s="641"/>
      <c r="U219" s="642" t="s">
        <v>113</v>
      </c>
      <c r="V219" s="642"/>
      <c r="W219" s="645"/>
      <c r="X219" s="647" t="s">
        <v>1282</v>
      </c>
      <c r="Y219" s="646" t="s">
        <v>289</v>
      </c>
      <c r="Z219" s="683">
        <v>2.7028</v>
      </c>
      <c r="AA219" s="650">
        <f t="shared" si="110"/>
        <v>5529.9288</v>
      </c>
      <c r="AB219" s="649">
        <v>2563</v>
      </c>
      <c r="AC219" s="649">
        <f t="shared" si="99"/>
        <v>517</v>
      </c>
      <c r="AD219" s="642" t="s">
        <v>113</v>
      </c>
      <c r="AE219" s="637" t="s">
        <v>241</v>
      </c>
      <c r="AF219" s="646" t="s">
        <v>107</v>
      </c>
      <c r="AG219" s="652" t="s">
        <v>43</v>
      </c>
      <c r="AH219" s="646"/>
      <c r="AI219" s="649"/>
      <c r="AJ219" s="649"/>
      <c r="AK219" s="649"/>
      <c r="AL219" s="652">
        <f t="shared" si="111"/>
        <v>2046</v>
      </c>
      <c r="AM219" s="652"/>
      <c r="AN219" s="649"/>
      <c r="AO219" s="649"/>
      <c r="AP219" s="649"/>
      <c r="AQ219" s="653"/>
      <c r="AR219" s="649"/>
      <c r="AS219" s="649"/>
      <c r="AT219" s="652">
        <f t="shared" si="112"/>
        <v>2046</v>
      </c>
      <c r="AU219" s="649"/>
      <c r="AV219" s="654"/>
      <c r="AW219" s="654"/>
      <c r="AX219" s="652">
        <f>I219/11</f>
        <v>186</v>
      </c>
      <c r="AY219" s="652"/>
      <c r="AZ219" s="654"/>
      <c r="BA219" s="652"/>
      <c r="BB219" s="652"/>
      <c r="BC219" s="654"/>
      <c r="BD219" s="654"/>
      <c r="BE219" s="654"/>
      <c r="BF219" s="654"/>
      <c r="BG219" s="654"/>
      <c r="BH219" s="654"/>
      <c r="BI219" s="654"/>
      <c r="BJ219" s="654"/>
      <c r="BK219" s="654"/>
      <c r="BL219" s="654"/>
      <c r="BM219" s="654"/>
      <c r="BN219" s="654"/>
      <c r="BO219" s="654"/>
      <c r="BP219" s="654"/>
      <c r="BQ219" s="654"/>
      <c r="BR219" s="654"/>
      <c r="BS219" s="654"/>
      <c r="BT219" s="654"/>
      <c r="BU219" s="654"/>
      <c r="BV219" s="654"/>
      <c r="BW219" s="645" t="s">
        <v>109</v>
      </c>
      <c r="BX219" s="658">
        <f>I219/22*5</f>
        <v>465</v>
      </c>
      <c r="BY219" s="658">
        <f>I219/22*6</f>
        <v>558</v>
      </c>
      <c r="BZ219" s="658">
        <f>I219/22*6</f>
        <v>558</v>
      </c>
      <c r="CA219" s="658">
        <f>I219/22*5</f>
        <v>465</v>
      </c>
      <c r="CB219" s="644">
        <f t="shared" si="95"/>
        <v>2046</v>
      </c>
      <c r="CC219" s="658">
        <f>I219/11</f>
        <v>186</v>
      </c>
      <c r="CD219" s="644">
        <f t="shared" si="96"/>
        <v>2046</v>
      </c>
      <c r="CE219" s="644">
        <f t="shared" si="97"/>
        <v>0</v>
      </c>
    </row>
    <row r="220" s="338" customFormat="1" ht="40" customHeight="1" spans="1:83">
      <c r="A220" s="632">
        <v>45727</v>
      </c>
      <c r="B220" s="633" t="s">
        <v>1074</v>
      </c>
      <c r="C220" s="634" t="s">
        <v>380</v>
      </c>
      <c r="D220" s="635">
        <v>4500159588</v>
      </c>
      <c r="E220" s="659" t="s">
        <v>1283</v>
      </c>
      <c r="F220" s="636" t="s">
        <v>1284</v>
      </c>
      <c r="G220" s="637" t="s">
        <v>241</v>
      </c>
      <c r="H220" s="637" t="s">
        <v>99</v>
      </c>
      <c r="I220" s="638">
        <v>10340</v>
      </c>
      <c r="J220" s="638">
        <v>0</v>
      </c>
      <c r="K220" s="639">
        <v>11</v>
      </c>
      <c r="L220" s="639">
        <f t="shared" si="94"/>
        <v>940</v>
      </c>
      <c r="M220" s="641">
        <v>45824</v>
      </c>
      <c r="N220" s="641">
        <v>45820</v>
      </c>
      <c r="O220" s="641"/>
      <c r="P220" s="642" t="s">
        <v>100</v>
      </c>
      <c r="Q220" s="643"/>
      <c r="R220" s="642" t="s">
        <v>969</v>
      </c>
      <c r="S220" s="641"/>
      <c r="T220" s="641"/>
      <c r="U220" s="642" t="s">
        <v>113</v>
      </c>
      <c r="V220" s="677"/>
      <c r="W220" s="645"/>
      <c r="X220" s="647" t="s">
        <v>1285</v>
      </c>
      <c r="Y220" s="646" t="s">
        <v>1078</v>
      </c>
      <c r="Z220" s="648">
        <v>2.7106</v>
      </c>
      <c r="AA220" s="650">
        <f t="shared" si="110"/>
        <v>28027.604</v>
      </c>
      <c r="AB220" s="649">
        <f>10131+209</f>
        <v>10340</v>
      </c>
      <c r="AC220" s="649">
        <f t="shared" si="99"/>
        <v>0</v>
      </c>
      <c r="AD220" s="650" t="s">
        <v>113</v>
      </c>
      <c r="AE220" s="637" t="s">
        <v>241</v>
      </c>
      <c r="AF220" s="646" t="s">
        <v>107</v>
      </c>
      <c r="AG220" s="652" t="s">
        <v>43</v>
      </c>
      <c r="AH220" s="646"/>
      <c r="AI220" s="649"/>
      <c r="AJ220" s="649"/>
      <c r="AK220" s="649"/>
      <c r="AL220" s="652">
        <f t="shared" si="111"/>
        <v>10340</v>
      </c>
      <c r="AM220" s="652"/>
      <c r="AN220" s="649"/>
      <c r="AO220" s="649"/>
      <c r="AP220" s="649"/>
      <c r="AQ220" s="653"/>
      <c r="AR220" s="649"/>
      <c r="AS220" s="649"/>
      <c r="AT220" s="652">
        <f t="shared" si="112"/>
        <v>10340</v>
      </c>
      <c r="AU220" s="649"/>
      <c r="AV220" s="654"/>
      <c r="AW220" s="654"/>
      <c r="AX220" s="652">
        <f>I220/11</f>
        <v>940</v>
      </c>
      <c r="AY220" s="652"/>
      <c r="AZ220" s="654"/>
      <c r="BA220" s="652"/>
      <c r="BB220" s="652"/>
      <c r="BC220" s="654"/>
      <c r="BD220" s="654"/>
      <c r="BE220" s="654"/>
      <c r="BF220" s="654"/>
      <c r="BG220" s="652"/>
      <c r="BH220" s="652"/>
      <c r="BI220" s="654"/>
      <c r="BJ220" s="654"/>
      <c r="BK220" s="654"/>
      <c r="BL220" s="654"/>
      <c r="BM220" s="654"/>
      <c r="BN220" s="654"/>
      <c r="BO220" s="654"/>
      <c r="BP220" s="654"/>
      <c r="BQ220" s="654"/>
      <c r="BR220" s="654"/>
      <c r="BS220" s="654"/>
      <c r="BT220" s="654"/>
      <c r="BU220" s="654"/>
      <c r="BV220" s="654"/>
      <c r="BW220" s="645" t="s">
        <v>109</v>
      </c>
      <c r="BX220" s="658">
        <f>I220/22*5</f>
        <v>2350</v>
      </c>
      <c r="BY220" s="658">
        <f>I220/22*6</f>
        <v>2820</v>
      </c>
      <c r="BZ220" s="658">
        <f>I220/22*6</f>
        <v>2820</v>
      </c>
      <c r="CA220" s="658">
        <f>I220/22*5</f>
        <v>2350</v>
      </c>
      <c r="CB220" s="644">
        <f t="shared" ref="CB220:CB266" si="113">I220</f>
        <v>10340</v>
      </c>
      <c r="CC220" s="658">
        <f>I220/11</f>
        <v>940</v>
      </c>
      <c r="CD220" s="644">
        <f t="shared" si="96"/>
        <v>10340</v>
      </c>
      <c r="CE220" s="644">
        <f t="shared" si="97"/>
        <v>0</v>
      </c>
    </row>
    <row r="221" s="338" customFormat="1" ht="40" customHeight="1" spans="1:83">
      <c r="A221" s="632">
        <v>45727</v>
      </c>
      <c r="B221" s="633" t="s">
        <v>1074</v>
      </c>
      <c r="C221" s="634" t="s">
        <v>380</v>
      </c>
      <c r="D221" s="635">
        <v>4500159588</v>
      </c>
      <c r="E221" s="659" t="s">
        <v>1286</v>
      </c>
      <c r="F221" s="636" t="s">
        <v>1287</v>
      </c>
      <c r="G221" s="637" t="s">
        <v>241</v>
      </c>
      <c r="H221" s="637" t="s">
        <v>99</v>
      </c>
      <c r="I221" s="638">
        <v>10340</v>
      </c>
      <c r="J221" s="638">
        <v>0</v>
      </c>
      <c r="K221" s="639">
        <v>11</v>
      </c>
      <c r="L221" s="639">
        <f t="shared" ref="L221:L284" si="114">I221/K221</f>
        <v>940</v>
      </c>
      <c r="M221" s="641">
        <v>45824</v>
      </c>
      <c r="N221" s="641">
        <v>45820</v>
      </c>
      <c r="O221" s="641"/>
      <c r="P221" s="642" t="s">
        <v>100</v>
      </c>
      <c r="Q221" s="643"/>
      <c r="R221" s="642" t="s">
        <v>969</v>
      </c>
      <c r="S221" s="641"/>
      <c r="T221" s="641"/>
      <c r="U221" s="642" t="s">
        <v>113</v>
      </c>
      <c r="V221" s="677"/>
      <c r="W221" s="645"/>
      <c r="X221" s="647" t="s">
        <v>1285</v>
      </c>
      <c r="Y221" s="646" t="s">
        <v>1078</v>
      </c>
      <c r="Z221" s="648">
        <v>2.7106</v>
      </c>
      <c r="AA221" s="650">
        <f t="shared" si="110"/>
        <v>28027.604</v>
      </c>
      <c r="AB221" s="649">
        <f>7920+2420</f>
        <v>10340</v>
      </c>
      <c r="AC221" s="649">
        <f t="shared" si="99"/>
        <v>0</v>
      </c>
      <c r="AD221" s="650" t="s">
        <v>113</v>
      </c>
      <c r="AE221" s="637" t="s">
        <v>241</v>
      </c>
      <c r="AF221" s="646" t="s">
        <v>107</v>
      </c>
      <c r="AG221" s="652" t="s">
        <v>43</v>
      </c>
      <c r="AH221" s="646"/>
      <c r="AI221" s="649"/>
      <c r="AJ221" s="649"/>
      <c r="AK221" s="649"/>
      <c r="AL221" s="652">
        <f t="shared" si="111"/>
        <v>10340</v>
      </c>
      <c r="AM221" s="652"/>
      <c r="AN221" s="649"/>
      <c r="AO221" s="649"/>
      <c r="AP221" s="649"/>
      <c r="AQ221" s="653"/>
      <c r="AR221" s="649"/>
      <c r="AS221" s="649"/>
      <c r="AT221" s="652">
        <f t="shared" si="112"/>
        <v>10340</v>
      </c>
      <c r="AU221" s="649"/>
      <c r="AV221" s="654"/>
      <c r="AW221" s="654"/>
      <c r="AX221" s="652">
        <f>I221/11</f>
        <v>940</v>
      </c>
      <c r="AY221" s="652"/>
      <c r="AZ221" s="654"/>
      <c r="BA221" s="652"/>
      <c r="BB221" s="652"/>
      <c r="BC221" s="654"/>
      <c r="BD221" s="654"/>
      <c r="BE221" s="654"/>
      <c r="BF221" s="654"/>
      <c r="BG221" s="652"/>
      <c r="BH221" s="652"/>
      <c r="BI221" s="654"/>
      <c r="BJ221" s="654"/>
      <c r="BK221" s="654"/>
      <c r="BL221" s="654"/>
      <c r="BM221" s="654"/>
      <c r="BN221" s="654"/>
      <c r="BO221" s="654"/>
      <c r="BP221" s="654"/>
      <c r="BQ221" s="654"/>
      <c r="BR221" s="654"/>
      <c r="BS221" s="654"/>
      <c r="BT221" s="654"/>
      <c r="BU221" s="654"/>
      <c r="BV221" s="654"/>
      <c r="BW221" s="645" t="s">
        <v>109</v>
      </c>
      <c r="BX221" s="658">
        <f>I221/22*5</f>
        <v>2350</v>
      </c>
      <c r="BY221" s="658">
        <f>I221/22*6</f>
        <v>2820</v>
      </c>
      <c r="BZ221" s="658">
        <f>I221/22*6</f>
        <v>2820</v>
      </c>
      <c r="CA221" s="658">
        <f>I221/22*5</f>
        <v>2350</v>
      </c>
      <c r="CB221" s="644">
        <f t="shared" si="113"/>
        <v>10340</v>
      </c>
      <c r="CC221" s="658">
        <f>I221/11</f>
        <v>940</v>
      </c>
      <c r="CD221" s="644">
        <f t="shared" si="96"/>
        <v>10340</v>
      </c>
      <c r="CE221" s="644">
        <f t="shared" si="97"/>
        <v>0</v>
      </c>
    </row>
    <row r="222" s="338" customFormat="1" ht="40" customHeight="1" spans="1:83">
      <c r="A222" s="632">
        <v>45777</v>
      </c>
      <c r="B222" s="633" t="s">
        <v>379</v>
      </c>
      <c r="C222" s="634" t="s">
        <v>380</v>
      </c>
      <c r="D222" s="635">
        <v>4500165439</v>
      </c>
      <c r="E222" s="659" t="s">
        <v>1288</v>
      </c>
      <c r="F222" s="636" t="s">
        <v>1289</v>
      </c>
      <c r="G222" s="637" t="s">
        <v>395</v>
      </c>
      <c r="H222" s="637" t="s">
        <v>384</v>
      </c>
      <c r="I222" s="638">
        <v>504</v>
      </c>
      <c r="J222" s="638">
        <v>0</v>
      </c>
      <c r="K222" s="639">
        <v>24</v>
      </c>
      <c r="L222" s="639">
        <f t="shared" si="114"/>
        <v>21</v>
      </c>
      <c r="M222" s="641">
        <v>45825</v>
      </c>
      <c r="N222" s="641">
        <v>45821</v>
      </c>
      <c r="O222" s="641"/>
      <c r="P222" s="642" t="s">
        <v>100</v>
      </c>
      <c r="Q222" s="643" t="s">
        <v>1290</v>
      </c>
      <c r="R222" s="642" t="s">
        <v>993</v>
      </c>
      <c r="S222" s="641"/>
      <c r="T222" s="641"/>
      <c r="U222" s="642" t="s">
        <v>1291</v>
      </c>
      <c r="V222" s="677" t="s">
        <v>1247</v>
      </c>
      <c r="W222" s="645" t="s">
        <v>1292</v>
      </c>
      <c r="X222" s="647" t="s">
        <v>1293</v>
      </c>
      <c r="Y222" s="646" t="s">
        <v>175</v>
      </c>
      <c r="Z222" s="648">
        <v>2.5421</v>
      </c>
      <c r="AA222" s="650">
        <f t="shared" si="110"/>
        <v>1281.2184</v>
      </c>
      <c r="AB222" s="649">
        <v>504</v>
      </c>
      <c r="AC222" s="649">
        <f t="shared" si="99"/>
        <v>0</v>
      </c>
      <c r="AD222" s="650" t="s">
        <v>106</v>
      </c>
      <c r="AE222" s="637" t="s">
        <v>193</v>
      </c>
      <c r="AF222" s="646" t="s">
        <v>107</v>
      </c>
      <c r="AG222" s="652" t="s">
        <v>43</v>
      </c>
      <c r="AH222" s="646"/>
      <c r="AI222" s="649"/>
      <c r="AJ222" s="649"/>
      <c r="AK222" s="649"/>
      <c r="AL222" s="649"/>
      <c r="AM222" s="649"/>
      <c r="AN222" s="649"/>
      <c r="AO222" s="649">
        <f>I222</f>
        <v>504</v>
      </c>
      <c r="AP222" s="649"/>
      <c r="AQ222" s="653"/>
      <c r="AR222" s="649"/>
      <c r="AS222" s="649"/>
      <c r="AT222" s="652">
        <f t="shared" si="112"/>
        <v>504</v>
      </c>
      <c r="AU222" s="649"/>
      <c r="AV222" s="654"/>
      <c r="AW222" s="654"/>
      <c r="AX222" s="652"/>
      <c r="AY222" s="652"/>
      <c r="AZ222" s="654"/>
      <c r="BA222" s="652"/>
      <c r="BB222" s="652"/>
      <c r="BC222" s="654"/>
      <c r="BD222" s="654"/>
      <c r="BE222" s="654"/>
      <c r="BF222" s="654"/>
      <c r="BG222" s="652"/>
      <c r="BH222" s="652"/>
      <c r="BI222" s="654"/>
      <c r="BJ222" s="654"/>
      <c r="BK222" s="654"/>
      <c r="BL222" s="654"/>
      <c r="BM222" s="654"/>
      <c r="BN222" s="654"/>
      <c r="BO222" s="654"/>
      <c r="BP222" s="654"/>
      <c r="BQ222" s="654"/>
      <c r="BR222" s="654"/>
      <c r="BS222" s="654"/>
      <c r="BT222" s="654"/>
      <c r="BU222" s="654"/>
      <c r="BV222" s="654"/>
      <c r="BW222" s="645"/>
      <c r="BX222" s="658">
        <f>I222</f>
        <v>504</v>
      </c>
      <c r="BY222" s="658"/>
      <c r="BZ222" s="658"/>
      <c r="CA222" s="658"/>
      <c r="CB222" s="644">
        <f t="shared" si="113"/>
        <v>504</v>
      </c>
      <c r="CC222" s="658"/>
      <c r="CD222" s="644">
        <f t="shared" si="96"/>
        <v>504</v>
      </c>
      <c r="CE222" s="644">
        <f t="shared" si="97"/>
        <v>0</v>
      </c>
    </row>
    <row r="223" s="338" customFormat="1" ht="40" customHeight="1" spans="1:83">
      <c r="A223" s="632">
        <v>45777</v>
      </c>
      <c r="B223" s="633" t="s">
        <v>379</v>
      </c>
      <c r="C223" s="634" t="s">
        <v>380</v>
      </c>
      <c r="D223" s="635">
        <v>4500165439</v>
      </c>
      <c r="E223" s="659" t="s">
        <v>1294</v>
      </c>
      <c r="F223" s="636" t="s">
        <v>1295</v>
      </c>
      <c r="G223" s="637" t="s">
        <v>582</v>
      </c>
      <c r="H223" s="637" t="s">
        <v>384</v>
      </c>
      <c r="I223" s="638">
        <v>504</v>
      </c>
      <c r="J223" s="638">
        <v>0</v>
      </c>
      <c r="K223" s="639">
        <v>24</v>
      </c>
      <c r="L223" s="639">
        <f t="shared" si="114"/>
        <v>21</v>
      </c>
      <c r="M223" s="641">
        <v>45825</v>
      </c>
      <c r="N223" s="641">
        <v>45821</v>
      </c>
      <c r="O223" s="641"/>
      <c r="P223" s="642" t="s">
        <v>100</v>
      </c>
      <c r="Q223" s="643" t="s">
        <v>1290</v>
      </c>
      <c r="R223" s="642" t="s">
        <v>993</v>
      </c>
      <c r="S223" s="641"/>
      <c r="T223" s="641"/>
      <c r="U223" s="642" t="s">
        <v>1291</v>
      </c>
      <c r="V223" s="677" t="s">
        <v>1247</v>
      </c>
      <c r="W223" s="645" t="s">
        <v>1292</v>
      </c>
      <c r="X223" s="647" t="s">
        <v>1296</v>
      </c>
      <c r="Y223" s="646" t="s">
        <v>175</v>
      </c>
      <c r="Z223" s="648">
        <v>2.6249</v>
      </c>
      <c r="AA223" s="650">
        <f t="shared" si="110"/>
        <v>1322.9496</v>
      </c>
      <c r="AB223" s="649">
        <v>504</v>
      </c>
      <c r="AC223" s="649">
        <f t="shared" si="99"/>
        <v>0</v>
      </c>
      <c r="AD223" s="650" t="s">
        <v>106</v>
      </c>
      <c r="AE223" s="661" t="s">
        <v>190</v>
      </c>
      <c r="AF223" s="646" t="s">
        <v>107</v>
      </c>
      <c r="AG223" s="652" t="s">
        <v>43</v>
      </c>
      <c r="AH223" s="646" t="s">
        <v>1297</v>
      </c>
      <c r="AI223" s="649"/>
      <c r="AJ223" s="649"/>
      <c r="AK223" s="649"/>
      <c r="AL223" s="649"/>
      <c r="AM223" s="649"/>
      <c r="AN223" s="649"/>
      <c r="AO223" s="649">
        <f>I223</f>
        <v>504</v>
      </c>
      <c r="AP223" s="649"/>
      <c r="AQ223" s="653"/>
      <c r="AR223" s="649"/>
      <c r="AS223" s="649"/>
      <c r="AT223" s="652">
        <f t="shared" si="112"/>
        <v>504</v>
      </c>
      <c r="AU223" s="649"/>
      <c r="AV223" s="654"/>
      <c r="AW223" s="654"/>
      <c r="AX223" s="652"/>
      <c r="AY223" s="652"/>
      <c r="AZ223" s="654"/>
      <c r="BA223" s="652"/>
      <c r="BB223" s="652"/>
      <c r="BC223" s="654"/>
      <c r="BD223" s="654"/>
      <c r="BE223" s="654"/>
      <c r="BF223" s="654"/>
      <c r="BG223" s="652"/>
      <c r="BH223" s="652"/>
      <c r="BI223" s="654"/>
      <c r="BJ223" s="654"/>
      <c r="BK223" s="654"/>
      <c r="BL223" s="654"/>
      <c r="BM223" s="654"/>
      <c r="BN223" s="654"/>
      <c r="BO223" s="654"/>
      <c r="BP223" s="654"/>
      <c r="BQ223" s="654"/>
      <c r="BR223" s="654"/>
      <c r="BS223" s="654"/>
      <c r="BT223" s="654"/>
      <c r="BU223" s="654"/>
      <c r="BV223" s="654"/>
      <c r="BW223" s="645"/>
      <c r="BX223" s="658"/>
      <c r="BY223" s="658"/>
      <c r="BZ223" s="658"/>
      <c r="CA223" s="658">
        <f>I223</f>
        <v>504</v>
      </c>
      <c r="CB223" s="644">
        <f t="shared" si="113"/>
        <v>504</v>
      </c>
      <c r="CC223" s="644"/>
      <c r="CD223" s="644">
        <f t="shared" si="96"/>
        <v>504</v>
      </c>
      <c r="CE223" s="644">
        <f t="shared" si="97"/>
        <v>0</v>
      </c>
    </row>
    <row r="224" s="338" customFormat="1" ht="40" customHeight="1" spans="1:83">
      <c r="A224" s="632">
        <v>45777</v>
      </c>
      <c r="B224" s="633" t="s">
        <v>379</v>
      </c>
      <c r="C224" s="634" t="s">
        <v>380</v>
      </c>
      <c r="D224" s="635">
        <v>4500165439</v>
      </c>
      <c r="E224" s="659" t="s">
        <v>1298</v>
      </c>
      <c r="F224" s="636" t="s">
        <v>1299</v>
      </c>
      <c r="G224" s="637" t="s">
        <v>383</v>
      </c>
      <c r="H224" s="637" t="s">
        <v>384</v>
      </c>
      <c r="I224" s="638">
        <v>552</v>
      </c>
      <c r="J224" s="638">
        <v>0</v>
      </c>
      <c r="K224" s="639">
        <v>24</v>
      </c>
      <c r="L224" s="639">
        <f t="shared" si="114"/>
        <v>23</v>
      </c>
      <c r="M224" s="641">
        <v>45825</v>
      </c>
      <c r="N224" s="641">
        <v>45821</v>
      </c>
      <c r="O224" s="641"/>
      <c r="P224" s="642" t="s">
        <v>100</v>
      </c>
      <c r="Q224" s="643" t="s">
        <v>1290</v>
      </c>
      <c r="R224" s="642" t="s">
        <v>993</v>
      </c>
      <c r="S224" s="641"/>
      <c r="T224" s="641"/>
      <c r="U224" s="642" t="s">
        <v>1291</v>
      </c>
      <c r="V224" s="677" t="s">
        <v>1247</v>
      </c>
      <c r="W224" s="645" t="s">
        <v>1292</v>
      </c>
      <c r="X224" s="647" t="s">
        <v>1300</v>
      </c>
      <c r="Y224" s="646" t="s">
        <v>175</v>
      </c>
      <c r="Z224" s="648">
        <v>2.5421</v>
      </c>
      <c r="AA224" s="650">
        <f t="shared" si="110"/>
        <v>1403.2392</v>
      </c>
      <c r="AB224" s="649">
        <v>552</v>
      </c>
      <c r="AC224" s="649">
        <f t="shared" si="99"/>
        <v>0</v>
      </c>
      <c r="AD224" s="650" t="s">
        <v>106</v>
      </c>
      <c r="AE224" s="637" t="s">
        <v>880</v>
      </c>
      <c r="AF224" s="646" t="s">
        <v>107</v>
      </c>
      <c r="AG224" s="652" t="s">
        <v>43</v>
      </c>
      <c r="AH224" s="646" t="s">
        <v>1297</v>
      </c>
      <c r="AI224" s="649"/>
      <c r="AJ224" s="649"/>
      <c r="AK224" s="649"/>
      <c r="AL224" s="649"/>
      <c r="AM224" s="649"/>
      <c r="AN224" s="649"/>
      <c r="AO224" s="649">
        <f>I224</f>
        <v>552</v>
      </c>
      <c r="AP224" s="649"/>
      <c r="AQ224" s="653"/>
      <c r="AR224" s="649"/>
      <c r="AS224" s="649"/>
      <c r="AT224" s="652">
        <f t="shared" si="112"/>
        <v>552</v>
      </c>
      <c r="AU224" s="649"/>
      <c r="AV224" s="654"/>
      <c r="AW224" s="654"/>
      <c r="AX224" s="652"/>
      <c r="AY224" s="652"/>
      <c r="AZ224" s="654"/>
      <c r="BA224" s="652"/>
      <c r="BB224" s="652"/>
      <c r="BC224" s="654"/>
      <c r="BD224" s="654"/>
      <c r="BE224" s="654"/>
      <c r="BF224" s="654"/>
      <c r="BG224" s="652"/>
      <c r="BH224" s="652"/>
      <c r="BI224" s="654"/>
      <c r="BJ224" s="654"/>
      <c r="BK224" s="654"/>
      <c r="BL224" s="654"/>
      <c r="BM224" s="654"/>
      <c r="BN224" s="654"/>
      <c r="BO224" s="654"/>
      <c r="BP224" s="654"/>
      <c r="BQ224" s="654"/>
      <c r="BR224" s="654"/>
      <c r="BS224" s="654"/>
      <c r="BT224" s="654"/>
      <c r="BU224" s="654"/>
      <c r="BV224" s="654"/>
      <c r="BW224" s="645"/>
      <c r="BX224" s="658"/>
      <c r="BY224" s="658">
        <f>I224</f>
        <v>552</v>
      </c>
      <c r="BZ224" s="658"/>
      <c r="CA224" s="658"/>
      <c r="CB224" s="644">
        <f t="shared" si="113"/>
        <v>552</v>
      </c>
      <c r="CC224" s="658"/>
      <c r="CD224" s="644">
        <f t="shared" si="96"/>
        <v>552</v>
      </c>
      <c r="CE224" s="644">
        <f t="shared" si="97"/>
        <v>0</v>
      </c>
    </row>
    <row r="225" s="338" customFormat="1" ht="40" customHeight="1" spans="1:83">
      <c r="A225" s="632">
        <v>45776</v>
      </c>
      <c r="B225" s="633" t="s">
        <v>1301</v>
      </c>
      <c r="C225" s="634" t="s">
        <v>590</v>
      </c>
      <c r="D225" s="635">
        <v>4500165307</v>
      </c>
      <c r="E225" s="659">
        <v>4041650918</v>
      </c>
      <c r="F225" s="636" t="s">
        <v>1302</v>
      </c>
      <c r="G225" s="637" t="s">
        <v>241</v>
      </c>
      <c r="H225" s="637" t="s">
        <v>99</v>
      </c>
      <c r="I225" s="638">
        <v>1001</v>
      </c>
      <c r="J225" s="638">
        <v>0</v>
      </c>
      <c r="K225" s="639">
        <v>11</v>
      </c>
      <c r="L225" s="639">
        <f t="shared" si="114"/>
        <v>91</v>
      </c>
      <c r="M225" s="641">
        <v>45825</v>
      </c>
      <c r="N225" s="641">
        <v>45821</v>
      </c>
      <c r="O225" s="641"/>
      <c r="P225" s="642" t="s">
        <v>100</v>
      </c>
      <c r="Q225" s="643" t="s">
        <v>1161</v>
      </c>
      <c r="R225" s="642" t="s">
        <v>1255</v>
      </c>
      <c r="S225" s="641"/>
      <c r="T225" s="641"/>
      <c r="U225" s="642" t="s">
        <v>1303</v>
      </c>
      <c r="V225" s="677"/>
      <c r="W225" s="645" t="s">
        <v>1304</v>
      </c>
      <c r="X225" s="647" t="s">
        <v>1305</v>
      </c>
      <c r="Y225" s="646" t="s">
        <v>1029</v>
      </c>
      <c r="Z225" s="648">
        <v>2.7106</v>
      </c>
      <c r="AA225" s="650">
        <f t="shared" si="110"/>
        <v>2713.3106</v>
      </c>
      <c r="AB225" s="649">
        <v>1001</v>
      </c>
      <c r="AC225" s="649">
        <f t="shared" si="99"/>
        <v>0</v>
      </c>
      <c r="AD225" s="650" t="s">
        <v>106</v>
      </c>
      <c r="AE225" s="637" t="s">
        <v>1264</v>
      </c>
      <c r="AF225" s="646" t="s">
        <v>107</v>
      </c>
      <c r="AG225" s="652" t="s">
        <v>43</v>
      </c>
      <c r="AH225" s="646" t="s">
        <v>1306</v>
      </c>
      <c r="AI225" s="649"/>
      <c r="AJ225" s="649"/>
      <c r="AK225" s="649"/>
      <c r="AL225" s="649"/>
      <c r="AM225" s="649"/>
      <c r="AN225" s="649"/>
      <c r="AO225" s="649">
        <f>I225</f>
        <v>1001</v>
      </c>
      <c r="AP225" s="649"/>
      <c r="AQ225" s="653"/>
      <c r="AR225" s="649"/>
      <c r="AS225" s="649"/>
      <c r="AT225" s="649"/>
      <c r="AU225" s="649"/>
      <c r="AV225" s="652">
        <f>I225</f>
        <v>1001</v>
      </c>
      <c r="AW225" s="654"/>
      <c r="AX225" s="652"/>
      <c r="AY225" s="652"/>
      <c r="AZ225" s="654"/>
      <c r="BA225" s="652">
        <f>I225/11</f>
        <v>91</v>
      </c>
      <c r="BB225" s="652"/>
      <c r="BC225" s="654"/>
      <c r="BD225" s="654"/>
      <c r="BE225" s="654"/>
      <c r="BF225" s="654"/>
      <c r="BG225" s="652"/>
      <c r="BH225" s="652"/>
      <c r="BI225" s="654"/>
      <c r="BJ225" s="654"/>
      <c r="BK225" s="654"/>
      <c r="BL225" s="654"/>
      <c r="BM225" s="654"/>
      <c r="BN225" s="654"/>
      <c r="BO225" s="654"/>
      <c r="BP225" s="654"/>
      <c r="BQ225" s="654"/>
      <c r="BR225" s="654"/>
      <c r="BS225" s="654"/>
      <c r="BT225" s="654"/>
      <c r="BU225" s="654"/>
      <c r="BV225" s="654"/>
      <c r="BW225" s="645" t="s">
        <v>109</v>
      </c>
      <c r="BX225" s="658">
        <f>I225/22*5</f>
        <v>227.5</v>
      </c>
      <c r="BY225" s="658">
        <f>I225/22*6</f>
        <v>273</v>
      </c>
      <c r="BZ225" s="658">
        <f>I225/22*6</f>
        <v>273</v>
      </c>
      <c r="CA225" s="658">
        <f>I225/22*5</f>
        <v>227.5</v>
      </c>
      <c r="CB225" s="644">
        <f t="shared" si="113"/>
        <v>1001</v>
      </c>
      <c r="CC225" s="658">
        <f>I225/11</f>
        <v>91</v>
      </c>
      <c r="CD225" s="644">
        <f t="shared" si="96"/>
        <v>1001</v>
      </c>
      <c r="CE225" s="644">
        <f t="shared" si="97"/>
        <v>0</v>
      </c>
    </row>
    <row r="226" s="338" customFormat="1" ht="40" customHeight="1" spans="1:83">
      <c r="A226" s="632">
        <v>45789</v>
      </c>
      <c r="B226" s="633" t="s">
        <v>949</v>
      </c>
      <c r="C226" s="634" t="s">
        <v>380</v>
      </c>
      <c r="D226" s="635">
        <v>4500166127</v>
      </c>
      <c r="E226" s="659" t="s">
        <v>1307</v>
      </c>
      <c r="F226" s="636" t="s">
        <v>1308</v>
      </c>
      <c r="G226" s="637" t="s">
        <v>952</v>
      </c>
      <c r="H226" s="637" t="s">
        <v>99</v>
      </c>
      <c r="I226" s="638">
        <v>506</v>
      </c>
      <c r="J226" s="638">
        <v>11</v>
      </c>
      <c r="K226" s="639">
        <v>22</v>
      </c>
      <c r="L226" s="639">
        <f t="shared" si="114"/>
        <v>23</v>
      </c>
      <c r="M226" s="641">
        <v>45826</v>
      </c>
      <c r="N226" s="641">
        <v>45822</v>
      </c>
      <c r="O226" s="641"/>
      <c r="P226" s="642" t="s">
        <v>100</v>
      </c>
      <c r="Q226" s="643" t="s">
        <v>1309</v>
      </c>
      <c r="R226" s="642" t="s">
        <v>1310</v>
      </c>
      <c r="S226" s="641"/>
      <c r="T226" s="641"/>
      <c r="U226" s="642" t="s">
        <v>1311</v>
      </c>
      <c r="V226" s="677"/>
      <c r="W226" s="645"/>
      <c r="X226" s="647" t="s">
        <v>1312</v>
      </c>
      <c r="Y226" s="646" t="s">
        <v>1313</v>
      </c>
      <c r="Z226" s="648">
        <v>2.8552</v>
      </c>
      <c r="AA226" s="650">
        <f t="shared" si="110"/>
        <v>1444.7312</v>
      </c>
      <c r="AB226" s="649">
        <v>506</v>
      </c>
      <c r="AC226" s="649">
        <f t="shared" si="99"/>
        <v>0</v>
      </c>
      <c r="AD226" s="650" t="s">
        <v>106</v>
      </c>
      <c r="AE226" s="637" t="s">
        <v>952</v>
      </c>
      <c r="AF226" s="646" t="s">
        <v>107</v>
      </c>
      <c r="AG226" s="652" t="s">
        <v>43</v>
      </c>
      <c r="AH226" s="646"/>
      <c r="AI226" s="649"/>
      <c r="AJ226" s="649"/>
      <c r="AK226" s="649"/>
      <c r="AL226" s="652">
        <f>I226</f>
        <v>506</v>
      </c>
      <c r="AM226" s="652"/>
      <c r="AN226" s="649"/>
      <c r="AO226" s="649"/>
      <c r="AP226" s="649"/>
      <c r="AQ226" s="653"/>
      <c r="AR226" s="649"/>
      <c r="AS226" s="649"/>
      <c r="AT226" s="652">
        <f t="shared" ref="AT226:AT231" si="115">I226</f>
        <v>506</v>
      </c>
      <c r="AU226" s="649"/>
      <c r="AV226" s="652"/>
      <c r="AW226" s="654"/>
      <c r="AX226" s="652">
        <f>I226/11</f>
        <v>46</v>
      </c>
      <c r="AY226" s="652"/>
      <c r="AZ226" s="654"/>
      <c r="BA226" s="652"/>
      <c r="BB226" s="652"/>
      <c r="BC226" s="654"/>
      <c r="BD226" s="654"/>
      <c r="BE226" s="654"/>
      <c r="BF226" s="654"/>
      <c r="BG226" s="652"/>
      <c r="BH226" s="652"/>
      <c r="BI226" s="654"/>
      <c r="BJ226" s="654"/>
      <c r="BK226" s="654"/>
      <c r="BL226" s="654"/>
      <c r="BM226" s="654"/>
      <c r="BN226" s="654"/>
      <c r="BO226" s="654"/>
      <c r="BP226" s="654"/>
      <c r="BQ226" s="654"/>
      <c r="BR226" s="654"/>
      <c r="BS226" s="654"/>
      <c r="BT226" s="654"/>
      <c r="BU226" s="654"/>
      <c r="BV226" s="654"/>
      <c r="BW226" s="645" t="s">
        <v>109</v>
      </c>
      <c r="BX226" s="658">
        <f>I226/22*5</f>
        <v>115</v>
      </c>
      <c r="BY226" s="658">
        <f>I226/22*6</f>
        <v>138</v>
      </c>
      <c r="BZ226" s="658">
        <f>I226/22*6</f>
        <v>138</v>
      </c>
      <c r="CA226" s="658">
        <f>I226/22*5</f>
        <v>115</v>
      </c>
      <c r="CB226" s="644">
        <f t="shared" si="113"/>
        <v>506</v>
      </c>
      <c r="CC226" s="658">
        <f>I226/11</f>
        <v>46</v>
      </c>
      <c r="CD226" s="644">
        <f t="shared" si="96"/>
        <v>506</v>
      </c>
      <c r="CE226" s="644">
        <f t="shared" si="97"/>
        <v>0</v>
      </c>
    </row>
    <row r="227" s="338" customFormat="1" ht="40" customHeight="1" spans="1:83">
      <c r="A227" s="632">
        <v>45789</v>
      </c>
      <c r="B227" s="633" t="s">
        <v>555</v>
      </c>
      <c r="C227" s="634" t="s">
        <v>556</v>
      </c>
      <c r="D227" s="635">
        <v>4500165851</v>
      </c>
      <c r="E227" s="659" t="s">
        <v>1314</v>
      </c>
      <c r="F227" s="636" t="s">
        <v>1315</v>
      </c>
      <c r="G227" s="637" t="s">
        <v>111</v>
      </c>
      <c r="H227" s="637" t="s">
        <v>99</v>
      </c>
      <c r="I227" s="638">
        <v>264</v>
      </c>
      <c r="J227" s="638">
        <v>0</v>
      </c>
      <c r="K227" s="639">
        <v>22</v>
      </c>
      <c r="L227" s="639">
        <f t="shared" si="114"/>
        <v>12</v>
      </c>
      <c r="M227" s="641">
        <v>45828</v>
      </c>
      <c r="N227" s="641">
        <v>45824</v>
      </c>
      <c r="O227" s="641"/>
      <c r="P227" s="642" t="s">
        <v>100</v>
      </c>
      <c r="Q227" s="643" t="s">
        <v>1316</v>
      </c>
      <c r="R227" s="642" t="s">
        <v>1317</v>
      </c>
      <c r="S227" s="641"/>
      <c r="T227" s="641"/>
      <c r="U227" s="642" t="s">
        <v>1318</v>
      </c>
      <c r="V227" s="677"/>
      <c r="W227" s="645"/>
      <c r="X227" s="647" t="s">
        <v>1319</v>
      </c>
      <c r="Y227" s="646" t="s">
        <v>1320</v>
      </c>
      <c r="Z227" s="648">
        <v>2.7311</v>
      </c>
      <c r="AA227" s="650">
        <f t="shared" si="110"/>
        <v>721.0104</v>
      </c>
      <c r="AB227" s="649">
        <v>264</v>
      </c>
      <c r="AC227" s="649">
        <f t="shared" si="99"/>
        <v>0</v>
      </c>
      <c r="AD227" s="650" t="s">
        <v>123</v>
      </c>
      <c r="AE227" s="637" t="s">
        <v>111</v>
      </c>
      <c r="AF227" s="646" t="s">
        <v>107</v>
      </c>
      <c r="AG227" s="652" t="s">
        <v>43</v>
      </c>
      <c r="AH227" s="646"/>
      <c r="AI227" s="649"/>
      <c r="AJ227" s="649"/>
      <c r="AK227" s="649"/>
      <c r="AL227" s="652">
        <f>I227</f>
        <v>264</v>
      </c>
      <c r="AM227" s="652"/>
      <c r="AN227" s="649"/>
      <c r="AO227" s="649"/>
      <c r="AP227" s="649"/>
      <c r="AQ227" s="653"/>
      <c r="AR227" s="649"/>
      <c r="AS227" s="649"/>
      <c r="AT227" s="652">
        <f t="shared" si="115"/>
        <v>264</v>
      </c>
      <c r="AU227" s="649"/>
      <c r="AV227" s="652"/>
      <c r="AW227" s="654"/>
      <c r="AX227" s="652">
        <f>I227/11</f>
        <v>24</v>
      </c>
      <c r="AY227" s="652"/>
      <c r="AZ227" s="654"/>
      <c r="BA227" s="652"/>
      <c r="BB227" s="652"/>
      <c r="BC227" s="654"/>
      <c r="BD227" s="654"/>
      <c r="BE227" s="654"/>
      <c r="BF227" s="654"/>
      <c r="BG227" s="652"/>
      <c r="BH227" s="652"/>
      <c r="BI227" s="654"/>
      <c r="BJ227" s="654"/>
      <c r="BK227" s="654"/>
      <c r="BL227" s="654"/>
      <c r="BM227" s="654"/>
      <c r="BN227" s="654"/>
      <c r="BO227" s="654"/>
      <c r="BP227" s="654"/>
      <c r="BQ227" s="654"/>
      <c r="BR227" s="654"/>
      <c r="BS227" s="654"/>
      <c r="BT227" s="654"/>
      <c r="BU227" s="654"/>
      <c r="BV227" s="654"/>
      <c r="BW227" s="645" t="s">
        <v>109</v>
      </c>
      <c r="BX227" s="658">
        <f>I227/22*5</f>
        <v>60</v>
      </c>
      <c r="BY227" s="658">
        <f>I227/22*6</f>
        <v>72</v>
      </c>
      <c r="BZ227" s="658">
        <f>I227/22*6</f>
        <v>72</v>
      </c>
      <c r="CA227" s="658">
        <f>I227/22*5</f>
        <v>60</v>
      </c>
      <c r="CB227" s="644">
        <f t="shared" si="113"/>
        <v>264</v>
      </c>
      <c r="CC227" s="658">
        <f>I227/11</f>
        <v>24</v>
      </c>
      <c r="CD227" s="644">
        <f t="shared" si="96"/>
        <v>264</v>
      </c>
      <c r="CE227" s="644">
        <f t="shared" si="97"/>
        <v>0</v>
      </c>
    </row>
    <row r="228" s="338" customFormat="1" ht="40" customHeight="1" spans="1:83">
      <c r="A228" s="632">
        <v>45768</v>
      </c>
      <c r="B228" s="633" t="s">
        <v>1321</v>
      </c>
      <c r="C228" s="634" t="s">
        <v>920</v>
      </c>
      <c r="D228" s="635">
        <v>4500164432</v>
      </c>
      <c r="E228" s="659" t="s">
        <v>1322</v>
      </c>
      <c r="F228" s="636" t="s">
        <v>1323</v>
      </c>
      <c r="G228" s="637" t="s">
        <v>111</v>
      </c>
      <c r="H228" s="637" t="s">
        <v>99</v>
      </c>
      <c r="I228" s="638">
        <v>1210</v>
      </c>
      <c r="J228" s="638">
        <v>0</v>
      </c>
      <c r="K228" s="639">
        <v>22</v>
      </c>
      <c r="L228" s="639">
        <f t="shared" si="114"/>
        <v>55</v>
      </c>
      <c r="M228" s="641">
        <v>45831</v>
      </c>
      <c r="N228" s="641">
        <v>45827</v>
      </c>
      <c r="O228" s="641"/>
      <c r="P228" s="642" t="s">
        <v>100</v>
      </c>
      <c r="Q228" s="643" t="s">
        <v>1324</v>
      </c>
      <c r="R228" s="642" t="s">
        <v>1120</v>
      </c>
      <c r="S228" s="641"/>
      <c r="T228" s="641"/>
      <c r="U228" s="642" t="s">
        <v>1187</v>
      </c>
      <c r="V228" s="677"/>
      <c r="W228" s="645"/>
      <c r="X228" s="647" t="s">
        <v>1325</v>
      </c>
      <c r="Y228" s="646" t="s">
        <v>281</v>
      </c>
      <c r="Z228" s="683">
        <v>2.7172</v>
      </c>
      <c r="AA228" s="650">
        <f t="shared" si="110"/>
        <v>3287.812</v>
      </c>
      <c r="AB228" s="649">
        <v>1210</v>
      </c>
      <c r="AC228" s="649">
        <f t="shared" si="99"/>
        <v>0</v>
      </c>
      <c r="AD228" s="650" t="s">
        <v>123</v>
      </c>
      <c r="AE228" s="637" t="s">
        <v>230</v>
      </c>
      <c r="AF228" s="646" t="s">
        <v>107</v>
      </c>
      <c r="AG228" s="652" t="s">
        <v>43</v>
      </c>
      <c r="AH228" s="646"/>
      <c r="AI228" s="649"/>
      <c r="AJ228" s="649"/>
      <c r="AK228" s="649"/>
      <c r="AL228" s="649"/>
      <c r="AM228" s="649"/>
      <c r="AN228" s="649"/>
      <c r="AO228" s="649">
        <v>2002</v>
      </c>
      <c r="AP228" s="649"/>
      <c r="AQ228" s="653"/>
      <c r="AR228" s="649"/>
      <c r="AS228" s="649"/>
      <c r="AT228" s="652">
        <f t="shared" si="115"/>
        <v>1210</v>
      </c>
      <c r="AU228" s="649"/>
      <c r="AV228" s="654"/>
      <c r="AW228" s="654"/>
      <c r="AX228" s="652"/>
      <c r="AY228" s="652"/>
      <c r="AZ228" s="654"/>
      <c r="BA228" s="652">
        <f>I228/11</f>
        <v>110</v>
      </c>
      <c r="BB228" s="652"/>
      <c r="BC228" s="654"/>
      <c r="BD228" s="654"/>
      <c r="BE228" s="654"/>
      <c r="BF228" s="654"/>
      <c r="BG228" s="652"/>
      <c r="BH228" s="652"/>
      <c r="BI228" s="654"/>
      <c r="BJ228" s="654"/>
      <c r="BK228" s="654"/>
      <c r="BL228" s="654"/>
      <c r="BM228" s="654"/>
      <c r="BN228" s="654"/>
      <c r="BO228" s="654"/>
      <c r="BP228" s="654"/>
      <c r="BQ228" s="654"/>
      <c r="BR228" s="654"/>
      <c r="BS228" s="654"/>
      <c r="BT228" s="654"/>
      <c r="BU228" s="654"/>
      <c r="BV228" s="654"/>
      <c r="BW228" s="645" t="s">
        <v>109</v>
      </c>
      <c r="BX228" s="658">
        <f>I228/22*5</f>
        <v>275</v>
      </c>
      <c r="BY228" s="658">
        <f>I228/22*6</f>
        <v>330</v>
      </c>
      <c r="BZ228" s="658">
        <f>I228/22*6</f>
        <v>330</v>
      </c>
      <c r="CA228" s="658">
        <f>I228/22*5</f>
        <v>275</v>
      </c>
      <c r="CB228" s="644">
        <f t="shared" si="113"/>
        <v>1210</v>
      </c>
      <c r="CC228" s="658">
        <f>I228/11</f>
        <v>110</v>
      </c>
      <c r="CD228" s="644">
        <f t="shared" si="96"/>
        <v>1210</v>
      </c>
      <c r="CE228" s="644">
        <f t="shared" si="97"/>
        <v>0</v>
      </c>
    </row>
    <row r="229" s="338" customFormat="1" ht="40" customHeight="1" spans="1:83">
      <c r="A229" s="632">
        <v>45799</v>
      </c>
      <c r="B229" s="633" t="s">
        <v>1326</v>
      </c>
      <c r="C229" s="659" t="s">
        <v>826</v>
      </c>
      <c r="D229" s="635">
        <v>4500167533</v>
      </c>
      <c r="E229" s="659"/>
      <c r="F229" s="636" t="s">
        <v>1327</v>
      </c>
      <c r="G229" s="659" t="s">
        <v>111</v>
      </c>
      <c r="H229" s="637" t="s">
        <v>99</v>
      </c>
      <c r="I229" s="638">
        <v>176</v>
      </c>
      <c r="J229" s="638">
        <v>0</v>
      </c>
      <c r="K229" s="639">
        <v>22</v>
      </c>
      <c r="L229" s="639">
        <f t="shared" si="114"/>
        <v>8</v>
      </c>
      <c r="M229" s="641">
        <v>45831</v>
      </c>
      <c r="N229" s="641">
        <v>45827</v>
      </c>
      <c r="O229" s="641"/>
      <c r="P229" s="642" t="s">
        <v>100</v>
      </c>
      <c r="Q229" s="643" t="s">
        <v>1260</v>
      </c>
      <c r="R229" s="642" t="s">
        <v>1328</v>
      </c>
      <c r="S229" s="641"/>
      <c r="T229" s="641"/>
      <c r="U229" s="642" t="s">
        <v>113</v>
      </c>
      <c r="V229" s="677"/>
      <c r="W229" s="645"/>
      <c r="X229" s="663" t="s">
        <v>1329</v>
      </c>
      <c r="Y229" s="639" t="s">
        <v>281</v>
      </c>
      <c r="Z229" s="683">
        <v>2.7311</v>
      </c>
      <c r="AA229" s="650">
        <f t="shared" si="110"/>
        <v>480.6736</v>
      </c>
      <c r="AB229" s="649">
        <v>176</v>
      </c>
      <c r="AC229" s="649">
        <f t="shared" si="99"/>
        <v>0</v>
      </c>
      <c r="AD229" s="642" t="s">
        <v>113</v>
      </c>
      <c r="AE229" s="637" t="s">
        <v>230</v>
      </c>
      <c r="AF229" s="646" t="s">
        <v>107</v>
      </c>
      <c r="AG229" s="652" t="s">
        <v>43</v>
      </c>
      <c r="AH229" s="646"/>
      <c r="AI229" s="649"/>
      <c r="AJ229" s="649"/>
      <c r="AK229" s="649"/>
      <c r="AL229" s="649"/>
      <c r="AM229" s="649"/>
      <c r="AN229" s="649"/>
      <c r="AO229" s="649">
        <f>I229</f>
        <v>176</v>
      </c>
      <c r="AP229" s="649"/>
      <c r="AQ229" s="653"/>
      <c r="AR229" s="649"/>
      <c r="AS229" s="649"/>
      <c r="AT229" s="652">
        <f t="shared" si="115"/>
        <v>176</v>
      </c>
      <c r="AU229" s="649"/>
      <c r="AV229" s="654"/>
      <c r="AW229" s="654"/>
      <c r="AX229" s="652"/>
      <c r="AY229" s="652"/>
      <c r="AZ229" s="654"/>
      <c r="BA229" s="652">
        <f>I229/11</f>
        <v>16</v>
      </c>
      <c r="BB229" s="652"/>
      <c r="BC229" s="654"/>
      <c r="BD229" s="654"/>
      <c r="BE229" s="654"/>
      <c r="BF229" s="654"/>
      <c r="BG229" s="652"/>
      <c r="BH229" s="652"/>
      <c r="BI229" s="654"/>
      <c r="BJ229" s="654"/>
      <c r="BK229" s="654"/>
      <c r="BL229" s="654"/>
      <c r="BM229" s="654"/>
      <c r="BN229" s="654"/>
      <c r="BO229" s="654"/>
      <c r="BP229" s="654"/>
      <c r="BQ229" s="654"/>
      <c r="BR229" s="654"/>
      <c r="BS229" s="654"/>
      <c r="BT229" s="654"/>
      <c r="BU229" s="654"/>
      <c r="BV229" s="654"/>
      <c r="BW229" s="645" t="s">
        <v>109</v>
      </c>
      <c r="BX229" s="658">
        <f t="shared" ref="BX229:BX240" si="116">I229/22*5</f>
        <v>40</v>
      </c>
      <c r="BY229" s="658">
        <f t="shared" ref="BY229:BY240" si="117">I229/22*6</f>
        <v>48</v>
      </c>
      <c r="BZ229" s="658">
        <f t="shared" ref="BZ229:BZ240" si="118">I229/22*6</f>
        <v>48</v>
      </c>
      <c r="CA229" s="658">
        <f t="shared" ref="CA229:CA240" si="119">I229/22*5</f>
        <v>40</v>
      </c>
      <c r="CB229" s="644">
        <f t="shared" si="113"/>
        <v>176</v>
      </c>
      <c r="CC229" s="658">
        <f t="shared" ref="CC229:CC240" si="120">I229/11</f>
        <v>16</v>
      </c>
      <c r="CD229" s="644">
        <f t="shared" si="96"/>
        <v>176</v>
      </c>
      <c r="CE229" s="644">
        <f t="shared" si="97"/>
        <v>0</v>
      </c>
    </row>
    <row r="230" s="338" customFormat="1" ht="40" customHeight="1" spans="1:83">
      <c r="A230" s="632">
        <v>45789</v>
      </c>
      <c r="B230" s="633" t="s">
        <v>956</v>
      </c>
      <c r="C230" s="659" t="s">
        <v>214</v>
      </c>
      <c r="D230" s="635">
        <v>4500168889</v>
      </c>
      <c r="E230" s="659">
        <v>217457772</v>
      </c>
      <c r="F230" s="636" t="s">
        <v>1330</v>
      </c>
      <c r="G230" s="659" t="s">
        <v>241</v>
      </c>
      <c r="H230" s="637" t="s">
        <v>99</v>
      </c>
      <c r="I230" s="638">
        <v>528</v>
      </c>
      <c r="J230" s="638">
        <v>0</v>
      </c>
      <c r="K230" s="639">
        <v>11</v>
      </c>
      <c r="L230" s="639">
        <f t="shared" si="114"/>
        <v>48</v>
      </c>
      <c r="M230" s="641">
        <v>45832</v>
      </c>
      <c r="N230" s="641">
        <v>45828</v>
      </c>
      <c r="O230" s="641" t="s">
        <v>1331</v>
      </c>
      <c r="P230" s="642" t="s">
        <v>100</v>
      </c>
      <c r="Q230" s="643" t="s">
        <v>367</v>
      </c>
      <c r="R230" s="642" t="s">
        <v>1332</v>
      </c>
      <c r="S230" s="641"/>
      <c r="T230" s="641"/>
      <c r="U230" s="642" t="s">
        <v>113</v>
      </c>
      <c r="V230" s="677"/>
      <c r="W230" s="645"/>
      <c r="X230" s="663" t="s">
        <v>959</v>
      </c>
      <c r="Y230" s="639" t="s">
        <v>960</v>
      </c>
      <c r="Z230" s="683">
        <v>1.6166</v>
      </c>
      <c r="AA230" s="650">
        <f t="shared" si="110"/>
        <v>853.5648</v>
      </c>
      <c r="AB230" s="649">
        <v>528</v>
      </c>
      <c r="AC230" s="649">
        <f t="shared" si="99"/>
        <v>0</v>
      </c>
      <c r="AD230" s="642" t="s">
        <v>113</v>
      </c>
      <c r="AE230" s="637" t="s">
        <v>241</v>
      </c>
      <c r="AF230" s="646" t="s">
        <v>107</v>
      </c>
      <c r="AG230" s="652" t="s">
        <v>43</v>
      </c>
      <c r="AH230" s="646"/>
      <c r="AI230" s="649"/>
      <c r="AJ230" s="649"/>
      <c r="AK230" s="649"/>
      <c r="AL230" s="652">
        <f t="shared" ref="AL230:AL236" si="121">I230</f>
        <v>528</v>
      </c>
      <c r="AM230" s="652"/>
      <c r="AN230" s="649"/>
      <c r="AO230" s="649"/>
      <c r="AP230" s="649"/>
      <c r="AQ230" s="653"/>
      <c r="AR230" s="649"/>
      <c r="AS230" s="649"/>
      <c r="AT230" s="652">
        <f t="shared" si="115"/>
        <v>528</v>
      </c>
      <c r="AU230" s="649"/>
      <c r="AV230" s="654"/>
      <c r="AW230" s="654"/>
      <c r="AX230" s="652">
        <f t="shared" ref="AX230:AX236" si="122">I230/11</f>
        <v>48</v>
      </c>
      <c r="AY230" s="652"/>
      <c r="AZ230" s="654"/>
      <c r="BA230" s="652"/>
      <c r="BB230" s="652"/>
      <c r="BC230" s="654"/>
      <c r="BD230" s="654"/>
      <c r="BE230" s="654"/>
      <c r="BF230" s="654"/>
      <c r="BG230" s="652"/>
      <c r="BH230" s="652"/>
      <c r="BI230" s="654"/>
      <c r="BJ230" s="654"/>
      <c r="BK230" s="654"/>
      <c r="BL230" s="654"/>
      <c r="BM230" s="654"/>
      <c r="BN230" s="654"/>
      <c r="BO230" s="654"/>
      <c r="BP230" s="654"/>
      <c r="BQ230" s="654"/>
      <c r="BR230" s="654"/>
      <c r="BS230" s="654"/>
      <c r="BT230" s="654"/>
      <c r="BU230" s="654"/>
      <c r="BV230" s="654"/>
      <c r="BW230" s="645" t="s">
        <v>109</v>
      </c>
      <c r="BX230" s="658">
        <f t="shared" si="116"/>
        <v>120</v>
      </c>
      <c r="BY230" s="658">
        <f t="shared" si="117"/>
        <v>144</v>
      </c>
      <c r="BZ230" s="658">
        <f t="shared" si="118"/>
        <v>144</v>
      </c>
      <c r="CA230" s="658">
        <f t="shared" si="119"/>
        <v>120</v>
      </c>
      <c r="CB230" s="644">
        <f t="shared" si="113"/>
        <v>528</v>
      </c>
      <c r="CC230" s="658">
        <f t="shared" si="120"/>
        <v>48</v>
      </c>
      <c r="CD230" s="644">
        <f t="shared" si="96"/>
        <v>528</v>
      </c>
      <c r="CE230" s="644">
        <f t="shared" si="97"/>
        <v>0</v>
      </c>
    </row>
    <row r="231" s="338" customFormat="1" ht="40" customHeight="1" spans="1:83">
      <c r="A231" s="632">
        <v>45789</v>
      </c>
      <c r="B231" s="633" t="s">
        <v>1333</v>
      </c>
      <c r="C231" s="659" t="s">
        <v>214</v>
      </c>
      <c r="D231" s="635">
        <v>4500168832</v>
      </c>
      <c r="E231" s="659">
        <v>217461040</v>
      </c>
      <c r="F231" s="636" t="s">
        <v>1334</v>
      </c>
      <c r="G231" s="659" t="s">
        <v>241</v>
      </c>
      <c r="H231" s="637" t="s">
        <v>99</v>
      </c>
      <c r="I231" s="638">
        <v>286</v>
      </c>
      <c r="J231" s="638">
        <v>0</v>
      </c>
      <c r="K231" s="639">
        <v>11</v>
      </c>
      <c r="L231" s="639">
        <f t="shared" si="114"/>
        <v>26</v>
      </c>
      <c r="M231" s="641">
        <v>45832</v>
      </c>
      <c r="N231" s="641">
        <v>45828</v>
      </c>
      <c r="O231" s="641" t="s">
        <v>1335</v>
      </c>
      <c r="P231" s="642" t="s">
        <v>100</v>
      </c>
      <c r="Q231" s="643" t="s">
        <v>1324</v>
      </c>
      <c r="R231" s="642" t="s">
        <v>1332</v>
      </c>
      <c r="S231" s="641"/>
      <c r="T231" s="641"/>
      <c r="U231" s="642" t="s">
        <v>113</v>
      </c>
      <c r="V231" s="677"/>
      <c r="W231" s="645"/>
      <c r="X231" s="663" t="s">
        <v>959</v>
      </c>
      <c r="Y231" s="639" t="s">
        <v>1336</v>
      </c>
      <c r="Z231" s="648">
        <v>1.6166</v>
      </c>
      <c r="AA231" s="650">
        <f t="shared" si="110"/>
        <v>462.3476</v>
      </c>
      <c r="AB231" s="649">
        <v>286</v>
      </c>
      <c r="AC231" s="649">
        <f t="shared" si="99"/>
        <v>0</v>
      </c>
      <c r="AD231" s="650" t="s">
        <v>113</v>
      </c>
      <c r="AE231" s="637" t="s">
        <v>241</v>
      </c>
      <c r="AF231" s="646" t="s">
        <v>107</v>
      </c>
      <c r="AG231" s="652" t="s">
        <v>43</v>
      </c>
      <c r="AH231" s="646"/>
      <c r="AI231" s="649"/>
      <c r="AJ231" s="649"/>
      <c r="AK231" s="649"/>
      <c r="AL231" s="652">
        <f t="shared" si="121"/>
        <v>286</v>
      </c>
      <c r="AM231" s="652"/>
      <c r="AN231" s="649"/>
      <c r="AO231" s="649"/>
      <c r="AP231" s="649"/>
      <c r="AQ231" s="653"/>
      <c r="AR231" s="649"/>
      <c r="AS231" s="649"/>
      <c r="AT231" s="652">
        <f t="shared" si="115"/>
        <v>286</v>
      </c>
      <c r="AU231" s="649"/>
      <c r="AV231" s="654"/>
      <c r="AW231" s="654"/>
      <c r="AX231" s="652">
        <f t="shared" si="122"/>
        <v>26</v>
      </c>
      <c r="AY231" s="652"/>
      <c r="AZ231" s="654"/>
      <c r="BA231" s="652"/>
      <c r="BB231" s="652"/>
      <c r="BC231" s="654"/>
      <c r="BD231" s="654"/>
      <c r="BE231" s="654"/>
      <c r="BF231" s="654"/>
      <c r="BG231" s="652"/>
      <c r="BH231" s="652"/>
      <c r="BI231" s="654"/>
      <c r="BJ231" s="654"/>
      <c r="BK231" s="654"/>
      <c r="BL231" s="654"/>
      <c r="BM231" s="654"/>
      <c r="BN231" s="654"/>
      <c r="BO231" s="654"/>
      <c r="BP231" s="654"/>
      <c r="BQ231" s="654"/>
      <c r="BR231" s="654"/>
      <c r="BS231" s="654"/>
      <c r="BT231" s="654"/>
      <c r="BU231" s="654"/>
      <c r="BV231" s="654"/>
      <c r="BW231" s="645" t="s">
        <v>109</v>
      </c>
      <c r="BX231" s="658">
        <f t="shared" si="116"/>
        <v>65</v>
      </c>
      <c r="BY231" s="658">
        <f t="shared" si="117"/>
        <v>78</v>
      </c>
      <c r="BZ231" s="658">
        <f t="shared" si="118"/>
        <v>78</v>
      </c>
      <c r="CA231" s="658">
        <f t="shared" si="119"/>
        <v>65</v>
      </c>
      <c r="CB231" s="644">
        <f t="shared" si="113"/>
        <v>286</v>
      </c>
      <c r="CC231" s="658">
        <f t="shared" si="120"/>
        <v>26</v>
      </c>
      <c r="CD231" s="644">
        <f t="shared" si="96"/>
        <v>286</v>
      </c>
      <c r="CE231" s="644">
        <f t="shared" si="97"/>
        <v>0</v>
      </c>
    </row>
    <row r="232" s="338" customFormat="1" ht="40" customHeight="1" spans="1:83">
      <c r="A232" s="632">
        <v>45797</v>
      </c>
      <c r="B232" s="633" t="s">
        <v>246</v>
      </c>
      <c r="C232" s="659" t="s">
        <v>247</v>
      </c>
      <c r="D232" s="635">
        <v>4500167015</v>
      </c>
      <c r="E232" s="659" t="s">
        <v>1337</v>
      </c>
      <c r="F232" s="636" t="s">
        <v>1338</v>
      </c>
      <c r="G232" s="659" t="s">
        <v>111</v>
      </c>
      <c r="H232" s="637" t="s">
        <v>99</v>
      </c>
      <c r="I232" s="638">
        <v>528</v>
      </c>
      <c r="J232" s="638">
        <v>0</v>
      </c>
      <c r="K232" s="639">
        <v>22</v>
      </c>
      <c r="L232" s="639">
        <f t="shared" si="114"/>
        <v>24</v>
      </c>
      <c r="M232" s="641">
        <v>45832</v>
      </c>
      <c r="N232" s="641">
        <v>45828</v>
      </c>
      <c r="O232" s="642"/>
      <c r="P232" s="642" t="s">
        <v>100</v>
      </c>
      <c r="Q232" s="643"/>
      <c r="R232" s="642" t="s">
        <v>1310</v>
      </c>
      <c r="S232" s="641"/>
      <c r="T232" s="641"/>
      <c r="U232" s="642" t="s">
        <v>251</v>
      </c>
      <c r="V232" s="677"/>
      <c r="W232" s="645"/>
      <c r="X232" s="663" t="s">
        <v>1339</v>
      </c>
      <c r="Y232" s="639" t="s">
        <v>1340</v>
      </c>
      <c r="Z232" s="683">
        <v>2.7909</v>
      </c>
      <c r="AA232" s="650">
        <f t="shared" si="110"/>
        <v>1473.5952</v>
      </c>
      <c r="AB232" s="649">
        <v>528</v>
      </c>
      <c r="AC232" s="649">
        <f t="shared" si="99"/>
        <v>0</v>
      </c>
      <c r="AD232" s="650" t="s">
        <v>106</v>
      </c>
      <c r="AE232" s="637" t="s">
        <v>111</v>
      </c>
      <c r="AF232" s="646" t="s">
        <v>107</v>
      </c>
      <c r="AG232" s="652" t="s">
        <v>43</v>
      </c>
      <c r="AH232" s="646"/>
      <c r="AI232" s="649"/>
      <c r="AJ232" s="649"/>
      <c r="AK232" s="649"/>
      <c r="AL232" s="652">
        <f t="shared" si="121"/>
        <v>528</v>
      </c>
      <c r="AM232" s="652"/>
      <c r="AN232" s="649"/>
      <c r="AO232" s="649"/>
      <c r="AP232" s="649"/>
      <c r="AQ232" s="653"/>
      <c r="AR232" s="649"/>
      <c r="AS232" s="649"/>
      <c r="AT232" s="652">
        <f t="shared" ref="AT232:AT238" si="123">I232</f>
        <v>528</v>
      </c>
      <c r="AU232" s="649"/>
      <c r="AV232" s="654"/>
      <c r="AW232" s="654"/>
      <c r="AX232" s="652">
        <f t="shared" si="122"/>
        <v>48</v>
      </c>
      <c r="AY232" s="652"/>
      <c r="AZ232" s="654"/>
      <c r="BA232" s="652"/>
      <c r="BB232" s="652"/>
      <c r="BC232" s="654"/>
      <c r="BD232" s="654"/>
      <c r="BE232" s="654"/>
      <c r="BF232" s="654"/>
      <c r="BG232" s="652"/>
      <c r="BH232" s="652"/>
      <c r="BI232" s="654"/>
      <c r="BJ232" s="654"/>
      <c r="BK232" s="654"/>
      <c r="BL232" s="654"/>
      <c r="BM232" s="654"/>
      <c r="BN232" s="654"/>
      <c r="BO232" s="654"/>
      <c r="BP232" s="654"/>
      <c r="BQ232" s="654"/>
      <c r="BR232" s="654"/>
      <c r="BS232" s="654"/>
      <c r="BT232" s="654"/>
      <c r="BU232" s="654"/>
      <c r="BV232" s="654"/>
      <c r="BW232" s="645" t="s">
        <v>109</v>
      </c>
      <c r="BX232" s="658">
        <f t="shared" si="116"/>
        <v>120</v>
      </c>
      <c r="BY232" s="658">
        <f t="shared" si="117"/>
        <v>144</v>
      </c>
      <c r="BZ232" s="658">
        <f t="shared" si="118"/>
        <v>144</v>
      </c>
      <c r="CA232" s="658">
        <f t="shared" si="119"/>
        <v>120</v>
      </c>
      <c r="CB232" s="644">
        <f t="shared" si="113"/>
        <v>528</v>
      </c>
      <c r="CC232" s="658">
        <f t="shared" si="120"/>
        <v>48</v>
      </c>
      <c r="CD232" s="644">
        <f t="shared" si="96"/>
        <v>528</v>
      </c>
      <c r="CE232" s="644">
        <f t="shared" ref="CE232:CE282" si="124">I232-CD232</f>
        <v>0</v>
      </c>
    </row>
    <row r="233" s="338" customFormat="1" ht="40" customHeight="1" spans="1:83">
      <c r="A233" s="632">
        <v>45797</v>
      </c>
      <c r="B233" s="633" t="s">
        <v>246</v>
      </c>
      <c r="C233" s="659" t="s">
        <v>247</v>
      </c>
      <c r="D233" s="635">
        <v>4500167015</v>
      </c>
      <c r="E233" s="659" t="s">
        <v>1341</v>
      </c>
      <c r="F233" s="636" t="s">
        <v>1342</v>
      </c>
      <c r="G233" s="659" t="s">
        <v>111</v>
      </c>
      <c r="H233" s="637" t="s">
        <v>99</v>
      </c>
      <c r="I233" s="638">
        <v>418</v>
      </c>
      <c r="J233" s="638">
        <v>0</v>
      </c>
      <c r="K233" s="639">
        <v>22</v>
      </c>
      <c r="L233" s="639">
        <f t="shared" si="114"/>
        <v>19</v>
      </c>
      <c r="M233" s="641">
        <v>45832</v>
      </c>
      <c r="N233" s="641">
        <v>45828</v>
      </c>
      <c r="O233" s="641"/>
      <c r="P233" s="642" t="s">
        <v>100</v>
      </c>
      <c r="Q233" s="643"/>
      <c r="R233" s="642" t="s">
        <v>1310</v>
      </c>
      <c r="S233" s="641"/>
      <c r="T233" s="641"/>
      <c r="U233" s="642" t="s">
        <v>251</v>
      </c>
      <c r="V233" s="677"/>
      <c r="W233" s="645"/>
      <c r="X233" s="663" t="s">
        <v>1339</v>
      </c>
      <c r="Y233" s="639" t="s">
        <v>1340</v>
      </c>
      <c r="Z233" s="683">
        <v>2.7909</v>
      </c>
      <c r="AA233" s="650">
        <f t="shared" si="110"/>
        <v>1166.5962</v>
      </c>
      <c r="AB233" s="649">
        <v>418</v>
      </c>
      <c r="AC233" s="649">
        <f t="shared" si="99"/>
        <v>0</v>
      </c>
      <c r="AD233" s="650" t="s">
        <v>106</v>
      </c>
      <c r="AE233" s="637" t="s">
        <v>111</v>
      </c>
      <c r="AF233" s="646" t="s">
        <v>107</v>
      </c>
      <c r="AG233" s="652" t="s">
        <v>43</v>
      </c>
      <c r="AH233" s="646"/>
      <c r="AI233" s="649"/>
      <c r="AJ233" s="649"/>
      <c r="AK233" s="649"/>
      <c r="AL233" s="652">
        <f t="shared" si="121"/>
        <v>418</v>
      </c>
      <c r="AM233" s="652"/>
      <c r="AN233" s="649"/>
      <c r="AO233" s="649"/>
      <c r="AP233" s="649"/>
      <c r="AQ233" s="653"/>
      <c r="AR233" s="649"/>
      <c r="AS233" s="649"/>
      <c r="AT233" s="652">
        <f t="shared" si="123"/>
        <v>418</v>
      </c>
      <c r="AU233" s="649"/>
      <c r="AV233" s="654"/>
      <c r="AW233" s="654"/>
      <c r="AX233" s="652">
        <f t="shared" si="122"/>
        <v>38</v>
      </c>
      <c r="AY233" s="652"/>
      <c r="AZ233" s="654"/>
      <c r="BA233" s="652"/>
      <c r="BB233" s="652"/>
      <c r="BC233" s="654"/>
      <c r="BD233" s="654"/>
      <c r="BE233" s="654"/>
      <c r="BF233" s="654"/>
      <c r="BG233" s="652"/>
      <c r="BH233" s="652"/>
      <c r="BI233" s="654"/>
      <c r="BJ233" s="654"/>
      <c r="BK233" s="654"/>
      <c r="BL233" s="654"/>
      <c r="BM233" s="654"/>
      <c r="BN233" s="654"/>
      <c r="BO233" s="654"/>
      <c r="BP233" s="654"/>
      <c r="BQ233" s="654"/>
      <c r="BR233" s="654"/>
      <c r="BS233" s="654"/>
      <c r="BT233" s="654"/>
      <c r="BU233" s="654"/>
      <c r="BV233" s="654"/>
      <c r="BW233" s="645" t="s">
        <v>109</v>
      </c>
      <c r="BX233" s="658">
        <f t="shared" si="116"/>
        <v>95</v>
      </c>
      <c r="BY233" s="658">
        <f t="shared" si="117"/>
        <v>114</v>
      </c>
      <c r="BZ233" s="658">
        <f t="shared" si="118"/>
        <v>114</v>
      </c>
      <c r="CA233" s="658">
        <f t="shared" si="119"/>
        <v>95</v>
      </c>
      <c r="CB233" s="644">
        <f t="shared" si="113"/>
        <v>418</v>
      </c>
      <c r="CC233" s="658">
        <f t="shared" si="120"/>
        <v>38</v>
      </c>
      <c r="CD233" s="644">
        <f t="shared" si="96"/>
        <v>418</v>
      </c>
      <c r="CE233" s="644">
        <f t="shared" si="124"/>
        <v>0</v>
      </c>
    </row>
    <row r="234" s="338" customFormat="1" ht="40" customHeight="1" spans="1:83">
      <c r="A234" s="632">
        <v>45797</v>
      </c>
      <c r="B234" s="633" t="s">
        <v>246</v>
      </c>
      <c r="C234" s="659" t="s">
        <v>247</v>
      </c>
      <c r="D234" s="635">
        <v>4500167015</v>
      </c>
      <c r="E234" s="659" t="s">
        <v>1343</v>
      </c>
      <c r="F234" s="636" t="s">
        <v>1344</v>
      </c>
      <c r="G234" s="659" t="s">
        <v>111</v>
      </c>
      <c r="H234" s="637" t="s">
        <v>99</v>
      </c>
      <c r="I234" s="638">
        <v>418</v>
      </c>
      <c r="J234" s="638">
        <v>0</v>
      </c>
      <c r="K234" s="639">
        <v>22</v>
      </c>
      <c r="L234" s="639">
        <f t="shared" si="114"/>
        <v>19</v>
      </c>
      <c r="M234" s="641">
        <v>45832</v>
      </c>
      <c r="N234" s="641">
        <v>45828</v>
      </c>
      <c r="O234" s="641"/>
      <c r="P234" s="642" t="s">
        <v>100</v>
      </c>
      <c r="Q234" s="643"/>
      <c r="R234" s="642" t="s">
        <v>1310</v>
      </c>
      <c r="S234" s="641"/>
      <c r="T234" s="641"/>
      <c r="U234" s="642" t="s">
        <v>251</v>
      </c>
      <c r="V234" s="677"/>
      <c r="W234" s="645"/>
      <c r="X234" s="663" t="s">
        <v>1339</v>
      </c>
      <c r="Y234" s="639" t="s">
        <v>1340</v>
      </c>
      <c r="Z234" s="683">
        <v>2.7909</v>
      </c>
      <c r="AA234" s="650">
        <f t="shared" si="110"/>
        <v>1166.5962</v>
      </c>
      <c r="AB234" s="649">
        <v>418</v>
      </c>
      <c r="AC234" s="649">
        <f t="shared" si="99"/>
        <v>0</v>
      </c>
      <c r="AD234" s="650" t="s">
        <v>106</v>
      </c>
      <c r="AE234" s="637" t="s">
        <v>111</v>
      </c>
      <c r="AF234" s="646" t="s">
        <v>107</v>
      </c>
      <c r="AG234" s="652" t="s">
        <v>43</v>
      </c>
      <c r="AH234" s="646"/>
      <c r="AI234" s="649"/>
      <c r="AJ234" s="649"/>
      <c r="AK234" s="649"/>
      <c r="AL234" s="652">
        <f t="shared" si="121"/>
        <v>418</v>
      </c>
      <c r="AM234" s="652"/>
      <c r="AN234" s="649"/>
      <c r="AO234" s="649"/>
      <c r="AP234" s="649"/>
      <c r="AQ234" s="653"/>
      <c r="AR234" s="649"/>
      <c r="AS234" s="649"/>
      <c r="AT234" s="652">
        <f t="shared" si="123"/>
        <v>418</v>
      </c>
      <c r="AU234" s="649"/>
      <c r="AV234" s="654"/>
      <c r="AW234" s="654"/>
      <c r="AX234" s="652">
        <f t="shared" si="122"/>
        <v>38</v>
      </c>
      <c r="AY234" s="652"/>
      <c r="AZ234" s="654"/>
      <c r="BA234" s="652"/>
      <c r="BB234" s="652"/>
      <c r="BC234" s="654"/>
      <c r="BD234" s="654"/>
      <c r="BE234" s="654"/>
      <c r="BF234" s="654"/>
      <c r="BG234" s="652"/>
      <c r="BH234" s="652"/>
      <c r="BI234" s="654"/>
      <c r="BJ234" s="654"/>
      <c r="BK234" s="654"/>
      <c r="BL234" s="654"/>
      <c r="BM234" s="654"/>
      <c r="BN234" s="654"/>
      <c r="BO234" s="654"/>
      <c r="BP234" s="654"/>
      <c r="BQ234" s="654"/>
      <c r="BR234" s="654"/>
      <c r="BS234" s="654"/>
      <c r="BT234" s="654"/>
      <c r="BU234" s="654"/>
      <c r="BV234" s="654"/>
      <c r="BW234" s="645" t="s">
        <v>109</v>
      </c>
      <c r="BX234" s="658">
        <f t="shared" si="116"/>
        <v>95</v>
      </c>
      <c r="BY234" s="658">
        <f t="shared" si="117"/>
        <v>114</v>
      </c>
      <c r="BZ234" s="658">
        <f t="shared" si="118"/>
        <v>114</v>
      </c>
      <c r="CA234" s="658">
        <f t="shared" si="119"/>
        <v>95</v>
      </c>
      <c r="CB234" s="644">
        <f t="shared" si="113"/>
        <v>418</v>
      </c>
      <c r="CC234" s="658">
        <f t="shared" si="120"/>
        <v>38</v>
      </c>
      <c r="CD234" s="644">
        <f t="shared" si="96"/>
        <v>418</v>
      </c>
      <c r="CE234" s="644">
        <f t="shared" si="124"/>
        <v>0</v>
      </c>
    </row>
    <row r="235" s="338" customFormat="1" ht="40" customHeight="1" spans="1:83">
      <c r="A235" s="632">
        <v>45797</v>
      </c>
      <c r="B235" s="633" t="s">
        <v>246</v>
      </c>
      <c r="C235" s="659" t="s">
        <v>247</v>
      </c>
      <c r="D235" s="635">
        <v>4500167015</v>
      </c>
      <c r="E235" s="659" t="s">
        <v>1345</v>
      </c>
      <c r="F235" s="636" t="s">
        <v>1346</v>
      </c>
      <c r="G235" s="659" t="s">
        <v>111</v>
      </c>
      <c r="H235" s="637" t="s">
        <v>99</v>
      </c>
      <c r="I235" s="638">
        <v>154</v>
      </c>
      <c r="J235" s="638">
        <v>0</v>
      </c>
      <c r="K235" s="639">
        <v>22</v>
      </c>
      <c r="L235" s="639">
        <f t="shared" si="114"/>
        <v>7</v>
      </c>
      <c r="M235" s="641">
        <v>45832</v>
      </c>
      <c r="N235" s="641">
        <v>45828</v>
      </c>
      <c r="O235" s="641"/>
      <c r="P235" s="642" t="s">
        <v>100</v>
      </c>
      <c r="Q235" s="643" t="s">
        <v>1347</v>
      </c>
      <c r="R235" s="642" t="s">
        <v>1310</v>
      </c>
      <c r="S235" s="641"/>
      <c r="T235" s="641"/>
      <c r="U235" s="642" t="s">
        <v>251</v>
      </c>
      <c r="V235" s="677"/>
      <c r="W235" s="645"/>
      <c r="X235" s="663" t="s">
        <v>1339</v>
      </c>
      <c r="Y235" s="639" t="s">
        <v>1340</v>
      </c>
      <c r="Z235" s="683">
        <v>2.7909</v>
      </c>
      <c r="AA235" s="650">
        <f t="shared" si="110"/>
        <v>429.7986</v>
      </c>
      <c r="AB235" s="649">
        <v>154</v>
      </c>
      <c r="AC235" s="649">
        <f t="shared" si="99"/>
        <v>0</v>
      </c>
      <c r="AD235" s="650" t="s">
        <v>106</v>
      </c>
      <c r="AE235" s="637" t="s">
        <v>111</v>
      </c>
      <c r="AF235" s="646" t="s">
        <v>107</v>
      </c>
      <c r="AG235" s="652" t="s">
        <v>43</v>
      </c>
      <c r="AH235" s="646" t="s">
        <v>1348</v>
      </c>
      <c r="AI235" s="649"/>
      <c r="AJ235" s="649"/>
      <c r="AK235" s="649"/>
      <c r="AL235" s="652">
        <f t="shared" si="121"/>
        <v>154</v>
      </c>
      <c r="AM235" s="652"/>
      <c r="AN235" s="649"/>
      <c r="AO235" s="649"/>
      <c r="AP235" s="649"/>
      <c r="AQ235" s="653"/>
      <c r="AR235" s="649"/>
      <c r="AS235" s="649"/>
      <c r="AT235" s="652">
        <f t="shared" si="123"/>
        <v>154</v>
      </c>
      <c r="AU235" s="649"/>
      <c r="AV235" s="654"/>
      <c r="AW235" s="654"/>
      <c r="AX235" s="652">
        <f t="shared" si="122"/>
        <v>14</v>
      </c>
      <c r="AY235" s="652"/>
      <c r="AZ235" s="654"/>
      <c r="BA235" s="652"/>
      <c r="BB235" s="652"/>
      <c r="BC235" s="654"/>
      <c r="BD235" s="654"/>
      <c r="BE235" s="654"/>
      <c r="BF235" s="654"/>
      <c r="BG235" s="652"/>
      <c r="BH235" s="652"/>
      <c r="BI235" s="654"/>
      <c r="BJ235" s="654"/>
      <c r="BK235" s="654"/>
      <c r="BL235" s="654"/>
      <c r="BM235" s="654"/>
      <c r="BN235" s="654"/>
      <c r="BO235" s="654"/>
      <c r="BP235" s="654"/>
      <c r="BQ235" s="654"/>
      <c r="BR235" s="654"/>
      <c r="BS235" s="654"/>
      <c r="BT235" s="654"/>
      <c r="BU235" s="654"/>
      <c r="BV235" s="654"/>
      <c r="BW235" s="645" t="s">
        <v>109</v>
      </c>
      <c r="BX235" s="658">
        <f t="shared" ref="BX235:BX240" si="125">I235/22*5</f>
        <v>35</v>
      </c>
      <c r="BY235" s="658">
        <f t="shared" ref="BY235:BY240" si="126">I235/22*6</f>
        <v>42</v>
      </c>
      <c r="BZ235" s="658">
        <f t="shared" ref="BZ235:BZ240" si="127">I235/22*6</f>
        <v>42</v>
      </c>
      <c r="CA235" s="658">
        <f t="shared" ref="CA235:CA240" si="128">I235/22*5</f>
        <v>35</v>
      </c>
      <c r="CB235" s="644">
        <f t="shared" si="113"/>
        <v>154</v>
      </c>
      <c r="CC235" s="658">
        <f t="shared" si="120"/>
        <v>14</v>
      </c>
      <c r="CD235" s="644">
        <f t="shared" si="96"/>
        <v>154</v>
      </c>
      <c r="CE235" s="644">
        <f t="shared" si="124"/>
        <v>0</v>
      </c>
    </row>
    <row r="236" s="338" customFormat="1" ht="40" customHeight="1" spans="1:83">
      <c r="A236" s="632">
        <v>45755</v>
      </c>
      <c r="B236" s="633" t="s">
        <v>1349</v>
      </c>
      <c r="C236" s="634" t="s">
        <v>1350</v>
      </c>
      <c r="D236" s="635">
        <v>4500162445</v>
      </c>
      <c r="E236" s="659" t="s">
        <v>1351</v>
      </c>
      <c r="F236" s="636" t="s">
        <v>1352</v>
      </c>
      <c r="G236" s="637" t="s">
        <v>111</v>
      </c>
      <c r="H236" s="637" t="s">
        <v>99</v>
      </c>
      <c r="I236" s="638">
        <v>638</v>
      </c>
      <c r="J236" s="638">
        <v>0</v>
      </c>
      <c r="K236" s="639">
        <v>22</v>
      </c>
      <c r="L236" s="639">
        <f t="shared" si="114"/>
        <v>29</v>
      </c>
      <c r="M236" s="641">
        <f>N236+4</f>
        <v>45828</v>
      </c>
      <c r="N236" s="641">
        <v>45824</v>
      </c>
      <c r="O236" s="641"/>
      <c r="P236" s="642" t="s">
        <v>100</v>
      </c>
      <c r="Q236" s="643" t="s">
        <v>1353</v>
      </c>
      <c r="R236" s="642" t="s">
        <v>930</v>
      </c>
      <c r="S236" s="641"/>
      <c r="T236" s="641"/>
      <c r="U236" s="642" t="s">
        <v>113</v>
      </c>
      <c r="V236" s="677"/>
      <c r="W236" s="645"/>
      <c r="X236" s="647" t="s">
        <v>1354</v>
      </c>
      <c r="Y236" s="646" t="s">
        <v>422</v>
      </c>
      <c r="Z236" s="683">
        <v>2.6965</v>
      </c>
      <c r="AA236" s="650">
        <f t="shared" si="110"/>
        <v>1720.367</v>
      </c>
      <c r="AB236" s="649">
        <v>638</v>
      </c>
      <c r="AC236" s="649">
        <f t="shared" si="99"/>
        <v>0</v>
      </c>
      <c r="AD236" s="650" t="s">
        <v>113</v>
      </c>
      <c r="AE236" s="637" t="s">
        <v>111</v>
      </c>
      <c r="AF236" s="646" t="s">
        <v>107</v>
      </c>
      <c r="AG236" s="652" t="s">
        <v>43</v>
      </c>
      <c r="AH236" s="646"/>
      <c r="AI236" s="686"/>
      <c r="AJ236" s="686"/>
      <c r="AK236" s="686"/>
      <c r="AL236" s="652">
        <f t="shared" si="121"/>
        <v>638</v>
      </c>
      <c r="AM236" s="652"/>
      <c r="AN236" s="686"/>
      <c r="AO236" s="649"/>
      <c r="AP236" s="649"/>
      <c r="AQ236" s="653"/>
      <c r="AR236" s="686"/>
      <c r="AS236" s="686"/>
      <c r="AT236" s="652">
        <f t="shared" si="123"/>
        <v>638</v>
      </c>
      <c r="AU236" s="649"/>
      <c r="AV236" s="654"/>
      <c r="AW236" s="687"/>
      <c r="AX236" s="652">
        <f t="shared" si="122"/>
        <v>58</v>
      </c>
      <c r="AY236" s="652"/>
      <c r="AZ236" s="687"/>
      <c r="BA236" s="652"/>
      <c r="BB236" s="652"/>
      <c r="BC236" s="687"/>
      <c r="BD236" s="687"/>
      <c r="BE236" s="654"/>
      <c r="BF236" s="687"/>
      <c r="BG236" s="652"/>
      <c r="BH236" s="652"/>
      <c r="BI236" s="687"/>
      <c r="BJ236" s="687"/>
      <c r="BK236" s="654"/>
      <c r="BL236" s="654"/>
      <c r="BM236" s="654"/>
      <c r="BN236" s="654"/>
      <c r="BO236" s="654"/>
      <c r="BP236" s="687"/>
      <c r="BQ236" s="654"/>
      <c r="BR236" s="687"/>
      <c r="BS236" s="654"/>
      <c r="BT236" s="654"/>
      <c r="BU236" s="654"/>
      <c r="BV236" s="654"/>
      <c r="BW236" s="645" t="s">
        <v>109</v>
      </c>
      <c r="BX236" s="658">
        <f t="shared" si="125"/>
        <v>145</v>
      </c>
      <c r="BY236" s="658">
        <f t="shared" si="126"/>
        <v>174</v>
      </c>
      <c r="BZ236" s="658">
        <f t="shared" si="127"/>
        <v>174</v>
      </c>
      <c r="CA236" s="658">
        <f t="shared" si="128"/>
        <v>145</v>
      </c>
      <c r="CB236" s="644">
        <f t="shared" si="113"/>
        <v>638</v>
      </c>
      <c r="CC236" s="658">
        <f t="shared" si="120"/>
        <v>58</v>
      </c>
      <c r="CD236" s="644">
        <f t="shared" si="96"/>
        <v>638</v>
      </c>
      <c r="CE236" s="644">
        <f t="shared" si="124"/>
        <v>0</v>
      </c>
    </row>
    <row r="237" s="338" customFormat="1" ht="40" customHeight="1" spans="1:83">
      <c r="A237" s="632">
        <v>45797</v>
      </c>
      <c r="B237" s="633" t="s">
        <v>589</v>
      </c>
      <c r="C237" s="659" t="s">
        <v>590</v>
      </c>
      <c r="D237" s="635">
        <v>4500167072</v>
      </c>
      <c r="E237" s="659">
        <v>4508720998</v>
      </c>
      <c r="F237" s="636" t="s">
        <v>1355</v>
      </c>
      <c r="G237" s="659" t="s">
        <v>241</v>
      </c>
      <c r="H237" s="637" t="s">
        <v>99</v>
      </c>
      <c r="I237" s="638">
        <v>363</v>
      </c>
      <c r="J237" s="638">
        <v>0</v>
      </c>
      <c r="K237" s="639">
        <v>11</v>
      </c>
      <c r="L237" s="639">
        <f t="shared" si="114"/>
        <v>33</v>
      </c>
      <c r="M237" s="641">
        <v>45831</v>
      </c>
      <c r="N237" s="641">
        <v>45827</v>
      </c>
      <c r="O237" s="641"/>
      <c r="P237" s="642" t="s">
        <v>100</v>
      </c>
      <c r="Q237" s="643" t="s">
        <v>1353</v>
      </c>
      <c r="R237" s="642" t="s">
        <v>1310</v>
      </c>
      <c r="S237" s="641"/>
      <c r="T237" s="641"/>
      <c r="U237" s="642" t="s">
        <v>1356</v>
      </c>
      <c r="V237" s="677"/>
      <c r="W237" s="645"/>
      <c r="X237" s="663" t="s">
        <v>1357</v>
      </c>
      <c r="Y237" s="639" t="s">
        <v>596</v>
      </c>
      <c r="Z237" s="683">
        <v>2.7931</v>
      </c>
      <c r="AA237" s="650">
        <f t="shared" si="110"/>
        <v>1013.8953</v>
      </c>
      <c r="AB237" s="649">
        <v>363</v>
      </c>
      <c r="AC237" s="649">
        <f t="shared" si="99"/>
        <v>0</v>
      </c>
      <c r="AD237" s="650" t="s">
        <v>106</v>
      </c>
      <c r="AE237" s="637" t="s">
        <v>597</v>
      </c>
      <c r="AF237" s="646" t="s">
        <v>107</v>
      </c>
      <c r="AG237" s="652" t="s">
        <v>43</v>
      </c>
      <c r="AH237" s="646"/>
      <c r="AI237" s="686"/>
      <c r="AJ237" s="686"/>
      <c r="AK237" s="686"/>
      <c r="AL237" s="649"/>
      <c r="AM237" s="649"/>
      <c r="AN237" s="686"/>
      <c r="AO237" s="649">
        <f>I237</f>
        <v>363</v>
      </c>
      <c r="AP237" s="649"/>
      <c r="AQ237" s="653"/>
      <c r="AR237" s="686"/>
      <c r="AS237" s="686"/>
      <c r="AT237" s="652">
        <f t="shared" si="123"/>
        <v>363</v>
      </c>
      <c r="AU237" s="649"/>
      <c r="AV237" s="654"/>
      <c r="AW237" s="687"/>
      <c r="AX237" s="652"/>
      <c r="AY237" s="652"/>
      <c r="AZ237" s="687"/>
      <c r="BA237" s="652">
        <f>I237/11</f>
        <v>33</v>
      </c>
      <c r="BB237" s="652"/>
      <c r="BC237" s="687"/>
      <c r="BD237" s="687"/>
      <c r="BE237" s="654"/>
      <c r="BF237" s="687"/>
      <c r="BG237" s="652"/>
      <c r="BH237" s="652"/>
      <c r="BI237" s="687"/>
      <c r="BJ237" s="687"/>
      <c r="BK237" s="654"/>
      <c r="BL237" s="654"/>
      <c r="BM237" s="654"/>
      <c r="BN237" s="654"/>
      <c r="BO237" s="654"/>
      <c r="BP237" s="687"/>
      <c r="BQ237" s="654"/>
      <c r="BR237" s="687"/>
      <c r="BS237" s="654"/>
      <c r="BT237" s="654"/>
      <c r="BU237" s="654"/>
      <c r="BV237" s="654"/>
      <c r="BW237" s="645" t="s">
        <v>109</v>
      </c>
      <c r="BX237" s="658">
        <f t="shared" si="125"/>
        <v>82.5</v>
      </c>
      <c r="BY237" s="658">
        <f t="shared" si="126"/>
        <v>99</v>
      </c>
      <c r="BZ237" s="658">
        <f t="shared" si="127"/>
        <v>99</v>
      </c>
      <c r="CA237" s="658">
        <f t="shared" si="128"/>
        <v>82.5</v>
      </c>
      <c r="CB237" s="644">
        <f t="shared" si="113"/>
        <v>363</v>
      </c>
      <c r="CC237" s="658">
        <f t="shared" si="120"/>
        <v>33</v>
      </c>
      <c r="CD237" s="644">
        <f t="shared" si="96"/>
        <v>363</v>
      </c>
      <c r="CE237" s="644">
        <f t="shared" si="124"/>
        <v>0</v>
      </c>
    </row>
    <row r="238" s="338" customFormat="1" ht="40" customHeight="1" spans="1:83">
      <c r="A238" s="632">
        <v>45797</v>
      </c>
      <c r="B238" s="633" t="s">
        <v>1358</v>
      </c>
      <c r="C238" s="659" t="s">
        <v>247</v>
      </c>
      <c r="D238" s="635">
        <v>4500167017</v>
      </c>
      <c r="E238" s="659">
        <v>84290</v>
      </c>
      <c r="F238" s="636" t="s">
        <v>1359</v>
      </c>
      <c r="G238" s="659" t="s">
        <v>111</v>
      </c>
      <c r="H238" s="637" t="s">
        <v>99</v>
      </c>
      <c r="I238" s="638">
        <v>1210</v>
      </c>
      <c r="J238" s="638">
        <v>0</v>
      </c>
      <c r="K238" s="639">
        <v>22</v>
      </c>
      <c r="L238" s="639">
        <f t="shared" si="114"/>
        <v>55</v>
      </c>
      <c r="M238" s="641">
        <v>45833</v>
      </c>
      <c r="N238" s="641">
        <v>45829</v>
      </c>
      <c r="O238" s="641"/>
      <c r="P238" s="642" t="s">
        <v>100</v>
      </c>
      <c r="Q238" s="643" t="s">
        <v>1260</v>
      </c>
      <c r="R238" s="642" t="s">
        <v>1310</v>
      </c>
      <c r="S238" s="641"/>
      <c r="T238" s="641"/>
      <c r="U238" s="642" t="s">
        <v>1360</v>
      </c>
      <c r="V238" s="677"/>
      <c r="W238" s="645"/>
      <c r="X238" s="663" t="s">
        <v>1361</v>
      </c>
      <c r="Y238" s="639" t="s">
        <v>253</v>
      </c>
      <c r="Z238" s="683">
        <v>2.7172</v>
      </c>
      <c r="AA238" s="650">
        <f t="shared" si="110"/>
        <v>3287.812</v>
      </c>
      <c r="AB238" s="649">
        <v>1210</v>
      </c>
      <c r="AC238" s="649">
        <f t="shared" si="99"/>
        <v>0</v>
      </c>
      <c r="AD238" s="650" t="s">
        <v>123</v>
      </c>
      <c r="AE238" s="637" t="s">
        <v>111</v>
      </c>
      <c r="AF238" s="646" t="s">
        <v>107</v>
      </c>
      <c r="AG238" s="652" t="s">
        <v>43</v>
      </c>
      <c r="AH238" s="646"/>
      <c r="AI238" s="686"/>
      <c r="AJ238" s="686"/>
      <c r="AK238" s="686"/>
      <c r="AL238" s="652">
        <f>I238</f>
        <v>1210</v>
      </c>
      <c r="AM238" s="652"/>
      <c r="AN238" s="686"/>
      <c r="AO238" s="649"/>
      <c r="AP238" s="649"/>
      <c r="AQ238" s="653"/>
      <c r="AR238" s="686"/>
      <c r="AS238" s="686"/>
      <c r="AT238" s="652">
        <f t="shared" si="123"/>
        <v>1210</v>
      </c>
      <c r="AU238" s="649"/>
      <c r="AV238" s="654"/>
      <c r="AW238" s="687"/>
      <c r="AX238" s="652">
        <f>I238/11</f>
        <v>110</v>
      </c>
      <c r="AY238" s="652"/>
      <c r="AZ238" s="687"/>
      <c r="BA238" s="652"/>
      <c r="BB238" s="652"/>
      <c r="BC238" s="687"/>
      <c r="BD238" s="687"/>
      <c r="BE238" s="654"/>
      <c r="BF238" s="687"/>
      <c r="BG238" s="652"/>
      <c r="BH238" s="652"/>
      <c r="BI238" s="687"/>
      <c r="BJ238" s="687"/>
      <c r="BK238" s="654"/>
      <c r="BL238" s="654"/>
      <c r="BM238" s="654"/>
      <c r="BN238" s="654"/>
      <c r="BO238" s="654"/>
      <c r="BP238" s="687"/>
      <c r="BQ238" s="654"/>
      <c r="BR238" s="687"/>
      <c r="BS238" s="654"/>
      <c r="BT238" s="654"/>
      <c r="BU238" s="654"/>
      <c r="BV238" s="654"/>
      <c r="BW238" s="645" t="s">
        <v>109</v>
      </c>
      <c r="BX238" s="658">
        <f t="shared" si="125"/>
        <v>275</v>
      </c>
      <c r="BY238" s="658">
        <f t="shared" si="126"/>
        <v>330</v>
      </c>
      <c r="BZ238" s="658">
        <f t="shared" si="127"/>
        <v>330</v>
      </c>
      <c r="CA238" s="658">
        <f t="shared" si="128"/>
        <v>275</v>
      </c>
      <c r="CB238" s="644">
        <f t="shared" si="113"/>
        <v>1210</v>
      </c>
      <c r="CC238" s="658">
        <f t="shared" si="120"/>
        <v>110</v>
      </c>
      <c r="CD238" s="644">
        <f t="shared" si="96"/>
        <v>1210</v>
      </c>
      <c r="CE238" s="644">
        <f t="shared" si="124"/>
        <v>0</v>
      </c>
    </row>
    <row r="239" s="338" customFormat="1" ht="40" customHeight="1" spans="1:83">
      <c r="A239" s="632">
        <v>45797</v>
      </c>
      <c r="B239" s="633" t="s">
        <v>599</v>
      </c>
      <c r="C239" s="659" t="s">
        <v>600</v>
      </c>
      <c r="D239" s="635">
        <v>4500166969</v>
      </c>
      <c r="E239" s="659" t="s">
        <v>1362</v>
      </c>
      <c r="F239" s="636" t="s">
        <v>1363</v>
      </c>
      <c r="G239" s="659" t="s">
        <v>241</v>
      </c>
      <c r="H239" s="637" t="s">
        <v>99</v>
      </c>
      <c r="I239" s="638">
        <v>5005</v>
      </c>
      <c r="J239" s="638">
        <v>0</v>
      </c>
      <c r="K239" s="639">
        <v>11</v>
      </c>
      <c r="L239" s="639">
        <f t="shared" si="114"/>
        <v>455</v>
      </c>
      <c r="M239" s="641">
        <v>45833</v>
      </c>
      <c r="N239" s="641">
        <v>45829</v>
      </c>
      <c r="O239" s="641"/>
      <c r="P239" s="642" t="s">
        <v>100</v>
      </c>
      <c r="Q239" s="643" t="s">
        <v>1353</v>
      </c>
      <c r="R239" s="642" t="s">
        <v>1310</v>
      </c>
      <c r="S239" s="641"/>
      <c r="T239" s="641"/>
      <c r="U239" s="642" t="s">
        <v>1364</v>
      </c>
      <c r="V239" s="677"/>
      <c r="W239" s="645" t="s">
        <v>1365</v>
      </c>
      <c r="X239" s="663" t="s">
        <v>1366</v>
      </c>
      <c r="Y239" s="639" t="s">
        <v>422</v>
      </c>
      <c r="Z239" s="683">
        <v>2.6841</v>
      </c>
      <c r="AA239" s="650">
        <f t="shared" si="110"/>
        <v>13433.9205</v>
      </c>
      <c r="AB239" s="649">
        <v>5005</v>
      </c>
      <c r="AC239" s="649">
        <f t="shared" si="99"/>
        <v>0</v>
      </c>
      <c r="AD239" s="650" t="s">
        <v>106</v>
      </c>
      <c r="AE239" s="637" t="s">
        <v>608</v>
      </c>
      <c r="AF239" s="646" t="s">
        <v>107</v>
      </c>
      <c r="AG239" s="652" t="s">
        <v>43</v>
      </c>
      <c r="AH239" s="646"/>
      <c r="AI239" s="686"/>
      <c r="AJ239" s="686"/>
      <c r="AK239" s="686"/>
      <c r="AL239" s="652">
        <f>I239</f>
        <v>5005</v>
      </c>
      <c r="AM239" s="652"/>
      <c r="AN239" s="686"/>
      <c r="AO239" s="649"/>
      <c r="AP239" s="649"/>
      <c r="AQ239" s="653"/>
      <c r="AR239" s="686"/>
      <c r="AS239" s="686"/>
      <c r="AT239" s="649"/>
      <c r="AU239" s="649"/>
      <c r="AV239" s="652">
        <f>I239</f>
        <v>5005</v>
      </c>
      <c r="AW239" s="687"/>
      <c r="AX239" s="652">
        <f>I239/11</f>
        <v>455</v>
      </c>
      <c r="AY239" s="652"/>
      <c r="AZ239" s="687"/>
      <c r="BA239" s="652"/>
      <c r="BB239" s="652"/>
      <c r="BC239" s="687"/>
      <c r="BD239" s="687"/>
      <c r="BE239" s="654"/>
      <c r="BF239" s="687"/>
      <c r="BG239" s="652"/>
      <c r="BH239" s="652"/>
      <c r="BI239" s="687"/>
      <c r="BJ239" s="687"/>
      <c r="BK239" s="654"/>
      <c r="BL239" s="654"/>
      <c r="BM239" s="654"/>
      <c r="BN239" s="654"/>
      <c r="BO239" s="654"/>
      <c r="BP239" s="687"/>
      <c r="BQ239" s="654"/>
      <c r="BR239" s="687"/>
      <c r="BS239" s="654"/>
      <c r="BT239" s="654"/>
      <c r="BU239" s="654"/>
      <c r="BV239" s="654"/>
      <c r="BW239" s="645" t="s">
        <v>109</v>
      </c>
      <c r="BX239" s="658">
        <f t="shared" si="125"/>
        <v>1137.5</v>
      </c>
      <c r="BY239" s="658">
        <f t="shared" si="126"/>
        <v>1365</v>
      </c>
      <c r="BZ239" s="658">
        <f t="shared" si="127"/>
        <v>1365</v>
      </c>
      <c r="CA239" s="658">
        <f t="shared" si="128"/>
        <v>1137.5</v>
      </c>
      <c r="CB239" s="644">
        <f t="shared" si="113"/>
        <v>5005</v>
      </c>
      <c r="CC239" s="658">
        <f t="shared" si="120"/>
        <v>455</v>
      </c>
      <c r="CD239" s="644">
        <f t="shared" ref="CD239:CD282" si="129">SUM(BX239:CA239)</f>
        <v>5005</v>
      </c>
      <c r="CE239" s="644">
        <f t="shared" si="124"/>
        <v>0</v>
      </c>
    </row>
    <row r="240" s="338" customFormat="1" ht="40" customHeight="1" spans="1:83">
      <c r="A240" s="632">
        <v>45762</v>
      </c>
      <c r="B240" s="659" t="s">
        <v>1367</v>
      </c>
      <c r="C240" s="634" t="s">
        <v>1368</v>
      </c>
      <c r="D240" s="635">
        <v>4500163691</v>
      </c>
      <c r="E240" s="659" t="s">
        <v>1369</v>
      </c>
      <c r="F240" s="636" t="s">
        <v>1370</v>
      </c>
      <c r="G240" s="637" t="s">
        <v>111</v>
      </c>
      <c r="H240" s="637" t="s">
        <v>99</v>
      </c>
      <c r="I240" s="638">
        <v>2002</v>
      </c>
      <c r="J240" s="638">
        <v>0</v>
      </c>
      <c r="K240" s="639">
        <v>22</v>
      </c>
      <c r="L240" s="639">
        <f t="shared" si="114"/>
        <v>91</v>
      </c>
      <c r="M240" s="641">
        <v>45818</v>
      </c>
      <c r="N240" s="641">
        <v>45834</v>
      </c>
      <c r="O240" s="642"/>
      <c r="P240" s="642" t="s">
        <v>100</v>
      </c>
      <c r="Q240" s="643" t="s">
        <v>1371</v>
      </c>
      <c r="R240" s="642" t="s">
        <v>1372</v>
      </c>
      <c r="S240" s="642"/>
      <c r="T240" s="642"/>
      <c r="U240" s="642" t="s">
        <v>1373</v>
      </c>
      <c r="V240" s="642"/>
      <c r="W240" s="645"/>
      <c r="X240" s="647" t="s">
        <v>1374</v>
      </c>
      <c r="Y240" s="646" t="s">
        <v>281</v>
      </c>
      <c r="Z240" s="648">
        <v>2.708</v>
      </c>
      <c r="AA240" s="650">
        <f t="shared" si="110"/>
        <v>5421.416</v>
      </c>
      <c r="AB240" s="649">
        <v>2002</v>
      </c>
      <c r="AC240" s="649">
        <f t="shared" si="99"/>
        <v>0</v>
      </c>
      <c r="AD240" s="650" t="s">
        <v>106</v>
      </c>
      <c r="AE240" s="637" t="s">
        <v>230</v>
      </c>
      <c r="AF240" s="646" t="s">
        <v>107</v>
      </c>
      <c r="AG240" s="652" t="s">
        <v>43</v>
      </c>
      <c r="AH240" s="646" t="s">
        <v>1250</v>
      </c>
      <c r="AI240" s="686"/>
      <c r="AJ240" s="686"/>
      <c r="AK240" s="686"/>
      <c r="AL240" s="649"/>
      <c r="AM240" s="649"/>
      <c r="AN240" s="686"/>
      <c r="AO240" s="649">
        <v>2002</v>
      </c>
      <c r="AP240" s="649"/>
      <c r="AQ240" s="653"/>
      <c r="AR240" s="686"/>
      <c r="AS240" s="686"/>
      <c r="AT240" s="652">
        <f>I240</f>
        <v>2002</v>
      </c>
      <c r="AU240" s="649"/>
      <c r="AV240" s="654"/>
      <c r="AW240" s="688"/>
      <c r="AX240" s="652"/>
      <c r="AY240" s="652"/>
      <c r="AZ240" s="687"/>
      <c r="BA240" s="652">
        <f>I240/11</f>
        <v>182</v>
      </c>
      <c r="BB240" s="652"/>
      <c r="BC240" s="687"/>
      <c r="BD240" s="687"/>
      <c r="BE240" s="654"/>
      <c r="BF240" s="687"/>
      <c r="BG240" s="654"/>
      <c r="BH240" s="654"/>
      <c r="BI240" s="687"/>
      <c r="BJ240" s="687"/>
      <c r="BK240" s="654"/>
      <c r="BL240" s="654"/>
      <c r="BM240" s="654"/>
      <c r="BN240" s="654"/>
      <c r="BO240" s="654"/>
      <c r="BP240" s="687"/>
      <c r="BQ240" s="654"/>
      <c r="BR240" s="687"/>
      <c r="BS240" s="654"/>
      <c r="BT240" s="654"/>
      <c r="BU240" s="654"/>
      <c r="BV240" s="654"/>
      <c r="BW240" s="645" t="s">
        <v>109</v>
      </c>
      <c r="BX240" s="658">
        <f t="shared" si="125"/>
        <v>455</v>
      </c>
      <c r="BY240" s="658">
        <f t="shared" si="126"/>
        <v>546</v>
      </c>
      <c r="BZ240" s="658">
        <f t="shared" si="127"/>
        <v>546</v>
      </c>
      <c r="CA240" s="658">
        <f t="shared" si="128"/>
        <v>455</v>
      </c>
      <c r="CB240" s="644">
        <f t="shared" si="113"/>
        <v>2002</v>
      </c>
      <c r="CC240" s="658">
        <f t="shared" si="120"/>
        <v>182</v>
      </c>
      <c r="CD240" s="644">
        <f t="shared" si="129"/>
        <v>2002</v>
      </c>
      <c r="CE240" s="644">
        <f t="shared" si="124"/>
        <v>0</v>
      </c>
    </row>
    <row r="241" s="338" customFormat="1" ht="40" customHeight="1" spans="1:83">
      <c r="A241" s="632">
        <v>45798</v>
      </c>
      <c r="B241" s="633" t="s">
        <v>177</v>
      </c>
      <c r="C241" s="659" t="s">
        <v>178</v>
      </c>
      <c r="D241" s="635">
        <v>4500167361</v>
      </c>
      <c r="E241" s="659" t="s">
        <v>1375</v>
      </c>
      <c r="F241" s="636" t="s">
        <v>1376</v>
      </c>
      <c r="G241" s="659" t="s">
        <v>189</v>
      </c>
      <c r="H241" s="637" t="s">
        <v>99</v>
      </c>
      <c r="I241" s="638">
        <v>24</v>
      </c>
      <c r="J241" s="638">
        <v>0</v>
      </c>
      <c r="K241" s="639">
        <v>24</v>
      </c>
      <c r="L241" s="639">
        <f t="shared" si="114"/>
        <v>1</v>
      </c>
      <c r="M241" s="641">
        <v>45834</v>
      </c>
      <c r="N241" s="641">
        <v>45831</v>
      </c>
      <c r="O241" s="641"/>
      <c r="P241" s="642" t="s">
        <v>100</v>
      </c>
      <c r="Q241" s="643" t="s">
        <v>1347</v>
      </c>
      <c r="R241" s="642" t="s">
        <v>1332</v>
      </c>
      <c r="S241" s="641"/>
      <c r="T241" s="641"/>
      <c r="U241" s="642" t="s">
        <v>493</v>
      </c>
      <c r="V241" s="645" t="s">
        <v>1377</v>
      </c>
      <c r="W241" s="645"/>
      <c r="X241" s="663" t="s">
        <v>1378</v>
      </c>
      <c r="Y241" s="639" t="s">
        <v>734</v>
      </c>
      <c r="Z241" s="648">
        <v>2.5135</v>
      </c>
      <c r="AA241" s="650">
        <f t="shared" si="110"/>
        <v>60.324</v>
      </c>
      <c r="AB241" s="649">
        <v>24</v>
      </c>
      <c r="AC241" s="649">
        <f t="shared" si="99"/>
        <v>0</v>
      </c>
      <c r="AD241" s="650" t="s">
        <v>106</v>
      </c>
      <c r="AE241" s="661" t="s">
        <v>190</v>
      </c>
      <c r="AF241" s="646" t="s">
        <v>107</v>
      </c>
      <c r="AG241" s="652" t="s">
        <v>43</v>
      </c>
      <c r="AH241" s="646"/>
      <c r="AI241" s="649"/>
      <c r="AJ241" s="649"/>
      <c r="AK241" s="649"/>
      <c r="AL241" s="649"/>
      <c r="AM241" s="649"/>
      <c r="AN241" s="649"/>
      <c r="AO241" s="649">
        <f>I241</f>
        <v>24</v>
      </c>
      <c r="AP241" s="649"/>
      <c r="AQ241" s="653"/>
      <c r="AR241" s="649"/>
      <c r="AS241" s="649"/>
      <c r="AT241" s="652">
        <f>I241</f>
        <v>24</v>
      </c>
      <c r="AU241" s="649"/>
      <c r="AV241" s="654"/>
      <c r="AW241" s="654"/>
      <c r="AX241" s="652"/>
      <c r="AY241" s="652"/>
      <c r="AZ241" s="654"/>
      <c r="BA241" s="652"/>
      <c r="BB241" s="652"/>
      <c r="BC241" s="654"/>
      <c r="BD241" s="654"/>
      <c r="BE241" s="654"/>
      <c r="BF241" s="654"/>
      <c r="BG241" s="652"/>
      <c r="BH241" s="652"/>
      <c r="BI241" s="654"/>
      <c r="BJ241" s="654"/>
      <c r="BK241" s="654"/>
      <c r="BL241" s="654"/>
      <c r="BM241" s="654"/>
      <c r="BN241" s="654"/>
      <c r="BO241" s="654"/>
      <c r="BP241" s="654"/>
      <c r="BQ241" s="654"/>
      <c r="BR241" s="654"/>
      <c r="BS241" s="654"/>
      <c r="BT241" s="654"/>
      <c r="BU241" s="654"/>
      <c r="BV241" s="654"/>
      <c r="BW241" s="645" t="s">
        <v>109</v>
      </c>
      <c r="BX241" s="658"/>
      <c r="BY241" s="658"/>
      <c r="BZ241" s="658"/>
      <c r="CA241" s="658">
        <f>I241</f>
        <v>24</v>
      </c>
      <c r="CB241" s="644">
        <f t="shared" si="113"/>
        <v>24</v>
      </c>
      <c r="CC241" s="658"/>
      <c r="CD241" s="644">
        <f t="shared" si="129"/>
        <v>24</v>
      </c>
      <c r="CE241" s="644">
        <f t="shared" si="124"/>
        <v>0</v>
      </c>
    </row>
    <row r="242" s="338" customFormat="1" ht="40" customHeight="1" spans="1:83">
      <c r="A242" s="632">
        <v>45798</v>
      </c>
      <c r="B242" s="633" t="s">
        <v>177</v>
      </c>
      <c r="C242" s="659" t="s">
        <v>178</v>
      </c>
      <c r="D242" s="635">
        <v>4500167361</v>
      </c>
      <c r="E242" s="659" t="s">
        <v>1379</v>
      </c>
      <c r="F242" s="636" t="s">
        <v>1380</v>
      </c>
      <c r="G242" s="659" t="s">
        <v>189</v>
      </c>
      <c r="H242" s="637" t="s">
        <v>99</v>
      </c>
      <c r="I242" s="638">
        <v>24</v>
      </c>
      <c r="J242" s="638">
        <v>0</v>
      </c>
      <c r="K242" s="639">
        <v>24</v>
      </c>
      <c r="L242" s="639">
        <f t="shared" si="114"/>
        <v>1</v>
      </c>
      <c r="M242" s="641">
        <v>45834</v>
      </c>
      <c r="N242" s="641">
        <v>45831</v>
      </c>
      <c r="O242" s="641"/>
      <c r="P242" s="642" t="s">
        <v>100</v>
      </c>
      <c r="Q242" s="643" t="s">
        <v>1347</v>
      </c>
      <c r="R242" s="642" t="s">
        <v>1332</v>
      </c>
      <c r="S242" s="641"/>
      <c r="T242" s="641"/>
      <c r="U242" s="642" t="s">
        <v>493</v>
      </c>
      <c r="V242" s="645" t="s">
        <v>1377</v>
      </c>
      <c r="W242" s="645"/>
      <c r="X242" s="663" t="s">
        <v>1378</v>
      </c>
      <c r="Y242" s="639" t="s">
        <v>734</v>
      </c>
      <c r="Z242" s="648">
        <v>2.4879</v>
      </c>
      <c r="AA242" s="650">
        <f t="shared" si="110"/>
        <v>59.7096</v>
      </c>
      <c r="AB242" s="649">
        <v>24</v>
      </c>
      <c r="AC242" s="649">
        <f t="shared" si="99"/>
        <v>0</v>
      </c>
      <c r="AD242" s="650" t="s">
        <v>106</v>
      </c>
      <c r="AE242" s="661" t="s">
        <v>190</v>
      </c>
      <c r="AF242" s="646" t="s">
        <v>107</v>
      </c>
      <c r="AG242" s="652" t="s">
        <v>43</v>
      </c>
      <c r="AH242" s="646"/>
      <c r="AI242" s="649"/>
      <c r="AJ242" s="649"/>
      <c r="AK242" s="649"/>
      <c r="AL242" s="649"/>
      <c r="AM242" s="649"/>
      <c r="AN242" s="649"/>
      <c r="AO242" s="649">
        <f>I242</f>
        <v>24</v>
      </c>
      <c r="AP242" s="649"/>
      <c r="AQ242" s="653"/>
      <c r="AR242" s="649"/>
      <c r="AS242" s="649"/>
      <c r="AT242" s="652">
        <f>I242</f>
        <v>24</v>
      </c>
      <c r="AU242" s="649"/>
      <c r="AV242" s="654"/>
      <c r="AW242" s="654"/>
      <c r="AX242" s="652"/>
      <c r="AY242" s="652"/>
      <c r="AZ242" s="654"/>
      <c r="BA242" s="652"/>
      <c r="BB242" s="652"/>
      <c r="BC242" s="654"/>
      <c r="BD242" s="654"/>
      <c r="BE242" s="654"/>
      <c r="BF242" s="654"/>
      <c r="BG242" s="652"/>
      <c r="BH242" s="652"/>
      <c r="BI242" s="654"/>
      <c r="BJ242" s="654"/>
      <c r="BK242" s="654"/>
      <c r="BL242" s="654"/>
      <c r="BM242" s="654"/>
      <c r="BN242" s="654"/>
      <c r="BO242" s="654"/>
      <c r="BP242" s="654"/>
      <c r="BQ242" s="654"/>
      <c r="BR242" s="654"/>
      <c r="BS242" s="654"/>
      <c r="BT242" s="654"/>
      <c r="BU242" s="654"/>
      <c r="BV242" s="654"/>
      <c r="BW242" s="645" t="s">
        <v>109</v>
      </c>
      <c r="BX242" s="658"/>
      <c r="BY242" s="658"/>
      <c r="BZ242" s="658"/>
      <c r="CA242" s="658">
        <f>I242</f>
        <v>24</v>
      </c>
      <c r="CB242" s="644">
        <f t="shared" si="113"/>
        <v>24</v>
      </c>
      <c r="CC242" s="658"/>
      <c r="CD242" s="644">
        <f t="shared" si="129"/>
        <v>24</v>
      </c>
      <c r="CE242" s="644">
        <f t="shared" si="124"/>
        <v>0</v>
      </c>
    </row>
    <row r="243" s="338" customFormat="1" ht="40" customHeight="1" spans="1:83">
      <c r="A243" s="632">
        <v>45798</v>
      </c>
      <c r="B243" s="633" t="s">
        <v>177</v>
      </c>
      <c r="C243" s="659" t="s">
        <v>178</v>
      </c>
      <c r="D243" s="635">
        <v>4500167361</v>
      </c>
      <c r="E243" s="659" t="s">
        <v>1381</v>
      </c>
      <c r="F243" s="636" t="s">
        <v>1382</v>
      </c>
      <c r="G243" s="659" t="s">
        <v>189</v>
      </c>
      <c r="H243" s="637" t="s">
        <v>99</v>
      </c>
      <c r="I243" s="638">
        <v>24</v>
      </c>
      <c r="J243" s="638">
        <v>0</v>
      </c>
      <c r="K243" s="639">
        <v>24</v>
      </c>
      <c r="L243" s="639">
        <f t="shared" si="114"/>
        <v>1</v>
      </c>
      <c r="M243" s="641">
        <v>45834</v>
      </c>
      <c r="N243" s="641">
        <v>45831</v>
      </c>
      <c r="O243" s="641"/>
      <c r="P243" s="642" t="s">
        <v>100</v>
      </c>
      <c r="Q243" s="643" t="s">
        <v>1347</v>
      </c>
      <c r="R243" s="642" t="s">
        <v>1332</v>
      </c>
      <c r="S243" s="641"/>
      <c r="T243" s="641"/>
      <c r="U243" s="642" t="s">
        <v>493</v>
      </c>
      <c r="V243" s="645" t="s">
        <v>1377</v>
      </c>
      <c r="W243" s="645"/>
      <c r="X243" s="663" t="s">
        <v>1378</v>
      </c>
      <c r="Y243" s="639" t="s">
        <v>734</v>
      </c>
      <c r="Z243" s="648">
        <v>2.4879</v>
      </c>
      <c r="AA243" s="650">
        <f t="shared" si="110"/>
        <v>59.7096</v>
      </c>
      <c r="AB243" s="649">
        <v>24</v>
      </c>
      <c r="AC243" s="649">
        <f t="shared" si="99"/>
        <v>0</v>
      </c>
      <c r="AD243" s="650" t="s">
        <v>106</v>
      </c>
      <c r="AE243" s="661" t="s">
        <v>190</v>
      </c>
      <c r="AF243" s="646" t="s">
        <v>107</v>
      </c>
      <c r="AG243" s="652" t="s">
        <v>43</v>
      </c>
      <c r="AH243" s="646"/>
      <c r="AI243" s="649"/>
      <c r="AJ243" s="649"/>
      <c r="AK243" s="649"/>
      <c r="AL243" s="649"/>
      <c r="AM243" s="649"/>
      <c r="AN243" s="649"/>
      <c r="AO243" s="649">
        <f>I243</f>
        <v>24</v>
      </c>
      <c r="AP243" s="649"/>
      <c r="AQ243" s="653"/>
      <c r="AR243" s="649"/>
      <c r="AS243" s="649"/>
      <c r="AT243" s="652">
        <f>I243</f>
        <v>24</v>
      </c>
      <c r="AU243" s="649"/>
      <c r="AV243" s="654"/>
      <c r="AW243" s="654"/>
      <c r="AX243" s="652"/>
      <c r="AY243" s="652"/>
      <c r="AZ243" s="654"/>
      <c r="BA243" s="652"/>
      <c r="BB243" s="652"/>
      <c r="BC243" s="654"/>
      <c r="BD243" s="654"/>
      <c r="BE243" s="654"/>
      <c r="BF243" s="654"/>
      <c r="BG243" s="652"/>
      <c r="BH243" s="652"/>
      <c r="BI243" s="654"/>
      <c r="BJ243" s="654"/>
      <c r="BK243" s="654"/>
      <c r="BL243" s="654"/>
      <c r="BM243" s="654"/>
      <c r="BN243" s="654"/>
      <c r="BO243" s="654"/>
      <c r="BP243" s="654"/>
      <c r="BQ243" s="654"/>
      <c r="BR243" s="654"/>
      <c r="BS243" s="654"/>
      <c r="BT243" s="654"/>
      <c r="BU243" s="654"/>
      <c r="BV243" s="654"/>
      <c r="BW243" s="645" t="s">
        <v>109</v>
      </c>
      <c r="BX243" s="658"/>
      <c r="BY243" s="658"/>
      <c r="BZ243" s="658"/>
      <c r="CA243" s="658">
        <f>I243</f>
        <v>24</v>
      </c>
      <c r="CB243" s="644">
        <f t="shared" si="113"/>
        <v>24</v>
      </c>
      <c r="CC243" s="658"/>
      <c r="CD243" s="644">
        <f t="shared" si="129"/>
        <v>24</v>
      </c>
      <c r="CE243" s="644">
        <f t="shared" si="124"/>
        <v>0</v>
      </c>
    </row>
    <row r="244" s="338" customFormat="1" ht="40" customHeight="1" spans="1:83">
      <c r="A244" s="632">
        <v>45798</v>
      </c>
      <c r="B244" s="633" t="s">
        <v>177</v>
      </c>
      <c r="C244" s="659" t="s">
        <v>178</v>
      </c>
      <c r="D244" s="635">
        <v>4500167361</v>
      </c>
      <c r="E244" s="659" t="s">
        <v>1383</v>
      </c>
      <c r="F244" s="636" t="s">
        <v>1384</v>
      </c>
      <c r="G244" s="659" t="s">
        <v>189</v>
      </c>
      <c r="H244" s="637" t="s">
        <v>99</v>
      </c>
      <c r="I244" s="638">
        <v>24</v>
      </c>
      <c r="J244" s="638">
        <v>0</v>
      </c>
      <c r="K244" s="639">
        <v>24</v>
      </c>
      <c r="L244" s="639">
        <f t="shared" si="114"/>
        <v>1</v>
      </c>
      <c r="M244" s="641">
        <v>45834</v>
      </c>
      <c r="N244" s="641">
        <v>45831</v>
      </c>
      <c r="O244" s="641"/>
      <c r="P244" s="642" t="s">
        <v>100</v>
      </c>
      <c r="Q244" s="643" t="s">
        <v>1347</v>
      </c>
      <c r="R244" s="642" t="s">
        <v>1332</v>
      </c>
      <c r="S244" s="641"/>
      <c r="T244" s="641"/>
      <c r="U244" s="642" t="s">
        <v>493</v>
      </c>
      <c r="V244" s="645" t="s">
        <v>1377</v>
      </c>
      <c r="W244" s="645"/>
      <c r="X244" s="663" t="s">
        <v>1378</v>
      </c>
      <c r="Y244" s="639" t="s">
        <v>734</v>
      </c>
      <c r="Z244" s="648">
        <v>2.4879</v>
      </c>
      <c r="AA244" s="650">
        <f t="shared" si="110"/>
        <v>59.7096</v>
      </c>
      <c r="AB244" s="649">
        <v>24</v>
      </c>
      <c r="AC244" s="649">
        <f t="shared" si="99"/>
        <v>0</v>
      </c>
      <c r="AD244" s="650" t="s">
        <v>106</v>
      </c>
      <c r="AE244" s="661" t="s">
        <v>190</v>
      </c>
      <c r="AF244" s="646" t="s">
        <v>107</v>
      </c>
      <c r="AG244" s="652" t="s">
        <v>43</v>
      </c>
      <c r="AH244" s="646"/>
      <c r="AI244" s="649"/>
      <c r="AJ244" s="649"/>
      <c r="AK244" s="649"/>
      <c r="AL244" s="649"/>
      <c r="AM244" s="649"/>
      <c r="AN244" s="649"/>
      <c r="AO244" s="649">
        <f t="shared" ref="AO241:AO253" si="130">I244</f>
        <v>24</v>
      </c>
      <c r="AP244" s="649"/>
      <c r="AQ244" s="653"/>
      <c r="AR244" s="649"/>
      <c r="AS244" s="649"/>
      <c r="AT244" s="652">
        <f t="shared" ref="AT244:AT251" si="131">I244</f>
        <v>24</v>
      </c>
      <c r="AU244" s="649"/>
      <c r="AV244" s="654"/>
      <c r="AW244" s="654"/>
      <c r="AX244" s="652"/>
      <c r="AY244" s="652"/>
      <c r="AZ244" s="654"/>
      <c r="BA244" s="652"/>
      <c r="BB244" s="652"/>
      <c r="BC244" s="654"/>
      <c r="BD244" s="654"/>
      <c r="BE244" s="654"/>
      <c r="BF244" s="654"/>
      <c r="BG244" s="652"/>
      <c r="BH244" s="652"/>
      <c r="BI244" s="654"/>
      <c r="BJ244" s="654"/>
      <c r="BK244" s="654"/>
      <c r="BL244" s="654"/>
      <c r="BM244" s="654"/>
      <c r="BN244" s="654"/>
      <c r="BO244" s="654"/>
      <c r="BP244" s="654"/>
      <c r="BQ244" s="654"/>
      <c r="BR244" s="654"/>
      <c r="BS244" s="654"/>
      <c r="BT244" s="654"/>
      <c r="BU244" s="654"/>
      <c r="BV244" s="654"/>
      <c r="BW244" s="645" t="s">
        <v>109</v>
      </c>
      <c r="BX244" s="658"/>
      <c r="BY244" s="658"/>
      <c r="BZ244" s="658"/>
      <c r="CA244" s="658">
        <f>I244</f>
        <v>24</v>
      </c>
      <c r="CB244" s="644">
        <f t="shared" si="113"/>
        <v>24</v>
      </c>
      <c r="CC244" s="658"/>
      <c r="CD244" s="644">
        <f t="shared" si="129"/>
        <v>24</v>
      </c>
      <c r="CE244" s="644">
        <f t="shared" si="124"/>
        <v>0</v>
      </c>
    </row>
    <row r="245" s="338" customFormat="1" ht="40" customHeight="1" spans="1:83">
      <c r="A245" s="632">
        <v>45798</v>
      </c>
      <c r="B245" s="633" t="s">
        <v>177</v>
      </c>
      <c r="C245" s="659" t="s">
        <v>178</v>
      </c>
      <c r="D245" s="635">
        <v>4500167361</v>
      </c>
      <c r="E245" s="659" t="s">
        <v>1385</v>
      </c>
      <c r="F245" s="636" t="s">
        <v>1386</v>
      </c>
      <c r="G245" s="659" t="s">
        <v>189</v>
      </c>
      <c r="H245" s="637" t="s">
        <v>99</v>
      </c>
      <c r="I245" s="638">
        <v>24</v>
      </c>
      <c r="J245" s="638">
        <v>0</v>
      </c>
      <c r="K245" s="639">
        <v>24</v>
      </c>
      <c r="L245" s="639">
        <f t="shared" si="114"/>
        <v>1</v>
      </c>
      <c r="M245" s="641">
        <v>45834</v>
      </c>
      <c r="N245" s="641">
        <v>45831</v>
      </c>
      <c r="O245" s="641"/>
      <c r="P245" s="642" t="s">
        <v>100</v>
      </c>
      <c r="Q245" s="643" t="s">
        <v>1347</v>
      </c>
      <c r="R245" s="642" t="s">
        <v>1332</v>
      </c>
      <c r="S245" s="641"/>
      <c r="T245" s="641"/>
      <c r="U245" s="642" t="s">
        <v>493</v>
      </c>
      <c r="V245" s="645" t="s">
        <v>1377</v>
      </c>
      <c r="W245" s="645"/>
      <c r="X245" s="663" t="s">
        <v>1378</v>
      </c>
      <c r="Y245" s="639" t="s">
        <v>734</v>
      </c>
      <c r="Z245" s="648">
        <v>2.4879</v>
      </c>
      <c r="AA245" s="650">
        <f t="shared" si="110"/>
        <v>59.7096</v>
      </c>
      <c r="AB245" s="649">
        <v>24</v>
      </c>
      <c r="AC245" s="649">
        <f t="shared" si="99"/>
        <v>0</v>
      </c>
      <c r="AD245" s="650" t="s">
        <v>106</v>
      </c>
      <c r="AE245" s="661" t="s">
        <v>190</v>
      </c>
      <c r="AF245" s="646" t="s">
        <v>107</v>
      </c>
      <c r="AG245" s="652" t="s">
        <v>43</v>
      </c>
      <c r="AH245" s="646"/>
      <c r="AI245" s="649"/>
      <c r="AJ245" s="649"/>
      <c r="AK245" s="649"/>
      <c r="AL245" s="649"/>
      <c r="AM245" s="649"/>
      <c r="AN245" s="649"/>
      <c r="AO245" s="649">
        <f t="shared" si="130"/>
        <v>24</v>
      </c>
      <c r="AP245" s="649"/>
      <c r="AQ245" s="653"/>
      <c r="AR245" s="649"/>
      <c r="AS245" s="649"/>
      <c r="AT245" s="652">
        <f t="shared" si="131"/>
        <v>24</v>
      </c>
      <c r="AU245" s="649"/>
      <c r="AV245" s="654"/>
      <c r="AW245" s="654"/>
      <c r="AX245" s="652"/>
      <c r="AY245" s="652"/>
      <c r="AZ245" s="654"/>
      <c r="BA245" s="652"/>
      <c r="BB245" s="652"/>
      <c r="BC245" s="654"/>
      <c r="BD245" s="654"/>
      <c r="BE245" s="654"/>
      <c r="BF245" s="654"/>
      <c r="BG245" s="652"/>
      <c r="BH245" s="652"/>
      <c r="BI245" s="654"/>
      <c r="BJ245" s="654"/>
      <c r="BK245" s="654"/>
      <c r="BL245" s="654"/>
      <c r="BM245" s="654"/>
      <c r="BN245" s="654"/>
      <c r="BO245" s="654"/>
      <c r="BP245" s="654"/>
      <c r="BQ245" s="654"/>
      <c r="BR245" s="654"/>
      <c r="BS245" s="654"/>
      <c r="BT245" s="654"/>
      <c r="BU245" s="654"/>
      <c r="BV245" s="654"/>
      <c r="BW245" s="645" t="s">
        <v>109</v>
      </c>
      <c r="BX245" s="658"/>
      <c r="BY245" s="658"/>
      <c r="BZ245" s="658"/>
      <c r="CA245" s="658">
        <f>I245</f>
        <v>24</v>
      </c>
      <c r="CB245" s="644">
        <f t="shared" si="113"/>
        <v>24</v>
      </c>
      <c r="CC245" s="658"/>
      <c r="CD245" s="644">
        <f t="shared" si="129"/>
        <v>24</v>
      </c>
      <c r="CE245" s="644">
        <f t="shared" si="124"/>
        <v>0</v>
      </c>
    </row>
    <row r="246" s="338" customFormat="1" ht="40" customHeight="1" spans="1:83">
      <c r="A246" s="632">
        <v>45798</v>
      </c>
      <c r="B246" s="633" t="s">
        <v>177</v>
      </c>
      <c r="C246" s="659" t="s">
        <v>178</v>
      </c>
      <c r="D246" s="635">
        <v>4500167361</v>
      </c>
      <c r="E246" s="659" t="s">
        <v>1387</v>
      </c>
      <c r="F246" s="636" t="s">
        <v>1388</v>
      </c>
      <c r="G246" s="659" t="s">
        <v>159</v>
      </c>
      <c r="H246" s="637" t="s">
        <v>99</v>
      </c>
      <c r="I246" s="638">
        <v>24</v>
      </c>
      <c r="J246" s="638">
        <v>0</v>
      </c>
      <c r="K246" s="639">
        <v>24</v>
      </c>
      <c r="L246" s="639">
        <f t="shared" si="114"/>
        <v>1</v>
      </c>
      <c r="M246" s="641">
        <v>45834</v>
      </c>
      <c r="N246" s="641">
        <v>45831</v>
      </c>
      <c r="O246" s="641"/>
      <c r="P246" s="642" t="s">
        <v>100</v>
      </c>
      <c r="Q246" s="643" t="s">
        <v>1347</v>
      </c>
      <c r="R246" s="642" t="s">
        <v>1332</v>
      </c>
      <c r="S246" s="641"/>
      <c r="T246" s="641"/>
      <c r="U246" s="642" t="s">
        <v>493</v>
      </c>
      <c r="V246" s="645" t="s">
        <v>1377</v>
      </c>
      <c r="W246" s="645"/>
      <c r="X246" s="663" t="s">
        <v>1378</v>
      </c>
      <c r="Y246" s="639" t="s">
        <v>734</v>
      </c>
      <c r="Z246" s="648">
        <v>2.4879</v>
      </c>
      <c r="AA246" s="650">
        <f t="shared" si="110"/>
        <v>59.7096</v>
      </c>
      <c r="AB246" s="649">
        <v>24</v>
      </c>
      <c r="AC246" s="649">
        <f t="shared" si="99"/>
        <v>0</v>
      </c>
      <c r="AD246" s="650" t="s">
        <v>106</v>
      </c>
      <c r="AE246" s="661" t="s">
        <v>166</v>
      </c>
      <c r="AF246" s="646" t="s">
        <v>107</v>
      </c>
      <c r="AG246" s="652" t="s">
        <v>43</v>
      </c>
      <c r="AH246" s="646"/>
      <c r="AI246" s="649"/>
      <c r="AJ246" s="649"/>
      <c r="AK246" s="649"/>
      <c r="AL246" s="649"/>
      <c r="AM246" s="649"/>
      <c r="AN246" s="649"/>
      <c r="AO246" s="649">
        <f t="shared" si="130"/>
        <v>24</v>
      </c>
      <c r="AP246" s="649"/>
      <c r="AQ246" s="653"/>
      <c r="AR246" s="649"/>
      <c r="AS246" s="649"/>
      <c r="AT246" s="652">
        <f t="shared" si="131"/>
        <v>24</v>
      </c>
      <c r="AU246" s="649"/>
      <c r="AV246" s="654"/>
      <c r="AW246" s="654"/>
      <c r="AX246" s="652"/>
      <c r="AY246" s="652"/>
      <c r="AZ246" s="654"/>
      <c r="BA246" s="652"/>
      <c r="BB246" s="652"/>
      <c r="BC246" s="654"/>
      <c r="BD246" s="654"/>
      <c r="BE246" s="654"/>
      <c r="BF246" s="654"/>
      <c r="BG246" s="652"/>
      <c r="BH246" s="652"/>
      <c r="BI246" s="654"/>
      <c r="BJ246" s="654"/>
      <c r="BK246" s="654"/>
      <c r="BL246" s="654"/>
      <c r="BM246" s="654"/>
      <c r="BN246" s="654"/>
      <c r="BO246" s="654"/>
      <c r="BP246" s="654"/>
      <c r="BQ246" s="654"/>
      <c r="BR246" s="654"/>
      <c r="BS246" s="654"/>
      <c r="BT246" s="654"/>
      <c r="BU246" s="654"/>
      <c r="BV246" s="654"/>
      <c r="BW246" s="645" t="s">
        <v>109</v>
      </c>
      <c r="BX246" s="658"/>
      <c r="BY246" s="658">
        <f>I246</f>
        <v>24</v>
      </c>
      <c r="BZ246" s="658"/>
      <c r="CA246" s="658"/>
      <c r="CB246" s="644">
        <f t="shared" si="113"/>
        <v>24</v>
      </c>
      <c r="CC246" s="658"/>
      <c r="CD246" s="644">
        <f t="shared" si="129"/>
        <v>24</v>
      </c>
      <c r="CE246" s="644">
        <f t="shared" si="124"/>
        <v>0</v>
      </c>
    </row>
    <row r="247" s="338" customFormat="1" ht="40" customHeight="1" spans="1:83">
      <c r="A247" s="632">
        <v>45798</v>
      </c>
      <c r="B247" s="633" t="s">
        <v>177</v>
      </c>
      <c r="C247" s="659" t="s">
        <v>178</v>
      </c>
      <c r="D247" s="635">
        <v>4500167361</v>
      </c>
      <c r="E247" s="659" t="s">
        <v>1389</v>
      </c>
      <c r="F247" s="636" t="s">
        <v>1390</v>
      </c>
      <c r="G247" s="659" t="s">
        <v>159</v>
      </c>
      <c r="H247" s="637" t="s">
        <v>99</v>
      </c>
      <c r="I247" s="638">
        <v>24</v>
      </c>
      <c r="J247" s="638">
        <v>0</v>
      </c>
      <c r="K247" s="639">
        <v>24</v>
      </c>
      <c r="L247" s="639">
        <f t="shared" si="114"/>
        <v>1</v>
      </c>
      <c r="M247" s="641">
        <v>45834</v>
      </c>
      <c r="N247" s="641">
        <v>45831</v>
      </c>
      <c r="O247" s="641"/>
      <c r="P247" s="642" t="s">
        <v>100</v>
      </c>
      <c r="Q247" s="643" t="s">
        <v>1347</v>
      </c>
      <c r="R247" s="642" t="s">
        <v>1332</v>
      </c>
      <c r="S247" s="641"/>
      <c r="T247" s="641"/>
      <c r="U247" s="642" t="s">
        <v>493</v>
      </c>
      <c r="V247" s="645" t="s">
        <v>1377</v>
      </c>
      <c r="W247" s="645"/>
      <c r="X247" s="663" t="s">
        <v>1378</v>
      </c>
      <c r="Y247" s="639" t="s">
        <v>734</v>
      </c>
      <c r="Z247" s="648">
        <v>2.4879</v>
      </c>
      <c r="AA247" s="650">
        <f t="shared" si="110"/>
        <v>59.7096</v>
      </c>
      <c r="AB247" s="649">
        <v>24</v>
      </c>
      <c r="AC247" s="649">
        <f t="shared" si="99"/>
        <v>0</v>
      </c>
      <c r="AD247" s="650" t="s">
        <v>106</v>
      </c>
      <c r="AE247" s="661" t="s">
        <v>166</v>
      </c>
      <c r="AF247" s="646" t="s">
        <v>107</v>
      </c>
      <c r="AG247" s="652" t="s">
        <v>43</v>
      </c>
      <c r="AH247" s="646"/>
      <c r="AI247" s="649"/>
      <c r="AJ247" s="649"/>
      <c r="AK247" s="649"/>
      <c r="AL247" s="649"/>
      <c r="AM247" s="649"/>
      <c r="AN247" s="649"/>
      <c r="AO247" s="649">
        <f t="shared" si="130"/>
        <v>24</v>
      </c>
      <c r="AP247" s="649"/>
      <c r="AQ247" s="653"/>
      <c r="AR247" s="649"/>
      <c r="AS247" s="649"/>
      <c r="AT247" s="652">
        <f t="shared" si="131"/>
        <v>24</v>
      </c>
      <c r="AU247" s="649"/>
      <c r="AV247" s="654"/>
      <c r="AW247" s="654"/>
      <c r="AX247" s="652"/>
      <c r="AY247" s="652"/>
      <c r="AZ247" s="654"/>
      <c r="BA247" s="652"/>
      <c r="BB247" s="652"/>
      <c r="BC247" s="654"/>
      <c r="BD247" s="654"/>
      <c r="BE247" s="654"/>
      <c r="BF247" s="654"/>
      <c r="BG247" s="652"/>
      <c r="BH247" s="652"/>
      <c r="BI247" s="654"/>
      <c r="BJ247" s="654"/>
      <c r="BK247" s="654"/>
      <c r="BL247" s="654"/>
      <c r="BM247" s="654"/>
      <c r="BN247" s="654"/>
      <c r="BO247" s="654"/>
      <c r="BP247" s="654"/>
      <c r="BQ247" s="654"/>
      <c r="BR247" s="654"/>
      <c r="BS247" s="654"/>
      <c r="BT247" s="654"/>
      <c r="BU247" s="654"/>
      <c r="BV247" s="654"/>
      <c r="BW247" s="645" t="s">
        <v>109</v>
      </c>
      <c r="BX247" s="658"/>
      <c r="BY247" s="658">
        <f>I247</f>
        <v>24</v>
      </c>
      <c r="BZ247" s="658"/>
      <c r="CA247" s="658"/>
      <c r="CB247" s="644">
        <f t="shared" si="113"/>
        <v>24</v>
      </c>
      <c r="CC247" s="658"/>
      <c r="CD247" s="644">
        <f t="shared" si="129"/>
        <v>24</v>
      </c>
      <c r="CE247" s="644">
        <f t="shared" si="124"/>
        <v>0</v>
      </c>
    </row>
    <row r="248" s="338" customFormat="1" ht="40" customHeight="1" spans="1:83">
      <c r="A248" s="632">
        <v>45798</v>
      </c>
      <c r="B248" s="633" t="s">
        <v>177</v>
      </c>
      <c r="C248" s="659" t="s">
        <v>178</v>
      </c>
      <c r="D248" s="635">
        <v>4500167361</v>
      </c>
      <c r="E248" s="659" t="s">
        <v>1391</v>
      </c>
      <c r="F248" s="636" t="s">
        <v>1392</v>
      </c>
      <c r="G248" s="659" t="s">
        <v>132</v>
      </c>
      <c r="H248" s="637" t="s">
        <v>99</v>
      </c>
      <c r="I248" s="638">
        <v>24</v>
      </c>
      <c r="J248" s="638">
        <v>0</v>
      </c>
      <c r="K248" s="639">
        <v>24</v>
      </c>
      <c r="L248" s="639">
        <f t="shared" si="114"/>
        <v>1</v>
      </c>
      <c r="M248" s="641">
        <v>45834</v>
      </c>
      <c r="N248" s="641">
        <v>45831</v>
      </c>
      <c r="O248" s="641"/>
      <c r="P248" s="642" t="s">
        <v>100</v>
      </c>
      <c r="Q248" s="643" t="s">
        <v>1347</v>
      </c>
      <c r="R248" s="642" t="s">
        <v>1332</v>
      </c>
      <c r="S248" s="641"/>
      <c r="T248" s="641"/>
      <c r="U248" s="642" t="s">
        <v>493</v>
      </c>
      <c r="V248" s="645" t="s">
        <v>1377</v>
      </c>
      <c r="W248" s="645"/>
      <c r="X248" s="663" t="s">
        <v>1378</v>
      </c>
      <c r="Y248" s="639" t="s">
        <v>734</v>
      </c>
      <c r="Z248" s="648">
        <v>2.4879</v>
      </c>
      <c r="AA248" s="650">
        <f t="shared" si="110"/>
        <v>59.7096</v>
      </c>
      <c r="AB248" s="649">
        <v>24</v>
      </c>
      <c r="AC248" s="649">
        <f t="shared" si="99"/>
        <v>0</v>
      </c>
      <c r="AD248" s="650" t="s">
        <v>106</v>
      </c>
      <c r="AE248" s="637" t="s">
        <v>193</v>
      </c>
      <c r="AF248" s="646" t="s">
        <v>107</v>
      </c>
      <c r="AG248" s="652" t="s">
        <v>43</v>
      </c>
      <c r="AH248" s="646"/>
      <c r="AI248" s="649"/>
      <c r="AJ248" s="649"/>
      <c r="AK248" s="649"/>
      <c r="AL248" s="649"/>
      <c r="AM248" s="649"/>
      <c r="AN248" s="649"/>
      <c r="AO248" s="649">
        <f t="shared" si="130"/>
        <v>24</v>
      </c>
      <c r="AP248" s="649"/>
      <c r="AQ248" s="653"/>
      <c r="AR248" s="649"/>
      <c r="AS248" s="649"/>
      <c r="AT248" s="652">
        <f t="shared" si="131"/>
        <v>24</v>
      </c>
      <c r="AU248" s="649"/>
      <c r="AV248" s="654"/>
      <c r="AW248" s="654"/>
      <c r="AX248" s="652"/>
      <c r="AY248" s="652"/>
      <c r="AZ248" s="654"/>
      <c r="BA248" s="652"/>
      <c r="BB248" s="652"/>
      <c r="BC248" s="654"/>
      <c r="BD248" s="654"/>
      <c r="BE248" s="654"/>
      <c r="BF248" s="654"/>
      <c r="BG248" s="652"/>
      <c r="BH248" s="652"/>
      <c r="BI248" s="654"/>
      <c r="BJ248" s="654"/>
      <c r="BK248" s="654"/>
      <c r="BL248" s="654"/>
      <c r="BM248" s="654"/>
      <c r="BN248" s="654"/>
      <c r="BO248" s="654"/>
      <c r="BP248" s="654"/>
      <c r="BQ248" s="654"/>
      <c r="BR248" s="654"/>
      <c r="BS248" s="654"/>
      <c r="BT248" s="654"/>
      <c r="BU248" s="654"/>
      <c r="BV248" s="654"/>
      <c r="BW248" s="645" t="s">
        <v>109</v>
      </c>
      <c r="BX248" s="658">
        <f>I248</f>
        <v>24</v>
      </c>
      <c r="BY248" s="658"/>
      <c r="BZ248" s="658"/>
      <c r="CA248" s="658"/>
      <c r="CB248" s="644">
        <f t="shared" si="113"/>
        <v>24</v>
      </c>
      <c r="CC248" s="675"/>
      <c r="CD248" s="644">
        <f t="shared" si="129"/>
        <v>24</v>
      </c>
      <c r="CE248" s="644">
        <f t="shared" si="124"/>
        <v>0</v>
      </c>
    </row>
    <row r="249" s="338" customFormat="1" ht="40" customHeight="1" spans="1:83">
      <c r="A249" s="632">
        <v>45798</v>
      </c>
      <c r="B249" s="633" t="s">
        <v>177</v>
      </c>
      <c r="C249" s="659" t="s">
        <v>178</v>
      </c>
      <c r="D249" s="635">
        <v>4500167361</v>
      </c>
      <c r="E249" s="659" t="s">
        <v>1393</v>
      </c>
      <c r="F249" s="636" t="s">
        <v>1394</v>
      </c>
      <c r="G249" s="659" t="s">
        <v>132</v>
      </c>
      <c r="H249" s="637" t="s">
        <v>99</v>
      </c>
      <c r="I249" s="638">
        <v>48</v>
      </c>
      <c r="J249" s="638">
        <v>0</v>
      </c>
      <c r="K249" s="639">
        <v>24</v>
      </c>
      <c r="L249" s="639">
        <f t="shared" si="114"/>
        <v>2</v>
      </c>
      <c r="M249" s="641">
        <v>45834</v>
      </c>
      <c r="N249" s="641">
        <v>45831</v>
      </c>
      <c r="O249" s="641"/>
      <c r="P249" s="642" t="s">
        <v>100</v>
      </c>
      <c r="Q249" s="643" t="s">
        <v>1347</v>
      </c>
      <c r="R249" s="642" t="s">
        <v>1332</v>
      </c>
      <c r="S249" s="641"/>
      <c r="T249" s="641"/>
      <c r="U249" s="642" t="s">
        <v>493</v>
      </c>
      <c r="V249" s="645" t="s">
        <v>1377</v>
      </c>
      <c r="W249" s="645"/>
      <c r="X249" s="663" t="s">
        <v>1378</v>
      </c>
      <c r="Y249" s="639" t="s">
        <v>734</v>
      </c>
      <c r="Z249" s="648">
        <v>2.4879</v>
      </c>
      <c r="AA249" s="650">
        <f t="shared" si="110"/>
        <v>119.4192</v>
      </c>
      <c r="AB249" s="649">
        <v>48</v>
      </c>
      <c r="AC249" s="649">
        <f t="shared" ref="AC249:AC301" si="132">AB249-I249</f>
        <v>0</v>
      </c>
      <c r="AD249" s="650" t="s">
        <v>106</v>
      </c>
      <c r="AE249" s="637" t="s">
        <v>193</v>
      </c>
      <c r="AF249" s="646" t="s">
        <v>107</v>
      </c>
      <c r="AG249" s="652" t="s">
        <v>43</v>
      </c>
      <c r="AH249" s="646"/>
      <c r="AI249" s="649"/>
      <c r="AJ249" s="649"/>
      <c r="AK249" s="649"/>
      <c r="AL249" s="649"/>
      <c r="AM249" s="649"/>
      <c r="AN249" s="649"/>
      <c r="AO249" s="649">
        <f t="shared" si="130"/>
        <v>48</v>
      </c>
      <c r="AP249" s="649"/>
      <c r="AQ249" s="653"/>
      <c r="AR249" s="649"/>
      <c r="AS249" s="649"/>
      <c r="AT249" s="652">
        <f t="shared" si="131"/>
        <v>48</v>
      </c>
      <c r="AU249" s="649"/>
      <c r="AV249" s="654"/>
      <c r="AW249" s="654"/>
      <c r="AX249" s="652"/>
      <c r="AY249" s="652"/>
      <c r="AZ249" s="654"/>
      <c r="BA249" s="652"/>
      <c r="BB249" s="652"/>
      <c r="BC249" s="654"/>
      <c r="BD249" s="654"/>
      <c r="BE249" s="654"/>
      <c r="BF249" s="654"/>
      <c r="BG249" s="652"/>
      <c r="BH249" s="652"/>
      <c r="BI249" s="654"/>
      <c r="BJ249" s="654"/>
      <c r="BK249" s="654"/>
      <c r="BL249" s="654"/>
      <c r="BM249" s="654"/>
      <c r="BN249" s="654"/>
      <c r="BO249" s="654"/>
      <c r="BP249" s="654"/>
      <c r="BQ249" s="654"/>
      <c r="BR249" s="654"/>
      <c r="BS249" s="654"/>
      <c r="BT249" s="654"/>
      <c r="BU249" s="654"/>
      <c r="BV249" s="654"/>
      <c r="BW249" s="645" t="s">
        <v>109</v>
      </c>
      <c r="BX249" s="658">
        <f>I249</f>
        <v>48</v>
      </c>
      <c r="BY249" s="658"/>
      <c r="BZ249" s="658"/>
      <c r="CA249" s="658"/>
      <c r="CB249" s="644">
        <f t="shared" si="113"/>
        <v>48</v>
      </c>
      <c r="CC249" s="675"/>
      <c r="CD249" s="644">
        <f t="shared" si="129"/>
        <v>48</v>
      </c>
      <c r="CE249" s="644">
        <f t="shared" si="124"/>
        <v>0</v>
      </c>
    </row>
    <row r="250" s="338" customFormat="1" ht="40" customHeight="1" spans="1:83">
      <c r="A250" s="632">
        <v>45798</v>
      </c>
      <c r="B250" s="633" t="s">
        <v>177</v>
      </c>
      <c r="C250" s="659" t="s">
        <v>178</v>
      </c>
      <c r="D250" s="635">
        <v>4500167361</v>
      </c>
      <c r="E250" s="659" t="s">
        <v>1395</v>
      </c>
      <c r="F250" s="636" t="s">
        <v>1396</v>
      </c>
      <c r="G250" s="659" t="s">
        <v>132</v>
      </c>
      <c r="H250" s="637" t="s">
        <v>99</v>
      </c>
      <c r="I250" s="638">
        <v>24</v>
      </c>
      <c r="J250" s="638">
        <v>0</v>
      </c>
      <c r="K250" s="639">
        <v>24</v>
      </c>
      <c r="L250" s="639">
        <f t="shared" si="114"/>
        <v>1</v>
      </c>
      <c r="M250" s="641">
        <v>45834</v>
      </c>
      <c r="N250" s="641">
        <v>45831</v>
      </c>
      <c r="O250" s="641"/>
      <c r="P250" s="642" t="s">
        <v>100</v>
      </c>
      <c r="Q250" s="643" t="s">
        <v>1347</v>
      </c>
      <c r="R250" s="642" t="s">
        <v>1332</v>
      </c>
      <c r="S250" s="641"/>
      <c r="T250" s="641"/>
      <c r="U250" s="642" t="s">
        <v>493</v>
      </c>
      <c r="V250" s="645" t="s">
        <v>1377</v>
      </c>
      <c r="W250" s="645"/>
      <c r="X250" s="663" t="s">
        <v>1378</v>
      </c>
      <c r="Y250" s="639" t="s">
        <v>734</v>
      </c>
      <c r="Z250" s="648">
        <v>2.4879</v>
      </c>
      <c r="AA250" s="650">
        <f t="shared" si="110"/>
        <v>59.7096</v>
      </c>
      <c r="AB250" s="649">
        <v>24</v>
      </c>
      <c r="AC250" s="649">
        <f t="shared" si="132"/>
        <v>0</v>
      </c>
      <c r="AD250" s="650" t="s">
        <v>106</v>
      </c>
      <c r="AE250" s="637" t="s">
        <v>193</v>
      </c>
      <c r="AF250" s="646" t="s">
        <v>107</v>
      </c>
      <c r="AG250" s="652" t="s">
        <v>43</v>
      </c>
      <c r="AH250" s="646"/>
      <c r="AI250" s="649"/>
      <c r="AJ250" s="649"/>
      <c r="AK250" s="649"/>
      <c r="AL250" s="649"/>
      <c r="AM250" s="649"/>
      <c r="AN250" s="649"/>
      <c r="AO250" s="649">
        <f t="shared" si="130"/>
        <v>24</v>
      </c>
      <c r="AP250" s="649"/>
      <c r="AQ250" s="653"/>
      <c r="AR250" s="649"/>
      <c r="AS250" s="649"/>
      <c r="AT250" s="652">
        <f t="shared" si="131"/>
        <v>24</v>
      </c>
      <c r="AU250" s="649"/>
      <c r="AV250" s="654"/>
      <c r="AW250" s="654"/>
      <c r="AX250" s="652"/>
      <c r="AY250" s="652"/>
      <c r="AZ250" s="654"/>
      <c r="BA250" s="652"/>
      <c r="BB250" s="652"/>
      <c r="BC250" s="654"/>
      <c r="BD250" s="654"/>
      <c r="BE250" s="654"/>
      <c r="BF250" s="654"/>
      <c r="BG250" s="652"/>
      <c r="BH250" s="652"/>
      <c r="BI250" s="654"/>
      <c r="BJ250" s="654"/>
      <c r="BK250" s="654"/>
      <c r="BL250" s="654"/>
      <c r="BM250" s="654"/>
      <c r="BN250" s="654"/>
      <c r="BO250" s="654"/>
      <c r="BP250" s="654"/>
      <c r="BQ250" s="654"/>
      <c r="BR250" s="654"/>
      <c r="BS250" s="654"/>
      <c r="BT250" s="654"/>
      <c r="BU250" s="654"/>
      <c r="BV250" s="654"/>
      <c r="BW250" s="645" t="s">
        <v>109</v>
      </c>
      <c r="BX250" s="658">
        <f>I250</f>
        <v>24</v>
      </c>
      <c r="BY250" s="658"/>
      <c r="BZ250" s="658"/>
      <c r="CA250" s="658"/>
      <c r="CB250" s="644">
        <f t="shared" si="113"/>
        <v>24</v>
      </c>
      <c r="CC250" s="675"/>
      <c r="CD250" s="644">
        <f t="shared" si="129"/>
        <v>24</v>
      </c>
      <c r="CE250" s="644">
        <f t="shared" si="124"/>
        <v>0</v>
      </c>
    </row>
    <row r="251" s="338" customFormat="1" ht="40" customHeight="1" spans="1:83">
      <c r="A251" s="632">
        <v>45798</v>
      </c>
      <c r="B251" s="633" t="s">
        <v>177</v>
      </c>
      <c r="C251" s="659" t="s">
        <v>178</v>
      </c>
      <c r="D251" s="635">
        <v>4500167361</v>
      </c>
      <c r="E251" s="659" t="s">
        <v>1397</v>
      </c>
      <c r="F251" s="636" t="s">
        <v>1398</v>
      </c>
      <c r="G251" s="659" t="s">
        <v>132</v>
      </c>
      <c r="H251" s="637" t="s">
        <v>99</v>
      </c>
      <c r="I251" s="638">
        <v>24</v>
      </c>
      <c r="J251" s="638">
        <v>0</v>
      </c>
      <c r="K251" s="639">
        <v>24</v>
      </c>
      <c r="L251" s="639">
        <f t="shared" si="114"/>
        <v>1</v>
      </c>
      <c r="M251" s="641">
        <v>45834</v>
      </c>
      <c r="N251" s="641">
        <v>45831</v>
      </c>
      <c r="O251" s="641"/>
      <c r="P251" s="642" t="s">
        <v>100</v>
      </c>
      <c r="Q251" s="643" t="s">
        <v>1347</v>
      </c>
      <c r="R251" s="642" t="s">
        <v>1332</v>
      </c>
      <c r="S251" s="641"/>
      <c r="T251" s="641"/>
      <c r="U251" s="642" t="s">
        <v>493</v>
      </c>
      <c r="V251" s="645" t="s">
        <v>1377</v>
      </c>
      <c r="W251" s="645"/>
      <c r="X251" s="663" t="s">
        <v>1378</v>
      </c>
      <c r="Y251" s="639" t="s">
        <v>734</v>
      </c>
      <c r="Z251" s="648">
        <v>2.4879</v>
      </c>
      <c r="AA251" s="650">
        <f t="shared" si="110"/>
        <v>59.7096</v>
      </c>
      <c r="AB251" s="649">
        <v>24</v>
      </c>
      <c r="AC251" s="649">
        <f t="shared" si="132"/>
        <v>0</v>
      </c>
      <c r="AD251" s="650" t="s">
        <v>106</v>
      </c>
      <c r="AE251" s="637" t="s">
        <v>193</v>
      </c>
      <c r="AF251" s="646" t="s">
        <v>107</v>
      </c>
      <c r="AG251" s="652" t="s">
        <v>43</v>
      </c>
      <c r="AH251" s="646"/>
      <c r="AI251" s="649"/>
      <c r="AJ251" s="649"/>
      <c r="AK251" s="649"/>
      <c r="AL251" s="649"/>
      <c r="AM251" s="649"/>
      <c r="AN251" s="649"/>
      <c r="AO251" s="649">
        <f t="shared" si="130"/>
        <v>24</v>
      </c>
      <c r="AP251" s="649"/>
      <c r="AQ251" s="653"/>
      <c r="AR251" s="649"/>
      <c r="AS251" s="649"/>
      <c r="AT251" s="652">
        <f t="shared" si="131"/>
        <v>24</v>
      </c>
      <c r="AU251" s="649"/>
      <c r="AV251" s="654"/>
      <c r="AW251" s="654"/>
      <c r="AX251" s="652"/>
      <c r="AY251" s="652"/>
      <c r="AZ251" s="654"/>
      <c r="BA251" s="652"/>
      <c r="BB251" s="652"/>
      <c r="BC251" s="654"/>
      <c r="BD251" s="654"/>
      <c r="BE251" s="654"/>
      <c r="BF251" s="654"/>
      <c r="BG251" s="652"/>
      <c r="BH251" s="652"/>
      <c r="BI251" s="654"/>
      <c r="BJ251" s="654"/>
      <c r="BK251" s="654"/>
      <c r="BL251" s="654"/>
      <c r="BM251" s="654"/>
      <c r="BN251" s="654"/>
      <c r="BO251" s="654"/>
      <c r="BP251" s="654"/>
      <c r="BQ251" s="654"/>
      <c r="BR251" s="654"/>
      <c r="BS251" s="654"/>
      <c r="BT251" s="654"/>
      <c r="BU251" s="654"/>
      <c r="BV251" s="654"/>
      <c r="BW251" s="645" t="s">
        <v>109</v>
      </c>
      <c r="BX251" s="658">
        <f>I251</f>
        <v>24</v>
      </c>
      <c r="BY251" s="658"/>
      <c r="BZ251" s="658"/>
      <c r="CA251" s="658"/>
      <c r="CB251" s="644">
        <f t="shared" si="113"/>
        <v>24</v>
      </c>
      <c r="CC251" s="675"/>
      <c r="CD251" s="644">
        <f t="shared" si="129"/>
        <v>24</v>
      </c>
      <c r="CE251" s="644">
        <f t="shared" si="124"/>
        <v>0</v>
      </c>
    </row>
    <row r="252" s="338" customFormat="1" ht="40" customHeight="1" spans="1:83">
      <c r="A252" s="632">
        <v>45790</v>
      </c>
      <c r="B252" s="633" t="s">
        <v>1399</v>
      </c>
      <c r="C252" s="659" t="s">
        <v>1400</v>
      </c>
      <c r="D252" s="635">
        <v>4500166058</v>
      </c>
      <c r="E252" s="659"/>
      <c r="F252" s="636" t="s">
        <v>1401</v>
      </c>
      <c r="G252" s="659" t="s">
        <v>111</v>
      </c>
      <c r="H252" s="637" t="s">
        <v>99</v>
      </c>
      <c r="I252" s="638">
        <v>550</v>
      </c>
      <c r="J252" s="638">
        <v>0</v>
      </c>
      <c r="K252" s="639">
        <v>22</v>
      </c>
      <c r="L252" s="639">
        <f t="shared" si="114"/>
        <v>25</v>
      </c>
      <c r="M252" s="641">
        <v>45835</v>
      </c>
      <c r="N252" s="641">
        <v>45831</v>
      </c>
      <c r="O252" s="641"/>
      <c r="P252" s="642" t="s">
        <v>100</v>
      </c>
      <c r="Q252" s="643" t="s">
        <v>1347</v>
      </c>
      <c r="R252" s="642" t="s">
        <v>1402</v>
      </c>
      <c r="S252" s="641"/>
      <c r="T252" s="641"/>
      <c r="U252" s="642" t="s">
        <v>1403</v>
      </c>
      <c r="V252" s="645"/>
      <c r="W252" s="645" t="s">
        <v>1404</v>
      </c>
      <c r="X252" s="663" t="s">
        <v>1405</v>
      </c>
      <c r="Y252" s="639" t="s">
        <v>1406</v>
      </c>
      <c r="Z252" s="683">
        <v>2.6965</v>
      </c>
      <c r="AA252" s="650">
        <f t="shared" si="110"/>
        <v>1483.075</v>
      </c>
      <c r="AB252" s="649">
        <v>550</v>
      </c>
      <c r="AC252" s="649">
        <f t="shared" si="132"/>
        <v>0</v>
      </c>
      <c r="AD252" s="650" t="s">
        <v>106</v>
      </c>
      <c r="AE252" s="637" t="s">
        <v>406</v>
      </c>
      <c r="AF252" s="646" t="s">
        <v>107</v>
      </c>
      <c r="AG252" s="652" t="s">
        <v>43</v>
      </c>
      <c r="AH252" s="646" t="s">
        <v>1407</v>
      </c>
      <c r="AI252" s="649"/>
      <c r="AJ252" s="649"/>
      <c r="AK252" s="649"/>
      <c r="AL252" s="649"/>
      <c r="AM252" s="649"/>
      <c r="AN252" s="649"/>
      <c r="AO252" s="649">
        <f t="shared" si="130"/>
        <v>550</v>
      </c>
      <c r="AP252" s="649"/>
      <c r="AQ252" s="653"/>
      <c r="AR252" s="649"/>
      <c r="AS252" s="649"/>
      <c r="AT252" s="649"/>
      <c r="AU252" s="649"/>
      <c r="AV252" s="652">
        <f>I252</f>
        <v>550</v>
      </c>
      <c r="AW252" s="654"/>
      <c r="AX252" s="652"/>
      <c r="AY252" s="652"/>
      <c r="AZ252" s="654"/>
      <c r="BA252" s="652">
        <f>I252/11</f>
        <v>50</v>
      </c>
      <c r="BB252" s="652"/>
      <c r="BC252" s="654"/>
      <c r="BD252" s="654"/>
      <c r="BE252" s="654"/>
      <c r="BF252" s="654"/>
      <c r="BG252" s="652"/>
      <c r="BH252" s="652"/>
      <c r="BI252" s="654"/>
      <c r="BJ252" s="654"/>
      <c r="BK252" s="654"/>
      <c r="BL252" s="654"/>
      <c r="BM252" s="654"/>
      <c r="BN252" s="654"/>
      <c r="BO252" s="654"/>
      <c r="BP252" s="654"/>
      <c r="BQ252" s="654"/>
      <c r="BR252" s="654"/>
      <c r="BS252" s="654"/>
      <c r="BT252" s="654"/>
      <c r="BU252" s="654"/>
      <c r="BV252" s="654"/>
      <c r="BW252" s="645" t="s">
        <v>109</v>
      </c>
      <c r="BX252" s="658">
        <f>I252/22*5</f>
        <v>125</v>
      </c>
      <c r="BY252" s="658">
        <f>I252/22*6</f>
        <v>150</v>
      </c>
      <c r="BZ252" s="658">
        <f>I252/22*6</f>
        <v>150</v>
      </c>
      <c r="CA252" s="658">
        <f>I252/22*5</f>
        <v>125</v>
      </c>
      <c r="CB252" s="644">
        <f t="shared" si="113"/>
        <v>550</v>
      </c>
      <c r="CC252" s="658">
        <f>I252/11</f>
        <v>50</v>
      </c>
      <c r="CD252" s="644">
        <f t="shared" si="129"/>
        <v>550</v>
      </c>
      <c r="CE252" s="644">
        <f t="shared" si="124"/>
        <v>0</v>
      </c>
    </row>
    <row r="253" s="338" customFormat="1" ht="40" customHeight="1" spans="1:83">
      <c r="A253" s="632">
        <v>45798</v>
      </c>
      <c r="B253" s="633" t="s">
        <v>1408</v>
      </c>
      <c r="C253" s="634" t="s">
        <v>214</v>
      </c>
      <c r="D253" s="635">
        <v>4500167294</v>
      </c>
      <c r="E253" s="659" t="s">
        <v>1409</v>
      </c>
      <c r="F253" s="636" t="s">
        <v>1410</v>
      </c>
      <c r="G253" s="637" t="s">
        <v>111</v>
      </c>
      <c r="H253" s="637" t="s">
        <v>99</v>
      </c>
      <c r="I253" s="638">
        <v>858</v>
      </c>
      <c r="J253" s="638">
        <v>0</v>
      </c>
      <c r="K253" s="639">
        <v>22</v>
      </c>
      <c r="L253" s="639">
        <f t="shared" si="114"/>
        <v>39</v>
      </c>
      <c r="M253" s="641">
        <v>45839</v>
      </c>
      <c r="N253" s="641">
        <f>M253-4</f>
        <v>45835</v>
      </c>
      <c r="O253" s="642"/>
      <c r="P253" s="642" t="s">
        <v>100</v>
      </c>
      <c r="Q253" s="643" t="s">
        <v>1411</v>
      </c>
      <c r="R253" s="642" t="s">
        <v>1332</v>
      </c>
      <c r="S253" s="641"/>
      <c r="T253" s="641"/>
      <c r="U253" s="642" t="s">
        <v>113</v>
      </c>
      <c r="V253" s="677"/>
      <c r="W253" s="645"/>
      <c r="X253" s="647" t="s">
        <v>1412</v>
      </c>
      <c r="Y253" s="646" t="s">
        <v>377</v>
      </c>
      <c r="Z253" s="683">
        <v>1.6387</v>
      </c>
      <c r="AA253" s="650">
        <f t="shared" si="110"/>
        <v>1406.0046</v>
      </c>
      <c r="AB253" s="649">
        <v>858</v>
      </c>
      <c r="AC253" s="649">
        <f t="shared" si="132"/>
        <v>0</v>
      </c>
      <c r="AD253" s="650" t="s">
        <v>113</v>
      </c>
      <c r="AE253" s="637" t="s">
        <v>230</v>
      </c>
      <c r="AF253" s="646" t="s">
        <v>107</v>
      </c>
      <c r="AG253" s="652" t="s">
        <v>43</v>
      </c>
      <c r="AH253" s="646" t="s">
        <v>1413</v>
      </c>
      <c r="AI253" s="649"/>
      <c r="AJ253" s="649"/>
      <c r="AK253" s="649"/>
      <c r="AL253" s="649"/>
      <c r="AM253" s="649"/>
      <c r="AN253" s="649"/>
      <c r="AO253" s="649">
        <f t="shared" si="130"/>
        <v>858</v>
      </c>
      <c r="AP253" s="649"/>
      <c r="AQ253" s="653"/>
      <c r="AR253" s="649"/>
      <c r="AS253" s="649"/>
      <c r="AT253" s="652">
        <f>I253</f>
        <v>858</v>
      </c>
      <c r="AU253" s="649"/>
      <c r="AV253" s="654"/>
      <c r="AW253" s="654"/>
      <c r="AX253" s="652"/>
      <c r="AY253" s="652"/>
      <c r="AZ253" s="654"/>
      <c r="BA253" s="652">
        <f>I253/11</f>
        <v>78</v>
      </c>
      <c r="BB253" s="652"/>
      <c r="BC253" s="654"/>
      <c r="BD253" s="654"/>
      <c r="BE253" s="654"/>
      <c r="BF253" s="654"/>
      <c r="BG253" s="652"/>
      <c r="BH253" s="652"/>
      <c r="BI253" s="654"/>
      <c r="BJ253" s="654"/>
      <c r="BK253" s="654"/>
      <c r="BL253" s="654"/>
      <c r="BM253" s="654"/>
      <c r="BN253" s="654"/>
      <c r="BO253" s="654"/>
      <c r="BP253" s="654"/>
      <c r="BQ253" s="654"/>
      <c r="BR253" s="654"/>
      <c r="BS253" s="654"/>
      <c r="BT253" s="654"/>
      <c r="BU253" s="654"/>
      <c r="BV253" s="654"/>
      <c r="BW253" s="645" t="s">
        <v>109</v>
      </c>
      <c r="BX253" s="658">
        <f>I253/22*5</f>
        <v>195</v>
      </c>
      <c r="BY253" s="658">
        <f>I253/22*6</f>
        <v>234</v>
      </c>
      <c r="BZ253" s="658">
        <f>I253/22*6</f>
        <v>234</v>
      </c>
      <c r="CA253" s="658">
        <f>I253/22*5</f>
        <v>195</v>
      </c>
      <c r="CB253" s="644">
        <f t="shared" si="113"/>
        <v>858</v>
      </c>
      <c r="CC253" s="658">
        <f>I253/11</f>
        <v>78</v>
      </c>
      <c r="CD253" s="644">
        <f t="shared" si="129"/>
        <v>858</v>
      </c>
      <c r="CE253" s="644">
        <f t="shared" si="124"/>
        <v>0</v>
      </c>
    </row>
    <row r="254" s="338" customFormat="1" ht="40" customHeight="1" spans="1:83">
      <c r="A254" s="632">
        <v>45804</v>
      </c>
      <c r="B254" s="633" t="s">
        <v>1251</v>
      </c>
      <c r="C254" s="634" t="s">
        <v>214</v>
      </c>
      <c r="D254" s="635">
        <v>4500167259</v>
      </c>
      <c r="E254" s="659" t="s">
        <v>1414</v>
      </c>
      <c r="F254" s="636" t="s">
        <v>1415</v>
      </c>
      <c r="G254" s="637" t="s">
        <v>98</v>
      </c>
      <c r="H254" s="637" t="s">
        <v>99</v>
      </c>
      <c r="I254" s="638">
        <v>6000</v>
      </c>
      <c r="J254" s="638">
        <v>0</v>
      </c>
      <c r="K254" s="639">
        <v>24</v>
      </c>
      <c r="L254" s="639">
        <f t="shared" si="114"/>
        <v>250</v>
      </c>
      <c r="M254" s="641">
        <v>45841</v>
      </c>
      <c r="N254" s="641">
        <v>45836</v>
      </c>
      <c r="O254" s="641"/>
      <c r="P254" s="642" t="s">
        <v>100</v>
      </c>
      <c r="Q254" s="643" t="s">
        <v>1149</v>
      </c>
      <c r="R254" s="642" t="s">
        <v>1416</v>
      </c>
      <c r="S254" s="641"/>
      <c r="T254" s="641"/>
      <c r="U254" s="642" t="s">
        <v>1417</v>
      </c>
      <c r="V254" s="677"/>
      <c r="W254" s="645"/>
      <c r="X254" s="647" t="s">
        <v>1418</v>
      </c>
      <c r="Y254" s="646" t="s">
        <v>1419</v>
      </c>
      <c r="Z254" s="648">
        <v>1.483</v>
      </c>
      <c r="AA254" s="650">
        <f t="shared" si="110"/>
        <v>8898</v>
      </c>
      <c r="AB254" s="649">
        <v>6000</v>
      </c>
      <c r="AC254" s="649">
        <f t="shared" si="132"/>
        <v>0</v>
      </c>
      <c r="AD254" s="650" t="s">
        <v>106</v>
      </c>
      <c r="AE254" s="637" t="s">
        <v>98</v>
      </c>
      <c r="AF254" s="646" t="s">
        <v>107</v>
      </c>
      <c r="AG254" s="652" t="s">
        <v>43</v>
      </c>
      <c r="AH254" s="646" t="s">
        <v>1420</v>
      </c>
      <c r="AI254" s="649"/>
      <c r="AJ254" s="649"/>
      <c r="AK254" s="649"/>
      <c r="AL254" s="652">
        <f>I254</f>
        <v>6000</v>
      </c>
      <c r="AM254" s="652"/>
      <c r="AN254" s="649"/>
      <c r="AO254" s="649"/>
      <c r="AP254" s="649"/>
      <c r="AQ254" s="653"/>
      <c r="AR254" s="649"/>
      <c r="AS254" s="649"/>
      <c r="AT254" s="652">
        <f>I254</f>
        <v>6000</v>
      </c>
      <c r="AU254" s="649"/>
      <c r="AV254" s="654"/>
      <c r="AW254" s="654"/>
      <c r="AX254" s="652"/>
      <c r="AY254" s="652"/>
      <c r="AZ254" s="654"/>
      <c r="BA254" s="652"/>
      <c r="BB254" s="652"/>
      <c r="BC254" s="654"/>
      <c r="BD254" s="654"/>
      <c r="BE254" s="654"/>
      <c r="BF254" s="654"/>
      <c r="BG254" s="652"/>
      <c r="BH254" s="652"/>
      <c r="BI254" s="654"/>
      <c r="BJ254" s="654"/>
      <c r="BK254" s="654"/>
      <c r="BL254" s="654"/>
      <c r="BM254" s="654"/>
      <c r="BN254" s="654"/>
      <c r="BO254" s="654"/>
      <c r="BP254" s="654"/>
      <c r="BQ254" s="654"/>
      <c r="BR254" s="654"/>
      <c r="BS254" s="654"/>
      <c r="BT254" s="654"/>
      <c r="BU254" s="654"/>
      <c r="BV254" s="654"/>
      <c r="BW254" s="645" t="s">
        <v>109</v>
      </c>
      <c r="BX254" s="658">
        <f>I254/4</f>
        <v>1500</v>
      </c>
      <c r="BY254" s="658">
        <f>I254/4</f>
        <v>1500</v>
      </c>
      <c r="BZ254" s="658">
        <f>I254/4</f>
        <v>1500</v>
      </c>
      <c r="CA254" s="658">
        <f>I254/4</f>
        <v>1500</v>
      </c>
      <c r="CB254" s="644">
        <f t="shared" si="113"/>
        <v>6000</v>
      </c>
      <c r="CC254" s="644"/>
      <c r="CD254" s="644">
        <f t="shared" si="129"/>
        <v>6000</v>
      </c>
      <c r="CE254" s="644">
        <f t="shared" si="124"/>
        <v>0</v>
      </c>
    </row>
    <row r="255" s="338" customFormat="1" ht="40" customHeight="1" spans="1:83">
      <c r="A255" s="632">
        <v>45769</v>
      </c>
      <c r="B255" s="633" t="s">
        <v>432</v>
      </c>
      <c r="C255" s="634" t="s">
        <v>380</v>
      </c>
      <c r="D255" s="635">
        <v>4500163450</v>
      </c>
      <c r="E255" s="659">
        <v>232296</v>
      </c>
      <c r="F255" s="636" t="s">
        <v>1421</v>
      </c>
      <c r="G255" s="637" t="s">
        <v>98</v>
      </c>
      <c r="H255" s="637" t="s">
        <v>99</v>
      </c>
      <c r="I255" s="638">
        <v>2016</v>
      </c>
      <c r="J255" s="638">
        <v>0</v>
      </c>
      <c r="K255" s="639">
        <v>24</v>
      </c>
      <c r="L255" s="639">
        <f t="shared" si="114"/>
        <v>84</v>
      </c>
      <c r="M255" s="641">
        <v>45842</v>
      </c>
      <c r="N255" s="641">
        <f>M255-4</f>
        <v>45838</v>
      </c>
      <c r="O255" s="641"/>
      <c r="P255" s="642" t="s">
        <v>100</v>
      </c>
      <c r="Q255" s="643" t="s">
        <v>1157</v>
      </c>
      <c r="R255" s="642" t="s">
        <v>1066</v>
      </c>
      <c r="S255" s="641"/>
      <c r="T255" s="641"/>
      <c r="U255" s="642" t="s">
        <v>1422</v>
      </c>
      <c r="V255" s="677"/>
      <c r="W255" s="645"/>
      <c r="X255" s="647" t="s">
        <v>1423</v>
      </c>
      <c r="Y255" s="646" t="s">
        <v>1424</v>
      </c>
      <c r="Z255" s="648">
        <v>2.4647</v>
      </c>
      <c r="AA255" s="650">
        <f t="shared" si="110"/>
        <v>4968.8352</v>
      </c>
      <c r="AB255" s="649">
        <f>1992+24</f>
        <v>2016</v>
      </c>
      <c r="AC255" s="649">
        <f t="shared" si="132"/>
        <v>0</v>
      </c>
      <c r="AD255" s="650" t="s">
        <v>123</v>
      </c>
      <c r="AE255" s="637" t="s">
        <v>98</v>
      </c>
      <c r="AF255" s="646" t="s">
        <v>107</v>
      </c>
      <c r="AG255" s="652" t="s">
        <v>43</v>
      </c>
      <c r="AH255" s="646"/>
      <c r="AI255" s="649"/>
      <c r="AJ255" s="649"/>
      <c r="AK255" s="649"/>
      <c r="AL255" s="652">
        <f>I255</f>
        <v>2016</v>
      </c>
      <c r="AM255" s="652"/>
      <c r="AN255" s="649"/>
      <c r="AO255" s="649"/>
      <c r="AP255" s="649"/>
      <c r="AQ255" s="653"/>
      <c r="AR255" s="649"/>
      <c r="AS255" s="649"/>
      <c r="AT255" s="652">
        <f t="shared" ref="AT255:AT262" si="133">I255</f>
        <v>2016</v>
      </c>
      <c r="AU255" s="649"/>
      <c r="AV255" s="654"/>
      <c r="AW255" s="654"/>
      <c r="AX255" s="652"/>
      <c r="AY255" s="652"/>
      <c r="AZ255" s="654"/>
      <c r="BA255" s="652"/>
      <c r="BB255" s="652"/>
      <c r="BC255" s="654"/>
      <c r="BD255" s="654"/>
      <c r="BE255" s="654"/>
      <c r="BF255" s="654"/>
      <c r="BG255" s="652"/>
      <c r="BH255" s="652"/>
      <c r="BI255" s="654"/>
      <c r="BJ255" s="654"/>
      <c r="BK255" s="654"/>
      <c r="BL255" s="654"/>
      <c r="BM255" s="654"/>
      <c r="BN255" s="654"/>
      <c r="BO255" s="654"/>
      <c r="BP255" s="654"/>
      <c r="BQ255" s="654"/>
      <c r="BR255" s="654"/>
      <c r="BS255" s="654"/>
      <c r="BT255" s="654"/>
      <c r="BU255" s="654"/>
      <c r="BV255" s="654"/>
      <c r="BW255" s="645" t="s">
        <v>109</v>
      </c>
      <c r="BX255" s="658">
        <f>I255/4</f>
        <v>504</v>
      </c>
      <c r="BY255" s="658">
        <f>I255/4</f>
        <v>504</v>
      </c>
      <c r="BZ255" s="658">
        <f>I255/4</f>
        <v>504</v>
      </c>
      <c r="CA255" s="658">
        <f>I255/4</f>
        <v>504</v>
      </c>
      <c r="CB255" s="644">
        <f t="shared" si="113"/>
        <v>2016</v>
      </c>
      <c r="CC255" s="644"/>
      <c r="CD255" s="644">
        <f t="shared" si="129"/>
        <v>2016</v>
      </c>
      <c r="CE255" s="644">
        <f t="shared" si="124"/>
        <v>0</v>
      </c>
    </row>
    <row r="256" s="338" customFormat="1" ht="40" customHeight="1" spans="1:83">
      <c r="A256" s="632">
        <v>45797</v>
      </c>
      <c r="B256" s="633" t="s">
        <v>881</v>
      </c>
      <c r="C256" s="634" t="s">
        <v>380</v>
      </c>
      <c r="D256" s="635">
        <v>4500167193</v>
      </c>
      <c r="E256" s="666">
        <v>4400485292</v>
      </c>
      <c r="F256" s="636" t="s">
        <v>1425</v>
      </c>
      <c r="G256" s="637" t="s">
        <v>111</v>
      </c>
      <c r="H256" s="637" t="s">
        <v>99</v>
      </c>
      <c r="I256" s="638">
        <v>3014</v>
      </c>
      <c r="J256" s="638">
        <v>0</v>
      </c>
      <c r="K256" s="639">
        <v>22</v>
      </c>
      <c r="L256" s="639">
        <f t="shared" si="114"/>
        <v>137</v>
      </c>
      <c r="M256" s="641">
        <v>45842</v>
      </c>
      <c r="N256" s="641">
        <f>M256-4</f>
        <v>45838</v>
      </c>
      <c r="O256" s="641"/>
      <c r="P256" s="642" t="s">
        <v>100</v>
      </c>
      <c r="Q256" s="643" t="s">
        <v>1347</v>
      </c>
      <c r="R256" s="642" t="s">
        <v>1310</v>
      </c>
      <c r="S256" s="641"/>
      <c r="T256" s="641"/>
      <c r="U256" s="642" t="s">
        <v>1426</v>
      </c>
      <c r="V256" s="677"/>
      <c r="W256" s="645"/>
      <c r="X256" s="647" t="s">
        <v>1427</v>
      </c>
      <c r="Y256" s="646" t="s">
        <v>623</v>
      </c>
      <c r="Z256" s="683">
        <v>2.7064</v>
      </c>
      <c r="AA256" s="650">
        <f t="shared" si="110"/>
        <v>8157.0896</v>
      </c>
      <c r="AB256" s="649">
        <f>2992+22</f>
        <v>3014</v>
      </c>
      <c r="AC256" s="649">
        <f t="shared" si="132"/>
        <v>0</v>
      </c>
      <c r="AD256" s="650" t="s">
        <v>123</v>
      </c>
      <c r="AE256" s="637" t="s">
        <v>230</v>
      </c>
      <c r="AF256" s="646" t="s">
        <v>107</v>
      </c>
      <c r="AG256" s="652" t="s">
        <v>43</v>
      </c>
      <c r="AH256" s="646" t="s">
        <v>1428</v>
      </c>
      <c r="AI256" s="649"/>
      <c r="AJ256" s="649"/>
      <c r="AK256" s="649"/>
      <c r="AL256" s="649"/>
      <c r="AM256" s="649"/>
      <c r="AN256" s="649"/>
      <c r="AO256" s="649">
        <f>I256</f>
        <v>3014</v>
      </c>
      <c r="AP256" s="649"/>
      <c r="AQ256" s="653"/>
      <c r="AR256" s="649"/>
      <c r="AS256" s="649"/>
      <c r="AT256" s="652">
        <f t="shared" si="133"/>
        <v>3014</v>
      </c>
      <c r="AU256" s="649"/>
      <c r="AV256" s="654"/>
      <c r="AW256" s="654"/>
      <c r="AX256" s="652"/>
      <c r="AY256" s="652"/>
      <c r="AZ256" s="654"/>
      <c r="BA256" s="652">
        <f>I256/11</f>
        <v>274</v>
      </c>
      <c r="BB256" s="652"/>
      <c r="BC256" s="654"/>
      <c r="BD256" s="654"/>
      <c r="BE256" s="654"/>
      <c r="BF256" s="654"/>
      <c r="BG256" s="652"/>
      <c r="BH256" s="652"/>
      <c r="BI256" s="654"/>
      <c r="BJ256" s="654"/>
      <c r="BK256" s="654"/>
      <c r="BL256" s="654"/>
      <c r="BM256" s="654"/>
      <c r="BN256" s="654"/>
      <c r="BO256" s="654"/>
      <c r="BP256" s="654"/>
      <c r="BQ256" s="654"/>
      <c r="BR256" s="654"/>
      <c r="BS256" s="654"/>
      <c r="BT256" s="654"/>
      <c r="BU256" s="654"/>
      <c r="BV256" s="654"/>
      <c r="BW256" s="645" t="s">
        <v>109</v>
      </c>
      <c r="BX256" s="658">
        <f>I256/22*5</f>
        <v>685</v>
      </c>
      <c r="BY256" s="658">
        <f>I256/22*6</f>
        <v>822</v>
      </c>
      <c r="BZ256" s="658">
        <f>I256/22*6</f>
        <v>822</v>
      </c>
      <c r="CA256" s="658">
        <f>I256/22*5</f>
        <v>685</v>
      </c>
      <c r="CB256" s="644">
        <f t="shared" si="113"/>
        <v>3014</v>
      </c>
      <c r="CC256" s="658">
        <f>I256/11</f>
        <v>274</v>
      </c>
      <c r="CD256" s="644">
        <f t="shared" si="129"/>
        <v>3014</v>
      </c>
      <c r="CE256" s="644">
        <f t="shared" si="124"/>
        <v>0</v>
      </c>
    </row>
    <row r="257" s="338" customFormat="1" ht="40" customHeight="1" spans="1:83">
      <c r="A257" s="632">
        <v>45806</v>
      </c>
      <c r="B257" s="633" t="s">
        <v>194</v>
      </c>
      <c r="C257" s="634" t="s">
        <v>144</v>
      </c>
      <c r="D257" s="635">
        <v>4500168067</v>
      </c>
      <c r="E257" s="659" t="s">
        <v>1429</v>
      </c>
      <c r="F257" s="636" t="s">
        <v>1430</v>
      </c>
      <c r="G257" s="637" t="s">
        <v>1431</v>
      </c>
      <c r="H257" s="637" t="s">
        <v>1432</v>
      </c>
      <c r="I257" s="638">
        <v>4512</v>
      </c>
      <c r="J257" s="638">
        <v>0</v>
      </c>
      <c r="K257" s="639">
        <v>24</v>
      </c>
      <c r="L257" s="639">
        <f t="shared" si="114"/>
        <v>188</v>
      </c>
      <c r="M257" s="641">
        <v>45842</v>
      </c>
      <c r="N257" s="641">
        <v>45839</v>
      </c>
      <c r="O257" s="641" t="s">
        <v>1433</v>
      </c>
      <c r="P257" s="642" t="s">
        <v>100</v>
      </c>
      <c r="Q257" s="643" t="s">
        <v>1161</v>
      </c>
      <c r="R257" s="642" t="s">
        <v>1434</v>
      </c>
      <c r="S257" s="641"/>
      <c r="T257" s="641"/>
      <c r="U257" s="642" t="s">
        <v>1435</v>
      </c>
      <c r="V257" s="677"/>
      <c r="W257" s="645"/>
      <c r="X257" s="647" t="s">
        <v>1436</v>
      </c>
      <c r="Y257" s="646" t="s">
        <v>202</v>
      </c>
      <c r="Z257" s="683">
        <v>2.4888</v>
      </c>
      <c r="AA257" s="650">
        <f t="shared" si="110"/>
        <v>11229.4656</v>
      </c>
      <c r="AB257" s="649">
        <v>4512</v>
      </c>
      <c r="AC257" s="649">
        <f t="shared" si="132"/>
        <v>0</v>
      </c>
      <c r="AD257" s="650" t="s">
        <v>106</v>
      </c>
      <c r="AE257" s="637" t="s">
        <v>1431</v>
      </c>
      <c r="AF257" s="646" t="s">
        <v>107</v>
      </c>
      <c r="AG257" s="652" t="s">
        <v>43</v>
      </c>
      <c r="AH257" s="646"/>
      <c r="AI257" s="649"/>
      <c r="AJ257" s="649"/>
      <c r="AK257" s="649"/>
      <c r="AL257" s="652">
        <f>I257</f>
        <v>4512</v>
      </c>
      <c r="AM257" s="652"/>
      <c r="AN257" s="649"/>
      <c r="AO257" s="649"/>
      <c r="AP257" s="649"/>
      <c r="AQ257" s="653"/>
      <c r="AR257" s="649"/>
      <c r="AS257" s="649"/>
      <c r="AT257" s="652">
        <f t="shared" si="133"/>
        <v>4512</v>
      </c>
      <c r="AU257" s="649"/>
      <c r="AV257" s="654"/>
      <c r="AW257" s="654"/>
      <c r="AX257" s="652"/>
      <c r="AY257" s="652"/>
      <c r="AZ257" s="654"/>
      <c r="BA257" s="652"/>
      <c r="BB257" s="652"/>
      <c r="BC257" s="654"/>
      <c r="BD257" s="654"/>
      <c r="BE257" s="654"/>
      <c r="BF257" s="654"/>
      <c r="BG257" s="652"/>
      <c r="BH257" s="652"/>
      <c r="BI257" s="654"/>
      <c r="BJ257" s="654"/>
      <c r="BK257" s="654"/>
      <c r="BL257" s="654"/>
      <c r="BM257" s="654"/>
      <c r="BN257" s="654"/>
      <c r="BO257" s="654"/>
      <c r="BP257" s="654"/>
      <c r="BQ257" s="654"/>
      <c r="BR257" s="654"/>
      <c r="BS257" s="654"/>
      <c r="BT257" s="654"/>
      <c r="BU257" s="654"/>
      <c r="BV257" s="654"/>
      <c r="BW257" s="645" t="s">
        <v>109</v>
      </c>
      <c r="BX257" s="658">
        <f>I257/4</f>
        <v>1128</v>
      </c>
      <c r="BY257" s="658">
        <f>I257/4</f>
        <v>1128</v>
      </c>
      <c r="BZ257" s="658">
        <f>I257/4</f>
        <v>1128</v>
      </c>
      <c r="CA257" s="658">
        <f>I257/4</f>
        <v>1128</v>
      </c>
      <c r="CB257" s="644">
        <f t="shared" si="113"/>
        <v>4512</v>
      </c>
      <c r="CC257" s="644"/>
      <c r="CD257" s="644">
        <f t="shared" si="129"/>
        <v>4512</v>
      </c>
      <c r="CE257" s="644">
        <f t="shared" si="124"/>
        <v>0</v>
      </c>
    </row>
    <row r="258" s="338" customFormat="1" ht="40" customHeight="1" spans="1:83">
      <c r="A258" s="632">
        <v>45750</v>
      </c>
      <c r="B258" s="659" t="s">
        <v>1009</v>
      </c>
      <c r="C258" s="634" t="s">
        <v>1437</v>
      </c>
      <c r="D258" s="635">
        <v>4500162474</v>
      </c>
      <c r="E258" s="659" t="s">
        <v>1438</v>
      </c>
      <c r="F258" s="636" t="s">
        <v>1439</v>
      </c>
      <c r="G258" s="637" t="s">
        <v>1440</v>
      </c>
      <c r="H258" s="637" t="s">
        <v>99</v>
      </c>
      <c r="I258" s="638">
        <v>484</v>
      </c>
      <c r="J258" s="638">
        <v>0</v>
      </c>
      <c r="K258" s="639">
        <v>22</v>
      </c>
      <c r="L258" s="640">
        <f t="shared" si="114"/>
        <v>22</v>
      </c>
      <c r="M258" s="641">
        <v>45842</v>
      </c>
      <c r="N258" s="641">
        <f>M258-4</f>
        <v>45838</v>
      </c>
      <c r="O258" s="641"/>
      <c r="P258" s="642" t="s">
        <v>100</v>
      </c>
      <c r="Q258" s="643"/>
      <c r="R258" s="642" t="s">
        <v>1006</v>
      </c>
      <c r="S258" s="642"/>
      <c r="T258" s="642"/>
      <c r="U258" s="642" t="s">
        <v>1441</v>
      </c>
      <c r="V258" s="642"/>
      <c r="W258" s="645"/>
      <c r="X258" s="647" t="s">
        <v>1442</v>
      </c>
      <c r="Y258" s="646" t="s">
        <v>298</v>
      </c>
      <c r="Z258" s="648">
        <v>2.7311</v>
      </c>
      <c r="AA258" s="650">
        <f t="shared" si="110"/>
        <v>1321.8524</v>
      </c>
      <c r="AB258" s="649">
        <v>484</v>
      </c>
      <c r="AC258" s="649">
        <f t="shared" si="132"/>
        <v>0</v>
      </c>
      <c r="AD258" s="650" t="s">
        <v>123</v>
      </c>
      <c r="AE258" s="637" t="s">
        <v>111</v>
      </c>
      <c r="AF258" s="646" t="s">
        <v>107</v>
      </c>
      <c r="AG258" s="652" t="s">
        <v>43</v>
      </c>
      <c r="AH258" s="646" t="s">
        <v>1443</v>
      </c>
      <c r="AI258" s="649"/>
      <c r="AJ258" s="649"/>
      <c r="AK258" s="649"/>
      <c r="AL258" s="652">
        <f>I258</f>
        <v>484</v>
      </c>
      <c r="AM258" s="652"/>
      <c r="AN258" s="649"/>
      <c r="AO258" s="649"/>
      <c r="AP258" s="649"/>
      <c r="AQ258" s="653"/>
      <c r="AR258" s="649"/>
      <c r="AS258" s="649"/>
      <c r="AT258" s="652">
        <f t="shared" si="133"/>
        <v>484</v>
      </c>
      <c r="AU258" s="649"/>
      <c r="AV258" s="654"/>
      <c r="AW258" s="652"/>
      <c r="AX258" s="652">
        <f>I258/11</f>
        <v>44</v>
      </c>
      <c r="AY258" s="652"/>
      <c r="AZ258" s="654"/>
      <c r="BA258" s="652"/>
      <c r="BB258" s="652"/>
      <c r="BC258" s="654"/>
      <c r="BD258" s="654"/>
      <c r="BE258" s="652"/>
      <c r="BF258" s="654"/>
      <c r="BG258" s="654"/>
      <c r="BH258" s="654"/>
      <c r="BI258" s="654"/>
      <c r="BJ258" s="654"/>
      <c r="BK258" s="654"/>
      <c r="BL258" s="654"/>
      <c r="BM258" s="654"/>
      <c r="BN258" s="654"/>
      <c r="BO258" s="654"/>
      <c r="BP258" s="654"/>
      <c r="BQ258" s="654"/>
      <c r="BR258" s="654"/>
      <c r="BS258" s="654"/>
      <c r="BT258" s="654"/>
      <c r="BU258" s="654"/>
      <c r="BV258" s="654"/>
      <c r="BW258" s="645" t="s">
        <v>109</v>
      </c>
      <c r="BX258" s="658">
        <f>I258/22*5</f>
        <v>110</v>
      </c>
      <c r="BY258" s="658">
        <f>I258/22*6</f>
        <v>132</v>
      </c>
      <c r="BZ258" s="658">
        <f>I258/22*6</f>
        <v>132</v>
      </c>
      <c r="CA258" s="658">
        <f>I258/22*5</f>
        <v>110</v>
      </c>
      <c r="CB258" s="644">
        <f t="shared" si="113"/>
        <v>484</v>
      </c>
      <c r="CC258" s="658">
        <f>I258/11</f>
        <v>44</v>
      </c>
      <c r="CD258" s="644">
        <f t="shared" si="129"/>
        <v>484</v>
      </c>
      <c r="CE258" s="644">
        <f t="shared" si="124"/>
        <v>0</v>
      </c>
    </row>
    <row r="259" s="338" customFormat="1" ht="40" customHeight="1" spans="1:83">
      <c r="A259" s="632">
        <v>45803</v>
      </c>
      <c r="B259" s="633" t="s">
        <v>646</v>
      </c>
      <c r="C259" s="634" t="s">
        <v>247</v>
      </c>
      <c r="D259" s="635">
        <v>4500166289</v>
      </c>
      <c r="E259" s="659">
        <v>20858535</v>
      </c>
      <c r="F259" s="636" t="s">
        <v>1444</v>
      </c>
      <c r="G259" s="637" t="s">
        <v>648</v>
      </c>
      <c r="H259" s="637" t="s">
        <v>99</v>
      </c>
      <c r="I259" s="638">
        <v>1410</v>
      </c>
      <c r="J259" s="638">
        <v>0</v>
      </c>
      <c r="K259" s="639">
        <v>6</v>
      </c>
      <c r="L259" s="639">
        <f t="shared" si="114"/>
        <v>235</v>
      </c>
      <c r="M259" s="641">
        <v>45845</v>
      </c>
      <c r="N259" s="641">
        <v>45841</v>
      </c>
      <c r="O259" s="641"/>
      <c r="P259" s="642" t="s">
        <v>100</v>
      </c>
      <c r="Q259" s="660" t="s">
        <v>1445</v>
      </c>
      <c r="R259" s="642" t="s">
        <v>1446</v>
      </c>
      <c r="S259" s="641"/>
      <c r="T259" s="641"/>
      <c r="U259" s="642" t="s">
        <v>1447</v>
      </c>
      <c r="V259" s="677"/>
      <c r="W259" s="645"/>
      <c r="X259" s="647" t="s">
        <v>1047</v>
      </c>
      <c r="Y259" s="646" t="s">
        <v>653</v>
      </c>
      <c r="Z259" s="648">
        <v>2.6851</v>
      </c>
      <c r="AA259" s="650">
        <f t="shared" si="110"/>
        <v>3785.991</v>
      </c>
      <c r="AB259" s="649">
        <v>1410</v>
      </c>
      <c r="AC259" s="649">
        <f t="shared" si="132"/>
        <v>0</v>
      </c>
      <c r="AD259" s="650" t="s">
        <v>106</v>
      </c>
      <c r="AE259" s="661" t="s">
        <v>648</v>
      </c>
      <c r="AF259" s="646" t="s">
        <v>107</v>
      </c>
      <c r="AG259" s="652" t="s">
        <v>43</v>
      </c>
      <c r="AH259" s="646" t="s">
        <v>1448</v>
      </c>
      <c r="AI259" s="649"/>
      <c r="AJ259" s="649"/>
      <c r="AK259" s="649"/>
      <c r="AL259" s="652">
        <f>I259</f>
        <v>1410</v>
      </c>
      <c r="AM259" s="652"/>
      <c r="AN259" s="649"/>
      <c r="AO259" s="649"/>
      <c r="AP259" s="649"/>
      <c r="AQ259" s="653"/>
      <c r="AR259" s="649"/>
      <c r="AS259" s="649"/>
      <c r="AT259" s="652">
        <f t="shared" si="133"/>
        <v>1410</v>
      </c>
      <c r="AU259" s="649"/>
      <c r="AV259" s="654"/>
      <c r="AW259" s="654"/>
      <c r="AX259" s="652"/>
      <c r="AY259" s="652"/>
      <c r="AZ259" s="654"/>
      <c r="BA259" s="652"/>
      <c r="BB259" s="652"/>
      <c r="BC259" s="654"/>
      <c r="BD259" s="654"/>
      <c r="BE259" s="652">
        <f>I259/6</f>
        <v>235</v>
      </c>
      <c r="BF259" s="654"/>
      <c r="BG259" s="652"/>
      <c r="BH259" s="652"/>
      <c r="BI259" s="654"/>
      <c r="BJ259" s="654"/>
      <c r="BK259" s="654"/>
      <c r="BL259" s="654"/>
      <c r="BM259" s="654"/>
      <c r="BN259" s="654"/>
      <c r="BO259" s="654"/>
      <c r="BP259" s="654"/>
      <c r="BQ259" s="654"/>
      <c r="BR259" s="654"/>
      <c r="BS259" s="654"/>
      <c r="BT259" s="654"/>
      <c r="BU259" s="654"/>
      <c r="BV259" s="654"/>
      <c r="BW259" s="645" t="s">
        <v>109</v>
      </c>
      <c r="BX259" s="658">
        <f>I259/4</f>
        <v>352.5</v>
      </c>
      <c r="BY259" s="658">
        <f>I259/4</f>
        <v>352.5</v>
      </c>
      <c r="BZ259" s="658">
        <f>I259/4</f>
        <v>352.5</v>
      </c>
      <c r="CA259" s="658">
        <f>I259/4</f>
        <v>352.5</v>
      </c>
      <c r="CB259" s="644">
        <f t="shared" si="113"/>
        <v>1410</v>
      </c>
      <c r="CC259" s="658"/>
      <c r="CD259" s="644">
        <f t="shared" si="129"/>
        <v>1410</v>
      </c>
      <c r="CE259" s="644">
        <f t="shared" si="124"/>
        <v>0</v>
      </c>
    </row>
    <row r="260" s="338" customFormat="1" ht="40" customHeight="1" spans="1:83">
      <c r="A260" s="632">
        <v>45803</v>
      </c>
      <c r="B260" s="633" t="s">
        <v>896</v>
      </c>
      <c r="C260" s="634" t="s">
        <v>267</v>
      </c>
      <c r="D260" s="635">
        <v>4500166290</v>
      </c>
      <c r="E260" s="659">
        <v>20858536</v>
      </c>
      <c r="F260" s="636" t="s">
        <v>1449</v>
      </c>
      <c r="G260" s="637" t="s">
        <v>648</v>
      </c>
      <c r="H260" s="637" t="s">
        <v>99</v>
      </c>
      <c r="I260" s="638">
        <v>90</v>
      </c>
      <c r="J260" s="638">
        <v>0</v>
      </c>
      <c r="K260" s="639">
        <v>6</v>
      </c>
      <c r="L260" s="639">
        <f t="shared" si="114"/>
        <v>15</v>
      </c>
      <c r="M260" s="641">
        <v>45845</v>
      </c>
      <c r="N260" s="641">
        <v>45841</v>
      </c>
      <c r="O260" s="641"/>
      <c r="P260" s="642" t="s">
        <v>100</v>
      </c>
      <c r="Q260" s="660" t="s">
        <v>1445</v>
      </c>
      <c r="R260" s="642" t="s">
        <v>1450</v>
      </c>
      <c r="S260" s="641"/>
      <c r="T260" s="641"/>
      <c r="U260" s="642" t="s">
        <v>1447</v>
      </c>
      <c r="V260" s="677"/>
      <c r="W260" s="645"/>
      <c r="X260" s="647" t="s">
        <v>1451</v>
      </c>
      <c r="Y260" s="646" t="s">
        <v>653</v>
      </c>
      <c r="Z260" s="648">
        <v>2.699</v>
      </c>
      <c r="AA260" s="650">
        <f t="shared" si="110"/>
        <v>242.91</v>
      </c>
      <c r="AB260" s="649">
        <v>90</v>
      </c>
      <c r="AC260" s="649">
        <f t="shared" si="132"/>
        <v>0</v>
      </c>
      <c r="AD260" s="650" t="s">
        <v>106</v>
      </c>
      <c r="AE260" s="661" t="s">
        <v>648</v>
      </c>
      <c r="AF260" s="646" t="s">
        <v>107</v>
      </c>
      <c r="AG260" s="652" t="s">
        <v>43</v>
      </c>
      <c r="AH260" s="646" t="s">
        <v>1452</v>
      </c>
      <c r="AI260" s="649"/>
      <c r="AJ260" s="649"/>
      <c r="AK260" s="649"/>
      <c r="AL260" s="652">
        <f>I260</f>
        <v>90</v>
      </c>
      <c r="AM260" s="652"/>
      <c r="AN260" s="649"/>
      <c r="AO260" s="649"/>
      <c r="AP260" s="649"/>
      <c r="AQ260" s="653"/>
      <c r="AR260" s="649"/>
      <c r="AS260" s="649"/>
      <c r="AT260" s="652">
        <f t="shared" si="133"/>
        <v>90</v>
      </c>
      <c r="AU260" s="649"/>
      <c r="AV260" s="654"/>
      <c r="AW260" s="654"/>
      <c r="AX260" s="652"/>
      <c r="AY260" s="652"/>
      <c r="AZ260" s="654"/>
      <c r="BA260" s="652"/>
      <c r="BB260" s="652"/>
      <c r="BC260" s="654"/>
      <c r="BD260" s="654"/>
      <c r="BE260" s="652">
        <f>I260/6</f>
        <v>15</v>
      </c>
      <c r="BF260" s="654"/>
      <c r="BG260" s="652"/>
      <c r="BH260" s="652"/>
      <c r="BI260" s="654"/>
      <c r="BJ260" s="654"/>
      <c r="BK260" s="654"/>
      <c r="BL260" s="654"/>
      <c r="BM260" s="654"/>
      <c r="BN260" s="654"/>
      <c r="BO260" s="654"/>
      <c r="BP260" s="654"/>
      <c r="BQ260" s="654"/>
      <c r="BR260" s="654"/>
      <c r="BS260" s="654"/>
      <c r="BT260" s="654"/>
      <c r="BU260" s="654"/>
      <c r="BV260" s="654"/>
      <c r="BW260" s="645" t="s">
        <v>109</v>
      </c>
      <c r="BX260" s="658">
        <f>I260/4</f>
        <v>22.5</v>
      </c>
      <c r="BY260" s="658">
        <f>I260/4</f>
        <v>22.5</v>
      </c>
      <c r="BZ260" s="658">
        <f>I260/4</f>
        <v>22.5</v>
      </c>
      <c r="CA260" s="658">
        <f>I260/4</f>
        <v>22.5</v>
      </c>
      <c r="CB260" s="644">
        <f t="shared" si="113"/>
        <v>90</v>
      </c>
      <c r="CC260" s="658"/>
      <c r="CD260" s="644">
        <f t="shared" si="129"/>
        <v>90</v>
      </c>
      <c r="CE260" s="644">
        <f t="shared" si="124"/>
        <v>0</v>
      </c>
    </row>
    <row r="261" s="338" customFormat="1" ht="40" customHeight="1" spans="1:83">
      <c r="A261" s="632">
        <v>45798</v>
      </c>
      <c r="B261" s="633" t="s">
        <v>802</v>
      </c>
      <c r="C261" s="634" t="s">
        <v>214</v>
      </c>
      <c r="D261" s="635">
        <v>4500167444</v>
      </c>
      <c r="E261" s="659">
        <v>5200006828</v>
      </c>
      <c r="F261" s="636" t="s">
        <v>1453</v>
      </c>
      <c r="G261" s="637" t="s">
        <v>451</v>
      </c>
      <c r="H261" s="637" t="s">
        <v>99</v>
      </c>
      <c r="I261" s="638">
        <v>3000</v>
      </c>
      <c r="J261" s="638">
        <v>0</v>
      </c>
      <c r="K261" s="639">
        <v>24</v>
      </c>
      <c r="L261" s="639">
        <f t="shared" si="114"/>
        <v>125</v>
      </c>
      <c r="M261" s="641">
        <v>45843</v>
      </c>
      <c r="N261" s="641">
        <v>45839</v>
      </c>
      <c r="O261" s="641" t="s">
        <v>1454</v>
      </c>
      <c r="P261" s="642" t="s">
        <v>100</v>
      </c>
      <c r="Q261" s="643" t="s">
        <v>1455</v>
      </c>
      <c r="R261" s="642" t="s">
        <v>1332</v>
      </c>
      <c r="S261" s="641"/>
      <c r="T261" s="641"/>
      <c r="U261" s="642" t="s">
        <v>493</v>
      </c>
      <c r="V261" s="677"/>
      <c r="W261" s="645"/>
      <c r="X261" s="647" t="s">
        <v>1456</v>
      </c>
      <c r="Y261" s="646" t="s">
        <v>809</v>
      </c>
      <c r="Z261" s="683">
        <v>1.4954</v>
      </c>
      <c r="AA261" s="650">
        <f t="shared" si="110"/>
        <v>4486.2</v>
      </c>
      <c r="AB261" s="649">
        <f>840+2160</f>
        <v>3000</v>
      </c>
      <c r="AC261" s="649">
        <f t="shared" si="132"/>
        <v>0</v>
      </c>
      <c r="AD261" s="650" t="s">
        <v>123</v>
      </c>
      <c r="AE261" s="661" t="s">
        <v>166</v>
      </c>
      <c r="AF261" s="646" t="s">
        <v>107</v>
      </c>
      <c r="AG261" s="652" t="s">
        <v>43</v>
      </c>
      <c r="AH261" s="646" t="s">
        <v>1457</v>
      </c>
      <c r="AI261" s="649"/>
      <c r="AJ261" s="649"/>
      <c r="AK261" s="649"/>
      <c r="AL261" s="652">
        <f>I261</f>
        <v>3000</v>
      </c>
      <c r="AM261" s="652"/>
      <c r="AN261" s="649"/>
      <c r="AO261" s="649"/>
      <c r="AP261" s="649"/>
      <c r="AQ261" s="653"/>
      <c r="AR261" s="649"/>
      <c r="AS261" s="649"/>
      <c r="AT261" s="652">
        <f t="shared" si="133"/>
        <v>3000</v>
      </c>
      <c r="AU261" s="649"/>
      <c r="AV261" s="654"/>
      <c r="AW261" s="654"/>
      <c r="AX261" s="652"/>
      <c r="AY261" s="652"/>
      <c r="AZ261" s="654"/>
      <c r="BA261" s="652"/>
      <c r="BB261" s="652"/>
      <c r="BC261" s="654"/>
      <c r="BD261" s="654"/>
      <c r="BE261" s="654"/>
      <c r="BF261" s="654"/>
      <c r="BG261" s="652"/>
      <c r="BH261" s="652"/>
      <c r="BI261" s="654"/>
      <c r="BJ261" s="654"/>
      <c r="BK261" s="654"/>
      <c r="BL261" s="654"/>
      <c r="BM261" s="654"/>
      <c r="BN261" s="654"/>
      <c r="BO261" s="654"/>
      <c r="BP261" s="654"/>
      <c r="BQ261" s="654"/>
      <c r="BR261" s="654"/>
      <c r="BS261" s="654"/>
      <c r="BT261" s="654"/>
      <c r="BU261" s="654"/>
      <c r="BV261" s="654"/>
      <c r="BW261" s="645" t="s">
        <v>109</v>
      </c>
      <c r="BX261" s="658"/>
      <c r="BY261" s="658">
        <f>I261</f>
        <v>3000</v>
      </c>
      <c r="BZ261" s="658"/>
      <c r="CA261" s="658"/>
      <c r="CB261" s="644"/>
      <c r="CC261" s="658"/>
      <c r="CD261" s="644">
        <f t="shared" si="129"/>
        <v>3000</v>
      </c>
      <c r="CE261" s="644">
        <f t="shared" si="124"/>
        <v>0</v>
      </c>
    </row>
    <row r="262" s="338" customFormat="1" ht="40" customHeight="1" spans="1:83">
      <c r="A262" s="632">
        <v>45812</v>
      </c>
      <c r="B262" s="633" t="s">
        <v>407</v>
      </c>
      <c r="C262" s="634" t="s">
        <v>129</v>
      </c>
      <c r="D262" s="635">
        <v>4500168910</v>
      </c>
      <c r="E262" s="659">
        <v>6000056638</v>
      </c>
      <c r="F262" s="636" t="s">
        <v>1458</v>
      </c>
      <c r="G262" s="637" t="s">
        <v>111</v>
      </c>
      <c r="H262" s="637" t="s">
        <v>99</v>
      </c>
      <c r="I262" s="638">
        <v>506</v>
      </c>
      <c r="J262" s="638">
        <v>0</v>
      </c>
      <c r="K262" s="639">
        <v>22</v>
      </c>
      <c r="L262" s="639">
        <f t="shared" si="114"/>
        <v>23</v>
      </c>
      <c r="M262" s="641">
        <v>45841</v>
      </c>
      <c r="N262" s="641">
        <v>45846</v>
      </c>
      <c r="O262" s="641"/>
      <c r="P262" s="642" t="s">
        <v>100</v>
      </c>
      <c r="Q262" s="643" t="s">
        <v>1455</v>
      </c>
      <c r="R262" s="642" t="s">
        <v>1459</v>
      </c>
      <c r="S262" s="641"/>
      <c r="T262" s="641"/>
      <c r="U262" s="642" t="s">
        <v>1460</v>
      </c>
      <c r="V262" s="677" t="s">
        <v>1461</v>
      </c>
      <c r="W262" s="645"/>
      <c r="X262" s="647" t="s">
        <v>1462</v>
      </c>
      <c r="Y262" s="646" t="s">
        <v>818</v>
      </c>
      <c r="Z262" s="683">
        <v>2.7311</v>
      </c>
      <c r="AA262" s="650">
        <f t="shared" si="110"/>
        <v>1381.9366</v>
      </c>
      <c r="AB262" s="649">
        <v>506</v>
      </c>
      <c r="AC262" s="649">
        <f t="shared" si="132"/>
        <v>0</v>
      </c>
      <c r="AD262" s="650" t="s">
        <v>106</v>
      </c>
      <c r="AE262" s="637" t="s">
        <v>230</v>
      </c>
      <c r="AF262" s="646" t="s">
        <v>107</v>
      </c>
      <c r="AG262" s="652" t="s">
        <v>43</v>
      </c>
      <c r="AH262" s="646" t="s">
        <v>1463</v>
      </c>
      <c r="AI262" s="649"/>
      <c r="AJ262" s="649"/>
      <c r="AK262" s="649"/>
      <c r="AL262" s="649"/>
      <c r="AM262" s="649"/>
      <c r="AN262" s="649"/>
      <c r="AO262" s="649">
        <f>I262</f>
        <v>506</v>
      </c>
      <c r="AP262" s="649"/>
      <c r="AQ262" s="653"/>
      <c r="AR262" s="649"/>
      <c r="AS262" s="649"/>
      <c r="AT262" s="652">
        <f t="shared" si="133"/>
        <v>506</v>
      </c>
      <c r="AU262" s="649"/>
      <c r="AV262" s="654"/>
      <c r="AW262" s="654"/>
      <c r="AX262" s="652"/>
      <c r="AY262" s="652"/>
      <c r="AZ262" s="654"/>
      <c r="BA262" s="652">
        <f>I262/11</f>
        <v>46</v>
      </c>
      <c r="BB262" s="652"/>
      <c r="BC262" s="654"/>
      <c r="BD262" s="654"/>
      <c r="BE262" s="654"/>
      <c r="BF262" s="654"/>
      <c r="BG262" s="652"/>
      <c r="BH262" s="652"/>
      <c r="BI262" s="654"/>
      <c r="BJ262" s="654"/>
      <c r="BK262" s="654"/>
      <c r="BL262" s="654"/>
      <c r="BM262" s="654"/>
      <c r="BN262" s="654"/>
      <c r="BO262" s="654"/>
      <c r="BP262" s="654"/>
      <c r="BQ262" s="654"/>
      <c r="BR262" s="654"/>
      <c r="BS262" s="654"/>
      <c r="BT262" s="654"/>
      <c r="BU262" s="654"/>
      <c r="BV262" s="654"/>
      <c r="BW262" s="645" t="s">
        <v>109</v>
      </c>
      <c r="BX262" s="658">
        <f t="shared" ref="BX262:BX268" si="134">I262/22*5</f>
        <v>115</v>
      </c>
      <c r="BY262" s="658">
        <f t="shared" ref="BY262:BY268" si="135">I262/22*6</f>
        <v>138</v>
      </c>
      <c r="BZ262" s="658">
        <f t="shared" ref="BZ262:BZ268" si="136">I262/22*6</f>
        <v>138</v>
      </c>
      <c r="CA262" s="658">
        <f t="shared" ref="CA262:CA268" si="137">I262/22*5</f>
        <v>115</v>
      </c>
      <c r="CB262" s="644">
        <f t="shared" ref="CB262:CB282" si="138">I262</f>
        <v>506</v>
      </c>
      <c r="CC262" s="658">
        <f>I262/11</f>
        <v>46</v>
      </c>
      <c r="CD262" s="644">
        <f t="shared" si="129"/>
        <v>506</v>
      </c>
      <c r="CE262" s="644">
        <f t="shared" si="124"/>
        <v>0</v>
      </c>
    </row>
    <row r="263" s="338" customFormat="1" ht="40" customHeight="1" spans="1:83">
      <c r="A263" s="632">
        <v>45799</v>
      </c>
      <c r="B263" s="633" t="s">
        <v>1464</v>
      </c>
      <c r="C263" s="634" t="s">
        <v>214</v>
      </c>
      <c r="D263" s="635">
        <v>4500167544</v>
      </c>
      <c r="E263" s="659">
        <v>4648</v>
      </c>
      <c r="F263" s="636" t="s">
        <v>1465</v>
      </c>
      <c r="G263" s="637" t="s">
        <v>241</v>
      </c>
      <c r="H263" s="637" t="s">
        <v>99</v>
      </c>
      <c r="I263" s="638">
        <v>1507</v>
      </c>
      <c r="J263" s="638">
        <v>0</v>
      </c>
      <c r="K263" s="639">
        <v>11</v>
      </c>
      <c r="L263" s="639">
        <f t="shared" si="114"/>
        <v>137</v>
      </c>
      <c r="M263" s="641">
        <v>45846</v>
      </c>
      <c r="N263" s="641">
        <v>45842</v>
      </c>
      <c r="O263" s="641"/>
      <c r="P263" s="642" t="s">
        <v>100</v>
      </c>
      <c r="Q263" s="643" t="s">
        <v>1157</v>
      </c>
      <c r="R263" s="642" t="s">
        <v>1450</v>
      </c>
      <c r="S263" s="641"/>
      <c r="T263" s="641"/>
      <c r="U263" s="642" t="s">
        <v>113</v>
      </c>
      <c r="V263" s="677"/>
      <c r="W263" s="645"/>
      <c r="X263" s="647" t="s">
        <v>1466</v>
      </c>
      <c r="Y263" s="646" t="s">
        <v>1040</v>
      </c>
      <c r="Z263" s="683">
        <v>1.6273</v>
      </c>
      <c r="AA263" s="650">
        <f t="shared" ref="AA263:AA282" si="139">I263*Z263</f>
        <v>2452.3411</v>
      </c>
      <c r="AB263" s="649">
        <v>1507</v>
      </c>
      <c r="AC263" s="649">
        <f t="shared" si="132"/>
        <v>0</v>
      </c>
      <c r="AD263" s="650" t="s">
        <v>113</v>
      </c>
      <c r="AE263" s="637" t="s">
        <v>241</v>
      </c>
      <c r="AF263" s="646" t="s">
        <v>107</v>
      </c>
      <c r="AG263" s="652" t="s">
        <v>43</v>
      </c>
      <c r="AH263" s="634" t="s">
        <v>1467</v>
      </c>
      <c r="AI263" s="649"/>
      <c r="AJ263" s="649"/>
      <c r="AK263" s="649"/>
      <c r="AL263" s="652">
        <f>I263</f>
        <v>1507</v>
      </c>
      <c r="AM263" s="652"/>
      <c r="AN263" s="649"/>
      <c r="AO263" s="649"/>
      <c r="AP263" s="649"/>
      <c r="AQ263" s="653"/>
      <c r="AR263" s="649"/>
      <c r="AS263" s="649"/>
      <c r="AT263" s="652">
        <f t="shared" ref="AT263:AT270" si="140">I263</f>
        <v>1507</v>
      </c>
      <c r="AU263" s="649"/>
      <c r="AV263" s="654"/>
      <c r="AW263" s="654"/>
      <c r="AX263" s="652">
        <f>I263/11</f>
        <v>137</v>
      </c>
      <c r="AY263" s="652"/>
      <c r="AZ263" s="654"/>
      <c r="BA263" s="652"/>
      <c r="BB263" s="652"/>
      <c r="BC263" s="654"/>
      <c r="BD263" s="654"/>
      <c r="BE263" s="654"/>
      <c r="BF263" s="654"/>
      <c r="BG263" s="652"/>
      <c r="BH263" s="652"/>
      <c r="BI263" s="654"/>
      <c r="BJ263" s="654"/>
      <c r="BK263" s="654"/>
      <c r="BL263" s="654"/>
      <c r="BM263" s="654"/>
      <c r="BN263" s="654"/>
      <c r="BO263" s="654"/>
      <c r="BP263" s="654"/>
      <c r="BQ263" s="654"/>
      <c r="BR263" s="654"/>
      <c r="BS263" s="654"/>
      <c r="BT263" s="654"/>
      <c r="BU263" s="654"/>
      <c r="BV263" s="654"/>
      <c r="BW263" s="645" t="s">
        <v>109</v>
      </c>
      <c r="BX263" s="658">
        <f t="shared" si="134"/>
        <v>342.5</v>
      </c>
      <c r="BY263" s="658">
        <f t="shared" si="135"/>
        <v>411</v>
      </c>
      <c r="BZ263" s="658">
        <f t="shared" si="136"/>
        <v>411</v>
      </c>
      <c r="CA263" s="658">
        <f t="shared" si="137"/>
        <v>342.5</v>
      </c>
      <c r="CB263" s="644">
        <f t="shared" si="138"/>
        <v>1507</v>
      </c>
      <c r="CC263" s="658">
        <f t="shared" ref="CC263:CC268" si="141">I263/11</f>
        <v>137</v>
      </c>
      <c r="CD263" s="644">
        <f t="shared" si="129"/>
        <v>1507</v>
      </c>
      <c r="CE263" s="644">
        <f t="shared" si="124"/>
        <v>0</v>
      </c>
    </row>
    <row r="264" s="338" customFormat="1" ht="40" customHeight="1" spans="1:83">
      <c r="A264" s="632">
        <v>45776</v>
      </c>
      <c r="B264" s="633" t="s">
        <v>414</v>
      </c>
      <c r="C264" s="634" t="s">
        <v>415</v>
      </c>
      <c r="D264" s="635">
        <v>4500165299</v>
      </c>
      <c r="E264" s="659" t="s">
        <v>1468</v>
      </c>
      <c r="F264" s="636" t="s">
        <v>1469</v>
      </c>
      <c r="G264" s="637" t="s">
        <v>111</v>
      </c>
      <c r="H264" s="637" t="s">
        <v>99</v>
      </c>
      <c r="I264" s="638">
        <v>616</v>
      </c>
      <c r="J264" s="638">
        <v>0</v>
      </c>
      <c r="K264" s="639">
        <v>22</v>
      </c>
      <c r="L264" s="639">
        <f t="shared" si="114"/>
        <v>28</v>
      </c>
      <c r="M264" s="641">
        <v>45847</v>
      </c>
      <c r="N264" s="641">
        <v>45843</v>
      </c>
      <c r="O264" s="641"/>
      <c r="P264" s="642" t="s">
        <v>100</v>
      </c>
      <c r="Q264" s="643" t="s">
        <v>1157</v>
      </c>
      <c r="R264" s="642" t="s">
        <v>1470</v>
      </c>
      <c r="S264" s="641"/>
      <c r="T264" s="641"/>
      <c r="U264" s="642" t="s">
        <v>1471</v>
      </c>
      <c r="V264" s="642"/>
      <c r="W264" s="645"/>
      <c r="X264" s="647" t="s">
        <v>685</v>
      </c>
      <c r="Y264" s="646" t="s">
        <v>1472</v>
      </c>
      <c r="Z264" s="683">
        <v>2.6965</v>
      </c>
      <c r="AA264" s="650">
        <f t="shared" si="139"/>
        <v>1661.044</v>
      </c>
      <c r="AB264" s="649">
        <v>616</v>
      </c>
      <c r="AC264" s="649">
        <f t="shared" si="132"/>
        <v>0</v>
      </c>
      <c r="AD264" s="650" t="s">
        <v>106</v>
      </c>
      <c r="AE264" s="661" t="s">
        <v>111</v>
      </c>
      <c r="AF264" s="646" t="s">
        <v>107</v>
      </c>
      <c r="AG264" s="652" t="s">
        <v>43</v>
      </c>
      <c r="AH264" s="645" t="s">
        <v>1473</v>
      </c>
      <c r="AI264" s="649"/>
      <c r="AJ264" s="649"/>
      <c r="AK264" s="649"/>
      <c r="AL264" s="652">
        <f>I264</f>
        <v>616</v>
      </c>
      <c r="AM264" s="652"/>
      <c r="AN264" s="649"/>
      <c r="AO264" s="649"/>
      <c r="AP264" s="649"/>
      <c r="AQ264" s="653"/>
      <c r="AR264" s="649"/>
      <c r="AS264" s="649"/>
      <c r="AT264" s="652">
        <f t="shared" si="140"/>
        <v>616</v>
      </c>
      <c r="AU264" s="649"/>
      <c r="AV264" s="654"/>
      <c r="AW264" s="654"/>
      <c r="AX264" s="652">
        <f>I264/11</f>
        <v>56</v>
      </c>
      <c r="AY264" s="652"/>
      <c r="AZ264" s="654"/>
      <c r="BA264" s="652"/>
      <c r="BB264" s="652"/>
      <c r="BC264" s="654"/>
      <c r="BD264" s="654"/>
      <c r="BE264" s="654"/>
      <c r="BF264" s="654"/>
      <c r="BG264" s="654"/>
      <c r="BH264" s="654"/>
      <c r="BI264" s="654"/>
      <c r="BJ264" s="654"/>
      <c r="BK264" s="654"/>
      <c r="BL264" s="654"/>
      <c r="BM264" s="654"/>
      <c r="BN264" s="654"/>
      <c r="BO264" s="654"/>
      <c r="BP264" s="654"/>
      <c r="BQ264" s="654"/>
      <c r="BR264" s="654"/>
      <c r="BS264" s="654"/>
      <c r="BT264" s="654"/>
      <c r="BU264" s="654"/>
      <c r="BV264" s="654"/>
      <c r="BW264" s="645" t="s">
        <v>109</v>
      </c>
      <c r="BX264" s="658">
        <f t="shared" si="134"/>
        <v>140</v>
      </c>
      <c r="BY264" s="658">
        <f t="shared" si="135"/>
        <v>168</v>
      </c>
      <c r="BZ264" s="658">
        <f t="shared" si="136"/>
        <v>168</v>
      </c>
      <c r="CA264" s="658">
        <f t="shared" si="137"/>
        <v>140</v>
      </c>
      <c r="CB264" s="644">
        <f t="shared" si="138"/>
        <v>616</v>
      </c>
      <c r="CC264" s="658">
        <f t="shared" si="141"/>
        <v>56</v>
      </c>
      <c r="CD264" s="644">
        <f t="shared" si="129"/>
        <v>616</v>
      </c>
      <c r="CE264" s="644">
        <f t="shared" si="124"/>
        <v>0</v>
      </c>
    </row>
    <row r="265" s="338" customFormat="1" ht="40" customHeight="1" spans="1:83">
      <c r="A265" s="632">
        <v>45812</v>
      </c>
      <c r="B265" s="633" t="s">
        <v>1474</v>
      </c>
      <c r="C265" s="634" t="s">
        <v>129</v>
      </c>
      <c r="D265" s="635">
        <v>4500168907</v>
      </c>
      <c r="E265" s="659">
        <v>5251216535</v>
      </c>
      <c r="F265" s="636" t="s">
        <v>1475</v>
      </c>
      <c r="G265" s="637" t="s">
        <v>111</v>
      </c>
      <c r="H265" s="637" t="s">
        <v>1476</v>
      </c>
      <c r="I265" s="638">
        <v>7018</v>
      </c>
      <c r="J265" s="638">
        <v>0</v>
      </c>
      <c r="K265" s="639">
        <v>22</v>
      </c>
      <c r="L265" s="639">
        <f t="shared" si="114"/>
        <v>319</v>
      </c>
      <c r="M265" s="641">
        <v>45847</v>
      </c>
      <c r="N265" s="641">
        <v>45843</v>
      </c>
      <c r="O265" s="641"/>
      <c r="P265" s="642" t="s">
        <v>100</v>
      </c>
      <c r="Q265" s="643" t="s">
        <v>1477</v>
      </c>
      <c r="R265" s="642" t="s">
        <v>1478</v>
      </c>
      <c r="S265" s="641"/>
      <c r="T265" s="641"/>
      <c r="U265" s="642" t="s">
        <v>1479</v>
      </c>
      <c r="V265" s="642"/>
      <c r="W265" s="645" t="s">
        <v>1480</v>
      </c>
      <c r="X265" s="647" t="s">
        <v>1481</v>
      </c>
      <c r="Y265" s="646" t="s">
        <v>818</v>
      </c>
      <c r="Z265" s="683">
        <v>2.6892</v>
      </c>
      <c r="AA265" s="650">
        <f t="shared" si="139"/>
        <v>18872.8056</v>
      </c>
      <c r="AB265" s="649">
        <f>6952+66</f>
        <v>7018</v>
      </c>
      <c r="AC265" s="649">
        <f t="shared" si="132"/>
        <v>0</v>
      </c>
      <c r="AD265" s="650" t="s">
        <v>106</v>
      </c>
      <c r="AE265" s="637" t="s">
        <v>230</v>
      </c>
      <c r="AF265" s="646" t="s">
        <v>107</v>
      </c>
      <c r="AG265" s="652" t="s">
        <v>43</v>
      </c>
      <c r="AH265" s="646" t="s">
        <v>1482</v>
      </c>
      <c r="AI265" s="649"/>
      <c r="AJ265" s="649"/>
      <c r="AK265" s="649"/>
      <c r="AL265" s="649"/>
      <c r="AM265" s="649"/>
      <c r="AN265" s="649"/>
      <c r="AO265" s="649">
        <f>I265</f>
        <v>7018</v>
      </c>
      <c r="AP265" s="649"/>
      <c r="AQ265" s="653"/>
      <c r="AR265" s="649"/>
      <c r="AS265" s="649"/>
      <c r="AT265" s="652">
        <f t="shared" si="140"/>
        <v>7018</v>
      </c>
      <c r="AU265" s="649"/>
      <c r="AV265" s="654"/>
      <c r="AW265" s="654"/>
      <c r="AX265" s="652"/>
      <c r="AY265" s="652"/>
      <c r="AZ265" s="654"/>
      <c r="BA265" s="652">
        <f>I265/11</f>
        <v>638</v>
      </c>
      <c r="BB265" s="652"/>
      <c r="BC265" s="654"/>
      <c r="BD265" s="654"/>
      <c r="BE265" s="654"/>
      <c r="BF265" s="654"/>
      <c r="BG265" s="654"/>
      <c r="BH265" s="654"/>
      <c r="BI265" s="654"/>
      <c r="BJ265" s="654"/>
      <c r="BK265" s="654"/>
      <c r="BL265" s="654"/>
      <c r="BM265" s="654"/>
      <c r="BN265" s="654"/>
      <c r="BO265" s="654"/>
      <c r="BP265" s="654"/>
      <c r="BQ265" s="654"/>
      <c r="BR265" s="654"/>
      <c r="BS265" s="654"/>
      <c r="BT265" s="654"/>
      <c r="BU265" s="654"/>
      <c r="BV265" s="654"/>
      <c r="BW265" s="645" t="s">
        <v>109</v>
      </c>
      <c r="BX265" s="658">
        <f t="shared" si="134"/>
        <v>1595</v>
      </c>
      <c r="BY265" s="658">
        <f t="shared" si="135"/>
        <v>1914</v>
      </c>
      <c r="BZ265" s="658">
        <f t="shared" si="136"/>
        <v>1914</v>
      </c>
      <c r="CA265" s="658">
        <f t="shared" si="137"/>
        <v>1595</v>
      </c>
      <c r="CB265" s="644">
        <f t="shared" si="138"/>
        <v>7018</v>
      </c>
      <c r="CC265" s="658">
        <f t="shared" si="141"/>
        <v>638</v>
      </c>
      <c r="CD265" s="644">
        <f t="shared" si="129"/>
        <v>7018</v>
      </c>
      <c r="CE265" s="644">
        <f t="shared" si="124"/>
        <v>0</v>
      </c>
    </row>
    <row r="266" s="338" customFormat="1" ht="40" customHeight="1" spans="1:83">
      <c r="A266" s="632">
        <v>45811</v>
      </c>
      <c r="B266" s="633" t="s">
        <v>465</v>
      </c>
      <c r="C266" s="634" t="s">
        <v>466</v>
      </c>
      <c r="D266" s="635">
        <v>4500168730</v>
      </c>
      <c r="E266" s="659"/>
      <c r="F266" s="636" t="s">
        <v>1483</v>
      </c>
      <c r="G266" s="637" t="s">
        <v>111</v>
      </c>
      <c r="H266" s="637" t="s">
        <v>99</v>
      </c>
      <c r="I266" s="638">
        <v>3696</v>
      </c>
      <c r="J266" s="638">
        <v>0</v>
      </c>
      <c r="K266" s="639">
        <v>22</v>
      </c>
      <c r="L266" s="639">
        <f t="shared" si="114"/>
        <v>168</v>
      </c>
      <c r="M266" s="641">
        <v>45848</v>
      </c>
      <c r="N266" s="641">
        <v>45845</v>
      </c>
      <c r="O266" s="641"/>
      <c r="P266" s="642" t="s">
        <v>100</v>
      </c>
      <c r="Q266" s="643" t="s">
        <v>1484</v>
      </c>
      <c r="R266" s="642" t="s">
        <v>1485</v>
      </c>
      <c r="S266" s="641"/>
      <c r="T266" s="641"/>
      <c r="U266" s="642" t="s">
        <v>1486</v>
      </c>
      <c r="V266" s="642"/>
      <c r="W266" s="645"/>
      <c r="X266" s="647" t="s">
        <v>1487</v>
      </c>
      <c r="Y266" s="646" t="s">
        <v>1219</v>
      </c>
      <c r="Z266" s="683">
        <v>2.7064</v>
      </c>
      <c r="AA266" s="650">
        <f t="shared" si="139"/>
        <v>10002.8544</v>
      </c>
      <c r="AB266" s="649">
        <v>3696</v>
      </c>
      <c r="AC266" s="649">
        <f t="shared" si="132"/>
        <v>0</v>
      </c>
      <c r="AD266" s="650" t="s">
        <v>123</v>
      </c>
      <c r="AE266" s="661" t="s">
        <v>111</v>
      </c>
      <c r="AF266" s="646" t="s">
        <v>107</v>
      </c>
      <c r="AG266" s="652" t="s">
        <v>43</v>
      </c>
      <c r="AH266" s="645" t="s">
        <v>1488</v>
      </c>
      <c r="AI266" s="649"/>
      <c r="AJ266" s="649"/>
      <c r="AK266" s="649"/>
      <c r="AL266" s="652">
        <f>I266</f>
        <v>3696</v>
      </c>
      <c r="AM266" s="652"/>
      <c r="AN266" s="649"/>
      <c r="AO266" s="649"/>
      <c r="AP266" s="649"/>
      <c r="AQ266" s="653"/>
      <c r="AR266" s="649"/>
      <c r="AS266" s="649"/>
      <c r="AT266" s="652">
        <f t="shared" si="140"/>
        <v>3696</v>
      </c>
      <c r="AU266" s="649"/>
      <c r="AV266" s="654"/>
      <c r="AW266" s="654"/>
      <c r="AX266" s="652">
        <f>I266/11</f>
        <v>336</v>
      </c>
      <c r="AY266" s="652"/>
      <c r="AZ266" s="654"/>
      <c r="BA266" s="652"/>
      <c r="BB266" s="652"/>
      <c r="BC266" s="654"/>
      <c r="BD266" s="654"/>
      <c r="BE266" s="654"/>
      <c r="BF266" s="654"/>
      <c r="BG266" s="654"/>
      <c r="BH266" s="654"/>
      <c r="BI266" s="654"/>
      <c r="BJ266" s="654"/>
      <c r="BK266" s="654"/>
      <c r="BL266" s="654"/>
      <c r="BM266" s="654"/>
      <c r="BN266" s="654"/>
      <c r="BO266" s="654"/>
      <c r="BP266" s="654"/>
      <c r="BQ266" s="654"/>
      <c r="BR266" s="654"/>
      <c r="BS266" s="654"/>
      <c r="BT266" s="654"/>
      <c r="BU266" s="654"/>
      <c r="BV266" s="654"/>
      <c r="BW266" s="645"/>
      <c r="BX266" s="658">
        <f t="shared" si="134"/>
        <v>840</v>
      </c>
      <c r="BY266" s="658">
        <f t="shared" si="135"/>
        <v>1008</v>
      </c>
      <c r="BZ266" s="658">
        <f t="shared" si="136"/>
        <v>1008</v>
      </c>
      <c r="CA266" s="658">
        <f t="shared" si="137"/>
        <v>840</v>
      </c>
      <c r="CB266" s="644">
        <f t="shared" si="138"/>
        <v>3696</v>
      </c>
      <c r="CC266" s="658">
        <f t="shared" si="141"/>
        <v>336</v>
      </c>
      <c r="CD266" s="644">
        <f t="shared" si="129"/>
        <v>3696</v>
      </c>
      <c r="CE266" s="644">
        <f t="shared" si="124"/>
        <v>0</v>
      </c>
    </row>
    <row r="267" s="338" customFormat="1" ht="40" customHeight="1" spans="1:83">
      <c r="A267" s="632">
        <v>45805</v>
      </c>
      <c r="B267" s="633" t="s">
        <v>1489</v>
      </c>
      <c r="C267" s="634" t="s">
        <v>1490</v>
      </c>
      <c r="D267" s="635">
        <v>4500168159</v>
      </c>
      <c r="E267" s="659" t="s">
        <v>1491</v>
      </c>
      <c r="F267" s="636" t="s">
        <v>1492</v>
      </c>
      <c r="G267" s="637" t="s">
        <v>111</v>
      </c>
      <c r="H267" s="637" t="s">
        <v>99</v>
      </c>
      <c r="I267" s="638">
        <v>660</v>
      </c>
      <c r="J267" s="638">
        <v>0</v>
      </c>
      <c r="K267" s="639">
        <v>22</v>
      </c>
      <c r="L267" s="639">
        <f t="shared" si="114"/>
        <v>30</v>
      </c>
      <c r="M267" s="641">
        <v>45849</v>
      </c>
      <c r="N267" s="641">
        <v>45845</v>
      </c>
      <c r="O267" s="641"/>
      <c r="P267" s="642" t="s">
        <v>100</v>
      </c>
      <c r="Q267" s="643" t="s">
        <v>1161</v>
      </c>
      <c r="R267" s="642" t="s">
        <v>1446</v>
      </c>
      <c r="S267" s="641"/>
      <c r="T267" s="641"/>
      <c r="U267" s="642" t="s">
        <v>1493</v>
      </c>
      <c r="V267" s="642"/>
      <c r="W267" s="645"/>
      <c r="X267" s="647" t="s">
        <v>1494</v>
      </c>
      <c r="Y267" s="646" t="s">
        <v>632</v>
      </c>
      <c r="Z267" s="683">
        <v>2.8047</v>
      </c>
      <c r="AA267" s="650">
        <f t="shared" si="139"/>
        <v>1851.102</v>
      </c>
      <c r="AB267" s="649">
        <v>660</v>
      </c>
      <c r="AC267" s="649">
        <f t="shared" si="132"/>
        <v>0</v>
      </c>
      <c r="AD267" s="650" t="s">
        <v>106</v>
      </c>
      <c r="AE267" s="661" t="s">
        <v>111</v>
      </c>
      <c r="AF267" s="646" t="s">
        <v>107</v>
      </c>
      <c r="AG267" s="652" t="s">
        <v>43</v>
      </c>
      <c r="AH267" s="646" t="s">
        <v>1495</v>
      </c>
      <c r="AI267" s="649"/>
      <c r="AJ267" s="649"/>
      <c r="AK267" s="649"/>
      <c r="AL267" s="652">
        <f>I267</f>
        <v>660</v>
      </c>
      <c r="AM267" s="652"/>
      <c r="AN267" s="649"/>
      <c r="AO267" s="649"/>
      <c r="AP267" s="649"/>
      <c r="AQ267" s="653"/>
      <c r="AR267" s="649"/>
      <c r="AS267" s="649"/>
      <c r="AT267" s="652">
        <f t="shared" si="140"/>
        <v>660</v>
      </c>
      <c r="AU267" s="649"/>
      <c r="AV267" s="654"/>
      <c r="AW267" s="654"/>
      <c r="AX267" s="652">
        <f>I267/11</f>
        <v>60</v>
      </c>
      <c r="AY267" s="652"/>
      <c r="AZ267" s="654"/>
      <c r="BA267" s="652"/>
      <c r="BB267" s="652"/>
      <c r="BC267" s="654"/>
      <c r="BD267" s="654"/>
      <c r="BE267" s="654"/>
      <c r="BF267" s="654"/>
      <c r="BG267" s="654"/>
      <c r="BH267" s="654"/>
      <c r="BI267" s="654"/>
      <c r="BJ267" s="654"/>
      <c r="BK267" s="654"/>
      <c r="BL267" s="654"/>
      <c r="BM267" s="654"/>
      <c r="BN267" s="654"/>
      <c r="BO267" s="654"/>
      <c r="BP267" s="654"/>
      <c r="BQ267" s="654"/>
      <c r="BR267" s="654"/>
      <c r="BS267" s="654"/>
      <c r="BT267" s="654"/>
      <c r="BU267" s="654"/>
      <c r="BV267" s="654"/>
      <c r="BW267" s="645" t="s">
        <v>109</v>
      </c>
      <c r="BX267" s="658">
        <f t="shared" si="134"/>
        <v>150</v>
      </c>
      <c r="BY267" s="658">
        <f t="shared" si="135"/>
        <v>180</v>
      </c>
      <c r="BZ267" s="658">
        <f t="shared" si="136"/>
        <v>180</v>
      </c>
      <c r="CA267" s="658">
        <f t="shared" si="137"/>
        <v>150</v>
      </c>
      <c r="CB267" s="644">
        <f t="shared" si="138"/>
        <v>660</v>
      </c>
      <c r="CC267" s="658">
        <f t="shared" si="141"/>
        <v>60</v>
      </c>
      <c r="CD267" s="644">
        <f t="shared" si="129"/>
        <v>660</v>
      </c>
      <c r="CE267" s="644">
        <f t="shared" si="124"/>
        <v>0</v>
      </c>
    </row>
    <row r="268" s="338" customFormat="1" ht="40" customHeight="1" spans="1:83">
      <c r="A268" s="632">
        <v>45807</v>
      </c>
      <c r="B268" s="633" t="s">
        <v>709</v>
      </c>
      <c r="C268" s="634" t="s">
        <v>247</v>
      </c>
      <c r="D268" s="635">
        <v>4500168536</v>
      </c>
      <c r="E268" s="659">
        <v>2465837</v>
      </c>
      <c r="F268" s="636" t="s">
        <v>1496</v>
      </c>
      <c r="G268" s="637" t="s">
        <v>111</v>
      </c>
      <c r="H268" s="637" t="s">
        <v>99</v>
      </c>
      <c r="I268" s="638">
        <v>1518</v>
      </c>
      <c r="J268" s="638">
        <v>0</v>
      </c>
      <c r="K268" s="639">
        <v>22</v>
      </c>
      <c r="L268" s="639">
        <f t="shared" si="114"/>
        <v>69</v>
      </c>
      <c r="M268" s="641">
        <v>45852</v>
      </c>
      <c r="N268" s="641">
        <v>45848</v>
      </c>
      <c r="O268" s="641"/>
      <c r="P268" s="642" t="s">
        <v>100</v>
      </c>
      <c r="Q268" s="643" t="s">
        <v>1497</v>
      </c>
      <c r="R268" s="642" t="s">
        <v>1498</v>
      </c>
      <c r="S268" s="641"/>
      <c r="T268" s="641"/>
      <c r="U268" s="642">
        <v>45840</v>
      </c>
      <c r="V268" s="642"/>
      <c r="W268" s="645"/>
      <c r="X268" s="647" t="s">
        <v>1499</v>
      </c>
      <c r="Y268" s="646" t="s">
        <v>253</v>
      </c>
      <c r="Z268" s="683">
        <v>2.7909</v>
      </c>
      <c r="AA268" s="650">
        <f t="shared" si="139"/>
        <v>4236.5862</v>
      </c>
      <c r="AB268" s="649">
        <v>1518</v>
      </c>
      <c r="AC268" s="649">
        <f t="shared" si="132"/>
        <v>0</v>
      </c>
      <c r="AD268" s="689" t="s">
        <v>106</v>
      </c>
      <c r="AE268" s="661" t="s">
        <v>111</v>
      </c>
      <c r="AF268" s="646" t="s">
        <v>107</v>
      </c>
      <c r="AG268" s="652" t="s">
        <v>43</v>
      </c>
      <c r="AH268" s="646" t="s">
        <v>1500</v>
      </c>
      <c r="AI268" s="649"/>
      <c r="AJ268" s="649"/>
      <c r="AK268" s="649"/>
      <c r="AL268" s="652">
        <f>I268</f>
        <v>1518</v>
      </c>
      <c r="AM268" s="652"/>
      <c r="AN268" s="649"/>
      <c r="AO268" s="649"/>
      <c r="AP268" s="649"/>
      <c r="AQ268" s="653"/>
      <c r="AR268" s="649"/>
      <c r="AS268" s="649"/>
      <c r="AT268" s="652">
        <f t="shared" si="140"/>
        <v>1518</v>
      </c>
      <c r="AU268" s="649"/>
      <c r="AV268" s="654"/>
      <c r="AW268" s="654"/>
      <c r="AX268" s="652">
        <f>I268/11</f>
        <v>138</v>
      </c>
      <c r="AY268" s="652"/>
      <c r="AZ268" s="654"/>
      <c r="BA268" s="652"/>
      <c r="BB268" s="652"/>
      <c r="BC268" s="654"/>
      <c r="BD268" s="654"/>
      <c r="BE268" s="654"/>
      <c r="BF268" s="654"/>
      <c r="BG268" s="652"/>
      <c r="BH268" s="652"/>
      <c r="BI268" s="654"/>
      <c r="BJ268" s="654"/>
      <c r="BK268" s="654"/>
      <c r="BL268" s="654"/>
      <c r="BM268" s="654"/>
      <c r="BN268" s="654"/>
      <c r="BO268" s="654"/>
      <c r="BP268" s="654"/>
      <c r="BQ268" s="654"/>
      <c r="BR268" s="654"/>
      <c r="BS268" s="654"/>
      <c r="BT268" s="654"/>
      <c r="BU268" s="654"/>
      <c r="BV268" s="654"/>
      <c r="BW268" s="645" t="s">
        <v>109</v>
      </c>
      <c r="BX268" s="658">
        <f t="shared" si="134"/>
        <v>345</v>
      </c>
      <c r="BY268" s="658">
        <f t="shared" si="135"/>
        <v>414</v>
      </c>
      <c r="BZ268" s="658">
        <f t="shared" si="136"/>
        <v>414</v>
      </c>
      <c r="CA268" s="658">
        <f t="shared" si="137"/>
        <v>345</v>
      </c>
      <c r="CB268" s="644">
        <f t="shared" si="138"/>
        <v>1518</v>
      </c>
      <c r="CC268" s="658">
        <f t="shared" si="141"/>
        <v>138</v>
      </c>
      <c r="CD268" s="644">
        <f t="shared" si="129"/>
        <v>1518</v>
      </c>
      <c r="CE268" s="644">
        <f t="shared" si="124"/>
        <v>0</v>
      </c>
    </row>
    <row r="269" s="338" customFormat="1" ht="40" customHeight="1" spans="1:83">
      <c r="A269" s="632">
        <v>45825</v>
      </c>
      <c r="B269" s="633" t="s">
        <v>1501</v>
      </c>
      <c r="C269" s="634" t="s">
        <v>1502</v>
      </c>
      <c r="D269" s="635">
        <v>4500170216</v>
      </c>
      <c r="E269" s="659"/>
      <c r="F269" s="636" t="s">
        <v>1503</v>
      </c>
      <c r="G269" s="637" t="s">
        <v>98</v>
      </c>
      <c r="H269" s="637" t="s">
        <v>99</v>
      </c>
      <c r="I269" s="638">
        <v>1008</v>
      </c>
      <c r="J269" s="638">
        <v>0</v>
      </c>
      <c r="K269" s="639">
        <v>24</v>
      </c>
      <c r="L269" s="639">
        <f t="shared" si="114"/>
        <v>42</v>
      </c>
      <c r="M269" s="641">
        <v>45854</v>
      </c>
      <c r="N269" s="641">
        <v>45850</v>
      </c>
      <c r="O269" s="642"/>
      <c r="P269" s="642" t="s">
        <v>100</v>
      </c>
      <c r="Q269" s="643" t="s">
        <v>1504</v>
      </c>
      <c r="R269" s="642" t="s">
        <v>1505</v>
      </c>
      <c r="S269" s="641"/>
      <c r="T269" s="641"/>
      <c r="U269" s="642" t="s">
        <v>1506</v>
      </c>
      <c r="V269" s="642"/>
      <c r="W269" s="645"/>
      <c r="X269" s="647" t="s">
        <v>1507</v>
      </c>
      <c r="Y269" s="646" t="s">
        <v>906</v>
      </c>
      <c r="Z269" s="648">
        <v>2.474</v>
      </c>
      <c r="AA269" s="650">
        <f t="shared" si="139"/>
        <v>2493.792</v>
      </c>
      <c r="AB269" s="649">
        <v>1008</v>
      </c>
      <c r="AC269" s="649">
        <f t="shared" si="132"/>
        <v>0</v>
      </c>
      <c r="AD269" s="650" t="s">
        <v>106</v>
      </c>
      <c r="AE269" s="637" t="s">
        <v>98</v>
      </c>
      <c r="AF269" s="646" t="s">
        <v>107</v>
      </c>
      <c r="AG269" s="652" t="s">
        <v>43</v>
      </c>
      <c r="AH269" s="646"/>
      <c r="AI269" s="649"/>
      <c r="AJ269" s="649"/>
      <c r="AK269" s="649"/>
      <c r="AL269" s="652">
        <f>I269</f>
        <v>1008</v>
      </c>
      <c r="AM269" s="652"/>
      <c r="AN269" s="649"/>
      <c r="AO269" s="649"/>
      <c r="AP269" s="649"/>
      <c r="AQ269" s="653"/>
      <c r="AR269" s="649"/>
      <c r="AS269" s="649"/>
      <c r="AT269" s="652">
        <f t="shared" si="140"/>
        <v>1008</v>
      </c>
      <c r="AU269" s="649"/>
      <c r="AV269" s="652"/>
      <c r="AW269" s="654"/>
      <c r="AX269" s="652"/>
      <c r="AY269" s="652"/>
      <c r="AZ269" s="654"/>
      <c r="BA269" s="652"/>
      <c r="BB269" s="652"/>
      <c r="BC269" s="654"/>
      <c r="BD269" s="654"/>
      <c r="BE269" s="654"/>
      <c r="BF269" s="654"/>
      <c r="BG269" s="654"/>
      <c r="BH269" s="654"/>
      <c r="BI269" s="654"/>
      <c r="BJ269" s="654"/>
      <c r="BK269" s="654"/>
      <c r="BL269" s="654"/>
      <c r="BM269" s="654"/>
      <c r="BN269" s="654"/>
      <c r="BO269" s="654"/>
      <c r="BP269" s="654"/>
      <c r="BQ269" s="654"/>
      <c r="BR269" s="654"/>
      <c r="BS269" s="654"/>
      <c r="BT269" s="654"/>
      <c r="BU269" s="654"/>
      <c r="BV269" s="654"/>
      <c r="BW269" s="645" t="s">
        <v>109</v>
      </c>
      <c r="BX269" s="658">
        <f>I269/4</f>
        <v>252</v>
      </c>
      <c r="BY269" s="658">
        <f>I269/4</f>
        <v>252</v>
      </c>
      <c r="BZ269" s="658">
        <f>I269/4</f>
        <v>252</v>
      </c>
      <c r="CA269" s="658">
        <f>I269/4</f>
        <v>252</v>
      </c>
      <c r="CB269" s="644">
        <f t="shared" si="138"/>
        <v>1008</v>
      </c>
      <c r="CC269" s="644"/>
      <c r="CD269" s="644">
        <f t="shared" si="129"/>
        <v>1008</v>
      </c>
      <c r="CE269" s="644">
        <f t="shared" si="124"/>
        <v>0</v>
      </c>
    </row>
    <row r="270" s="338" customFormat="1" ht="40" customHeight="1" spans="1:83">
      <c r="A270" s="632">
        <v>45786</v>
      </c>
      <c r="B270" s="633" t="s">
        <v>344</v>
      </c>
      <c r="C270" s="634" t="s">
        <v>345</v>
      </c>
      <c r="D270" s="635">
        <v>4500165899</v>
      </c>
      <c r="E270" s="659"/>
      <c r="F270" s="636" t="s">
        <v>1508</v>
      </c>
      <c r="G270" s="637" t="s">
        <v>111</v>
      </c>
      <c r="H270" s="637" t="s">
        <v>99</v>
      </c>
      <c r="I270" s="638">
        <v>10010</v>
      </c>
      <c r="J270" s="638">
        <v>0</v>
      </c>
      <c r="K270" s="639">
        <v>22</v>
      </c>
      <c r="L270" s="639">
        <f t="shared" si="114"/>
        <v>455</v>
      </c>
      <c r="M270" s="641">
        <v>45827</v>
      </c>
      <c r="N270" s="641">
        <v>45855</v>
      </c>
      <c r="O270" s="642"/>
      <c r="P270" s="642" t="s">
        <v>100</v>
      </c>
      <c r="Q270" s="643" t="s">
        <v>1153</v>
      </c>
      <c r="R270" s="642" t="s">
        <v>1310</v>
      </c>
      <c r="S270" s="641"/>
      <c r="T270" s="641"/>
      <c r="U270" s="642" t="s">
        <v>1509</v>
      </c>
      <c r="V270" s="677"/>
      <c r="W270" s="645"/>
      <c r="X270" s="647" t="s">
        <v>1510</v>
      </c>
      <c r="Y270" s="646" t="s">
        <v>1511</v>
      </c>
      <c r="Z270" s="683">
        <v>2.6311</v>
      </c>
      <c r="AA270" s="650">
        <f t="shared" si="139"/>
        <v>26337.311</v>
      </c>
      <c r="AB270" s="649">
        <v>10010</v>
      </c>
      <c r="AC270" s="649">
        <f t="shared" si="132"/>
        <v>0</v>
      </c>
      <c r="AD270" s="650" t="s">
        <v>106</v>
      </c>
      <c r="AE270" s="637" t="s">
        <v>230</v>
      </c>
      <c r="AF270" s="646" t="s">
        <v>107</v>
      </c>
      <c r="AG270" s="652" t="s">
        <v>43</v>
      </c>
      <c r="AH270" s="646"/>
      <c r="AI270" s="649"/>
      <c r="AJ270" s="649"/>
      <c r="AK270" s="649"/>
      <c r="AL270" s="649"/>
      <c r="AM270" s="649"/>
      <c r="AN270" s="649"/>
      <c r="AO270" s="649">
        <f>I270</f>
        <v>10010</v>
      </c>
      <c r="AP270" s="649"/>
      <c r="AQ270" s="653"/>
      <c r="AR270" s="649"/>
      <c r="AS270" s="649"/>
      <c r="AT270" s="652">
        <f t="shared" si="140"/>
        <v>10010</v>
      </c>
      <c r="AU270" s="649"/>
      <c r="AV270" s="652"/>
      <c r="AW270" s="654"/>
      <c r="AX270" s="652"/>
      <c r="AY270" s="652"/>
      <c r="AZ270" s="654"/>
      <c r="BA270" s="652">
        <f>I270/11</f>
        <v>910</v>
      </c>
      <c r="BB270" s="652"/>
      <c r="BC270" s="654"/>
      <c r="BD270" s="654"/>
      <c r="BE270" s="654"/>
      <c r="BF270" s="654"/>
      <c r="BG270" s="652"/>
      <c r="BH270" s="652"/>
      <c r="BI270" s="654"/>
      <c r="BJ270" s="654"/>
      <c r="BK270" s="654"/>
      <c r="BL270" s="654"/>
      <c r="BM270" s="654"/>
      <c r="BN270" s="654"/>
      <c r="BO270" s="654"/>
      <c r="BP270" s="654"/>
      <c r="BQ270" s="654"/>
      <c r="BR270" s="654"/>
      <c r="BS270" s="654"/>
      <c r="BT270" s="654"/>
      <c r="BU270" s="654"/>
      <c r="BV270" s="654"/>
      <c r="BW270" s="645" t="s">
        <v>109</v>
      </c>
      <c r="BX270" s="658">
        <f>I270/22*5</f>
        <v>2275</v>
      </c>
      <c r="BY270" s="658">
        <f>I270/22*6</f>
        <v>2730</v>
      </c>
      <c r="BZ270" s="658">
        <f>I270/22*6</f>
        <v>2730</v>
      </c>
      <c r="CA270" s="658">
        <f>I270/22*5</f>
        <v>2275</v>
      </c>
      <c r="CB270" s="644">
        <f t="shared" si="138"/>
        <v>10010</v>
      </c>
      <c r="CC270" s="658">
        <f>I270/11</f>
        <v>910</v>
      </c>
      <c r="CD270" s="644">
        <f t="shared" si="129"/>
        <v>10010</v>
      </c>
      <c r="CE270" s="644">
        <f t="shared" si="124"/>
        <v>0</v>
      </c>
    </row>
    <row r="271" s="338" customFormat="1" ht="40" customHeight="1" spans="1:83">
      <c r="A271" s="632">
        <v>45786</v>
      </c>
      <c r="B271" s="633" t="s">
        <v>424</v>
      </c>
      <c r="C271" s="634" t="s">
        <v>380</v>
      </c>
      <c r="D271" s="635">
        <v>4500163522</v>
      </c>
      <c r="E271" s="659">
        <v>2734602</v>
      </c>
      <c r="F271" s="636" t="s">
        <v>1512</v>
      </c>
      <c r="G271" s="637" t="s">
        <v>427</v>
      </c>
      <c r="H271" s="637" t="s">
        <v>99</v>
      </c>
      <c r="I271" s="638">
        <v>3997</v>
      </c>
      <c r="J271" s="638">
        <v>0</v>
      </c>
      <c r="K271" s="639">
        <v>7</v>
      </c>
      <c r="L271" s="639">
        <f t="shared" si="114"/>
        <v>571</v>
      </c>
      <c r="M271" s="641">
        <v>45855</v>
      </c>
      <c r="N271" s="641">
        <f>M271-3</f>
        <v>45852</v>
      </c>
      <c r="O271" s="641"/>
      <c r="P271" s="642" t="s">
        <v>100</v>
      </c>
      <c r="Q271" s="643" t="s">
        <v>1513</v>
      </c>
      <c r="R271" s="642" t="s">
        <v>1255</v>
      </c>
      <c r="S271" s="641"/>
      <c r="T271" s="641"/>
      <c r="U271" s="642" t="s">
        <v>1514</v>
      </c>
      <c r="V271" s="642"/>
      <c r="W271" s="645"/>
      <c r="X271" s="647" t="s">
        <v>1515</v>
      </c>
      <c r="Y271" s="646" t="s">
        <v>1219</v>
      </c>
      <c r="Z271" s="648">
        <v>2.8221</v>
      </c>
      <c r="AA271" s="650">
        <f t="shared" si="139"/>
        <v>11279.9337</v>
      </c>
      <c r="AB271" s="649">
        <f>3969+28</f>
        <v>3997</v>
      </c>
      <c r="AC271" s="649">
        <f t="shared" si="132"/>
        <v>0</v>
      </c>
      <c r="AD271" s="650" t="s">
        <v>106</v>
      </c>
      <c r="AE271" s="637" t="s">
        <v>427</v>
      </c>
      <c r="AF271" s="646" t="s">
        <v>107</v>
      </c>
      <c r="AG271" s="652" t="s">
        <v>43</v>
      </c>
      <c r="AH271" s="646" t="s">
        <v>1516</v>
      </c>
      <c r="AI271" s="649"/>
      <c r="AJ271" s="649"/>
      <c r="AK271" s="649"/>
      <c r="AL271" s="652">
        <f>I271</f>
        <v>3997</v>
      </c>
      <c r="AM271" s="652"/>
      <c r="AN271" s="649"/>
      <c r="AO271" s="649"/>
      <c r="AP271" s="649"/>
      <c r="AQ271" s="653"/>
      <c r="AR271" s="649"/>
      <c r="AS271" s="649"/>
      <c r="AT271" s="652">
        <f t="shared" ref="AT271:AT281" si="142">I271</f>
        <v>3997</v>
      </c>
      <c r="AU271" s="649"/>
      <c r="AV271" s="654"/>
      <c r="AW271" s="654"/>
      <c r="AX271" s="652"/>
      <c r="AY271" s="652"/>
      <c r="AZ271" s="654"/>
      <c r="BA271" s="652"/>
      <c r="BB271" s="652"/>
      <c r="BC271" s="654"/>
      <c r="BD271" s="654"/>
      <c r="BE271" s="654"/>
      <c r="BF271" s="654"/>
      <c r="BG271" s="652">
        <f>I271/7</f>
        <v>571</v>
      </c>
      <c r="BH271" s="652"/>
      <c r="BI271" s="654"/>
      <c r="BJ271" s="654"/>
      <c r="BK271" s="654"/>
      <c r="BL271" s="654"/>
      <c r="BM271" s="654"/>
      <c r="BN271" s="654"/>
      <c r="BO271" s="654"/>
      <c r="BP271" s="654"/>
      <c r="BQ271" s="654"/>
      <c r="BR271" s="654"/>
      <c r="BS271" s="654"/>
      <c r="BT271" s="654"/>
      <c r="BU271" s="654"/>
      <c r="BV271" s="654"/>
      <c r="BW271" s="645" t="s">
        <v>109</v>
      </c>
      <c r="BX271" s="658">
        <f>I271/4</f>
        <v>999.25</v>
      </c>
      <c r="BY271" s="658">
        <f>I271/4</f>
        <v>999.25</v>
      </c>
      <c r="BZ271" s="658">
        <f>I271/4</f>
        <v>999.25</v>
      </c>
      <c r="CA271" s="658">
        <f>I271/4</f>
        <v>999.25</v>
      </c>
      <c r="CB271" s="644">
        <f t="shared" si="138"/>
        <v>3997</v>
      </c>
      <c r="CC271" s="644">
        <f>I271/7</f>
        <v>571</v>
      </c>
      <c r="CD271" s="644">
        <f t="shared" si="129"/>
        <v>3997</v>
      </c>
      <c r="CE271" s="644">
        <f t="shared" si="124"/>
        <v>0</v>
      </c>
    </row>
    <row r="272" s="338" customFormat="1" ht="40" customHeight="1" spans="1:83">
      <c r="A272" s="632">
        <v>45798</v>
      </c>
      <c r="B272" s="633" t="s">
        <v>1517</v>
      </c>
      <c r="C272" s="634" t="s">
        <v>178</v>
      </c>
      <c r="D272" s="635">
        <v>4500165126</v>
      </c>
      <c r="E272" s="659" t="s">
        <v>1518</v>
      </c>
      <c r="F272" s="636" t="s">
        <v>1519</v>
      </c>
      <c r="G272" s="637" t="s">
        <v>241</v>
      </c>
      <c r="H272" s="637" t="s">
        <v>99</v>
      </c>
      <c r="I272" s="638">
        <v>2750</v>
      </c>
      <c r="J272" s="638">
        <v>0</v>
      </c>
      <c r="K272" s="639">
        <v>11</v>
      </c>
      <c r="L272" s="639">
        <f t="shared" si="114"/>
        <v>250</v>
      </c>
      <c r="M272" s="641">
        <v>45854</v>
      </c>
      <c r="N272" s="641">
        <v>45850</v>
      </c>
      <c r="O272" s="641"/>
      <c r="P272" s="642" t="s">
        <v>100</v>
      </c>
      <c r="Q272" s="643" t="s">
        <v>1134</v>
      </c>
      <c r="R272" s="642" t="s">
        <v>1332</v>
      </c>
      <c r="S272" s="641"/>
      <c r="T272" s="641"/>
      <c r="U272" s="642" t="s">
        <v>1520</v>
      </c>
      <c r="V272" s="642"/>
      <c r="W272" s="645"/>
      <c r="X272" s="647" t="s">
        <v>1521</v>
      </c>
      <c r="Y272" s="646" t="s">
        <v>1522</v>
      </c>
      <c r="Z272" s="683">
        <v>2.7028</v>
      </c>
      <c r="AA272" s="650">
        <f t="shared" si="139"/>
        <v>7432.7</v>
      </c>
      <c r="AB272" s="649">
        <f>2717+33</f>
        <v>2750</v>
      </c>
      <c r="AC272" s="649">
        <f t="shared" si="132"/>
        <v>0</v>
      </c>
      <c r="AD272" s="650" t="s">
        <v>123</v>
      </c>
      <c r="AE272" s="637" t="s">
        <v>597</v>
      </c>
      <c r="AF272" s="646" t="s">
        <v>107</v>
      </c>
      <c r="AG272" s="652" t="s">
        <v>43</v>
      </c>
      <c r="AH272" s="646" t="s">
        <v>1523</v>
      </c>
      <c r="AI272" s="649"/>
      <c r="AJ272" s="649"/>
      <c r="AK272" s="649"/>
      <c r="AL272" s="649"/>
      <c r="AM272" s="649"/>
      <c r="AN272" s="649"/>
      <c r="AO272" s="649">
        <f>I272</f>
        <v>2750</v>
      </c>
      <c r="AP272" s="649"/>
      <c r="AQ272" s="653"/>
      <c r="AR272" s="649"/>
      <c r="AS272" s="649"/>
      <c r="AT272" s="652">
        <f t="shared" si="142"/>
        <v>2750</v>
      </c>
      <c r="AU272" s="649"/>
      <c r="AV272" s="654"/>
      <c r="AW272" s="654"/>
      <c r="AX272" s="652"/>
      <c r="AY272" s="652"/>
      <c r="AZ272" s="654"/>
      <c r="BA272" s="652">
        <f>I272/11</f>
        <v>250</v>
      </c>
      <c r="BB272" s="652"/>
      <c r="BC272" s="654"/>
      <c r="BD272" s="654"/>
      <c r="BE272" s="654"/>
      <c r="BF272" s="654"/>
      <c r="BG272" s="654"/>
      <c r="BH272" s="654"/>
      <c r="BI272" s="654"/>
      <c r="BJ272" s="654"/>
      <c r="BK272" s="654"/>
      <c r="BL272" s="654"/>
      <c r="BM272" s="654"/>
      <c r="BN272" s="654"/>
      <c r="BO272" s="654"/>
      <c r="BP272" s="654"/>
      <c r="BQ272" s="654"/>
      <c r="BR272" s="654"/>
      <c r="BS272" s="654"/>
      <c r="BT272" s="654"/>
      <c r="BU272" s="654"/>
      <c r="BV272" s="654"/>
      <c r="BW272" s="645" t="s">
        <v>109</v>
      </c>
      <c r="BX272" s="658">
        <f>I272/22*5</f>
        <v>625</v>
      </c>
      <c r="BY272" s="658">
        <f>I272/22*6</f>
        <v>750</v>
      </c>
      <c r="BZ272" s="658">
        <f>I272/22*6</f>
        <v>750</v>
      </c>
      <c r="CA272" s="658">
        <f>I272/22*5</f>
        <v>625</v>
      </c>
      <c r="CB272" s="644">
        <f t="shared" si="138"/>
        <v>2750</v>
      </c>
      <c r="CC272" s="658">
        <f>I272/11</f>
        <v>250</v>
      </c>
      <c r="CD272" s="644">
        <f t="shared" si="129"/>
        <v>2750</v>
      </c>
      <c r="CE272" s="644">
        <f t="shared" si="124"/>
        <v>0</v>
      </c>
    </row>
    <row r="273" s="338" customFormat="1" ht="40" customHeight="1" spans="1:83">
      <c r="A273" s="632">
        <v>45814</v>
      </c>
      <c r="B273" s="633" t="s">
        <v>1524</v>
      </c>
      <c r="C273" s="634" t="s">
        <v>178</v>
      </c>
      <c r="D273" s="635">
        <v>4500169209</v>
      </c>
      <c r="E273" s="659" t="s">
        <v>1525</v>
      </c>
      <c r="F273" s="636" t="s">
        <v>1526</v>
      </c>
      <c r="G273" s="637" t="s">
        <v>241</v>
      </c>
      <c r="H273" s="637" t="s">
        <v>99</v>
      </c>
      <c r="I273" s="638">
        <v>2002</v>
      </c>
      <c r="J273" s="638">
        <v>0</v>
      </c>
      <c r="K273" s="639">
        <v>11</v>
      </c>
      <c r="L273" s="639">
        <f t="shared" si="114"/>
        <v>182</v>
      </c>
      <c r="M273" s="641">
        <v>45854</v>
      </c>
      <c r="N273" s="641">
        <v>45850</v>
      </c>
      <c r="O273" s="642"/>
      <c r="P273" s="642" t="s">
        <v>100</v>
      </c>
      <c r="Q273" s="643" t="s">
        <v>1134</v>
      </c>
      <c r="R273" s="642" t="s">
        <v>1527</v>
      </c>
      <c r="S273" s="641"/>
      <c r="T273" s="641"/>
      <c r="U273" s="642" t="s">
        <v>1528</v>
      </c>
      <c r="V273" s="642"/>
      <c r="W273" s="645"/>
      <c r="X273" s="647" t="s">
        <v>1529</v>
      </c>
      <c r="Y273" s="646" t="s">
        <v>1522</v>
      </c>
      <c r="Z273" s="683">
        <v>2.7028</v>
      </c>
      <c r="AA273" s="650">
        <f t="shared" si="139"/>
        <v>5411.0056</v>
      </c>
      <c r="AB273" s="649">
        <v>2002</v>
      </c>
      <c r="AC273" s="649">
        <f t="shared" si="132"/>
        <v>0</v>
      </c>
      <c r="AD273" s="650" t="s">
        <v>123</v>
      </c>
      <c r="AE273" s="637" t="s">
        <v>597</v>
      </c>
      <c r="AF273" s="646" t="s">
        <v>107</v>
      </c>
      <c r="AG273" s="652" t="s">
        <v>43</v>
      </c>
      <c r="AH273" s="646" t="s">
        <v>1530</v>
      </c>
      <c r="AI273" s="649"/>
      <c r="AJ273" s="649"/>
      <c r="AK273" s="649"/>
      <c r="AL273" s="649"/>
      <c r="AM273" s="649"/>
      <c r="AN273" s="649"/>
      <c r="AO273" s="649">
        <f>I273</f>
        <v>2002</v>
      </c>
      <c r="AP273" s="649"/>
      <c r="AQ273" s="653"/>
      <c r="AR273" s="649"/>
      <c r="AS273" s="649"/>
      <c r="AT273" s="652">
        <f t="shared" si="142"/>
        <v>2002</v>
      </c>
      <c r="AU273" s="649"/>
      <c r="AV273" s="652"/>
      <c r="AW273" s="654"/>
      <c r="AX273" s="652"/>
      <c r="AY273" s="652"/>
      <c r="AZ273" s="654"/>
      <c r="BA273" s="652">
        <f>I273/11</f>
        <v>182</v>
      </c>
      <c r="BB273" s="652"/>
      <c r="BC273" s="654"/>
      <c r="BD273" s="654"/>
      <c r="BE273" s="654"/>
      <c r="BF273" s="654"/>
      <c r="BG273" s="654"/>
      <c r="BH273" s="654"/>
      <c r="BI273" s="654"/>
      <c r="BJ273" s="654"/>
      <c r="BK273" s="654"/>
      <c r="BL273" s="654"/>
      <c r="BM273" s="654"/>
      <c r="BN273" s="654"/>
      <c r="BO273" s="654"/>
      <c r="BP273" s="654"/>
      <c r="BQ273" s="654"/>
      <c r="BR273" s="654"/>
      <c r="BS273" s="654"/>
      <c r="BT273" s="654"/>
      <c r="BU273" s="654"/>
      <c r="BV273" s="654"/>
      <c r="BW273" s="645" t="s">
        <v>109</v>
      </c>
      <c r="BX273" s="658">
        <f>I273/22*5</f>
        <v>455</v>
      </c>
      <c r="BY273" s="658">
        <f>I273/22*6</f>
        <v>546</v>
      </c>
      <c r="BZ273" s="658">
        <f>I273/22*6</f>
        <v>546</v>
      </c>
      <c r="CA273" s="658">
        <f>I273/22*5</f>
        <v>455</v>
      </c>
      <c r="CB273" s="644">
        <f t="shared" si="138"/>
        <v>2002</v>
      </c>
      <c r="CC273" s="658">
        <f>I273/11</f>
        <v>182</v>
      </c>
      <c r="CD273" s="644">
        <f t="shared" si="129"/>
        <v>2002</v>
      </c>
      <c r="CE273" s="644">
        <f t="shared" si="124"/>
        <v>0</v>
      </c>
    </row>
    <row r="274" s="338" customFormat="1" ht="40" customHeight="1" spans="1:83">
      <c r="A274" s="632">
        <v>45798</v>
      </c>
      <c r="B274" s="633" t="s">
        <v>274</v>
      </c>
      <c r="C274" s="634" t="s">
        <v>275</v>
      </c>
      <c r="D274" s="635">
        <v>4500167463</v>
      </c>
      <c r="E274" s="659" t="s">
        <v>1531</v>
      </c>
      <c r="F274" s="636" t="s">
        <v>1532</v>
      </c>
      <c r="G274" s="637" t="s">
        <v>111</v>
      </c>
      <c r="H274" s="637" t="s">
        <v>99</v>
      </c>
      <c r="I274" s="638">
        <v>506</v>
      </c>
      <c r="J274" s="638">
        <v>0</v>
      </c>
      <c r="K274" s="639">
        <v>22</v>
      </c>
      <c r="L274" s="639">
        <f t="shared" si="114"/>
        <v>23</v>
      </c>
      <c r="M274" s="641">
        <v>45856</v>
      </c>
      <c r="N274" s="641">
        <v>45852</v>
      </c>
      <c r="O274" s="641"/>
      <c r="P274" s="642" t="s">
        <v>100</v>
      </c>
      <c r="Q274" s="643" t="s">
        <v>1533</v>
      </c>
      <c r="R274" s="642" t="s">
        <v>1534</v>
      </c>
      <c r="S274" s="641"/>
      <c r="T274" s="641"/>
      <c r="U274" s="642" t="s">
        <v>279</v>
      </c>
      <c r="V274" s="642"/>
      <c r="W274" s="645"/>
      <c r="X274" s="647" t="s">
        <v>1535</v>
      </c>
      <c r="Y274" s="646" t="s">
        <v>281</v>
      </c>
      <c r="Z274" s="683">
        <v>2.7311</v>
      </c>
      <c r="AA274" s="650">
        <f t="shared" si="139"/>
        <v>1381.9366</v>
      </c>
      <c r="AB274" s="649">
        <v>506</v>
      </c>
      <c r="AC274" s="649">
        <f t="shared" si="132"/>
        <v>0</v>
      </c>
      <c r="AD274" s="650" t="s">
        <v>106</v>
      </c>
      <c r="AE274" s="637" t="s">
        <v>230</v>
      </c>
      <c r="AF274" s="646" t="s">
        <v>107</v>
      </c>
      <c r="AG274" s="652" t="s">
        <v>43</v>
      </c>
      <c r="AH274" s="646"/>
      <c r="AI274" s="649"/>
      <c r="AJ274" s="649"/>
      <c r="AK274" s="649"/>
      <c r="AL274" s="649"/>
      <c r="AM274" s="649"/>
      <c r="AN274" s="649"/>
      <c r="AO274" s="649">
        <f>I274</f>
        <v>506</v>
      </c>
      <c r="AP274" s="649"/>
      <c r="AQ274" s="653"/>
      <c r="AR274" s="649"/>
      <c r="AS274" s="649"/>
      <c r="AT274" s="652">
        <f t="shared" si="142"/>
        <v>506</v>
      </c>
      <c r="AU274" s="649"/>
      <c r="AV274" s="654"/>
      <c r="AW274" s="654"/>
      <c r="AX274" s="652"/>
      <c r="AY274" s="652"/>
      <c r="AZ274" s="654"/>
      <c r="BA274" s="652">
        <f>I274/11</f>
        <v>46</v>
      </c>
      <c r="BB274" s="652"/>
      <c r="BC274" s="654"/>
      <c r="BD274" s="654"/>
      <c r="BE274" s="654"/>
      <c r="BF274" s="654"/>
      <c r="BG274" s="652"/>
      <c r="BH274" s="652"/>
      <c r="BI274" s="654"/>
      <c r="BJ274" s="654"/>
      <c r="BK274" s="654"/>
      <c r="BL274" s="654"/>
      <c r="BM274" s="654"/>
      <c r="BN274" s="654"/>
      <c r="BO274" s="654"/>
      <c r="BP274" s="654"/>
      <c r="BQ274" s="654"/>
      <c r="BR274" s="654"/>
      <c r="BS274" s="654"/>
      <c r="BT274" s="654"/>
      <c r="BU274" s="654"/>
      <c r="BV274" s="654"/>
      <c r="BW274" s="645" t="s">
        <v>109</v>
      </c>
      <c r="BX274" s="658">
        <f>I274/22*5</f>
        <v>115</v>
      </c>
      <c r="BY274" s="658">
        <f>I274/22*6</f>
        <v>138</v>
      </c>
      <c r="BZ274" s="658">
        <f>I274/22*6</f>
        <v>138</v>
      </c>
      <c r="CA274" s="658">
        <f>I274/22*5</f>
        <v>115</v>
      </c>
      <c r="CB274" s="644">
        <f t="shared" si="138"/>
        <v>506</v>
      </c>
      <c r="CC274" s="658">
        <f>I274/11</f>
        <v>46</v>
      </c>
      <c r="CD274" s="644">
        <f t="shared" si="129"/>
        <v>506</v>
      </c>
      <c r="CE274" s="644">
        <f t="shared" si="124"/>
        <v>0</v>
      </c>
    </row>
    <row r="275" s="338" customFormat="1" ht="40" customHeight="1" spans="1:83">
      <c r="A275" s="632">
        <v>45818</v>
      </c>
      <c r="B275" s="633"/>
      <c r="C275" s="634"/>
      <c r="D275" s="635" t="s">
        <v>1536</v>
      </c>
      <c r="E275" s="659"/>
      <c r="F275" s="636"/>
      <c r="G275" s="637" t="s">
        <v>98</v>
      </c>
      <c r="H275" s="637" t="s">
        <v>99</v>
      </c>
      <c r="I275" s="638">
        <v>8960</v>
      </c>
      <c r="J275" s="638">
        <v>0</v>
      </c>
      <c r="K275" s="639">
        <v>24</v>
      </c>
      <c r="L275" s="640">
        <f t="shared" si="114"/>
        <v>373.333333333333</v>
      </c>
      <c r="M275" s="641">
        <v>45856</v>
      </c>
      <c r="N275" s="641">
        <v>45852</v>
      </c>
      <c r="O275" s="642" t="s">
        <v>1537</v>
      </c>
      <c r="P275" s="642" t="s">
        <v>100</v>
      </c>
      <c r="Q275" s="643"/>
      <c r="R275" s="642" t="s">
        <v>112</v>
      </c>
      <c r="S275" s="641"/>
      <c r="T275" s="641"/>
      <c r="U275" s="642" t="s">
        <v>1311</v>
      </c>
      <c r="V275" s="677"/>
      <c r="W275" s="645"/>
      <c r="X275" s="647" t="s">
        <v>1538</v>
      </c>
      <c r="Y275" s="646" t="s">
        <v>955</v>
      </c>
      <c r="Z275" s="648">
        <v>2.4459</v>
      </c>
      <c r="AA275" s="650">
        <f t="shared" si="139"/>
        <v>21915.264</v>
      </c>
      <c r="AB275" s="649">
        <f>3488+5472</f>
        <v>8960</v>
      </c>
      <c r="AC275" s="649">
        <f t="shared" si="132"/>
        <v>0</v>
      </c>
      <c r="AD275" s="650" t="s">
        <v>106</v>
      </c>
      <c r="AE275" s="637" t="s">
        <v>98</v>
      </c>
      <c r="AF275" s="646" t="s">
        <v>107</v>
      </c>
      <c r="AG275" s="652" t="s">
        <v>43</v>
      </c>
      <c r="AH275" s="646" t="s">
        <v>1539</v>
      </c>
      <c r="AI275" s="649"/>
      <c r="AJ275" s="649"/>
      <c r="AK275" s="649"/>
      <c r="AL275" s="652">
        <f>I275</f>
        <v>8960</v>
      </c>
      <c r="AM275" s="652"/>
      <c r="AN275" s="649"/>
      <c r="AO275" s="649"/>
      <c r="AP275" s="649"/>
      <c r="AQ275" s="653"/>
      <c r="AR275" s="649"/>
      <c r="AS275" s="649"/>
      <c r="AT275" s="652">
        <f t="shared" si="142"/>
        <v>8960</v>
      </c>
      <c r="AU275" s="649"/>
      <c r="AV275" s="654"/>
      <c r="AW275" s="654"/>
      <c r="AX275" s="652"/>
      <c r="AY275" s="652"/>
      <c r="AZ275" s="654"/>
      <c r="BA275" s="652"/>
      <c r="BB275" s="652"/>
      <c r="BC275" s="654"/>
      <c r="BD275" s="654"/>
      <c r="BE275" s="654"/>
      <c r="BF275" s="654"/>
      <c r="BG275" s="652"/>
      <c r="BH275" s="652"/>
      <c r="BI275" s="654"/>
      <c r="BJ275" s="654"/>
      <c r="BK275" s="654"/>
      <c r="BL275" s="654"/>
      <c r="BM275" s="654"/>
      <c r="BN275" s="654"/>
      <c r="BO275" s="654"/>
      <c r="BP275" s="654"/>
      <c r="BQ275" s="654"/>
      <c r="BR275" s="654"/>
      <c r="BS275" s="654"/>
      <c r="BT275" s="654"/>
      <c r="BU275" s="654"/>
      <c r="BV275" s="654"/>
      <c r="BW275" s="645" t="s">
        <v>109</v>
      </c>
      <c r="BX275" s="658">
        <f>I275/4</f>
        <v>2240</v>
      </c>
      <c r="BY275" s="658">
        <f>I275/4</f>
        <v>2240</v>
      </c>
      <c r="BZ275" s="658">
        <f>I275/4</f>
        <v>2240</v>
      </c>
      <c r="CA275" s="658">
        <f>I275/4</f>
        <v>2240</v>
      </c>
      <c r="CB275" s="644">
        <f t="shared" si="138"/>
        <v>8960</v>
      </c>
      <c r="CC275" s="658">
        <f>I275/11</f>
        <v>814.545454545455</v>
      </c>
      <c r="CD275" s="644">
        <f t="shared" si="129"/>
        <v>8960</v>
      </c>
      <c r="CE275" s="644">
        <f t="shared" si="124"/>
        <v>0</v>
      </c>
    </row>
    <row r="276" s="338" customFormat="1" ht="40" customHeight="1" spans="1:83">
      <c r="A276" s="632">
        <v>45807</v>
      </c>
      <c r="B276" s="633" t="s">
        <v>194</v>
      </c>
      <c r="C276" s="634" t="s">
        <v>144</v>
      </c>
      <c r="D276" s="635">
        <v>4500168346</v>
      </c>
      <c r="E276" s="659" t="s">
        <v>1540</v>
      </c>
      <c r="F276" s="636" t="s">
        <v>1541</v>
      </c>
      <c r="G276" s="637" t="s">
        <v>1431</v>
      </c>
      <c r="H276" s="637" t="s">
        <v>1432</v>
      </c>
      <c r="I276" s="638">
        <v>3000</v>
      </c>
      <c r="J276" s="638">
        <v>0</v>
      </c>
      <c r="K276" s="639">
        <v>24</v>
      </c>
      <c r="L276" s="639">
        <f t="shared" si="114"/>
        <v>125</v>
      </c>
      <c r="M276" s="641">
        <v>45855</v>
      </c>
      <c r="N276" s="641">
        <f>M276-3</f>
        <v>45852</v>
      </c>
      <c r="O276" s="641"/>
      <c r="P276" s="642" t="s">
        <v>100</v>
      </c>
      <c r="Q276" s="643" t="s">
        <v>1542</v>
      </c>
      <c r="R276" s="642" t="s">
        <v>1543</v>
      </c>
      <c r="S276" s="641"/>
      <c r="T276" s="641"/>
      <c r="U276" s="642" t="s">
        <v>1544</v>
      </c>
      <c r="V276" s="642"/>
      <c r="W276" s="645"/>
      <c r="X276" s="647" t="s">
        <v>1545</v>
      </c>
      <c r="Y276" s="646" t="s">
        <v>202</v>
      </c>
      <c r="Z276" s="683">
        <v>2.4888</v>
      </c>
      <c r="AA276" s="650">
        <f t="shared" si="139"/>
        <v>7466.4</v>
      </c>
      <c r="AB276" s="649">
        <v>3000</v>
      </c>
      <c r="AC276" s="649">
        <f t="shared" si="132"/>
        <v>0</v>
      </c>
      <c r="AD276" s="650" t="s">
        <v>106</v>
      </c>
      <c r="AE276" s="637" t="s">
        <v>1431</v>
      </c>
      <c r="AF276" s="646" t="s">
        <v>107</v>
      </c>
      <c r="AG276" s="652" t="s">
        <v>43</v>
      </c>
      <c r="AH276" s="646"/>
      <c r="AI276" s="649"/>
      <c r="AJ276" s="649"/>
      <c r="AK276" s="649"/>
      <c r="AL276" s="652">
        <f>I276</f>
        <v>3000</v>
      </c>
      <c r="AM276" s="652"/>
      <c r="AN276" s="649"/>
      <c r="AO276" s="649"/>
      <c r="AP276" s="649"/>
      <c r="AQ276" s="653"/>
      <c r="AR276" s="649"/>
      <c r="AS276" s="649"/>
      <c r="AT276" s="652">
        <f t="shared" si="142"/>
        <v>3000</v>
      </c>
      <c r="AU276" s="649"/>
      <c r="AV276" s="654"/>
      <c r="AW276" s="654"/>
      <c r="AX276" s="652"/>
      <c r="AY276" s="652"/>
      <c r="AZ276" s="654"/>
      <c r="BA276" s="652"/>
      <c r="BB276" s="652"/>
      <c r="BC276" s="654"/>
      <c r="BD276" s="654"/>
      <c r="BE276" s="654"/>
      <c r="BF276" s="654"/>
      <c r="BG276" s="652"/>
      <c r="BH276" s="652"/>
      <c r="BI276" s="654"/>
      <c r="BJ276" s="654"/>
      <c r="BK276" s="654"/>
      <c r="BL276" s="654"/>
      <c r="BM276" s="654"/>
      <c r="BN276" s="654"/>
      <c r="BO276" s="654"/>
      <c r="BP276" s="654"/>
      <c r="BQ276" s="654"/>
      <c r="BR276" s="654"/>
      <c r="BS276" s="654"/>
      <c r="BT276" s="654"/>
      <c r="BU276" s="654"/>
      <c r="BV276" s="654"/>
      <c r="BW276" s="645" t="s">
        <v>109</v>
      </c>
      <c r="BX276" s="658">
        <f>I276/4</f>
        <v>750</v>
      </c>
      <c r="BY276" s="658">
        <f>I276/4</f>
        <v>750</v>
      </c>
      <c r="BZ276" s="658">
        <f>I276/4</f>
        <v>750</v>
      </c>
      <c r="CA276" s="658">
        <f>I276/4</f>
        <v>750</v>
      </c>
      <c r="CB276" s="644">
        <f t="shared" si="138"/>
        <v>3000</v>
      </c>
      <c r="CC276" s="644"/>
      <c r="CD276" s="644">
        <f t="shared" si="129"/>
        <v>3000</v>
      </c>
      <c r="CE276" s="644">
        <f t="shared" si="124"/>
        <v>0</v>
      </c>
    </row>
    <row r="277" s="338" customFormat="1" ht="40" customHeight="1" spans="1:83">
      <c r="A277" s="632">
        <v>45818</v>
      </c>
      <c r="B277" s="633" t="s">
        <v>802</v>
      </c>
      <c r="C277" s="634" t="s">
        <v>214</v>
      </c>
      <c r="D277" s="635">
        <v>4500169495</v>
      </c>
      <c r="E277" s="659" t="s">
        <v>1546</v>
      </c>
      <c r="F277" s="636" t="s">
        <v>1547</v>
      </c>
      <c r="G277" s="637" t="s">
        <v>142</v>
      </c>
      <c r="H277" s="637" t="s">
        <v>1548</v>
      </c>
      <c r="I277" s="638">
        <v>2496</v>
      </c>
      <c r="J277" s="638">
        <v>0</v>
      </c>
      <c r="K277" s="639">
        <v>24</v>
      </c>
      <c r="L277" s="639">
        <f t="shared" si="114"/>
        <v>104</v>
      </c>
      <c r="M277" s="641">
        <v>45855</v>
      </c>
      <c r="N277" s="641">
        <f t="shared" ref="N277:N284" si="143">M277-3</f>
        <v>45852</v>
      </c>
      <c r="O277" s="641"/>
      <c r="P277" s="642" t="s">
        <v>100</v>
      </c>
      <c r="Q277" s="643"/>
      <c r="R277" s="642" t="s">
        <v>1549</v>
      </c>
      <c r="S277" s="641"/>
      <c r="T277" s="641"/>
      <c r="U277" s="642" t="s">
        <v>1550</v>
      </c>
      <c r="V277" s="642"/>
      <c r="W277" s="645"/>
      <c r="X277" s="647" t="s">
        <v>1551</v>
      </c>
      <c r="Y277" s="646" t="s">
        <v>809</v>
      </c>
      <c r="Z277" s="683">
        <v>1.4954</v>
      </c>
      <c r="AA277" s="650">
        <f t="shared" ref="AA277:AA284" si="144">I277*Z277</f>
        <v>3732.5184</v>
      </c>
      <c r="AB277" s="649">
        <v>2496</v>
      </c>
      <c r="AC277" s="649">
        <f t="shared" si="132"/>
        <v>0</v>
      </c>
      <c r="AD277" s="650" t="s">
        <v>123</v>
      </c>
      <c r="AE277" s="637" t="s">
        <v>142</v>
      </c>
      <c r="AF277" s="646" t="s">
        <v>107</v>
      </c>
      <c r="AG277" s="652" t="s">
        <v>43</v>
      </c>
      <c r="AH277" s="646" t="s">
        <v>1552</v>
      </c>
      <c r="AI277" s="649"/>
      <c r="AJ277" s="649"/>
      <c r="AK277" s="649"/>
      <c r="AL277" s="652">
        <f>I277</f>
        <v>2496</v>
      </c>
      <c r="AM277" s="652"/>
      <c r="AN277" s="649"/>
      <c r="AO277" s="649"/>
      <c r="AP277" s="649"/>
      <c r="AQ277" s="653"/>
      <c r="AR277" s="649"/>
      <c r="AS277" s="649"/>
      <c r="AT277" s="652">
        <f t="shared" si="142"/>
        <v>2496</v>
      </c>
      <c r="AU277" s="649"/>
      <c r="AV277" s="654"/>
      <c r="AW277" s="654"/>
      <c r="AX277" s="652"/>
      <c r="AY277" s="652"/>
      <c r="AZ277" s="654"/>
      <c r="BA277" s="652"/>
      <c r="BB277" s="652"/>
      <c r="BC277" s="654"/>
      <c r="BD277" s="654"/>
      <c r="BE277" s="654"/>
      <c r="BF277" s="654"/>
      <c r="BG277" s="652"/>
      <c r="BH277" s="652"/>
      <c r="BI277" s="654"/>
      <c r="BJ277" s="654"/>
      <c r="BK277" s="654"/>
      <c r="BL277" s="654"/>
      <c r="BM277" s="654"/>
      <c r="BN277" s="654"/>
      <c r="BO277" s="654"/>
      <c r="BP277" s="654"/>
      <c r="BQ277" s="654"/>
      <c r="BR277" s="654"/>
      <c r="BS277" s="654"/>
      <c r="BT277" s="654"/>
      <c r="BU277" s="654"/>
      <c r="BV277" s="654"/>
      <c r="BW277" s="645" t="s">
        <v>109</v>
      </c>
      <c r="BX277" s="658"/>
      <c r="BY277" s="658"/>
      <c r="BZ277" s="658">
        <f>I277</f>
        <v>2496</v>
      </c>
      <c r="CA277" s="658"/>
      <c r="CB277" s="644">
        <f t="shared" ref="CB277:CB284" si="145">I277</f>
        <v>2496</v>
      </c>
      <c r="CC277" s="644"/>
      <c r="CD277" s="644">
        <f t="shared" ref="CD277:CD284" si="146">SUM(BX277:CA277)</f>
        <v>2496</v>
      </c>
      <c r="CE277" s="644">
        <f t="shared" ref="CE277:CE284" si="147">I277-CD277</f>
        <v>0</v>
      </c>
    </row>
    <row r="278" s="338" customFormat="1" ht="40" customHeight="1" spans="1:83">
      <c r="A278" s="632">
        <v>45818</v>
      </c>
      <c r="B278" s="633" t="s">
        <v>802</v>
      </c>
      <c r="C278" s="634" t="s">
        <v>214</v>
      </c>
      <c r="D278" s="635">
        <v>4500169495</v>
      </c>
      <c r="E278" s="659" t="s">
        <v>1553</v>
      </c>
      <c r="F278" s="636" t="s">
        <v>1554</v>
      </c>
      <c r="G278" s="637" t="s">
        <v>456</v>
      </c>
      <c r="H278" s="637" t="s">
        <v>804</v>
      </c>
      <c r="I278" s="638">
        <v>2496</v>
      </c>
      <c r="J278" s="638">
        <v>0</v>
      </c>
      <c r="K278" s="639">
        <v>24</v>
      </c>
      <c r="L278" s="639">
        <f t="shared" si="114"/>
        <v>104</v>
      </c>
      <c r="M278" s="641">
        <v>45855</v>
      </c>
      <c r="N278" s="641">
        <f t="shared" si="143"/>
        <v>45852</v>
      </c>
      <c r="O278" s="641"/>
      <c r="P278" s="642" t="s">
        <v>100</v>
      </c>
      <c r="Q278" s="643"/>
      <c r="R278" s="642" t="s">
        <v>1549</v>
      </c>
      <c r="S278" s="641"/>
      <c r="T278" s="641"/>
      <c r="U278" s="642" t="s">
        <v>1550</v>
      </c>
      <c r="V278" s="642"/>
      <c r="W278" s="645"/>
      <c r="X278" s="647" t="s">
        <v>1555</v>
      </c>
      <c r="Y278" s="646" t="s">
        <v>809</v>
      </c>
      <c r="Z278" s="683">
        <v>1.4954</v>
      </c>
      <c r="AA278" s="650">
        <f t="shared" si="144"/>
        <v>3732.5184</v>
      </c>
      <c r="AB278" s="649">
        <v>2496</v>
      </c>
      <c r="AC278" s="649">
        <f t="shared" si="132"/>
        <v>0</v>
      </c>
      <c r="AD278" s="650" t="s">
        <v>123</v>
      </c>
      <c r="AE278" s="637" t="s">
        <v>456</v>
      </c>
      <c r="AF278" s="646" t="s">
        <v>107</v>
      </c>
      <c r="AG278" s="652" t="s">
        <v>43</v>
      </c>
      <c r="AH278" s="646" t="s">
        <v>1552</v>
      </c>
      <c r="AI278" s="649"/>
      <c r="AJ278" s="649"/>
      <c r="AK278" s="649"/>
      <c r="AL278" s="652">
        <f>I278</f>
        <v>2496</v>
      </c>
      <c r="AM278" s="652"/>
      <c r="AN278" s="649"/>
      <c r="AO278" s="649"/>
      <c r="AP278" s="649"/>
      <c r="AQ278" s="653"/>
      <c r="AR278" s="649"/>
      <c r="AS278" s="649"/>
      <c r="AT278" s="652">
        <f t="shared" si="142"/>
        <v>2496</v>
      </c>
      <c r="AU278" s="649"/>
      <c r="AV278" s="654"/>
      <c r="AW278" s="654"/>
      <c r="AX278" s="652"/>
      <c r="AY278" s="652"/>
      <c r="AZ278" s="654"/>
      <c r="BA278" s="652"/>
      <c r="BB278" s="652"/>
      <c r="BC278" s="654"/>
      <c r="BD278" s="654"/>
      <c r="BE278" s="654"/>
      <c r="BF278" s="654"/>
      <c r="BG278" s="652"/>
      <c r="BH278" s="652"/>
      <c r="BI278" s="654"/>
      <c r="BJ278" s="654"/>
      <c r="BK278" s="654"/>
      <c r="BL278" s="654"/>
      <c r="BM278" s="654"/>
      <c r="BN278" s="654"/>
      <c r="BO278" s="654"/>
      <c r="BP278" s="654"/>
      <c r="BQ278" s="654"/>
      <c r="BR278" s="654"/>
      <c r="BS278" s="654"/>
      <c r="BT278" s="654"/>
      <c r="BU278" s="654"/>
      <c r="BV278" s="654"/>
      <c r="BW278" s="645" t="s">
        <v>109</v>
      </c>
      <c r="BX278" s="658"/>
      <c r="BY278" s="658"/>
      <c r="BZ278" s="658"/>
      <c r="CA278" s="658">
        <f>I278</f>
        <v>2496</v>
      </c>
      <c r="CB278" s="644">
        <f t="shared" si="145"/>
        <v>2496</v>
      </c>
      <c r="CC278" s="644"/>
      <c r="CD278" s="644">
        <f t="shared" si="146"/>
        <v>2496</v>
      </c>
      <c r="CE278" s="644">
        <f t="shared" si="147"/>
        <v>0</v>
      </c>
    </row>
    <row r="279" s="338" customFormat="1" ht="40" customHeight="1" spans="1:83">
      <c r="A279" s="632">
        <v>45818</v>
      </c>
      <c r="B279" s="633" t="s">
        <v>802</v>
      </c>
      <c r="C279" s="634" t="s">
        <v>214</v>
      </c>
      <c r="D279" s="635">
        <v>4500169495</v>
      </c>
      <c r="E279" s="659" t="s">
        <v>1556</v>
      </c>
      <c r="F279" s="636" t="s">
        <v>1557</v>
      </c>
      <c r="G279" s="637" t="s">
        <v>138</v>
      </c>
      <c r="H279" s="637" t="s">
        <v>1558</v>
      </c>
      <c r="I279" s="638">
        <v>2496</v>
      </c>
      <c r="J279" s="638">
        <v>0</v>
      </c>
      <c r="K279" s="639">
        <v>24</v>
      </c>
      <c r="L279" s="639">
        <f t="shared" si="114"/>
        <v>104</v>
      </c>
      <c r="M279" s="641">
        <v>45855</v>
      </c>
      <c r="N279" s="641">
        <f t="shared" si="143"/>
        <v>45852</v>
      </c>
      <c r="O279" s="641"/>
      <c r="P279" s="642" t="s">
        <v>100</v>
      </c>
      <c r="Q279" s="643"/>
      <c r="R279" s="642" t="s">
        <v>1549</v>
      </c>
      <c r="S279" s="641"/>
      <c r="T279" s="641"/>
      <c r="U279" s="642" t="s">
        <v>1550</v>
      </c>
      <c r="V279" s="642"/>
      <c r="W279" s="645"/>
      <c r="X279" s="647" t="s">
        <v>1559</v>
      </c>
      <c r="Y279" s="646" t="s">
        <v>809</v>
      </c>
      <c r="Z279" s="683">
        <v>1.5433</v>
      </c>
      <c r="AA279" s="650">
        <f t="shared" si="144"/>
        <v>3852.0768</v>
      </c>
      <c r="AB279" s="649">
        <f>2472+24</f>
        <v>2496</v>
      </c>
      <c r="AC279" s="649">
        <f t="shared" si="132"/>
        <v>0</v>
      </c>
      <c r="AD279" s="650" t="s">
        <v>123</v>
      </c>
      <c r="AE279" s="637" t="s">
        <v>138</v>
      </c>
      <c r="AF279" s="646" t="s">
        <v>107</v>
      </c>
      <c r="AG279" s="652" t="s">
        <v>43</v>
      </c>
      <c r="AH279" s="646" t="s">
        <v>1552</v>
      </c>
      <c r="AI279" s="649"/>
      <c r="AJ279" s="649"/>
      <c r="AK279" s="649"/>
      <c r="AL279" s="652">
        <f>I279</f>
        <v>2496</v>
      </c>
      <c r="AM279" s="652"/>
      <c r="AN279" s="649"/>
      <c r="AO279" s="649"/>
      <c r="AP279" s="649"/>
      <c r="AQ279" s="653"/>
      <c r="AR279" s="649"/>
      <c r="AS279" s="649"/>
      <c r="AT279" s="652">
        <f t="shared" si="142"/>
        <v>2496</v>
      </c>
      <c r="AU279" s="649"/>
      <c r="AV279" s="654"/>
      <c r="AW279" s="654"/>
      <c r="AX279" s="652"/>
      <c r="AY279" s="652"/>
      <c r="AZ279" s="654"/>
      <c r="BA279" s="652"/>
      <c r="BB279" s="652"/>
      <c r="BC279" s="654"/>
      <c r="BD279" s="654"/>
      <c r="BE279" s="654"/>
      <c r="BF279" s="654"/>
      <c r="BG279" s="652"/>
      <c r="BH279" s="652"/>
      <c r="BI279" s="654"/>
      <c r="BJ279" s="654"/>
      <c r="BK279" s="654"/>
      <c r="BL279" s="654"/>
      <c r="BM279" s="654"/>
      <c r="BN279" s="654"/>
      <c r="BO279" s="654"/>
      <c r="BP279" s="654"/>
      <c r="BQ279" s="654"/>
      <c r="BR279" s="654"/>
      <c r="BS279" s="654"/>
      <c r="BT279" s="654"/>
      <c r="BU279" s="654"/>
      <c r="BV279" s="654"/>
      <c r="BW279" s="645" t="s">
        <v>109</v>
      </c>
      <c r="BX279" s="658">
        <f>I279</f>
        <v>2496</v>
      </c>
      <c r="BY279" s="658"/>
      <c r="BZ279" s="658"/>
      <c r="CA279" s="658"/>
      <c r="CB279" s="644">
        <f t="shared" si="145"/>
        <v>2496</v>
      </c>
      <c r="CC279" s="644"/>
      <c r="CD279" s="644">
        <f t="shared" si="146"/>
        <v>2496</v>
      </c>
      <c r="CE279" s="644">
        <f t="shared" si="147"/>
        <v>0</v>
      </c>
    </row>
    <row r="280" s="338" customFormat="1" ht="40" customHeight="1" spans="1:83">
      <c r="A280" s="632">
        <v>45819</v>
      </c>
      <c r="B280" s="633" t="s">
        <v>177</v>
      </c>
      <c r="C280" s="634" t="s">
        <v>178</v>
      </c>
      <c r="D280" s="635">
        <v>4500169697</v>
      </c>
      <c r="E280" s="659" t="s">
        <v>1560</v>
      </c>
      <c r="F280" s="636" t="s">
        <v>1561</v>
      </c>
      <c r="G280" s="637" t="s">
        <v>189</v>
      </c>
      <c r="H280" s="637" t="s">
        <v>99</v>
      </c>
      <c r="I280" s="638">
        <v>24</v>
      </c>
      <c r="J280" s="638">
        <v>0</v>
      </c>
      <c r="K280" s="639">
        <v>24</v>
      </c>
      <c r="L280" s="639">
        <f t="shared" ref="L280:L290" si="148">I280/K280</f>
        <v>1</v>
      </c>
      <c r="M280" s="641">
        <v>45855</v>
      </c>
      <c r="N280" s="641">
        <f t="shared" si="143"/>
        <v>45852</v>
      </c>
      <c r="O280" s="641"/>
      <c r="P280" s="642" t="s">
        <v>100</v>
      </c>
      <c r="Q280" s="643" t="s">
        <v>1513</v>
      </c>
      <c r="R280" s="642" t="s">
        <v>1562</v>
      </c>
      <c r="S280" s="641"/>
      <c r="T280" s="641"/>
      <c r="U280" s="642" t="s">
        <v>493</v>
      </c>
      <c r="V280" s="642" t="s">
        <v>1563</v>
      </c>
      <c r="W280" s="645"/>
      <c r="X280" s="647" t="s">
        <v>1564</v>
      </c>
      <c r="Y280" s="646" t="s">
        <v>734</v>
      </c>
      <c r="Z280" s="683">
        <v>2.4879</v>
      </c>
      <c r="AA280" s="650">
        <f t="shared" si="144"/>
        <v>59.7096</v>
      </c>
      <c r="AB280" s="649">
        <v>24</v>
      </c>
      <c r="AC280" s="649">
        <f t="shared" si="132"/>
        <v>0</v>
      </c>
      <c r="AD280" s="650" t="s">
        <v>106</v>
      </c>
      <c r="AE280" s="637" t="s">
        <v>190</v>
      </c>
      <c r="AF280" s="646" t="s">
        <v>107</v>
      </c>
      <c r="AG280" s="652" t="s">
        <v>43</v>
      </c>
      <c r="AH280" s="646"/>
      <c r="AI280" s="649"/>
      <c r="AJ280" s="649"/>
      <c r="AK280" s="649"/>
      <c r="AL280" s="649"/>
      <c r="AM280" s="649"/>
      <c r="AN280" s="649"/>
      <c r="AO280" s="649">
        <f t="shared" ref="AO280:AO285" si="149">I280</f>
        <v>24</v>
      </c>
      <c r="AP280" s="649"/>
      <c r="AQ280" s="653"/>
      <c r="AR280" s="649"/>
      <c r="AS280" s="649"/>
      <c r="AT280" s="652">
        <f t="shared" si="142"/>
        <v>24</v>
      </c>
      <c r="AU280" s="649"/>
      <c r="AV280" s="654"/>
      <c r="AW280" s="654"/>
      <c r="AX280" s="652"/>
      <c r="AY280" s="652"/>
      <c r="AZ280" s="654"/>
      <c r="BA280" s="652"/>
      <c r="BB280" s="652"/>
      <c r="BC280" s="654"/>
      <c r="BD280" s="654"/>
      <c r="BE280" s="654"/>
      <c r="BF280" s="654"/>
      <c r="BG280" s="652"/>
      <c r="BH280" s="652"/>
      <c r="BI280" s="654"/>
      <c r="BJ280" s="654"/>
      <c r="BK280" s="654"/>
      <c r="BL280" s="654"/>
      <c r="BM280" s="654"/>
      <c r="BN280" s="654"/>
      <c r="BO280" s="654"/>
      <c r="BP280" s="654"/>
      <c r="BQ280" s="654"/>
      <c r="BR280" s="654"/>
      <c r="BS280" s="654"/>
      <c r="BT280" s="654"/>
      <c r="BU280" s="654"/>
      <c r="BV280" s="654"/>
      <c r="BW280" s="645" t="s">
        <v>109</v>
      </c>
      <c r="BX280" s="658"/>
      <c r="BY280" s="658"/>
      <c r="BZ280" s="658"/>
      <c r="CA280" s="658">
        <f>I280</f>
        <v>24</v>
      </c>
      <c r="CB280" s="644">
        <f t="shared" si="145"/>
        <v>24</v>
      </c>
      <c r="CC280" s="658"/>
      <c r="CD280" s="644">
        <f t="shared" si="146"/>
        <v>24</v>
      </c>
      <c r="CE280" s="644">
        <f t="shared" si="147"/>
        <v>0</v>
      </c>
    </row>
    <row r="281" s="338" customFormat="1" ht="40" customHeight="1" spans="1:83">
      <c r="A281" s="632">
        <v>45819</v>
      </c>
      <c r="B281" s="633" t="s">
        <v>177</v>
      </c>
      <c r="C281" s="634" t="s">
        <v>178</v>
      </c>
      <c r="D281" s="635">
        <v>4500169697</v>
      </c>
      <c r="E281" s="659" t="s">
        <v>1565</v>
      </c>
      <c r="F281" s="636" t="s">
        <v>1566</v>
      </c>
      <c r="G281" s="637" t="s">
        <v>189</v>
      </c>
      <c r="H281" s="637" t="s">
        <v>99</v>
      </c>
      <c r="I281" s="638">
        <v>24</v>
      </c>
      <c r="J281" s="638">
        <v>0</v>
      </c>
      <c r="K281" s="639">
        <v>24</v>
      </c>
      <c r="L281" s="639">
        <f t="shared" si="148"/>
        <v>1</v>
      </c>
      <c r="M281" s="641">
        <v>45855</v>
      </c>
      <c r="N281" s="641">
        <f t="shared" si="143"/>
        <v>45852</v>
      </c>
      <c r="O281" s="641"/>
      <c r="P281" s="642" t="s">
        <v>100</v>
      </c>
      <c r="Q281" s="643" t="s">
        <v>1513</v>
      </c>
      <c r="R281" s="642" t="s">
        <v>1562</v>
      </c>
      <c r="S281" s="641"/>
      <c r="T281" s="641"/>
      <c r="U281" s="642" t="s">
        <v>493</v>
      </c>
      <c r="V281" s="642" t="s">
        <v>1563</v>
      </c>
      <c r="W281" s="645"/>
      <c r="X281" s="647" t="s">
        <v>1564</v>
      </c>
      <c r="Y281" s="646" t="s">
        <v>734</v>
      </c>
      <c r="Z281" s="683">
        <v>2.4879</v>
      </c>
      <c r="AA281" s="650">
        <f t="shared" si="144"/>
        <v>59.7096</v>
      </c>
      <c r="AB281" s="649">
        <v>24</v>
      </c>
      <c r="AC281" s="649">
        <f t="shared" si="132"/>
        <v>0</v>
      </c>
      <c r="AD281" s="650" t="s">
        <v>106</v>
      </c>
      <c r="AE281" s="637" t="s">
        <v>190</v>
      </c>
      <c r="AF281" s="646" t="s">
        <v>107</v>
      </c>
      <c r="AG281" s="652" t="s">
        <v>43</v>
      </c>
      <c r="AH281" s="646"/>
      <c r="AI281" s="649"/>
      <c r="AJ281" s="649"/>
      <c r="AK281" s="649"/>
      <c r="AL281" s="649"/>
      <c r="AM281" s="649"/>
      <c r="AN281" s="649"/>
      <c r="AO281" s="649">
        <f t="shared" si="149"/>
        <v>24</v>
      </c>
      <c r="AP281" s="649"/>
      <c r="AQ281" s="653"/>
      <c r="AR281" s="649"/>
      <c r="AS281" s="649"/>
      <c r="AT281" s="652">
        <f t="shared" si="142"/>
        <v>24</v>
      </c>
      <c r="AU281" s="649"/>
      <c r="AV281" s="654"/>
      <c r="AW281" s="654"/>
      <c r="AX281" s="652"/>
      <c r="AY281" s="652"/>
      <c r="AZ281" s="654"/>
      <c r="BA281" s="652"/>
      <c r="BB281" s="652"/>
      <c r="BC281" s="654"/>
      <c r="BD281" s="654"/>
      <c r="BE281" s="654"/>
      <c r="BF281" s="654"/>
      <c r="BG281" s="652"/>
      <c r="BH281" s="652"/>
      <c r="BI281" s="654"/>
      <c r="BJ281" s="654"/>
      <c r="BK281" s="654"/>
      <c r="BL281" s="654"/>
      <c r="BM281" s="654"/>
      <c r="BN281" s="654"/>
      <c r="BO281" s="654"/>
      <c r="BP281" s="654"/>
      <c r="BQ281" s="654"/>
      <c r="BR281" s="654"/>
      <c r="BS281" s="654"/>
      <c r="BT281" s="654"/>
      <c r="BU281" s="654"/>
      <c r="BV281" s="654"/>
      <c r="BW281" s="645" t="s">
        <v>109</v>
      </c>
      <c r="BX281" s="658"/>
      <c r="BY281" s="658"/>
      <c r="BZ281" s="658"/>
      <c r="CA281" s="658">
        <f>I281</f>
        <v>24</v>
      </c>
      <c r="CB281" s="644">
        <f t="shared" si="145"/>
        <v>24</v>
      </c>
      <c r="CC281" s="658"/>
      <c r="CD281" s="644">
        <f t="shared" si="146"/>
        <v>24</v>
      </c>
      <c r="CE281" s="644">
        <f t="shared" si="147"/>
        <v>0</v>
      </c>
    </row>
    <row r="282" s="338" customFormat="1" ht="40" customHeight="1" spans="1:83">
      <c r="A282" s="632">
        <v>45819</v>
      </c>
      <c r="B282" s="633" t="s">
        <v>177</v>
      </c>
      <c r="C282" s="634" t="s">
        <v>178</v>
      </c>
      <c r="D282" s="635">
        <v>4500169697</v>
      </c>
      <c r="E282" s="659" t="s">
        <v>1567</v>
      </c>
      <c r="F282" s="636" t="s">
        <v>1568</v>
      </c>
      <c r="G282" s="637" t="s">
        <v>189</v>
      </c>
      <c r="H282" s="637" t="s">
        <v>99</v>
      </c>
      <c r="I282" s="638">
        <v>24</v>
      </c>
      <c r="J282" s="638">
        <v>0</v>
      </c>
      <c r="K282" s="639">
        <v>24</v>
      </c>
      <c r="L282" s="639">
        <f t="shared" si="148"/>
        <v>1</v>
      </c>
      <c r="M282" s="641">
        <v>45855</v>
      </c>
      <c r="N282" s="641">
        <f t="shared" si="143"/>
        <v>45852</v>
      </c>
      <c r="O282" s="641"/>
      <c r="P282" s="642" t="s">
        <v>100</v>
      </c>
      <c r="Q282" s="643" t="s">
        <v>1513</v>
      </c>
      <c r="R282" s="642" t="s">
        <v>1562</v>
      </c>
      <c r="S282" s="641"/>
      <c r="T282" s="641"/>
      <c r="U282" s="642" t="s">
        <v>493</v>
      </c>
      <c r="V282" s="642" t="s">
        <v>1563</v>
      </c>
      <c r="W282" s="645"/>
      <c r="X282" s="647" t="s">
        <v>1564</v>
      </c>
      <c r="Y282" s="646" t="s">
        <v>734</v>
      </c>
      <c r="Z282" s="683">
        <v>2.4879</v>
      </c>
      <c r="AA282" s="650">
        <f t="shared" si="144"/>
        <v>59.7096</v>
      </c>
      <c r="AB282" s="649">
        <v>24</v>
      </c>
      <c r="AC282" s="649">
        <f t="shared" si="132"/>
        <v>0</v>
      </c>
      <c r="AD282" s="650" t="s">
        <v>106</v>
      </c>
      <c r="AE282" s="637" t="s">
        <v>190</v>
      </c>
      <c r="AF282" s="646" t="s">
        <v>107</v>
      </c>
      <c r="AG282" s="652" t="s">
        <v>43</v>
      </c>
      <c r="AH282" s="646"/>
      <c r="AI282" s="649"/>
      <c r="AJ282" s="649"/>
      <c r="AK282" s="649"/>
      <c r="AL282" s="649"/>
      <c r="AM282" s="649"/>
      <c r="AN282" s="649"/>
      <c r="AO282" s="649">
        <f t="shared" si="149"/>
        <v>24</v>
      </c>
      <c r="AP282" s="649"/>
      <c r="AQ282" s="653"/>
      <c r="AR282" s="649"/>
      <c r="AS282" s="649"/>
      <c r="AT282" s="652">
        <f t="shared" ref="AT282:AT291" si="150">I282</f>
        <v>24</v>
      </c>
      <c r="AU282" s="649"/>
      <c r="AV282" s="654"/>
      <c r="AW282" s="654"/>
      <c r="AX282" s="652"/>
      <c r="AY282" s="652"/>
      <c r="AZ282" s="654"/>
      <c r="BA282" s="652"/>
      <c r="BB282" s="652"/>
      <c r="BC282" s="654"/>
      <c r="BD282" s="654"/>
      <c r="BE282" s="654"/>
      <c r="BF282" s="654"/>
      <c r="BG282" s="652"/>
      <c r="BH282" s="652"/>
      <c r="BI282" s="654"/>
      <c r="BJ282" s="654"/>
      <c r="BK282" s="654"/>
      <c r="BL282" s="654"/>
      <c r="BM282" s="654"/>
      <c r="BN282" s="654"/>
      <c r="BO282" s="654"/>
      <c r="BP282" s="654"/>
      <c r="BQ282" s="654"/>
      <c r="BR282" s="654"/>
      <c r="BS282" s="654"/>
      <c r="BT282" s="654"/>
      <c r="BU282" s="654"/>
      <c r="BV282" s="654"/>
      <c r="BW282" s="645" t="s">
        <v>109</v>
      </c>
      <c r="BX282" s="658"/>
      <c r="BY282" s="658"/>
      <c r="BZ282" s="658"/>
      <c r="CA282" s="658">
        <f>I282</f>
        <v>24</v>
      </c>
      <c r="CB282" s="644">
        <f t="shared" si="145"/>
        <v>24</v>
      </c>
      <c r="CC282" s="658"/>
      <c r="CD282" s="644">
        <f t="shared" si="146"/>
        <v>24</v>
      </c>
      <c r="CE282" s="644">
        <f t="shared" si="147"/>
        <v>0</v>
      </c>
    </row>
    <row r="283" s="338" customFormat="1" ht="40" customHeight="1" spans="1:83">
      <c r="A283" s="632">
        <v>45819</v>
      </c>
      <c r="B283" s="633" t="s">
        <v>177</v>
      </c>
      <c r="C283" s="634" t="s">
        <v>178</v>
      </c>
      <c r="D283" s="635">
        <v>4500169697</v>
      </c>
      <c r="E283" s="659" t="s">
        <v>1569</v>
      </c>
      <c r="F283" s="636" t="s">
        <v>1570</v>
      </c>
      <c r="G283" s="637" t="s">
        <v>189</v>
      </c>
      <c r="H283" s="637" t="s">
        <v>99</v>
      </c>
      <c r="I283" s="638">
        <v>24</v>
      </c>
      <c r="J283" s="638">
        <v>0</v>
      </c>
      <c r="K283" s="639">
        <v>24</v>
      </c>
      <c r="L283" s="639">
        <f t="shared" si="148"/>
        <v>1</v>
      </c>
      <c r="M283" s="641">
        <v>45855</v>
      </c>
      <c r="N283" s="641">
        <f t="shared" si="143"/>
        <v>45852</v>
      </c>
      <c r="O283" s="641"/>
      <c r="P283" s="642" t="s">
        <v>100</v>
      </c>
      <c r="Q283" s="643" t="s">
        <v>1513</v>
      </c>
      <c r="R283" s="642" t="s">
        <v>1562</v>
      </c>
      <c r="S283" s="641"/>
      <c r="T283" s="641"/>
      <c r="U283" s="642" t="s">
        <v>493</v>
      </c>
      <c r="V283" s="642" t="s">
        <v>1563</v>
      </c>
      <c r="W283" s="645"/>
      <c r="X283" s="647" t="s">
        <v>1564</v>
      </c>
      <c r="Y283" s="646" t="s">
        <v>734</v>
      </c>
      <c r="Z283" s="683">
        <v>2.4879</v>
      </c>
      <c r="AA283" s="650">
        <f t="shared" si="144"/>
        <v>59.7096</v>
      </c>
      <c r="AB283" s="649">
        <v>24</v>
      </c>
      <c r="AC283" s="649">
        <f t="shared" si="132"/>
        <v>0</v>
      </c>
      <c r="AD283" s="650" t="s">
        <v>106</v>
      </c>
      <c r="AE283" s="637" t="s">
        <v>190</v>
      </c>
      <c r="AF283" s="646" t="s">
        <v>107</v>
      </c>
      <c r="AG283" s="652" t="s">
        <v>43</v>
      </c>
      <c r="AH283" s="646"/>
      <c r="AI283" s="649"/>
      <c r="AJ283" s="649"/>
      <c r="AK283" s="649"/>
      <c r="AL283" s="649"/>
      <c r="AM283" s="649"/>
      <c r="AN283" s="649"/>
      <c r="AO283" s="649">
        <f t="shared" si="149"/>
        <v>24</v>
      </c>
      <c r="AP283" s="649"/>
      <c r="AQ283" s="653"/>
      <c r="AR283" s="649"/>
      <c r="AS283" s="649"/>
      <c r="AT283" s="652">
        <f t="shared" si="150"/>
        <v>24</v>
      </c>
      <c r="AU283" s="649"/>
      <c r="AV283" s="654"/>
      <c r="AW283" s="654"/>
      <c r="AX283" s="652"/>
      <c r="AY283" s="652"/>
      <c r="AZ283" s="654"/>
      <c r="BA283" s="652"/>
      <c r="BB283" s="652"/>
      <c r="BC283" s="654"/>
      <c r="BD283" s="654"/>
      <c r="BE283" s="654"/>
      <c r="BF283" s="654"/>
      <c r="BG283" s="652"/>
      <c r="BH283" s="652"/>
      <c r="BI283" s="654"/>
      <c r="BJ283" s="654"/>
      <c r="BK283" s="654"/>
      <c r="BL283" s="654"/>
      <c r="BM283" s="654"/>
      <c r="BN283" s="654"/>
      <c r="BO283" s="654"/>
      <c r="BP283" s="654"/>
      <c r="BQ283" s="654"/>
      <c r="BR283" s="654"/>
      <c r="BS283" s="654"/>
      <c r="BT283" s="654"/>
      <c r="BU283" s="654"/>
      <c r="BV283" s="654"/>
      <c r="BW283" s="645" t="s">
        <v>109</v>
      </c>
      <c r="BX283" s="658"/>
      <c r="BY283" s="658"/>
      <c r="BZ283" s="658"/>
      <c r="CA283" s="658">
        <f>I283</f>
        <v>24</v>
      </c>
      <c r="CB283" s="644">
        <f t="shared" si="145"/>
        <v>24</v>
      </c>
      <c r="CC283" s="658"/>
      <c r="CD283" s="644">
        <f t="shared" si="146"/>
        <v>24</v>
      </c>
      <c r="CE283" s="644">
        <f t="shared" si="147"/>
        <v>0</v>
      </c>
    </row>
    <row r="284" s="338" customFormat="1" ht="40" customHeight="1" spans="1:83">
      <c r="A284" s="632">
        <v>45819</v>
      </c>
      <c r="B284" s="633" t="s">
        <v>177</v>
      </c>
      <c r="C284" s="634" t="s">
        <v>178</v>
      </c>
      <c r="D284" s="635">
        <v>4500169697</v>
      </c>
      <c r="E284" s="659" t="s">
        <v>1571</v>
      </c>
      <c r="F284" s="636" t="s">
        <v>1572</v>
      </c>
      <c r="G284" s="637" t="s">
        <v>189</v>
      </c>
      <c r="H284" s="637" t="s">
        <v>99</v>
      </c>
      <c r="I284" s="638">
        <v>24</v>
      </c>
      <c r="J284" s="638">
        <v>0</v>
      </c>
      <c r="K284" s="639">
        <v>24</v>
      </c>
      <c r="L284" s="639">
        <f t="shared" si="148"/>
        <v>1</v>
      </c>
      <c r="M284" s="641">
        <v>45855</v>
      </c>
      <c r="N284" s="641">
        <f t="shared" si="143"/>
        <v>45852</v>
      </c>
      <c r="O284" s="641"/>
      <c r="P284" s="642" t="s">
        <v>100</v>
      </c>
      <c r="Q284" s="643" t="s">
        <v>1513</v>
      </c>
      <c r="R284" s="642" t="s">
        <v>1562</v>
      </c>
      <c r="S284" s="641"/>
      <c r="T284" s="641"/>
      <c r="U284" s="642" t="s">
        <v>493</v>
      </c>
      <c r="V284" s="642" t="s">
        <v>1563</v>
      </c>
      <c r="W284" s="645"/>
      <c r="X284" s="647" t="s">
        <v>1564</v>
      </c>
      <c r="Y284" s="646" t="s">
        <v>734</v>
      </c>
      <c r="Z284" s="683">
        <v>2.4879</v>
      </c>
      <c r="AA284" s="650">
        <f t="shared" si="144"/>
        <v>59.7096</v>
      </c>
      <c r="AB284" s="649">
        <v>24</v>
      </c>
      <c r="AC284" s="649">
        <f t="shared" si="132"/>
        <v>0</v>
      </c>
      <c r="AD284" s="650" t="s">
        <v>106</v>
      </c>
      <c r="AE284" s="637" t="s">
        <v>190</v>
      </c>
      <c r="AF284" s="646" t="s">
        <v>107</v>
      </c>
      <c r="AG284" s="652" t="s">
        <v>43</v>
      </c>
      <c r="AH284" s="646"/>
      <c r="AI284" s="649"/>
      <c r="AJ284" s="649"/>
      <c r="AK284" s="649"/>
      <c r="AL284" s="649"/>
      <c r="AM284" s="649"/>
      <c r="AN284" s="649"/>
      <c r="AO284" s="649">
        <f t="shared" si="149"/>
        <v>24</v>
      </c>
      <c r="AP284" s="649"/>
      <c r="AQ284" s="653"/>
      <c r="AR284" s="649"/>
      <c r="AS284" s="649"/>
      <c r="AT284" s="652">
        <f t="shared" si="150"/>
        <v>24</v>
      </c>
      <c r="AU284" s="649"/>
      <c r="AV284" s="654"/>
      <c r="AW284" s="654"/>
      <c r="AX284" s="652"/>
      <c r="AY284" s="652"/>
      <c r="AZ284" s="654"/>
      <c r="BA284" s="652"/>
      <c r="BB284" s="652"/>
      <c r="BC284" s="654"/>
      <c r="BD284" s="654"/>
      <c r="BE284" s="654"/>
      <c r="BF284" s="654"/>
      <c r="BG284" s="652"/>
      <c r="BH284" s="652"/>
      <c r="BI284" s="654"/>
      <c r="BJ284" s="654"/>
      <c r="BK284" s="654"/>
      <c r="BL284" s="654"/>
      <c r="BM284" s="654"/>
      <c r="BN284" s="654"/>
      <c r="BO284" s="654"/>
      <c r="BP284" s="654"/>
      <c r="BQ284" s="654"/>
      <c r="BR284" s="654"/>
      <c r="BS284" s="654"/>
      <c r="BT284" s="654"/>
      <c r="BU284" s="654"/>
      <c r="BV284" s="654"/>
      <c r="BW284" s="645" t="s">
        <v>109</v>
      </c>
      <c r="BX284" s="658"/>
      <c r="BY284" s="658"/>
      <c r="BZ284" s="658"/>
      <c r="CA284" s="658">
        <f>I284</f>
        <v>24</v>
      </c>
      <c r="CB284" s="644">
        <f t="shared" si="145"/>
        <v>24</v>
      </c>
      <c r="CC284" s="658"/>
      <c r="CD284" s="644">
        <f t="shared" si="146"/>
        <v>24</v>
      </c>
      <c r="CE284" s="644">
        <f t="shared" si="147"/>
        <v>0</v>
      </c>
    </row>
    <row r="285" s="338" customFormat="1" ht="40" customHeight="1" spans="1:83">
      <c r="A285" s="632">
        <v>45819</v>
      </c>
      <c r="B285" s="633" t="s">
        <v>177</v>
      </c>
      <c r="C285" s="634" t="s">
        <v>178</v>
      </c>
      <c r="D285" s="635">
        <v>4500169697</v>
      </c>
      <c r="E285" s="659" t="s">
        <v>1573</v>
      </c>
      <c r="F285" s="636" t="s">
        <v>1574</v>
      </c>
      <c r="G285" s="637" t="s">
        <v>159</v>
      </c>
      <c r="H285" s="637" t="s">
        <v>99</v>
      </c>
      <c r="I285" s="638">
        <v>48</v>
      </c>
      <c r="J285" s="638">
        <v>0</v>
      </c>
      <c r="K285" s="639">
        <v>24</v>
      </c>
      <c r="L285" s="639">
        <f t="shared" si="148"/>
        <v>2</v>
      </c>
      <c r="M285" s="641">
        <v>45855</v>
      </c>
      <c r="N285" s="641">
        <f t="shared" ref="N285:N291" si="151">M285-3</f>
        <v>45852</v>
      </c>
      <c r="O285" s="641"/>
      <c r="P285" s="642" t="s">
        <v>100</v>
      </c>
      <c r="Q285" s="643" t="s">
        <v>1513</v>
      </c>
      <c r="R285" s="642" t="s">
        <v>1562</v>
      </c>
      <c r="S285" s="641"/>
      <c r="T285" s="641"/>
      <c r="U285" s="642" t="s">
        <v>493</v>
      </c>
      <c r="V285" s="642" t="s">
        <v>1563</v>
      </c>
      <c r="W285" s="645"/>
      <c r="X285" s="647" t="s">
        <v>1564</v>
      </c>
      <c r="Y285" s="646" t="s">
        <v>734</v>
      </c>
      <c r="Z285" s="648">
        <v>2.5135</v>
      </c>
      <c r="AA285" s="650">
        <f t="shared" ref="AA285:AA291" si="152">I285*Z285</f>
        <v>120.648</v>
      </c>
      <c r="AB285" s="649">
        <v>48</v>
      </c>
      <c r="AC285" s="649">
        <f t="shared" si="132"/>
        <v>0</v>
      </c>
      <c r="AD285" s="650" t="s">
        <v>106</v>
      </c>
      <c r="AE285" s="637" t="s">
        <v>166</v>
      </c>
      <c r="AF285" s="646" t="s">
        <v>107</v>
      </c>
      <c r="AG285" s="652" t="s">
        <v>43</v>
      </c>
      <c r="AH285" s="646"/>
      <c r="AI285" s="649"/>
      <c r="AJ285" s="649"/>
      <c r="AK285" s="649"/>
      <c r="AL285" s="649"/>
      <c r="AM285" s="649"/>
      <c r="AN285" s="649"/>
      <c r="AO285" s="649">
        <f t="shared" si="149"/>
        <v>48</v>
      </c>
      <c r="AP285" s="649"/>
      <c r="AQ285" s="653"/>
      <c r="AR285" s="649"/>
      <c r="AS285" s="649"/>
      <c r="AT285" s="652">
        <f t="shared" si="150"/>
        <v>48</v>
      </c>
      <c r="AU285" s="649"/>
      <c r="AV285" s="654"/>
      <c r="AW285" s="654"/>
      <c r="AX285" s="652"/>
      <c r="AY285" s="652"/>
      <c r="AZ285" s="654"/>
      <c r="BA285" s="652"/>
      <c r="BB285" s="652"/>
      <c r="BC285" s="654"/>
      <c r="BD285" s="654"/>
      <c r="BE285" s="654"/>
      <c r="BF285" s="654"/>
      <c r="BG285" s="652"/>
      <c r="BH285" s="652"/>
      <c r="BI285" s="654"/>
      <c r="BJ285" s="654"/>
      <c r="BK285" s="654"/>
      <c r="BL285" s="654"/>
      <c r="BM285" s="654"/>
      <c r="BN285" s="654"/>
      <c r="BO285" s="654"/>
      <c r="BP285" s="654"/>
      <c r="BQ285" s="654"/>
      <c r="BR285" s="654"/>
      <c r="BS285" s="654"/>
      <c r="BT285" s="654"/>
      <c r="BU285" s="654"/>
      <c r="BV285" s="654"/>
      <c r="BW285" s="645" t="s">
        <v>109</v>
      </c>
      <c r="BX285" s="658"/>
      <c r="BY285" s="658">
        <f>I285</f>
        <v>48</v>
      </c>
      <c r="BZ285" s="658"/>
      <c r="CA285" s="658"/>
      <c r="CB285" s="644">
        <f t="shared" ref="CB285:CB291" si="153">I285</f>
        <v>48</v>
      </c>
      <c r="CC285" s="658"/>
      <c r="CD285" s="644">
        <f t="shared" ref="CD285:CD291" si="154">SUM(BX285:CA285)</f>
        <v>48</v>
      </c>
      <c r="CE285" s="644">
        <f t="shared" ref="CE285:CE291" si="155">I285-CD285</f>
        <v>0</v>
      </c>
    </row>
    <row r="286" s="338" customFormat="1" ht="40" customHeight="1" spans="1:83">
      <c r="A286" s="632">
        <v>45819</v>
      </c>
      <c r="B286" s="633" t="s">
        <v>177</v>
      </c>
      <c r="C286" s="634" t="s">
        <v>178</v>
      </c>
      <c r="D286" s="635">
        <v>4500169697</v>
      </c>
      <c r="E286" s="659" t="s">
        <v>1575</v>
      </c>
      <c r="F286" s="636" t="s">
        <v>1576</v>
      </c>
      <c r="G286" s="637" t="s">
        <v>159</v>
      </c>
      <c r="H286" s="637" t="s">
        <v>99</v>
      </c>
      <c r="I286" s="638">
        <v>72</v>
      </c>
      <c r="J286" s="638">
        <v>0</v>
      </c>
      <c r="K286" s="639">
        <v>24</v>
      </c>
      <c r="L286" s="639">
        <f t="shared" si="148"/>
        <v>3</v>
      </c>
      <c r="M286" s="641">
        <v>45855</v>
      </c>
      <c r="N286" s="641">
        <f t="shared" si="151"/>
        <v>45852</v>
      </c>
      <c r="O286" s="641"/>
      <c r="P286" s="642" t="s">
        <v>100</v>
      </c>
      <c r="Q286" s="643" t="s">
        <v>1513</v>
      </c>
      <c r="R286" s="642" t="s">
        <v>1562</v>
      </c>
      <c r="S286" s="641"/>
      <c r="T286" s="641"/>
      <c r="U286" s="642" t="s">
        <v>493</v>
      </c>
      <c r="V286" s="642" t="s">
        <v>1563</v>
      </c>
      <c r="W286" s="645"/>
      <c r="X286" s="647" t="s">
        <v>1564</v>
      </c>
      <c r="Y286" s="646" t="s">
        <v>734</v>
      </c>
      <c r="Z286" s="648">
        <v>2.5135</v>
      </c>
      <c r="AA286" s="650">
        <f t="shared" si="152"/>
        <v>180.972</v>
      </c>
      <c r="AB286" s="649">
        <v>72</v>
      </c>
      <c r="AC286" s="649">
        <f t="shared" si="132"/>
        <v>0</v>
      </c>
      <c r="AD286" s="650" t="s">
        <v>106</v>
      </c>
      <c r="AE286" s="637" t="s">
        <v>166</v>
      </c>
      <c r="AF286" s="646" t="s">
        <v>107</v>
      </c>
      <c r="AG286" s="652" t="s">
        <v>43</v>
      </c>
      <c r="AH286" s="646"/>
      <c r="AI286" s="649"/>
      <c r="AJ286" s="649"/>
      <c r="AK286" s="649"/>
      <c r="AL286" s="649"/>
      <c r="AM286" s="649"/>
      <c r="AN286" s="649"/>
      <c r="AO286" s="649">
        <f t="shared" ref="AO286:AO292" si="156">I286</f>
        <v>72</v>
      </c>
      <c r="AP286" s="649"/>
      <c r="AQ286" s="653"/>
      <c r="AR286" s="649"/>
      <c r="AS286" s="649"/>
      <c r="AT286" s="652">
        <f t="shared" si="150"/>
        <v>72</v>
      </c>
      <c r="AU286" s="649"/>
      <c r="AV286" s="654"/>
      <c r="AW286" s="654"/>
      <c r="AX286" s="652"/>
      <c r="AY286" s="652"/>
      <c r="AZ286" s="654"/>
      <c r="BA286" s="652"/>
      <c r="BB286" s="652"/>
      <c r="BC286" s="654"/>
      <c r="BD286" s="654"/>
      <c r="BE286" s="654"/>
      <c r="BF286" s="654"/>
      <c r="BG286" s="652"/>
      <c r="BH286" s="652"/>
      <c r="BI286" s="654"/>
      <c r="BJ286" s="654"/>
      <c r="BK286" s="654"/>
      <c r="BL286" s="654"/>
      <c r="BM286" s="654"/>
      <c r="BN286" s="654"/>
      <c r="BO286" s="654"/>
      <c r="BP286" s="654"/>
      <c r="BQ286" s="654"/>
      <c r="BR286" s="654"/>
      <c r="BS286" s="654"/>
      <c r="BT286" s="654"/>
      <c r="BU286" s="654"/>
      <c r="BV286" s="654"/>
      <c r="BW286" s="645" t="s">
        <v>109</v>
      </c>
      <c r="BX286" s="658"/>
      <c r="BY286" s="658">
        <f t="shared" ref="BY286:BY291" si="157">I286</f>
        <v>72</v>
      </c>
      <c r="BZ286" s="658"/>
      <c r="CA286" s="658"/>
      <c r="CB286" s="644">
        <f t="shared" si="153"/>
        <v>72</v>
      </c>
      <c r="CC286" s="658"/>
      <c r="CD286" s="644">
        <f t="shared" si="154"/>
        <v>72</v>
      </c>
      <c r="CE286" s="644">
        <f t="shared" si="155"/>
        <v>0</v>
      </c>
    </row>
    <row r="287" s="338" customFormat="1" ht="40" customHeight="1" spans="1:83">
      <c r="A287" s="632">
        <v>45819</v>
      </c>
      <c r="B287" s="633" t="s">
        <v>177</v>
      </c>
      <c r="C287" s="634" t="s">
        <v>178</v>
      </c>
      <c r="D287" s="635">
        <v>4500169697</v>
      </c>
      <c r="E287" s="659" t="s">
        <v>1577</v>
      </c>
      <c r="F287" s="636" t="s">
        <v>1578</v>
      </c>
      <c r="G287" s="637" t="s">
        <v>159</v>
      </c>
      <c r="H287" s="637" t="s">
        <v>99</v>
      </c>
      <c r="I287" s="638">
        <v>72</v>
      </c>
      <c r="J287" s="638">
        <v>0</v>
      </c>
      <c r="K287" s="639">
        <v>24</v>
      </c>
      <c r="L287" s="639">
        <f t="shared" si="148"/>
        <v>3</v>
      </c>
      <c r="M287" s="641">
        <v>45855</v>
      </c>
      <c r="N287" s="641">
        <f t="shared" si="151"/>
        <v>45852</v>
      </c>
      <c r="O287" s="641"/>
      <c r="P287" s="642" t="s">
        <v>100</v>
      </c>
      <c r="Q287" s="643" t="s">
        <v>1513</v>
      </c>
      <c r="R287" s="642" t="s">
        <v>1562</v>
      </c>
      <c r="S287" s="641"/>
      <c r="T287" s="641"/>
      <c r="U287" s="642" t="s">
        <v>493</v>
      </c>
      <c r="V287" s="642" t="s">
        <v>1563</v>
      </c>
      <c r="W287" s="645"/>
      <c r="X287" s="647" t="s">
        <v>1564</v>
      </c>
      <c r="Y287" s="646" t="s">
        <v>734</v>
      </c>
      <c r="Z287" s="648">
        <v>2.5135</v>
      </c>
      <c r="AA287" s="650">
        <f t="shared" si="152"/>
        <v>180.972</v>
      </c>
      <c r="AB287" s="649">
        <v>72</v>
      </c>
      <c r="AC287" s="649">
        <f t="shared" si="132"/>
        <v>0</v>
      </c>
      <c r="AD287" s="650" t="s">
        <v>106</v>
      </c>
      <c r="AE287" s="637" t="s">
        <v>166</v>
      </c>
      <c r="AF287" s="646" t="s">
        <v>107</v>
      </c>
      <c r="AG287" s="652" t="s">
        <v>43</v>
      </c>
      <c r="AH287" s="646"/>
      <c r="AI287" s="649"/>
      <c r="AJ287" s="649"/>
      <c r="AK287" s="649"/>
      <c r="AL287" s="649"/>
      <c r="AM287" s="649"/>
      <c r="AN287" s="649"/>
      <c r="AO287" s="649">
        <f t="shared" si="156"/>
        <v>72</v>
      </c>
      <c r="AP287" s="649"/>
      <c r="AQ287" s="653"/>
      <c r="AR287" s="649"/>
      <c r="AS287" s="649"/>
      <c r="AT287" s="652">
        <f t="shared" si="150"/>
        <v>72</v>
      </c>
      <c r="AU287" s="649"/>
      <c r="AV287" s="654"/>
      <c r="AW287" s="654"/>
      <c r="AX287" s="652"/>
      <c r="AY287" s="652"/>
      <c r="AZ287" s="654"/>
      <c r="BA287" s="652"/>
      <c r="BB287" s="652"/>
      <c r="BC287" s="654"/>
      <c r="BD287" s="654"/>
      <c r="BE287" s="654"/>
      <c r="BF287" s="654"/>
      <c r="BG287" s="652"/>
      <c r="BH287" s="652"/>
      <c r="BI287" s="654"/>
      <c r="BJ287" s="654"/>
      <c r="BK287" s="654"/>
      <c r="BL287" s="654"/>
      <c r="BM287" s="654"/>
      <c r="BN287" s="654"/>
      <c r="BO287" s="654"/>
      <c r="BP287" s="654"/>
      <c r="BQ287" s="654"/>
      <c r="BR287" s="654"/>
      <c r="BS287" s="654"/>
      <c r="BT287" s="654"/>
      <c r="BU287" s="654"/>
      <c r="BV287" s="654"/>
      <c r="BW287" s="645" t="s">
        <v>109</v>
      </c>
      <c r="BX287" s="658"/>
      <c r="BY287" s="658">
        <f t="shared" si="157"/>
        <v>72</v>
      </c>
      <c r="BZ287" s="658"/>
      <c r="CA287" s="658"/>
      <c r="CB287" s="644">
        <f t="shared" si="153"/>
        <v>72</v>
      </c>
      <c r="CC287" s="658"/>
      <c r="CD287" s="644">
        <f t="shared" si="154"/>
        <v>72</v>
      </c>
      <c r="CE287" s="644">
        <f t="shared" si="155"/>
        <v>0</v>
      </c>
    </row>
    <row r="288" s="338" customFormat="1" ht="40" customHeight="1" spans="1:83">
      <c r="A288" s="632">
        <v>45819</v>
      </c>
      <c r="B288" s="633" t="s">
        <v>177</v>
      </c>
      <c r="C288" s="634" t="s">
        <v>178</v>
      </c>
      <c r="D288" s="635">
        <v>4500169697</v>
      </c>
      <c r="E288" s="659" t="s">
        <v>1579</v>
      </c>
      <c r="F288" s="636" t="s">
        <v>1580</v>
      </c>
      <c r="G288" s="637" t="s">
        <v>159</v>
      </c>
      <c r="H288" s="637" t="s">
        <v>99</v>
      </c>
      <c r="I288" s="638">
        <v>48</v>
      </c>
      <c r="J288" s="638">
        <v>0</v>
      </c>
      <c r="K288" s="639">
        <v>24</v>
      </c>
      <c r="L288" s="639">
        <f t="shared" si="148"/>
        <v>2</v>
      </c>
      <c r="M288" s="641">
        <v>45855</v>
      </c>
      <c r="N288" s="641">
        <f t="shared" si="151"/>
        <v>45852</v>
      </c>
      <c r="O288" s="641"/>
      <c r="P288" s="642" t="s">
        <v>100</v>
      </c>
      <c r="Q288" s="643" t="s">
        <v>1513</v>
      </c>
      <c r="R288" s="642" t="s">
        <v>1562</v>
      </c>
      <c r="S288" s="641"/>
      <c r="T288" s="641"/>
      <c r="U288" s="642" t="s">
        <v>493</v>
      </c>
      <c r="V288" s="642" t="s">
        <v>1563</v>
      </c>
      <c r="W288" s="645"/>
      <c r="X288" s="647" t="s">
        <v>1564</v>
      </c>
      <c r="Y288" s="646" t="s">
        <v>734</v>
      </c>
      <c r="Z288" s="648">
        <v>2.5135</v>
      </c>
      <c r="AA288" s="650">
        <f t="shared" si="152"/>
        <v>120.648</v>
      </c>
      <c r="AB288" s="649">
        <v>48</v>
      </c>
      <c r="AC288" s="649">
        <f t="shared" si="132"/>
        <v>0</v>
      </c>
      <c r="AD288" s="650" t="s">
        <v>106</v>
      </c>
      <c r="AE288" s="637" t="s">
        <v>166</v>
      </c>
      <c r="AF288" s="646" t="s">
        <v>107</v>
      </c>
      <c r="AG288" s="652" t="s">
        <v>43</v>
      </c>
      <c r="AH288" s="646"/>
      <c r="AI288" s="649"/>
      <c r="AJ288" s="649"/>
      <c r="AK288" s="649"/>
      <c r="AL288" s="649"/>
      <c r="AM288" s="649"/>
      <c r="AN288" s="649"/>
      <c r="AO288" s="649">
        <f t="shared" si="156"/>
        <v>48</v>
      </c>
      <c r="AP288" s="649"/>
      <c r="AQ288" s="653"/>
      <c r="AR288" s="649"/>
      <c r="AS288" s="649"/>
      <c r="AT288" s="652">
        <f t="shared" si="150"/>
        <v>48</v>
      </c>
      <c r="AU288" s="649"/>
      <c r="AV288" s="654"/>
      <c r="AW288" s="654"/>
      <c r="AX288" s="652"/>
      <c r="AY288" s="652"/>
      <c r="AZ288" s="654"/>
      <c r="BA288" s="652"/>
      <c r="BB288" s="652"/>
      <c r="BC288" s="654"/>
      <c r="BD288" s="654"/>
      <c r="BE288" s="654"/>
      <c r="BF288" s="654"/>
      <c r="BG288" s="652"/>
      <c r="BH288" s="652"/>
      <c r="BI288" s="654"/>
      <c r="BJ288" s="654"/>
      <c r="BK288" s="654"/>
      <c r="BL288" s="654"/>
      <c r="BM288" s="654"/>
      <c r="BN288" s="654"/>
      <c r="BO288" s="654"/>
      <c r="BP288" s="654"/>
      <c r="BQ288" s="654"/>
      <c r="BR288" s="654"/>
      <c r="BS288" s="654"/>
      <c r="BT288" s="654"/>
      <c r="BU288" s="654"/>
      <c r="BV288" s="654"/>
      <c r="BW288" s="645" t="s">
        <v>109</v>
      </c>
      <c r="BX288" s="658"/>
      <c r="BY288" s="658">
        <f t="shared" si="157"/>
        <v>48</v>
      </c>
      <c r="BZ288" s="658"/>
      <c r="CA288" s="658"/>
      <c r="CB288" s="644">
        <f t="shared" si="153"/>
        <v>48</v>
      </c>
      <c r="CC288" s="658"/>
      <c r="CD288" s="644">
        <f t="shared" si="154"/>
        <v>48</v>
      </c>
      <c r="CE288" s="644">
        <f t="shared" si="155"/>
        <v>0</v>
      </c>
    </row>
    <row r="289" s="338" customFormat="1" ht="40" customHeight="1" spans="1:83">
      <c r="A289" s="632">
        <v>45819</v>
      </c>
      <c r="B289" s="633" t="s">
        <v>177</v>
      </c>
      <c r="C289" s="634" t="s">
        <v>178</v>
      </c>
      <c r="D289" s="635">
        <v>4500169697</v>
      </c>
      <c r="E289" s="659" t="s">
        <v>1581</v>
      </c>
      <c r="F289" s="636" t="s">
        <v>1582</v>
      </c>
      <c r="G289" s="637" t="s">
        <v>159</v>
      </c>
      <c r="H289" s="637" t="s">
        <v>99</v>
      </c>
      <c r="I289" s="638">
        <v>48</v>
      </c>
      <c r="J289" s="638">
        <v>0</v>
      </c>
      <c r="K289" s="639">
        <v>24</v>
      </c>
      <c r="L289" s="639">
        <f t="shared" si="148"/>
        <v>2</v>
      </c>
      <c r="M289" s="641">
        <v>45855</v>
      </c>
      <c r="N289" s="641">
        <f t="shared" si="151"/>
        <v>45852</v>
      </c>
      <c r="O289" s="641"/>
      <c r="P289" s="642" t="s">
        <v>100</v>
      </c>
      <c r="Q289" s="643" t="s">
        <v>1513</v>
      </c>
      <c r="R289" s="642" t="s">
        <v>1562</v>
      </c>
      <c r="S289" s="641"/>
      <c r="T289" s="641"/>
      <c r="U289" s="642" t="s">
        <v>493</v>
      </c>
      <c r="V289" s="642" t="s">
        <v>1563</v>
      </c>
      <c r="W289" s="645"/>
      <c r="X289" s="647" t="s">
        <v>1564</v>
      </c>
      <c r="Y289" s="646" t="s">
        <v>734</v>
      </c>
      <c r="Z289" s="648">
        <v>2.5135</v>
      </c>
      <c r="AA289" s="650">
        <f t="shared" si="152"/>
        <v>120.648</v>
      </c>
      <c r="AB289" s="649">
        <v>48</v>
      </c>
      <c r="AC289" s="649">
        <f t="shared" si="132"/>
        <v>0</v>
      </c>
      <c r="AD289" s="650" t="s">
        <v>106</v>
      </c>
      <c r="AE289" s="637" t="s">
        <v>166</v>
      </c>
      <c r="AF289" s="646" t="s">
        <v>107</v>
      </c>
      <c r="AG289" s="652" t="s">
        <v>43</v>
      </c>
      <c r="AH289" s="646"/>
      <c r="AI289" s="649"/>
      <c r="AJ289" s="649"/>
      <c r="AK289" s="649"/>
      <c r="AL289" s="649"/>
      <c r="AM289" s="649"/>
      <c r="AN289" s="649"/>
      <c r="AO289" s="649">
        <f t="shared" si="156"/>
        <v>48</v>
      </c>
      <c r="AP289" s="649"/>
      <c r="AQ289" s="653"/>
      <c r="AR289" s="649"/>
      <c r="AS289" s="649"/>
      <c r="AT289" s="652">
        <f t="shared" si="150"/>
        <v>48</v>
      </c>
      <c r="AU289" s="649"/>
      <c r="AV289" s="654"/>
      <c r="AW289" s="654"/>
      <c r="AX289" s="652"/>
      <c r="AY289" s="652"/>
      <c r="AZ289" s="654"/>
      <c r="BA289" s="652"/>
      <c r="BB289" s="652"/>
      <c r="BC289" s="654"/>
      <c r="BD289" s="654"/>
      <c r="BE289" s="654"/>
      <c r="BF289" s="654"/>
      <c r="BG289" s="652"/>
      <c r="BH289" s="652"/>
      <c r="BI289" s="654"/>
      <c r="BJ289" s="654"/>
      <c r="BK289" s="654"/>
      <c r="BL289" s="654"/>
      <c r="BM289" s="654"/>
      <c r="BN289" s="654"/>
      <c r="BO289" s="654"/>
      <c r="BP289" s="654"/>
      <c r="BQ289" s="654"/>
      <c r="BR289" s="654"/>
      <c r="BS289" s="654"/>
      <c r="BT289" s="654"/>
      <c r="BU289" s="654"/>
      <c r="BV289" s="654"/>
      <c r="BW289" s="645" t="s">
        <v>109</v>
      </c>
      <c r="BX289" s="658"/>
      <c r="BY289" s="658">
        <f t="shared" si="157"/>
        <v>48</v>
      </c>
      <c r="BZ289" s="658"/>
      <c r="CA289" s="658"/>
      <c r="CB289" s="644">
        <f t="shared" si="153"/>
        <v>48</v>
      </c>
      <c r="CC289" s="658"/>
      <c r="CD289" s="644">
        <f t="shared" si="154"/>
        <v>48</v>
      </c>
      <c r="CE289" s="644">
        <f t="shared" si="155"/>
        <v>0</v>
      </c>
    </row>
    <row r="290" s="338" customFormat="1" ht="40" customHeight="1" spans="1:83">
      <c r="A290" s="632">
        <v>45819</v>
      </c>
      <c r="B290" s="633" t="s">
        <v>177</v>
      </c>
      <c r="C290" s="634" t="s">
        <v>178</v>
      </c>
      <c r="D290" s="635">
        <v>4500169697</v>
      </c>
      <c r="E290" s="659" t="s">
        <v>1583</v>
      </c>
      <c r="F290" s="636" t="s">
        <v>1584</v>
      </c>
      <c r="G290" s="637" t="s">
        <v>159</v>
      </c>
      <c r="H290" s="637" t="s">
        <v>99</v>
      </c>
      <c r="I290" s="638">
        <v>24</v>
      </c>
      <c r="J290" s="638">
        <v>0</v>
      </c>
      <c r="K290" s="639">
        <v>24</v>
      </c>
      <c r="L290" s="639">
        <f t="shared" si="148"/>
        <v>1</v>
      </c>
      <c r="M290" s="641">
        <v>45855</v>
      </c>
      <c r="N290" s="641">
        <f t="shared" si="151"/>
        <v>45852</v>
      </c>
      <c r="O290" s="641"/>
      <c r="P290" s="642" t="s">
        <v>100</v>
      </c>
      <c r="Q290" s="643" t="s">
        <v>1513</v>
      </c>
      <c r="R290" s="642" t="s">
        <v>1562</v>
      </c>
      <c r="S290" s="641"/>
      <c r="T290" s="641"/>
      <c r="U290" s="642" t="s">
        <v>493</v>
      </c>
      <c r="V290" s="642" t="s">
        <v>1563</v>
      </c>
      <c r="W290" s="645"/>
      <c r="X290" s="647" t="s">
        <v>1564</v>
      </c>
      <c r="Y290" s="646" t="s">
        <v>734</v>
      </c>
      <c r="Z290" s="648">
        <v>2.5135</v>
      </c>
      <c r="AA290" s="650">
        <f t="shared" si="152"/>
        <v>60.324</v>
      </c>
      <c r="AB290" s="649">
        <v>24</v>
      </c>
      <c r="AC290" s="649">
        <f t="shared" si="132"/>
        <v>0</v>
      </c>
      <c r="AD290" s="650" t="s">
        <v>106</v>
      </c>
      <c r="AE290" s="637" t="s">
        <v>166</v>
      </c>
      <c r="AF290" s="646" t="s">
        <v>107</v>
      </c>
      <c r="AG290" s="652" t="s">
        <v>43</v>
      </c>
      <c r="AH290" s="646"/>
      <c r="AI290" s="649"/>
      <c r="AJ290" s="649"/>
      <c r="AK290" s="649"/>
      <c r="AL290" s="649"/>
      <c r="AM290" s="649"/>
      <c r="AN290" s="649"/>
      <c r="AO290" s="649">
        <f t="shared" si="156"/>
        <v>24</v>
      </c>
      <c r="AP290" s="649"/>
      <c r="AQ290" s="653"/>
      <c r="AR290" s="649"/>
      <c r="AS290" s="649"/>
      <c r="AT290" s="652">
        <f t="shared" si="150"/>
        <v>24</v>
      </c>
      <c r="AU290" s="649"/>
      <c r="AV290" s="654"/>
      <c r="AW290" s="654"/>
      <c r="AX290" s="652"/>
      <c r="AY290" s="652"/>
      <c r="AZ290" s="654"/>
      <c r="BA290" s="652"/>
      <c r="BB290" s="652"/>
      <c r="BC290" s="654"/>
      <c r="BD290" s="654"/>
      <c r="BE290" s="654"/>
      <c r="BF290" s="654"/>
      <c r="BG290" s="652"/>
      <c r="BH290" s="652"/>
      <c r="BI290" s="654"/>
      <c r="BJ290" s="654"/>
      <c r="BK290" s="654"/>
      <c r="BL290" s="654"/>
      <c r="BM290" s="654"/>
      <c r="BN290" s="654"/>
      <c r="BO290" s="654"/>
      <c r="BP290" s="654"/>
      <c r="BQ290" s="654"/>
      <c r="BR290" s="654"/>
      <c r="BS290" s="654"/>
      <c r="BT290" s="654"/>
      <c r="BU290" s="654"/>
      <c r="BV290" s="654"/>
      <c r="BW290" s="645" t="s">
        <v>109</v>
      </c>
      <c r="BX290" s="658"/>
      <c r="BY290" s="658">
        <f t="shared" si="157"/>
        <v>24</v>
      </c>
      <c r="BZ290" s="658"/>
      <c r="CA290" s="658"/>
      <c r="CB290" s="644">
        <f t="shared" si="153"/>
        <v>24</v>
      </c>
      <c r="CC290" s="658"/>
      <c r="CD290" s="644">
        <f t="shared" si="154"/>
        <v>24</v>
      </c>
      <c r="CE290" s="644">
        <f t="shared" si="155"/>
        <v>0</v>
      </c>
    </row>
    <row r="291" s="338" customFormat="1" ht="40" customHeight="1" spans="1:83">
      <c r="A291" s="632">
        <v>45819</v>
      </c>
      <c r="B291" s="633" t="s">
        <v>177</v>
      </c>
      <c r="C291" s="634" t="s">
        <v>178</v>
      </c>
      <c r="D291" s="635">
        <v>4500169697</v>
      </c>
      <c r="E291" s="659" t="s">
        <v>1585</v>
      </c>
      <c r="F291" s="636" t="s">
        <v>1586</v>
      </c>
      <c r="G291" s="637" t="s">
        <v>159</v>
      </c>
      <c r="H291" s="637" t="s">
        <v>99</v>
      </c>
      <c r="I291" s="638">
        <v>48</v>
      </c>
      <c r="J291" s="638">
        <v>0</v>
      </c>
      <c r="K291" s="639">
        <v>24</v>
      </c>
      <c r="L291" s="639">
        <f t="shared" ref="L291:L302" si="158">I291/K291</f>
        <v>2</v>
      </c>
      <c r="M291" s="641">
        <v>45855</v>
      </c>
      <c r="N291" s="641">
        <f t="shared" si="151"/>
        <v>45852</v>
      </c>
      <c r="O291" s="641"/>
      <c r="P291" s="642" t="s">
        <v>100</v>
      </c>
      <c r="Q291" s="643" t="s">
        <v>1513</v>
      </c>
      <c r="R291" s="642" t="s">
        <v>1562</v>
      </c>
      <c r="S291" s="641"/>
      <c r="T291" s="641"/>
      <c r="U291" s="642" t="s">
        <v>493</v>
      </c>
      <c r="V291" s="642" t="s">
        <v>1563</v>
      </c>
      <c r="W291" s="645"/>
      <c r="X291" s="647" t="s">
        <v>1564</v>
      </c>
      <c r="Y291" s="646" t="s">
        <v>734</v>
      </c>
      <c r="Z291" s="648">
        <v>2.5135</v>
      </c>
      <c r="AA291" s="650">
        <f t="shared" si="152"/>
        <v>120.648</v>
      </c>
      <c r="AB291" s="649">
        <v>48</v>
      </c>
      <c r="AC291" s="649">
        <f t="shared" si="132"/>
        <v>0</v>
      </c>
      <c r="AD291" s="650" t="s">
        <v>106</v>
      </c>
      <c r="AE291" s="637" t="s">
        <v>166</v>
      </c>
      <c r="AF291" s="646" t="s">
        <v>107</v>
      </c>
      <c r="AG291" s="652" t="s">
        <v>43</v>
      </c>
      <c r="AH291" s="646"/>
      <c r="AI291" s="649"/>
      <c r="AJ291" s="649"/>
      <c r="AK291" s="649"/>
      <c r="AL291" s="649"/>
      <c r="AM291" s="649"/>
      <c r="AN291" s="649"/>
      <c r="AO291" s="649">
        <f t="shared" si="156"/>
        <v>48</v>
      </c>
      <c r="AP291" s="649"/>
      <c r="AQ291" s="653"/>
      <c r="AR291" s="649"/>
      <c r="AS291" s="649"/>
      <c r="AT291" s="652">
        <f t="shared" si="150"/>
        <v>48</v>
      </c>
      <c r="AU291" s="649"/>
      <c r="AV291" s="654"/>
      <c r="AW291" s="654"/>
      <c r="AX291" s="652"/>
      <c r="AY291" s="652"/>
      <c r="AZ291" s="654"/>
      <c r="BA291" s="652"/>
      <c r="BB291" s="652"/>
      <c r="BC291" s="654"/>
      <c r="BD291" s="654"/>
      <c r="BE291" s="654"/>
      <c r="BF291" s="654"/>
      <c r="BG291" s="652"/>
      <c r="BH291" s="652"/>
      <c r="BI291" s="654"/>
      <c r="BJ291" s="654"/>
      <c r="BK291" s="654"/>
      <c r="BL291" s="654"/>
      <c r="BM291" s="654"/>
      <c r="BN291" s="654"/>
      <c r="BO291" s="654"/>
      <c r="BP291" s="654"/>
      <c r="BQ291" s="654"/>
      <c r="BR291" s="654"/>
      <c r="BS291" s="654"/>
      <c r="BT291" s="654"/>
      <c r="BU291" s="654"/>
      <c r="BV291" s="654"/>
      <c r="BW291" s="645" t="s">
        <v>109</v>
      </c>
      <c r="BX291" s="658"/>
      <c r="BY291" s="658">
        <f t="shared" si="157"/>
        <v>48</v>
      </c>
      <c r="BZ291" s="658"/>
      <c r="CA291" s="658"/>
      <c r="CB291" s="644">
        <f t="shared" si="153"/>
        <v>48</v>
      </c>
      <c r="CC291" s="658"/>
      <c r="CD291" s="644">
        <f t="shared" si="154"/>
        <v>48</v>
      </c>
      <c r="CE291" s="644">
        <f t="shared" si="155"/>
        <v>0</v>
      </c>
    </row>
    <row r="292" s="338" customFormat="1" ht="40" customHeight="1" spans="1:83">
      <c r="A292" s="632">
        <v>45821</v>
      </c>
      <c r="B292" s="633" t="s">
        <v>1587</v>
      </c>
      <c r="C292" s="634" t="s">
        <v>178</v>
      </c>
      <c r="D292" s="635">
        <v>4500169928</v>
      </c>
      <c r="E292" s="659" t="s">
        <v>1588</v>
      </c>
      <c r="F292" s="636" t="s">
        <v>1589</v>
      </c>
      <c r="G292" s="637" t="s">
        <v>189</v>
      </c>
      <c r="H292" s="637" t="s">
        <v>99</v>
      </c>
      <c r="I292" s="638">
        <v>48</v>
      </c>
      <c r="J292" s="638">
        <v>0</v>
      </c>
      <c r="K292" s="639">
        <v>24</v>
      </c>
      <c r="L292" s="639">
        <f t="shared" si="158"/>
        <v>2</v>
      </c>
      <c r="M292" s="641">
        <v>45856</v>
      </c>
      <c r="N292" s="641">
        <v>45852</v>
      </c>
      <c r="O292" s="641"/>
      <c r="P292" s="642" t="s">
        <v>100</v>
      </c>
      <c r="Q292" s="643" t="s">
        <v>1513</v>
      </c>
      <c r="R292" s="642" t="s">
        <v>1562</v>
      </c>
      <c r="S292" s="641"/>
      <c r="T292" s="641"/>
      <c r="U292" s="642" t="s">
        <v>493</v>
      </c>
      <c r="V292" s="642" t="s">
        <v>1563</v>
      </c>
      <c r="W292" s="645"/>
      <c r="X292" s="647" t="s">
        <v>1590</v>
      </c>
      <c r="Y292" s="646" t="s">
        <v>734</v>
      </c>
      <c r="Z292" s="648">
        <v>2.5135</v>
      </c>
      <c r="AA292" s="650">
        <f t="shared" ref="AA292:AA300" si="159">I292*Z292</f>
        <v>120.648</v>
      </c>
      <c r="AB292" s="649">
        <v>48</v>
      </c>
      <c r="AC292" s="649">
        <f t="shared" si="132"/>
        <v>0</v>
      </c>
      <c r="AD292" s="650" t="s">
        <v>106</v>
      </c>
      <c r="AE292" s="637" t="s">
        <v>190</v>
      </c>
      <c r="AF292" s="646" t="s">
        <v>107</v>
      </c>
      <c r="AG292" s="652" t="s">
        <v>43</v>
      </c>
      <c r="AH292" s="646"/>
      <c r="AI292" s="649"/>
      <c r="AJ292" s="649"/>
      <c r="AK292" s="649"/>
      <c r="AL292" s="649"/>
      <c r="AM292" s="649"/>
      <c r="AN292" s="649"/>
      <c r="AO292" s="649">
        <f t="shared" si="156"/>
        <v>48</v>
      </c>
      <c r="AP292" s="649"/>
      <c r="AQ292" s="653"/>
      <c r="AR292" s="649"/>
      <c r="AS292" s="649"/>
      <c r="AT292" s="652">
        <f t="shared" ref="AT292:AT299" si="160">I292</f>
        <v>48</v>
      </c>
      <c r="AU292" s="649"/>
      <c r="AV292" s="654"/>
      <c r="AW292" s="654"/>
      <c r="AX292" s="652"/>
      <c r="AY292" s="652"/>
      <c r="AZ292" s="654"/>
      <c r="BA292" s="652"/>
      <c r="BB292" s="652"/>
      <c r="BC292" s="654"/>
      <c r="BD292" s="654"/>
      <c r="BE292" s="654"/>
      <c r="BF292" s="654"/>
      <c r="BG292" s="652"/>
      <c r="BH292" s="652"/>
      <c r="BI292" s="654"/>
      <c r="BJ292" s="654"/>
      <c r="BK292" s="654"/>
      <c r="BL292" s="654"/>
      <c r="BM292" s="654"/>
      <c r="BN292" s="654"/>
      <c r="BO292" s="654"/>
      <c r="BP292" s="654"/>
      <c r="BQ292" s="654"/>
      <c r="BR292" s="654"/>
      <c r="BS292" s="654"/>
      <c r="BT292" s="654"/>
      <c r="BU292" s="654"/>
      <c r="BV292" s="654"/>
      <c r="BW292" s="645" t="s">
        <v>109</v>
      </c>
      <c r="BX292" s="658"/>
      <c r="BY292" s="658"/>
      <c r="BZ292" s="658"/>
      <c r="CA292" s="658">
        <f t="shared" ref="CA292:CA300" si="161">I292</f>
        <v>48</v>
      </c>
      <c r="CB292" s="644">
        <f t="shared" ref="CB292:CB300" si="162">I292</f>
        <v>48</v>
      </c>
      <c r="CC292" s="658"/>
      <c r="CD292" s="644">
        <f t="shared" ref="CD292:CD300" si="163">SUM(BX292:CA292)</f>
        <v>48</v>
      </c>
      <c r="CE292" s="644">
        <f t="shared" ref="CE292:CE300" si="164">I292-CD292</f>
        <v>0</v>
      </c>
    </row>
    <row r="293" s="338" customFormat="1" ht="40" customHeight="1" spans="1:83">
      <c r="A293" s="632">
        <v>45821</v>
      </c>
      <c r="B293" s="633" t="s">
        <v>1587</v>
      </c>
      <c r="C293" s="634" t="s">
        <v>178</v>
      </c>
      <c r="D293" s="635">
        <v>4500169928</v>
      </c>
      <c r="E293" s="659" t="s">
        <v>1591</v>
      </c>
      <c r="F293" s="636" t="s">
        <v>1592</v>
      </c>
      <c r="G293" s="637" t="s">
        <v>189</v>
      </c>
      <c r="H293" s="637" t="s">
        <v>99</v>
      </c>
      <c r="I293" s="638">
        <v>24</v>
      </c>
      <c r="J293" s="638">
        <v>0</v>
      </c>
      <c r="K293" s="639">
        <v>24</v>
      </c>
      <c r="L293" s="639">
        <f t="shared" si="158"/>
        <v>1</v>
      </c>
      <c r="M293" s="641">
        <v>45856</v>
      </c>
      <c r="N293" s="641">
        <v>45852</v>
      </c>
      <c r="O293" s="641"/>
      <c r="P293" s="642" t="s">
        <v>100</v>
      </c>
      <c r="Q293" s="643" t="s">
        <v>1513</v>
      </c>
      <c r="R293" s="642" t="s">
        <v>1562</v>
      </c>
      <c r="S293" s="641"/>
      <c r="T293" s="641"/>
      <c r="U293" s="642" t="s">
        <v>493</v>
      </c>
      <c r="V293" s="642" t="s">
        <v>1563</v>
      </c>
      <c r="W293" s="645"/>
      <c r="X293" s="647" t="s">
        <v>1590</v>
      </c>
      <c r="Y293" s="646" t="s">
        <v>734</v>
      </c>
      <c r="Z293" s="648">
        <v>2.5135</v>
      </c>
      <c r="AA293" s="650">
        <f t="shared" si="159"/>
        <v>60.324</v>
      </c>
      <c r="AB293" s="649">
        <v>24</v>
      </c>
      <c r="AC293" s="649">
        <f t="shared" si="132"/>
        <v>0</v>
      </c>
      <c r="AD293" s="650" t="s">
        <v>123</v>
      </c>
      <c r="AE293" s="637" t="s">
        <v>190</v>
      </c>
      <c r="AF293" s="646" t="s">
        <v>107</v>
      </c>
      <c r="AG293" s="652" t="s">
        <v>43</v>
      </c>
      <c r="AH293" s="646"/>
      <c r="AI293" s="649"/>
      <c r="AJ293" s="649"/>
      <c r="AK293" s="649"/>
      <c r="AL293" s="649"/>
      <c r="AM293" s="649"/>
      <c r="AN293" s="649"/>
      <c r="AO293" s="649">
        <f t="shared" ref="AO293:AO301" si="165">I293</f>
        <v>24</v>
      </c>
      <c r="AP293" s="649"/>
      <c r="AQ293" s="653"/>
      <c r="AR293" s="649"/>
      <c r="AS293" s="649"/>
      <c r="AT293" s="652">
        <f t="shared" si="160"/>
        <v>24</v>
      </c>
      <c r="AU293" s="649"/>
      <c r="AV293" s="654"/>
      <c r="AW293" s="654"/>
      <c r="AX293" s="652"/>
      <c r="AY293" s="652"/>
      <c r="AZ293" s="654"/>
      <c r="BA293" s="652"/>
      <c r="BB293" s="652"/>
      <c r="BC293" s="654"/>
      <c r="BD293" s="654"/>
      <c r="BE293" s="654"/>
      <c r="BF293" s="654"/>
      <c r="BG293" s="652"/>
      <c r="BH293" s="652"/>
      <c r="BI293" s="654"/>
      <c r="BJ293" s="654"/>
      <c r="BK293" s="654"/>
      <c r="BL293" s="654"/>
      <c r="BM293" s="654"/>
      <c r="BN293" s="654"/>
      <c r="BO293" s="654"/>
      <c r="BP293" s="654"/>
      <c r="BQ293" s="654"/>
      <c r="BR293" s="654"/>
      <c r="BS293" s="654"/>
      <c r="BT293" s="654"/>
      <c r="BU293" s="654"/>
      <c r="BV293" s="654"/>
      <c r="BW293" s="645" t="s">
        <v>109</v>
      </c>
      <c r="BX293" s="658"/>
      <c r="BY293" s="658"/>
      <c r="BZ293" s="658"/>
      <c r="CA293" s="658">
        <f t="shared" si="161"/>
        <v>24</v>
      </c>
      <c r="CB293" s="644">
        <f t="shared" si="162"/>
        <v>24</v>
      </c>
      <c r="CC293" s="658"/>
      <c r="CD293" s="644">
        <f t="shared" si="163"/>
        <v>24</v>
      </c>
      <c r="CE293" s="644">
        <f t="shared" si="164"/>
        <v>0</v>
      </c>
    </row>
    <row r="294" s="338" customFormat="1" ht="40" customHeight="1" spans="1:83">
      <c r="A294" s="632">
        <v>45821</v>
      </c>
      <c r="B294" s="633" t="s">
        <v>1587</v>
      </c>
      <c r="C294" s="634" t="s">
        <v>178</v>
      </c>
      <c r="D294" s="635">
        <v>4500169928</v>
      </c>
      <c r="E294" s="659" t="s">
        <v>1593</v>
      </c>
      <c r="F294" s="636" t="s">
        <v>1594</v>
      </c>
      <c r="G294" s="637" t="s">
        <v>189</v>
      </c>
      <c r="H294" s="637" t="s">
        <v>99</v>
      </c>
      <c r="I294" s="638">
        <v>24</v>
      </c>
      <c r="J294" s="638">
        <v>0</v>
      </c>
      <c r="K294" s="639">
        <v>24</v>
      </c>
      <c r="L294" s="639">
        <f t="shared" si="158"/>
        <v>1</v>
      </c>
      <c r="M294" s="641">
        <v>45856</v>
      </c>
      <c r="N294" s="641">
        <v>45852</v>
      </c>
      <c r="O294" s="641"/>
      <c r="P294" s="642" t="s">
        <v>100</v>
      </c>
      <c r="Q294" s="643" t="s">
        <v>1513</v>
      </c>
      <c r="R294" s="642" t="s">
        <v>1562</v>
      </c>
      <c r="S294" s="641"/>
      <c r="T294" s="641"/>
      <c r="U294" s="642" t="s">
        <v>493</v>
      </c>
      <c r="V294" s="642" t="s">
        <v>1563</v>
      </c>
      <c r="W294" s="645"/>
      <c r="X294" s="647" t="s">
        <v>1590</v>
      </c>
      <c r="Y294" s="646" t="s">
        <v>734</v>
      </c>
      <c r="Z294" s="648">
        <v>2.5135</v>
      </c>
      <c r="AA294" s="650">
        <f t="shared" si="159"/>
        <v>60.324</v>
      </c>
      <c r="AB294" s="649">
        <v>24</v>
      </c>
      <c r="AC294" s="649">
        <f t="shared" si="132"/>
        <v>0</v>
      </c>
      <c r="AD294" s="650" t="s">
        <v>123</v>
      </c>
      <c r="AE294" s="637" t="s">
        <v>190</v>
      </c>
      <c r="AF294" s="646" t="s">
        <v>107</v>
      </c>
      <c r="AG294" s="652" t="s">
        <v>43</v>
      </c>
      <c r="AH294" s="646"/>
      <c r="AI294" s="649"/>
      <c r="AJ294" s="649"/>
      <c r="AK294" s="649"/>
      <c r="AL294" s="649"/>
      <c r="AM294" s="649"/>
      <c r="AN294" s="649"/>
      <c r="AO294" s="649">
        <f t="shared" si="165"/>
        <v>24</v>
      </c>
      <c r="AP294" s="649"/>
      <c r="AQ294" s="653"/>
      <c r="AR294" s="649"/>
      <c r="AS294" s="649"/>
      <c r="AT294" s="652">
        <f t="shared" si="160"/>
        <v>24</v>
      </c>
      <c r="AU294" s="649"/>
      <c r="AV294" s="654"/>
      <c r="AW294" s="654"/>
      <c r="AX294" s="652"/>
      <c r="AY294" s="652"/>
      <c r="AZ294" s="654"/>
      <c r="BA294" s="652"/>
      <c r="BB294" s="652"/>
      <c r="BC294" s="654"/>
      <c r="BD294" s="654"/>
      <c r="BE294" s="654"/>
      <c r="BF294" s="654"/>
      <c r="BG294" s="652"/>
      <c r="BH294" s="652"/>
      <c r="BI294" s="654"/>
      <c r="BJ294" s="654"/>
      <c r="BK294" s="654"/>
      <c r="BL294" s="654"/>
      <c r="BM294" s="654"/>
      <c r="BN294" s="654"/>
      <c r="BO294" s="654"/>
      <c r="BP294" s="654"/>
      <c r="BQ294" s="654"/>
      <c r="BR294" s="654"/>
      <c r="BS294" s="654"/>
      <c r="BT294" s="654"/>
      <c r="BU294" s="654"/>
      <c r="BV294" s="654"/>
      <c r="BW294" s="645" t="s">
        <v>109</v>
      </c>
      <c r="BX294" s="658"/>
      <c r="BY294" s="658"/>
      <c r="BZ294" s="658"/>
      <c r="CA294" s="658">
        <f t="shared" si="161"/>
        <v>24</v>
      </c>
      <c r="CB294" s="644">
        <f t="shared" si="162"/>
        <v>24</v>
      </c>
      <c r="CC294" s="658"/>
      <c r="CD294" s="644">
        <f t="shared" si="163"/>
        <v>24</v>
      </c>
      <c r="CE294" s="644">
        <f t="shared" si="164"/>
        <v>0</v>
      </c>
    </row>
    <row r="295" s="338" customFormat="1" ht="40" customHeight="1" spans="1:83">
      <c r="A295" s="632">
        <v>45821</v>
      </c>
      <c r="B295" s="633" t="s">
        <v>1587</v>
      </c>
      <c r="C295" s="634" t="s">
        <v>178</v>
      </c>
      <c r="D295" s="635">
        <v>4500169928</v>
      </c>
      <c r="E295" s="659" t="s">
        <v>1595</v>
      </c>
      <c r="F295" s="636" t="s">
        <v>1596</v>
      </c>
      <c r="G295" s="637" t="s">
        <v>189</v>
      </c>
      <c r="H295" s="637" t="s">
        <v>99</v>
      </c>
      <c r="I295" s="638">
        <v>24</v>
      </c>
      <c r="J295" s="638">
        <v>0</v>
      </c>
      <c r="K295" s="639">
        <v>24</v>
      </c>
      <c r="L295" s="639">
        <f t="shared" si="158"/>
        <v>1</v>
      </c>
      <c r="M295" s="641">
        <v>45856</v>
      </c>
      <c r="N295" s="641">
        <v>45852</v>
      </c>
      <c r="O295" s="641"/>
      <c r="P295" s="642" t="s">
        <v>100</v>
      </c>
      <c r="Q295" s="643" t="s">
        <v>1513</v>
      </c>
      <c r="R295" s="642" t="s">
        <v>1562</v>
      </c>
      <c r="S295" s="641"/>
      <c r="T295" s="641"/>
      <c r="U295" s="642" t="s">
        <v>493</v>
      </c>
      <c r="V295" s="642" t="s">
        <v>1563</v>
      </c>
      <c r="W295" s="645"/>
      <c r="X295" s="647" t="s">
        <v>1590</v>
      </c>
      <c r="Y295" s="646" t="s">
        <v>734</v>
      </c>
      <c r="Z295" s="648">
        <v>2.5135</v>
      </c>
      <c r="AA295" s="650">
        <f t="shared" si="159"/>
        <v>60.324</v>
      </c>
      <c r="AB295" s="649">
        <v>24</v>
      </c>
      <c r="AC295" s="649">
        <f t="shared" si="132"/>
        <v>0</v>
      </c>
      <c r="AD295" s="650" t="s">
        <v>123</v>
      </c>
      <c r="AE295" s="637" t="s">
        <v>190</v>
      </c>
      <c r="AF295" s="646" t="s">
        <v>107</v>
      </c>
      <c r="AG295" s="652" t="s">
        <v>43</v>
      </c>
      <c r="AH295" s="646"/>
      <c r="AI295" s="649"/>
      <c r="AJ295" s="649"/>
      <c r="AK295" s="649"/>
      <c r="AL295" s="649"/>
      <c r="AM295" s="649"/>
      <c r="AN295" s="649"/>
      <c r="AO295" s="649">
        <f t="shared" si="165"/>
        <v>24</v>
      </c>
      <c r="AP295" s="649"/>
      <c r="AQ295" s="653"/>
      <c r="AR295" s="649"/>
      <c r="AS295" s="649"/>
      <c r="AT295" s="652">
        <f t="shared" si="160"/>
        <v>24</v>
      </c>
      <c r="AU295" s="649"/>
      <c r="AV295" s="654"/>
      <c r="AW295" s="654"/>
      <c r="AX295" s="652"/>
      <c r="AY295" s="652"/>
      <c r="AZ295" s="654"/>
      <c r="BA295" s="652"/>
      <c r="BB295" s="652"/>
      <c r="BC295" s="654"/>
      <c r="BD295" s="654"/>
      <c r="BE295" s="654"/>
      <c r="BF295" s="654"/>
      <c r="BG295" s="652"/>
      <c r="BH295" s="652"/>
      <c r="BI295" s="654"/>
      <c r="BJ295" s="654"/>
      <c r="BK295" s="654"/>
      <c r="BL295" s="654"/>
      <c r="BM295" s="654"/>
      <c r="BN295" s="654"/>
      <c r="BO295" s="654"/>
      <c r="BP295" s="654"/>
      <c r="BQ295" s="654"/>
      <c r="BR295" s="654"/>
      <c r="BS295" s="654"/>
      <c r="BT295" s="654"/>
      <c r="BU295" s="654"/>
      <c r="BV295" s="654"/>
      <c r="BW295" s="645" t="s">
        <v>109</v>
      </c>
      <c r="BX295" s="658"/>
      <c r="BY295" s="658"/>
      <c r="BZ295" s="658"/>
      <c r="CA295" s="658">
        <f t="shared" si="161"/>
        <v>24</v>
      </c>
      <c r="CB295" s="644">
        <f t="shared" si="162"/>
        <v>24</v>
      </c>
      <c r="CC295" s="658"/>
      <c r="CD295" s="644">
        <f t="shared" si="163"/>
        <v>24</v>
      </c>
      <c r="CE295" s="644">
        <f t="shared" si="164"/>
        <v>0</v>
      </c>
    </row>
    <row r="296" s="338" customFormat="1" ht="40" customHeight="1" spans="1:83">
      <c r="A296" s="632">
        <v>45821</v>
      </c>
      <c r="B296" s="633" t="s">
        <v>1587</v>
      </c>
      <c r="C296" s="634" t="s">
        <v>178</v>
      </c>
      <c r="D296" s="635">
        <v>4500169928</v>
      </c>
      <c r="E296" s="659" t="s">
        <v>1597</v>
      </c>
      <c r="F296" s="636" t="s">
        <v>1598</v>
      </c>
      <c r="G296" s="637" t="s">
        <v>189</v>
      </c>
      <c r="H296" s="637" t="s">
        <v>99</v>
      </c>
      <c r="I296" s="638">
        <v>24</v>
      </c>
      <c r="J296" s="638">
        <v>0</v>
      </c>
      <c r="K296" s="639">
        <v>24</v>
      </c>
      <c r="L296" s="639">
        <f t="shared" si="158"/>
        <v>1</v>
      </c>
      <c r="M296" s="641">
        <v>45856</v>
      </c>
      <c r="N296" s="641">
        <v>45852</v>
      </c>
      <c r="O296" s="641"/>
      <c r="P296" s="642" t="s">
        <v>100</v>
      </c>
      <c r="Q296" s="643" t="s">
        <v>1513</v>
      </c>
      <c r="R296" s="642" t="s">
        <v>1562</v>
      </c>
      <c r="S296" s="641"/>
      <c r="T296" s="641"/>
      <c r="U296" s="642" t="s">
        <v>493</v>
      </c>
      <c r="V296" s="642" t="s">
        <v>1563</v>
      </c>
      <c r="W296" s="645"/>
      <c r="X296" s="647" t="s">
        <v>1590</v>
      </c>
      <c r="Y296" s="646" t="s">
        <v>734</v>
      </c>
      <c r="Z296" s="648">
        <v>2.5135</v>
      </c>
      <c r="AA296" s="650">
        <f t="shared" si="159"/>
        <v>60.324</v>
      </c>
      <c r="AB296" s="649">
        <v>24</v>
      </c>
      <c r="AC296" s="649">
        <f t="shared" si="132"/>
        <v>0</v>
      </c>
      <c r="AD296" s="650" t="s">
        <v>123</v>
      </c>
      <c r="AE296" s="637" t="s">
        <v>190</v>
      </c>
      <c r="AF296" s="646" t="s">
        <v>107</v>
      </c>
      <c r="AG296" s="652" t="s">
        <v>43</v>
      </c>
      <c r="AH296" s="646"/>
      <c r="AI296" s="649"/>
      <c r="AJ296" s="649"/>
      <c r="AK296" s="649"/>
      <c r="AL296" s="649"/>
      <c r="AM296" s="649"/>
      <c r="AN296" s="649"/>
      <c r="AO296" s="649">
        <f t="shared" si="165"/>
        <v>24</v>
      </c>
      <c r="AP296" s="649"/>
      <c r="AQ296" s="653"/>
      <c r="AR296" s="649"/>
      <c r="AS296" s="649"/>
      <c r="AT296" s="652">
        <f t="shared" si="160"/>
        <v>24</v>
      </c>
      <c r="AU296" s="649"/>
      <c r="AV296" s="654"/>
      <c r="AW296" s="654"/>
      <c r="AX296" s="652"/>
      <c r="AY296" s="652"/>
      <c r="AZ296" s="654"/>
      <c r="BA296" s="652"/>
      <c r="BB296" s="652"/>
      <c r="BC296" s="654"/>
      <c r="BD296" s="654"/>
      <c r="BE296" s="654"/>
      <c r="BF296" s="654"/>
      <c r="BG296" s="652"/>
      <c r="BH296" s="652"/>
      <c r="BI296" s="654"/>
      <c r="BJ296" s="654"/>
      <c r="BK296" s="654"/>
      <c r="BL296" s="654"/>
      <c r="BM296" s="654"/>
      <c r="BN296" s="654"/>
      <c r="BO296" s="654"/>
      <c r="BP296" s="654"/>
      <c r="BQ296" s="654"/>
      <c r="BR296" s="654"/>
      <c r="BS296" s="654"/>
      <c r="BT296" s="654"/>
      <c r="BU296" s="654"/>
      <c r="BV296" s="654"/>
      <c r="BW296" s="645" t="s">
        <v>109</v>
      </c>
      <c r="BX296" s="658"/>
      <c r="BY296" s="658"/>
      <c r="BZ296" s="658"/>
      <c r="CA296" s="658">
        <f t="shared" si="161"/>
        <v>24</v>
      </c>
      <c r="CB296" s="644">
        <f t="shared" si="162"/>
        <v>24</v>
      </c>
      <c r="CC296" s="658"/>
      <c r="CD296" s="644">
        <f t="shared" si="163"/>
        <v>24</v>
      </c>
      <c r="CE296" s="644">
        <f t="shared" si="164"/>
        <v>0</v>
      </c>
    </row>
    <row r="297" s="338" customFormat="1" ht="40" customHeight="1" spans="1:83">
      <c r="A297" s="632">
        <v>45821</v>
      </c>
      <c r="B297" s="633" t="s">
        <v>1587</v>
      </c>
      <c r="C297" s="634" t="s">
        <v>178</v>
      </c>
      <c r="D297" s="635">
        <v>4500169928</v>
      </c>
      <c r="E297" s="659" t="s">
        <v>1599</v>
      </c>
      <c r="F297" s="636" t="s">
        <v>1600</v>
      </c>
      <c r="G297" s="637" t="s">
        <v>189</v>
      </c>
      <c r="H297" s="637" t="s">
        <v>99</v>
      </c>
      <c r="I297" s="638">
        <v>24</v>
      </c>
      <c r="J297" s="638">
        <v>0</v>
      </c>
      <c r="K297" s="639">
        <v>24</v>
      </c>
      <c r="L297" s="639">
        <f t="shared" si="158"/>
        <v>1</v>
      </c>
      <c r="M297" s="641">
        <v>45856</v>
      </c>
      <c r="N297" s="641">
        <v>45852</v>
      </c>
      <c r="O297" s="641"/>
      <c r="P297" s="642" t="s">
        <v>100</v>
      </c>
      <c r="Q297" s="643" t="s">
        <v>1513</v>
      </c>
      <c r="R297" s="642" t="s">
        <v>1562</v>
      </c>
      <c r="S297" s="641"/>
      <c r="T297" s="641"/>
      <c r="U297" s="642" t="s">
        <v>493</v>
      </c>
      <c r="V297" s="642" t="s">
        <v>1563</v>
      </c>
      <c r="W297" s="645"/>
      <c r="X297" s="647" t="s">
        <v>1590</v>
      </c>
      <c r="Y297" s="646" t="s">
        <v>734</v>
      </c>
      <c r="Z297" s="648">
        <v>2.5135</v>
      </c>
      <c r="AA297" s="650">
        <f t="shared" si="159"/>
        <v>60.324</v>
      </c>
      <c r="AB297" s="649">
        <v>24</v>
      </c>
      <c r="AC297" s="649">
        <f t="shared" si="132"/>
        <v>0</v>
      </c>
      <c r="AD297" s="650" t="s">
        <v>123</v>
      </c>
      <c r="AE297" s="637" t="s">
        <v>190</v>
      </c>
      <c r="AF297" s="646" t="s">
        <v>107</v>
      </c>
      <c r="AG297" s="652" t="s">
        <v>43</v>
      </c>
      <c r="AH297" s="646"/>
      <c r="AI297" s="649"/>
      <c r="AJ297" s="649"/>
      <c r="AK297" s="649"/>
      <c r="AL297" s="649"/>
      <c r="AM297" s="649"/>
      <c r="AN297" s="649"/>
      <c r="AO297" s="649">
        <f t="shared" si="165"/>
        <v>24</v>
      </c>
      <c r="AP297" s="649"/>
      <c r="AQ297" s="653"/>
      <c r="AR297" s="649"/>
      <c r="AS297" s="649"/>
      <c r="AT297" s="652">
        <f t="shared" si="160"/>
        <v>24</v>
      </c>
      <c r="AU297" s="649"/>
      <c r="AV297" s="654"/>
      <c r="AW297" s="654"/>
      <c r="AX297" s="652"/>
      <c r="AY297" s="652"/>
      <c r="AZ297" s="654"/>
      <c r="BA297" s="652"/>
      <c r="BB297" s="652"/>
      <c r="BC297" s="654"/>
      <c r="BD297" s="654"/>
      <c r="BE297" s="654"/>
      <c r="BF297" s="654"/>
      <c r="BG297" s="652"/>
      <c r="BH297" s="652"/>
      <c r="BI297" s="654"/>
      <c r="BJ297" s="654"/>
      <c r="BK297" s="654"/>
      <c r="BL297" s="654"/>
      <c r="BM297" s="654"/>
      <c r="BN297" s="654"/>
      <c r="BO297" s="654"/>
      <c r="BP297" s="654"/>
      <c r="BQ297" s="654"/>
      <c r="BR297" s="654"/>
      <c r="BS297" s="654"/>
      <c r="BT297" s="654"/>
      <c r="BU297" s="654"/>
      <c r="BV297" s="654"/>
      <c r="BW297" s="645" t="s">
        <v>109</v>
      </c>
      <c r="BX297" s="658"/>
      <c r="BY297" s="658"/>
      <c r="BZ297" s="658"/>
      <c r="CA297" s="658">
        <f t="shared" si="161"/>
        <v>24</v>
      </c>
      <c r="CB297" s="644">
        <f t="shared" si="162"/>
        <v>24</v>
      </c>
      <c r="CC297" s="658"/>
      <c r="CD297" s="644">
        <f t="shared" si="163"/>
        <v>24</v>
      </c>
      <c r="CE297" s="644">
        <f t="shared" si="164"/>
        <v>0</v>
      </c>
    </row>
    <row r="298" s="338" customFormat="1" ht="40" customHeight="1" spans="1:83">
      <c r="A298" s="632">
        <v>45821</v>
      </c>
      <c r="B298" s="633" t="s">
        <v>1587</v>
      </c>
      <c r="C298" s="634" t="s">
        <v>178</v>
      </c>
      <c r="D298" s="635">
        <v>4500169928</v>
      </c>
      <c r="E298" s="659" t="s">
        <v>1601</v>
      </c>
      <c r="F298" s="636" t="s">
        <v>1602</v>
      </c>
      <c r="G298" s="637" t="s">
        <v>189</v>
      </c>
      <c r="H298" s="637" t="s">
        <v>99</v>
      </c>
      <c r="I298" s="638">
        <v>24</v>
      </c>
      <c r="J298" s="638">
        <v>0</v>
      </c>
      <c r="K298" s="639">
        <v>24</v>
      </c>
      <c r="L298" s="639">
        <f t="shared" si="158"/>
        <v>1</v>
      </c>
      <c r="M298" s="641">
        <v>45856</v>
      </c>
      <c r="N298" s="641">
        <v>45852</v>
      </c>
      <c r="O298" s="641"/>
      <c r="P298" s="642" t="s">
        <v>100</v>
      </c>
      <c r="Q298" s="643" t="s">
        <v>1513</v>
      </c>
      <c r="R298" s="642" t="s">
        <v>1562</v>
      </c>
      <c r="S298" s="641"/>
      <c r="T298" s="641"/>
      <c r="U298" s="642" t="s">
        <v>493</v>
      </c>
      <c r="V298" s="642" t="s">
        <v>1563</v>
      </c>
      <c r="W298" s="645"/>
      <c r="X298" s="647" t="s">
        <v>1590</v>
      </c>
      <c r="Y298" s="646" t="s">
        <v>734</v>
      </c>
      <c r="Z298" s="648">
        <v>2.5135</v>
      </c>
      <c r="AA298" s="650">
        <f t="shared" si="159"/>
        <v>60.324</v>
      </c>
      <c r="AB298" s="649">
        <v>24</v>
      </c>
      <c r="AC298" s="649">
        <f t="shared" si="132"/>
        <v>0</v>
      </c>
      <c r="AD298" s="650" t="s">
        <v>123</v>
      </c>
      <c r="AE298" s="637" t="s">
        <v>190</v>
      </c>
      <c r="AF298" s="646" t="s">
        <v>107</v>
      </c>
      <c r="AG298" s="652" t="s">
        <v>43</v>
      </c>
      <c r="AH298" s="646"/>
      <c r="AI298" s="649"/>
      <c r="AJ298" s="649"/>
      <c r="AK298" s="649"/>
      <c r="AL298" s="649"/>
      <c r="AM298" s="649"/>
      <c r="AN298" s="649"/>
      <c r="AO298" s="649">
        <f t="shared" si="165"/>
        <v>24</v>
      </c>
      <c r="AP298" s="649"/>
      <c r="AQ298" s="653"/>
      <c r="AR298" s="649"/>
      <c r="AS298" s="649"/>
      <c r="AT298" s="652">
        <f t="shared" si="160"/>
        <v>24</v>
      </c>
      <c r="AU298" s="649"/>
      <c r="AV298" s="654"/>
      <c r="AW298" s="654"/>
      <c r="AX298" s="652"/>
      <c r="AY298" s="652"/>
      <c r="AZ298" s="654"/>
      <c r="BA298" s="652"/>
      <c r="BB298" s="652"/>
      <c r="BC298" s="654"/>
      <c r="BD298" s="654"/>
      <c r="BE298" s="654"/>
      <c r="BF298" s="654"/>
      <c r="BG298" s="652"/>
      <c r="BH298" s="652"/>
      <c r="BI298" s="654"/>
      <c r="BJ298" s="654"/>
      <c r="BK298" s="654"/>
      <c r="BL298" s="654"/>
      <c r="BM298" s="654"/>
      <c r="BN298" s="654"/>
      <c r="BO298" s="654"/>
      <c r="BP298" s="654"/>
      <c r="BQ298" s="654"/>
      <c r="BR298" s="654"/>
      <c r="BS298" s="654"/>
      <c r="BT298" s="654"/>
      <c r="BU298" s="654"/>
      <c r="BV298" s="654"/>
      <c r="BW298" s="645" t="s">
        <v>109</v>
      </c>
      <c r="BX298" s="658"/>
      <c r="BY298" s="658"/>
      <c r="BZ298" s="658"/>
      <c r="CA298" s="658">
        <f t="shared" si="161"/>
        <v>24</v>
      </c>
      <c r="CB298" s="644">
        <f t="shared" si="162"/>
        <v>24</v>
      </c>
      <c r="CC298" s="658"/>
      <c r="CD298" s="644">
        <f t="shared" si="163"/>
        <v>24</v>
      </c>
      <c r="CE298" s="644">
        <f t="shared" si="164"/>
        <v>0</v>
      </c>
    </row>
    <row r="299" s="338" customFormat="1" ht="40" customHeight="1" spans="1:83">
      <c r="A299" s="632">
        <v>45821</v>
      </c>
      <c r="B299" s="633" t="s">
        <v>1587</v>
      </c>
      <c r="C299" s="634" t="s">
        <v>178</v>
      </c>
      <c r="D299" s="635">
        <v>4500169928</v>
      </c>
      <c r="E299" s="659" t="s">
        <v>1603</v>
      </c>
      <c r="F299" s="636" t="s">
        <v>1604</v>
      </c>
      <c r="G299" s="637" t="s">
        <v>189</v>
      </c>
      <c r="H299" s="637" t="s">
        <v>99</v>
      </c>
      <c r="I299" s="638">
        <v>24</v>
      </c>
      <c r="J299" s="638">
        <v>0</v>
      </c>
      <c r="K299" s="639">
        <v>24</v>
      </c>
      <c r="L299" s="639">
        <f t="shared" si="158"/>
        <v>1</v>
      </c>
      <c r="M299" s="641">
        <v>45856</v>
      </c>
      <c r="N299" s="641">
        <v>45852</v>
      </c>
      <c r="O299" s="641"/>
      <c r="P299" s="642" t="s">
        <v>100</v>
      </c>
      <c r="Q299" s="643" t="s">
        <v>1513</v>
      </c>
      <c r="R299" s="642" t="s">
        <v>1562</v>
      </c>
      <c r="S299" s="641"/>
      <c r="T299" s="641"/>
      <c r="U299" s="642" t="s">
        <v>493</v>
      </c>
      <c r="V299" s="642" t="s">
        <v>1563</v>
      </c>
      <c r="W299" s="645"/>
      <c r="X299" s="647" t="s">
        <v>1590</v>
      </c>
      <c r="Y299" s="646" t="s">
        <v>734</v>
      </c>
      <c r="Z299" s="648">
        <v>2.5135</v>
      </c>
      <c r="AA299" s="650">
        <f t="shared" si="159"/>
        <v>60.324</v>
      </c>
      <c r="AB299" s="649">
        <v>24</v>
      </c>
      <c r="AC299" s="649">
        <f t="shared" si="132"/>
        <v>0</v>
      </c>
      <c r="AD299" s="650" t="s">
        <v>123</v>
      </c>
      <c r="AE299" s="637" t="s">
        <v>190</v>
      </c>
      <c r="AF299" s="646" t="s">
        <v>107</v>
      </c>
      <c r="AG299" s="652" t="s">
        <v>43</v>
      </c>
      <c r="AH299" s="646"/>
      <c r="AI299" s="649"/>
      <c r="AJ299" s="649"/>
      <c r="AK299" s="649"/>
      <c r="AL299" s="649"/>
      <c r="AM299" s="649"/>
      <c r="AN299" s="649"/>
      <c r="AO299" s="649">
        <f t="shared" si="165"/>
        <v>24</v>
      </c>
      <c r="AP299" s="649"/>
      <c r="AQ299" s="653"/>
      <c r="AR299" s="649"/>
      <c r="AS299" s="649"/>
      <c r="AT299" s="652">
        <f t="shared" si="160"/>
        <v>24</v>
      </c>
      <c r="AU299" s="649"/>
      <c r="AV299" s="654"/>
      <c r="AW299" s="654"/>
      <c r="AX299" s="652"/>
      <c r="AY299" s="652"/>
      <c r="AZ299" s="654"/>
      <c r="BA299" s="652"/>
      <c r="BB299" s="652"/>
      <c r="BC299" s="654"/>
      <c r="BD299" s="654"/>
      <c r="BE299" s="654"/>
      <c r="BF299" s="654"/>
      <c r="BG299" s="652"/>
      <c r="BH299" s="652"/>
      <c r="BI299" s="654"/>
      <c r="BJ299" s="654"/>
      <c r="BK299" s="654"/>
      <c r="BL299" s="654"/>
      <c r="BM299" s="654"/>
      <c r="BN299" s="654"/>
      <c r="BO299" s="654"/>
      <c r="BP299" s="654"/>
      <c r="BQ299" s="654"/>
      <c r="BR299" s="654"/>
      <c r="BS299" s="654"/>
      <c r="BT299" s="654"/>
      <c r="BU299" s="654"/>
      <c r="BV299" s="654"/>
      <c r="BW299" s="645" t="s">
        <v>109</v>
      </c>
      <c r="BX299" s="658"/>
      <c r="BY299" s="658"/>
      <c r="BZ299" s="658"/>
      <c r="CA299" s="658">
        <f t="shared" si="161"/>
        <v>24</v>
      </c>
      <c r="CB299" s="644">
        <f t="shared" si="162"/>
        <v>24</v>
      </c>
      <c r="CC299" s="658"/>
      <c r="CD299" s="644">
        <f t="shared" si="163"/>
        <v>24</v>
      </c>
      <c r="CE299" s="644">
        <f t="shared" si="164"/>
        <v>0</v>
      </c>
    </row>
    <row r="300" s="338" customFormat="1" ht="40" customHeight="1" spans="1:83">
      <c r="A300" s="632">
        <v>45821</v>
      </c>
      <c r="B300" s="633" t="s">
        <v>1587</v>
      </c>
      <c r="C300" s="634" t="s">
        <v>178</v>
      </c>
      <c r="D300" s="635">
        <v>4500169928</v>
      </c>
      <c r="E300" s="659" t="s">
        <v>1605</v>
      </c>
      <c r="F300" s="636" t="s">
        <v>1606</v>
      </c>
      <c r="G300" s="637" t="s">
        <v>189</v>
      </c>
      <c r="H300" s="637" t="s">
        <v>99</v>
      </c>
      <c r="I300" s="638">
        <v>24</v>
      </c>
      <c r="J300" s="638">
        <v>0</v>
      </c>
      <c r="K300" s="639">
        <v>24</v>
      </c>
      <c r="L300" s="639">
        <f t="shared" si="158"/>
        <v>1</v>
      </c>
      <c r="M300" s="641">
        <v>45856</v>
      </c>
      <c r="N300" s="641">
        <v>45852</v>
      </c>
      <c r="O300" s="641"/>
      <c r="P300" s="642" t="s">
        <v>100</v>
      </c>
      <c r="Q300" s="643" t="s">
        <v>1513</v>
      </c>
      <c r="R300" s="642" t="s">
        <v>1562</v>
      </c>
      <c r="S300" s="641"/>
      <c r="T300" s="641"/>
      <c r="U300" s="642" t="s">
        <v>493</v>
      </c>
      <c r="V300" s="642" t="s">
        <v>1563</v>
      </c>
      <c r="W300" s="645"/>
      <c r="X300" s="647" t="s">
        <v>1590</v>
      </c>
      <c r="Y300" s="646" t="s">
        <v>734</v>
      </c>
      <c r="Z300" s="648">
        <v>2.5135</v>
      </c>
      <c r="AA300" s="650">
        <f t="shared" si="159"/>
        <v>60.324</v>
      </c>
      <c r="AB300" s="649">
        <v>24</v>
      </c>
      <c r="AC300" s="649">
        <f t="shared" si="132"/>
        <v>0</v>
      </c>
      <c r="AD300" s="650" t="s">
        <v>123</v>
      </c>
      <c r="AE300" s="637" t="s">
        <v>190</v>
      </c>
      <c r="AF300" s="646" t="s">
        <v>107</v>
      </c>
      <c r="AG300" s="652" t="s">
        <v>43</v>
      </c>
      <c r="AH300" s="646"/>
      <c r="AI300" s="649"/>
      <c r="AJ300" s="649"/>
      <c r="AK300" s="649"/>
      <c r="AL300" s="649"/>
      <c r="AM300" s="649"/>
      <c r="AN300" s="649"/>
      <c r="AO300" s="649">
        <f t="shared" si="165"/>
        <v>24</v>
      </c>
      <c r="AP300" s="649"/>
      <c r="AQ300" s="653"/>
      <c r="AR300" s="649"/>
      <c r="AS300" s="649"/>
      <c r="AT300" s="652">
        <f t="shared" ref="AT300:AT318" si="166">I300</f>
        <v>24</v>
      </c>
      <c r="AU300" s="649"/>
      <c r="AV300" s="654"/>
      <c r="AW300" s="654"/>
      <c r="AX300" s="652"/>
      <c r="AY300" s="652"/>
      <c r="AZ300" s="654"/>
      <c r="BA300" s="652"/>
      <c r="BB300" s="652"/>
      <c r="BC300" s="654"/>
      <c r="BD300" s="654"/>
      <c r="BE300" s="654"/>
      <c r="BF300" s="654"/>
      <c r="BG300" s="652"/>
      <c r="BH300" s="652"/>
      <c r="BI300" s="654"/>
      <c r="BJ300" s="654"/>
      <c r="BK300" s="654"/>
      <c r="BL300" s="654"/>
      <c r="BM300" s="654"/>
      <c r="BN300" s="654"/>
      <c r="BO300" s="654"/>
      <c r="BP300" s="654"/>
      <c r="BQ300" s="654"/>
      <c r="BR300" s="654"/>
      <c r="BS300" s="654"/>
      <c r="BT300" s="654"/>
      <c r="BU300" s="654"/>
      <c r="BV300" s="654"/>
      <c r="BW300" s="645" t="s">
        <v>109</v>
      </c>
      <c r="BX300" s="658"/>
      <c r="BY300" s="658"/>
      <c r="BZ300" s="658"/>
      <c r="CA300" s="658">
        <f t="shared" si="161"/>
        <v>24</v>
      </c>
      <c r="CB300" s="644">
        <f t="shared" si="162"/>
        <v>24</v>
      </c>
      <c r="CC300" s="658"/>
      <c r="CD300" s="644">
        <f t="shared" si="163"/>
        <v>24</v>
      </c>
      <c r="CE300" s="644">
        <f t="shared" si="164"/>
        <v>0</v>
      </c>
    </row>
    <row r="301" s="338" customFormat="1" ht="40" customHeight="1" spans="1:83">
      <c r="A301" s="632">
        <v>45821</v>
      </c>
      <c r="B301" s="633" t="s">
        <v>1587</v>
      </c>
      <c r="C301" s="634" t="s">
        <v>178</v>
      </c>
      <c r="D301" s="635">
        <v>4500169928</v>
      </c>
      <c r="E301" s="659" t="s">
        <v>1607</v>
      </c>
      <c r="F301" s="636" t="s">
        <v>1608</v>
      </c>
      <c r="G301" s="637" t="s">
        <v>159</v>
      </c>
      <c r="H301" s="637" t="s">
        <v>99</v>
      </c>
      <c r="I301" s="638">
        <v>48</v>
      </c>
      <c r="J301" s="638">
        <v>0</v>
      </c>
      <c r="K301" s="639">
        <v>24</v>
      </c>
      <c r="L301" s="639">
        <f t="shared" si="158"/>
        <v>2</v>
      </c>
      <c r="M301" s="641">
        <v>45856</v>
      </c>
      <c r="N301" s="641">
        <v>45852</v>
      </c>
      <c r="O301" s="641"/>
      <c r="P301" s="642" t="s">
        <v>100</v>
      </c>
      <c r="Q301" s="643" t="s">
        <v>1513</v>
      </c>
      <c r="R301" s="642" t="s">
        <v>1562</v>
      </c>
      <c r="S301" s="641"/>
      <c r="T301" s="641"/>
      <c r="U301" s="642" t="s">
        <v>493</v>
      </c>
      <c r="V301" s="642" t="s">
        <v>1563</v>
      </c>
      <c r="W301" s="645"/>
      <c r="X301" s="647" t="s">
        <v>1590</v>
      </c>
      <c r="Y301" s="646" t="s">
        <v>734</v>
      </c>
      <c r="Z301" s="648">
        <v>2.5135</v>
      </c>
      <c r="AA301" s="650">
        <f t="shared" ref="AA301:AA325" si="167">I301*Z301</f>
        <v>120.648</v>
      </c>
      <c r="AB301" s="649">
        <v>48</v>
      </c>
      <c r="AC301" s="649">
        <f t="shared" si="132"/>
        <v>0</v>
      </c>
      <c r="AD301" s="650" t="s">
        <v>106</v>
      </c>
      <c r="AE301" s="637" t="s">
        <v>166</v>
      </c>
      <c r="AF301" s="646" t="s">
        <v>107</v>
      </c>
      <c r="AG301" s="652" t="s">
        <v>43</v>
      </c>
      <c r="AH301" s="646"/>
      <c r="AI301" s="649"/>
      <c r="AJ301" s="649"/>
      <c r="AK301" s="649"/>
      <c r="AL301" s="649"/>
      <c r="AM301" s="649"/>
      <c r="AN301" s="649"/>
      <c r="AO301" s="649">
        <f t="shared" si="165"/>
        <v>48</v>
      </c>
      <c r="AP301" s="649"/>
      <c r="AQ301" s="653"/>
      <c r="AR301" s="649"/>
      <c r="AS301" s="649"/>
      <c r="AT301" s="652">
        <f t="shared" si="166"/>
        <v>48</v>
      </c>
      <c r="AU301" s="649"/>
      <c r="AV301" s="654"/>
      <c r="AW301" s="654"/>
      <c r="AX301" s="652"/>
      <c r="AY301" s="652"/>
      <c r="AZ301" s="654"/>
      <c r="BA301" s="652"/>
      <c r="BB301" s="652"/>
      <c r="BC301" s="654"/>
      <c r="BD301" s="654"/>
      <c r="BE301" s="654"/>
      <c r="BF301" s="654"/>
      <c r="BG301" s="652"/>
      <c r="BH301" s="652"/>
      <c r="BI301" s="654"/>
      <c r="BJ301" s="654"/>
      <c r="BK301" s="654"/>
      <c r="BL301" s="654"/>
      <c r="BM301" s="654"/>
      <c r="BN301" s="654"/>
      <c r="BO301" s="654"/>
      <c r="BP301" s="654"/>
      <c r="BQ301" s="654"/>
      <c r="BR301" s="654"/>
      <c r="BS301" s="654"/>
      <c r="BT301" s="654"/>
      <c r="BU301" s="654"/>
      <c r="BV301" s="654"/>
      <c r="BW301" s="645" t="s">
        <v>109</v>
      </c>
      <c r="BX301" s="658"/>
      <c r="BY301" s="658">
        <f t="shared" ref="BY301:BY309" si="168">I301</f>
        <v>48</v>
      </c>
      <c r="BZ301" s="658"/>
      <c r="CA301" s="658"/>
      <c r="CB301" s="644">
        <f t="shared" ref="CB301:CB309" si="169">I301</f>
        <v>48</v>
      </c>
      <c r="CC301" s="658"/>
      <c r="CD301" s="644">
        <f t="shared" ref="CD301:CD309" si="170">SUM(BX301:CA301)</f>
        <v>48</v>
      </c>
      <c r="CE301" s="644">
        <f t="shared" ref="CE301:CE309" si="171">I301-CD301</f>
        <v>0</v>
      </c>
    </row>
    <row r="302" s="338" customFormat="1" ht="40" customHeight="1" spans="1:83">
      <c r="A302" s="632">
        <v>45821</v>
      </c>
      <c r="B302" s="633" t="s">
        <v>1587</v>
      </c>
      <c r="C302" s="634" t="s">
        <v>178</v>
      </c>
      <c r="D302" s="635">
        <v>4500169928</v>
      </c>
      <c r="E302" s="659" t="s">
        <v>1609</v>
      </c>
      <c r="F302" s="636" t="s">
        <v>1610</v>
      </c>
      <c r="G302" s="637" t="s">
        <v>159</v>
      </c>
      <c r="H302" s="637" t="s">
        <v>99</v>
      </c>
      <c r="I302" s="638">
        <v>48</v>
      </c>
      <c r="J302" s="638">
        <v>0</v>
      </c>
      <c r="K302" s="639">
        <v>24</v>
      </c>
      <c r="L302" s="639">
        <f t="shared" si="158"/>
        <v>2</v>
      </c>
      <c r="M302" s="641">
        <v>45856</v>
      </c>
      <c r="N302" s="641">
        <v>45852</v>
      </c>
      <c r="O302" s="641"/>
      <c r="P302" s="642" t="s">
        <v>100</v>
      </c>
      <c r="Q302" s="643" t="s">
        <v>1513</v>
      </c>
      <c r="R302" s="642" t="s">
        <v>1562</v>
      </c>
      <c r="S302" s="641"/>
      <c r="T302" s="641"/>
      <c r="U302" s="642" t="s">
        <v>493</v>
      </c>
      <c r="V302" s="642" t="s">
        <v>1563</v>
      </c>
      <c r="W302" s="645"/>
      <c r="X302" s="647" t="s">
        <v>1590</v>
      </c>
      <c r="Y302" s="646" t="s">
        <v>734</v>
      </c>
      <c r="Z302" s="648">
        <v>2.5135</v>
      </c>
      <c r="AA302" s="650">
        <f t="shared" si="167"/>
        <v>120.648</v>
      </c>
      <c r="AB302" s="649">
        <v>48</v>
      </c>
      <c r="AC302" s="649">
        <f t="shared" ref="AC302:AC365" si="172">AB302-I302</f>
        <v>0</v>
      </c>
      <c r="AD302" s="650" t="s">
        <v>106</v>
      </c>
      <c r="AE302" s="637" t="s">
        <v>166</v>
      </c>
      <c r="AF302" s="646" t="s">
        <v>107</v>
      </c>
      <c r="AG302" s="652" t="s">
        <v>43</v>
      </c>
      <c r="AH302" s="646"/>
      <c r="AI302" s="649"/>
      <c r="AJ302" s="649"/>
      <c r="AK302" s="649"/>
      <c r="AL302" s="649"/>
      <c r="AM302" s="649"/>
      <c r="AN302" s="649"/>
      <c r="AO302" s="649">
        <f t="shared" ref="AO302:AO310" si="173">I302</f>
        <v>48</v>
      </c>
      <c r="AP302" s="649"/>
      <c r="AQ302" s="653"/>
      <c r="AR302" s="649"/>
      <c r="AS302" s="649"/>
      <c r="AT302" s="652">
        <f t="shared" si="166"/>
        <v>48</v>
      </c>
      <c r="AU302" s="649"/>
      <c r="AV302" s="654"/>
      <c r="AW302" s="654"/>
      <c r="AX302" s="652"/>
      <c r="AY302" s="652"/>
      <c r="AZ302" s="654"/>
      <c r="BA302" s="652"/>
      <c r="BB302" s="652"/>
      <c r="BC302" s="654"/>
      <c r="BD302" s="654"/>
      <c r="BE302" s="654"/>
      <c r="BF302" s="654"/>
      <c r="BG302" s="652"/>
      <c r="BH302" s="652"/>
      <c r="BI302" s="654"/>
      <c r="BJ302" s="654"/>
      <c r="BK302" s="654"/>
      <c r="BL302" s="654"/>
      <c r="BM302" s="654"/>
      <c r="BN302" s="654"/>
      <c r="BO302" s="654"/>
      <c r="BP302" s="654"/>
      <c r="BQ302" s="654"/>
      <c r="BR302" s="654"/>
      <c r="BS302" s="654"/>
      <c r="BT302" s="654"/>
      <c r="BU302" s="654"/>
      <c r="BV302" s="654"/>
      <c r="BW302" s="645" t="s">
        <v>109</v>
      </c>
      <c r="BX302" s="658"/>
      <c r="BY302" s="658">
        <f t="shared" si="168"/>
        <v>48</v>
      </c>
      <c r="BZ302" s="658"/>
      <c r="CA302" s="658"/>
      <c r="CB302" s="644">
        <f t="shared" si="169"/>
        <v>48</v>
      </c>
      <c r="CC302" s="658"/>
      <c r="CD302" s="644">
        <f t="shared" si="170"/>
        <v>48</v>
      </c>
      <c r="CE302" s="644">
        <f t="shared" si="171"/>
        <v>0</v>
      </c>
    </row>
    <row r="303" s="338" customFormat="1" ht="40" customHeight="1" spans="1:83">
      <c r="A303" s="632">
        <v>45821</v>
      </c>
      <c r="B303" s="633" t="s">
        <v>1587</v>
      </c>
      <c r="C303" s="634" t="s">
        <v>178</v>
      </c>
      <c r="D303" s="635">
        <v>4500169928</v>
      </c>
      <c r="E303" s="659" t="s">
        <v>1611</v>
      </c>
      <c r="F303" s="636" t="s">
        <v>1612</v>
      </c>
      <c r="G303" s="637" t="s">
        <v>159</v>
      </c>
      <c r="H303" s="637" t="s">
        <v>99</v>
      </c>
      <c r="I303" s="638">
        <v>24</v>
      </c>
      <c r="J303" s="638">
        <v>0</v>
      </c>
      <c r="K303" s="639">
        <v>24</v>
      </c>
      <c r="L303" s="639">
        <f t="shared" ref="L303:L309" si="174">I303/K303</f>
        <v>1</v>
      </c>
      <c r="M303" s="641">
        <v>45856</v>
      </c>
      <c r="N303" s="641">
        <v>45852</v>
      </c>
      <c r="O303" s="641"/>
      <c r="P303" s="642" t="s">
        <v>100</v>
      </c>
      <c r="Q303" s="643" t="s">
        <v>1513</v>
      </c>
      <c r="R303" s="642" t="s">
        <v>1562</v>
      </c>
      <c r="S303" s="641"/>
      <c r="T303" s="641"/>
      <c r="U303" s="642" t="s">
        <v>493</v>
      </c>
      <c r="V303" s="642" t="s">
        <v>1563</v>
      </c>
      <c r="W303" s="645"/>
      <c r="X303" s="647" t="s">
        <v>1590</v>
      </c>
      <c r="Y303" s="646" t="s">
        <v>734</v>
      </c>
      <c r="Z303" s="648">
        <v>2.5135</v>
      </c>
      <c r="AA303" s="650">
        <f t="shared" si="167"/>
        <v>60.324</v>
      </c>
      <c r="AB303" s="649">
        <v>24</v>
      </c>
      <c r="AC303" s="649">
        <f t="shared" si="172"/>
        <v>0</v>
      </c>
      <c r="AD303" s="650" t="s">
        <v>106</v>
      </c>
      <c r="AE303" s="637" t="s">
        <v>166</v>
      </c>
      <c r="AF303" s="646" t="s">
        <v>107</v>
      </c>
      <c r="AG303" s="652" t="s">
        <v>43</v>
      </c>
      <c r="AH303" s="646"/>
      <c r="AI303" s="649"/>
      <c r="AJ303" s="649"/>
      <c r="AK303" s="649"/>
      <c r="AL303" s="649"/>
      <c r="AM303" s="649"/>
      <c r="AN303" s="649"/>
      <c r="AO303" s="649">
        <f t="shared" si="173"/>
        <v>24</v>
      </c>
      <c r="AP303" s="649"/>
      <c r="AQ303" s="653"/>
      <c r="AR303" s="649"/>
      <c r="AS303" s="649"/>
      <c r="AT303" s="652">
        <f t="shared" si="166"/>
        <v>24</v>
      </c>
      <c r="AU303" s="649"/>
      <c r="AV303" s="654"/>
      <c r="AW303" s="654"/>
      <c r="AX303" s="652"/>
      <c r="AY303" s="652"/>
      <c r="AZ303" s="654"/>
      <c r="BA303" s="652"/>
      <c r="BB303" s="652"/>
      <c r="BC303" s="654"/>
      <c r="BD303" s="654"/>
      <c r="BE303" s="654"/>
      <c r="BF303" s="654"/>
      <c r="BG303" s="652"/>
      <c r="BH303" s="652"/>
      <c r="BI303" s="654"/>
      <c r="BJ303" s="654"/>
      <c r="BK303" s="654"/>
      <c r="BL303" s="654"/>
      <c r="BM303" s="654"/>
      <c r="BN303" s="654"/>
      <c r="BO303" s="654"/>
      <c r="BP303" s="654"/>
      <c r="BQ303" s="654"/>
      <c r="BR303" s="654"/>
      <c r="BS303" s="654"/>
      <c r="BT303" s="654"/>
      <c r="BU303" s="654"/>
      <c r="BV303" s="654"/>
      <c r="BW303" s="645" t="s">
        <v>109</v>
      </c>
      <c r="BX303" s="658"/>
      <c r="BY303" s="658">
        <f t="shared" si="168"/>
        <v>24</v>
      </c>
      <c r="BZ303" s="658"/>
      <c r="CA303" s="658"/>
      <c r="CB303" s="644">
        <f t="shared" si="169"/>
        <v>24</v>
      </c>
      <c r="CC303" s="658"/>
      <c r="CD303" s="644">
        <f t="shared" si="170"/>
        <v>24</v>
      </c>
      <c r="CE303" s="644">
        <f t="shared" si="171"/>
        <v>0</v>
      </c>
    </row>
    <row r="304" s="338" customFormat="1" ht="40" customHeight="1" spans="1:83">
      <c r="A304" s="632">
        <v>45821</v>
      </c>
      <c r="B304" s="633" t="s">
        <v>1587</v>
      </c>
      <c r="C304" s="634" t="s">
        <v>178</v>
      </c>
      <c r="D304" s="635">
        <v>4500169928</v>
      </c>
      <c r="E304" s="659" t="s">
        <v>1613</v>
      </c>
      <c r="F304" s="636" t="s">
        <v>1614</v>
      </c>
      <c r="G304" s="637" t="s">
        <v>159</v>
      </c>
      <c r="H304" s="637" t="s">
        <v>99</v>
      </c>
      <c r="I304" s="638">
        <v>24</v>
      </c>
      <c r="J304" s="638">
        <v>0</v>
      </c>
      <c r="K304" s="639">
        <v>24</v>
      </c>
      <c r="L304" s="639">
        <f t="shared" si="174"/>
        <v>1</v>
      </c>
      <c r="M304" s="641">
        <v>45856</v>
      </c>
      <c r="N304" s="641">
        <v>45852</v>
      </c>
      <c r="O304" s="641"/>
      <c r="P304" s="642" t="s">
        <v>100</v>
      </c>
      <c r="Q304" s="643" t="s">
        <v>1513</v>
      </c>
      <c r="R304" s="642" t="s">
        <v>1562</v>
      </c>
      <c r="S304" s="641"/>
      <c r="T304" s="641"/>
      <c r="U304" s="642" t="s">
        <v>493</v>
      </c>
      <c r="V304" s="642" t="s">
        <v>1563</v>
      </c>
      <c r="W304" s="645"/>
      <c r="X304" s="647" t="s">
        <v>1590</v>
      </c>
      <c r="Y304" s="646" t="s">
        <v>734</v>
      </c>
      <c r="Z304" s="648">
        <v>2.5135</v>
      </c>
      <c r="AA304" s="650">
        <f t="shared" si="167"/>
        <v>60.324</v>
      </c>
      <c r="AB304" s="649">
        <v>24</v>
      </c>
      <c r="AC304" s="649">
        <f t="shared" si="172"/>
        <v>0</v>
      </c>
      <c r="AD304" s="650" t="s">
        <v>106</v>
      </c>
      <c r="AE304" s="637" t="s">
        <v>166</v>
      </c>
      <c r="AF304" s="646" t="s">
        <v>107</v>
      </c>
      <c r="AG304" s="652" t="s">
        <v>43</v>
      </c>
      <c r="AH304" s="646"/>
      <c r="AI304" s="649"/>
      <c r="AJ304" s="649"/>
      <c r="AK304" s="649"/>
      <c r="AL304" s="649"/>
      <c r="AM304" s="649"/>
      <c r="AN304" s="649"/>
      <c r="AO304" s="649">
        <f t="shared" si="173"/>
        <v>24</v>
      </c>
      <c r="AP304" s="649"/>
      <c r="AQ304" s="653"/>
      <c r="AR304" s="649"/>
      <c r="AS304" s="649"/>
      <c r="AT304" s="652">
        <f t="shared" si="166"/>
        <v>24</v>
      </c>
      <c r="AU304" s="649"/>
      <c r="AV304" s="654"/>
      <c r="AW304" s="654"/>
      <c r="AX304" s="652"/>
      <c r="AY304" s="652"/>
      <c r="AZ304" s="654"/>
      <c r="BA304" s="652"/>
      <c r="BB304" s="652"/>
      <c r="BC304" s="654"/>
      <c r="BD304" s="654"/>
      <c r="BE304" s="654"/>
      <c r="BF304" s="654"/>
      <c r="BG304" s="652"/>
      <c r="BH304" s="652"/>
      <c r="BI304" s="654"/>
      <c r="BJ304" s="654"/>
      <c r="BK304" s="654"/>
      <c r="BL304" s="654"/>
      <c r="BM304" s="654"/>
      <c r="BN304" s="654"/>
      <c r="BO304" s="654"/>
      <c r="BP304" s="654"/>
      <c r="BQ304" s="654"/>
      <c r="BR304" s="654"/>
      <c r="BS304" s="654"/>
      <c r="BT304" s="654"/>
      <c r="BU304" s="654"/>
      <c r="BV304" s="654"/>
      <c r="BW304" s="645" t="s">
        <v>109</v>
      </c>
      <c r="BX304" s="658"/>
      <c r="BY304" s="658">
        <f t="shared" si="168"/>
        <v>24</v>
      </c>
      <c r="BZ304" s="658"/>
      <c r="CA304" s="658"/>
      <c r="CB304" s="644">
        <f t="shared" si="169"/>
        <v>24</v>
      </c>
      <c r="CC304" s="658"/>
      <c r="CD304" s="644">
        <f t="shared" si="170"/>
        <v>24</v>
      </c>
      <c r="CE304" s="644">
        <f t="shared" si="171"/>
        <v>0</v>
      </c>
    </row>
    <row r="305" s="338" customFormat="1" ht="40" customHeight="1" spans="1:83">
      <c r="A305" s="632">
        <v>45821</v>
      </c>
      <c r="B305" s="633" t="s">
        <v>1587</v>
      </c>
      <c r="C305" s="634" t="s">
        <v>178</v>
      </c>
      <c r="D305" s="635">
        <v>4500169928</v>
      </c>
      <c r="E305" s="659" t="s">
        <v>1615</v>
      </c>
      <c r="F305" s="636" t="s">
        <v>1616</v>
      </c>
      <c r="G305" s="637" t="s">
        <v>159</v>
      </c>
      <c r="H305" s="637" t="s">
        <v>99</v>
      </c>
      <c r="I305" s="638">
        <v>24</v>
      </c>
      <c r="J305" s="638">
        <v>0</v>
      </c>
      <c r="K305" s="639">
        <v>24</v>
      </c>
      <c r="L305" s="639">
        <f t="shared" si="174"/>
        <v>1</v>
      </c>
      <c r="M305" s="641">
        <v>45856</v>
      </c>
      <c r="N305" s="641">
        <v>45852</v>
      </c>
      <c r="O305" s="641"/>
      <c r="P305" s="642" t="s">
        <v>100</v>
      </c>
      <c r="Q305" s="643" t="s">
        <v>1513</v>
      </c>
      <c r="R305" s="642" t="s">
        <v>1562</v>
      </c>
      <c r="S305" s="641"/>
      <c r="T305" s="641"/>
      <c r="U305" s="642" t="s">
        <v>493</v>
      </c>
      <c r="V305" s="642" t="s">
        <v>1563</v>
      </c>
      <c r="W305" s="645"/>
      <c r="X305" s="647" t="s">
        <v>1590</v>
      </c>
      <c r="Y305" s="646" t="s">
        <v>734</v>
      </c>
      <c r="Z305" s="648">
        <v>2.5135</v>
      </c>
      <c r="AA305" s="650">
        <f t="shared" si="167"/>
        <v>60.324</v>
      </c>
      <c r="AB305" s="649">
        <v>24</v>
      </c>
      <c r="AC305" s="649">
        <f t="shared" si="172"/>
        <v>0</v>
      </c>
      <c r="AD305" s="650" t="s">
        <v>106</v>
      </c>
      <c r="AE305" s="637" t="s">
        <v>166</v>
      </c>
      <c r="AF305" s="646" t="s">
        <v>107</v>
      </c>
      <c r="AG305" s="652" t="s">
        <v>43</v>
      </c>
      <c r="AH305" s="646"/>
      <c r="AI305" s="649"/>
      <c r="AJ305" s="649"/>
      <c r="AK305" s="649"/>
      <c r="AL305" s="649"/>
      <c r="AM305" s="649"/>
      <c r="AN305" s="649"/>
      <c r="AO305" s="649">
        <f t="shared" si="173"/>
        <v>24</v>
      </c>
      <c r="AP305" s="649"/>
      <c r="AQ305" s="653"/>
      <c r="AR305" s="649"/>
      <c r="AS305" s="649"/>
      <c r="AT305" s="652">
        <f t="shared" si="166"/>
        <v>24</v>
      </c>
      <c r="AU305" s="649"/>
      <c r="AV305" s="654"/>
      <c r="AW305" s="654"/>
      <c r="AX305" s="652"/>
      <c r="AY305" s="652"/>
      <c r="AZ305" s="654"/>
      <c r="BA305" s="652"/>
      <c r="BB305" s="652"/>
      <c r="BC305" s="654"/>
      <c r="BD305" s="654"/>
      <c r="BE305" s="654"/>
      <c r="BF305" s="654"/>
      <c r="BG305" s="652"/>
      <c r="BH305" s="652"/>
      <c r="BI305" s="654"/>
      <c r="BJ305" s="654"/>
      <c r="BK305" s="654"/>
      <c r="BL305" s="654"/>
      <c r="BM305" s="654"/>
      <c r="BN305" s="654"/>
      <c r="BO305" s="654"/>
      <c r="BP305" s="654"/>
      <c r="BQ305" s="654"/>
      <c r="BR305" s="654"/>
      <c r="BS305" s="654"/>
      <c r="BT305" s="654"/>
      <c r="BU305" s="654"/>
      <c r="BV305" s="654"/>
      <c r="BW305" s="645" t="s">
        <v>109</v>
      </c>
      <c r="BX305" s="658"/>
      <c r="BY305" s="658">
        <f t="shared" si="168"/>
        <v>24</v>
      </c>
      <c r="BZ305" s="658"/>
      <c r="CA305" s="658"/>
      <c r="CB305" s="644">
        <f t="shared" si="169"/>
        <v>24</v>
      </c>
      <c r="CC305" s="658"/>
      <c r="CD305" s="644">
        <f t="shared" si="170"/>
        <v>24</v>
      </c>
      <c r="CE305" s="644">
        <f t="shared" si="171"/>
        <v>0</v>
      </c>
    </row>
    <row r="306" s="338" customFormat="1" ht="40" customHeight="1" spans="1:83">
      <c r="A306" s="632">
        <v>45821</v>
      </c>
      <c r="B306" s="633" t="s">
        <v>1587</v>
      </c>
      <c r="C306" s="634" t="s">
        <v>178</v>
      </c>
      <c r="D306" s="635">
        <v>4500169928</v>
      </c>
      <c r="E306" s="659" t="s">
        <v>1617</v>
      </c>
      <c r="F306" s="636" t="s">
        <v>1618</v>
      </c>
      <c r="G306" s="637" t="s">
        <v>159</v>
      </c>
      <c r="H306" s="637" t="s">
        <v>99</v>
      </c>
      <c r="I306" s="638">
        <v>48</v>
      </c>
      <c r="J306" s="638">
        <v>0</v>
      </c>
      <c r="K306" s="639">
        <v>24</v>
      </c>
      <c r="L306" s="639">
        <f t="shared" si="174"/>
        <v>2</v>
      </c>
      <c r="M306" s="641">
        <v>45856</v>
      </c>
      <c r="N306" s="641">
        <v>45852</v>
      </c>
      <c r="O306" s="641"/>
      <c r="P306" s="642" t="s">
        <v>100</v>
      </c>
      <c r="Q306" s="643" t="s">
        <v>1513</v>
      </c>
      <c r="R306" s="642" t="s">
        <v>1562</v>
      </c>
      <c r="S306" s="641"/>
      <c r="T306" s="641"/>
      <c r="U306" s="642" t="s">
        <v>493</v>
      </c>
      <c r="V306" s="642" t="s">
        <v>1563</v>
      </c>
      <c r="W306" s="645"/>
      <c r="X306" s="647" t="s">
        <v>1590</v>
      </c>
      <c r="Y306" s="646" t="s">
        <v>734</v>
      </c>
      <c r="Z306" s="648">
        <v>2.5135</v>
      </c>
      <c r="AA306" s="650">
        <f t="shared" si="167"/>
        <v>120.648</v>
      </c>
      <c r="AB306" s="649">
        <v>48</v>
      </c>
      <c r="AC306" s="649">
        <f t="shared" si="172"/>
        <v>0</v>
      </c>
      <c r="AD306" s="650" t="s">
        <v>106</v>
      </c>
      <c r="AE306" s="637" t="s">
        <v>166</v>
      </c>
      <c r="AF306" s="646" t="s">
        <v>107</v>
      </c>
      <c r="AG306" s="652" t="s">
        <v>43</v>
      </c>
      <c r="AH306" s="646"/>
      <c r="AI306" s="649"/>
      <c r="AJ306" s="649"/>
      <c r="AK306" s="649"/>
      <c r="AL306" s="649"/>
      <c r="AM306" s="649"/>
      <c r="AN306" s="649"/>
      <c r="AO306" s="649">
        <f t="shared" si="173"/>
        <v>48</v>
      </c>
      <c r="AP306" s="649"/>
      <c r="AQ306" s="653"/>
      <c r="AR306" s="649"/>
      <c r="AS306" s="649"/>
      <c r="AT306" s="652">
        <f t="shared" si="166"/>
        <v>48</v>
      </c>
      <c r="AU306" s="649"/>
      <c r="AV306" s="654"/>
      <c r="AW306" s="654"/>
      <c r="AX306" s="652"/>
      <c r="AY306" s="652"/>
      <c r="AZ306" s="654"/>
      <c r="BA306" s="652"/>
      <c r="BB306" s="652"/>
      <c r="BC306" s="654"/>
      <c r="BD306" s="654"/>
      <c r="BE306" s="654"/>
      <c r="BF306" s="654"/>
      <c r="BG306" s="652"/>
      <c r="BH306" s="652"/>
      <c r="BI306" s="654"/>
      <c r="BJ306" s="654"/>
      <c r="BK306" s="654"/>
      <c r="BL306" s="654"/>
      <c r="BM306" s="654"/>
      <c r="BN306" s="654"/>
      <c r="BO306" s="654"/>
      <c r="BP306" s="654"/>
      <c r="BQ306" s="654"/>
      <c r="BR306" s="654"/>
      <c r="BS306" s="654"/>
      <c r="BT306" s="654"/>
      <c r="BU306" s="654"/>
      <c r="BV306" s="654"/>
      <c r="BW306" s="645" t="s">
        <v>109</v>
      </c>
      <c r="BX306" s="658"/>
      <c r="BY306" s="658">
        <f t="shared" si="168"/>
        <v>48</v>
      </c>
      <c r="BZ306" s="658"/>
      <c r="CA306" s="658"/>
      <c r="CB306" s="644">
        <f t="shared" si="169"/>
        <v>48</v>
      </c>
      <c r="CC306" s="658"/>
      <c r="CD306" s="644">
        <f t="shared" si="170"/>
        <v>48</v>
      </c>
      <c r="CE306" s="644">
        <f t="shared" si="171"/>
        <v>0</v>
      </c>
    </row>
    <row r="307" s="338" customFormat="1" ht="40" customHeight="1" spans="1:83">
      <c r="A307" s="632">
        <v>45821</v>
      </c>
      <c r="B307" s="633" t="s">
        <v>1587</v>
      </c>
      <c r="C307" s="634" t="s">
        <v>178</v>
      </c>
      <c r="D307" s="635">
        <v>4500169928</v>
      </c>
      <c r="E307" s="659" t="s">
        <v>1619</v>
      </c>
      <c r="F307" s="636" t="s">
        <v>1620</v>
      </c>
      <c r="G307" s="637" t="s">
        <v>159</v>
      </c>
      <c r="H307" s="637" t="s">
        <v>99</v>
      </c>
      <c r="I307" s="638">
        <v>24</v>
      </c>
      <c r="J307" s="638">
        <v>0</v>
      </c>
      <c r="K307" s="639">
        <v>24</v>
      </c>
      <c r="L307" s="639">
        <f t="shared" si="174"/>
        <v>1</v>
      </c>
      <c r="M307" s="641">
        <v>45856</v>
      </c>
      <c r="N307" s="641">
        <v>45852</v>
      </c>
      <c r="O307" s="641"/>
      <c r="P307" s="642" t="s">
        <v>100</v>
      </c>
      <c r="Q307" s="643" t="s">
        <v>1513</v>
      </c>
      <c r="R307" s="642" t="s">
        <v>1562</v>
      </c>
      <c r="S307" s="641"/>
      <c r="T307" s="641"/>
      <c r="U307" s="642" t="s">
        <v>493</v>
      </c>
      <c r="V307" s="642" t="s">
        <v>1563</v>
      </c>
      <c r="W307" s="645"/>
      <c r="X307" s="647" t="s">
        <v>1590</v>
      </c>
      <c r="Y307" s="646" t="s">
        <v>734</v>
      </c>
      <c r="Z307" s="648">
        <v>2.5135</v>
      </c>
      <c r="AA307" s="650">
        <f t="shared" si="167"/>
        <v>60.324</v>
      </c>
      <c r="AB307" s="649">
        <v>24</v>
      </c>
      <c r="AC307" s="649">
        <f t="shared" si="172"/>
        <v>0</v>
      </c>
      <c r="AD307" s="650" t="s">
        <v>106</v>
      </c>
      <c r="AE307" s="637" t="s">
        <v>166</v>
      </c>
      <c r="AF307" s="646" t="s">
        <v>107</v>
      </c>
      <c r="AG307" s="652" t="s">
        <v>43</v>
      </c>
      <c r="AH307" s="646"/>
      <c r="AI307" s="649"/>
      <c r="AJ307" s="649"/>
      <c r="AK307" s="649"/>
      <c r="AL307" s="649"/>
      <c r="AM307" s="649"/>
      <c r="AN307" s="649"/>
      <c r="AO307" s="649">
        <f t="shared" si="173"/>
        <v>24</v>
      </c>
      <c r="AP307" s="649"/>
      <c r="AQ307" s="653"/>
      <c r="AR307" s="649"/>
      <c r="AS307" s="649"/>
      <c r="AT307" s="652">
        <f t="shared" si="166"/>
        <v>24</v>
      </c>
      <c r="AU307" s="649"/>
      <c r="AV307" s="654"/>
      <c r="AW307" s="654"/>
      <c r="AX307" s="652"/>
      <c r="AY307" s="652"/>
      <c r="AZ307" s="654"/>
      <c r="BA307" s="652"/>
      <c r="BB307" s="652"/>
      <c r="BC307" s="654"/>
      <c r="BD307" s="654"/>
      <c r="BE307" s="654"/>
      <c r="BF307" s="654"/>
      <c r="BG307" s="652"/>
      <c r="BH307" s="652"/>
      <c r="BI307" s="654"/>
      <c r="BJ307" s="654"/>
      <c r="BK307" s="654"/>
      <c r="BL307" s="654"/>
      <c r="BM307" s="654"/>
      <c r="BN307" s="654"/>
      <c r="BO307" s="654"/>
      <c r="BP307" s="654"/>
      <c r="BQ307" s="654"/>
      <c r="BR307" s="654"/>
      <c r="BS307" s="654"/>
      <c r="BT307" s="654"/>
      <c r="BU307" s="654"/>
      <c r="BV307" s="654"/>
      <c r="BW307" s="645" t="s">
        <v>109</v>
      </c>
      <c r="BX307" s="658"/>
      <c r="BY307" s="658">
        <f t="shared" si="168"/>
        <v>24</v>
      </c>
      <c r="BZ307" s="658"/>
      <c r="CA307" s="658"/>
      <c r="CB307" s="644">
        <f t="shared" si="169"/>
        <v>24</v>
      </c>
      <c r="CC307" s="658"/>
      <c r="CD307" s="644">
        <f t="shared" si="170"/>
        <v>24</v>
      </c>
      <c r="CE307" s="644">
        <f t="shared" si="171"/>
        <v>0</v>
      </c>
    </row>
    <row r="308" s="338" customFormat="1" ht="40" customHeight="1" spans="1:83">
      <c r="A308" s="632">
        <v>45821</v>
      </c>
      <c r="B308" s="633" t="s">
        <v>1587</v>
      </c>
      <c r="C308" s="634" t="s">
        <v>178</v>
      </c>
      <c r="D308" s="635">
        <v>4500169928</v>
      </c>
      <c r="E308" s="659" t="s">
        <v>1621</v>
      </c>
      <c r="F308" s="636" t="s">
        <v>1622</v>
      </c>
      <c r="G308" s="637" t="s">
        <v>159</v>
      </c>
      <c r="H308" s="637" t="s">
        <v>99</v>
      </c>
      <c r="I308" s="638">
        <v>24</v>
      </c>
      <c r="J308" s="638">
        <v>0</v>
      </c>
      <c r="K308" s="639">
        <v>24</v>
      </c>
      <c r="L308" s="639">
        <f t="shared" si="174"/>
        <v>1</v>
      </c>
      <c r="M308" s="641">
        <v>45856</v>
      </c>
      <c r="N308" s="641">
        <v>45852</v>
      </c>
      <c r="O308" s="641"/>
      <c r="P308" s="642" t="s">
        <v>100</v>
      </c>
      <c r="Q308" s="643" t="s">
        <v>1513</v>
      </c>
      <c r="R308" s="642" t="s">
        <v>1562</v>
      </c>
      <c r="S308" s="641"/>
      <c r="T308" s="641"/>
      <c r="U308" s="642" t="s">
        <v>493</v>
      </c>
      <c r="V308" s="642" t="s">
        <v>1563</v>
      </c>
      <c r="W308" s="645"/>
      <c r="X308" s="647" t="s">
        <v>1590</v>
      </c>
      <c r="Y308" s="646" t="s">
        <v>734</v>
      </c>
      <c r="Z308" s="648">
        <v>2.5135</v>
      </c>
      <c r="AA308" s="650">
        <f t="shared" si="167"/>
        <v>60.324</v>
      </c>
      <c r="AB308" s="649">
        <v>24</v>
      </c>
      <c r="AC308" s="649">
        <f t="shared" si="172"/>
        <v>0</v>
      </c>
      <c r="AD308" s="650" t="s">
        <v>106</v>
      </c>
      <c r="AE308" s="637" t="s">
        <v>166</v>
      </c>
      <c r="AF308" s="646" t="s">
        <v>107</v>
      </c>
      <c r="AG308" s="652" t="s">
        <v>43</v>
      </c>
      <c r="AH308" s="646"/>
      <c r="AI308" s="649"/>
      <c r="AJ308" s="649"/>
      <c r="AK308" s="649"/>
      <c r="AL308" s="649"/>
      <c r="AM308" s="649"/>
      <c r="AN308" s="649"/>
      <c r="AO308" s="649">
        <f t="shared" si="173"/>
        <v>24</v>
      </c>
      <c r="AP308" s="649"/>
      <c r="AQ308" s="653"/>
      <c r="AR308" s="649"/>
      <c r="AS308" s="649"/>
      <c r="AT308" s="652">
        <f t="shared" si="166"/>
        <v>24</v>
      </c>
      <c r="AU308" s="649"/>
      <c r="AV308" s="654"/>
      <c r="AW308" s="654"/>
      <c r="AX308" s="652"/>
      <c r="AY308" s="652"/>
      <c r="AZ308" s="654"/>
      <c r="BA308" s="652"/>
      <c r="BB308" s="652"/>
      <c r="BC308" s="654"/>
      <c r="BD308" s="654"/>
      <c r="BE308" s="654"/>
      <c r="BF308" s="654"/>
      <c r="BG308" s="652"/>
      <c r="BH308" s="652"/>
      <c r="BI308" s="654"/>
      <c r="BJ308" s="654"/>
      <c r="BK308" s="654"/>
      <c r="BL308" s="654"/>
      <c r="BM308" s="654"/>
      <c r="BN308" s="654"/>
      <c r="BO308" s="654"/>
      <c r="BP308" s="654"/>
      <c r="BQ308" s="654"/>
      <c r="BR308" s="654"/>
      <c r="BS308" s="654"/>
      <c r="BT308" s="654"/>
      <c r="BU308" s="654"/>
      <c r="BV308" s="654"/>
      <c r="BW308" s="645" t="s">
        <v>109</v>
      </c>
      <c r="BX308" s="658"/>
      <c r="BY308" s="658">
        <f t="shared" si="168"/>
        <v>24</v>
      </c>
      <c r="BZ308" s="658"/>
      <c r="CA308" s="658"/>
      <c r="CB308" s="644">
        <f t="shared" si="169"/>
        <v>24</v>
      </c>
      <c r="CC308" s="658"/>
      <c r="CD308" s="644">
        <f t="shared" si="170"/>
        <v>24</v>
      </c>
      <c r="CE308" s="644">
        <f t="shared" si="171"/>
        <v>0</v>
      </c>
    </row>
    <row r="309" s="338" customFormat="1" ht="40" customHeight="1" spans="1:83">
      <c r="A309" s="632">
        <v>45821</v>
      </c>
      <c r="B309" s="633" t="s">
        <v>1587</v>
      </c>
      <c r="C309" s="634" t="s">
        <v>178</v>
      </c>
      <c r="D309" s="635">
        <v>4500169928</v>
      </c>
      <c r="E309" s="659" t="s">
        <v>1623</v>
      </c>
      <c r="F309" s="636" t="s">
        <v>1624</v>
      </c>
      <c r="G309" s="637" t="s">
        <v>159</v>
      </c>
      <c r="H309" s="637" t="s">
        <v>99</v>
      </c>
      <c r="I309" s="638">
        <v>24</v>
      </c>
      <c r="J309" s="638">
        <v>0</v>
      </c>
      <c r="K309" s="639">
        <v>24</v>
      </c>
      <c r="L309" s="639">
        <f t="shared" si="174"/>
        <v>1</v>
      </c>
      <c r="M309" s="641">
        <v>45856</v>
      </c>
      <c r="N309" s="641">
        <v>45852</v>
      </c>
      <c r="O309" s="641"/>
      <c r="P309" s="642" t="s">
        <v>100</v>
      </c>
      <c r="Q309" s="643" t="s">
        <v>1513</v>
      </c>
      <c r="R309" s="642" t="s">
        <v>1562</v>
      </c>
      <c r="S309" s="641"/>
      <c r="T309" s="641"/>
      <c r="U309" s="642" t="s">
        <v>493</v>
      </c>
      <c r="V309" s="642" t="s">
        <v>1563</v>
      </c>
      <c r="W309" s="645"/>
      <c r="X309" s="647" t="s">
        <v>1590</v>
      </c>
      <c r="Y309" s="646" t="s">
        <v>734</v>
      </c>
      <c r="Z309" s="648">
        <v>2.5135</v>
      </c>
      <c r="AA309" s="650">
        <f t="shared" si="167"/>
        <v>60.324</v>
      </c>
      <c r="AB309" s="649">
        <v>24</v>
      </c>
      <c r="AC309" s="649">
        <f t="shared" si="172"/>
        <v>0</v>
      </c>
      <c r="AD309" s="650" t="s">
        <v>106</v>
      </c>
      <c r="AE309" s="637" t="s">
        <v>166</v>
      </c>
      <c r="AF309" s="646" t="s">
        <v>107</v>
      </c>
      <c r="AG309" s="652" t="s">
        <v>43</v>
      </c>
      <c r="AH309" s="646"/>
      <c r="AI309" s="649"/>
      <c r="AJ309" s="649"/>
      <c r="AK309" s="649"/>
      <c r="AL309" s="649"/>
      <c r="AM309" s="649"/>
      <c r="AN309" s="649"/>
      <c r="AO309" s="649">
        <f t="shared" si="173"/>
        <v>24</v>
      </c>
      <c r="AP309" s="649"/>
      <c r="AQ309" s="653"/>
      <c r="AR309" s="649"/>
      <c r="AS309" s="649"/>
      <c r="AT309" s="652">
        <f t="shared" si="166"/>
        <v>24</v>
      </c>
      <c r="AU309" s="649"/>
      <c r="AV309" s="654"/>
      <c r="AW309" s="654"/>
      <c r="AX309" s="652"/>
      <c r="AY309" s="652"/>
      <c r="AZ309" s="654"/>
      <c r="BA309" s="652"/>
      <c r="BB309" s="652"/>
      <c r="BC309" s="654"/>
      <c r="BD309" s="654"/>
      <c r="BE309" s="654"/>
      <c r="BF309" s="654"/>
      <c r="BG309" s="652"/>
      <c r="BH309" s="652"/>
      <c r="BI309" s="654"/>
      <c r="BJ309" s="654"/>
      <c r="BK309" s="654"/>
      <c r="BL309" s="654"/>
      <c r="BM309" s="654"/>
      <c r="BN309" s="654"/>
      <c r="BO309" s="654"/>
      <c r="BP309" s="654"/>
      <c r="BQ309" s="654"/>
      <c r="BR309" s="654"/>
      <c r="BS309" s="654"/>
      <c r="BT309" s="654"/>
      <c r="BU309" s="654"/>
      <c r="BV309" s="654"/>
      <c r="BW309" s="645" t="s">
        <v>109</v>
      </c>
      <c r="BX309" s="658"/>
      <c r="BY309" s="658">
        <f t="shared" si="168"/>
        <v>24</v>
      </c>
      <c r="BZ309" s="658"/>
      <c r="CA309" s="658"/>
      <c r="CB309" s="644">
        <f t="shared" si="169"/>
        <v>24</v>
      </c>
      <c r="CC309" s="658"/>
      <c r="CD309" s="644">
        <f t="shared" si="170"/>
        <v>24</v>
      </c>
      <c r="CE309" s="644">
        <f t="shared" si="171"/>
        <v>0</v>
      </c>
    </row>
    <row r="310" s="338" customFormat="1" ht="40" customHeight="1" spans="1:83">
      <c r="A310" s="632">
        <v>45821</v>
      </c>
      <c r="B310" s="633" t="s">
        <v>1587</v>
      </c>
      <c r="C310" s="634" t="s">
        <v>178</v>
      </c>
      <c r="D310" s="635">
        <v>4500169928</v>
      </c>
      <c r="E310" s="659" t="s">
        <v>1625</v>
      </c>
      <c r="F310" s="636" t="s">
        <v>1626</v>
      </c>
      <c r="G310" s="637" t="s">
        <v>141</v>
      </c>
      <c r="H310" s="637" t="s">
        <v>99</v>
      </c>
      <c r="I310" s="638">
        <v>120</v>
      </c>
      <c r="J310" s="638">
        <v>0</v>
      </c>
      <c r="K310" s="639">
        <v>24</v>
      </c>
      <c r="L310" s="639">
        <f t="shared" ref="L310:L324" si="175">I310/K310</f>
        <v>5</v>
      </c>
      <c r="M310" s="641">
        <v>45856</v>
      </c>
      <c r="N310" s="641">
        <v>45852</v>
      </c>
      <c r="O310" s="641"/>
      <c r="P310" s="642" t="s">
        <v>100</v>
      </c>
      <c r="Q310" s="643" t="s">
        <v>1513</v>
      </c>
      <c r="R310" s="642" t="s">
        <v>1562</v>
      </c>
      <c r="S310" s="641"/>
      <c r="T310" s="641"/>
      <c r="U310" s="642" t="s">
        <v>493</v>
      </c>
      <c r="V310" s="642" t="s">
        <v>1563</v>
      </c>
      <c r="W310" s="645"/>
      <c r="X310" s="647" t="s">
        <v>1590</v>
      </c>
      <c r="Y310" s="646" t="s">
        <v>734</v>
      </c>
      <c r="Z310" s="648">
        <v>2.5135</v>
      </c>
      <c r="AA310" s="650">
        <f t="shared" si="167"/>
        <v>301.62</v>
      </c>
      <c r="AB310" s="649">
        <v>120</v>
      </c>
      <c r="AC310" s="649">
        <f t="shared" si="172"/>
        <v>0</v>
      </c>
      <c r="AD310" s="650" t="s">
        <v>123</v>
      </c>
      <c r="AE310" s="637" t="s">
        <v>153</v>
      </c>
      <c r="AF310" s="646" t="s">
        <v>107</v>
      </c>
      <c r="AG310" s="652" t="s">
        <v>43</v>
      </c>
      <c r="AH310" s="646"/>
      <c r="AI310" s="649"/>
      <c r="AJ310" s="649"/>
      <c r="AK310" s="649"/>
      <c r="AL310" s="649"/>
      <c r="AM310" s="649"/>
      <c r="AN310" s="649"/>
      <c r="AO310" s="649">
        <f t="shared" si="173"/>
        <v>120</v>
      </c>
      <c r="AP310" s="649"/>
      <c r="AQ310" s="653"/>
      <c r="AR310" s="649"/>
      <c r="AS310" s="649"/>
      <c r="AT310" s="652">
        <f t="shared" si="166"/>
        <v>120</v>
      </c>
      <c r="AU310" s="649"/>
      <c r="AV310" s="654"/>
      <c r="AW310" s="654"/>
      <c r="AX310" s="652"/>
      <c r="AY310" s="652"/>
      <c r="AZ310" s="654"/>
      <c r="BA310" s="652"/>
      <c r="BB310" s="652"/>
      <c r="BC310" s="654"/>
      <c r="BD310" s="654"/>
      <c r="BE310" s="654"/>
      <c r="BF310" s="654"/>
      <c r="BG310" s="652"/>
      <c r="BH310" s="652"/>
      <c r="BI310" s="654"/>
      <c r="BJ310" s="654"/>
      <c r="BK310" s="654"/>
      <c r="BL310" s="654"/>
      <c r="BM310" s="654"/>
      <c r="BN310" s="654"/>
      <c r="BO310" s="654"/>
      <c r="BP310" s="654"/>
      <c r="BQ310" s="654"/>
      <c r="BR310" s="654"/>
      <c r="BS310" s="654"/>
      <c r="BT310" s="654"/>
      <c r="BU310" s="654"/>
      <c r="BV310" s="654"/>
      <c r="BW310" s="645" t="s">
        <v>109</v>
      </c>
      <c r="BX310" s="658"/>
      <c r="BY310" s="658"/>
      <c r="BZ310" s="658">
        <f>I310</f>
        <v>120</v>
      </c>
      <c r="CA310" s="658"/>
      <c r="CB310" s="644">
        <f t="shared" ref="CB310:CB373" si="176">I310</f>
        <v>120</v>
      </c>
      <c r="CC310" s="644"/>
      <c r="CD310" s="644">
        <f t="shared" ref="CD310:CD373" si="177">SUM(BX310:CA310)</f>
        <v>120</v>
      </c>
      <c r="CE310" s="644">
        <f t="shared" ref="CE310:CE373" si="178">I310-CD310</f>
        <v>0</v>
      </c>
    </row>
    <row r="311" s="338" customFormat="1" ht="40" customHeight="1" spans="1:83">
      <c r="A311" s="632">
        <v>45821</v>
      </c>
      <c r="B311" s="633" t="s">
        <v>1587</v>
      </c>
      <c r="C311" s="634" t="s">
        <v>178</v>
      </c>
      <c r="D311" s="635">
        <v>4500169928</v>
      </c>
      <c r="E311" s="659" t="s">
        <v>1627</v>
      </c>
      <c r="F311" s="636" t="s">
        <v>1628</v>
      </c>
      <c r="G311" s="637" t="s">
        <v>141</v>
      </c>
      <c r="H311" s="637" t="s">
        <v>99</v>
      </c>
      <c r="I311" s="638">
        <v>96</v>
      </c>
      <c r="J311" s="638">
        <v>0</v>
      </c>
      <c r="K311" s="639">
        <v>24</v>
      </c>
      <c r="L311" s="639">
        <f t="shared" si="175"/>
        <v>4</v>
      </c>
      <c r="M311" s="641">
        <v>45856</v>
      </c>
      <c r="N311" s="641">
        <v>45852</v>
      </c>
      <c r="O311" s="641"/>
      <c r="P311" s="642" t="s">
        <v>100</v>
      </c>
      <c r="Q311" s="643" t="s">
        <v>1513</v>
      </c>
      <c r="R311" s="642" t="s">
        <v>1562</v>
      </c>
      <c r="S311" s="641"/>
      <c r="T311" s="641"/>
      <c r="U311" s="642" t="s">
        <v>493</v>
      </c>
      <c r="V311" s="642" t="s">
        <v>1563</v>
      </c>
      <c r="W311" s="645"/>
      <c r="X311" s="647" t="s">
        <v>1590</v>
      </c>
      <c r="Y311" s="646" t="s">
        <v>734</v>
      </c>
      <c r="Z311" s="648">
        <v>2.5135</v>
      </c>
      <c r="AA311" s="650">
        <f t="shared" si="167"/>
        <v>241.296</v>
      </c>
      <c r="AB311" s="649">
        <v>96</v>
      </c>
      <c r="AC311" s="649">
        <f t="shared" si="172"/>
        <v>0</v>
      </c>
      <c r="AD311" s="650" t="s">
        <v>123</v>
      </c>
      <c r="AE311" s="637" t="s">
        <v>153</v>
      </c>
      <c r="AF311" s="646" t="s">
        <v>107</v>
      </c>
      <c r="AG311" s="652" t="s">
        <v>43</v>
      </c>
      <c r="AH311" s="646"/>
      <c r="AI311" s="649"/>
      <c r="AJ311" s="649"/>
      <c r="AK311" s="649"/>
      <c r="AL311" s="649"/>
      <c r="AM311" s="649"/>
      <c r="AN311" s="649"/>
      <c r="AO311" s="649">
        <f t="shared" ref="AO311:AO324" si="179">I311</f>
        <v>96</v>
      </c>
      <c r="AP311" s="649"/>
      <c r="AQ311" s="653"/>
      <c r="AR311" s="649"/>
      <c r="AS311" s="649"/>
      <c r="AT311" s="652">
        <f t="shared" si="166"/>
        <v>96</v>
      </c>
      <c r="AU311" s="649"/>
      <c r="AV311" s="654"/>
      <c r="AW311" s="654"/>
      <c r="AX311" s="652"/>
      <c r="AY311" s="652"/>
      <c r="AZ311" s="654"/>
      <c r="BA311" s="652"/>
      <c r="BB311" s="652"/>
      <c r="BC311" s="654"/>
      <c r="BD311" s="654"/>
      <c r="BE311" s="654"/>
      <c r="BF311" s="654"/>
      <c r="BG311" s="652"/>
      <c r="BH311" s="652"/>
      <c r="BI311" s="654"/>
      <c r="BJ311" s="654"/>
      <c r="BK311" s="654"/>
      <c r="BL311" s="654"/>
      <c r="BM311" s="654"/>
      <c r="BN311" s="654"/>
      <c r="BO311" s="654"/>
      <c r="BP311" s="654"/>
      <c r="BQ311" s="654"/>
      <c r="BR311" s="654"/>
      <c r="BS311" s="654"/>
      <c r="BT311" s="654"/>
      <c r="BU311" s="654"/>
      <c r="BV311" s="654"/>
      <c r="BW311" s="645" t="s">
        <v>109</v>
      </c>
      <c r="BX311" s="658"/>
      <c r="BY311" s="658"/>
      <c r="BZ311" s="658">
        <f t="shared" ref="BZ311:BZ323" si="180">I311</f>
        <v>96</v>
      </c>
      <c r="CA311" s="658"/>
      <c r="CB311" s="644">
        <f t="shared" si="176"/>
        <v>96</v>
      </c>
      <c r="CC311" s="644"/>
      <c r="CD311" s="644">
        <f t="shared" si="177"/>
        <v>96</v>
      </c>
      <c r="CE311" s="644">
        <f t="shared" si="178"/>
        <v>0</v>
      </c>
    </row>
    <row r="312" s="338" customFormat="1" ht="40" customHeight="1" spans="1:83">
      <c r="A312" s="632">
        <v>45821</v>
      </c>
      <c r="B312" s="633" t="s">
        <v>1587</v>
      </c>
      <c r="C312" s="634" t="s">
        <v>178</v>
      </c>
      <c r="D312" s="635">
        <v>4500169928</v>
      </c>
      <c r="E312" s="659" t="s">
        <v>1629</v>
      </c>
      <c r="F312" s="636" t="s">
        <v>1630</v>
      </c>
      <c r="G312" s="637" t="s">
        <v>141</v>
      </c>
      <c r="H312" s="637" t="s">
        <v>99</v>
      </c>
      <c r="I312" s="638">
        <v>72</v>
      </c>
      <c r="J312" s="638">
        <v>0</v>
      </c>
      <c r="K312" s="639">
        <v>24</v>
      </c>
      <c r="L312" s="639">
        <f t="shared" si="175"/>
        <v>3</v>
      </c>
      <c r="M312" s="641">
        <v>45856</v>
      </c>
      <c r="N312" s="641">
        <v>45852</v>
      </c>
      <c r="O312" s="641"/>
      <c r="P312" s="642" t="s">
        <v>100</v>
      </c>
      <c r="Q312" s="643" t="s">
        <v>1513</v>
      </c>
      <c r="R312" s="642" t="s">
        <v>1562</v>
      </c>
      <c r="S312" s="641"/>
      <c r="T312" s="641"/>
      <c r="U312" s="642" t="s">
        <v>493</v>
      </c>
      <c r="V312" s="642" t="s">
        <v>1563</v>
      </c>
      <c r="W312" s="645"/>
      <c r="X312" s="647" t="s">
        <v>1590</v>
      </c>
      <c r="Y312" s="646" t="s">
        <v>734</v>
      </c>
      <c r="Z312" s="648">
        <v>2.5135</v>
      </c>
      <c r="AA312" s="650">
        <f t="shared" si="167"/>
        <v>180.972</v>
      </c>
      <c r="AB312" s="649">
        <v>72</v>
      </c>
      <c r="AC312" s="649">
        <f t="shared" si="172"/>
        <v>0</v>
      </c>
      <c r="AD312" s="650" t="s">
        <v>123</v>
      </c>
      <c r="AE312" s="637" t="s">
        <v>153</v>
      </c>
      <c r="AF312" s="646" t="s">
        <v>107</v>
      </c>
      <c r="AG312" s="652" t="s">
        <v>43</v>
      </c>
      <c r="AH312" s="646"/>
      <c r="AI312" s="649"/>
      <c r="AJ312" s="649"/>
      <c r="AK312" s="649"/>
      <c r="AL312" s="649"/>
      <c r="AM312" s="649"/>
      <c r="AN312" s="649"/>
      <c r="AO312" s="649">
        <f t="shared" si="179"/>
        <v>72</v>
      </c>
      <c r="AP312" s="649"/>
      <c r="AQ312" s="653"/>
      <c r="AR312" s="649"/>
      <c r="AS312" s="649"/>
      <c r="AT312" s="652">
        <f t="shared" si="166"/>
        <v>72</v>
      </c>
      <c r="AU312" s="649"/>
      <c r="AV312" s="654"/>
      <c r="AW312" s="654"/>
      <c r="AX312" s="652"/>
      <c r="AY312" s="652"/>
      <c r="AZ312" s="654"/>
      <c r="BA312" s="652"/>
      <c r="BB312" s="652"/>
      <c r="BC312" s="654"/>
      <c r="BD312" s="654"/>
      <c r="BE312" s="654"/>
      <c r="BF312" s="654"/>
      <c r="BG312" s="652"/>
      <c r="BH312" s="652"/>
      <c r="BI312" s="654"/>
      <c r="BJ312" s="654"/>
      <c r="BK312" s="654"/>
      <c r="BL312" s="654"/>
      <c r="BM312" s="654"/>
      <c r="BN312" s="654"/>
      <c r="BO312" s="654"/>
      <c r="BP312" s="654"/>
      <c r="BQ312" s="654"/>
      <c r="BR312" s="654"/>
      <c r="BS312" s="654"/>
      <c r="BT312" s="654"/>
      <c r="BU312" s="654"/>
      <c r="BV312" s="654"/>
      <c r="BW312" s="645" t="s">
        <v>109</v>
      </c>
      <c r="BX312" s="658"/>
      <c r="BY312" s="658"/>
      <c r="BZ312" s="658">
        <f t="shared" si="180"/>
        <v>72</v>
      </c>
      <c r="CA312" s="658"/>
      <c r="CB312" s="644">
        <f t="shared" si="176"/>
        <v>72</v>
      </c>
      <c r="CC312" s="644"/>
      <c r="CD312" s="644">
        <f t="shared" si="177"/>
        <v>72</v>
      </c>
      <c r="CE312" s="644">
        <f t="shared" si="178"/>
        <v>0</v>
      </c>
    </row>
    <row r="313" s="338" customFormat="1" ht="40" customHeight="1" spans="1:83">
      <c r="A313" s="632">
        <v>45821</v>
      </c>
      <c r="B313" s="633" t="s">
        <v>1587</v>
      </c>
      <c r="C313" s="634" t="s">
        <v>178</v>
      </c>
      <c r="D313" s="635">
        <v>4500169928</v>
      </c>
      <c r="E313" s="659" t="s">
        <v>1631</v>
      </c>
      <c r="F313" s="636" t="s">
        <v>1632</v>
      </c>
      <c r="G313" s="637" t="s">
        <v>141</v>
      </c>
      <c r="H313" s="637" t="s">
        <v>99</v>
      </c>
      <c r="I313" s="638">
        <v>96</v>
      </c>
      <c r="J313" s="638">
        <v>0</v>
      </c>
      <c r="K313" s="639">
        <v>24</v>
      </c>
      <c r="L313" s="639">
        <f t="shared" si="175"/>
        <v>4</v>
      </c>
      <c r="M313" s="641">
        <v>45856</v>
      </c>
      <c r="N313" s="641">
        <v>45852</v>
      </c>
      <c r="O313" s="641"/>
      <c r="P313" s="642" t="s">
        <v>100</v>
      </c>
      <c r="Q313" s="643" t="s">
        <v>1513</v>
      </c>
      <c r="R313" s="642" t="s">
        <v>1562</v>
      </c>
      <c r="S313" s="641"/>
      <c r="T313" s="641"/>
      <c r="U313" s="642" t="s">
        <v>493</v>
      </c>
      <c r="V313" s="642" t="s">
        <v>1563</v>
      </c>
      <c r="W313" s="645"/>
      <c r="X313" s="647" t="s">
        <v>1590</v>
      </c>
      <c r="Y313" s="646" t="s">
        <v>734</v>
      </c>
      <c r="Z313" s="648">
        <v>2.5135</v>
      </c>
      <c r="AA313" s="650">
        <f t="shared" si="167"/>
        <v>241.296</v>
      </c>
      <c r="AB313" s="649">
        <v>96</v>
      </c>
      <c r="AC313" s="649">
        <f t="shared" si="172"/>
        <v>0</v>
      </c>
      <c r="AD313" s="650" t="s">
        <v>123</v>
      </c>
      <c r="AE313" s="637" t="s">
        <v>153</v>
      </c>
      <c r="AF313" s="646" t="s">
        <v>107</v>
      </c>
      <c r="AG313" s="652" t="s">
        <v>43</v>
      </c>
      <c r="AH313" s="646"/>
      <c r="AI313" s="649"/>
      <c r="AJ313" s="649"/>
      <c r="AK313" s="649"/>
      <c r="AL313" s="649"/>
      <c r="AM313" s="649"/>
      <c r="AN313" s="649"/>
      <c r="AO313" s="649">
        <f t="shared" si="179"/>
        <v>96</v>
      </c>
      <c r="AP313" s="649"/>
      <c r="AQ313" s="653"/>
      <c r="AR313" s="649"/>
      <c r="AS313" s="649"/>
      <c r="AT313" s="652">
        <f t="shared" si="166"/>
        <v>96</v>
      </c>
      <c r="AU313" s="649"/>
      <c r="AV313" s="654"/>
      <c r="AW313" s="654"/>
      <c r="AX313" s="652"/>
      <c r="AY313" s="652"/>
      <c r="AZ313" s="654"/>
      <c r="BA313" s="652"/>
      <c r="BB313" s="652"/>
      <c r="BC313" s="654"/>
      <c r="BD313" s="654"/>
      <c r="BE313" s="654"/>
      <c r="BF313" s="654"/>
      <c r="BG313" s="652"/>
      <c r="BH313" s="652"/>
      <c r="BI313" s="654"/>
      <c r="BJ313" s="654"/>
      <c r="BK313" s="654"/>
      <c r="BL313" s="654"/>
      <c r="BM313" s="654"/>
      <c r="BN313" s="654"/>
      <c r="BO313" s="654"/>
      <c r="BP313" s="654"/>
      <c r="BQ313" s="654"/>
      <c r="BR313" s="654"/>
      <c r="BS313" s="654"/>
      <c r="BT313" s="654"/>
      <c r="BU313" s="654"/>
      <c r="BV313" s="654"/>
      <c r="BW313" s="645" t="s">
        <v>109</v>
      </c>
      <c r="BX313" s="658"/>
      <c r="BY313" s="658"/>
      <c r="BZ313" s="658">
        <f t="shared" si="180"/>
        <v>96</v>
      </c>
      <c r="CA313" s="658"/>
      <c r="CB313" s="644">
        <f t="shared" si="176"/>
        <v>96</v>
      </c>
      <c r="CC313" s="644"/>
      <c r="CD313" s="644">
        <f t="shared" si="177"/>
        <v>96</v>
      </c>
      <c r="CE313" s="644">
        <f t="shared" si="178"/>
        <v>0</v>
      </c>
    </row>
    <row r="314" s="338" customFormat="1" ht="40" customHeight="1" spans="1:83">
      <c r="A314" s="632">
        <v>45821</v>
      </c>
      <c r="B314" s="633" t="s">
        <v>1587</v>
      </c>
      <c r="C314" s="634" t="s">
        <v>178</v>
      </c>
      <c r="D314" s="635">
        <v>4500169928</v>
      </c>
      <c r="E314" s="659" t="s">
        <v>1633</v>
      </c>
      <c r="F314" s="636" t="s">
        <v>1634</v>
      </c>
      <c r="G314" s="637" t="s">
        <v>141</v>
      </c>
      <c r="H314" s="637" t="s">
        <v>99</v>
      </c>
      <c r="I314" s="638">
        <v>72</v>
      </c>
      <c r="J314" s="638">
        <v>0</v>
      </c>
      <c r="K314" s="639">
        <v>24</v>
      </c>
      <c r="L314" s="639">
        <f t="shared" si="175"/>
        <v>3</v>
      </c>
      <c r="M314" s="641">
        <v>45856</v>
      </c>
      <c r="N314" s="641">
        <v>45852</v>
      </c>
      <c r="O314" s="641"/>
      <c r="P314" s="642" t="s">
        <v>100</v>
      </c>
      <c r="Q314" s="643" t="s">
        <v>1513</v>
      </c>
      <c r="R314" s="642" t="s">
        <v>1562</v>
      </c>
      <c r="S314" s="641"/>
      <c r="T314" s="641"/>
      <c r="U314" s="642" t="s">
        <v>493</v>
      </c>
      <c r="V314" s="642" t="s">
        <v>1563</v>
      </c>
      <c r="W314" s="645"/>
      <c r="X314" s="647" t="s">
        <v>1590</v>
      </c>
      <c r="Y314" s="646" t="s">
        <v>734</v>
      </c>
      <c r="Z314" s="648">
        <v>2.5135</v>
      </c>
      <c r="AA314" s="650">
        <f t="shared" si="167"/>
        <v>180.972</v>
      </c>
      <c r="AB314" s="649">
        <v>72</v>
      </c>
      <c r="AC314" s="649">
        <f t="shared" si="172"/>
        <v>0</v>
      </c>
      <c r="AD314" s="650" t="s">
        <v>123</v>
      </c>
      <c r="AE314" s="637" t="s">
        <v>153</v>
      </c>
      <c r="AF314" s="646" t="s">
        <v>107</v>
      </c>
      <c r="AG314" s="652" t="s">
        <v>43</v>
      </c>
      <c r="AH314" s="646"/>
      <c r="AI314" s="649"/>
      <c r="AJ314" s="649"/>
      <c r="AK314" s="649"/>
      <c r="AL314" s="649"/>
      <c r="AM314" s="649"/>
      <c r="AN314" s="649"/>
      <c r="AO314" s="649">
        <f t="shared" si="179"/>
        <v>72</v>
      </c>
      <c r="AP314" s="649"/>
      <c r="AQ314" s="653"/>
      <c r="AR314" s="649"/>
      <c r="AS314" s="649"/>
      <c r="AT314" s="652">
        <f t="shared" si="166"/>
        <v>72</v>
      </c>
      <c r="AU314" s="649"/>
      <c r="AV314" s="654"/>
      <c r="AW314" s="654"/>
      <c r="AX314" s="652"/>
      <c r="AY314" s="652"/>
      <c r="AZ314" s="654"/>
      <c r="BA314" s="652"/>
      <c r="BB314" s="652"/>
      <c r="BC314" s="654"/>
      <c r="BD314" s="654"/>
      <c r="BE314" s="654"/>
      <c r="BF314" s="654"/>
      <c r="BG314" s="652"/>
      <c r="BH314" s="652"/>
      <c r="BI314" s="654"/>
      <c r="BJ314" s="654"/>
      <c r="BK314" s="654"/>
      <c r="BL314" s="654"/>
      <c r="BM314" s="654"/>
      <c r="BN314" s="654"/>
      <c r="BO314" s="654"/>
      <c r="BP314" s="654"/>
      <c r="BQ314" s="654"/>
      <c r="BR314" s="654"/>
      <c r="BS314" s="654"/>
      <c r="BT314" s="654"/>
      <c r="BU314" s="654"/>
      <c r="BV314" s="654"/>
      <c r="BW314" s="645" t="s">
        <v>109</v>
      </c>
      <c r="BX314" s="658"/>
      <c r="BY314" s="658"/>
      <c r="BZ314" s="658">
        <f t="shared" si="180"/>
        <v>72</v>
      </c>
      <c r="CA314" s="658"/>
      <c r="CB314" s="644">
        <f t="shared" si="176"/>
        <v>72</v>
      </c>
      <c r="CC314" s="644"/>
      <c r="CD314" s="644">
        <f t="shared" si="177"/>
        <v>72</v>
      </c>
      <c r="CE314" s="644">
        <f t="shared" si="178"/>
        <v>0</v>
      </c>
    </row>
    <row r="315" s="338" customFormat="1" ht="40" customHeight="1" spans="1:83">
      <c r="A315" s="632">
        <v>45821</v>
      </c>
      <c r="B315" s="633" t="s">
        <v>1587</v>
      </c>
      <c r="C315" s="634" t="s">
        <v>178</v>
      </c>
      <c r="D315" s="635">
        <v>4500169928</v>
      </c>
      <c r="E315" s="659" t="s">
        <v>1635</v>
      </c>
      <c r="F315" s="636" t="s">
        <v>1636</v>
      </c>
      <c r="G315" s="637" t="s">
        <v>141</v>
      </c>
      <c r="H315" s="637" t="s">
        <v>99</v>
      </c>
      <c r="I315" s="638">
        <v>72</v>
      </c>
      <c r="J315" s="638">
        <v>0</v>
      </c>
      <c r="K315" s="639">
        <v>24</v>
      </c>
      <c r="L315" s="639">
        <f t="shared" si="175"/>
        <v>3</v>
      </c>
      <c r="M315" s="641">
        <v>45856</v>
      </c>
      <c r="N315" s="641">
        <v>45852</v>
      </c>
      <c r="O315" s="641"/>
      <c r="P315" s="642" t="s">
        <v>100</v>
      </c>
      <c r="Q315" s="643" t="s">
        <v>1513</v>
      </c>
      <c r="R315" s="642" t="s">
        <v>1562</v>
      </c>
      <c r="S315" s="641"/>
      <c r="T315" s="641"/>
      <c r="U315" s="642" t="s">
        <v>493</v>
      </c>
      <c r="V315" s="642" t="s">
        <v>1563</v>
      </c>
      <c r="W315" s="645"/>
      <c r="X315" s="647" t="s">
        <v>1590</v>
      </c>
      <c r="Y315" s="646" t="s">
        <v>734</v>
      </c>
      <c r="Z315" s="648">
        <v>2.5135</v>
      </c>
      <c r="AA315" s="650">
        <f t="shared" si="167"/>
        <v>180.972</v>
      </c>
      <c r="AB315" s="649">
        <v>72</v>
      </c>
      <c r="AC315" s="649">
        <f t="shared" si="172"/>
        <v>0</v>
      </c>
      <c r="AD315" s="650" t="s">
        <v>123</v>
      </c>
      <c r="AE315" s="637" t="s">
        <v>153</v>
      </c>
      <c r="AF315" s="646" t="s">
        <v>107</v>
      </c>
      <c r="AG315" s="652" t="s">
        <v>43</v>
      </c>
      <c r="AH315" s="646"/>
      <c r="AI315" s="649"/>
      <c r="AJ315" s="649"/>
      <c r="AK315" s="649"/>
      <c r="AL315" s="649"/>
      <c r="AM315" s="649"/>
      <c r="AN315" s="649"/>
      <c r="AO315" s="649">
        <f t="shared" si="179"/>
        <v>72</v>
      </c>
      <c r="AP315" s="649"/>
      <c r="AQ315" s="653"/>
      <c r="AR315" s="649"/>
      <c r="AS315" s="649"/>
      <c r="AT315" s="652">
        <f t="shared" si="166"/>
        <v>72</v>
      </c>
      <c r="AU315" s="649"/>
      <c r="AV315" s="654"/>
      <c r="AW315" s="654"/>
      <c r="AX315" s="652"/>
      <c r="AY315" s="652"/>
      <c r="AZ315" s="654"/>
      <c r="BA315" s="652"/>
      <c r="BB315" s="652"/>
      <c r="BC315" s="654"/>
      <c r="BD315" s="654"/>
      <c r="BE315" s="654"/>
      <c r="BF315" s="654"/>
      <c r="BG315" s="652"/>
      <c r="BH315" s="652"/>
      <c r="BI315" s="654"/>
      <c r="BJ315" s="654"/>
      <c r="BK315" s="654"/>
      <c r="BL315" s="654"/>
      <c r="BM315" s="654"/>
      <c r="BN315" s="654"/>
      <c r="BO315" s="654"/>
      <c r="BP315" s="654"/>
      <c r="BQ315" s="654"/>
      <c r="BR315" s="654"/>
      <c r="BS315" s="654"/>
      <c r="BT315" s="654"/>
      <c r="BU315" s="654"/>
      <c r="BV315" s="654"/>
      <c r="BW315" s="645" t="s">
        <v>109</v>
      </c>
      <c r="BX315" s="658"/>
      <c r="BY315" s="658"/>
      <c r="BZ315" s="658">
        <f t="shared" si="180"/>
        <v>72</v>
      </c>
      <c r="CA315" s="658"/>
      <c r="CB315" s="644">
        <f t="shared" si="176"/>
        <v>72</v>
      </c>
      <c r="CC315" s="644"/>
      <c r="CD315" s="644">
        <f t="shared" si="177"/>
        <v>72</v>
      </c>
      <c r="CE315" s="644">
        <f t="shared" si="178"/>
        <v>0</v>
      </c>
    </row>
    <row r="316" s="338" customFormat="1" ht="40" customHeight="1" spans="1:83">
      <c r="A316" s="632">
        <v>45821</v>
      </c>
      <c r="B316" s="633" t="s">
        <v>1587</v>
      </c>
      <c r="C316" s="634" t="s">
        <v>178</v>
      </c>
      <c r="D316" s="635">
        <v>4500169928</v>
      </c>
      <c r="E316" s="659" t="s">
        <v>1637</v>
      </c>
      <c r="F316" s="636" t="s">
        <v>1638</v>
      </c>
      <c r="G316" s="637" t="s">
        <v>141</v>
      </c>
      <c r="H316" s="637" t="s">
        <v>99</v>
      </c>
      <c r="I316" s="638">
        <v>48</v>
      </c>
      <c r="J316" s="638">
        <v>0</v>
      </c>
      <c r="K316" s="639">
        <v>24</v>
      </c>
      <c r="L316" s="639">
        <f t="shared" si="175"/>
        <v>2</v>
      </c>
      <c r="M316" s="641">
        <v>45856</v>
      </c>
      <c r="N316" s="641">
        <v>45852</v>
      </c>
      <c r="O316" s="641"/>
      <c r="P316" s="642" t="s">
        <v>100</v>
      </c>
      <c r="Q316" s="643" t="s">
        <v>1513</v>
      </c>
      <c r="R316" s="642" t="s">
        <v>1562</v>
      </c>
      <c r="S316" s="641"/>
      <c r="T316" s="641"/>
      <c r="U316" s="642" t="s">
        <v>493</v>
      </c>
      <c r="V316" s="642" t="s">
        <v>1563</v>
      </c>
      <c r="W316" s="645"/>
      <c r="X316" s="647" t="s">
        <v>1590</v>
      </c>
      <c r="Y316" s="646" t="s">
        <v>734</v>
      </c>
      <c r="Z316" s="648">
        <v>2.5135</v>
      </c>
      <c r="AA316" s="650">
        <f t="shared" si="167"/>
        <v>120.648</v>
      </c>
      <c r="AB316" s="649">
        <v>48</v>
      </c>
      <c r="AC316" s="649">
        <f t="shared" si="172"/>
        <v>0</v>
      </c>
      <c r="AD316" s="650" t="s">
        <v>123</v>
      </c>
      <c r="AE316" s="637" t="s">
        <v>153</v>
      </c>
      <c r="AF316" s="646" t="s">
        <v>107</v>
      </c>
      <c r="AG316" s="652" t="s">
        <v>43</v>
      </c>
      <c r="AH316" s="646"/>
      <c r="AI316" s="649"/>
      <c r="AJ316" s="649"/>
      <c r="AK316" s="649"/>
      <c r="AL316" s="649"/>
      <c r="AM316" s="649"/>
      <c r="AN316" s="649"/>
      <c r="AO316" s="649">
        <f t="shared" si="179"/>
        <v>48</v>
      </c>
      <c r="AP316" s="649"/>
      <c r="AQ316" s="653"/>
      <c r="AR316" s="649"/>
      <c r="AS316" s="649"/>
      <c r="AT316" s="652">
        <f t="shared" si="166"/>
        <v>48</v>
      </c>
      <c r="AU316" s="649"/>
      <c r="AV316" s="654"/>
      <c r="AW316" s="654"/>
      <c r="AX316" s="652"/>
      <c r="AY316" s="652"/>
      <c r="AZ316" s="654"/>
      <c r="BA316" s="652"/>
      <c r="BB316" s="652"/>
      <c r="BC316" s="654"/>
      <c r="BD316" s="654"/>
      <c r="BE316" s="654"/>
      <c r="BF316" s="654"/>
      <c r="BG316" s="652"/>
      <c r="BH316" s="652"/>
      <c r="BI316" s="654"/>
      <c r="BJ316" s="654"/>
      <c r="BK316" s="654"/>
      <c r="BL316" s="654"/>
      <c r="BM316" s="654"/>
      <c r="BN316" s="654"/>
      <c r="BO316" s="654"/>
      <c r="BP316" s="654"/>
      <c r="BQ316" s="654"/>
      <c r="BR316" s="654"/>
      <c r="BS316" s="654"/>
      <c r="BT316" s="654"/>
      <c r="BU316" s="654"/>
      <c r="BV316" s="654"/>
      <c r="BW316" s="645" t="s">
        <v>109</v>
      </c>
      <c r="BX316" s="658"/>
      <c r="BY316" s="658"/>
      <c r="BZ316" s="658">
        <f t="shared" si="180"/>
        <v>48</v>
      </c>
      <c r="CA316" s="658"/>
      <c r="CB316" s="644">
        <f t="shared" si="176"/>
        <v>48</v>
      </c>
      <c r="CC316" s="644"/>
      <c r="CD316" s="644">
        <f t="shared" si="177"/>
        <v>48</v>
      </c>
      <c r="CE316" s="644">
        <f t="shared" si="178"/>
        <v>0</v>
      </c>
    </row>
    <row r="317" s="338" customFormat="1" ht="40" customHeight="1" spans="1:83">
      <c r="A317" s="632">
        <v>45821</v>
      </c>
      <c r="B317" s="633" t="s">
        <v>1587</v>
      </c>
      <c r="C317" s="634" t="s">
        <v>178</v>
      </c>
      <c r="D317" s="635">
        <v>4500169928</v>
      </c>
      <c r="E317" s="659" t="s">
        <v>1639</v>
      </c>
      <c r="F317" s="636" t="s">
        <v>1640</v>
      </c>
      <c r="G317" s="637" t="s">
        <v>141</v>
      </c>
      <c r="H317" s="637" t="s">
        <v>99</v>
      </c>
      <c r="I317" s="638">
        <v>24</v>
      </c>
      <c r="J317" s="638">
        <v>0</v>
      </c>
      <c r="K317" s="639">
        <v>24</v>
      </c>
      <c r="L317" s="639">
        <f t="shared" si="175"/>
        <v>1</v>
      </c>
      <c r="M317" s="641">
        <v>45856</v>
      </c>
      <c r="N317" s="641">
        <v>45852</v>
      </c>
      <c r="O317" s="641"/>
      <c r="P317" s="642" t="s">
        <v>100</v>
      </c>
      <c r="Q317" s="643" t="s">
        <v>1513</v>
      </c>
      <c r="R317" s="642" t="s">
        <v>1562</v>
      </c>
      <c r="S317" s="641"/>
      <c r="T317" s="641"/>
      <c r="U317" s="642" t="s">
        <v>493</v>
      </c>
      <c r="V317" s="642" t="s">
        <v>1563</v>
      </c>
      <c r="W317" s="645"/>
      <c r="X317" s="647" t="s">
        <v>1590</v>
      </c>
      <c r="Y317" s="646" t="s">
        <v>734</v>
      </c>
      <c r="Z317" s="648">
        <v>2.5135</v>
      </c>
      <c r="AA317" s="650">
        <f t="shared" si="167"/>
        <v>60.324</v>
      </c>
      <c r="AB317" s="649">
        <v>24</v>
      </c>
      <c r="AC317" s="649">
        <f t="shared" si="172"/>
        <v>0</v>
      </c>
      <c r="AD317" s="650" t="s">
        <v>123</v>
      </c>
      <c r="AE317" s="637" t="s">
        <v>153</v>
      </c>
      <c r="AF317" s="646" t="s">
        <v>107</v>
      </c>
      <c r="AG317" s="652" t="s">
        <v>43</v>
      </c>
      <c r="AH317" s="646"/>
      <c r="AI317" s="649"/>
      <c r="AJ317" s="649"/>
      <c r="AK317" s="649"/>
      <c r="AL317" s="649"/>
      <c r="AM317" s="649"/>
      <c r="AN317" s="649"/>
      <c r="AO317" s="649">
        <f t="shared" si="179"/>
        <v>24</v>
      </c>
      <c r="AP317" s="649"/>
      <c r="AQ317" s="653"/>
      <c r="AR317" s="649"/>
      <c r="AS317" s="649"/>
      <c r="AT317" s="652">
        <f t="shared" si="166"/>
        <v>24</v>
      </c>
      <c r="AU317" s="649"/>
      <c r="AV317" s="654"/>
      <c r="AW317" s="654"/>
      <c r="AX317" s="652"/>
      <c r="AY317" s="652"/>
      <c r="AZ317" s="654"/>
      <c r="BA317" s="652"/>
      <c r="BB317" s="652"/>
      <c r="BC317" s="654"/>
      <c r="BD317" s="654"/>
      <c r="BE317" s="654"/>
      <c r="BF317" s="654"/>
      <c r="BG317" s="652"/>
      <c r="BH317" s="652"/>
      <c r="BI317" s="654"/>
      <c r="BJ317" s="654"/>
      <c r="BK317" s="654"/>
      <c r="BL317" s="654"/>
      <c r="BM317" s="654"/>
      <c r="BN317" s="654"/>
      <c r="BO317" s="654"/>
      <c r="BP317" s="654"/>
      <c r="BQ317" s="654"/>
      <c r="BR317" s="654"/>
      <c r="BS317" s="654"/>
      <c r="BT317" s="654"/>
      <c r="BU317" s="654"/>
      <c r="BV317" s="654"/>
      <c r="BW317" s="645" t="s">
        <v>109</v>
      </c>
      <c r="BX317" s="658"/>
      <c r="BY317" s="658"/>
      <c r="BZ317" s="658">
        <f t="shared" si="180"/>
        <v>24</v>
      </c>
      <c r="CA317" s="658"/>
      <c r="CB317" s="644">
        <f t="shared" si="176"/>
        <v>24</v>
      </c>
      <c r="CC317" s="644"/>
      <c r="CD317" s="644">
        <f t="shared" si="177"/>
        <v>24</v>
      </c>
      <c r="CE317" s="644">
        <f t="shared" si="178"/>
        <v>0</v>
      </c>
    </row>
    <row r="318" s="338" customFormat="1" ht="40" customHeight="1" spans="1:83">
      <c r="A318" s="632">
        <v>45821</v>
      </c>
      <c r="B318" s="633" t="s">
        <v>1587</v>
      </c>
      <c r="C318" s="634" t="s">
        <v>178</v>
      </c>
      <c r="D318" s="635">
        <v>4500169928</v>
      </c>
      <c r="E318" s="659" t="s">
        <v>1641</v>
      </c>
      <c r="F318" s="636" t="s">
        <v>1642</v>
      </c>
      <c r="G318" s="637" t="s">
        <v>141</v>
      </c>
      <c r="H318" s="637" t="s">
        <v>99</v>
      </c>
      <c r="I318" s="638">
        <v>24</v>
      </c>
      <c r="J318" s="638">
        <v>0</v>
      </c>
      <c r="K318" s="639">
        <v>24</v>
      </c>
      <c r="L318" s="639">
        <f t="shared" si="175"/>
        <v>1</v>
      </c>
      <c r="M318" s="641">
        <v>45856</v>
      </c>
      <c r="N318" s="641">
        <v>45852</v>
      </c>
      <c r="O318" s="641"/>
      <c r="P318" s="642" t="s">
        <v>100</v>
      </c>
      <c r="Q318" s="643" t="s">
        <v>1513</v>
      </c>
      <c r="R318" s="642" t="s">
        <v>1562</v>
      </c>
      <c r="S318" s="641"/>
      <c r="T318" s="641"/>
      <c r="U318" s="642" t="s">
        <v>493</v>
      </c>
      <c r="V318" s="642" t="s">
        <v>1563</v>
      </c>
      <c r="W318" s="645"/>
      <c r="X318" s="647" t="s">
        <v>1590</v>
      </c>
      <c r="Y318" s="646" t="s">
        <v>734</v>
      </c>
      <c r="Z318" s="648">
        <v>2.5135</v>
      </c>
      <c r="AA318" s="650">
        <f t="shared" si="167"/>
        <v>60.324</v>
      </c>
      <c r="AB318" s="649">
        <v>24</v>
      </c>
      <c r="AC318" s="649">
        <f t="shared" si="172"/>
        <v>0</v>
      </c>
      <c r="AD318" s="650" t="s">
        <v>123</v>
      </c>
      <c r="AE318" s="637" t="s">
        <v>153</v>
      </c>
      <c r="AF318" s="646" t="s">
        <v>107</v>
      </c>
      <c r="AG318" s="652" t="s">
        <v>43</v>
      </c>
      <c r="AH318" s="646"/>
      <c r="AI318" s="649"/>
      <c r="AJ318" s="649"/>
      <c r="AK318" s="649"/>
      <c r="AL318" s="649"/>
      <c r="AM318" s="649"/>
      <c r="AN318" s="649"/>
      <c r="AO318" s="649">
        <f t="shared" si="179"/>
        <v>24</v>
      </c>
      <c r="AP318" s="649"/>
      <c r="AQ318" s="653"/>
      <c r="AR318" s="649"/>
      <c r="AS318" s="649"/>
      <c r="AT318" s="652">
        <f t="shared" si="166"/>
        <v>24</v>
      </c>
      <c r="AU318" s="649"/>
      <c r="AV318" s="654"/>
      <c r="AW318" s="654"/>
      <c r="AX318" s="652"/>
      <c r="AY318" s="652"/>
      <c r="AZ318" s="654"/>
      <c r="BA318" s="652"/>
      <c r="BB318" s="652"/>
      <c r="BC318" s="654"/>
      <c r="BD318" s="654"/>
      <c r="BE318" s="654"/>
      <c r="BF318" s="654"/>
      <c r="BG318" s="652"/>
      <c r="BH318" s="652"/>
      <c r="BI318" s="654"/>
      <c r="BJ318" s="654"/>
      <c r="BK318" s="654"/>
      <c r="BL318" s="654"/>
      <c r="BM318" s="654"/>
      <c r="BN318" s="654"/>
      <c r="BO318" s="654"/>
      <c r="BP318" s="654"/>
      <c r="BQ318" s="654"/>
      <c r="BR318" s="654"/>
      <c r="BS318" s="654"/>
      <c r="BT318" s="654"/>
      <c r="BU318" s="654"/>
      <c r="BV318" s="654"/>
      <c r="BW318" s="645" t="s">
        <v>109</v>
      </c>
      <c r="BX318" s="658"/>
      <c r="BY318" s="658"/>
      <c r="BZ318" s="658">
        <f t="shared" si="180"/>
        <v>24</v>
      </c>
      <c r="CA318" s="658"/>
      <c r="CB318" s="644">
        <f t="shared" si="176"/>
        <v>24</v>
      </c>
      <c r="CC318" s="644"/>
      <c r="CD318" s="644">
        <f t="shared" si="177"/>
        <v>24</v>
      </c>
      <c r="CE318" s="644">
        <f t="shared" si="178"/>
        <v>0</v>
      </c>
    </row>
    <row r="319" s="338" customFormat="1" ht="40" customHeight="1" spans="1:83">
      <c r="A319" s="632">
        <v>45821</v>
      </c>
      <c r="B319" s="633" t="s">
        <v>1587</v>
      </c>
      <c r="C319" s="634" t="s">
        <v>178</v>
      </c>
      <c r="D319" s="635">
        <v>4500169928</v>
      </c>
      <c r="E319" s="659" t="s">
        <v>1643</v>
      </c>
      <c r="F319" s="636" t="s">
        <v>1644</v>
      </c>
      <c r="G319" s="637" t="s">
        <v>141</v>
      </c>
      <c r="H319" s="637" t="s">
        <v>99</v>
      </c>
      <c r="I319" s="638">
        <v>48</v>
      </c>
      <c r="J319" s="638">
        <v>0</v>
      </c>
      <c r="K319" s="639">
        <v>24</v>
      </c>
      <c r="L319" s="639">
        <f t="shared" si="175"/>
        <v>2</v>
      </c>
      <c r="M319" s="641">
        <v>45856</v>
      </c>
      <c r="N319" s="641">
        <v>45852</v>
      </c>
      <c r="O319" s="641"/>
      <c r="P319" s="642" t="s">
        <v>100</v>
      </c>
      <c r="Q319" s="643" t="s">
        <v>1513</v>
      </c>
      <c r="R319" s="642" t="s">
        <v>1562</v>
      </c>
      <c r="S319" s="641"/>
      <c r="T319" s="641"/>
      <c r="U319" s="642" t="s">
        <v>493</v>
      </c>
      <c r="V319" s="642" t="s">
        <v>1563</v>
      </c>
      <c r="W319" s="645"/>
      <c r="X319" s="647" t="s">
        <v>1590</v>
      </c>
      <c r="Y319" s="646" t="s">
        <v>734</v>
      </c>
      <c r="Z319" s="648">
        <v>2.5135</v>
      </c>
      <c r="AA319" s="650">
        <f t="shared" si="167"/>
        <v>120.648</v>
      </c>
      <c r="AB319" s="649">
        <v>48</v>
      </c>
      <c r="AC319" s="649">
        <f t="shared" si="172"/>
        <v>0</v>
      </c>
      <c r="AD319" s="650" t="s">
        <v>123</v>
      </c>
      <c r="AE319" s="637" t="s">
        <v>153</v>
      </c>
      <c r="AF319" s="646" t="s">
        <v>107</v>
      </c>
      <c r="AG319" s="652" t="s">
        <v>43</v>
      </c>
      <c r="AH319" s="646"/>
      <c r="AI319" s="649"/>
      <c r="AJ319" s="649"/>
      <c r="AK319" s="649"/>
      <c r="AL319" s="649"/>
      <c r="AM319" s="649"/>
      <c r="AN319" s="649"/>
      <c r="AO319" s="649">
        <f t="shared" si="179"/>
        <v>48</v>
      </c>
      <c r="AP319" s="649"/>
      <c r="AQ319" s="653"/>
      <c r="AR319" s="649"/>
      <c r="AS319" s="649"/>
      <c r="AT319" s="652">
        <f t="shared" ref="AT319:AT326" si="181">I319</f>
        <v>48</v>
      </c>
      <c r="AU319" s="649"/>
      <c r="AV319" s="654"/>
      <c r="AW319" s="654"/>
      <c r="AX319" s="652"/>
      <c r="AY319" s="652"/>
      <c r="AZ319" s="654"/>
      <c r="BA319" s="652"/>
      <c r="BB319" s="652"/>
      <c r="BC319" s="654"/>
      <c r="BD319" s="654"/>
      <c r="BE319" s="654"/>
      <c r="BF319" s="654"/>
      <c r="BG319" s="652"/>
      <c r="BH319" s="652"/>
      <c r="BI319" s="654"/>
      <c r="BJ319" s="654"/>
      <c r="BK319" s="654"/>
      <c r="BL319" s="654"/>
      <c r="BM319" s="654"/>
      <c r="BN319" s="654"/>
      <c r="BO319" s="654"/>
      <c r="BP319" s="654"/>
      <c r="BQ319" s="654"/>
      <c r="BR319" s="654"/>
      <c r="BS319" s="654"/>
      <c r="BT319" s="654"/>
      <c r="BU319" s="654"/>
      <c r="BV319" s="654"/>
      <c r="BW319" s="645" t="s">
        <v>109</v>
      </c>
      <c r="BX319" s="658"/>
      <c r="BY319" s="658"/>
      <c r="BZ319" s="658">
        <f t="shared" si="180"/>
        <v>48</v>
      </c>
      <c r="CA319" s="658"/>
      <c r="CB319" s="644">
        <f t="shared" si="176"/>
        <v>48</v>
      </c>
      <c r="CC319" s="644"/>
      <c r="CD319" s="644">
        <f t="shared" si="177"/>
        <v>48</v>
      </c>
      <c r="CE319" s="644">
        <f t="shared" si="178"/>
        <v>0</v>
      </c>
    </row>
    <row r="320" s="338" customFormat="1" ht="40" customHeight="1" spans="1:83">
      <c r="A320" s="632">
        <v>45821</v>
      </c>
      <c r="B320" s="633" t="s">
        <v>1587</v>
      </c>
      <c r="C320" s="634" t="s">
        <v>178</v>
      </c>
      <c r="D320" s="635">
        <v>4500169928</v>
      </c>
      <c r="E320" s="659" t="s">
        <v>1645</v>
      </c>
      <c r="F320" s="636" t="s">
        <v>1646</v>
      </c>
      <c r="G320" s="637" t="s">
        <v>141</v>
      </c>
      <c r="H320" s="637" t="s">
        <v>99</v>
      </c>
      <c r="I320" s="638">
        <v>24</v>
      </c>
      <c r="J320" s="638">
        <v>0</v>
      </c>
      <c r="K320" s="639">
        <v>24</v>
      </c>
      <c r="L320" s="639">
        <f t="shared" si="175"/>
        <v>1</v>
      </c>
      <c r="M320" s="641">
        <v>45856</v>
      </c>
      <c r="N320" s="641">
        <v>45852</v>
      </c>
      <c r="O320" s="641"/>
      <c r="P320" s="642" t="s">
        <v>100</v>
      </c>
      <c r="Q320" s="643" t="s">
        <v>1513</v>
      </c>
      <c r="R320" s="642" t="s">
        <v>1562</v>
      </c>
      <c r="S320" s="641"/>
      <c r="T320" s="641"/>
      <c r="U320" s="642" t="s">
        <v>493</v>
      </c>
      <c r="V320" s="642" t="s">
        <v>1563</v>
      </c>
      <c r="W320" s="645"/>
      <c r="X320" s="647" t="s">
        <v>1590</v>
      </c>
      <c r="Y320" s="646" t="s">
        <v>734</v>
      </c>
      <c r="Z320" s="648">
        <v>2.5135</v>
      </c>
      <c r="AA320" s="650">
        <f t="shared" si="167"/>
        <v>60.324</v>
      </c>
      <c r="AB320" s="649">
        <v>24</v>
      </c>
      <c r="AC320" s="649">
        <f t="shared" si="172"/>
        <v>0</v>
      </c>
      <c r="AD320" s="650" t="s">
        <v>123</v>
      </c>
      <c r="AE320" s="637" t="s">
        <v>153</v>
      </c>
      <c r="AF320" s="646" t="s">
        <v>107</v>
      </c>
      <c r="AG320" s="652" t="s">
        <v>43</v>
      </c>
      <c r="AH320" s="646"/>
      <c r="AI320" s="649"/>
      <c r="AJ320" s="649"/>
      <c r="AK320" s="649"/>
      <c r="AL320" s="649"/>
      <c r="AM320" s="649"/>
      <c r="AN320" s="649"/>
      <c r="AO320" s="649">
        <f t="shared" si="179"/>
        <v>24</v>
      </c>
      <c r="AP320" s="649"/>
      <c r="AQ320" s="653"/>
      <c r="AR320" s="649"/>
      <c r="AS320" s="649"/>
      <c r="AT320" s="652">
        <f t="shared" si="181"/>
        <v>24</v>
      </c>
      <c r="AU320" s="649"/>
      <c r="AV320" s="654"/>
      <c r="AW320" s="654"/>
      <c r="AX320" s="652"/>
      <c r="AY320" s="652"/>
      <c r="AZ320" s="654"/>
      <c r="BA320" s="652"/>
      <c r="BB320" s="652"/>
      <c r="BC320" s="654"/>
      <c r="BD320" s="654"/>
      <c r="BE320" s="654"/>
      <c r="BF320" s="654"/>
      <c r="BG320" s="652"/>
      <c r="BH320" s="652"/>
      <c r="BI320" s="654"/>
      <c r="BJ320" s="654"/>
      <c r="BK320" s="654"/>
      <c r="BL320" s="654"/>
      <c r="BM320" s="654"/>
      <c r="BN320" s="654"/>
      <c r="BO320" s="654"/>
      <c r="BP320" s="654"/>
      <c r="BQ320" s="654"/>
      <c r="BR320" s="654"/>
      <c r="BS320" s="654"/>
      <c r="BT320" s="654"/>
      <c r="BU320" s="654"/>
      <c r="BV320" s="654"/>
      <c r="BW320" s="645" t="s">
        <v>109</v>
      </c>
      <c r="BX320" s="658"/>
      <c r="BY320" s="658"/>
      <c r="BZ320" s="658">
        <f t="shared" si="180"/>
        <v>24</v>
      </c>
      <c r="CA320" s="658"/>
      <c r="CB320" s="644">
        <f t="shared" si="176"/>
        <v>24</v>
      </c>
      <c r="CC320" s="644"/>
      <c r="CD320" s="644">
        <f t="shared" si="177"/>
        <v>24</v>
      </c>
      <c r="CE320" s="644">
        <f t="shared" si="178"/>
        <v>0</v>
      </c>
    </row>
    <row r="321" s="338" customFormat="1" ht="40" customHeight="1" spans="1:83">
      <c r="A321" s="632">
        <v>45821</v>
      </c>
      <c r="B321" s="633" t="s">
        <v>1587</v>
      </c>
      <c r="C321" s="634" t="s">
        <v>178</v>
      </c>
      <c r="D321" s="635">
        <v>4500169928</v>
      </c>
      <c r="E321" s="659" t="s">
        <v>1647</v>
      </c>
      <c r="F321" s="636" t="s">
        <v>1648</v>
      </c>
      <c r="G321" s="637" t="s">
        <v>141</v>
      </c>
      <c r="H321" s="637" t="s">
        <v>99</v>
      </c>
      <c r="I321" s="638">
        <v>24</v>
      </c>
      <c r="J321" s="638">
        <v>0</v>
      </c>
      <c r="K321" s="639">
        <v>24</v>
      </c>
      <c r="L321" s="639">
        <f t="shared" si="175"/>
        <v>1</v>
      </c>
      <c r="M321" s="641">
        <v>45856</v>
      </c>
      <c r="N321" s="641">
        <v>45852</v>
      </c>
      <c r="O321" s="641"/>
      <c r="P321" s="642" t="s">
        <v>100</v>
      </c>
      <c r="Q321" s="643" t="s">
        <v>1513</v>
      </c>
      <c r="R321" s="642" t="s">
        <v>1562</v>
      </c>
      <c r="S321" s="641"/>
      <c r="T321" s="641"/>
      <c r="U321" s="642" t="s">
        <v>493</v>
      </c>
      <c r="V321" s="642" t="s">
        <v>1563</v>
      </c>
      <c r="W321" s="645"/>
      <c r="X321" s="647" t="s">
        <v>1590</v>
      </c>
      <c r="Y321" s="646" t="s">
        <v>734</v>
      </c>
      <c r="Z321" s="648">
        <v>2.5135</v>
      </c>
      <c r="AA321" s="650">
        <f t="shared" si="167"/>
        <v>60.324</v>
      </c>
      <c r="AB321" s="649">
        <v>24</v>
      </c>
      <c r="AC321" s="649">
        <f t="shared" si="172"/>
        <v>0</v>
      </c>
      <c r="AD321" s="650" t="s">
        <v>123</v>
      </c>
      <c r="AE321" s="637" t="s">
        <v>153</v>
      </c>
      <c r="AF321" s="646" t="s">
        <v>107</v>
      </c>
      <c r="AG321" s="652" t="s">
        <v>43</v>
      </c>
      <c r="AH321" s="646"/>
      <c r="AI321" s="649"/>
      <c r="AJ321" s="649"/>
      <c r="AK321" s="649"/>
      <c r="AL321" s="649"/>
      <c r="AM321" s="649"/>
      <c r="AN321" s="649"/>
      <c r="AO321" s="649">
        <f t="shared" si="179"/>
        <v>24</v>
      </c>
      <c r="AP321" s="649"/>
      <c r="AQ321" s="653"/>
      <c r="AR321" s="649"/>
      <c r="AS321" s="649"/>
      <c r="AT321" s="652">
        <f t="shared" si="181"/>
        <v>24</v>
      </c>
      <c r="AU321" s="649"/>
      <c r="AV321" s="654"/>
      <c r="AW321" s="654"/>
      <c r="AX321" s="652"/>
      <c r="AY321" s="652"/>
      <c r="AZ321" s="654"/>
      <c r="BA321" s="652"/>
      <c r="BB321" s="652"/>
      <c r="BC321" s="654"/>
      <c r="BD321" s="654"/>
      <c r="BE321" s="654"/>
      <c r="BF321" s="654"/>
      <c r="BG321" s="652"/>
      <c r="BH321" s="652"/>
      <c r="BI321" s="654"/>
      <c r="BJ321" s="654"/>
      <c r="BK321" s="654"/>
      <c r="BL321" s="654"/>
      <c r="BM321" s="654"/>
      <c r="BN321" s="654"/>
      <c r="BO321" s="654"/>
      <c r="BP321" s="654"/>
      <c r="BQ321" s="654"/>
      <c r="BR321" s="654"/>
      <c r="BS321" s="654"/>
      <c r="BT321" s="654"/>
      <c r="BU321" s="654"/>
      <c r="BV321" s="654"/>
      <c r="BW321" s="645" t="s">
        <v>109</v>
      </c>
      <c r="BX321" s="658"/>
      <c r="BY321" s="658"/>
      <c r="BZ321" s="658">
        <f t="shared" si="180"/>
        <v>24</v>
      </c>
      <c r="CA321" s="658"/>
      <c r="CB321" s="644">
        <f t="shared" si="176"/>
        <v>24</v>
      </c>
      <c r="CC321" s="644"/>
      <c r="CD321" s="644">
        <f t="shared" si="177"/>
        <v>24</v>
      </c>
      <c r="CE321" s="644">
        <f t="shared" si="178"/>
        <v>0</v>
      </c>
    </row>
    <row r="322" s="338" customFormat="1" ht="40" customHeight="1" spans="1:83">
      <c r="A322" s="632">
        <v>45821</v>
      </c>
      <c r="B322" s="633" t="s">
        <v>1587</v>
      </c>
      <c r="C322" s="634" t="s">
        <v>178</v>
      </c>
      <c r="D322" s="635">
        <v>4500169928</v>
      </c>
      <c r="E322" s="659" t="s">
        <v>1649</v>
      </c>
      <c r="F322" s="636" t="s">
        <v>1650</v>
      </c>
      <c r="G322" s="637" t="s">
        <v>141</v>
      </c>
      <c r="H322" s="637" t="s">
        <v>99</v>
      </c>
      <c r="I322" s="638">
        <v>48</v>
      </c>
      <c r="J322" s="638">
        <v>0</v>
      </c>
      <c r="K322" s="639">
        <v>24</v>
      </c>
      <c r="L322" s="639">
        <f t="shared" si="175"/>
        <v>2</v>
      </c>
      <c r="M322" s="641">
        <v>45856</v>
      </c>
      <c r="N322" s="641">
        <v>45852</v>
      </c>
      <c r="O322" s="641"/>
      <c r="P322" s="642" t="s">
        <v>100</v>
      </c>
      <c r="Q322" s="643" t="s">
        <v>1513</v>
      </c>
      <c r="R322" s="642" t="s">
        <v>1562</v>
      </c>
      <c r="S322" s="641"/>
      <c r="T322" s="641"/>
      <c r="U322" s="642" t="s">
        <v>493</v>
      </c>
      <c r="V322" s="642" t="s">
        <v>1563</v>
      </c>
      <c r="W322" s="645"/>
      <c r="X322" s="647" t="s">
        <v>1590</v>
      </c>
      <c r="Y322" s="646" t="s">
        <v>734</v>
      </c>
      <c r="Z322" s="648">
        <v>2.5135</v>
      </c>
      <c r="AA322" s="650">
        <f t="shared" si="167"/>
        <v>120.648</v>
      </c>
      <c r="AB322" s="649">
        <v>48</v>
      </c>
      <c r="AC322" s="649">
        <f t="shared" si="172"/>
        <v>0</v>
      </c>
      <c r="AD322" s="650" t="s">
        <v>123</v>
      </c>
      <c r="AE322" s="637" t="s">
        <v>153</v>
      </c>
      <c r="AF322" s="646" t="s">
        <v>107</v>
      </c>
      <c r="AG322" s="652" t="s">
        <v>43</v>
      </c>
      <c r="AH322" s="646"/>
      <c r="AI322" s="649"/>
      <c r="AJ322" s="649"/>
      <c r="AK322" s="649"/>
      <c r="AL322" s="649"/>
      <c r="AM322" s="649"/>
      <c r="AN322" s="649"/>
      <c r="AO322" s="649">
        <f t="shared" si="179"/>
        <v>48</v>
      </c>
      <c r="AP322" s="649"/>
      <c r="AQ322" s="653"/>
      <c r="AR322" s="649"/>
      <c r="AS322" s="649"/>
      <c r="AT322" s="652">
        <f t="shared" si="181"/>
        <v>48</v>
      </c>
      <c r="AU322" s="649"/>
      <c r="AV322" s="654"/>
      <c r="AW322" s="654"/>
      <c r="AX322" s="652"/>
      <c r="AY322" s="652"/>
      <c r="AZ322" s="654"/>
      <c r="BA322" s="652"/>
      <c r="BB322" s="652"/>
      <c r="BC322" s="654"/>
      <c r="BD322" s="654"/>
      <c r="BE322" s="654"/>
      <c r="BF322" s="654"/>
      <c r="BG322" s="652"/>
      <c r="BH322" s="652"/>
      <c r="BI322" s="654"/>
      <c r="BJ322" s="654"/>
      <c r="BK322" s="654"/>
      <c r="BL322" s="654"/>
      <c r="BM322" s="654"/>
      <c r="BN322" s="654"/>
      <c r="BO322" s="654"/>
      <c r="BP322" s="654"/>
      <c r="BQ322" s="654"/>
      <c r="BR322" s="654"/>
      <c r="BS322" s="654"/>
      <c r="BT322" s="654"/>
      <c r="BU322" s="654"/>
      <c r="BV322" s="654"/>
      <c r="BW322" s="645" t="s">
        <v>109</v>
      </c>
      <c r="BX322" s="658"/>
      <c r="BY322" s="658"/>
      <c r="BZ322" s="658">
        <f t="shared" si="180"/>
        <v>48</v>
      </c>
      <c r="CA322" s="658"/>
      <c r="CB322" s="644">
        <f t="shared" si="176"/>
        <v>48</v>
      </c>
      <c r="CC322" s="644"/>
      <c r="CD322" s="644">
        <f t="shared" si="177"/>
        <v>48</v>
      </c>
      <c r="CE322" s="644">
        <f t="shared" si="178"/>
        <v>0</v>
      </c>
    </row>
    <row r="323" s="338" customFormat="1" ht="40" customHeight="1" spans="1:83">
      <c r="A323" s="632">
        <v>45821</v>
      </c>
      <c r="B323" s="633" t="s">
        <v>1587</v>
      </c>
      <c r="C323" s="634" t="s">
        <v>178</v>
      </c>
      <c r="D323" s="635">
        <v>4500169928</v>
      </c>
      <c r="E323" s="659" t="s">
        <v>1651</v>
      </c>
      <c r="F323" s="636" t="s">
        <v>1652</v>
      </c>
      <c r="G323" s="637" t="s">
        <v>141</v>
      </c>
      <c r="H323" s="637" t="s">
        <v>99</v>
      </c>
      <c r="I323" s="638">
        <v>24</v>
      </c>
      <c r="J323" s="638">
        <v>0</v>
      </c>
      <c r="K323" s="639">
        <v>24</v>
      </c>
      <c r="L323" s="639">
        <f t="shared" si="175"/>
        <v>1</v>
      </c>
      <c r="M323" s="641">
        <v>45856</v>
      </c>
      <c r="N323" s="641">
        <v>45852</v>
      </c>
      <c r="O323" s="641"/>
      <c r="P323" s="642" t="s">
        <v>100</v>
      </c>
      <c r="Q323" s="643" t="s">
        <v>1513</v>
      </c>
      <c r="R323" s="642" t="s">
        <v>1562</v>
      </c>
      <c r="S323" s="641"/>
      <c r="T323" s="641"/>
      <c r="U323" s="642" t="s">
        <v>493</v>
      </c>
      <c r="V323" s="642" t="s">
        <v>1563</v>
      </c>
      <c r="W323" s="645"/>
      <c r="X323" s="647" t="s">
        <v>1590</v>
      </c>
      <c r="Y323" s="646" t="s">
        <v>734</v>
      </c>
      <c r="Z323" s="648">
        <v>2.5135</v>
      </c>
      <c r="AA323" s="650">
        <f t="shared" si="167"/>
        <v>60.324</v>
      </c>
      <c r="AB323" s="649">
        <v>24</v>
      </c>
      <c r="AC323" s="649">
        <f t="shared" si="172"/>
        <v>0</v>
      </c>
      <c r="AD323" s="650" t="s">
        <v>123</v>
      </c>
      <c r="AE323" s="637" t="s">
        <v>153</v>
      </c>
      <c r="AF323" s="646" t="s">
        <v>107</v>
      </c>
      <c r="AG323" s="652" t="s">
        <v>43</v>
      </c>
      <c r="AH323" s="646"/>
      <c r="AI323" s="649"/>
      <c r="AJ323" s="649"/>
      <c r="AK323" s="649"/>
      <c r="AL323" s="649"/>
      <c r="AM323" s="649"/>
      <c r="AN323" s="649"/>
      <c r="AO323" s="649">
        <f t="shared" si="179"/>
        <v>24</v>
      </c>
      <c r="AP323" s="649"/>
      <c r="AQ323" s="653"/>
      <c r="AR323" s="649"/>
      <c r="AS323" s="649"/>
      <c r="AT323" s="652">
        <f t="shared" si="181"/>
        <v>24</v>
      </c>
      <c r="AU323" s="649"/>
      <c r="AV323" s="654"/>
      <c r="AW323" s="654"/>
      <c r="AX323" s="652"/>
      <c r="AY323" s="652"/>
      <c r="AZ323" s="654"/>
      <c r="BA323" s="652"/>
      <c r="BB323" s="652"/>
      <c r="BC323" s="654"/>
      <c r="BD323" s="654"/>
      <c r="BE323" s="654"/>
      <c r="BF323" s="654"/>
      <c r="BG323" s="652"/>
      <c r="BH323" s="652"/>
      <c r="BI323" s="654"/>
      <c r="BJ323" s="654"/>
      <c r="BK323" s="654"/>
      <c r="BL323" s="654"/>
      <c r="BM323" s="654"/>
      <c r="BN323" s="654"/>
      <c r="BO323" s="654"/>
      <c r="BP323" s="654"/>
      <c r="BQ323" s="654"/>
      <c r="BR323" s="654"/>
      <c r="BS323" s="654"/>
      <c r="BT323" s="654"/>
      <c r="BU323" s="654"/>
      <c r="BV323" s="654"/>
      <c r="BW323" s="645" t="s">
        <v>109</v>
      </c>
      <c r="BX323" s="658"/>
      <c r="BY323" s="658"/>
      <c r="BZ323" s="658">
        <f t="shared" si="180"/>
        <v>24</v>
      </c>
      <c r="CA323" s="658"/>
      <c r="CB323" s="644">
        <f t="shared" si="176"/>
        <v>24</v>
      </c>
      <c r="CC323" s="644"/>
      <c r="CD323" s="644">
        <f t="shared" si="177"/>
        <v>24</v>
      </c>
      <c r="CE323" s="644">
        <f t="shared" si="178"/>
        <v>0</v>
      </c>
    </row>
    <row r="324" s="338" customFormat="1" ht="40" customHeight="1" spans="1:83">
      <c r="A324" s="632">
        <v>45771</v>
      </c>
      <c r="B324" s="633" t="s">
        <v>1653</v>
      </c>
      <c r="C324" s="634" t="s">
        <v>920</v>
      </c>
      <c r="D324" s="635">
        <v>4500159848</v>
      </c>
      <c r="E324" s="659" t="s">
        <v>1654</v>
      </c>
      <c r="F324" s="636" t="s">
        <v>1655</v>
      </c>
      <c r="G324" s="637" t="s">
        <v>111</v>
      </c>
      <c r="H324" s="637" t="s">
        <v>99</v>
      </c>
      <c r="I324" s="638">
        <v>66</v>
      </c>
      <c r="J324" s="638">
        <v>0</v>
      </c>
      <c r="K324" s="639">
        <v>22</v>
      </c>
      <c r="L324" s="639">
        <f t="shared" si="175"/>
        <v>3</v>
      </c>
      <c r="M324" s="641">
        <v>45859</v>
      </c>
      <c r="N324" s="641">
        <f>M324-4</f>
        <v>45855</v>
      </c>
      <c r="O324" s="641"/>
      <c r="P324" s="642" t="s">
        <v>100</v>
      </c>
      <c r="Q324" s="643" t="s">
        <v>1656</v>
      </c>
      <c r="R324" s="642" t="s">
        <v>1562</v>
      </c>
      <c r="S324" s="641"/>
      <c r="T324" s="641"/>
      <c r="U324" s="642" t="s">
        <v>1657</v>
      </c>
      <c r="V324" s="677"/>
      <c r="W324" s="645"/>
      <c r="X324" s="647" t="s">
        <v>1658</v>
      </c>
      <c r="Y324" s="646" t="s">
        <v>281</v>
      </c>
      <c r="Z324" s="683">
        <v>2.7583</v>
      </c>
      <c r="AA324" s="650">
        <f t="shared" si="167"/>
        <v>182.0478</v>
      </c>
      <c r="AB324" s="649">
        <v>66</v>
      </c>
      <c r="AC324" s="649">
        <f t="shared" si="172"/>
        <v>0</v>
      </c>
      <c r="AD324" s="650" t="s">
        <v>123</v>
      </c>
      <c r="AE324" s="637" t="s">
        <v>230</v>
      </c>
      <c r="AF324" s="646" t="s">
        <v>107</v>
      </c>
      <c r="AG324" s="652" t="s">
        <v>43</v>
      </c>
      <c r="AH324" s="646" t="s">
        <v>1659</v>
      </c>
      <c r="AI324" s="649"/>
      <c r="AJ324" s="649"/>
      <c r="AK324" s="649"/>
      <c r="AL324" s="649"/>
      <c r="AM324" s="649"/>
      <c r="AN324" s="649"/>
      <c r="AO324" s="649">
        <f t="shared" si="179"/>
        <v>66</v>
      </c>
      <c r="AP324" s="649"/>
      <c r="AQ324" s="653"/>
      <c r="AR324" s="649"/>
      <c r="AS324" s="649"/>
      <c r="AT324" s="652">
        <f t="shared" si="181"/>
        <v>66</v>
      </c>
      <c r="AU324" s="649"/>
      <c r="AV324" s="654"/>
      <c r="AW324" s="654"/>
      <c r="AX324" s="652"/>
      <c r="AY324" s="652"/>
      <c r="AZ324" s="654"/>
      <c r="BA324" s="652">
        <f>I324/11</f>
        <v>6</v>
      </c>
      <c r="BB324" s="652"/>
      <c r="BC324" s="654"/>
      <c r="BD324" s="654"/>
      <c r="BE324" s="654"/>
      <c r="BF324" s="654"/>
      <c r="BG324" s="652"/>
      <c r="BH324" s="652"/>
      <c r="BI324" s="654"/>
      <c r="BJ324" s="654"/>
      <c r="BK324" s="654"/>
      <c r="BL324" s="654"/>
      <c r="BM324" s="654"/>
      <c r="BN324" s="654"/>
      <c r="BO324" s="654"/>
      <c r="BP324" s="654"/>
      <c r="BQ324" s="654"/>
      <c r="BR324" s="654"/>
      <c r="BS324" s="654"/>
      <c r="BT324" s="654"/>
      <c r="BU324" s="654"/>
      <c r="BV324" s="654"/>
      <c r="BW324" s="645" t="s">
        <v>109</v>
      </c>
      <c r="BX324" s="658">
        <f>I324/22*5</f>
        <v>15</v>
      </c>
      <c r="BY324" s="658">
        <f>I324/22*6</f>
        <v>18</v>
      </c>
      <c r="BZ324" s="658">
        <f>I324/22*6</f>
        <v>18</v>
      </c>
      <c r="CA324" s="658">
        <f>I324/22*5</f>
        <v>15</v>
      </c>
      <c r="CB324" s="644">
        <f t="shared" si="176"/>
        <v>66</v>
      </c>
      <c r="CC324" s="658">
        <f>I324/11</f>
        <v>6</v>
      </c>
      <c r="CD324" s="644">
        <f t="shared" si="177"/>
        <v>66</v>
      </c>
      <c r="CE324" s="644">
        <f t="shared" si="178"/>
        <v>0</v>
      </c>
    </row>
    <row r="325" s="338" customFormat="1" ht="40" customHeight="1" spans="1:83">
      <c r="A325" s="632">
        <v>45825</v>
      </c>
      <c r="B325" s="633" t="s">
        <v>1501</v>
      </c>
      <c r="C325" s="634" t="s">
        <v>1502</v>
      </c>
      <c r="D325" s="635">
        <v>4500170206</v>
      </c>
      <c r="E325" s="659"/>
      <c r="F325" s="636" t="s">
        <v>1660</v>
      </c>
      <c r="G325" s="637" t="s">
        <v>98</v>
      </c>
      <c r="H325" s="637" t="s">
        <v>99</v>
      </c>
      <c r="I325" s="638">
        <v>1008</v>
      </c>
      <c r="J325" s="638">
        <v>0</v>
      </c>
      <c r="K325" s="639">
        <v>24</v>
      </c>
      <c r="L325" s="639">
        <f t="shared" ref="L324:L376" si="182">I325/K325</f>
        <v>42</v>
      </c>
      <c r="M325" s="641">
        <v>45859</v>
      </c>
      <c r="N325" s="641">
        <f>M325-4</f>
        <v>45855</v>
      </c>
      <c r="O325" s="641"/>
      <c r="P325" s="642" t="s">
        <v>100</v>
      </c>
      <c r="Q325" s="643" t="s">
        <v>1504</v>
      </c>
      <c r="R325" s="642" t="s">
        <v>1505</v>
      </c>
      <c r="S325" s="641"/>
      <c r="T325" s="641"/>
      <c r="U325" s="642" t="s">
        <v>1506</v>
      </c>
      <c r="V325" s="677"/>
      <c r="W325" s="645"/>
      <c r="X325" s="647" t="s">
        <v>1507</v>
      </c>
      <c r="Y325" s="646" t="s">
        <v>906</v>
      </c>
      <c r="Z325" s="648">
        <v>2.474</v>
      </c>
      <c r="AA325" s="650">
        <f t="shared" si="167"/>
        <v>2493.792</v>
      </c>
      <c r="AB325" s="649">
        <v>1008</v>
      </c>
      <c r="AC325" s="649">
        <f t="shared" si="172"/>
        <v>0</v>
      </c>
      <c r="AD325" s="650" t="s">
        <v>106</v>
      </c>
      <c r="AE325" s="637" t="s">
        <v>98</v>
      </c>
      <c r="AF325" s="646" t="s">
        <v>107</v>
      </c>
      <c r="AG325" s="652" t="s">
        <v>43</v>
      </c>
      <c r="AH325" s="646"/>
      <c r="AI325" s="649"/>
      <c r="AJ325" s="649"/>
      <c r="AK325" s="649"/>
      <c r="AL325" s="652">
        <f>I325</f>
        <v>1008</v>
      </c>
      <c r="AM325" s="652"/>
      <c r="AN325" s="649"/>
      <c r="AO325" s="649"/>
      <c r="AP325" s="649"/>
      <c r="AQ325" s="653"/>
      <c r="AR325" s="649"/>
      <c r="AS325" s="649"/>
      <c r="AT325" s="652">
        <f t="shared" si="181"/>
        <v>1008</v>
      </c>
      <c r="AU325" s="649"/>
      <c r="AV325" s="654"/>
      <c r="AW325" s="654"/>
      <c r="AX325" s="652"/>
      <c r="AY325" s="652"/>
      <c r="AZ325" s="654"/>
      <c r="BA325" s="652"/>
      <c r="BB325" s="652"/>
      <c r="BC325" s="654"/>
      <c r="BD325" s="654"/>
      <c r="BE325" s="654"/>
      <c r="BF325" s="654"/>
      <c r="BG325" s="652"/>
      <c r="BH325" s="652"/>
      <c r="BI325" s="654"/>
      <c r="BJ325" s="654"/>
      <c r="BK325" s="654"/>
      <c r="BL325" s="654"/>
      <c r="BM325" s="654"/>
      <c r="BN325" s="654"/>
      <c r="BO325" s="654"/>
      <c r="BP325" s="654"/>
      <c r="BQ325" s="654"/>
      <c r="BR325" s="654"/>
      <c r="BS325" s="654"/>
      <c r="BT325" s="654"/>
      <c r="BU325" s="654"/>
      <c r="BV325" s="654"/>
      <c r="BW325" s="645" t="s">
        <v>109</v>
      </c>
      <c r="BX325" s="658">
        <f>I325/4</f>
        <v>252</v>
      </c>
      <c r="BY325" s="658">
        <f>I325/4</f>
        <v>252</v>
      </c>
      <c r="BZ325" s="658">
        <f>I325/4</f>
        <v>252</v>
      </c>
      <c r="CA325" s="658">
        <f>I325/4</f>
        <v>252</v>
      </c>
      <c r="CB325" s="644">
        <f t="shared" si="176"/>
        <v>1008</v>
      </c>
      <c r="CC325" s="658"/>
      <c r="CD325" s="644">
        <f t="shared" si="177"/>
        <v>1008</v>
      </c>
      <c r="CE325" s="644">
        <f t="shared" si="178"/>
        <v>0</v>
      </c>
    </row>
    <row r="326" s="338" customFormat="1" ht="40" customHeight="1" spans="1:83">
      <c r="A326" s="632">
        <v>45824</v>
      </c>
      <c r="B326" s="633" t="s">
        <v>1587</v>
      </c>
      <c r="C326" s="634" t="s">
        <v>178</v>
      </c>
      <c r="D326" s="635">
        <v>4500170130</v>
      </c>
      <c r="E326" s="659" t="s">
        <v>1661</v>
      </c>
      <c r="F326" s="636" t="s">
        <v>1662</v>
      </c>
      <c r="G326" s="637" t="s">
        <v>189</v>
      </c>
      <c r="H326" s="637" t="s">
        <v>99</v>
      </c>
      <c r="I326" s="638">
        <v>48</v>
      </c>
      <c r="J326" s="638">
        <v>0</v>
      </c>
      <c r="K326" s="639">
        <v>24</v>
      </c>
      <c r="L326" s="639">
        <f t="shared" si="182"/>
        <v>2</v>
      </c>
      <c r="M326" s="641">
        <v>45859</v>
      </c>
      <c r="N326" s="641">
        <v>45855</v>
      </c>
      <c r="O326" s="641"/>
      <c r="P326" s="642" t="s">
        <v>100</v>
      </c>
      <c r="Q326" s="643" t="s">
        <v>1513</v>
      </c>
      <c r="R326" s="642" t="s">
        <v>1562</v>
      </c>
      <c r="S326" s="641"/>
      <c r="T326" s="641"/>
      <c r="U326" s="642" t="s">
        <v>493</v>
      </c>
      <c r="V326" s="642" t="s">
        <v>1563</v>
      </c>
      <c r="W326" s="645"/>
      <c r="X326" s="647" t="s">
        <v>1663</v>
      </c>
      <c r="Y326" s="646" t="s">
        <v>734</v>
      </c>
      <c r="Z326" s="648">
        <v>2.5135</v>
      </c>
      <c r="AA326" s="650">
        <f>Z326*'9543'!I326</f>
        <v>120.648</v>
      </c>
      <c r="AB326" s="649">
        <v>48</v>
      </c>
      <c r="AC326" s="649">
        <f t="shared" si="172"/>
        <v>0</v>
      </c>
      <c r="AD326" s="650" t="s">
        <v>106</v>
      </c>
      <c r="AE326" s="637" t="s">
        <v>190</v>
      </c>
      <c r="AF326" s="646" t="s">
        <v>107</v>
      </c>
      <c r="AG326" s="652" t="s">
        <v>43</v>
      </c>
      <c r="AH326" s="646"/>
      <c r="AI326" s="649"/>
      <c r="AJ326" s="649"/>
      <c r="AK326" s="649"/>
      <c r="AL326" s="649"/>
      <c r="AM326" s="649"/>
      <c r="AN326" s="649"/>
      <c r="AO326" s="649">
        <f t="shared" ref="AO326:AO332" si="183">I326</f>
        <v>48</v>
      </c>
      <c r="AP326" s="649"/>
      <c r="AQ326" s="653"/>
      <c r="AR326" s="649"/>
      <c r="AS326" s="649"/>
      <c r="AT326" s="652">
        <f t="shared" si="181"/>
        <v>48</v>
      </c>
      <c r="AU326" s="649"/>
      <c r="AV326" s="654"/>
      <c r="AW326" s="654"/>
      <c r="AX326" s="652"/>
      <c r="AY326" s="652"/>
      <c r="AZ326" s="654"/>
      <c r="BA326" s="652"/>
      <c r="BB326" s="652"/>
      <c r="BC326" s="654"/>
      <c r="BD326" s="654"/>
      <c r="BE326" s="654"/>
      <c r="BF326" s="654"/>
      <c r="BG326" s="652"/>
      <c r="BH326" s="652"/>
      <c r="BI326" s="654"/>
      <c r="BJ326" s="654"/>
      <c r="BK326" s="654"/>
      <c r="BL326" s="654"/>
      <c r="BM326" s="654"/>
      <c r="BN326" s="654"/>
      <c r="BO326" s="654"/>
      <c r="BP326" s="654"/>
      <c r="BQ326" s="654"/>
      <c r="BR326" s="654"/>
      <c r="BS326" s="654"/>
      <c r="BT326" s="654"/>
      <c r="BU326" s="654"/>
      <c r="BV326" s="654"/>
      <c r="BW326" s="645" t="s">
        <v>109</v>
      </c>
      <c r="BX326" s="658"/>
      <c r="BY326" s="658"/>
      <c r="BZ326" s="658"/>
      <c r="CA326" s="658">
        <f t="shared" ref="CA326:CA331" si="184">I326</f>
        <v>48</v>
      </c>
      <c r="CB326" s="644">
        <f t="shared" si="176"/>
        <v>48</v>
      </c>
      <c r="CC326" s="658"/>
      <c r="CD326" s="644">
        <f t="shared" si="177"/>
        <v>48</v>
      </c>
      <c r="CE326" s="644">
        <f t="shared" si="178"/>
        <v>0</v>
      </c>
    </row>
    <row r="327" s="338" customFormat="1" ht="40" customHeight="1" spans="1:83">
      <c r="A327" s="632">
        <v>45824</v>
      </c>
      <c r="B327" s="633" t="s">
        <v>1587</v>
      </c>
      <c r="C327" s="634" t="s">
        <v>178</v>
      </c>
      <c r="D327" s="635">
        <v>4500170130</v>
      </c>
      <c r="E327" s="659" t="s">
        <v>1664</v>
      </c>
      <c r="F327" s="636" t="s">
        <v>1665</v>
      </c>
      <c r="G327" s="637" t="s">
        <v>189</v>
      </c>
      <c r="H327" s="637" t="s">
        <v>99</v>
      </c>
      <c r="I327" s="638">
        <v>24</v>
      </c>
      <c r="J327" s="638">
        <v>0</v>
      </c>
      <c r="K327" s="639">
        <v>24</v>
      </c>
      <c r="L327" s="639">
        <f t="shared" si="182"/>
        <v>1</v>
      </c>
      <c r="M327" s="641">
        <v>45859</v>
      </c>
      <c r="N327" s="641">
        <v>45855</v>
      </c>
      <c r="O327" s="641"/>
      <c r="P327" s="642" t="s">
        <v>100</v>
      </c>
      <c r="Q327" s="643" t="s">
        <v>1513</v>
      </c>
      <c r="R327" s="642" t="s">
        <v>1562</v>
      </c>
      <c r="S327" s="641"/>
      <c r="T327" s="641"/>
      <c r="U327" s="642" t="s">
        <v>493</v>
      </c>
      <c r="V327" s="642" t="s">
        <v>1563</v>
      </c>
      <c r="W327" s="645"/>
      <c r="X327" s="647" t="s">
        <v>1663</v>
      </c>
      <c r="Y327" s="646" t="s">
        <v>734</v>
      </c>
      <c r="Z327" s="648">
        <v>2.5135</v>
      </c>
      <c r="AA327" s="650">
        <f>Z327*'9543'!I327</f>
        <v>60.324</v>
      </c>
      <c r="AB327" s="649">
        <v>24</v>
      </c>
      <c r="AC327" s="649">
        <f t="shared" si="172"/>
        <v>0</v>
      </c>
      <c r="AD327" s="650" t="s">
        <v>106</v>
      </c>
      <c r="AE327" s="637" t="s">
        <v>190</v>
      </c>
      <c r="AF327" s="646" t="s">
        <v>107</v>
      </c>
      <c r="AG327" s="652" t="s">
        <v>43</v>
      </c>
      <c r="AH327" s="646"/>
      <c r="AI327" s="649"/>
      <c r="AJ327" s="649"/>
      <c r="AK327" s="649"/>
      <c r="AL327" s="649"/>
      <c r="AM327" s="649"/>
      <c r="AN327" s="649"/>
      <c r="AO327" s="649">
        <f t="shared" si="183"/>
        <v>24</v>
      </c>
      <c r="AP327" s="649"/>
      <c r="AQ327" s="653"/>
      <c r="AR327" s="649"/>
      <c r="AS327" s="649"/>
      <c r="AT327" s="652">
        <f t="shared" ref="AT327:AT336" si="185">I327</f>
        <v>24</v>
      </c>
      <c r="AU327" s="649"/>
      <c r="AV327" s="654"/>
      <c r="AW327" s="654"/>
      <c r="AX327" s="652"/>
      <c r="AY327" s="652"/>
      <c r="AZ327" s="654"/>
      <c r="BA327" s="652"/>
      <c r="BB327" s="652"/>
      <c r="BC327" s="654"/>
      <c r="BD327" s="654"/>
      <c r="BE327" s="654"/>
      <c r="BF327" s="654"/>
      <c r="BG327" s="652"/>
      <c r="BH327" s="652"/>
      <c r="BI327" s="654"/>
      <c r="BJ327" s="654"/>
      <c r="BK327" s="654"/>
      <c r="BL327" s="654"/>
      <c r="BM327" s="654"/>
      <c r="BN327" s="654"/>
      <c r="BO327" s="654"/>
      <c r="BP327" s="654"/>
      <c r="BQ327" s="654"/>
      <c r="BR327" s="654"/>
      <c r="BS327" s="654"/>
      <c r="BT327" s="654"/>
      <c r="BU327" s="654"/>
      <c r="BV327" s="654"/>
      <c r="BW327" s="645" t="s">
        <v>109</v>
      </c>
      <c r="BX327" s="658"/>
      <c r="BY327" s="658"/>
      <c r="BZ327" s="658"/>
      <c r="CA327" s="658">
        <f t="shared" si="184"/>
        <v>24</v>
      </c>
      <c r="CB327" s="644">
        <f t="shared" si="176"/>
        <v>24</v>
      </c>
      <c r="CC327" s="658"/>
      <c r="CD327" s="644">
        <f t="shared" si="177"/>
        <v>24</v>
      </c>
      <c r="CE327" s="644">
        <f t="shared" si="178"/>
        <v>0</v>
      </c>
    </row>
    <row r="328" s="338" customFormat="1" ht="40" customHeight="1" spans="1:83">
      <c r="A328" s="632">
        <v>45824</v>
      </c>
      <c r="B328" s="633" t="s">
        <v>1587</v>
      </c>
      <c r="C328" s="634" t="s">
        <v>178</v>
      </c>
      <c r="D328" s="635">
        <v>4500170130</v>
      </c>
      <c r="E328" s="659" t="s">
        <v>1666</v>
      </c>
      <c r="F328" s="636" t="s">
        <v>1667</v>
      </c>
      <c r="G328" s="637" t="s">
        <v>189</v>
      </c>
      <c r="H328" s="637" t="s">
        <v>99</v>
      </c>
      <c r="I328" s="638">
        <v>24</v>
      </c>
      <c r="J328" s="638">
        <v>0</v>
      </c>
      <c r="K328" s="639">
        <v>24</v>
      </c>
      <c r="L328" s="639">
        <f t="shared" si="182"/>
        <v>1</v>
      </c>
      <c r="M328" s="641">
        <v>45859</v>
      </c>
      <c r="N328" s="641">
        <v>45855</v>
      </c>
      <c r="O328" s="641"/>
      <c r="P328" s="642" t="s">
        <v>100</v>
      </c>
      <c r="Q328" s="643" t="s">
        <v>1513</v>
      </c>
      <c r="R328" s="642" t="s">
        <v>1562</v>
      </c>
      <c r="S328" s="641"/>
      <c r="T328" s="641"/>
      <c r="U328" s="642" t="s">
        <v>493</v>
      </c>
      <c r="V328" s="642" t="s">
        <v>1563</v>
      </c>
      <c r="W328" s="645"/>
      <c r="X328" s="647" t="s">
        <v>1663</v>
      </c>
      <c r="Y328" s="646" t="s">
        <v>734</v>
      </c>
      <c r="Z328" s="648">
        <v>2.5135</v>
      </c>
      <c r="AA328" s="650">
        <f>Z328*'9543'!I328</f>
        <v>60.324</v>
      </c>
      <c r="AB328" s="649">
        <v>24</v>
      </c>
      <c r="AC328" s="649">
        <f t="shared" si="172"/>
        <v>0</v>
      </c>
      <c r="AD328" s="650" t="s">
        <v>106</v>
      </c>
      <c r="AE328" s="637" t="s">
        <v>190</v>
      </c>
      <c r="AF328" s="646" t="s">
        <v>107</v>
      </c>
      <c r="AG328" s="652" t="s">
        <v>43</v>
      </c>
      <c r="AH328" s="646"/>
      <c r="AI328" s="649"/>
      <c r="AJ328" s="649"/>
      <c r="AK328" s="649"/>
      <c r="AL328" s="649"/>
      <c r="AM328" s="649"/>
      <c r="AN328" s="649"/>
      <c r="AO328" s="649">
        <f t="shared" si="183"/>
        <v>24</v>
      </c>
      <c r="AP328" s="649"/>
      <c r="AQ328" s="653"/>
      <c r="AR328" s="649"/>
      <c r="AS328" s="649"/>
      <c r="AT328" s="652">
        <f t="shared" si="185"/>
        <v>24</v>
      </c>
      <c r="AU328" s="649"/>
      <c r="AV328" s="654"/>
      <c r="AW328" s="654"/>
      <c r="AX328" s="652"/>
      <c r="AY328" s="652"/>
      <c r="AZ328" s="654"/>
      <c r="BA328" s="652"/>
      <c r="BB328" s="652"/>
      <c r="BC328" s="654"/>
      <c r="BD328" s="654"/>
      <c r="BE328" s="654"/>
      <c r="BF328" s="654"/>
      <c r="BG328" s="652"/>
      <c r="BH328" s="652"/>
      <c r="BI328" s="654"/>
      <c r="BJ328" s="654"/>
      <c r="BK328" s="654"/>
      <c r="BL328" s="654"/>
      <c r="BM328" s="654"/>
      <c r="BN328" s="654"/>
      <c r="BO328" s="654"/>
      <c r="BP328" s="654"/>
      <c r="BQ328" s="654"/>
      <c r="BR328" s="654"/>
      <c r="BS328" s="654"/>
      <c r="BT328" s="654"/>
      <c r="BU328" s="654"/>
      <c r="BV328" s="654"/>
      <c r="BW328" s="645" t="s">
        <v>109</v>
      </c>
      <c r="BX328" s="658"/>
      <c r="BY328" s="658"/>
      <c r="BZ328" s="658"/>
      <c r="CA328" s="658">
        <f t="shared" si="184"/>
        <v>24</v>
      </c>
      <c r="CB328" s="644">
        <f t="shared" si="176"/>
        <v>24</v>
      </c>
      <c r="CC328" s="658"/>
      <c r="CD328" s="644">
        <f t="shared" si="177"/>
        <v>24</v>
      </c>
      <c r="CE328" s="644">
        <f t="shared" si="178"/>
        <v>0</v>
      </c>
    </row>
    <row r="329" s="338" customFormat="1" ht="40" customHeight="1" spans="1:83">
      <c r="A329" s="632">
        <v>45824</v>
      </c>
      <c r="B329" s="633" t="s">
        <v>1587</v>
      </c>
      <c r="C329" s="634" t="s">
        <v>178</v>
      </c>
      <c r="D329" s="635">
        <v>4500170130</v>
      </c>
      <c r="E329" s="659" t="s">
        <v>1668</v>
      </c>
      <c r="F329" s="636" t="s">
        <v>1669</v>
      </c>
      <c r="G329" s="637" t="s">
        <v>189</v>
      </c>
      <c r="H329" s="637" t="s">
        <v>99</v>
      </c>
      <c r="I329" s="638">
        <v>24</v>
      </c>
      <c r="J329" s="638">
        <v>0</v>
      </c>
      <c r="K329" s="639">
        <v>24</v>
      </c>
      <c r="L329" s="639">
        <f t="shared" si="182"/>
        <v>1</v>
      </c>
      <c r="M329" s="641">
        <v>45859</v>
      </c>
      <c r="N329" s="641">
        <v>45855</v>
      </c>
      <c r="O329" s="641"/>
      <c r="P329" s="642" t="s">
        <v>100</v>
      </c>
      <c r="Q329" s="643" t="s">
        <v>1513</v>
      </c>
      <c r="R329" s="642" t="s">
        <v>1562</v>
      </c>
      <c r="S329" s="641"/>
      <c r="T329" s="641"/>
      <c r="U329" s="642" t="s">
        <v>493</v>
      </c>
      <c r="V329" s="642" t="s">
        <v>1563</v>
      </c>
      <c r="W329" s="645"/>
      <c r="X329" s="647" t="s">
        <v>1663</v>
      </c>
      <c r="Y329" s="646" t="s">
        <v>734</v>
      </c>
      <c r="Z329" s="648">
        <v>2.5135</v>
      </c>
      <c r="AA329" s="650">
        <f>Z329*'9543'!I329</f>
        <v>60.324</v>
      </c>
      <c r="AB329" s="649">
        <v>24</v>
      </c>
      <c r="AC329" s="649">
        <f t="shared" si="172"/>
        <v>0</v>
      </c>
      <c r="AD329" s="650" t="s">
        <v>106</v>
      </c>
      <c r="AE329" s="637" t="s">
        <v>190</v>
      </c>
      <c r="AF329" s="646" t="s">
        <v>107</v>
      </c>
      <c r="AG329" s="652" t="s">
        <v>43</v>
      </c>
      <c r="AH329" s="646"/>
      <c r="AI329" s="649"/>
      <c r="AJ329" s="649"/>
      <c r="AK329" s="649"/>
      <c r="AL329" s="649"/>
      <c r="AM329" s="649"/>
      <c r="AN329" s="649"/>
      <c r="AO329" s="649">
        <f t="shared" si="183"/>
        <v>24</v>
      </c>
      <c r="AP329" s="649"/>
      <c r="AQ329" s="653"/>
      <c r="AR329" s="649"/>
      <c r="AS329" s="649"/>
      <c r="AT329" s="652">
        <f t="shared" si="185"/>
        <v>24</v>
      </c>
      <c r="AU329" s="649"/>
      <c r="AV329" s="654"/>
      <c r="AW329" s="654"/>
      <c r="AX329" s="652"/>
      <c r="AY329" s="652"/>
      <c r="AZ329" s="654"/>
      <c r="BA329" s="652"/>
      <c r="BB329" s="652"/>
      <c r="BC329" s="654"/>
      <c r="BD329" s="654"/>
      <c r="BE329" s="654"/>
      <c r="BF329" s="654"/>
      <c r="BG329" s="652"/>
      <c r="BH329" s="652"/>
      <c r="BI329" s="654"/>
      <c r="BJ329" s="654"/>
      <c r="BK329" s="654"/>
      <c r="BL329" s="654"/>
      <c r="BM329" s="654"/>
      <c r="BN329" s="654"/>
      <c r="BO329" s="654"/>
      <c r="BP329" s="654"/>
      <c r="BQ329" s="654"/>
      <c r="BR329" s="654"/>
      <c r="BS329" s="654"/>
      <c r="BT329" s="654"/>
      <c r="BU329" s="654"/>
      <c r="BV329" s="654"/>
      <c r="BW329" s="645" t="s">
        <v>109</v>
      </c>
      <c r="BX329" s="658"/>
      <c r="BY329" s="658"/>
      <c r="BZ329" s="658"/>
      <c r="CA329" s="658">
        <f t="shared" si="184"/>
        <v>24</v>
      </c>
      <c r="CB329" s="644">
        <f t="shared" si="176"/>
        <v>24</v>
      </c>
      <c r="CC329" s="658"/>
      <c r="CD329" s="644">
        <f t="shared" si="177"/>
        <v>24</v>
      </c>
      <c r="CE329" s="644">
        <f t="shared" si="178"/>
        <v>0</v>
      </c>
    </row>
    <row r="330" s="338" customFormat="1" ht="40" customHeight="1" spans="1:83">
      <c r="A330" s="632">
        <v>45824</v>
      </c>
      <c r="B330" s="633" t="s">
        <v>1587</v>
      </c>
      <c r="C330" s="634" t="s">
        <v>178</v>
      </c>
      <c r="D330" s="635">
        <v>4500170130</v>
      </c>
      <c r="E330" s="659" t="s">
        <v>1670</v>
      </c>
      <c r="F330" s="636" t="s">
        <v>1671</v>
      </c>
      <c r="G330" s="637" t="s">
        <v>189</v>
      </c>
      <c r="H330" s="637" t="s">
        <v>99</v>
      </c>
      <c r="I330" s="638">
        <v>24</v>
      </c>
      <c r="J330" s="638">
        <v>0</v>
      </c>
      <c r="K330" s="639">
        <v>24</v>
      </c>
      <c r="L330" s="639">
        <f t="shared" si="182"/>
        <v>1</v>
      </c>
      <c r="M330" s="641">
        <v>45859</v>
      </c>
      <c r="N330" s="641">
        <v>45855</v>
      </c>
      <c r="O330" s="641"/>
      <c r="P330" s="642" t="s">
        <v>100</v>
      </c>
      <c r="Q330" s="643" t="s">
        <v>1513</v>
      </c>
      <c r="R330" s="642" t="s">
        <v>1562</v>
      </c>
      <c r="S330" s="641"/>
      <c r="T330" s="641"/>
      <c r="U330" s="642" t="s">
        <v>493</v>
      </c>
      <c r="V330" s="642" t="s">
        <v>1563</v>
      </c>
      <c r="W330" s="645"/>
      <c r="X330" s="647" t="s">
        <v>1663</v>
      </c>
      <c r="Y330" s="646" t="s">
        <v>734</v>
      </c>
      <c r="Z330" s="648">
        <v>2.5135</v>
      </c>
      <c r="AA330" s="650">
        <f>Z330*'9543'!I330</f>
        <v>60.324</v>
      </c>
      <c r="AB330" s="649">
        <v>24</v>
      </c>
      <c r="AC330" s="649">
        <f t="shared" si="172"/>
        <v>0</v>
      </c>
      <c r="AD330" s="650" t="s">
        <v>106</v>
      </c>
      <c r="AE330" s="637" t="s">
        <v>190</v>
      </c>
      <c r="AF330" s="646" t="s">
        <v>107</v>
      </c>
      <c r="AG330" s="652" t="s">
        <v>43</v>
      </c>
      <c r="AH330" s="646"/>
      <c r="AI330" s="649"/>
      <c r="AJ330" s="649"/>
      <c r="AK330" s="649"/>
      <c r="AL330" s="649"/>
      <c r="AM330" s="649"/>
      <c r="AN330" s="649"/>
      <c r="AO330" s="649">
        <f t="shared" si="183"/>
        <v>24</v>
      </c>
      <c r="AP330" s="649"/>
      <c r="AQ330" s="653"/>
      <c r="AR330" s="649"/>
      <c r="AS330" s="649"/>
      <c r="AT330" s="652">
        <f t="shared" si="185"/>
        <v>24</v>
      </c>
      <c r="AU330" s="649"/>
      <c r="AV330" s="654"/>
      <c r="AW330" s="654"/>
      <c r="AX330" s="652"/>
      <c r="AY330" s="652"/>
      <c r="AZ330" s="654"/>
      <c r="BA330" s="652"/>
      <c r="BB330" s="652"/>
      <c r="BC330" s="654"/>
      <c r="BD330" s="654"/>
      <c r="BE330" s="654"/>
      <c r="BF330" s="654"/>
      <c r="BG330" s="652"/>
      <c r="BH330" s="652"/>
      <c r="BI330" s="654"/>
      <c r="BJ330" s="654"/>
      <c r="BK330" s="654"/>
      <c r="BL330" s="654"/>
      <c r="BM330" s="654"/>
      <c r="BN330" s="654"/>
      <c r="BO330" s="654"/>
      <c r="BP330" s="654"/>
      <c r="BQ330" s="654"/>
      <c r="BR330" s="654"/>
      <c r="BS330" s="654"/>
      <c r="BT330" s="654"/>
      <c r="BU330" s="654"/>
      <c r="BV330" s="654"/>
      <c r="BW330" s="645" t="s">
        <v>109</v>
      </c>
      <c r="BX330" s="658"/>
      <c r="BY330" s="658"/>
      <c r="BZ330" s="658"/>
      <c r="CA330" s="658">
        <f t="shared" si="184"/>
        <v>24</v>
      </c>
      <c r="CB330" s="644">
        <f t="shared" si="176"/>
        <v>24</v>
      </c>
      <c r="CC330" s="658"/>
      <c r="CD330" s="644">
        <f t="shared" si="177"/>
        <v>24</v>
      </c>
      <c r="CE330" s="644">
        <f t="shared" si="178"/>
        <v>0</v>
      </c>
    </row>
    <row r="331" s="338" customFormat="1" ht="40" customHeight="1" spans="1:83">
      <c r="A331" s="632">
        <v>45824</v>
      </c>
      <c r="B331" s="633" t="s">
        <v>1587</v>
      </c>
      <c r="C331" s="634" t="s">
        <v>178</v>
      </c>
      <c r="D331" s="635">
        <v>4500170130</v>
      </c>
      <c r="E331" s="659" t="s">
        <v>1672</v>
      </c>
      <c r="F331" s="636" t="s">
        <v>1673</v>
      </c>
      <c r="G331" s="637" t="s">
        <v>189</v>
      </c>
      <c r="H331" s="637" t="s">
        <v>99</v>
      </c>
      <c r="I331" s="638">
        <v>48</v>
      </c>
      <c r="J331" s="638">
        <v>0</v>
      </c>
      <c r="K331" s="639">
        <v>24</v>
      </c>
      <c r="L331" s="639">
        <f t="shared" si="182"/>
        <v>2</v>
      </c>
      <c r="M331" s="641">
        <v>45859</v>
      </c>
      <c r="N331" s="641">
        <v>45855</v>
      </c>
      <c r="O331" s="641"/>
      <c r="P331" s="642" t="s">
        <v>100</v>
      </c>
      <c r="Q331" s="643" t="s">
        <v>1513</v>
      </c>
      <c r="R331" s="642" t="s">
        <v>1562</v>
      </c>
      <c r="S331" s="641"/>
      <c r="T331" s="641"/>
      <c r="U331" s="642" t="s">
        <v>493</v>
      </c>
      <c r="V331" s="642" t="s">
        <v>1563</v>
      </c>
      <c r="W331" s="645"/>
      <c r="X331" s="647" t="s">
        <v>1663</v>
      </c>
      <c r="Y331" s="646" t="s">
        <v>734</v>
      </c>
      <c r="Z331" s="648">
        <v>2.5135</v>
      </c>
      <c r="AA331" s="650">
        <f>Z331*'9543'!I331</f>
        <v>120.648</v>
      </c>
      <c r="AB331" s="649">
        <v>48</v>
      </c>
      <c r="AC331" s="649">
        <f t="shared" si="172"/>
        <v>0</v>
      </c>
      <c r="AD331" s="650" t="s">
        <v>106</v>
      </c>
      <c r="AE331" s="637" t="s">
        <v>190</v>
      </c>
      <c r="AF331" s="646" t="s">
        <v>107</v>
      </c>
      <c r="AG331" s="652" t="s">
        <v>43</v>
      </c>
      <c r="AH331" s="646"/>
      <c r="AI331" s="649"/>
      <c r="AJ331" s="649"/>
      <c r="AK331" s="649"/>
      <c r="AL331" s="649"/>
      <c r="AM331" s="649"/>
      <c r="AN331" s="649"/>
      <c r="AO331" s="649">
        <f t="shared" si="183"/>
        <v>48</v>
      </c>
      <c r="AP331" s="649"/>
      <c r="AQ331" s="653"/>
      <c r="AR331" s="649"/>
      <c r="AS331" s="649"/>
      <c r="AT331" s="652">
        <f t="shared" si="185"/>
        <v>48</v>
      </c>
      <c r="AU331" s="649"/>
      <c r="AV331" s="654"/>
      <c r="AW331" s="654"/>
      <c r="AX331" s="652"/>
      <c r="AY331" s="652"/>
      <c r="AZ331" s="654"/>
      <c r="BA331" s="652"/>
      <c r="BB331" s="652"/>
      <c r="BC331" s="654"/>
      <c r="BD331" s="654"/>
      <c r="BE331" s="654"/>
      <c r="BF331" s="654"/>
      <c r="BG331" s="652"/>
      <c r="BH331" s="652"/>
      <c r="BI331" s="654"/>
      <c r="BJ331" s="654"/>
      <c r="BK331" s="654"/>
      <c r="BL331" s="654"/>
      <c r="BM331" s="654"/>
      <c r="BN331" s="654"/>
      <c r="BO331" s="654"/>
      <c r="BP331" s="654"/>
      <c r="BQ331" s="654"/>
      <c r="BR331" s="654"/>
      <c r="BS331" s="654"/>
      <c r="BT331" s="654"/>
      <c r="BU331" s="654"/>
      <c r="BV331" s="654"/>
      <c r="BW331" s="645" t="s">
        <v>109</v>
      </c>
      <c r="BX331" s="658"/>
      <c r="BY331" s="658"/>
      <c r="BZ331" s="658"/>
      <c r="CA331" s="658">
        <f t="shared" si="184"/>
        <v>48</v>
      </c>
      <c r="CB331" s="644">
        <f t="shared" si="176"/>
        <v>48</v>
      </c>
      <c r="CC331" s="658"/>
      <c r="CD331" s="644">
        <f t="shared" si="177"/>
        <v>48</v>
      </c>
      <c r="CE331" s="644">
        <f t="shared" si="178"/>
        <v>0</v>
      </c>
    </row>
    <row r="332" s="338" customFormat="1" ht="40" customHeight="1" spans="1:83">
      <c r="A332" s="632">
        <v>45824</v>
      </c>
      <c r="B332" s="633" t="s">
        <v>1587</v>
      </c>
      <c r="C332" s="634" t="s">
        <v>178</v>
      </c>
      <c r="D332" s="635">
        <v>4500170130</v>
      </c>
      <c r="E332" s="659" t="s">
        <v>1674</v>
      </c>
      <c r="F332" s="636" t="s">
        <v>1675</v>
      </c>
      <c r="G332" s="637" t="s">
        <v>159</v>
      </c>
      <c r="H332" s="637" t="s">
        <v>99</v>
      </c>
      <c r="I332" s="638">
        <v>24</v>
      </c>
      <c r="J332" s="638">
        <v>0</v>
      </c>
      <c r="K332" s="639">
        <v>24</v>
      </c>
      <c r="L332" s="639">
        <f t="shared" si="182"/>
        <v>1</v>
      </c>
      <c r="M332" s="641">
        <v>45859</v>
      </c>
      <c r="N332" s="641">
        <v>45855</v>
      </c>
      <c r="O332" s="641"/>
      <c r="P332" s="642" t="s">
        <v>100</v>
      </c>
      <c r="Q332" s="643" t="s">
        <v>1513</v>
      </c>
      <c r="R332" s="642" t="s">
        <v>1676</v>
      </c>
      <c r="S332" s="641"/>
      <c r="T332" s="641"/>
      <c r="U332" s="642" t="s">
        <v>493</v>
      </c>
      <c r="V332" s="642" t="s">
        <v>1563</v>
      </c>
      <c r="W332" s="645"/>
      <c r="X332" s="647" t="s">
        <v>1663</v>
      </c>
      <c r="Y332" s="646" t="s">
        <v>734</v>
      </c>
      <c r="Z332" s="648">
        <v>2.5135</v>
      </c>
      <c r="AA332" s="650">
        <f>Z332*'9543'!I332</f>
        <v>60.324</v>
      </c>
      <c r="AB332" s="649">
        <v>24</v>
      </c>
      <c r="AC332" s="649">
        <f t="shared" si="172"/>
        <v>0</v>
      </c>
      <c r="AD332" s="650" t="s">
        <v>106</v>
      </c>
      <c r="AE332" s="637" t="s">
        <v>166</v>
      </c>
      <c r="AF332" s="646" t="s">
        <v>107</v>
      </c>
      <c r="AG332" s="652" t="s">
        <v>43</v>
      </c>
      <c r="AH332" s="646"/>
      <c r="AI332" s="649"/>
      <c r="AJ332" s="649"/>
      <c r="AK332" s="649"/>
      <c r="AL332" s="649"/>
      <c r="AM332" s="649"/>
      <c r="AN332" s="649"/>
      <c r="AO332" s="649">
        <f t="shared" si="183"/>
        <v>24</v>
      </c>
      <c r="AP332" s="649"/>
      <c r="AQ332" s="653"/>
      <c r="AR332" s="649"/>
      <c r="AS332" s="649"/>
      <c r="AT332" s="652">
        <f t="shared" si="185"/>
        <v>24</v>
      </c>
      <c r="AU332" s="649"/>
      <c r="AV332" s="654"/>
      <c r="AW332" s="654"/>
      <c r="AX332" s="652"/>
      <c r="AY332" s="652"/>
      <c r="AZ332" s="654"/>
      <c r="BA332" s="652"/>
      <c r="BB332" s="652"/>
      <c r="BC332" s="654"/>
      <c r="BD332" s="654"/>
      <c r="BE332" s="654"/>
      <c r="BF332" s="654"/>
      <c r="BG332" s="652"/>
      <c r="BH332" s="652"/>
      <c r="BI332" s="654"/>
      <c r="BJ332" s="654"/>
      <c r="BK332" s="654"/>
      <c r="BL332" s="654"/>
      <c r="BM332" s="654"/>
      <c r="BN332" s="654"/>
      <c r="BO332" s="654"/>
      <c r="BP332" s="654"/>
      <c r="BQ332" s="654"/>
      <c r="BR332" s="654"/>
      <c r="BS332" s="654"/>
      <c r="BT332" s="654"/>
      <c r="BU332" s="654"/>
      <c r="BV332" s="654"/>
      <c r="BW332" s="645" t="s">
        <v>109</v>
      </c>
      <c r="BX332" s="658"/>
      <c r="BY332" s="658">
        <f>I332</f>
        <v>24</v>
      </c>
      <c r="BZ332" s="658"/>
      <c r="CA332" s="658"/>
      <c r="CB332" s="644">
        <f t="shared" si="176"/>
        <v>24</v>
      </c>
      <c r="CC332" s="658"/>
      <c r="CD332" s="644">
        <f t="shared" si="177"/>
        <v>24</v>
      </c>
      <c r="CE332" s="644">
        <f t="shared" si="178"/>
        <v>0</v>
      </c>
    </row>
    <row r="333" s="338" customFormat="1" ht="40" customHeight="1" spans="1:83">
      <c r="A333" s="632">
        <v>45824</v>
      </c>
      <c r="B333" s="633" t="s">
        <v>1587</v>
      </c>
      <c r="C333" s="634" t="s">
        <v>178</v>
      </c>
      <c r="D333" s="635">
        <v>4500170130</v>
      </c>
      <c r="E333" s="659" t="s">
        <v>1677</v>
      </c>
      <c r="F333" s="636" t="s">
        <v>1678</v>
      </c>
      <c r="G333" s="637" t="s">
        <v>159</v>
      </c>
      <c r="H333" s="637" t="s">
        <v>99</v>
      </c>
      <c r="I333" s="638">
        <v>48</v>
      </c>
      <c r="J333" s="638">
        <v>0</v>
      </c>
      <c r="K333" s="639">
        <v>24</v>
      </c>
      <c r="L333" s="639">
        <f t="shared" si="182"/>
        <v>2</v>
      </c>
      <c r="M333" s="641">
        <v>45859</v>
      </c>
      <c r="N333" s="641">
        <v>45855</v>
      </c>
      <c r="O333" s="641"/>
      <c r="P333" s="642" t="s">
        <v>100</v>
      </c>
      <c r="Q333" s="643" t="s">
        <v>1513</v>
      </c>
      <c r="R333" s="642" t="s">
        <v>1676</v>
      </c>
      <c r="S333" s="641"/>
      <c r="T333" s="641"/>
      <c r="U333" s="642" t="s">
        <v>493</v>
      </c>
      <c r="V333" s="642" t="s">
        <v>1563</v>
      </c>
      <c r="W333" s="645"/>
      <c r="X333" s="647" t="s">
        <v>1663</v>
      </c>
      <c r="Y333" s="646" t="s">
        <v>734</v>
      </c>
      <c r="Z333" s="648">
        <v>2.5135</v>
      </c>
      <c r="AA333" s="650">
        <f>Z333*'9543'!I333</f>
        <v>120.648</v>
      </c>
      <c r="AB333" s="649">
        <v>48</v>
      </c>
      <c r="AC333" s="649">
        <f t="shared" si="172"/>
        <v>0</v>
      </c>
      <c r="AD333" s="650" t="s">
        <v>106</v>
      </c>
      <c r="AE333" s="637" t="s">
        <v>166</v>
      </c>
      <c r="AF333" s="646" t="s">
        <v>107</v>
      </c>
      <c r="AG333" s="652" t="s">
        <v>43</v>
      </c>
      <c r="AH333" s="646"/>
      <c r="AI333" s="649"/>
      <c r="AJ333" s="649"/>
      <c r="AK333" s="649"/>
      <c r="AL333" s="649"/>
      <c r="AM333" s="649"/>
      <c r="AN333" s="649"/>
      <c r="AO333" s="649">
        <f t="shared" ref="AO333:AO339" si="186">I333</f>
        <v>48</v>
      </c>
      <c r="AP333" s="649"/>
      <c r="AQ333" s="653"/>
      <c r="AR333" s="649"/>
      <c r="AS333" s="649"/>
      <c r="AT333" s="652">
        <f t="shared" si="185"/>
        <v>48</v>
      </c>
      <c r="AU333" s="649"/>
      <c r="AV333" s="654"/>
      <c r="AW333" s="654"/>
      <c r="AX333" s="652"/>
      <c r="AY333" s="652"/>
      <c r="AZ333" s="654"/>
      <c r="BA333" s="652"/>
      <c r="BB333" s="652"/>
      <c r="BC333" s="654"/>
      <c r="BD333" s="654"/>
      <c r="BE333" s="654"/>
      <c r="BF333" s="654"/>
      <c r="BG333" s="652"/>
      <c r="BH333" s="652"/>
      <c r="BI333" s="654"/>
      <c r="BJ333" s="654"/>
      <c r="BK333" s="654"/>
      <c r="BL333" s="654"/>
      <c r="BM333" s="654"/>
      <c r="BN333" s="654"/>
      <c r="BO333" s="654"/>
      <c r="BP333" s="654"/>
      <c r="BQ333" s="654"/>
      <c r="BR333" s="654"/>
      <c r="BS333" s="654"/>
      <c r="BT333" s="654"/>
      <c r="BU333" s="654"/>
      <c r="BV333" s="654"/>
      <c r="BW333" s="645" t="s">
        <v>109</v>
      </c>
      <c r="BX333" s="658"/>
      <c r="BY333" s="658">
        <f t="shared" ref="BY333:BY338" si="187">I333</f>
        <v>48</v>
      </c>
      <c r="BZ333" s="658"/>
      <c r="CA333" s="658"/>
      <c r="CB333" s="644">
        <f t="shared" si="176"/>
        <v>48</v>
      </c>
      <c r="CC333" s="658"/>
      <c r="CD333" s="644">
        <f t="shared" si="177"/>
        <v>48</v>
      </c>
      <c r="CE333" s="644">
        <f t="shared" si="178"/>
        <v>0</v>
      </c>
    </row>
    <row r="334" s="338" customFormat="1" ht="40" customHeight="1" spans="1:83">
      <c r="A334" s="632">
        <v>45824</v>
      </c>
      <c r="B334" s="633" t="s">
        <v>1587</v>
      </c>
      <c r="C334" s="634" t="s">
        <v>178</v>
      </c>
      <c r="D334" s="635">
        <v>4500170130</v>
      </c>
      <c r="E334" s="659" t="s">
        <v>1679</v>
      </c>
      <c r="F334" s="636" t="s">
        <v>1680</v>
      </c>
      <c r="G334" s="637" t="s">
        <v>159</v>
      </c>
      <c r="H334" s="637" t="s">
        <v>99</v>
      </c>
      <c r="I334" s="638">
        <v>48</v>
      </c>
      <c r="J334" s="638">
        <v>0</v>
      </c>
      <c r="K334" s="639">
        <v>24</v>
      </c>
      <c r="L334" s="639">
        <f t="shared" si="182"/>
        <v>2</v>
      </c>
      <c r="M334" s="641">
        <v>45859</v>
      </c>
      <c r="N334" s="641">
        <v>45855</v>
      </c>
      <c r="O334" s="641"/>
      <c r="P334" s="642" t="s">
        <v>100</v>
      </c>
      <c r="Q334" s="643" t="s">
        <v>1513</v>
      </c>
      <c r="R334" s="642" t="s">
        <v>1676</v>
      </c>
      <c r="S334" s="641"/>
      <c r="T334" s="641"/>
      <c r="U334" s="642" t="s">
        <v>493</v>
      </c>
      <c r="V334" s="642" t="s">
        <v>1563</v>
      </c>
      <c r="W334" s="645"/>
      <c r="X334" s="647" t="s">
        <v>1663</v>
      </c>
      <c r="Y334" s="646" t="s">
        <v>734</v>
      </c>
      <c r="Z334" s="648">
        <v>2.5135</v>
      </c>
      <c r="AA334" s="650">
        <f>Z334*'9543'!I334</f>
        <v>120.648</v>
      </c>
      <c r="AB334" s="649">
        <v>48</v>
      </c>
      <c r="AC334" s="649">
        <f t="shared" si="172"/>
        <v>0</v>
      </c>
      <c r="AD334" s="650" t="s">
        <v>106</v>
      </c>
      <c r="AE334" s="637" t="s">
        <v>166</v>
      </c>
      <c r="AF334" s="646" t="s">
        <v>107</v>
      </c>
      <c r="AG334" s="652" t="s">
        <v>43</v>
      </c>
      <c r="AH334" s="646"/>
      <c r="AI334" s="649"/>
      <c r="AJ334" s="649"/>
      <c r="AK334" s="649"/>
      <c r="AL334" s="649"/>
      <c r="AM334" s="649"/>
      <c r="AN334" s="649"/>
      <c r="AO334" s="649">
        <f t="shared" si="186"/>
        <v>48</v>
      </c>
      <c r="AP334" s="649"/>
      <c r="AQ334" s="653"/>
      <c r="AR334" s="649"/>
      <c r="AS334" s="649"/>
      <c r="AT334" s="652">
        <f t="shared" si="185"/>
        <v>48</v>
      </c>
      <c r="AU334" s="649"/>
      <c r="AV334" s="654"/>
      <c r="AW334" s="654"/>
      <c r="AX334" s="652"/>
      <c r="AY334" s="652"/>
      <c r="AZ334" s="654"/>
      <c r="BA334" s="652"/>
      <c r="BB334" s="652"/>
      <c r="BC334" s="654"/>
      <c r="BD334" s="654"/>
      <c r="BE334" s="654"/>
      <c r="BF334" s="654"/>
      <c r="BG334" s="652"/>
      <c r="BH334" s="652"/>
      <c r="BI334" s="654"/>
      <c r="BJ334" s="654"/>
      <c r="BK334" s="654"/>
      <c r="BL334" s="654"/>
      <c r="BM334" s="654"/>
      <c r="BN334" s="654"/>
      <c r="BO334" s="654"/>
      <c r="BP334" s="654"/>
      <c r="BQ334" s="654"/>
      <c r="BR334" s="654"/>
      <c r="BS334" s="654"/>
      <c r="BT334" s="654"/>
      <c r="BU334" s="654"/>
      <c r="BV334" s="654"/>
      <c r="BW334" s="645" t="s">
        <v>109</v>
      </c>
      <c r="BX334" s="658"/>
      <c r="BY334" s="658">
        <f t="shared" si="187"/>
        <v>48</v>
      </c>
      <c r="BZ334" s="658"/>
      <c r="CA334" s="658"/>
      <c r="CB334" s="644">
        <f t="shared" si="176"/>
        <v>48</v>
      </c>
      <c r="CC334" s="658"/>
      <c r="CD334" s="644">
        <f t="shared" si="177"/>
        <v>48</v>
      </c>
      <c r="CE334" s="644">
        <f t="shared" si="178"/>
        <v>0</v>
      </c>
    </row>
    <row r="335" s="338" customFormat="1" ht="40" customHeight="1" spans="1:83">
      <c r="A335" s="632">
        <v>45824</v>
      </c>
      <c r="B335" s="633" t="s">
        <v>1587</v>
      </c>
      <c r="C335" s="634" t="s">
        <v>178</v>
      </c>
      <c r="D335" s="635">
        <v>4500170130</v>
      </c>
      <c r="E335" s="659" t="s">
        <v>1681</v>
      </c>
      <c r="F335" s="636" t="s">
        <v>1682</v>
      </c>
      <c r="G335" s="637" t="s">
        <v>159</v>
      </c>
      <c r="H335" s="637" t="s">
        <v>99</v>
      </c>
      <c r="I335" s="638">
        <v>24</v>
      </c>
      <c r="J335" s="638">
        <v>0</v>
      </c>
      <c r="K335" s="639">
        <v>24</v>
      </c>
      <c r="L335" s="639">
        <f t="shared" si="182"/>
        <v>1</v>
      </c>
      <c r="M335" s="641">
        <v>45859</v>
      </c>
      <c r="N335" s="641">
        <v>45855</v>
      </c>
      <c r="O335" s="641"/>
      <c r="P335" s="642" t="s">
        <v>100</v>
      </c>
      <c r="Q335" s="643" t="s">
        <v>1513</v>
      </c>
      <c r="R335" s="642" t="s">
        <v>1676</v>
      </c>
      <c r="S335" s="641"/>
      <c r="T335" s="641"/>
      <c r="U335" s="642" t="s">
        <v>493</v>
      </c>
      <c r="V335" s="642" t="s">
        <v>1563</v>
      </c>
      <c r="W335" s="645"/>
      <c r="X335" s="647" t="s">
        <v>1663</v>
      </c>
      <c r="Y335" s="646" t="s">
        <v>734</v>
      </c>
      <c r="Z335" s="648">
        <v>2.5135</v>
      </c>
      <c r="AA335" s="650">
        <f>Z335*'9543'!I335</f>
        <v>60.324</v>
      </c>
      <c r="AB335" s="649">
        <v>24</v>
      </c>
      <c r="AC335" s="649">
        <f t="shared" si="172"/>
        <v>0</v>
      </c>
      <c r="AD335" s="650" t="s">
        <v>106</v>
      </c>
      <c r="AE335" s="637" t="s">
        <v>166</v>
      </c>
      <c r="AF335" s="646" t="s">
        <v>107</v>
      </c>
      <c r="AG335" s="652" t="s">
        <v>43</v>
      </c>
      <c r="AH335" s="646"/>
      <c r="AI335" s="649"/>
      <c r="AJ335" s="649"/>
      <c r="AK335" s="649"/>
      <c r="AL335" s="649"/>
      <c r="AM335" s="649"/>
      <c r="AN335" s="649"/>
      <c r="AO335" s="649">
        <f t="shared" si="186"/>
        <v>24</v>
      </c>
      <c r="AP335" s="649"/>
      <c r="AQ335" s="653"/>
      <c r="AR335" s="649"/>
      <c r="AS335" s="649"/>
      <c r="AT335" s="652">
        <f t="shared" si="185"/>
        <v>24</v>
      </c>
      <c r="AU335" s="649"/>
      <c r="AV335" s="654"/>
      <c r="AW335" s="654"/>
      <c r="AX335" s="652"/>
      <c r="AY335" s="652"/>
      <c r="AZ335" s="654"/>
      <c r="BA335" s="652"/>
      <c r="BB335" s="652"/>
      <c r="BC335" s="654"/>
      <c r="BD335" s="654"/>
      <c r="BE335" s="654"/>
      <c r="BF335" s="654"/>
      <c r="BG335" s="652"/>
      <c r="BH335" s="652"/>
      <c r="BI335" s="654"/>
      <c r="BJ335" s="654"/>
      <c r="BK335" s="654"/>
      <c r="BL335" s="654"/>
      <c r="BM335" s="654"/>
      <c r="BN335" s="654"/>
      <c r="BO335" s="654"/>
      <c r="BP335" s="654"/>
      <c r="BQ335" s="654"/>
      <c r="BR335" s="654"/>
      <c r="BS335" s="654"/>
      <c r="BT335" s="654"/>
      <c r="BU335" s="654"/>
      <c r="BV335" s="654"/>
      <c r="BW335" s="645" t="s">
        <v>109</v>
      </c>
      <c r="BX335" s="658"/>
      <c r="BY335" s="658">
        <f t="shared" si="187"/>
        <v>24</v>
      </c>
      <c r="BZ335" s="658"/>
      <c r="CA335" s="658"/>
      <c r="CB335" s="644">
        <f t="shared" si="176"/>
        <v>24</v>
      </c>
      <c r="CC335" s="658"/>
      <c r="CD335" s="644">
        <f t="shared" si="177"/>
        <v>24</v>
      </c>
      <c r="CE335" s="644">
        <f t="shared" si="178"/>
        <v>0</v>
      </c>
    </row>
    <row r="336" s="338" customFormat="1" ht="40" customHeight="1" spans="1:83">
      <c r="A336" s="632">
        <v>45824</v>
      </c>
      <c r="B336" s="633" t="s">
        <v>1587</v>
      </c>
      <c r="C336" s="634" t="s">
        <v>178</v>
      </c>
      <c r="D336" s="635">
        <v>4500170130</v>
      </c>
      <c r="E336" s="659" t="s">
        <v>1683</v>
      </c>
      <c r="F336" s="636" t="s">
        <v>1684</v>
      </c>
      <c r="G336" s="637" t="s">
        <v>159</v>
      </c>
      <c r="H336" s="637" t="s">
        <v>99</v>
      </c>
      <c r="I336" s="638">
        <v>24</v>
      </c>
      <c r="J336" s="638">
        <v>0</v>
      </c>
      <c r="K336" s="639">
        <v>24</v>
      </c>
      <c r="L336" s="639">
        <f t="shared" si="182"/>
        <v>1</v>
      </c>
      <c r="M336" s="641">
        <v>45859</v>
      </c>
      <c r="N336" s="641">
        <v>45855</v>
      </c>
      <c r="O336" s="641"/>
      <c r="P336" s="642" t="s">
        <v>100</v>
      </c>
      <c r="Q336" s="643" t="s">
        <v>1513</v>
      </c>
      <c r="R336" s="642" t="s">
        <v>1676</v>
      </c>
      <c r="S336" s="641"/>
      <c r="T336" s="641"/>
      <c r="U336" s="642" t="s">
        <v>493</v>
      </c>
      <c r="V336" s="642" t="s">
        <v>1563</v>
      </c>
      <c r="W336" s="645"/>
      <c r="X336" s="647" t="s">
        <v>1663</v>
      </c>
      <c r="Y336" s="646" t="s">
        <v>734</v>
      </c>
      <c r="Z336" s="648">
        <v>2.5135</v>
      </c>
      <c r="AA336" s="650">
        <f>Z336*'9543'!I336</f>
        <v>60.324</v>
      </c>
      <c r="AB336" s="649">
        <v>24</v>
      </c>
      <c r="AC336" s="649">
        <f t="shared" si="172"/>
        <v>0</v>
      </c>
      <c r="AD336" s="650" t="s">
        <v>106</v>
      </c>
      <c r="AE336" s="637" t="s">
        <v>166</v>
      </c>
      <c r="AF336" s="646" t="s">
        <v>107</v>
      </c>
      <c r="AG336" s="652" t="s">
        <v>43</v>
      </c>
      <c r="AH336" s="646"/>
      <c r="AI336" s="649"/>
      <c r="AJ336" s="649"/>
      <c r="AK336" s="649"/>
      <c r="AL336" s="649"/>
      <c r="AM336" s="649"/>
      <c r="AN336" s="649"/>
      <c r="AO336" s="649">
        <f t="shared" si="186"/>
        <v>24</v>
      </c>
      <c r="AP336" s="649"/>
      <c r="AQ336" s="653"/>
      <c r="AR336" s="649"/>
      <c r="AS336" s="649"/>
      <c r="AT336" s="652">
        <f t="shared" si="185"/>
        <v>24</v>
      </c>
      <c r="AU336" s="649"/>
      <c r="AV336" s="654"/>
      <c r="AW336" s="654"/>
      <c r="AX336" s="652"/>
      <c r="AY336" s="652"/>
      <c r="AZ336" s="654"/>
      <c r="BA336" s="652"/>
      <c r="BB336" s="652"/>
      <c r="BC336" s="654"/>
      <c r="BD336" s="654"/>
      <c r="BE336" s="654"/>
      <c r="BF336" s="654"/>
      <c r="BG336" s="652"/>
      <c r="BH336" s="652"/>
      <c r="BI336" s="654"/>
      <c r="BJ336" s="654"/>
      <c r="BK336" s="654"/>
      <c r="BL336" s="654"/>
      <c r="BM336" s="654"/>
      <c r="BN336" s="654"/>
      <c r="BO336" s="654"/>
      <c r="BP336" s="654"/>
      <c r="BQ336" s="654"/>
      <c r="BR336" s="654"/>
      <c r="BS336" s="654"/>
      <c r="BT336" s="654"/>
      <c r="BU336" s="654"/>
      <c r="BV336" s="654"/>
      <c r="BW336" s="645" t="s">
        <v>109</v>
      </c>
      <c r="BX336" s="658"/>
      <c r="BY336" s="658">
        <f t="shared" si="187"/>
        <v>24</v>
      </c>
      <c r="BZ336" s="658"/>
      <c r="CA336" s="658"/>
      <c r="CB336" s="644">
        <f t="shared" si="176"/>
        <v>24</v>
      </c>
      <c r="CC336" s="658"/>
      <c r="CD336" s="644">
        <f t="shared" si="177"/>
        <v>24</v>
      </c>
      <c r="CE336" s="644">
        <f t="shared" si="178"/>
        <v>0</v>
      </c>
    </row>
    <row r="337" s="338" customFormat="1" ht="40" customHeight="1" spans="1:83">
      <c r="A337" s="632">
        <v>45824</v>
      </c>
      <c r="B337" s="633" t="s">
        <v>1587</v>
      </c>
      <c r="C337" s="634" t="s">
        <v>178</v>
      </c>
      <c r="D337" s="635">
        <v>4500170130</v>
      </c>
      <c r="E337" s="659" t="s">
        <v>1685</v>
      </c>
      <c r="F337" s="636" t="s">
        <v>1686</v>
      </c>
      <c r="G337" s="637" t="s">
        <v>159</v>
      </c>
      <c r="H337" s="637" t="s">
        <v>99</v>
      </c>
      <c r="I337" s="638">
        <v>48</v>
      </c>
      <c r="J337" s="638">
        <v>0</v>
      </c>
      <c r="K337" s="639">
        <v>24</v>
      </c>
      <c r="L337" s="639">
        <f t="shared" si="182"/>
        <v>2</v>
      </c>
      <c r="M337" s="641">
        <v>45859</v>
      </c>
      <c r="N337" s="641">
        <v>45855</v>
      </c>
      <c r="O337" s="641"/>
      <c r="P337" s="642" t="s">
        <v>100</v>
      </c>
      <c r="Q337" s="643" t="s">
        <v>1513</v>
      </c>
      <c r="R337" s="642" t="s">
        <v>1676</v>
      </c>
      <c r="S337" s="641"/>
      <c r="T337" s="641"/>
      <c r="U337" s="642" t="s">
        <v>493</v>
      </c>
      <c r="V337" s="642" t="s">
        <v>1563</v>
      </c>
      <c r="W337" s="645"/>
      <c r="X337" s="647" t="s">
        <v>1663</v>
      </c>
      <c r="Y337" s="646" t="s">
        <v>734</v>
      </c>
      <c r="Z337" s="648">
        <v>2.5135</v>
      </c>
      <c r="AA337" s="650">
        <f>Z337*'9543'!I337</f>
        <v>120.648</v>
      </c>
      <c r="AB337" s="649">
        <v>48</v>
      </c>
      <c r="AC337" s="649">
        <f t="shared" si="172"/>
        <v>0</v>
      </c>
      <c r="AD337" s="650" t="s">
        <v>106</v>
      </c>
      <c r="AE337" s="637" t="s">
        <v>166</v>
      </c>
      <c r="AF337" s="646" t="s">
        <v>107</v>
      </c>
      <c r="AG337" s="652" t="s">
        <v>43</v>
      </c>
      <c r="AH337" s="646"/>
      <c r="AI337" s="649"/>
      <c r="AJ337" s="649"/>
      <c r="AK337" s="649"/>
      <c r="AL337" s="649"/>
      <c r="AM337" s="649"/>
      <c r="AN337" s="649"/>
      <c r="AO337" s="649">
        <f t="shared" si="186"/>
        <v>48</v>
      </c>
      <c r="AP337" s="649"/>
      <c r="AQ337" s="653"/>
      <c r="AR337" s="649"/>
      <c r="AS337" s="649"/>
      <c r="AT337" s="652">
        <f t="shared" ref="AT337:AT346" si="188">I337</f>
        <v>48</v>
      </c>
      <c r="AU337" s="649"/>
      <c r="AV337" s="654"/>
      <c r="AW337" s="654"/>
      <c r="AX337" s="652"/>
      <c r="AY337" s="652"/>
      <c r="AZ337" s="654"/>
      <c r="BA337" s="652"/>
      <c r="BB337" s="652"/>
      <c r="BC337" s="654"/>
      <c r="BD337" s="654"/>
      <c r="BE337" s="654"/>
      <c r="BF337" s="654"/>
      <c r="BG337" s="652"/>
      <c r="BH337" s="652"/>
      <c r="BI337" s="654"/>
      <c r="BJ337" s="654"/>
      <c r="BK337" s="654"/>
      <c r="BL337" s="654"/>
      <c r="BM337" s="654"/>
      <c r="BN337" s="654"/>
      <c r="BO337" s="654"/>
      <c r="BP337" s="654"/>
      <c r="BQ337" s="654"/>
      <c r="BR337" s="654"/>
      <c r="BS337" s="654"/>
      <c r="BT337" s="654"/>
      <c r="BU337" s="654"/>
      <c r="BV337" s="654"/>
      <c r="BW337" s="645" t="s">
        <v>109</v>
      </c>
      <c r="BX337" s="658"/>
      <c r="BY337" s="658">
        <f t="shared" si="187"/>
        <v>48</v>
      </c>
      <c r="BZ337" s="658"/>
      <c r="CA337" s="658"/>
      <c r="CB337" s="644">
        <f t="shared" si="176"/>
        <v>48</v>
      </c>
      <c r="CC337" s="658"/>
      <c r="CD337" s="644">
        <f t="shared" si="177"/>
        <v>48</v>
      </c>
      <c r="CE337" s="644">
        <f t="shared" si="178"/>
        <v>0</v>
      </c>
    </row>
    <row r="338" s="338" customFormat="1" ht="40" customHeight="1" spans="1:83">
      <c r="A338" s="632">
        <v>45824</v>
      </c>
      <c r="B338" s="633" t="s">
        <v>1587</v>
      </c>
      <c r="C338" s="634" t="s">
        <v>178</v>
      </c>
      <c r="D338" s="635">
        <v>4500170130</v>
      </c>
      <c r="E338" s="659" t="s">
        <v>1687</v>
      </c>
      <c r="F338" s="636" t="s">
        <v>1688</v>
      </c>
      <c r="G338" s="637" t="s">
        <v>159</v>
      </c>
      <c r="H338" s="637" t="s">
        <v>99</v>
      </c>
      <c r="I338" s="638">
        <v>24</v>
      </c>
      <c r="J338" s="638">
        <v>0</v>
      </c>
      <c r="K338" s="639">
        <v>24</v>
      </c>
      <c r="L338" s="639">
        <f t="shared" si="182"/>
        <v>1</v>
      </c>
      <c r="M338" s="641">
        <v>45859</v>
      </c>
      <c r="N338" s="641">
        <v>45855</v>
      </c>
      <c r="O338" s="641"/>
      <c r="P338" s="642" t="s">
        <v>100</v>
      </c>
      <c r="Q338" s="643" t="s">
        <v>1513</v>
      </c>
      <c r="R338" s="642" t="s">
        <v>1676</v>
      </c>
      <c r="S338" s="641"/>
      <c r="T338" s="641"/>
      <c r="U338" s="642" t="s">
        <v>493</v>
      </c>
      <c r="V338" s="642" t="s">
        <v>1563</v>
      </c>
      <c r="W338" s="645"/>
      <c r="X338" s="647" t="s">
        <v>1663</v>
      </c>
      <c r="Y338" s="646" t="s">
        <v>734</v>
      </c>
      <c r="Z338" s="648">
        <v>2.5135</v>
      </c>
      <c r="AA338" s="650">
        <f>Z338*'9543'!I338</f>
        <v>60.324</v>
      </c>
      <c r="AB338" s="649">
        <v>24</v>
      </c>
      <c r="AC338" s="649">
        <f t="shared" si="172"/>
        <v>0</v>
      </c>
      <c r="AD338" s="650" t="s">
        <v>106</v>
      </c>
      <c r="AE338" s="637" t="s">
        <v>166</v>
      </c>
      <c r="AF338" s="646" t="s">
        <v>107</v>
      </c>
      <c r="AG338" s="652" t="s">
        <v>43</v>
      </c>
      <c r="AH338" s="646"/>
      <c r="AI338" s="649"/>
      <c r="AJ338" s="649"/>
      <c r="AK338" s="649"/>
      <c r="AL338" s="649"/>
      <c r="AM338" s="649"/>
      <c r="AN338" s="649"/>
      <c r="AO338" s="649">
        <f t="shared" si="186"/>
        <v>24</v>
      </c>
      <c r="AP338" s="649"/>
      <c r="AQ338" s="653"/>
      <c r="AR338" s="649"/>
      <c r="AS338" s="649"/>
      <c r="AT338" s="652">
        <f t="shared" si="188"/>
        <v>24</v>
      </c>
      <c r="AU338" s="649"/>
      <c r="AV338" s="654"/>
      <c r="AW338" s="654"/>
      <c r="AX338" s="652"/>
      <c r="AY338" s="652"/>
      <c r="AZ338" s="654"/>
      <c r="BA338" s="652"/>
      <c r="BB338" s="652"/>
      <c r="BC338" s="654"/>
      <c r="BD338" s="654"/>
      <c r="BE338" s="654"/>
      <c r="BF338" s="654"/>
      <c r="BG338" s="652"/>
      <c r="BH338" s="652"/>
      <c r="BI338" s="654"/>
      <c r="BJ338" s="654"/>
      <c r="BK338" s="654"/>
      <c r="BL338" s="654"/>
      <c r="BM338" s="654"/>
      <c r="BN338" s="654"/>
      <c r="BO338" s="654"/>
      <c r="BP338" s="654"/>
      <c r="BQ338" s="654"/>
      <c r="BR338" s="654"/>
      <c r="BS338" s="654"/>
      <c r="BT338" s="654"/>
      <c r="BU338" s="654"/>
      <c r="BV338" s="654"/>
      <c r="BW338" s="645" t="s">
        <v>109</v>
      </c>
      <c r="BX338" s="658"/>
      <c r="BY338" s="658">
        <f t="shared" si="187"/>
        <v>24</v>
      </c>
      <c r="BZ338" s="658"/>
      <c r="CA338" s="658"/>
      <c r="CB338" s="644">
        <f t="shared" si="176"/>
        <v>24</v>
      </c>
      <c r="CC338" s="658"/>
      <c r="CD338" s="644">
        <f t="shared" si="177"/>
        <v>24</v>
      </c>
      <c r="CE338" s="644">
        <f t="shared" si="178"/>
        <v>0</v>
      </c>
    </row>
    <row r="339" s="338" customFormat="1" ht="40" customHeight="1" spans="1:83">
      <c r="A339" s="632">
        <v>45824</v>
      </c>
      <c r="B339" s="633" t="s">
        <v>1587</v>
      </c>
      <c r="C339" s="634" t="s">
        <v>178</v>
      </c>
      <c r="D339" s="635">
        <v>4500170130</v>
      </c>
      <c r="E339" s="659" t="s">
        <v>1689</v>
      </c>
      <c r="F339" s="636" t="s">
        <v>1690</v>
      </c>
      <c r="G339" s="637" t="s">
        <v>132</v>
      </c>
      <c r="H339" s="637" t="s">
        <v>99</v>
      </c>
      <c r="I339" s="638">
        <v>72</v>
      </c>
      <c r="J339" s="638">
        <v>0</v>
      </c>
      <c r="K339" s="639">
        <v>24</v>
      </c>
      <c r="L339" s="639">
        <f t="shared" si="182"/>
        <v>3</v>
      </c>
      <c r="M339" s="641">
        <v>45859</v>
      </c>
      <c r="N339" s="641">
        <v>45855</v>
      </c>
      <c r="O339" s="641"/>
      <c r="P339" s="642" t="s">
        <v>100</v>
      </c>
      <c r="Q339" s="643" t="s">
        <v>1513</v>
      </c>
      <c r="R339" s="642" t="s">
        <v>1676</v>
      </c>
      <c r="S339" s="641"/>
      <c r="T339" s="641"/>
      <c r="U339" s="642" t="s">
        <v>493</v>
      </c>
      <c r="V339" s="642" t="s">
        <v>1563</v>
      </c>
      <c r="W339" s="645"/>
      <c r="X339" s="647" t="s">
        <v>1663</v>
      </c>
      <c r="Y339" s="646" t="s">
        <v>734</v>
      </c>
      <c r="Z339" s="648">
        <v>2.5135</v>
      </c>
      <c r="AA339" s="650">
        <f>Z339*'9543'!I339</f>
        <v>180.972</v>
      </c>
      <c r="AB339" s="649">
        <v>72</v>
      </c>
      <c r="AC339" s="649">
        <f t="shared" si="172"/>
        <v>0</v>
      </c>
      <c r="AD339" s="650" t="s">
        <v>106</v>
      </c>
      <c r="AE339" s="637" t="s">
        <v>193</v>
      </c>
      <c r="AF339" s="646" t="s">
        <v>107</v>
      </c>
      <c r="AG339" s="652" t="s">
        <v>43</v>
      </c>
      <c r="AH339" s="646"/>
      <c r="AI339" s="649"/>
      <c r="AJ339" s="649"/>
      <c r="AK339" s="649"/>
      <c r="AL339" s="649"/>
      <c r="AM339" s="649"/>
      <c r="AN339" s="649"/>
      <c r="AO339" s="649">
        <f t="shared" si="186"/>
        <v>72</v>
      </c>
      <c r="AP339" s="649"/>
      <c r="AQ339" s="653"/>
      <c r="AR339" s="649"/>
      <c r="AS339" s="649"/>
      <c r="AT339" s="652">
        <f t="shared" si="188"/>
        <v>72</v>
      </c>
      <c r="AU339" s="649"/>
      <c r="AV339" s="654"/>
      <c r="AW339" s="654"/>
      <c r="AX339" s="652"/>
      <c r="AY339" s="652"/>
      <c r="AZ339" s="654"/>
      <c r="BA339" s="652"/>
      <c r="BB339" s="652"/>
      <c r="BC339" s="654"/>
      <c r="BD339" s="654"/>
      <c r="BE339" s="654"/>
      <c r="BF339" s="654"/>
      <c r="BG339" s="652"/>
      <c r="BH339" s="652"/>
      <c r="BI339" s="654"/>
      <c r="BJ339" s="654"/>
      <c r="BK339" s="654"/>
      <c r="BL339" s="654"/>
      <c r="BM339" s="654"/>
      <c r="BN339" s="654"/>
      <c r="BO339" s="654"/>
      <c r="BP339" s="654"/>
      <c r="BQ339" s="654"/>
      <c r="BR339" s="654"/>
      <c r="BS339" s="654"/>
      <c r="BT339" s="654"/>
      <c r="BU339" s="654"/>
      <c r="BV339" s="654"/>
      <c r="BW339" s="645" t="s">
        <v>109</v>
      </c>
      <c r="BX339" s="658">
        <f t="shared" ref="BX339:BX347" si="189">I339</f>
        <v>72</v>
      </c>
      <c r="BY339" s="658"/>
      <c r="BZ339" s="658"/>
      <c r="CA339" s="658"/>
      <c r="CB339" s="644">
        <f t="shared" si="176"/>
        <v>72</v>
      </c>
      <c r="CC339" s="675"/>
      <c r="CD339" s="644">
        <f t="shared" si="177"/>
        <v>72</v>
      </c>
      <c r="CE339" s="644">
        <f t="shared" si="178"/>
        <v>0</v>
      </c>
    </row>
    <row r="340" s="338" customFormat="1" ht="40" customHeight="1" spans="1:83">
      <c r="A340" s="632">
        <v>45824</v>
      </c>
      <c r="B340" s="633" t="s">
        <v>1587</v>
      </c>
      <c r="C340" s="634" t="s">
        <v>178</v>
      </c>
      <c r="D340" s="635">
        <v>4500170130</v>
      </c>
      <c r="E340" s="659" t="s">
        <v>1691</v>
      </c>
      <c r="F340" s="636" t="s">
        <v>1692</v>
      </c>
      <c r="G340" s="637" t="s">
        <v>132</v>
      </c>
      <c r="H340" s="637" t="s">
        <v>99</v>
      </c>
      <c r="I340" s="638">
        <v>72</v>
      </c>
      <c r="J340" s="638">
        <v>0</v>
      </c>
      <c r="K340" s="639">
        <v>24</v>
      </c>
      <c r="L340" s="639">
        <f t="shared" si="182"/>
        <v>3</v>
      </c>
      <c r="M340" s="641">
        <v>45859</v>
      </c>
      <c r="N340" s="641">
        <v>45855</v>
      </c>
      <c r="O340" s="641"/>
      <c r="P340" s="642" t="s">
        <v>100</v>
      </c>
      <c r="Q340" s="643" t="s">
        <v>1513</v>
      </c>
      <c r="R340" s="642" t="s">
        <v>1676</v>
      </c>
      <c r="S340" s="641"/>
      <c r="T340" s="641"/>
      <c r="U340" s="642" t="s">
        <v>493</v>
      </c>
      <c r="V340" s="642" t="s">
        <v>1563</v>
      </c>
      <c r="W340" s="645"/>
      <c r="X340" s="647" t="s">
        <v>1663</v>
      </c>
      <c r="Y340" s="646" t="s">
        <v>734</v>
      </c>
      <c r="Z340" s="648">
        <v>2.5135</v>
      </c>
      <c r="AA340" s="650">
        <f>Z340*'9543'!I340</f>
        <v>180.972</v>
      </c>
      <c r="AB340" s="649">
        <v>72</v>
      </c>
      <c r="AC340" s="649">
        <f t="shared" si="172"/>
        <v>0</v>
      </c>
      <c r="AD340" s="650" t="s">
        <v>106</v>
      </c>
      <c r="AE340" s="637" t="s">
        <v>193</v>
      </c>
      <c r="AF340" s="646" t="s">
        <v>107</v>
      </c>
      <c r="AG340" s="652" t="s">
        <v>43</v>
      </c>
      <c r="AH340" s="646"/>
      <c r="AI340" s="649"/>
      <c r="AJ340" s="649"/>
      <c r="AK340" s="649"/>
      <c r="AL340" s="649"/>
      <c r="AM340" s="649"/>
      <c r="AN340" s="649"/>
      <c r="AO340" s="649">
        <f t="shared" ref="AO340:AO347" si="190">I340</f>
        <v>72</v>
      </c>
      <c r="AP340" s="649"/>
      <c r="AQ340" s="653"/>
      <c r="AR340" s="649"/>
      <c r="AS340" s="649"/>
      <c r="AT340" s="652">
        <f t="shared" si="188"/>
        <v>72</v>
      </c>
      <c r="AU340" s="649"/>
      <c r="AV340" s="654"/>
      <c r="AW340" s="654"/>
      <c r="AX340" s="652"/>
      <c r="AY340" s="652"/>
      <c r="AZ340" s="654"/>
      <c r="BA340" s="652"/>
      <c r="BB340" s="652"/>
      <c r="BC340" s="654"/>
      <c r="BD340" s="654"/>
      <c r="BE340" s="654"/>
      <c r="BF340" s="654"/>
      <c r="BG340" s="652"/>
      <c r="BH340" s="652"/>
      <c r="BI340" s="654"/>
      <c r="BJ340" s="654"/>
      <c r="BK340" s="654"/>
      <c r="BL340" s="654"/>
      <c r="BM340" s="654"/>
      <c r="BN340" s="654"/>
      <c r="BO340" s="654"/>
      <c r="BP340" s="654"/>
      <c r="BQ340" s="654"/>
      <c r="BR340" s="654"/>
      <c r="BS340" s="654"/>
      <c r="BT340" s="654"/>
      <c r="BU340" s="654"/>
      <c r="BV340" s="654"/>
      <c r="BW340" s="645" t="s">
        <v>109</v>
      </c>
      <c r="BX340" s="658">
        <f t="shared" si="189"/>
        <v>72</v>
      </c>
      <c r="BY340" s="658"/>
      <c r="BZ340" s="658"/>
      <c r="CA340" s="658"/>
      <c r="CB340" s="644">
        <f t="shared" si="176"/>
        <v>72</v>
      </c>
      <c r="CC340" s="675"/>
      <c r="CD340" s="644">
        <f t="shared" si="177"/>
        <v>72</v>
      </c>
      <c r="CE340" s="644">
        <f t="shared" si="178"/>
        <v>0</v>
      </c>
    </row>
    <row r="341" s="338" customFormat="1" ht="40" customHeight="1" spans="1:83">
      <c r="A341" s="632">
        <v>45824</v>
      </c>
      <c r="B341" s="633" t="s">
        <v>1587</v>
      </c>
      <c r="C341" s="634" t="s">
        <v>178</v>
      </c>
      <c r="D341" s="635">
        <v>4500170130</v>
      </c>
      <c r="E341" s="659" t="s">
        <v>1693</v>
      </c>
      <c r="F341" s="636" t="s">
        <v>1694</v>
      </c>
      <c r="G341" s="637" t="s">
        <v>132</v>
      </c>
      <c r="H341" s="637" t="s">
        <v>99</v>
      </c>
      <c r="I341" s="638">
        <v>96</v>
      </c>
      <c r="J341" s="638">
        <v>0</v>
      </c>
      <c r="K341" s="639">
        <v>24</v>
      </c>
      <c r="L341" s="639">
        <f t="shared" si="182"/>
        <v>4</v>
      </c>
      <c r="M341" s="641">
        <v>45859</v>
      </c>
      <c r="N341" s="641">
        <v>45855</v>
      </c>
      <c r="O341" s="641"/>
      <c r="P341" s="642" t="s">
        <v>100</v>
      </c>
      <c r="Q341" s="643" t="s">
        <v>1513</v>
      </c>
      <c r="R341" s="642" t="s">
        <v>1676</v>
      </c>
      <c r="S341" s="641"/>
      <c r="T341" s="641"/>
      <c r="U341" s="642" t="s">
        <v>493</v>
      </c>
      <c r="V341" s="642" t="s">
        <v>1563</v>
      </c>
      <c r="W341" s="645"/>
      <c r="X341" s="647" t="s">
        <v>1663</v>
      </c>
      <c r="Y341" s="646" t="s">
        <v>734</v>
      </c>
      <c r="Z341" s="648">
        <v>2.5135</v>
      </c>
      <c r="AA341" s="650">
        <f>Z341*'9543'!I341</f>
        <v>241.296</v>
      </c>
      <c r="AB341" s="649">
        <v>96</v>
      </c>
      <c r="AC341" s="649">
        <f t="shared" si="172"/>
        <v>0</v>
      </c>
      <c r="AD341" s="650" t="s">
        <v>106</v>
      </c>
      <c r="AE341" s="637" t="s">
        <v>193</v>
      </c>
      <c r="AF341" s="646" t="s">
        <v>107</v>
      </c>
      <c r="AG341" s="652" t="s">
        <v>43</v>
      </c>
      <c r="AH341" s="646"/>
      <c r="AI341" s="649"/>
      <c r="AJ341" s="649"/>
      <c r="AK341" s="649"/>
      <c r="AL341" s="649"/>
      <c r="AM341" s="649"/>
      <c r="AN341" s="649"/>
      <c r="AO341" s="649">
        <f t="shared" si="190"/>
        <v>96</v>
      </c>
      <c r="AP341" s="649"/>
      <c r="AQ341" s="653"/>
      <c r="AR341" s="649"/>
      <c r="AS341" s="649"/>
      <c r="AT341" s="652">
        <f t="shared" si="188"/>
        <v>96</v>
      </c>
      <c r="AU341" s="649"/>
      <c r="AV341" s="654"/>
      <c r="AW341" s="654"/>
      <c r="AX341" s="652"/>
      <c r="AY341" s="652"/>
      <c r="AZ341" s="654"/>
      <c r="BA341" s="652"/>
      <c r="BB341" s="652"/>
      <c r="BC341" s="654"/>
      <c r="BD341" s="654"/>
      <c r="BE341" s="654"/>
      <c r="BF341" s="654"/>
      <c r="BG341" s="652"/>
      <c r="BH341" s="652"/>
      <c r="BI341" s="654"/>
      <c r="BJ341" s="654"/>
      <c r="BK341" s="654"/>
      <c r="BL341" s="654"/>
      <c r="BM341" s="654"/>
      <c r="BN341" s="654"/>
      <c r="BO341" s="654"/>
      <c r="BP341" s="654"/>
      <c r="BQ341" s="654"/>
      <c r="BR341" s="654"/>
      <c r="BS341" s="654"/>
      <c r="BT341" s="654"/>
      <c r="BU341" s="654"/>
      <c r="BV341" s="654"/>
      <c r="BW341" s="645" t="s">
        <v>109</v>
      </c>
      <c r="BX341" s="658">
        <f t="shared" si="189"/>
        <v>96</v>
      </c>
      <c r="BY341" s="658"/>
      <c r="BZ341" s="658"/>
      <c r="CA341" s="658"/>
      <c r="CB341" s="644">
        <f t="shared" si="176"/>
        <v>96</v>
      </c>
      <c r="CC341" s="675"/>
      <c r="CD341" s="644">
        <f t="shared" si="177"/>
        <v>96</v>
      </c>
      <c r="CE341" s="644">
        <f t="shared" si="178"/>
        <v>0</v>
      </c>
    </row>
    <row r="342" s="338" customFormat="1" ht="40" customHeight="1" spans="1:83">
      <c r="A342" s="632">
        <v>45824</v>
      </c>
      <c r="B342" s="633" t="s">
        <v>1587</v>
      </c>
      <c r="C342" s="634" t="s">
        <v>178</v>
      </c>
      <c r="D342" s="635">
        <v>4500170130</v>
      </c>
      <c r="E342" s="659" t="s">
        <v>1695</v>
      </c>
      <c r="F342" s="636" t="s">
        <v>1696</v>
      </c>
      <c r="G342" s="637" t="s">
        <v>132</v>
      </c>
      <c r="H342" s="637" t="s">
        <v>99</v>
      </c>
      <c r="I342" s="638">
        <v>48</v>
      </c>
      <c r="J342" s="638">
        <v>0</v>
      </c>
      <c r="K342" s="639">
        <v>24</v>
      </c>
      <c r="L342" s="639">
        <f t="shared" si="182"/>
        <v>2</v>
      </c>
      <c r="M342" s="641">
        <v>45859</v>
      </c>
      <c r="N342" s="641">
        <v>45855</v>
      </c>
      <c r="O342" s="641"/>
      <c r="P342" s="642" t="s">
        <v>100</v>
      </c>
      <c r="Q342" s="643" t="s">
        <v>1513</v>
      </c>
      <c r="R342" s="642" t="s">
        <v>1676</v>
      </c>
      <c r="S342" s="641"/>
      <c r="T342" s="641"/>
      <c r="U342" s="642" t="s">
        <v>493</v>
      </c>
      <c r="V342" s="642" t="s">
        <v>1563</v>
      </c>
      <c r="W342" s="645"/>
      <c r="X342" s="647" t="s">
        <v>1663</v>
      </c>
      <c r="Y342" s="646" t="s">
        <v>734</v>
      </c>
      <c r="Z342" s="648">
        <v>2.5135</v>
      </c>
      <c r="AA342" s="650">
        <f>Z342*'9543'!I342</f>
        <v>120.648</v>
      </c>
      <c r="AB342" s="649">
        <v>48</v>
      </c>
      <c r="AC342" s="649">
        <f t="shared" si="172"/>
        <v>0</v>
      </c>
      <c r="AD342" s="650" t="s">
        <v>106</v>
      </c>
      <c r="AE342" s="637" t="s">
        <v>193</v>
      </c>
      <c r="AF342" s="646" t="s">
        <v>107</v>
      </c>
      <c r="AG342" s="652" t="s">
        <v>43</v>
      </c>
      <c r="AH342" s="646"/>
      <c r="AI342" s="649"/>
      <c r="AJ342" s="649"/>
      <c r="AK342" s="649"/>
      <c r="AL342" s="649"/>
      <c r="AM342" s="649"/>
      <c r="AN342" s="649"/>
      <c r="AO342" s="649">
        <f t="shared" si="190"/>
        <v>48</v>
      </c>
      <c r="AP342" s="649"/>
      <c r="AQ342" s="653"/>
      <c r="AR342" s="649"/>
      <c r="AS342" s="649"/>
      <c r="AT342" s="652">
        <f t="shared" si="188"/>
        <v>48</v>
      </c>
      <c r="AU342" s="649"/>
      <c r="AV342" s="654"/>
      <c r="AW342" s="654"/>
      <c r="AX342" s="652"/>
      <c r="AY342" s="652"/>
      <c r="AZ342" s="654"/>
      <c r="BA342" s="652"/>
      <c r="BB342" s="652"/>
      <c r="BC342" s="654"/>
      <c r="BD342" s="654"/>
      <c r="BE342" s="654"/>
      <c r="BF342" s="654"/>
      <c r="BG342" s="652"/>
      <c r="BH342" s="652"/>
      <c r="BI342" s="654"/>
      <c r="BJ342" s="654"/>
      <c r="BK342" s="654"/>
      <c r="BL342" s="654"/>
      <c r="BM342" s="654"/>
      <c r="BN342" s="654"/>
      <c r="BO342" s="654"/>
      <c r="BP342" s="654"/>
      <c r="BQ342" s="654"/>
      <c r="BR342" s="654"/>
      <c r="BS342" s="654"/>
      <c r="BT342" s="654"/>
      <c r="BU342" s="654"/>
      <c r="BV342" s="654"/>
      <c r="BW342" s="645" t="s">
        <v>109</v>
      </c>
      <c r="BX342" s="658">
        <f t="shared" si="189"/>
        <v>48</v>
      </c>
      <c r="BY342" s="658"/>
      <c r="BZ342" s="658"/>
      <c r="CA342" s="658"/>
      <c r="CB342" s="644">
        <f t="shared" si="176"/>
        <v>48</v>
      </c>
      <c r="CC342" s="675"/>
      <c r="CD342" s="644">
        <f t="shared" si="177"/>
        <v>48</v>
      </c>
      <c r="CE342" s="644">
        <f t="shared" si="178"/>
        <v>0</v>
      </c>
    </row>
    <row r="343" s="338" customFormat="1" ht="40" customHeight="1" spans="1:83">
      <c r="A343" s="632">
        <v>45824</v>
      </c>
      <c r="B343" s="633" t="s">
        <v>1587</v>
      </c>
      <c r="C343" s="634" t="s">
        <v>178</v>
      </c>
      <c r="D343" s="635">
        <v>4500170130</v>
      </c>
      <c r="E343" s="659" t="s">
        <v>1697</v>
      </c>
      <c r="F343" s="636" t="s">
        <v>1698</v>
      </c>
      <c r="G343" s="637" t="s">
        <v>132</v>
      </c>
      <c r="H343" s="637" t="s">
        <v>99</v>
      </c>
      <c r="I343" s="638">
        <v>72</v>
      </c>
      <c r="J343" s="638">
        <v>0</v>
      </c>
      <c r="K343" s="639">
        <v>24</v>
      </c>
      <c r="L343" s="639">
        <f t="shared" si="182"/>
        <v>3</v>
      </c>
      <c r="M343" s="641">
        <v>45859</v>
      </c>
      <c r="N343" s="641">
        <v>45855</v>
      </c>
      <c r="O343" s="641"/>
      <c r="P343" s="642" t="s">
        <v>100</v>
      </c>
      <c r="Q343" s="643" t="s">
        <v>1513</v>
      </c>
      <c r="R343" s="642" t="s">
        <v>1676</v>
      </c>
      <c r="S343" s="641"/>
      <c r="T343" s="641"/>
      <c r="U343" s="642" t="s">
        <v>493</v>
      </c>
      <c r="V343" s="642" t="s">
        <v>1563</v>
      </c>
      <c r="W343" s="645"/>
      <c r="X343" s="647" t="s">
        <v>1663</v>
      </c>
      <c r="Y343" s="646" t="s">
        <v>734</v>
      </c>
      <c r="Z343" s="648">
        <v>2.5135</v>
      </c>
      <c r="AA343" s="650">
        <f>Z343*'9543'!I343</f>
        <v>180.972</v>
      </c>
      <c r="AB343" s="649">
        <v>72</v>
      </c>
      <c r="AC343" s="649">
        <f t="shared" si="172"/>
        <v>0</v>
      </c>
      <c r="AD343" s="650" t="s">
        <v>106</v>
      </c>
      <c r="AE343" s="637" t="s">
        <v>193</v>
      </c>
      <c r="AF343" s="646" t="s">
        <v>107</v>
      </c>
      <c r="AG343" s="652" t="s">
        <v>43</v>
      </c>
      <c r="AH343" s="646"/>
      <c r="AI343" s="649"/>
      <c r="AJ343" s="649"/>
      <c r="AK343" s="649"/>
      <c r="AL343" s="649"/>
      <c r="AM343" s="649"/>
      <c r="AN343" s="649"/>
      <c r="AO343" s="649">
        <f t="shared" si="190"/>
        <v>72</v>
      </c>
      <c r="AP343" s="649"/>
      <c r="AQ343" s="653"/>
      <c r="AR343" s="649"/>
      <c r="AS343" s="649"/>
      <c r="AT343" s="652">
        <f t="shared" si="188"/>
        <v>72</v>
      </c>
      <c r="AU343" s="649"/>
      <c r="AV343" s="654"/>
      <c r="AW343" s="654"/>
      <c r="AX343" s="652"/>
      <c r="AY343" s="652"/>
      <c r="AZ343" s="654"/>
      <c r="BA343" s="652"/>
      <c r="BB343" s="652"/>
      <c r="BC343" s="654"/>
      <c r="BD343" s="654"/>
      <c r="BE343" s="654"/>
      <c r="BF343" s="654"/>
      <c r="BG343" s="652"/>
      <c r="BH343" s="652"/>
      <c r="BI343" s="654"/>
      <c r="BJ343" s="654"/>
      <c r="BK343" s="654"/>
      <c r="BL343" s="654"/>
      <c r="BM343" s="654"/>
      <c r="BN343" s="654"/>
      <c r="BO343" s="654"/>
      <c r="BP343" s="654"/>
      <c r="BQ343" s="654"/>
      <c r="BR343" s="654"/>
      <c r="BS343" s="654"/>
      <c r="BT343" s="654"/>
      <c r="BU343" s="654"/>
      <c r="BV343" s="654"/>
      <c r="BW343" s="645" t="s">
        <v>109</v>
      </c>
      <c r="BX343" s="658">
        <f t="shared" si="189"/>
        <v>72</v>
      </c>
      <c r="BY343" s="658"/>
      <c r="BZ343" s="658"/>
      <c r="CA343" s="658"/>
      <c r="CB343" s="644">
        <f t="shared" si="176"/>
        <v>72</v>
      </c>
      <c r="CC343" s="675"/>
      <c r="CD343" s="644">
        <f t="shared" si="177"/>
        <v>72</v>
      </c>
      <c r="CE343" s="644">
        <f t="shared" si="178"/>
        <v>0</v>
      </c>
    </row>
    <row r="344" s="338" customFormat="1" ht="40" customHeight="1" spans="1:83">
      <c r="A344" s="632">
        <v>45824</v>
      </c>
      <c r="B344" s="633" t="s">
        <v>1587</v>
      </c>
      <c r="C344" s="634" t="s">
        <v>178</v>
      </c>
      <c r="D344" s="635">
        <v>4500170130</v>
      </c>
      <c r="E344" s="659" t="s">
        <v>1699</v>
      </c>
      <c r="F344" s="636" t="s">
        <v>1700</v>
      </c>
      <c r="G344" s="637" t="s">
        <v>132</v>
      </c>
      <c r="H344" s="637" t="s">
        <v>99</v>
      </c>
      <c r="I344" s="638">
        <v>96</v>
      </c>
      <c r="J344" s="638">
        <v>0</v>
      </c>
      <c r="K344" s="639">
        <v>24</v>
      </c>
      <c r="L344" s="639">
        <f t="shared" si="182"/>
        <v>4</v>
      </c>
      <c r="M344" s="641">
        <v>45859</v>
      </c>
      <c r="N344" s="641">
        <v>45855</v>
      </c>
      <c r="O344" s="641"/>
      <c r="P344" s="642" t="s">
        <v>100</v>
      </c>
      <c r="Q344" s="643" t="s">
        <v>1513</v>
      </c>
      <c r="R344" s="642" t="s">
        <v>1676</v>
      </c>
      <c r="S344" s="641"/>
      <c r="T344" s="641"/>
      <c r="U344" s="642" t="s">
        <v>493</v>
      </c>
      <c r="V344" s="642" t="s">
        <v>1563</v>
      </c>
      <c r="W344" s="645"/>
      <c r="X344" s="647" t="s">
        <v>1663</v>
      </c>
      <c r="Y344" s="646" t="s">
        <v>734</v>
      </c>
      <c r="Z344" s="648">
        <v>2.5135</v>
      </c>
      <c r="AA344" s="650">
        <f>Z344*'9543'!I344</f>
        <v>241.296</v>
      </c>
      <c r="AB344" s="649">
        <v>96</v>
      </c>
      <c r="AC344" s="649">
        <f t="shared" si="172"/>
        <v>0</v>
      </c>
      <c r="AD344" s="650" t="s">
        <v>106</v>
      </c>
      <c r="AE344" s="637" t="s">
        <v>193</v>
      </c>
      <c r="AF344" s="646" t="s">
        <v>107</v>
      </c>
      <c r="AG344" s="652" t="s">
        <v>43</v>
      </c>
      <c r="AH344" s="646"/>
      <c r="AI344" s="649"/>
      <c r="AJ344" s="649"/>
      <c r="AK344" s="649"/>
      <c r="AL344" s="649"/>
      <c r="AM344" s="649"/>
      <c r="AN344" s="649"/>
      <c r="AO344" s="649">
        <f t="shared" si="190"/>
        <v>96</v>
      </c>
      <c r="AP344" s="649"/>
      <c r="AQ344" s="653"/>
      <c r="AR344" s="649"/>
      <c r="AS344" s="649"/>
      <c r="AT344" s="652">
        <f t="shared" si="188"/>
        <v>96</v>
      </c>
      <c r="AU344" s="649"/>
      <c r="AV344" s="654"/>
      <c r="AW344" s="654"/>
      <c r="AX344" s="652"/>
      <c r="AY344" s="652"/>
      <c r="AZ344" s="654"/>
      <c r="BA344" s="652"/>
      <c r="BB344" s="652"/>
      <c r="BC344" s="654"/>
      <c r="BD344" s="654"/>
      <c r="BE344" s="654"/>
      <c r="BF344" s="654"/>
      <c r="BG344" s="652"/>
      <c r="BH344" s="652"/>
      <c r="BI344" s="654"/>
      <c r="BJ344" s="654"/>
      <c r="BK344" s="654"/>
      <c r="BL344" s="654"/>
      <c r="BM344" s="654"/>
      <c r="BN344" s="654"/>
      <c r="BO344" s="654"/>
      <c r="BP344" s="654"/>
      <c r="BQ344" s="654"/>
      <c r="BR344" s="654"/>
      <c r="BS344" s="654"/>
      <c r="BT344" s="654"/>
      <c r="BU344" s="654"/>
      <c r="BV344" s="654"/>
      <c r="BW344" s="645" t="s">
        <v>109</v>
      </c>
      <c r="BX344" s="658">
        <f t="shared" si="189"/>
        <v>96</v>
      </c>
      <c r="BY344" s="658"/>
      <c r="BZ344" s="658"/>
      <c r="CA344" s="658"/>
      <c r="CB344" s="644">
        <f t="shared" si="176"/>
        <v>96</v>
      </c>
      <c r="CC344" s="675"/>
      <c r="CD344" s="644">
        <f t="shared" si="177"/>
        <v>96</v>
      </c>
      <c r="CE344" s="644">
        <f t="shared" si="178"/>
        <v>0</v>
      </c>
    </row>
    <row r="345" s="338" customFormat="1" ht="40" customHeight="1" spans="1:83">
      <c r="A345" s="632">
        <v>45824</v>
      </c>
      <c r="B345" s="633" t="s">
        <v>1587</v>
      </c>
      <c r="C345" s="634" t="s">
        <v>178</v>
      </c>
      <c r="D345" s="635">
        <v>4500170130</v>
      </c>
      <c r="E345" s="659" t="s">
        <v>1701</v>
      </c>
      <c r="F345" s="636" t="s">
        <v>1702</v>
      </c>
      <c r="G345" s="637" t="s">
        <v>132</v>
      </c>
      <c r="H345" s="637" t="s">
        <v>99</v>
      </c>
      <c r="I345" s="638">
        <v>24</v>
      </c>
      <c r="J345" s="638">
        <v>0</v>
      </c>
      <c r="K345" s="639">
        <v>24</v>
      </c>
      <c r="L345" s="639">
        <f t="shared" si="182"/>
        <v>1</v>
      </c>
      <c r="M345" s="641">
        <v>45859</v>
      </c>
      <c r="N345" s="641">
        <v>45855</v>
      </c>
      <c r="O345" s="641"/>
      <c r="P345" s="642" t="s">
        <v>100</v>
      </c>
      <c r="Q345" s="643" t="s">
        <v>1513</v>
      </c>
      <c r="R345" s="642" t="s">
        <v>1676</v>
      </c>
      <c r="S345" s="641"/>
      <c r="T345" s="641"/>
      <c r="U345" s="642" t="s">
        <v>493</v>
      </c>
      <c r="V345" s="642" t="s">
        <v>1563</v>
      </c>
      <c r="W345" s="645"/>
      <c r="X345" s="647" t="s">
        <v>1663</v>
      </c>
      <c r="Y345" s="646" t="s">
        <v>734</v>
      </c>
      <c r="Z345" s="648">
        <v>2.5135</v>
      </c>
      <c r="AA345" s="650">
        <f>Z345*'9543'!I345</f>
        <v>60.324</v>
      </c>
      <c r="AB345" s="649">
        <v>24</v>
      </c>
      <c r="AC345" s="649">
        <f t="shared" si="172"/>
        <v>0</v>
      </c>
      <c r="AD345" s="650" t="s">
        <v>106</v>
      </c>
      <c r="AE345" s="637" t="s">
        <v>193</v>
      </c>
      <c r="AF345" s="646" t="s">
        <v>107</v>
      </c>
      <c r="AG345" s="652" t="s">
        <v>43</v>
      </c>
      <c r="AH345" s="646"/>
      <c r="AI345" s="649"/>
      <c r="AJ345" s="649"/>
      <c r="AK345" s="649"/>
      <c r="AL345" s="649"/>
      <c r="AM345" s="649"/>
      <c r="AN345" s="649"/>
      <c r="AO345" s="649">
        <f t="shared" si="190"/>
        <v>24</v>
      </c>
      <c r="AP345" s="649"/>
      <c r="AQ345" s="653"/>
      <c r="AR345" s="649"/>
      <c r="AS345" s="649"/>
      <c r="AT345" s="652">
        <f t="shared" si="188"/>
        <v>24</v>
      </c>
      <c r="AU345" s="649"/>
      <c r="AV345" s="654"/>
      <c r="AW345" s="654"/>
      <c r="AX345" s="652"/>
      <c r="AY345" s="652"/>
      <c r="AZ345" s="654"/>
      <c r="BA345" s="652"/>
      <c r="BB345" s="652"/>
      <c r="BC345" s="654"/>
      <c r="BD345" s="654"/>
      <c r="BE345" s="654"/>
      <c r="BF345" s="654"/>
      <c r="BG345" s="652"/>
      <c r="BH345" s="652"/>
      <c r="BI345" s="654"/>
      <c r="BJ345" s="654"/>
      <c r="BK345" s="654"/>
      <c r="BL345" s="654"/>
      <c r="BM345" s="654"/>
      <c r="BN345" s="654"/>
      <c r="BO345" s="654"/>
      <c r="BP345" s="654"/>
      <c r="BQ345" s="654"/>
      <c r="BR345" s="654"/>
      <c r="BS345" s="654"/>
      <c r="BT345" s="654"/>
      <c r="BU345" s="654"/>
      <c r="BV345" s="654"/>
      <c r="BW345" s="645" t="s">
        <v>109</v>
      </c>
      <c r="BX345" s="658">
        <f t="shared" si="189"/>
        <v>24</v>
      </c>
      <c r="BY345" s="658"/>
      <c r="BZ345" s="658"/>
      <c r="CA345" s="658"/>
      <c r="CB345" s="644">
        <f t="shared" si="176"/>
        <v>24</v>
      </c>
      <c r="CC345" s="675"/>
      <c r="CD345" s="644">
        <f t="shared" si="177"/>
        <v>24</v>
      </c>
      <c r="CE345" s="644">
        <f t="shared" si="178"/>
        <v>0</v>
      </c>
    </row>
    <row r="346" s="338" customFormat="1" ht="40" customHeight="1" spans="1:83">
      <c r="A346" s="632">
        <v>45824</v>
      </c>
      <c r="B346" s="633" t="s">
        <v>1587</v>
      </c>
      <c r="C346" s="634" t="s">
        <v>178</v>
      </c>
      <c r="D346" s="635">
        <v>4500170130</v>
      </c>
      <c r="E346" s="659" t="s">
        <v>1703</v>
      </c>
      <c r="F346" s="636" t="s">
        <v>1704</v>
      </c>
      <c r="G346" s="637" t="s">
        <v>132</v>
      </c>
      <c r="H346" s="637" t="s">
        <v>99</v>
      </c>
      <c r="I346" s="638">
        <v>24</v>
      </c>
      <c r="J346" s="638">
        <v>0</v>
      </c>
      <c r="K346" s="639">
        <v>24</v>
      </c>
      <c r="L346" s="639">
        <f t="shared" si="182"/>
        <v>1</v>
      </c>
      <c r="M346" s="641">
        <v>45859</v>
      </c>
      <c r="N346" s="641">
        <v>45855</v>
      </c>
      <c r="O346" s="641"/>
      <c r="P346" s="642" t="s">
        <v>100</v>
      </c>
      <c r="Q346" s="643" t="s">
        <v>1513</v>
      </c>
      <c r="R346" s="642" t="s">
        <v>1676</v>
      </c>
      <c r="S346" s="641"/>
      <c r="T346" s="641"/>
      <c r="U346" s="642" t="s">
        <v>493</v>
      </c>
      <c r="V346" s="642" t="s">
        <v>1563</v>
      </c>
      <c r="W346" s="645"/>
      <c r="X346" s="647" t="s">
        <v>1663</v>
      </c>
      <c r="Y346" s="646" t="s">
        <v>734</v>
      </c>
      <c r="Z346" s="648">
        <v>2.5135</v>
      </c>
      <c r="AA346" s="650">
        <f>Z346*'9543'!I346</f>
        <v>60.324</v>
      </c>
      <c r="AB346" s="649">
        <v>24</v>
      </c>
      <c r="AC346" s="649">
        <f t="shared" si="172"/>
        <v>0</v>
      </c>
      <c r="AD346" s="650" t="s">
        <v>106</v>
      </c>
      <c r="AE346" s="637" t="s">
        <v>193</v>
      </c>
      <c r="AF346" s="646" t="s">
        <v>107</v>
      </c>
      <c r="AG346" s="652" t="s">
        <v>43</v>
      </c>
      <c r="AH346" s="646"/>
      <c r="AI346" s="649"/>
      <c r="AJ346" s="649"/>
      <c r="AK346" s="649"/>
      <c r="AL346" s="649"/>
      <c r="AM346" s="649"/>
      <c r="AN346" s="649"/>
      <c r="AO346" s="649">
        <f t="shared" si="190"/>
        <v>24</v>
      </c>
      <c r="AP346" s="649"/>
      <c r="AQ346" s="653"/>
      <c r="AR346" s="649"/>
      <c r="AS346" s="649"/>
      <c r="AT346" s="652">
        <f t="shared" si="188"/>
        <v>24</v>
      </c>
      <c r="AU346" s="649"/>
      <c r="AV346" s="654"/>
      <c r="AW346" s="654"/>
      <c r="AX346" s="652"/>
      <c r="AY346" s="652"/>
      <c r="AZ346" s="654"/>
      <c r="BA346" s="652"/>
      <c r="BB346" s="652"/>
      <c r="BC346" s="654"/>
      <c r="BD346" s="654"/>
      <c r="BE346" s="654"/>
      <c r="BF346" s="654"/>
      <c r="BG346" s="652"/>
      <c r="BH346" s="652"/>
      <c r="BI346" s="654"/>
      <c r="BJ346" s="654"/>
      <c r="BK346" s="654"/>
      <c r="BL346" s="654"/>
      <c r="BM346" s="654"/>
      <c r="BN346" s="654"/>
      <c r="BO346" s="654"/>
      <c r="BP346" s="654"/>
      <c r="BQ346" s="654"/>
      <c r="BR346" s="654"/>
      <c r="BS346" s="654"/>
      <c r="BT346" s="654"/>
      <c r="BU346" s="654"/>
      <c r="BV346" s="654"/>
      <c r="BW346" s="645" t="s">
        <v>109</v>
      </c>
      <c r="BX346" s="658">
        <f t="shared" si="189"/>
        <v>24</v>
      </c>
      <c r="BY346" s="658"/>
      <c r="BZ346" s="658"/>
      <c r="CA346" s="658"/>
      <c r="CB346" s="644">
        <f t="shared" si="176"/>
        <v>24</v>
      </c>
      <c r="CC346" s="675"/>
      <c r="CD346" s="644">
        <f t="shared" si="177"/>
        <v>24</v>
      </c>
      <c r="CE346" s="644">
        <f t="shared" si="178"/>
        <v>0</v>
      </c>
    </row>
    <row r="347" s="338" customFormat="1" ht="40" customHeight="1" spans="1:83">
      <c r="A347" s="632">
        <v>45824</v>
      </c>
      <c r="B347" s="633" t="s">
        <v>1587</v>
      </c>
      <c r="C347" s="634" t="s">
        <v>178</v>
      </c>
      <c r="D347" s="635">
        <v>4500170130</v>
      </c>
      <c r="E347" s="659" t="s">
        <v>1705</v>
      </c>
      <c r="F347" s="636" t="s">
        <v>1706</v>
      </c>
      <c r="G347" s="637" t="s">
        <v>132</v>
      </c>
      <c r="H347" s="637" t="s">
        <v>99</v>
      </c>
      <c r="I347" s="638">
        <v>48</v>
      </c>
      <c r="J347" s="638">
        <v>0</v>
      </c>
      <c r="K347" s="639">
        <v>24</v>
      </c>
      <c r="L347" s="639">
        <f t="shared" si="182"/>
        <v>2</v>
      </c>
      <c r="M347" s="641">
        <v>45859</v>
      </c>
      <c r="N347" s="641">
        <v>45855</v>
      </c>
      <c r="O347" s="641"/>
      <c r="P347" s="642" t="s">
        <v>100</v>
      </c>
      <c r="Q347" s="643" t="s">
        <v>1513</v>
      </c>
      <c r="R347" s="642" t="s">
        <v>1676</v>
      </c>
      <c r="S347" s="641"/>
      <c r="T347" s="641"/>
      <c r="U347" s="642" t="s">
        <v>493</v>
      </c>
      <c r="V347" s="642" t="s">
        <v>1563</v>
      </c>
      <c r="W347" s="645"/>
      <c r="X347" s="647" t="s">
        <v>1663</v>
      </c>
      <c r="Y347" s="646" t="s">
        <v>734</v>
      </c>
      <c r="Z347" s="648">
        <v>2.5135</v>
      </c>
      <c r="AA347" s="650">
        <f>Z347*'9543'!I347</f>
        <v>120.648</v>
      </c>
      <c r="AB347" s="649">
        <v>48</v>
      </c>
      <c r="AC347" s="649">
        <f t="shared" si="172"/>
        <v>0</v>
      </c>
      <c r="AD347" s="650" t="s">
        <v>106</v>
      </c>
      <c r="AE347" s="637" t="s">
        <v>193</v>
      </c>
      <c r="AF347" s="646" t="s">
        <v>107</v>
      </c>
      <c r="AG347" s="652" t="s">
        <v>43</v>
      </c>
      <c r="AH347" s="646"/>
      <c r="AI347" s="649"/>
      <c r="AJ347" s="649"/>
      <c r="AK347" s="649"/>
      <c r="AL347" s="649"/>
      <c r="AM347" s="649"/>
      <c r="AN347" s="649"/>
      <c r="AO347" s="649">
        <f t="shared" si="190"/>
        <v>48</v>
      </c>
      <c r="AP347" s="649"/>
      <c r="AQ347" s="653"/>
      <c r="AR347" s="649"/>
      <c r="AS347" s="649"/>
      <c r="AT347" s="652">
        <f t="shared" ref="AT347:AT356" si="191">I347</f>
        <v>48</v>
      </c>
      <c r="AU347" s="649"/>
      <c r="AV347" s="654"/>
      <c r="AW347" s="654"/>
      <c r="AX347" s="652"/>
      <c r="AY347" s="652"/>
      <c r="AZ347" s="654"/>
      <c r="BA347" s="652"/>
      <c r="BB347" s="652"/>
      <c r="BC347" s="654"/>
      <c r="BD347" s="654"/>
      <c r="BE347" s="654"/>
      <c r="BF347" s="654"/>
      <c r="BG347" s="652"/>
      <c r="BH347" s="652"/>
      <c r="BI347" s="654"/>
      <c r="BJ347" s="654"/>
      <c r="BK347" s="654"/>
      <c r="BL347" s="654"/>
      <c r="BM347" s="654"/>
      <c r="BN347" s="654"/>
      <c r="BO347" s="654"/>
      <c r="BP347" s="654"/>
      <c r="BQ347" s="654"/>
      <c r="BR347" s="654"/>
      <c r="BS347" s="654"/>
      <c r="BT347" s="654"/>
      <c r="BU347" s="654"/>
      <c r="BV347" s="654"/>
      <c r="BW347" s="645" t="s">
        <v>109</v>
      </c>
      <c r="BX347" s="658">
        <f t="shared" si="189"/>
        <v>48</v>
      </c>
      <c r="BY347" s="658"/>
      <c r="BZ347" s="658"/>
      <c r="CA347" s="658"/>
      <c r="CB347" s="644">
        <f t="shared" si="176"/>
        <v>48</v>
      </c>
      <c r="CC347" s="675"/>
      <c r="CD347" s="644">
        <f t="shared" si="177"/>
        <v>48</v>
      </c>
      <c r="CE347" s="644">
        <f t="shared" si="178"/>
        <v>0</v>
      </c>
    </row>
    <row r="348" s="338" customFormat="1" ht="40" customHeight="1" spans="1:83">
      <c r="A348" s="632">
        <v>45807</v>
      </c>
      <c r="B348" s="633" t="s">
        <v>1707</v>
      </c>
      <c r="C348" s="634" t="s">
        <v>214</v>
      </c>
      <c r="D348" s="635">
        <v>4500168600</v>
      </c>
      <c r="E348" s="659" t="s">
        <v>1708</v>
      </c>
      <c r="F348" s="636" t="s">
        <v>1709</v>
      </c>
      <c r="G348" s="637" t="s">
        <v>189</v>
      </c>
      <c r="H348" s="637" t="s">
        <v>99</v>
      </c>
      <c r="I348" s="638">
        <v>72</v>
      </c>
      <c r="J348" s="638">
        <v>0</v>
      </c>
      <c r="K348" s="639">
        <v>24</v>
      </c>
      <c r="L348" s="639">
        <f t="shared" si="182"/>
        <v>3</v>
      </c>
      <c r="M348" s="641">
        <v>45860</v>
      </c>
      <c r="N348" s="641">
        <v>45856</v>
      </c>
      <c r="O348" s="641"/>
      <c r="P348" s="642" t="s">
        <v>100</v>
      </c>
      <c r="Q348" s="643" t="s">
        <v>1710</v>
      </c>
      <c r="R348" s="642" t="s">
        <v>1498</v>
      </c>
      <c r="S348" s="641"/>
      <c r="T348" s="641"/>
      <c r="U348" s="642" t="s">
        <v>1550</v>
      </c>
      <c r="V348" s="642" t="s">
        <v>1711</v>
      </c>
      <c r="W348" s="645"/>
      <c r="X348" s="647" t="s">
        <v>1712</v>
      </c>
      <c r="Y348" s="646" t="s">
        <v>809</v>
      </c>
      <c r="Z348" s="648">
        <v>2.5135</v>
      </c>
      <c r="AA348" s="650">
        <f t="shared" ref="AA348:AA411" si="192">I348*Z348</f>
        <v>180.972</v>
      </c>
      <c r="AB348" s="649">
        <v>72</v>
      </c>
      <c r="AC348" s="649">
        <f t="shared" si="172"/>
        <v>0</v>
      </c>
      <c r="AD348" s="650" t="s">
        <v>106</v>
      </c>
      <c r="AE348" s="661" t="s">
        <v>456</v>
      </c>
      <c r="AF348" s="646" t="s">
        <v>107</v>
      </c>
      <c r="AG348" s="652" t="s">
        <v>43</v>
      </c>
      <c r="AH348" s="646" t="s">
        <v>1713</v>
      </c>
      <c r="AI348" s="649"/>
      <c r="AJ348" s="649"/>
      <c r="AK348" s="649"/>
      <c r="AL348" s="652">
        <f>I348</f>
        <v>72</v>
      </c>
      <c r="AM348" s="652"/>
      <c r="AN348" s="649"/>
      <c r="AO348" s="649"/>
      <c r="AP348" s="649"/>
      <c r="AQ348" s="653"/>
      <c r="AR348" s="649"/>
      <c r="AS348" s="649"/>
      <c r="AT348" s="652">
        <f t="shared" si="191"/>
        <v>72</v>
      </c>
      <c r="AU348" s="649"/>
      <c r="AV348" s="654"/>
      <c r="AW348" s="654"/>
      <c r="AX348" s="652"/>
      <c r="AY348" s="652"/>
      <c r="AZ348" s="654"/>
      <c r="BA348" s="652"/>
      <c r="BB348" s="652"/>
      <c r="BC348" s="654"/>
      <c r="BD348" s="654"/>
      <c r="BE348" s="654"/>
      <c r="BF348" s="654"/>
      <c r="BG348" s="652"/>
      <c r="BH348" s="652"/>
      <c r="BI348" s="654"/>
      <c r="BJ348" s="654"/>
      <c r="BK348" s="654"/>
      <c r="BL348" s="654"/>
      <c r="BM348" s="654"/>
      <c r="BN348" s="654"/>
      <c r="BO348" s="654"/>
      <c r="BP348" s="654"/>
      <c r="BQ348" s="654"/>
      <c r="BR348" s="654"/>
      <c r="BS348" s="654"/>
      <c r="BT348" s="654"/>
      <c r="BU348" s="654"/>
      <c r="BV348" s="654"/>
      <c r="BW348" s="645"/>
      <c r="BX348" s="658"/>
      <c r="BY348" s="658"/>
      <c r="BZ348" s="658"/>
      <c r="CA348" s="658">
        <f>I348</f>
        <v>72</v>
      </c>
      <c r="CB348" s="644">
        <f t="shared" si="176"/>
        <v>72</v>
      </c>
      <c r="CC348" s="658"/>
      <c r="CD348" s="644">
        <f t="shared" si="177"/>
        <v>72</v>
      </c>
      <c r="CE348" s="644">
        <f t="shared" si="178"/>
        <v>0</v>
      </c>
    </row>
    <row r="349" s="338" customFormat="1" ht="40" customHeight="1" spans="1:83">
      <c r="A349" s="632">
        <v>45807</v>
      </c>
      <c r="B349" s="633" t="s">
        <v>1707</v>
      </c>
      <c r="C349" s="634" t="s">
        <v>214</v>
      </c>
      <c r="D349" s="635">
        <v>4500168600</v>
      </c>
      <c r="E349" s="659" t="s">
        <v>1714</v>
      </c>
      <c r="F349" s="636" t="s">
        <v>1715</v>
      </c>
      <c r="G349" s="637" t="s">
        <v>189</v>
      </c>
      <c r="H349" s="637" t="s">
        <v>99</v>
      </c>
      <c r="I349" s="638">
        <v>24</v>
      </c>
      <c r="J349" s="638">
        <v>0</v>
      </c>
      <c r="K349" s="639">
        <v>24</v>
      </c>
      <c r="L349" s="639">
        <f t="shared" si="182"/>
        <v>1</v>
      </c>
      <c r="M349" s="641">
        <v>45860</v>
      </c>
      <c r="N349" s="641">
        <v>45856</v>
      </c>
      <c r="O349" s="641"/>
      <c r="P349" s="642" t="s">
        <v>100</v>
      </c>
      <c r="Q349" s="643" t="s">
        <v>1710</v>
      </c>
      <c r="R349" s="642" t="s">
        <v>1498</v>
      </c>
      <c r="S349" s="641"/>
      <c r="T349" s="641"/>
      <c r="U349" s="642" t="s">
        <v>1550</v>
      </c>
      <c r="V349" s="642" t="s">
        <v>1711</v>
      </c>
      <c r="W349" s="645"/>
      <c r="X349" s="647" t="s">
        <v>1712</v>
      </c>
      <c r="Y349" s="646" t="s">
        <v>809</v>
      </c>
      <c r="Z349" s="648">
        <v>2.5135</v>
      </c>
      <c r="AA349" s="650">
        <f t="shared" si="192"/>
        <v>60.324</v>
      </c>
      <c r="AB349" s="649">
        <v>24</v>
      </c>
      <c r="AC349" s="649">
        <f t="shared" si="172"/>
        <v>0</v>
      </c>
      <c r="AD349" s="650" t="s">
        <v>106</v>
      </c>
      <c r="AE349" s="661" t="s">
        <v>456</v>
      </c>
      <c r="AF349" s="646" t="s">
        <v>107</v>
      </c>
      <c r="AG349" s="652" t="s">
        <v>43</v>
      </c>
      <c r="AH349" s="646" t="s">
        <v>1713</v>
      </c>
      <c r="AI349" s="649"/>
      <c r="AJ349" s="649"/>
      <c r="AK349" s="649"/>
      <c r="AL349" s="652">
        <f>I349</f>
        <v>24</v>
      </c>
      <c r="AM349" s="652"/>
      <c r="AN349" s="649"/>
      <c r="AO349" s="649"/>
      <c r="AP349" s="649"/>
      <c r="AQ349" s="653"/>
      <c r="AR349" s="649"/>
      <c r="AS349" s="649"/>
      <c r="AT349" s="652">
        <f t="shared" si="191"/>
        <v>24</v>
      </c>
      <c r="AU349" s="649"/>
      <c r="AV349" s="654"/>
      <c r="AW349" s="654"/>
      <c r="AX349" s="652"/>
      <c r="AY349" s="652"/>
      <c r="AZ349" s="654"/>
      <c r="BA349" s="652"/>
      <c r="BB349" s="652"/>
      <c r="BC349" s="654"/>
      <c r="BD349" s="654"/>
      <c r="BE349" s="654"/>
      <c r="BF349" s="654"/>
      <c r="BG349" s="652"/>
      <c r="BH349" s="652"/>
      <c r="BI349" s="654"/>
      <c r="BJ349" s="654"/>
      <c r="BK349" s="654"/>
      <c r="BL349" s="654"/>
      <c r="BM349" s="654"/>
      <c r="BN349" s="654"/>
      <c r="BO349" s="654"/>
      <c r="BP349" s="654"/>
      <c r="BQ349" s="654"/>
      <c r="BR349" s="654"/>
      <c r="BS349" s="654"/>
      <c r="BT349" s="654"/>
      <c r="BU349" s="654"/>
      <c r="BV349" s="654"/>
      <c r="BW349" s="645"/>
      <c r="BX349" s="658"/>
      <c r="BY349" s="658"/>
      <c r="BZ349" s="658"/>
      <c r="CA349" s="658">
        <f>I349</f>
        <v>24</v>
      </c>
      <c r="CB349" s="644">
        <f t="shared" si="176"/>
        <v>24</v>
      </c>
      <c r="CC349" s="658"/>
      <c r="CD349" s="644">
        <f t="shared" si="177"/>
        <v>24</v>
      </c>
      <c r="CE349" s="644">
        <f t="shared" si="178"/>
        <v>0</v>
      </c>
    </row>
    <row r="350" s="338" customFormat="1" ht="40" customHeight="1" spans="1:83">
      <c r="A350" s="632">
        <v>45831</v>
      </c>
      <c r="B350" s="633" t="s">
        <v>625</v>
      </c>
      <c r="C350" s="634" t="s">
        <v>626</v>
      </c>
      <c r="D350" s="635">
        <v>4500170947</v>
      </c>
      <c r="E350" s="659" t="s">
        <v>1716</v>
      </c>
      <c r="F350" s="636" t="s">
        <v>1717</v>
      </c>
      <c r="G350" s="637" t="s">
        <v>111</v>
      </c>
      <c r="H350" s="637" t="s">
        <v>99</v>
      </c>
      <c r="I350" s="638">
        <v>990</v>
      </c>
      <c r="J350" s="638">
        <v>0</v>
      </c>
      <c r="K350" s="639">
        <v>22</v>
      </c>
      <c r="L350" s="639">
        <f t="shared" si="182"/>
        <v>45</v>
      </c>
      <c r="M350" s="641">
        <v>45861</v>
      </c>
      <c r="N350" s="641">
        <v>45857</v>
      </c>
      <c r="O350" s="641"/>
      <c r="P350" s="642" t="s">
        <v>100</v>
      </c>
      <c r="Q350" s="643" t="s">
        <v>1656</v>
      </c>
      <c r="R350" s="642" t="s">
        <v>1718</v>
      </c>
      <c r="S350" s="641"/>
      <c r="T350" s="641"/>
      <c r="U350" s="642" t="s">
        <v>1719</v>
      </c>
      <c r="V350" s="642"/>
      <c r="W350" s="645"/>
      <c r="X350" s="647" t="s">
        <v>1720</v>
      </c>
      <c r="Y350" s="646" t="s">
        <v>632</v>
      </c>
      <c r="Z350" s="683">
        <v>2.7311</v>
      </c>
      <c r="AA350" s="650">
        <f t="shared" si="192"/>
        <v>2703.789</v>
      </c>
      <c r="AB350" s="649">
        <v>990</v>
      </c>
      <c r="AC350" s="649">
        <f t="shared" si="172"/>
        <v>0</v>
      </c>
      <c r="AD350" s="650" t="s">
        <v>123</v>
      </c>
      <c r="AE350" s="661" t="s">
        <v>111</v>
      </c>
      <c r="AF350" s="646" t="s">
        <v>107</v>
      </c>
      <c r="AG350" s="652" t="s">
        <v>43</v>
      </c>
      <c r="AH350" s="646"/>
      <c r="AI350" s="649"/>
      <c r="AJ350" s="649"/>
      <c r="AK350" s="649"/>
      <c r="AL350" s="652">
        <f>I350</f>
        <v>990</v>
      </c>
      <c r="AM350" s="652"/>
      <c r="AN350" s="649"/>
      <c r="AO350" s="649"/>
      <c r="AP350" s="649"/>
      <c r="AQ350" s="653"/>
      <c r="AR350" s="649"/>
      <c r="AS350" s="649"/>
      <c r="AT350" s="652">
        <f t="shared" si="191"/>
        <v>990</v>
      </c>
      <c r="AU350" s="649"/>
      <c r="AV350" s="654"/>
      <c r="AW350" s="654"/>
      <c r="AX350" s="652">
        <f>I350/11</f>
        <v>90</v>
      </c>
      <c r="AY350" s="652"/>
      <c r="AZ350" s="654"/>
      <c r="BA350" s="652"/>
      <c r="BB350" s="652"/>
      <c r="BC350" s="654"/>
      <c r="BD350" s="654"/>
      <c r="BE350" s="654"/>
      <c r="BF350" s="654"/>
      <c r="BG350" s="652"/>
      <c r="BH350" s="652"/>
      <c r="BI350" s="654"/>
      <c r="BJ350" s="654"/>
      <c r="BK350" s="654"/>
      <c r="BL350" s="654"/>
      <c r="BM350" s="654"/>
      <c r="BN350" s="654"/>
      <c r="BO350" s="654"/>
      <c r="BP350" s="654"/>
      <c r="BQ350" s="654"/>
      <c r="BR350" s="654"/>
      <c r="BS350" s="654"/>
      <c r="BT350" s="654"/>
      <c r="BU350" s="654"/>
      <c r="BV350" s="654"/>
      <c r="BW350" s="645" t="s">
        <v>109</v>
      </c>
      <c r="BX350" s="658">
        <f>I350/22*5</f>
        <v>225</v>
      </c>
      <c r="BY350" s="658">
        <f>I350/22*6</f>
        <v>270</v>
      </c>
      <c r="BZ350" s="658">
        <f>I350/22*6</f>
        <v>270</v>
      </c>
      <c r="CA350" s="658">
        <f>I350/22*5</f>
        <v>225</v>
      </c>
      <c r="CB350" s="644">
        <f t="shared" si="176"/>
        <v>990</v>
      </c>
      <c r="CC350" s="658">
        <f>I350/11</f>
        <v>90</v>
      </c>
      <c r="CD350" s="644">
        <f t="shared" si="177"/>
        <v>990</v>
      </c>
      <c r="CE350" s="644">
        <f t="shared" si="178"/>
        <v>0</v>
      </c>
    </row>
    <row r="351" s="338" customFormat="1" ht="40" customHeight="1" spans="1:83">
      <c r="A351" s="632">
        <v>45826</v>
      </c>
      <c r="B351" s="633" t="s">
        <v>1721</v>
      </c>
      <c r="C351" s="634" t="s">
        <v>144</v>
      </c>
      <c r="D351" s="635">
        <v>4500170385</v>
      </c>
      <c r="E351" s="659"/>
      <c r="F351" s="659" t="s">
        <v>1722</v>
      </c>
      <c r="G351" s="637" t="s">
        <v>111</v>
      </c>
      <c r="H351" s="637" t="s">
        <v>99</v>
      </c>
      <c r="I351" s="638">
        <v>550</v>
      </c>
      <c r="J351" s="638">
        <v>0</v>
      </c>
      <c r="K351" s="639">
        <v>22</v>
      </c>
      <c r="L351" s="639">
        <f t="shared" si="182"/>
        <v>25</v>
      </c>
      <c r="M351" s="641">
        <v>45863</v>
      </c>
      <c r="N351" s="641">
        <v>45859</v>
      </c>
      <c r="O351" s="641"/>
      <c r="P351" s="642" t="s">
        <v>100</v>
      </c>
      <c r="Q351" s="643" t="s">
        <v>1153</v>
      </c>
      <c r="R351" s="642" t="s">
        <v>1718</v>
      </c>
      <c r="S351" s="641"/>
      <c r="T351" s="641"/>
      <c r="U351" s="642" t="s">
        <v>1723</v>
      </c>
      <c r="V351" s="642"/>
      <c r="W351" s="645"/>
      <c r="X351" s="647" t="s">
        <v>1724</v>
      </c>
      <c r="Y351" s="646" t="s">
        <v>1725</v>
      </c>
      <c r="Z351" s="683">
        <v>2.6965</v>
      </c>
      <c r="AA351" s="650">
        <f t="shared" si="192"/>
        <v>1483.075</v>
      </c>
      <c r="AB351" s="649">
        <v>550</v>
      </c>
      <c r="AC351" s="649">
        <f t="shared" si="172"/>
        <v>0</v>
      </c>
      <c r="AD351" s="650" t="s">
        <v>106</v>
      </c>
      <c r="AE351" s="637" t="s">
        <v>230</v>
      </c>
      <c r="AF351" s="646" t="s">
        <v>107</v>
      </c>
      <c r="AG351" s="652" t="s">
        <v>43</v>
      </c>
      <c r="AH351" s="646" t="s">
        <v>1726</v>
      </c>
      <c r="AI351" s="649"/>
      <c r="AJ351" s="649"/>
      <c r="AK351" s="649"/>
      <c r="AL351" s="649"/>
      <c r="AM351" s="649"/>
      <c r="AN351" s="649"/>
      <c r="AO351" s="649">
        <f>I351</f>
        <v>550</v>
      </c>
      <c r="AP351" s="649"/>
      <c r="AQ351" s="653"/>
      <c r="AR351" s="649"/>
      <c r="AS351" s="649"/>
      <c r="AT351" s="652">
        <f t="shared" si="191"/>
        <v>550</v>
      </c>
      <c r="AU351" s="649"/>
      <c r="AV351" s="654"/>
      <c r="AW351" s="654"/>
      <c r="AX351" s="652"/>
      <c r="AY351" s="652"/>
      <c r="AZ351" s="654"/>
      <c r="BA351" s="652">
        <f>I351/11</f>
        <v>50</v>
      </c>
      <c r="BB351" s="652"/>
      <c r="BC351" s="654"/>
      <c r="BD351" s="654"/>
      <c r="BE351" s="654"/>
      <c r="BF351" s="654"/>
      <c r="BG351" s="652"/>
      <c r="BH351" s="652"/>
      <c r="BI351" s="654"/>
      <c r="BJ351" s="654"/>
      <c r="BK351" s="654"/>
      <c r="BL351" s="654"/>
      <c r="BM351" s="654"/>
      <c r="BN351" s="654"/>
      <c r="BO351" s="654"/>
      <c r="BP351" s="654"/>
      <c r="BQ351" s="654"/>
      <c r="BR351" s="654"/>
      <c r="BS351" s="654"/>
      <c r="BT351" s="654"/>
      <c r="BU351" s="654"/>
      <c r="BV351" s="654"/>
      <c r="BW351" s="645" t="s">
        <v>109</v>
      </c>
      <c r="BX351" s="658">
        <f>I351/22*5</f>
        <v>125</v>
      </c>
      <c r="BY351" s="658">
        <f>I351/22*6</f>
        <v>150</v>
      </c>
      <c r="BZ351" s="658">
        <f>I351/22*6</f>
        <v>150</v>
      </c>
      <c r="CA351" s="658">
        <f>I351/22*5</f>
        <v>125</v>
      </c>
      <c r="CB351" s="644">
        <f t="shared" si="176"/>
        <v>550</v>
      </c>
      <c r="CC351" s="658">
        <f>I351/11</f>
        <v>50</v>
      </c>
      <c r="CD351" s="644">
        <f t="shared" si="177"/>
        <v>550</v>
      </c>
      <c r="CE351" s="644">
        <f t="shared" si="178"/>
        <v>0</v>
      </c>
    </row>
    <row r="352" s="338" customFormat="1" ht="40" customHeight="1" spans="1:83">
      <c r="A352" s="632">
        <v>45821</v>
      </c>
      <c r="B352" s="633" t="s">
        <v>1727</v>
      </c>
      <c r="C352" s="634" t="s">
        <v>380</v>
      </c>
      <c r="D352" s="635">
        <v>4500170043</v>
      </c>
      <c r="E352" s="659" t="s">
        <v>1728</v>
      </c>
      <c r="F352" s="659" t="s">
        <v>1729</v>
      </c>
      <c r="G352" s="637" t="s">
        <v>952</v>
      </c>
      <c r="H352" s="637" t="s">
        <v>99</v>
      </c>
      <c r="I352" s="638">
        <v>506</v>
      </c>
      <c r="J352" s="638">
        <v>11</v>
      </c>
      <c r="K352" s="639">
        <v>22</v>
      </c>
      <c r="L352" s="639">
        <f t="shared" si="182"/>
        <v>23</v>
      </c>
      <c r="M352" s="641">
        <v>45863</v>
      </c>
      <c r="N352" s="641">
        <v>45859</v>
      </c>
      <c r="O352" s="641"/>
      <c r="P352" s="642" t="s">
        <v>100</v>
      </c>
      <c r="Q352" s="643" t="s">
        <v>1710</v>
      </c>
      <c r="R352" s="642" t="s">
        <v>102</v>
      </c>
      <c r="S352" s="641"/>
      <c r="T352" s="641"/>
      <c r="U352" s="642" t="s">
        <v>113</v>
      </c>
      <c r="V352" s="642"/>
      <c r="W352" s="645"/>
      <c r="X352" s="647" t="s">
        <v>1730</v>
      </c>
      <c r="Y352" s="646" t="s">
        <v>955</v>
      </c>
      <c r="Z352" s="648">
        <v>2.7676</v>
      </c>
      <c r="AA352" s="650">
        <f t="shared" si="192"/>
        <v>1400.4056</v>
      </c>
      <c r="AB352" s="649">
        <v>506</v>
      </c>
      <c r="AC352" s="649">
        <f t="shared" si="172"/>
        <v>0</v>
      </c>
      <c r="AD352" s="650" t="s">
        <v>106</v>
      </c>
      <c r="AE352" s="637" t="s">
        <v>952</v>
      </c>
      <c r="AF352" s="646" t="s">
        <v>107</v>
      </c>
      <c r="AG352" s="652" t="s">
        <v>43</v>
      </c>
      <c r="AH352" s="646" t="s">
        <v>1731</v>
      </c>
      <c r="AI352" s="649"/>
      <c r="AJ352" s="649"/>
      <c r="AK352" s="649"/>
      <c r="AL352" s="652">
        <f>I352</f>
        <v>506</v>
      </c>
      <c r="AM352" s="652"/>
      <c r="AN352" s="649"/>
      <c r="AO352" s="649"/>
      <c r="AP352" s="649"/>
      <c r="AQ352" s="653"/>
      <c r="AR352" s="649"/>
      <c r="AS352" s="649"/>
      <c r="AT352" s="652">
        <f t="shared" si="191"/>
        <v>506</v>
      </c>
      <c r="AU352" s="649"/>
      <c r="AV352" s="654"/>
      <c r="AW352" s="654"/>
      <c r="AX352" s="652">
        <f>I352/11</f>
        <v>46</v>
      </c>
      <c r="AY352" s="652"/>
      <c r="AZ352" s="654"/>
      <c r="BA352" s="652"/>
      <c r="BB352" s="652"/>
      <c r="BC352" s="654"/>
      <c r="BD352" s="654"/>
      <c r="BE352" s="654"/>
      <c r="BF352" s="654"/>
      <c r="BG352" s="652"/>
      <c r="BH352" s="652"/>
      <c r="BI352" s="654"/>
      <c r="BJ352" s="654"/>
      <c r="BK352" s="654"/>
      <c r="BL352" s="654"/>
      <c r="BM352" s="654"/>
      <c r="BN352" s="654"/>
      <c r="BO352" s="654"/>
      <c r="BP352" s="654"/>
      <c r="BQ352" s="654"/>
      <c r="BR352" s="654"/>
      <c r="BS352" s="654"/>
      <c r="BT352" s="654"/>
      <c r="BU352" s="654"/>
      <c r="BV352" s="654"/>
      <c r="BW352" s="645" t="s">
        <v>109</v>
      </c>
      <c r="BX352" s="658">
        <f>I352/22*5</f>
        <v>115</v>
      </c>
      <c r="BY352" s="658">
        <f>I352/22*6</f>
        <v>138</v>
      </c>
      <c r="BZ352" s="658">
        <f>I352/22*6</f>
        <v>138</v>
      </c>
      <c r="CA352" s="658">
        <f>I352/22*5</f>
        <v>115</v>
      </c>
      <c r="CB352" s="644">
        <f t="shared" si="176"/>
        <v>506</v>
      </c>
      <c r="CC352" s="658">
        <f>I352/11</f>
        <v>46</v>
      </c>
      <c r="CD352" s="644">
        <f t="shared" si="177"/>
        <v>506</v>
      </c>
      <c r="CE352" s="644">
        <f t="shared" si="178"/>
        <v>0</v>
      </c>
    </row>
    <row r="353" s="338" customFormat="1" ht="40" customHeight="1" spans="1:83">
      <c r="A353" s="632">
        <v>45817</v>
      </c>
      <c r="B353" s="633" t="s">
        <v>754</v>
      </c>
      <c r="C353" s="634" t="s">
        <v>205</v>
      </c>
      <c r="D353" s="635">
        <v>4500169355</v>
      </c>
      <c r="E353" s="666">
        <v>2505001936784</v>
      </c>
      <c r="F353" s="636" t="s">
        <v>1732</v>
      </c>
      <c r="G353" s="637" t="s">
        <v>111</v>
      </c>
      <c r="H353" s="637" t="s">
        <v>99</v>
      </c>
      <c r="I353" s="638">
        <v>682</v>
      </c>
      <c r="J353" s="638">
        <v>0</v>
      </c>
      <c r="K353" s="639">
        <v>22</v>
      </c>
      <c r="L353" s="639">
        <f t="shared" si="182"/>
        <v>31</v>
      </c>
      <c r="M353" s="641">
        <v>45866</v>
      </c>
      <c r="N353" s="641">
        <v>45862</v>
      </c>
      <c r="O353" s="641"/>
      <c r="P353" s="642" t="s">
        <v>100</v>
      </c>
      <c r="Q353" s="643" t="s">
        <v>1733</v>
      </c>
      <c r="R353" s="642" t="s">
        <v>1734</v>
      </c>
      <c r="S353" s="641"/>
      <c r="T353" s="641"/>
      <c r="U353" s="642" t="s">
        <v>1735</v>
      </c>
      <c r="V353" s="642"/>
      <c r="W353" s="645"/>
      <c r="X353" s="647" t="s">
        <v>1736</v>
      </c>
      <c r="Y353" s="646" t="s">
        <v>972</v>
      </c>
      <c r="Z353" s="683">
        <v>2.7311</v>
      </c>
      <c r="AA353" s="650">
        <f t="shared" si="192"/>
        <v>1862.6102</v>
      </c>
      <c r="AB353" s="649">
        <v>682</v>
      </c>
      <c r="AC353" s="649">
        <f t="shared" si="172"/>
        <v>0</v>
      </c>
      <c r="AD353" s="650" t="s">
        <v>106</v>
      </c>
      <c r="AE353" s="661" t="s">
        <v>111</v>
      </c>
      <c r="AF353" s="646" t="s">
        <v>107</v>
      </c>
      <c r="AG353" s="652" t="s">
        <v>43</v>
      </c>
      <c r="AH353" s="646" t="s">
        <v>1737</v>
      </c>
      <c r="AI353" s="649"/>
      <c r="AJ353" s="649"/>
      <c r="AK353" s="649"/>
      <c r="AL353" s="652">
        <f>I353</f>
        <v>682</v>
      </c>
      <c r="AM353" s="652"/>
      <c r="AN353" s="649"/>
      <c r="AO353" s="649"/>
      <c r="AP353" s="649"/>
      <c r="AQ353" s="653"/>
      <c r="AR353" s="649"/>
      <c r="AS353" s="649"/>
      <c r="AT353" s="652">
        <f t="shared" si="191"/>
        <v>682</v>
      </c>
      <c r="AU353" s="649"/>
      <c r="AV353" s="654"/>
      <c r="AW353" s="654"/>
      <c r="AX353" s="652">
        <f>I353/11</f>
        <v>62</v>
      </c>
      <c r="AY353" s="652"/>
      <c r="AZ353" s="654"/>
      <c r="BA353" s="652"/>
      <c r="BB353" s="652"/>
      <c r="BC353" s="654"/>
      <c r="BD353" s="654"/>
      <c r="BE353" s="654"/>
      <c r="BF353" s="654"/>
      <c r="BG353" s="652"/>
      <c r="BH353" s="652"/>
      <c r="BI353" s="654"/>
      <c r="BJ353" s="654"/>
      <c r="BK353" s="654"/>
      <c r="BL353" s="654"/>
      <c r="BM353" s="654"/>
      <c r="BN353" s="654"/>
      <c r="BO353" s="654"/>
      <c r="BP353" s="654"/>
      <c r="BQ353" s="654"/>
      <c r="BR353" s="654"/>
      <c r="BS353" s="654"/>
      <c r="BT353" s="654"/>
      <c r="BU353" s="654"/>
      <c r="BV353" s="654"/>
      <c r="BW353" s="645" t="s">
        <v>109</v>
      </c>
      <c r="BX353" s="658">
        <f>I353/22*5</f>
        <v>155</v>
      </c>
      <c r="BY353" s="658">
        <f>I353/22*6</f>
        <v>186</v>
      </c>
      <c r="BZ353" s="658">
        <f>I353/22*6</f>
        <v>186</v>
      </c>
      <c r="CA353" s="658">
        <f>I353/22*5</f>
        <v>155</v>
      </c>
      <c r="CB353" s="644">
        <f t="shared" si="176"/>
        <v>682</v>
      </c>
      <c r="CC353" s="658">
        <f>I353/11</f>
        <v>62</v>
      </c>
      <c r="CD353" s="644">
        <f t="shared" si="177"/>
        <v>682</v>
      </c>
      <c r="CE353" s="644">
        <f t="shared" si="178"/>
        <v>0</v>
      </c>
    </row>
    <row r="354" s="338" customFormat="1" ht="40" customHeight="1" spans="1:83">
      <c r="A354" s="632">
        <v>45813</v>
      </c>
      <c r="B354" s="633" t="s">
        <v>1707</v>
      </c>
      <c r="C354" s="634" t="s">
        <v>214</v>
      </c>
      <c r="D354" s="635">
        <v>4500169031</v>
      </c>
      <c r="E354" s="659"/>
      <c r="F354" s="636" t="s">
        <v>1738</v>
      </c>
      <c r="G354" s="637" t="s">
        <v>132</v>
      </c>
      <c r="H354" s="637" t="s">
        <v>99</v>
      </c>
      <c r="I354" s="638">
        <v>48</v>
      </c>
      <c r="J354" s="638">
        <v>0</v>
      </c>
      <c r="K354" s="639">
        <v>24</v>
      </c>
      <c r="L354" s="639">
        <f t="shared" si="182"/>
        <v>2</v>
      </c>
      <c r="M354" s="641">
        <v>45866</v>
      </c>
      <c r="N354" s="641">
        <v>45862</v>
      </c>
      <c r="O354" s="641"/>
      <c r="P354" s="642" t="s">
        <v>100</v>
      </c>
      <c r="Q354" s="643" t="s">
        <v>1739</v>
      </c>
      <c r="R354" s="642" t="s">
        <v>1534</v>
      </c>
      <c r="S354" s="641"/>
      <c r="T354" s="641"/>
      <c r="U354" s="642" t="s">
        <v>1550</v>
      </c>
      <c r="V354" s="642" t="s">
        <v>1711</v>
      </c>
      <c r="W354" s="645"/>
      <c r="X354" s="647" t="s">
        <v>1712</v>
      </c>
      <c r="Y354" s="646" t="s">
        <v>809</v>
      </c>
      <c r="Z354" s="648">
        <v>2.5135</v>
      </c>
      <c r="AA354" s="650">
        <f t="shared" si="192"/>
        <v>120.648</v>
      </c>
      <c r="AB354" s="649">
        <v>48</v>
      </c>
      <c r="AC354" s="649">
        <f t="shared" si="172"/>
        <v>0</v>
      </c>
      <c r="AD354" s="650" t="s">
        <v>106</v>
      </c>
      <c r="AE354" s="662" t="s">
        <v>138</v>
      </c>
      <c r="AF354" s="646" t="s">
        <v>107</v>
      </c>
      <c r="AG354" s="652" t="s">
        <v>43</v>
      </c>
      <c r="AH354" s="646" t="s">
        <v>1740</v>
      </c>
      <c r="AI354" s="649"/>
      <c r="AJ354" s="649"/>
      <c r="AK354" s="649"/>
      <c r="AL354" s="652">
        <f>I354</f>
        <v>48</v>
      </c>
      <c r="AM354" s="652"/>
      <c r="AN354" s="649"/>
      <c r="AO354" s="649"/>
      <c r="AP354" s="649"/>
      <c r="AQ354" s="653"/>
      <c r="AR354" s="649"/>
      <c r="AS354" s="649"/>
      <c r="AT354" s="652">
        <f t="shared" si="191"/>
        <v>48</v>
      </c>
      <c r="AU354" s="649"/>
      <c r="AV354" s="654"/>
      <c r="AW354" s="654"/>
      <c r="AX354" s="652"/>
      <c r="AY354" s="652"/>
      <c r="AZ354" s="654"/>
      <c r="BA354" s="652"/>
      <c r="BB354" s="652"/>
      <c r="BC354" s="654"/>
      <c r="BD354" s="654"/>
      <c r="BE354" s="654"/>
      <c r="BF354" s="654"/>
      <c r="BG354" s="652"/>
      <c r="BH354" s="652"/>
      <c r="BI354" s="654"/>
      <c r="BJ354" s="654"/>
      <c r="BK354" s="654"/>
      <c r="BL354" s="654"/>
      <c r="BM354" s="654"/>
      <c r="BN354" s="654"/>
      <c r="BO354" s="654"/>
      <c r="BP354" s="654"/>
      <c r="BQ354" s="654"/>
      <c r="BR354" s="654"/>
      <c r="BS354" s="654"/>
      <c r="BT354" s="654"/>
      <c r="BU354" s="654"/>
      <c r="BV354" s="654"/>
      <c r="BW354" s="645"/>
      <c r="BX354" s="658">
        <f>I354</f>
        <v>48</v>
      </c>
      <c r="BY354" s="658"/>
      <c r="BZ354" s="658"/>
      <c r="CA354" s="658"/>
      <c r="CB354" s="644">
        <f t="shared" si="176"/>
        <v>48</v>
      </c>
      <c r="CC354" s="675"/>
      <c r="CD354" s="644">
        <f t="shared" si="177"/>
        <v>48</v>
      </c>
      <c r="CE354" s="644">
        <f t="shared" si="178"/>
        <v>0</v>
      </c>
    </row>
    <row r="355" s="338" customFormat="1" ht="40" customHeight="1" spans="1:83">
      <c r="A355" s="632">
        <v>45821</v>
      </c>
      <c r="B355" s="633" t="s">
        <v>646</v>
      </c>
      <c r="C355" s="634" t="s">
        <v>247</v>
      </c>
      <c r="D355" s="635">
        <v>4500169878</v>
      </c>
      <c r="E355" s="666">
        <v>20922492</v>
      </c>
      <c r="F355" s="636" t="s">
        <v>1741</v>
      </c>
      <c r="G355" s="637" t="s">
        <v>648</v>
      </c>
      <c r="H355" s="637" t="s">
        <v>99</v>
      </c>
      <c r="I355" s="638">
        <v>1356</v>
      </c>
      <c r="J355" s="638">
        <v>0</v>
      </c>
      <c r="K355" s="639">
        <v>6</v>
      </c>
      <c r="L355" s="639">
        <f t="shared" si="182"/>
        <v>226</v>
      </c>
      <c r="M355" s="641">
        <v>45866</v>
      </c>
      <c r="N355" s="641">
        <v>45862</v>
      </c>
      <c r="O355" s="641"/>
      <c r="P355" s="642" t="s">
        <v>100</v>
      </c>
      <c r="Q355" s="682" t="s">
        <v>1742</v>
      </c>
      <c r="R355" s="642" t="s">
        <v>1562</v>
      </c>
      <c r="S355" s="642"/>
      <c r="T355" s="642"/>
      <c r="U355" s="642" t="s">
        <v>1743</v>
      </c>
      <c r="V355" s="642"/>
      <c r="W355" s="645"/>
      <c r="X355" s="647" t="s">
        <v>1744</v>
      </c>
      <c r="Y355" s="646" t="s">
        <v>653</v>
      </c>
      <c r="Z355" s="648">
        <v>2.5854</v>
      </c>
      <c r="AA355" s="650">
        <f t="shared" si="192"/>
        <v>3505.8024</v>
      </c>
      <c r="AB355" s="649">
        <v>1356</v>
      </c>
      <c r="AC355" s="649">
        <f t="shared" si="172"/>
        <v>0</v>
      </c>
      <c r="AD355" s="650" t="s">
        <v>106</v>
      </c>
      <c r="AE355" s="661" t="s">
        <v>648</v>
      </c>
      <c r="AF355" s="646" t="s">
        <v>107</v>
      </c>
      <c r="AG355" s="652" t="s">
        <v>43</v>
      </c>
      <c r="AH355" s="646"/>
      <c r="AI355" s="649"/>
      <c r="AJ355" s="649"/>
      <c r="AK355" s="649"/>
      <c r="AL355" s="652">
        <f>I355</f>
        <v>1356</v>
      </c>
      <c r="AM355" s="652"/>
      <c r="AN355" s="649"/>
      <c r="AO355" s="649"/>
      <c r="AP355" s="649"/>
      <c r="AQ355" s="653"/>
      <c r="AR355" s="649"/>
      <c r="AS355" s="649"/>
      <c r="AT355" s="652">
        <f t="shared" si="191"/>
        <v>1356</v>
      </c>
      <c r="AU355" s="649"/>
      <c r="AV355" s="654"/>
      <c r="AW355" s="654"/>
      <c r="AX355" s="652"/>
      <c r="AY355" s="652"/>
      <c r="AZ355" s="654"/>
      <c r="BA355" s="652"/>
      <c r="BB355" s="652"/>
      <c r="BC355" s="654"/>
      <c r="BD355" s="654"/>
      <c r="BE355" s="652">
        <f>I355/6</f>
        <v>226</v>
      </c>
      <c r="BF355" s="654"/>
      <c r="BG355" s="652"/>
      <c r="BH355" s="652"/>
      <c r="BI355" s="654"/>
      <c r="BJ355" s="654"/>
      <c r="BK355" s="654"/>
      <c r="BL355" s="654"/>
      <c r="BM355" s="654"/>
      <c r="BN355" s="654"/>
      <c r="BO355" s="654"/>
      <c r="BP355" s="654"/>
      <c r="BQ355" s="654"/>
      <c r="BR355" s="654"/>
      <c r="BS355" s="654"/>
      <c r="BT355" s="654"/>
      <c r="BU355" s="654"/>
      <c r="BV355" s="654"/>
      <c r="BW355" s="645" t="s">
        <v>109</v>
      </c>
      <c r="BX355" s="658">
        <f>I355/4</f>
        <v>339</v>
      </c>
      <c r="BY355" s="658">
        <f>I355/4</f>
        <v>339</v>
      </c>
      <c r="BZ355" s="658">
        <f>I355/4</f>
        <v>339</v>
      </c>
      <c r="CA355" s="658">
        <f>I355/4</f>
        <v>339</v>
      </c>
      <c r="CB355" s="644">
        <f t="shared" si="176"/>
        <v>1356</v>
      </c>
      <c r="CC355" s="658"/>
      <c r="CD355" s="644">
        <f t="shared" si="177"/>
        <v>1356</v>
      </c>
      <c r="CE355" s="644">
        <f t="shared" si="178"/>
        <v>0</v>
      </c>
    </row>
    <row r="356" s="338" customFormat="1" ht="40" customHeight="1" spans="1:83">
      <c r="A356" s="632">
        <v>45821</v>
      </c>
      <c r="B356" s="633" t="s">
        <v>896</v>
      </c>
      <c r="C356" s="634" t="s">
        <v>267</v>
      </c>
      <c r="D356" s="635">
        <v>4500169879</v>
      </c>
      <c r="E356" s="659">
        <v>20922493</v>
      </c>
      <c r="F356" s="636" t="s">
        <v>1745</v>
      </c>
      <c r="G356" s="637" t="s">
        <v>648</v>
      </c>
      <c r="H356" s="637" t="s">
        <v>99</v>
      </c>
      <c r="I356" s="638">
        <v>144</v>
      </c>
      <c r="J356" s="638">
        <v>0</v>
      </c>
      <c r="K356" s="639">
        <v>6</v>
      </c>
      <c r="L356" s="639">
        <f t="shared" si="182"/>
        <v>24</v>
      </c>
      <c r="M356" s="641">
        <v>45866</v>
      </c>
      <c r="N356" s="641">
        <v>45862</v>
      </c>
      <c r="O356" s="641"/>
      <c r="P356" s="642" t="s">
        <v>100</v>
      </c>
      <c r="Q356" s="682" t="s">
        <v>1742</v>
      </c>
      <c r="R356" s="642" t="s">
        <v>1562</v>
      </c>
      <c r="S356" s="642"/>
      <c r="T356" s="642"/>
      <c r="U356" s="642" t="s">
        <v>1743</v>
      </c>
      <c r="V356" s="642"/>
      <c r="W356" s="645"/>
      <c r="X356" s="647" t="s">
        <v>1746</v>
      </c>
      <c r="Y356" s="646" t="s">
        <v>653</v>
      </c>
      <c r="Z356" s="648">
        <v>2.5993</v>
      </c>
      <c r="AA356" s="650">
        <f t="shared" si="192"/>
        <v>374.2992</v>
      </c>
      <c r="AB356" s="649">
        <v>144</v>
      </c>
      <c r="AC356" s="649">
        <f t="shared" si="172"/>
        <v>0</v>
      </c>
      <c r="AD356" s="650" t="s">
        <v>106</v>
      </c>
      <c r="AE356" s="661" t="s">
        <v>648</v>
      </c>
      <c r="AF356" s="646" t="s">
        <v>107</v>
      </c>
      <c r="AG356" s="652" t="s">
        <v>43</v>
      </c>
      <c r="AH356" s="646"/>
      <c r="AI356" s="649"/>
      <c r="AJ356" s="649"/>
      <c r="AK356" s="649"/>
      <c r="AL356" s="652">
        <f>I356</f>
        <v>144</v>
      </c>
      <c r="AM356" s="652"/>
      <c r="AN356" s="649"/>
      <c r="AO356" s="649"/>
      <c r="AP356" s="649"/>
      <c r="AQ356" s="653"/>
      <c r="AR356" s="649"/>
      <c r="AS356" s="649"/>
      <c r="AT356" s="652">
        <f t="shared" si="191"/>
        <v>144</v>
      </c>
      <c r="AU356" s="649"/>
      <c r="AV356" s="654"/>
      <c r="AW356" s="654"/>
      <c r="AX356" s="652"/>
      <c r="AY356" s="652"/>
      <c r="AZ356" s="654"/>
      <c r="BA356" s="652"/>
      <c r="BB356" s="652"/>
      <c r="BC356" s="654"/>
      <c r="BD356" s="654"/>
      <c r="BE356" s="652">
        <f>I356/6</f>
        <v>24</v>
      </c>
      <c r="BF356" s="654"/>
      <c r="BG356" s="652"/>
      <c r="BH356" s="652"/>
      <c r="BI356" s="654"/>
      <c r="BJ356" s="654"/>
      <c r="BK356" s="654"/>
      <c r="BL356" s="654"/>
      <c r="BM356" s="654"/>
      <c r="BN356" s="654"/>
      <c r="BO356" s="654"/>
      <c r="BP356" s="654"/>
      <c r="BQ356" s="654"/>
      <c r="BR356" s="654"/>
      <c r="BS356" s="654"/>
      <c r="BT356" s="654"/>
      <c r="BU356" s="654"/>
      <c r="BV356" s="654"/>
      <c r="BW356" s="645" t="s">
        <v>109</v>
      </c>
      <c r="BX356" s="658">
        <f>I356/4</f>
        <v>36</v>
      </c>
      <c r="BY356" s="658">
        <f>I356/4</f>
        <v>36</v>
      </c>
      <c r="BZ356" s="658">
        <f>I356/4</f>
        <v>36</v>
      </c>
      <c r="CA356" s="658">
        <f>I356/4</f>
        <v>36</v>
      </c>
      <c r="CB356" s="644">
        <f t="shared" si="176"/>
        <v>144</v>
      </c>
      <c r="CC356" s="658"/>
      <c r="CD356" s="644">
        <f t="shared" si="177"/>
        <v>144</v>
      </c>
      <c r="CE356" s="644">
        <f t="shared" si="178"/>
        <v>0</v>
      </c>
    </row>
    <row r="357" s="338" customFormat="1" ht="40" customHeight="1" spans="1:83">
      <c r="A357" s="632">
        <v>45832</v>
      </c>
      <c r="B357" s="633" t="s">
        <v>1747</v>
      </c>
      <c r="C357" s="634" t="s">
        <v>1117</v>
      </c>
      <c r="D357" s="635">
        <v>4500171058</v>
      </c>
      <c r="E357" s="666">
        <v>300579141</v>
      </c>
      <c r="F357" s="636" t="s">
        <v>1748</v>
      </c>
      <c r="G357" s="637" t="s">
        <v>241</v>
      </c>
      <c r="H357" s="637" t="s">
        <v>99</v>
      </c>
      <c r="I357" s="638">
        <v>946</v>
      </c>
      <c r="J357" s="638">
        <v>0</v>
      </c>
      <c r="K357" s="639">
        <v>11</v>
      </c>
      <c r="L357" s="639">
        <f t="shared" si="182"/>
        <v>86</v>
      </c>
      <c r="M357" s="641">
        <v>45868</v>
      </c>
      <c r="N357" s="641">
        <v>45864</v>
      </c>
      <c r="O357" s="641"/>
      <c r="P357" s="642" t="s">
        <v>100</v>
      </c>
      <c r="Q357" s="643" t="s">
        <v>1749</v>
      </c>
      <c r="R357" s="642" t="s">
        <v>1718</v>
      </c>
      <c r="S357" s="642"/>
      <c r="T357" s="642"/>
      <c r="U357" s="642" t="s">
        <v>1750</v>
      </c>
      <c r="V357" s="642"/>
      <c r="W357" s="645" t="s">
        <v>1304</v>
      </c>
      <c r="X357" s="647" t="s">
        <v>1751</v>
      </c>
      <c r="Y357" s="646" t="s">
        <v>596</v>
      </c>
      <c r="Z357" s="683">
        <v>2.6944</v>
      </c>
      <c r="AA357" s="650">
        <f t="shared" si="192"/>
        <v>2548.9024</v>
      </c>
      <c r="AB357" s="649">
        <f>935+11</f>
        <v>946</v>
      </c>
      <c r="AC357" s="649">
        <f t="shared" si="172"/>
        <v>0</v>
      </c>
      <c r="AD357" s="650" t="s">
        <v>106</v>
      </c>
      <c r="AE357" s="637" t="s">
        <v>1264</v>
      </c>
      <c r="AF357" s="646" t="s">
        <v>107</v>
      </c>
      <c r="AG357" s="652" t="s">
        <v>43</v>
      </c>
      <c r="AH357" s="646" t="s">
        <v>1752</v>
      </c>
      <c r="AI357" s="649"/>
      <c r="AJ357" s="649"/>
      <c r="AK357" s="649"/>
      <c r="AL357" s="649"/>
      <c r="AM357" s="649"/>
      <c r="AN357" s="649"/>
      <c r="AO357" s="649">
        <f>I357</f>
        <v>946</v>
      </c>
      <c r="AP357" s="649"/>
      <c r="AQ357" s="653"/>
      <c r="AR357" s="649"/>
      <c r="AS357" s="649"/>
      <c r="AT357" s="649"/>
      <c r="AU357" s="649"/>
      <c r="AV357" s="652">
        <f>I357</f>
        <v>946</v>
      </c>
      <c r="AW357" s="654"/>
      <c r="AX357" s="652"/>
      <c r="AY357" s="652"/>
      <c r="AZ357" s="654"/>
      <c r="BA357" s="652"/>
      <c r="BB357" s="652"/>
      <c r="BC357" s="654"/>
      <c r="BD357" s="654"/>
      <c r="BE357" s="654"/>
      <c r="BF357" s="654"/>
      <c r="BG357" s="652">
        <f>I357/7</f>
        <v>135.142857142857</v>
      </c>
      <c r="BH357" s="652"/>
      <c r="BI357" s="654"/>
      <c r="BJ357" s="654"/>
      <c r="BK357" s="654"/>
      <c r="BL357" s="654"/>
      <c r="BM357" s="654"/>
      <c r="BN357" s="654"/>
      <c r="BO357" s="654"/>
      <c r="BP357" s="654"/>
      <c r="BQ357" s="654"/>
      <c r="BR357" s="654"/>
      <c r="BS357" s="654"/>
      <c r="BT357" s="654"/>
      <c r="BU357" s="654"/>
      <c r="BV357" s="654"/>
      <c r="BW357" s="645" t="s">
        <v>109</v>
      </c>
      <c r="BX357" s="658">
        <f t="shared" ref="BX357:BX362" si="193">I357/22*5</f>
        <v>215</v>
      </c>
      <c r="BY357" s="658">
        <f t="shared" ref="BY357:BY362" si="194">I357/22*6</f>
        <v>258</v>
      </c>
      <c r="BZ357" s="658">
        <f t="shared" ref="BZ357:BZ362" si="195">I357/22*6</f>
        <v>258</v>
      </c>
      <c r="CA357" s="658">
        <f t="shared" ref="CA357:CA362" si="196">I357/22*5</f>
        <v>215</v>
      </c>
      <c r="CB357" s="644">
        <f t="shared" si="176"/>
        <v>946</v>
      </c>
      <c r="CC357" s="658">
        <f t="shared" ref="CC357:CC362" si="197">I357/11</f>
        <v>86</v>
      </c>
      <c r="CD357" s="644">
        <f t="shared" si="177"/>
        <v>946</v>
      </c>
      <c r="CE357" s="644">
        <f t="shared" si="178"/>
        <v>0</v>
      </c>
    </row>
    <row r="358" s="338" customFormat="1" ht="40" customHeight="1" spans="1:83">
      <c r="A358" s="632">
        <v>45828</v>
      </c>
      <c r="B358" s="633" t="s">
        <v>246</v>
      </c>
      <c r="C358" s="634" t="s">
        <v>247</v>
      </c>
      <c r="D358" s="635">
        <v>4500170710</v>
      </c>
      <c r="E358" s="659" t="s">
        <v>1753</v>
      </c>
      <c r="F358" s="636" t="s">
        <v>1754</v>
      </c>
      <c r="G358" s="637" t="s">
        <v>111</v>
      </c>
      <c r="H358" s="637" t="s">
        <v>99</v>
      </c>
      <c r="I358" s="638">
        <v>528</v>
      </c>
      <c r="J358" s="638">
        <v>0</v>
      </c>
      <c r="K358" s="639">
        <v>22</v>
      </c>
      <c r="L358" s="639">
        <f t="shared" si="182"/>
        <v>24</v>
      </c>
      <c r="M358" s="641">
        <v>45870</v>
      </c>
      <c r="N358" s="641">
        <f>M358-4</f>
        <v>45866</v>
      </c>
      <c r="O358" s="641"/>
      <c r="P358" s="642" t="s">
        <v>100</v>
      </c>
      <c r="Q358" s="643" t="s">
        <v>1656</v>
      </c>
      <c r="R358" s="642" t="s">
        <v>1755</v>
      </c>
      <c r="S358" s="641"/>
      <c r="T358" s="641"/>
      <c r="U358" s="642" t="s">
        <v>251</v>
      </c>
      <c r="V358" s="677"/>
      <c r="W358" s="645"/>
      <c r="X358" s="647" t="s">
        <v>1756</v>
      </c>
      <c r="Y358" s="646" t="s">
        <v>253</v>
      </c>
      <c r="Z358" s="683">
        <v>2.7909</v>
      </c>
      <c r="AA358" s="650">
        <f t="shared" si="192"/>
        <v>1473.5952</v>
      </c>
      <c r="AB358" s="649">
        <v>528</v>
      </c>
      <c r="AC358" s="649">
        <f t="shared" si="172"/>
        <v>0</v>
      </c>
      <c r="AD358" s="650" t="s">
        <v>106</v>
      </c>
      <c r="AE358" s="661" t="s">
        <v>111</v>
      </c>
      <c r="AF358" s="646" t="s">
        <v>107</v>
      </c>
      <c r="AG358" s="652" t="s">
        <v>43</v>
      </c>
      <c r="AH358" s="646"/>
      <c r="AI358" s="649"/>
      <c r="AJ358" s="649"/>
      <c r="AK358" s="649"/>
      <c r="AL358" s="652">
        <f>I358</f>
        <v>528</v>
      </c>
      <c r="AM358" s="652"/>
      <c r="AN358" s="649"/>
      <c r="AO358" s="649"/>
      <c r="AP358" s="649"/>
      <c r="AQ358" s="653"/>
      <c r="AR358" s="649"/>
      <c r="AS358" s="649"/>
      <c r="AT358" s="652">
        <f t="shared" ref="AT358:AT365" si="198">I358</f>
        <v>528</v>
      </c>
      <c r="AU358" s="649"/>
      <c r="AV358" s="654"/>
      <c r="AW358" s="654"/>
      <c r="AX358" s="652">
        <f>I358/11</f>
        <v>48</v>
      </c>
      <c r="AY358" s="652"/>
      <c r="AZ358" s="654"/>
      <c r="BA358" s="652"/>
      <c r="BB358" s="652"/>
      <c r="BC358" s="654"/>
      <c r="BD358" s="654"/>
      <c r="BE358" s="654"/>
      <c r="BF358" s="654"/>
      <c r="BG358" s="652"/>
      <c r="BH358" s="652"/>
      <c r="BI358" s="654"/>
      <c r="BJ358" s="654"/>
      <c r="BK358" s="654"/>
      <c r="BL358" s="654"/>
      <c r="BM358" s="654"/>
      <c r="BN358" s="654"/>
      <c r="BO358" s="654"/>
      <c r="BP358" s="654"/>
      <c r="BQ358" s="654"/>
      <c r="BR358" s="654"/>
      <c r="BS358" s="654"/>
      <c r="BT358" s="654"/>
      <c r="BU358" s="654"/>
      <c r="BV358" s="654"/>
      <c r="BW358" s="645" t="s">
        <v>109</v>
      </c>
      <c r="BX358" s="658">
        <f t="shared" si="193"/>
        <v>120</v>
      </c>
      <c r="BY358" s="658">
        <f t="shared" si="194"/>
        <v>144</v>
      </c>
      <c r="BZ358" s="658">
        <f t="shared" si="195"/>
        <v>144</v>
      </c>
      <c r="CA358" s="658">
        <f t="shared" si="196"/>
        <v>120</v>
      </c>
      <c r="CB358" s="644">
        <f t="shared" si="176"/>
        <v>528</v>
      </c>
      <c r="CC358" s="658">
        <f t="shared" si="197"/>
        <v>48</v>
      </c>
      <c r="CD358" s="644">
        <f t="shared" si="177"/>
        <v>528</v>
      </c>
      <c r="CE358" s="644">
        <f t="shared" si="178"/>
        <v>0</v>
      </c>
    </row>
    <row r="359" s="338" customFormat="1" ht="40" customHeight="1" spans="1:83">
      <c r="A359" s="632">
        <v>45828</v>
      </c>
      <c r="B359" s="633" t="s">
        <v>246</v>
      </c>
      <c r="C359" s="634" t="s">
        <v>247</v>
      </c>
      <c r="D359" s="635">
        <v>4500170710</v>
      </c>
      <c r="E359" s="659" t="s">
        <v>1757</v>
      </c>
      <c r="F359" s="636" t="s">
        <v>1758</v>
      </c>
      <c r="G359" s="637" t="s">
        <v>111</v>
      </c>
      <c r="H359" s="637" t="s">
        <v>99</v>
      </c>
      <c r="I359" s="638">
        <v>418</v>
      </c>
      <c r="J359" s="638">
        <v>0</v>
      </c>
      <c r="K359" s="639">
        <v>22</v>
      </c>
      <c r="L359" s="639">
        <f t="shared" si="182"/>
        <v>19</v>
      </c>
      <c r="M359" s="641">
        <v>45870</v>
      </c>
      <c r="N359" s="641">
        <f>M359-4</f>
        <v>45866</v>
      </c>
      <c r="O359" s="641"/>
      <c r="P359" s="642" t="s">
        <v>100</v>
      </c>
      <c r="Q359" s="643" t="s">
        <v>1656</v>
      </c>
      <c r="R359" s="642" t="s">
        <v>1755</v>
      </c>
      <c r="S359" s="641"/>
      <c r="T359" s="641"/>
      <c r="U359" s="642" t="s">
        <v>251</v>
      </c>
      <c r="V359" s="677"/>
      <c r="W359" s="645"/>
      <c r="X359" s="647" t="s">
        <v>1756</v>
      </c>
      <c r="Y359" s="646" t="s">
        <v>253</v>
      </c>
      <c r="Z359" s="683">
        <v>2.7909</v>
      </c>
      <c r="AA359" s="650">
        <f t="shared" si="192"/>
        <v>1166.5962</v>
      </c>
      <c r="AB359" s="649">
        <v>418</v>
      </c>
      <c r="AC359" s="649">
        <f t="shared" si="172"/>
        <v>0</v>
      </c>
      <c r="AD359" s="650" t="s">
        <v>106</v>
      </c>
      <c r="AE359" s="661" t="s">
        <v>111</v>
      </c>
      <c r="AF359" s="646" t="s">
        <v>107</v>
      </c>
      <c r="AG359" s="652" t="s">
        <v>43</v>
      </c>
      <c r="AH359" s="646"/>
      <c r="AI359" s="649"/>
      <c r="AJ359" s="649"/>
      <c r="AK359" s="649"/>
      <c r="AL359" s="652">
        <f>I359</f>
        <v>418</v>
      </c>
      <c r="AM359" s="652"/>
      <c r="AN359" s="649"/>
      <c r="AO359" s="649"/>
      <c r="AP359" s="649"/>
      <c r="AQ359" s="653"/>
      <c r="AR359" s="649"/>
      <c r="AS359" s="649"/>
      <c r="AT359" s="652">
        <f t="shared" si="198"/>
        <v>418</v>
      </c>
      <c r="AU359" s="649"/>
      <c r="AV359" s="654"/>
      <c r="AW359" s="654"/>
      <c r="AX359" s="652">
        <f>I359/11</f>
        <v>38</v>
      </c>
      <c r="AY359" s="652"/>
      <c r="AZ359" s="654"/>
      <c r="BA359" s="652"/>
      <c r="BB359" s="652"/>
      <c r="BC359" s="654"/>
      <c r="BD359" s="654"/>
      <c r="BE359" s="654"/>
      <c r="BF359" s="654"/>
      <c r="BG359" s="652"/>
      <c r="BH359" s="652"/>
      <c r="BI359" s="654"/>
      <c r="BJ359" s="654"/>
      <c r="BK359" s="654"/>
      <c r="BL359" s="654"/>
      <c r="BM359" s="654"/>
      <c r="BN359" s="654"/>
      <c r="BO359" s="654"/>
      <c r="BP359" s="654"/>
      <c r="BQ359" s="654"/>
      <c r="BR359" s="654"/>
      <c r="BS359" s="654"/>
      <c r="BT359" s="654"/>
      <c r="BU359" s="654"/>
      <c r="BV359" s="654"/>
      <c r="BW359" s="645" t="s">
        <v>109</v>
      </c>
      <c r="BX359" s="658">
        <f t="shared" si="193"/>
        <v>95</v>
      </c>
      <c r="BY359" s="658">
        <f t="shared" si="194"/>
        <v>114</v>
      </c>
      <c r="BZ359" s="658">
        <f t="shared" si="195"/>
        <v>114</v>
      </c>
      <c r="CA359" s="658">
        <f t="shared" si="196"/>
        <v>95</v>
      </c>
      <c r="CB359" s="644">
        <f t="shared" si="176"/>
        <v>418</v>
      </c>
      <c r="CC359" s="658">
        <f t="shared" si="197"/>
        <v>38</v>
      </c>
      <c r="CD359" s="644">
        <f t="shared" si="177"/>
        <v>418</v>
      </c>
      <c r="CE359" s="644">
        <f t="shared" si="178"/>
        <v>0</v>
      </c>
    </row>
    <row r="360" s="338" customFormat="1" ht="40" customHeight="1" spans="1:83">
      <c r="A360" s="632">
        <v>45828</v>
      </c>
      <c r="B360" s="633" t="s">
        <v>246</v>
      </c>
      <c r="C360" s="634" t="s">
        <v>247</v>
      </c>
      <c r="D360" s="635">
        <v>4500170710</v>
      </c>
      <c r="E360" s="659" t="s">
        <v>1759</v>
      </c>
      <c r="F360" s="636" t="s">
        <v>1760</v>
      </c>
      <c r="G360" s="637" t="s">
        <v>111</v>
      </c>
      <c r="H360" s="637" t="s">
        <v>99</v>
      </c>
      <c r="I360" s="638">
        <v>418</v>
      </c>
      <c r="J360" s="638">
        <v>0</v>
      </c>
      <c r="K360" s="639">
        <v>22</v>
      </c>
      <c r="L360" s="639">
        <f t="shared" si="182"/>
        <v>19</v>
      </c>
      <c r="M360" s="641">
        <v>45870</v>
      </c>
      <c r="N360" s="641">
        <f>M360-4</f>
        <v>45866</v>
      </c>
      <c r="O360" s="641"/>
      <c r="P360" s="642" t="s">
        <v>100</v>
      </c>
      <c r="Q360" s="643" t="s">
        <v>1656</v>
      </c>
      <c r="R360" s="642" t="s">
        <v>1755</v>
      </c>
      <c r="S360" s="641"/>
      <c r="T360" s="641"/>
      <c r="U360" s="642" t="s">
        <v>251</v>
      </c>
      <c r="V360" s="677"/>
      <c r="W360" s="645"/>
      <c r="X360" s="647" t="s">
        <v>1756</v>
      </c>
      <c r="Y360" s="646" t="s">
        <v>253</v>
      </c>
      <c r="Z360" s="683">
        <v>2.7909</v>
      </c>
      <c r="AA360" s="650">
        <f t="shared" si="192"/>
        <v>1166.5962</v>
      </c>
      <c r="AB360" s="649">
        <v>418</v>
      </c>
      <c r="AC360" s="649">
        <f t="shared" si="172"/>
        <v>0</v>
      </c>
      <c r="AD360" s="650" t="s">
        <v>106</v>
      </c>
      <c r="AE360" s="661" t="s">
        <v>111</v>
      </c>
      <c r="AF360" s="646" t="s">
        <v>107</v>
      </c>
      <c r="AG360" s="652" t="s">
        <v>43</v>
      </c>
      <c r="AH360" s="646"/>
      <c r="AI360" s="649"/>
      <c r="AJ360" s="649"/>
      <c r="AK360" s="649"/>
      <c r="AL360" s="652">
        <f>I360</f>
        <v>418</v>
      </c>
      <c r="AM360" s="652"/>
      <c r="AN360" s="649"/>
      <c r="AO360" s="649"/>
      <c r="AP360" s="649"/>
      <c r="AQ360" s="653"/>
      <c r="AR360" s="649"/>
      <c r="AS360" s="649"/>
      <c r="AT360" s="652">
        <f t="shared" si="198"/>
        <v>418</v>
      </c>
      <c r="AU360" s="649"/>
      <c r="AV360" s="654"/>
      <c r="AW360" s="654"/>
      <c r="AX360" s="652">
        <f>I360/11</f>
        <v>38</v>
      </c>
      <c r="AY360" s="652"/>
      <c r="AZ360" s="654"/>
      <c r="BA360" s="652"/>
      <c r="BB360" s="652"/>
      <c r="BC360" s="654"/>
      <c r="BD360" s="654"/>
      <c r="BE360" s="654"/>
      <c r="BF360" s="654"/>
      <c r="BG360" s="652"/>
      <c r="BH360" s="652"/>
      <c r="BI360" s="654"/>
      <c r="BJ360" s="654"/>
      <c r="BK360" s="654"/>
      <c r="BL360" s="654"/>
      <c r="BM360" s="654"/>
      <c r="BN360" s="654"/>
      <c r="BO360" s="654"/>
      <c r="BP360" s="654"/>
      <c r="BQ360" s="654"/>
      <c r="BR360" s="654"/>
      <c r="BS360" s="654"/>
      <c r="BT360" s="654"/>
      <c r="BU360" s="654"/>
      <c r="BV360" s="654"/>
      <c r="BW360" s="645" t="s">
        <v>109</v>
      </c>
      <c r="BX360" s="658">
        <f t="shared" si="193"/>
        <v>95</v>
      </c>
      <c r="BY360" s="658">
        <f t="shared" si="194"/>
        <v>114</v>
      </c>
      <c r="BZ360" s="658">
        <f t="shared" si="195"/>
        <v>114</v>
      </c>
      <c r="CA360" s="658">
        <f t="shared" si="196"/>
        <v>95</v>
      </c>
      <c r="CB360" s="644">
        <f t="shared" si="176"/>
        <v>418</v>
      </c>
      <c r="CC360" s="658">
        <f t="shared" si="197"/>
        <v>38</v>
      </c>
      <c r="CD360" s="644">
        <f t="shared" si="177"/>
        <v>418</v>
      </c>
      <c r="CE360" s="644">
        <f t="shared" si="178"/>
        <v>0</v>
      </c>
    </row>
    <row r="361" s="338" customFormat="1" ht="40" customHeight="1" spans="1:83">
      <c r="A361" s="632">
        <v>45828</v>
      </c>
      <c r="B361" s="633" t="s">
        <v>246</v>
      </c>
      <c r="C361" s="634" t="s">
        <v>247</v>
      </c>
      <c r="D361" s="635">
        <v>4500170710</v>
      </c>
      <c r="E361" s="659" t="s">
        <v>1761</v>
      </c>
      <c r="F361" s="636" t="s">
        <v>1762</v>
      </c>
      <c r="G361" s="637" t="s">
        <v>111</v>
      </c>
      <c r="H361" s="637" t="s">
        <v>99</v>
      </c>
      <c r="I361" s="638">
        <v>154</v>
      </c>
      <c r="J361" s="638">
        <v>0</v>
      </c>
      <c r="K361" s="639">
        <v>22</v>
      </c>
      <c r="L361" s="639">
        <f t="shared" si="182"/>
        <v>7</v>
      </c>
      <c r="M361" s="641">
        <v>45870</v>
      </c>
      <c r="N361" s="641">
        <f>M361-4</f>
        <v>45866</v>
      </c>
      <c r="O361" s="641"/>
      <c r="P361" s="642" t="s">
        <v>100</v>
      </c>
      <c r="Q361" s="643" t="s">
        <v>1656</v>
      </c>
      <c r="R361" s="642" t="s">
        <v>1755</v>
      </c>
      <c r="S361" s="641"/>
      <c r="T361" s="641"/>
      <c r="U361" s="642" t="s">
        <v>251</v>
      </c>
      <c r="V361" s="677"/>
      <c r="W361" s="645"/>
      <c r="X361" s="647" t="s">
        <v>1756</v>
      </c>
      <c r="Y361" s="646" t="s">
        <v>253</v>
      </c>
      <c r="Z361" s="683">
        <v>2.7909</v>
      </c>
      <c r="AA361" s="650">
        <f t="shared" si="192"/>
        <v>429.7986</v>
      </c>
      <c r="AB361" s="649">
        <v>154</v>
      </c>
      <c r="AC361" s="649">
        <f t="shared" si="172"/>
        <v>0</v>
      </c>
      <c r="AD361" s="650" t="s">
        <v>106</v>
      </c>
      <c r="AE361" s="661" t="s">
        <v>111</v>
      </c>
      <c r="AF361" s="646" t="s">
        <v>107</v>
      </c>
      <c r="AG361" s="652" t="s">
        <v>43</v>
      </c>
      <c r="AH361" s="646"/>
      <c r="AI361" s="649"/>
      <c r="AJ361" s="649"/>
      <c r="AK361" s="649"/>
      <c r="AL361" s="652">
        <f>I361</f>
        <v>154</v>
      </c>
      <c r="AM361" s="652"/>
      <c r="AN361" s="649"/>
      <c r="AO361" s="649"/>
      <c r="AP361" s="649"/>
      <c r="AQ361" s="653"/>
      <c r="AR361" s="649"/>
      <c r="AS361" s="649"/>
      <c r="AT361" s="652">
        <f t="shared" si="198"/>
        <v>154</v>
      </c>
      <c r="AU361" s="649"/>
      <c r="AV361" s="654"/>
      <c r="AW361" s="654"/>
      <c r="AX361" s="652">
        <f>I361/11</f>
        <v>14</v>
      </c>
      <c r="AY361" s="652"/>
      <c r="AZ361" s="654"/>
      <c r="BA361" s="652"/>
      <c r="BB361" s="652"/>
      <c r="BC361" s="654"/>
      <c r="BD361" s="654"/>
      <c r="BE361" s="654"/>
      <c r="BF361" s="654"/>
      <c r="BG361" s="652"/>
      <c r="BH361" s="652"/>
      <c r="BI361" s="654"/>
      <c r="BJ361" s="654"/>
      <c r="BK361" s="654"/>
      <c r="BL361" s="654"/>
      <c r="BM361" s="654"/>
      <c r="BN361" s="654"/>
      <c r="BO361" s="654"/>
      <c r="BP361" s="654"/>
      <c r="BQ361" s="654"/>
      <c r="BR361" s="654"/>
      <c r="BS361" s="654"/>
      <c r="BT361" s="654"/>
      <c r="BU361" s="654"/>
      <c r="BV361" s="654"/>
      <c r="BW361" s="645" t="s">
        <v>109</v>
      </c>
      <c r="BX361" s="658">
        <f t="shared" si="193"/>
        <v>35</v>
      </c>
      <c r="BY361" s="658">
        <f t="shared" si="194"/>
        <v>42</v>
      </c>
      <c r="BZ361" s="658">
        <f t="shared" si="195"/>
        <v>42</v>
      </c>
      <c r="CA361" s="658">
        <f t="shared" si="196"/>
        <v>35</v>
      </c>
      <c r="CB361" s="644">
        <f t="shared" si="176"/>
        <v>154</v>
      </c>
      <c r="CC361" s="658">
        <f t="shared" si="197"/>
        <v>14</v>
      </c>
      <c r="CD361" s="644">
        <f t="shared" si="177"/>
        <v>154</v>
      </c>
      <c r="CE361" s="644">
        <f t="shared" si="178"/>
        <v>0</v>
      </c>
    </row>
    <row r="362" s="338" customFormat="1" ht="40" customHeight="1" spans="1:83">
      <c r="A362" s="632">
        <v>45828</v>
      </c>
      <c r="B362" s="633" t="s">
        <v>1763</v>
      </c>
      <c r="C362" s="634" t="s">
        <v>617</v>
      </c>
      <c r="D362" s="635">
        <v>4500170866</v>
      </c>
      <c r="E362" s="659">
        <v>4400493536</v>
      </c>
      <c r="F362" s="636" t="s">
        <v>1764</v>
      </c>
      <c r="G362" s="637" t="s">
        <v>111</v>
      </c>
      <c r="H362" s="637" t="s">
        <v>99</v>
      </c>
      <c r="I362" s="638">
        <v>1012</v>
      </c>
      <c r="J362" s="638">
        <v>0</v>
      </c>
      <c r="K362" s="639">
        <v>22</v>
      </c>
      <c r="L362" s="639">
        <f t="shared" si="182"/>
        <v>46</v>
      </c>
      <c r="M362" s="641">
        <v>45869</v>
      </c>
      <c r="N362" s="641">
        <v>45866</v>
      </c>
      <c r="O362" s="641"/>
      <c r="P362" s="642" t="s">
        <v>100</v>
      </c>
      <c r="Q362" s="643" t="s">
        <v>1656</v>
      </c>
      <c r="R362" s="642" t="s">
        <v>1755</v>
      </c>
      <c r="S362" s="642"/>
      <c r="T362" s="642"/>
      <c r="U362" s="642" t="s">
        <v>1765</v>
      </c>
      <c r="V362" s="642"/>
      <c r="W362" s="645"/>
      <c r="X362" s="647" t="s">
        <v>1766</v>
      </c>
      <c r="Y362" s="646" t="s">
        <v>1029</v>
      </c>
      <c r="Z362" s="683">
        <v>2.7172</v>
      </c>
      <c r="AA362" s="650">
        <f t="shared" si="192"/>
        <v>2749.8064</v>
      </c>
      <c r="AB362" s="649">
        <v>1012</v>
      </c>
      <c r="AC362" s="649">
        <f t="shared" si="172"/>
        <v>0</v>
      </c>
      <c r="AD362" s="650" t="s">
        <v>106</v>
      </c>
      <c r="AE362" s="637" t="s">
        <v>230</v>
      </c>
      <c r="AF362" s="646" t="s">
        <v>107</v>
      </c>
      <c r="AG362" s="652" t="s">
        <v>43</v>
      </c>
      <c r="AH362" s="646"/>
      <c r="AI362" s="649"/>
      <c r="AJ362" s="649"/>
      <c r="AK362" s="649"/>
      <c r="AL362" s="649"/>
      <c r="AM362" s="649"/>
      <c r="AN362" s="649"/>
      <c r="AO362" s="649">
        <f>I362</f>
        <v>1012</v>
      </c>
      <c r="AP362" s="649"/>
      <c r="AQ362" s="653"/>
      <c r="AR362" s="649"/>
      <c r="AS362" s="649"/>
      <c r="AT362" s="652">
        <f t="shared" si="198"/>
        <v>1012</v>
      </c>
      <c r="AU362" s="649"/>
      <c r="AV362" s="654"/>
      <c r="AW362" s="654"/>
      <c r="AX362" s="652"/>
      <c r="AY362" s="652"/>
      <c r="AZ362" s="654"/>
      <c r="BA362" s="652">
        <f>I362/11</f>
        <v>92</v>
      </c>
      <c r="BB362" s="652"/>
      <c r="BC362" s="654"/>
      <c r="BD362" s="654"/>
      <c r="BE362" s="654"/>
      <c r="BF362" s="654"/>
      <c r="BG362" s="652"/>
      <c r="BH362" s="652"/>
      <c r="BI362" s="654"/>
      <c r="BJ362" s="654"/>
      <c r="BK362" s="654"/>
      <c r="BL362" s="654"/>
      <c r="BM362" s="654"/>
      <c r="BN362" s="654"/>
      <c r="BO362" s="654"/>
      <c r="BP362" s="654"/>
      <c r="BQ362" s="654"/>
      <c r="BR362" s="654"/>
      <c r="BS362" s="654"/>
      <c r="BT362" s="654"/>
      <c r="BU362" s="654"/>
      <c r="BV362" s="654"/>
      <c r="BW362" s="645" t="s">
        <v>109</v>
      </c>
      <c r="BX362" s="658">
        <f t="shared" si="193"/>
        <v>230</v>
      </c>
      <c r="BY362" s="658">
        <f t="shared" si="194"/>
        <v>276</v>
      </c>
      <c r="BZ362" s="658">
        <f t="shared" si="195"/>
        <v>276</v>
      </c>
      <c r="CA362" s="658">
        <f t="shared" si="196"/>
        <v>230</v>
      </c>
      <c r="CB362" s="644">
        <f t="shared" si="176"/>
        <v>1012</v>
      </c>
      <c r="CC362" s="658">
        <f t="shared" si="197"/>
        <v>92</v>
      </c>
      <c r="CD362" s="644">
        <f t="shared" si="177"/>
        <v>1012</v>
      </c>
      <c r="CE362" s="644">
        <f t="shared" si="178"/>
        <v>0</v>
      </c>
    </row>
    <row r="363" s="338" customFormat="1" ht="40" customHeight="1" spans="1:83">
      <c r="A363" s="632">
        <v>45769</v>
      </c>
      <c r="B363" s="633" t="s">
        <v>94</v>
      </c>
      <c r="C363" s="634" t="s">
        <v>205</v>
      </c>
      <c r="D363" s="635">
        <v>4500164451</v>
      </c>
      <c r="E363" s="659" t="s">
        <v>116</v>
      </c>
      <c r="F363" s="636" t="s">
        <v>1767</v>
      </c>
      <c r="G363" s="637" t="s">
        <v>98</v>
      </c>
      <c r="H363" s="637" t="s">
        <v>99</v>
      </c>
      <c r="I363" s="638">
        <v>2256</v>
      </c>
      <c r="J363" s="638">
        <v>0</v>
      </c>
      <c r="K363" s="639">
        <v>24</v>
      </c>
      <c r="L363" s="639">
        <f t="shared" si="182"/>
        <v>94</v>
      </c>
      <c r="M363" s="641">
        <v>45873</v>
      </c>
      <c r="N363" s="641">
        <f>M363-4</f>
        <v>45869</v>
      </c>
      <c r="O363" s="641"/>
      <c r="P363" s="642" t="s">
        <v>100</v>
      </c>
      <c r="Q363" s="643" t="s">
        <v>1768</v>
      </c>
      <c r="R363" s="642" t="s">
        <v>1450</v>
      </c>
      <c r="S363" s="641"/>
      <c r="T363" s="641"/>
      <c r="U363" s="642" t="s">
        <v>1769</v>
      </c>
      <c r="V363" s="677"/>
      <c r="W363" s="645" t="s">
        <v>1770</v>
      </c>
      <c r="X363" s="647" t="s">
        <v>1771</v>
      </c>
      <c r="Y363" s="646" t="s">
        <v>972</v>
      </c>
      <c r="Z363" s="648">
        <v>2.4888</v>
      </c>
      <c r="AA363" s="650">
        <f t="shared" si="192"/>
        <v>5614.7328</v>
      </c>
      <c r="AB363" s="649">
        <v>2256</v>
      </c>
      <c r="AC363" s="649">
        <f t="shared" si="172"/>
        <v>0</v>
      </c>
      <c r="AD363" s="650" t="s">
        <v>106</v>
      </c>
      <c r="AE363" s="637" t="s">
        <v>98</v>
      </c>
      <c r="AF363" s="646" t="s">
        <v>107</v>
      </c>
      <c r="AG363" s="652" t="s">
        <v>43</v>
      </c>
      <c r="AH363" s="646"/>
      <c r="AI363" s="649"/>
      <c r="AJ363" s="649"/>
      <c r="AK363" s="649"/>
      <c r="AL363" s="652">
        <f>I363</f>
        <v>2256</v>
      </c>
      <c r="AM363" s="652"/>
      <c r="AN363" s="649"/>
      <c r="AO363" s="649"/>
      <c r="AP363" s="649"/>
      <c r="AQ363" s="653"/>
      <c r="AR363" s="649"/>
      <c r="AS363" s="649"/>
      <c r="AT363" s="652">
        <f t="shared" si="198"/>
        <v>2256</v>
      </c>
      <c r="AU363" s="649"/>
      <c r="AV363" s="654"/>
      <c r="AW363" s="654"/>
      <c r="AX363" s="652"/>
      <c r="AY363" s="652"/>
      <c r="AZ363" s="654"/>
      <c r="BA363" s="652"/>
      <c r="BB363" s="652"/>
      <c r="BC363" s="654"/>
      <c r="BD363" s="654"/>
      <c r="BE363" s="654"/>
      <c r="BF363" s="654"/>
      <c r="BG363" s="652"/>
      <c r="BH363" s="652"/>
      <c r="BI363" s="654"/>
      <c r="BJ363" s="654"/>
      <c r="BK363" s="654"/>
      <c r="BL363" s="654"/>
      <c r="BM363" s="654"/>
      <c r="BN363" s="654"/>
      <c r="BO363" s="654"/>
      <c r="BP363" s="654"/>
      <c r="BQ363" s="654"/>
      <c r="BR363" s="654"/>
      <c r="BS363" s="654"/>
      <c r="BT363" s="654"/>
      <c r="BU363" s="654"/>
      <c r="BV363" s="654"/>
      <c r="BW363" s="645" t="s">
        <v>109</v>
      </c>
      <c r="BX363" s="658">
        <f>I363/4</f>
        <v>564</v>
      </c>
      <c r="BY363" s="658">
        <f>I363/4</f>
        <v>564</v>
      </c>
      <c r="BZ363" s="658">
        <f>I363/4</f>
        <v>564</v>
      </c>
      <c r="CA363" s="658">
        <f>I363/4</f>
        <v>564</v>
      </c>
      <c r="CB363" s="644">
        <f t="shared" si="176"/>
        <v>2256</v>
      </c>
      <c r="CC363" s="658"/>
      <c r="CD363" s="644">
        <f t="shared" si="177"/>
        <v>2256</v>
      </c>
      <c r="CE363" s="644">
        <f t="shared" si="178"/>
        <v>0</v>
      </c>
    </row>
    <row r="364" s="338" customFormat="1" ht="40" customHeight="1" spans="1:83">
      <c r="A364" s="632">
        <v>45769</v>
      </c>
      <c r="B364" s="633" t="s">
        <v>94</v>
      </c>
      <c r="C364" s="634" t="s">
        <v>205</v>
      </c>
      <c r="D364" s="635">
        <v>4500164451</v>
      </c>
      <c r="E364" s="659" t="s">
        <v>125</v>
      </c>
      <c r="F364" s="636" t="s">
        <v>1772</v>
      </c>
      <c r="G364" s="637" t="s">
        <v>98</v>
      </c>
      <c r="H364" s="637" t="s">
        <v>99</v>
      </c>
      <c r="I364" s="638">
        <v>864</v>
      </c>
      <c r="J364" s="638">
        <v>0</v>
      </c>
      <c r="K364" s="639">
        <v>24</v>
      </c>
      <c r="L364" s="639">
        <f t="shared" si="182"/>
        <v>36</v>
      </c>
      <c r="M364" s="641">
        <v>45873</v>
      </c>
      <c r="N364" s="641">
        <f>M364-4</f>
        <v>45869</v>
      </c>
      <c r="O364" s="641"/>
      <c r="P364" s="642" t="s">
        <v>100</v>
      </c>
      <c r="Q364" s="643" t="s">
        <v>1768</v>
      </c>
      <c r="R364" s="642" t="s">
        <v>1450</v>
      </c>
      <c r="S364" s="641"/>
      <c r="T364" s="641"/>
      <c r="U364" s="642" t="s">
        <v>1769</v>
      </c>
      <c r="V364" s="677"/>
      <c r="W364" s="645" t="s">
        <v>1770</v>
      </c>
      <c r="X364" s="647" t="s">
        <v>1771</v>
      </c>
      <c r="Y364" s="646" t="s">
        <v>972</v>
      </c>
      <c r="Z364" s="648">
        <v>2.4888</v>
      </c>
      <c r="AA364" s="650">
        <f t="shared" si="192"/>
        <v>2150.3232</v>
      </c>
      <c r="AB364" s="649">
        <v>864</v>
      </c>
      <c r="AC364" s="649">
        <f t="shared" si="172"/>
        <v>0</v>
      </c>
      <c r="AD364" s="650" t="s">
        <v>106</v>
      </c>
      <c r="AE364" s="637" t="s">
        <v>98</v>
      </c>
      <c r="AF364" s="646" t="s">
        <v>107</v>
      </c>
      <c r="AG364" s="652" t="s">
        <v>43</v>
      </c>
      <c r="AH364" s="646"/>
      <c r="AI364" s="649"/>
      <c r="AJ364" s="649"/>
      <c r="AK364" s="649"/>
      <c r="AL364" s="652">
        <f>I364</f>
        <v>864</v>
      </c>
      <c r="AM364" s="652"/>
      <c r="AN364" s="649"/>
      <c r="AO364" s="649"/>
      <c r="AP364" s="649"/>
      <c r="AQ364" s="653"/>
      <c r="AR364" s="649"/>
      <c r="AS364" s="649"/>
      <c r="AT364" s="652">
        <f t="shared" si="198"/>
        <v>864</v>
      </c>
      <c r="AU364" s="649"/>
      <c r="AV364" s="654"/>
      <c r="AW364" s="654"/>
      <c r="AX364" s="652"/>
      <c r="AY364" s="652"/>
      <c r="AZ364" s="654"/>
      <c r="BA364" s="652"/>
      <c r="BB364" s="652"/>
      <c r="BC364" s="654"/>
      <c r="BD364" s="654"/>
      <c r="BE364" s="654"/>
      <c r="BF364" s="654"/>
      <c r="BG364" s="652"/>
      <c r="BH364" s="652"/>
      <c r="BI364" s="654"/>
      <c r="BJ364" s="654"/>
      <c r="BK364" s="654"/>
      <c r="BL364" s="654"/>
      <c r="BM364" s="654"/>
      <c r="BN364" s="654"/>
      <c r="BO364" s="654"/>
      <c r="BP364" s="654"/>
      <c r="BQ364" s="654"/>
      <c r="BR364" s="654"/>
      <c r="BS364" s="654"/>
      <c r="BT364" s="654"/>
      <c r="BU364" s="654"/>
      <c r="BV364" s="654"/>
      <c r="BW364" s="645" t="s">
        <v>109</v>
      </c>
      <c r="BX364" s="658">
        <f>I364/4</f>
        <v>216</v>
      </c>
      <c r="BY364" s="658">
        <f>I364/4</f>
        <v>216</v>
      </c>
      <c r="BZ364" s="658">
        <f>I364/4</f>
        <v>216</v>
      </c>
      <c r="CA364" s="658">
        <f>I364/4</f>
        <v>216</v>
      </c>
      <c r="CB364" s="644">
        <f t="shared" si="176"/>
        <v>864</v>
      </c>
      <c r="CC364" s="658"/>
      <c r="CD364" s="644">
        <f t="shared" si="177"/>
        <v>864</v>
      </c>
      <c r="CE364" s="644">
        <f t="shared" si="178"/>
        <v>0</v>
      </c>
    </row>
    <row r="365" s="338" customFormat="1" ht="40" customHeight="1" spans="1:83">
      <c r="A365" s="632">
        <v>45838</v>
      </c>
      <c r="B365" s="633" t="s">
        <v>432</v>
      </c>
      <c r="C365" s="634" t="s">
        <v>380</v>
      </c>
      <c r="D365" s="635">
        <v>4500164221</v>
      </c>
      <c r="E365" s="659">
        <v>232309</v>
      </c>
      <c r="F365" s="636" t="s">
        <v>1773</v>
      </c>
      <c r="G365" s="637" t="s">
        <v>98</v>
      </c>
      <c r="H365" s="637" t="s">
        <v>99</v>
      </c>
      <c r="I365" s="638">
        <v>1512</v>
      </c>
      <c r="J365" s="638">
        <v>0</v>
      </c>
      <c r="K365" s="639">
        <v>24</v>
      </c>
      <c r="L365" s="639">
        <f t="shared" si="182"/>
        <v>63</v>
      </c>
      <c r="M365" s="641">
        <v>45870</v>
      </c>
      <c r="N365" s="641">
        <f>M365-4</f>
        <v>45866</v>
      </c>
      <c r="O365" s="641"/>
      <c r="P365" s="642" t="s">
        <v>100</v>
      </c>
      <c r="Q365" s="643" t="s">
        <v>1774</v>
      </c>
      <c r="R365" s="642" t="s">
        <v>1775</v>
      </c>
      <c r="S365" s="641"/>
      <c r="T365" s="641"/>
      <c r="U365" s="642" t="s">
        <v>1776</v>
      </c>
      <c r="V365" s="677"/>
      <c r="W365" s="645"/>
      <c r="X365" s="647" t="s">
        <v>1777</v>
      </c>
      <c r="Y365" s="646" t="s">
        <v>623</v>
      </c>
      <c r="Z365" s="648">
        <v>2.4997</v>
      </c>
      <c r="AA365" s="650">
        <f t="shared" si="192"/>
        <v>3779.5464</v>
      </c>
      <c r="AB365" s="649">
        <v>1512</v>
      </c>
      <c r="AC365" s="649">
        <f t="shared" si="172"/>
        <v>0</v>
      </c>
      <c r="AD365" s="650" t="s">
        <v>106</v>
      </c>
      <c r="AE365" s="637" t="s">
        <v>98</v>
      </c>
      <c r="AF365" s="646" t="s">
        <v>107</v>
      </c>
      <c r="AG365" s="652" t="s">
        <v>43</v>
      </c>
      <c r="AH365" s="646"/>
      <c r="AI365" s="649"/>
      <c r="AJ365" s="649"/>
      <c r="AK365" s="649"/>
      <c r="AL365" s="652">
        <f>I365</f>
        <v>1512</v>
      </c>
      <c r="AM365" s="652"/>
      <c r="AN365" s="649"/>
      <c r="AO365" s="649"/>
      <c r="AP365" s="649"/>
      <c r="AQ365" s="653"/>
      <c r="AR365" s="649"/>
      <c r="AS365" s="649"/>
      <c r="AT365" s="652">
        <f t="shared" si="198"/>
        <v>1512</v>
      </c>
      <c r="AU365" s="649"/>
      <c r="AV365" s="654"/>
      <c r="AW365" s="654"/>
      <c r="AX365" s="652"/>
      <c r="AY365" s="652"/>
      <c r="AZ365" s="654"/>
      <c r="BA365" s="652"/>
      <c r="BB365" s="652"/>
      <c r="BC365" s="654"/>
      <c r="BD365" s="654"/>
      <c r="BE365" s="654"/>
      <c r="BF365" s="654"/>
      <c r="BG365" s="652"/>
      <c r="BH365" s="652"/>
      <c r="BI365" s="654"/>
      <c r="BJ365" s="654"/>
      <c r="BK365" s="654"/>
      <c r="BL365" s="654"/>
      <c r="BM365" s="654"/>
      <c r="BN365" s="654"/>
      <c r="BO365" s="654"/>
      <c r="BP365" s="654"/>
      <c r="BQ365" s="654"/>
      <c r="BR365" s="654"/>
      <c r="BS365" s="654"/>
      <c r="BT365" s="654"/>
      <c r="BU365" s="654"/>
      <c r="BV365" s="654"/>
      <c r="BW365" s="645" t="s">
        <v>109</v>
      </c>
      <c r="BX365" s="658">
        <f>I365/4</f>
        <v>378</v>
      </c>
      <c r="BY365" s="658">
        <f>I365/4</f>
        <v>378</v>
      </c>
      <c r="BZ365" s="658">
        <f>I365/4</f>
        <v>378</v>
      </c>
      <c r="CA365" s="658">
        <f>I365/4</f>
        <v>378</v>
      </c>
      <c r="CB365" s="644">
        <f t="shared" si="176"/>
        <v>1512</v>
      </c>
      <c r="CC365" s="658"/>
      <c r="CD365" s="644">
        <f t="shared" si="177"/>
        <v>1512</v>
      </c>
      <c r="CE365" s="644">
        <f t="shared" si="178"/>
        <v>0</v>
      </c>
    </row>
    <row r="366" s="338" customFormat="1" ht="40" customHeight="1" spans="1:83">
      <c r="A366" s="632">
        <v>45826</v>
      </c>
      <c r="B366" s="633" t="s">
        <v>1778</v>
      </c>
      <c r="C366" s="634" t="s">
        <v>590</v>
      </c>
      <c r="D366" s="635">
        <v>4500169773</v>
      </c>
      <c r="E366" s="666">
        <v>4041588248</v>
      </c>
      <c r="F366" s="636" t="s">
        <v>1779</v>
      </c>
      <c r="G366" s="637" t="s">
        <v>241</v>
      </c>
      <c r="H366" s="637" t="s">
        <v>99</v>
      </c>
      <c r="I366" s="638">
        <v>1001</v>
      </c>
      <c r="J366" s="638">
        <v>0</v>
      </c>
      <c r="K366" s="639">
        <v>11</v>
      </c>
      <c r="L366" s="639">
        <f t="shared" si="182"/>
        <v>91</v>
      </c>
      <c r="M366" s="641">
        <v>45874</v>
      </c>
      <c r="N366" s="641">
        <v>45870</v>
      </c>
      <c r="O366" s="641"/>
      <c r="P366" s="642" t="s">
        <v>100</v>
      </c>
      <c r="Q366" s="643" t="s">
        <v>1780</v>
      </c>
      <c r="R366" s="642" t="s">
        <v>102</v>
      </c>
      <c r="S366" s="642"/>
      <c r="T366" s="642"/>
      <c r="U366" s="642" t="s">
        <v>1781</v>
      </c>
      <c r="V366" s="642"/>
      <c r="W366" s="645" t="s">
        <v>1304</v>
      </c>
      <c r="X366" s="647" t="s">
        <v>1782</v>
      </c>
      <c r="Y366" s="646" t="s">
        <v>1029</v>
      </c>
      <c r="Z366" s="683">
        <v>2.7121</v>
      </c>
      <c r="AA366" s="650">
        <f t="shared" si="192"/>
        <v>2714.8121</v>
      </c>
      <c r="AB366" s="649">
        <v>1001</v>
      </c>
      <c r="AC366" s="649">
        <f>AB366-I366</f>
        <v>0</v>
      </c>
      <c r="AD366" s="650" t="s">
        <v>106</v>
      </c>
      <c r="AE366" s="637" t="s">
        <v>1264</v>
      </c>
      <c r="AF366" s="646" t="s">
        <v>107</v>
      </c>
      <c r="AG366" s="652" t="s">
        <v>43</v>
      </c>
      <c r="AH366" s="646"/>
      <c r="AI366" s="649"/>
      <c r="AJ366" s="649"/>
      <c r="AK366" s="649"/>
      <c r="AL366" s="649"/>
      <c r="AM366" s="649"/>
      <c r="AN366" s="649"/>
      <c r="AO366" s="649">
        <f>I366</f>
        <v>1001</v>
      </c>
      <c r="AP366" s="649"/>
      <c r="AQ366" s="653"/>
      <c r="AR366" s="649"/>
      <c r="AS366" s="649"/>
      <c r="AT366" s="649"/>
      <c r="AU366" s="649"/>
      <c r="AV366" s="652">
        <f>I366</f>
        <v>1001</v>
      </c>
      <c r="AW366" s="654"/>
      <c r="AX366" s="652"/>
      <c r="AY366" s="652"/>
      <c r="AZ366" s="654"/>
      <c r="BA366" s="652">
        <f>I366/11</f>
        <v>91</v>
      </c>
      <c r="BB366" s="652"/>
      <c r="BC366" s="654"/>
      <c r="BD366" s="654"/>
      <c r="BE366" s="654"/>
      <c r="BF366" s="654"/>
      <c r="BG366" s="652"/>
      <c r="BH366" s="652"/>
      <c r="BI366" s="654"/>
      <c r="BJ366" s="654"/>
      <c r="BK366" s="654"/>
      <c r="BL366" s="654"/>
      <c r="BM366" s="654"/>
      <c r="BN366" s="654"/>
      <c r="BO366" s="654"/>
      <c r="BP366" s="654"/>
      <c r="BQ366" s="654"/>
      <c r="BR366" s="654"/>
      <c r="BS366" s="654"/>
      <c r="BT366" s="654"/>
      <c r="BU366" s="654"/>
      <c r="BV366" s="654"/>
      <c r="BW366" s="645" t="s">
        <v>109</v>
      </c>
      <c r="BX366" s="658">
        <f>I366/22*5</f>
        <v>227.5</v>
      </c>
      <c r="BY366" s="658">
        <f>I366/22*6</f>
        <v>273</v>
      </c>
      <c r="BZ366" s="658">
        <f>I366/22*6</f>
        <v>273</v>
      </c>
      <c r="CA366" s="658">
        <f>I366/22*5</f>
        <v>227.5</v>
      </c>
      <c r="CB366" s="644">
        <f t="shared" si="176"/>
        <v>1001</v>
      </c>
      <c r="CC366" s="658">
        <f>I366/11</f>
        <v>91</v>
      </c>
      <c r="CD366" s="644">
        <f t="shared" si="177"/>
        <v>1001</v>
      </c>
      <c r="CE366" s="644">
        <f t="shared" si="178"/>
        <v>0</v>
      </c>
    </row>
    <row r="367" s="338" customFormat="1" ht="40" customHeight="1" spans="1:83">
      <c r="A367" s="632">
        <v>45839</v>
      </c>
      <c r="B367" s="633" t="s">
        <v>350</v>
      </c>
      <c r="C367" s="634" t="s">
        <v>351</v>
      </c>
      <c r="D367" s="635">
        <v>4500171253</v>
      </c>
      <c r="E367" s="659"/>
      <c r="F367" s="636" t="s">
        <v>1783</v>
      </c>
      <c r="G367" s="637" t="s">
        <v>111</v>
      </c>
      <c r="H367" s="637" t="s">
        <v>99</v>
      </c>
      <c r="I367" s="638">
        <v>2288</v>
      </c>
      <c r="J367" s="638">
        <v>0</v>
      </c>
      <c r="K367" s="639">
        <v>22</v>
      </c>
      <c r="L367" s="639">
        <f t="shared" si="182"/>
        <v>104</v>
      </c>
      <c r="M367" s="641">
        <v>45870</v>
      </c>
      <c r="N367" s="641">
        <v>45866</v>
      </c>
      <c r="O367" s="641"/>
      <c r="P367" s="642" t="s">
        <v>100</v>
      </c>
      <c r="Q367" s="643" t="s">
        <v>1784</v>
      </c>
      <c r="R367" s="642" t="s">
        <v>1785</v>
      </c>
      <c r="S367" s="641"/>
      <c r="T367" s="641"/>
      <c r="U367" s="642" t="s">
        <v>1786</v>
      </c>
      <c r="V367" s="677"/>
      <c r="W367" s="645"/>
      <c r="X367" s="647" t="s">
        <v>1787</v>
      </c>
      <c r="Y367" s="646" t="s">
        <v>281</v>
      </c>
      <c r="Z367" s="683">
        <v>2.708</v>
      </c>
      <c r="AA367" s="650">
        <f t="shared" si="192"/>
        <v>6195.904</v>
      </c>
      <c r="AB367" s="649">
        <v>2288</v>
      </c>
      <c r="AC367" s="649">
        <f>AB367-I367</f>
        <v>0</v>
      </c>
      <c r="AD367" s="650" t="s">
        <v>123</v>
      </c>
      <c r="AE367" s="637" t="s">
        <v>230</v>
      </c>
      <c r="AF367" s="646" t="s">
        <v>107</v>
      </c>
      <c r="AG367" s="652" t="s">
        <v>43</v>
      </c>
      <c r="AH367" s="649" t="s">
        <v>1788</v>
      </c>
      <c r="AI367" s="649"/>
      <c r="AJ367" s="649"/>
      <c r="AK367" s="649"/>
      <c r="AL367" s="649"/>
      <c r="AM367" s="649"/>
      <c r="AN367" s="649"/>
      <c r="AO367" s="649">
        <f>I367</f>
        <v>2288</v>
      </c>
      <c r="AP367" s="649"/>
      <c r="AQ367" s="653"/>
      <c r="AR367" s="649"/>
      <c r="AS367" s="649"/>
      <c r="AT367" s="652">
        <f t="shared" ref="AT367:AT372" si="199">I367</f>
        <v>2288</v>
      </c>
      <c r="AU367" s="649"/>
      <c r="AV367" s="654"/>
      <c r="AW367" s="654"/>
      <c r="AX367" s="652"/>
      <c r="AY367" s="652"/>
      <c r="AZ367" s="654"/>
      <c r="BA367" s="652">
        <f>I367/11</f>
        <v>208</v>
      </c>
      <c r="BB367" s="652"/>
      <c r="BC367" s="654"/>
      <c r="BD367" s="654"/>
      <c r="BE367" s="654"/>
      <c r="BF367" s="654"/>
      <c r="BG367" s="652"/>
      <c r="BH367" s="652"/>
      <c r="BI367" s="654"/>
      <c r="BJ367" s="654"/>
      <c r="BK367" s="654"/>
      <c r="BL367" s="654"/>
      <c r="BM367" s="654"/>
      <c r="BN367" s="654"/>
      <c r="BO367" s="654"/>
      <c r="BP367" s="654"/>
      <c r="BQ367" s="654"/>
      <c r="BR367" s="654"/>
      <c r="BS367" s="654"/>
      <c r="BT367" s="654"/>
      <c r="BU367" s="654"/>
      <c r="BV367" s="654"/>
      <c r="BW367" s="645" t="s">
        <v>109</v>
      </c>
      <c r="BX367" s="658">
        <f>I367/22*5</f>
        <v>520</v>
      </c>
      <c r="BY367" s="658">
        <f>I367/22*6</f>
        <v>624</v>
      </c>
      <c r="BZ367" s="658">
        <f>I367/22*6</f>
        <v>624</v>
      </c>
      <c r="CA367" s="658">
        <f>I367/22*5</f>
        <v>520</v>
      </c>
      <c r="CB367" s="644">
        <f t="shared" si="176"/>
        <v>2288</v>
      </c>
      <c r="CC367" s="658">
        <f>I367/11</f>
        <v>208</v>
      </c>
      <c r="CD367" s="644">
        <f t="shared" si="177"/>
        <v>2288</v>
      </c>
      <c r="CE367" s="644">
        <f t="shared" si="178"/>
        <v>0</v>
      </c>
    </row>
    <row r="368" s="338" customFormat="1" ht="40" customHeight="1" spans="1:83">
      <c r="A368" s="632">
        <v>45831</v>
      </c>
      <c r="B368" s="633" t="s">
        <v>1789</v>
      </c>
      <c r="C368" s="634" t="s">
        <v>380</v>
      </c>
      <c r="D368" s="635">
        <v>4500170963</v>
      </c>
      <c r="E368" s="690" t="s">
        <v>1790</v>
      </c>
      <c r="F368" s="636" t="s">
        <v>1791</v>
      </c>
      <c r="G368" s="637" t="s">
        <v>111</v>
      </c>
      <c r="H368" s="637" t="s">
        <v>99</v>
      </c>
      <c r="I368" s="638">
        <v>5016</v>
      </c>
      <c r="J368" s="638">
        <v>0</v>
      </c>
      <c r="K368" s="639">
        <v>22</v>
      </c>
      <c r="L368" s="639">
        <f t="shared" si="182"/>
        <v>228</v>
      </c>
      <c r="M368" s="641">
        <v>45873</v>
      </c>
      <c r="N368" s="641">
        <f>M368-4</f>
        <v>45869</v>
      </c>
      <c r="O368" s="641"/>
      <c r="P368" s="642" t="s">
        <v>1792</v>
      </c>
      <c r="Q368" s="643" t="s">
        <v>1504</v>
      </c>
      <c r="R368" s="642" t="s">
        <v>1793</v>
      </c>
      <c r="S368" s="641"/>
      <c r="T368" s="641"/>
      <c r="U368" s="642" t="s">
        <v>1765</v>
      </c>
      <c r="V368" s="677"/>
      <c r="W368" s="645"/>
      <c r="X368" s="647" t="s">
        <v>1794</v>
      </c>
      <c r="Y368" s="646" t="s">
        <v>1029</v>
      </c>
      <c r="Z368" s="683">
        <v>2.6892</v>
      </c>
      <c r="AA368" s="650">
        <f t="shared" si="192"/>
        <v>13489.0272</v>
      </c>
      <c r="AB368" s="649">
        <v>5016</v>
      </c>
      <c r="AC368" s="649">
        <f>AB368-I368</f>
        <v>0</v>
      </c>
      <c r="AD368" s="691" t="s">
        <v>106</v>
      </c>
      <c r="AE368" s="637" t="s">
        <v>230</v>
      </c>
      <c r="AF368" s="646" t="s">
        <v>107</v>
      </c>
      <c r="AG368" s="652" t="s">
        <v>43</v>
      </c>
      <c r="AH368" s="646"/>
      <c r="AI368" s="649"/>
      <c r="AJ368" s="649"/>
      <c r="AK368" s="649"/>
      <c r="AL368" s="649"/>
      <c r="AM368" s="649"/>
      <c r="AN368" s="649"/>
      <c r="AO368" s="649">
        <f>I368</f>
        <v>5016</v>
      </c>
      <c r="AP368" s="649"/>
      <c r="AQ368" s="653"/>
      <c r="AR368" s="649"/>
      <c r="AS368" s="649"/>
      <c r="AT368" s="652">
        <f t="shared" si="199"/>
        <v>5016</v>
      </c>
      <c r="AU368" s="649"/>
      <c r="AV368" s="654"/>
      <c r="AW368" s="654"/>
      <c r="AX368" s="652"/>
      <c r="AY368" s="652"/>
      <c r="AZ368" s="654"/>
      <c r="BA368" s="652">
        <f>I368/11</f>
        <v>456</v>
      </c>
      <c r="BB368" s="652"/>
      <c r="BC368" s="654"/>
      <c r="BD368" s="654"/>
      <c r="BE368" s="654"/>
      <c r="BF368" s="654"/>
      <c r="BG368" s="652"/>
      <c r="BH368" s="652"/>
      <c r="BI368" s="654"/>
      <c r="BJ368" s="654"/>
      <c r="BK368" s="654"/>
      <c r="BL368" s="654"/>
      <c r="BM368" s="654"/>
      <c r="BN368" s="654"/>
      <c r="BO368" s="654"/>
      <c r="BP368" s="654"/>
      <c r="BQ368" s="654"/>
      <c r="BR368" s="654"/>
      <c r="BS368" s="654"/>
      <c r="BT368" s="654"/>
      <c r="BU368" s="654"/>
      <c r="BV368" s="654"/>
      <c r="BW368" s="645" t="s">
        <v>109</v>
      </c>
      <c r="BX368" s="658">
        <f>I368/22*5</f>
        <v>1140</v>
      </c>
      <c r="BY368" s="658">
        <f>I368/22*6</f>
        <v>1368</v>
      </c>
      <c r="BZ368" s="658">
        <f>I368/22*6</f>
        <v>1368</v>
      </c>
      <c r="CA368" s="658">
        <f>I368/22*5</f>
        <v>1140</v>
      </c>
      <c r="CB368" s="644">
        <f t="shared" si="176"/>
        <v>5016</v>
      </c>
      <c r="CC368" s="658">
        <f>I368/11</f>
        <v>456</v>
      </c>
      <c r="CD368" s="644">
        <f t="shared" si="177"/>
        <v>5016</v>
      </c>
      <c r="CE368" s="644">
        <f t="shared" si="178"/>
        <v>0</v>
      </c>
    </row>
    <row r="369" s="338" customFormat="1" ht="40" customHeight="1" spans="1:83">
      <c r="A369" s="632">
        <v>45838</v>
      </c>
      <c r="B369" s="633" t="s">
        <v>1795</v>
      </c>
      <c r="C369" s="634" t="s">
        <v>1796</v>
      </c>
      <c r="D369" s="635">
        <v>4500172103</v>
      </c>
      <c r="E369" s="659"/>
      <c r="F369" s="636" t="s">
        <v>1797</v>
      </c>
      <c r="G369" s="637" t="s">
        <v>111</v>
      </c>
      <c r="H369" s="637" t="s">
        <v>99</v>
      </c>
      <c r="I369" s="638">
        <v>506</v>
      </c>
      <c r="J369" s="638">
        <v>0</v>
      </c>
      <c r="K369" s="639">
        <v>22</v>
      </c>
      <c r="L369" s="639">
        <f t="shared" si="182"/>
        <v>23</v>
      </c>
      <c r="M369" s="641">
        <v>45874</v>
      </c>
      <c r="N369" s="641">
        <v>45870</v>
      </c>
      <c r="O369" s="641"/>
      <c r="P369" s="642" t="s">
        <v>100</v>
      </c>
      <c r="Q369" s="643" t="s">
        <v>1784</v>
      </c>
      <c r="R369" s="642" t="s">
        <v>1798</v>
      </c>
      <c r="S369" s="642"/>
      <c r="T369" s="642"/>
      <c r="U369" s="642" t="s">
        <v>113</v>
      </c>
      <c r="V369" s="642"/>
      <c r="W369" s="645"/>
      <c r="X369" s="647" t="s">
        <v>1799</v>
      </c>
      <c r="Y369" s="646" t="s">
        <v>1472</v>
      </c>
      <c r="Z369" s="683">
        <v>2.7311</v>
      </c>
      <c r="AA369" s="650">
        <f t="shared" si="192"/>
        <v>1381.9366</v>
      </c>
      <c r="AB369" s="649">
        <v>506</v>
      </c>
      <c r="AC369" s="649">
        <f t="shared" ref="AC367:AC432" si="200">AB369-I369</f>
        <v>0</v>
      </c>
      <c r="AD369" s="650" t="s">
        <v>113</v>
      </c>
      <c r="AE369" s="637" t="s">
        <v>230</v>
      </c>
      <c r="AF369" s="646" t="s">
        <v>107</v>
      </c>
      <c r="AG369" s="652" t="s">
        <v>43</v>
      </c>
      <c r="AH369" s="646" t="s">
        <v>1800</v>
      </c>
      <c r="AI369" s="649"/>
      <c r="AJ369" s="649"/>
      <c r="AK369" s="649"/>
      <c r="AL369" s="649"/>
      <c r="AM369" s="649"/>
      <c r="AN369" s="649"/>
      <c r="AO369" s="649">
        <f>I369</f>
        <v>506</v>
      </c>
      <c r="AP369" s="649"/>
      <c r="AQ369" s="653"/>
      <c r="AR369" s="649"/>
      <c r="AS369" s="649"/>
      <c r="AT369" s="652">
        <f t="shared" si="199"/>
        <v>506</v>
      </c>
      <c r="AU369" s="649"/>
      <c r="AV369" s="652"/>
      <c r="AW369" s="654"/>
      <c r="AX369" s="652"/>
      <c r="AY369" s="652"/>
      <c r="AZ369" s="654"/>
      <c r="BA369" s="652">
        <f>I369/11</f>
        <v>46</v>
      </c>
      <c r="BB369" s="652"/>
      <c r="BC369" s="654"/>
      <c r="BD369" s="654"/>
      <c r="BE369" s="652"/>
      <c r="BF369" s="654"/>
      <c r="BG369" s="652"/>
      <c r="BH369" s="652"/>
      <c r="BI369" s="654"/>
      <c r="BJ369" s="654"/>
      <c r="BK369" s="654"/>
      <c r="BL369" s="654"/>
      <c r="BM369" s="654"/>
      <c r="BN369" s="654"/>
      <c r="BO369" s="654"/>
      <c r="BP369" s="654"/>
      <c r="BQ369" s="654"/>
      <c r="BR369" s="654"/>
      <c r="BS369" s="654"/>
      <c r="BT369" s="654"/>
      <c r="BU369" s="654"/>
      <c r="BV369" s="654"/>
      <c r="BW369" s="645" t="s">
        <v>109</v>
      </c>
      <c r="BX369" s="658">
        <f>I369/22*5</f>
        <v>115</v>
      </c>
      <c r="BY369" s="658">
        <f>I369/22*6</f>
        <v>138</v>
      </c>
      <c r="BZ369" s="658">
        <f>I369/22*6</f>
        <v>138</v>
      </c>
      <c r="CA369" s="658">
        <f>I369/22*5</f>
        <v>115</v>
      </c>
      <c r="CB369" s="644">
        <f t="shared" si="176"/>
        <v>506</v>
      </c>
      <c r="CC369" s="658">
        <f>I369/11</f>
        <v>46</v>
      </c>
      <c r="CD369" s="644">
        <f t="shared" si="177"/>
        <v>506</v>
      </c>
      <c r="CE369" s="644">
        <f t="shared" si="178"/>
        <v>0</v>
      </c>
    </row>
    <row r="370" s="338" customFormat="1" ht="40" customHeight="1" spans="1:83">
      <c r="A370" s="632">
        <v>45769</v>
      </c>
      <c r="B370" s="633" t="s">
        <v>94</v>
      </c>
      <c r="C370" s="634" t="s">
        <v>205</v>
      </c>
      <c r="D370" s="635">
        <v>4500164457</v>
      </c>
      <c r="E370" s="659" t="s">
        <v>116</v>
      </c>
      <c r="F370" s="636" t="s">
        <v>1801</v>
      </c>
      <c r="G370" s="637" t="s">
        <v>98</v>
      </c>
      <c r="H370" s="637" t="s">
        <v>99</v>
      </c>
      <c r="I370" s="638">
        <v>1512</v>
      </c>
      <c r="J370" s="638">
        <v>0</v>
      </c>
      <c r="K370" s="639">
        <v>24</v>
      </c>
      <c r="L370" s="639">
        <f t="shared" si="182"/>
        <v>63</v>
      </c>
      <c r="M370" s="641">
        <v>45877</v>
      </c>
      <c r="N370" s="641">
        <v>45873</v>
      </c>
      <c r="O370" s="641"/>
      <c r="P370" s="642" t="s">
        <v>100</v>
      </c>
      <c r="Q370" s="643" t="s">
        <v>1780</v>
      </c>
      <c r="R370" s="642" t="s">
        <v>1450</v>
      </c>
      <c r="S370" s="641"/>
      <c r="T370" s="641"/>
      <c r="U370" s="642" t="s">
        <v>1802</v>
      </c>
      <c r="V370" s="677"/>
      <c r="W370" s="645" t="s">
        <v>1770</v>
      </c>
      <c r="X370" s="647" t="s">
        <v>1803</v>
      </c>
      <c r="Y370" s="646" t="s">
        <v>972</v>
      </c>
      <c r="Z370" s="648">
        <v>2.4647</v>
      </c>
      <c r="AA370" s="650">
        <f t="shared" si="192"/>
        <v>3726.6264</v>
      </c>
      <c r="AB370" s="649">
        <v>1512</v>
      </c>
      <c r="AC370" s="649">
        <f t="shared" si="200"/>
        <v>0</v>
      </c>
      <c r="AD370" s="650" t="s">
        <v>106</v>
      </c>
      <c r="AE370" s="637" t="s">
        <v>98</v>
      </c>
      <c r="AF370" s="646" t="s">
        <v>107</v>
      </c>
      <c r="AG370" s="652" t="s">
        <v>43</v>
      </c>
      <c r="AH370" s="646"/>
      <c r="AI370" s="649"/>
      <c r="AJ370" s="649"/>
      <c r="AK370" s="649"/>
      <c r="AL370" s="652">
        <f>I370</f>
        <v>1512</v>
      </c>
      <c r="AM370" s="652"/>
      <c r="AN370" s="649"/>
      <c r="AO370" s="649"/>
      <c r="AP370" s="649"/>
      <c r="AQ370" s="653"/>
      <c r="AR370" s="649"/>
      <c r="AS370" s="649"/>
      <c r="AT370" s="652">
        <f t="shared" si="199"/>
        <v>1512</v>
      </c>
      <c r="AU370" s="649"/>
      <c r="AV370" s="654"/>
      <c r="AW370" s="654"/>
      <c r="AX370" s="652"/>
      <c r="AY370" s="652"/>
      <c r="AZ370" s="654"/>
      <c r="BA370" s="652"/>
      <c r="BB370" s="652"/>
      <c r="BC370" s="654"/>
      <c r="BD370" s="654"/>
      <c r="BE370" s="654"/>
      <c r="BF370" s="654"/>
      <c r="BG370" s="652"/>
      <c r="BH370" s="652"/>
      <c r="BI370" s="654"/>
      <c r="BJ370" s="654"/>
      <c r="BK370" s="654"/>
      <c r="BL370" s="654"/>
      <c r="BM370" s="654"/>
      <c r="BN370" s="654"/>
      <c r="BO370" s="654"/>
      <c r="BP370" s="654"/>
      <c r="BQ370" s="654"/>
      <c r="BR370" s="654"/>
      <c r="BS370" s="654"/>
      <c r="BT370" s="654"/>
      <c r="BU370" s="654"/>
      <c r="BV370" s="654"/>
      <c r="BW370" s="645" t="s">
        <v>109</v>
      </c>
      <c r="BX370" s="658">
        <f>I370/4</f>
        <v>378</v>
      </c>
      <c r="BY370" s="658">
        <f>I370/4</f>
        <v>378</v>
      </c>
      <c r="BZ370" s="658">
        <f>I370/4</f>
        <v>378</v>
      </c>
      <c r="CA370" s="658">
        <f>I370/4</f>
        <v>378</v>
      </c>
      <c r="CB370" s="644">
        <f t="shared" si="176"/>
        <v>1512</v>
      </c>
      <c r="CC370" s="658"/>
      <c r="CD370" s="644">
        <f t="shared" ref="CD370:CD433" si="201">SUM(BX370:CA370)</f>
        <v>1512</v>
      </c>
      <c r="CE370" s="644">
        <f t="shared" si="178"/>
        <v>0</v>
      </c>
    </row>
    <row r="371" s="338" customFormat="1" ht="40" customHeight="1" spans="1:83">
      <c r="A371" s="632">
        <v>45769</v>
      </c>
      <c r="B371" s="633" t="s">
        <v>94</v>
      </c>
      <c r="C371" s="634" t="s">
        <v>205</v>
      </c>
      <c r="D371" s="635">
        <v>4500164457</v>
      </c>
      <c r="E371" s="659" t="s">
        <v>125</v>
      </c>
      <c r="F371" s="636" t="s">
        <v>1804</v>
      </c>
      <c r="G371" s="637" t="s">
        <v>98</v>
      </c>
      <c r="H371" s="637" t="s">
        <v>99</v>
      </c>
      <c r="I371" s="638">
        <v>576</v>
      </c>
      <c r="J371" s="638">
        <v>0</v>
      </c>
      <c r="K371" s="639">
        <v>24</v>
      </c>
      <c r="L371" s="639">
        <f t="shared" si="182"/>
        <v>24</v>
      </c>
      <c r="M371" s="641">
        <v>45877</v>
      </c>
      <c r="N371" s="641">
        <v>45873</v>
      </c>
      <c r="O371" s="641"/>
      <c r="P371" s="642" t="s">
        <v>100</v>
      </c>
      <c r="Q371" s="643" t="s">
        <v>1805</v>
      </c>
      <c r="R371" s="642" t="s">
        <v>1450</v>
      </c>
      <c r="S371" s="641"/>
      <c r="T371" s="641"/>
      <c r="U371" s="642" t="s">
        <v>1802</v>
      </c>
      <c r="V371" s="677"/>
      <c r="W371" s="645" t="s">
        <v>1770</v>
      </c>
      <c r="X371" s="647" t="s">
        <v>1803</v>
      </c>
      <c r="Y371" s="646" t="s">
        <v>972</v>
      </c>
      <c r="Z371" s="648">
        <v>2.4904</v>
      </c>
      <c r="AA371" s="650">
        <f t="shared" si="192"/>
        <v>1434.4704</v>
      </c>
      <c r="AB371" s="649">
        <v>576</v>
      </c>
      <c r="AC371" s="649">
        <f t="shared" si="200"/>
        <v>0</v>
      </c>
      <c r="AD371" s="650" t="s">
        <v>106</v>
      </c>
      <c r="AE371" s="637" t="s">
        <v>98</v>
      </c>
      <c r="AF371" s="646" t="s">
        <v>107</v>
      </c>
      <c r="AG371" s="652" t="s">
        <v>43</v>
      </c>
      <c r="AH371" s="646"/>
      <c r="AI371" s="649"/>
      <c r="AJ371" s="649"/>
      <c r="AK371" s="649"/>
      <c r="AL371" s="652">
        <f>I371</f>
        <v>576</v>
      </c>
      <c r="AM371" s="652"/>
      <c r="AN371" s="649"/>
      <c r="AO371" s="649"/>
      <c r="AP371" s="649"/>
      <c r="AQ371" s="653"/>
      <c r="AR371" s="649"/>
      <c r="AS371" s="649"/>
      <c r="AT371" s="652">
        <f t="shared" si="199"/>
        <v>576</v>
      </c>
      <c r="AU371" s="649"/>
      <c r="AV371" s="654"/>
      <c r="AW371" s="654"/>
      <c r="AX371" s="652"/>
      <c r="AY371" s="652"/>
      <c r="AZ371" s="654"/>
      <c r="BA371" s="652"/>
      <c r="BB371" s="652"/>
      <c r="BC371" s="654"/>
      <c r="BD371" s="654"/>
      <c r="BE371" s="654"/>
      <c r="BF371" s="654"/>
      <c r="BG371" s="652"/>
      <c r="BH371" s="652"/>
      <c r="BI371" s="654"/>
      <c r="BJ371" s="654"/>
      <c r="BK371" s="654"/>
      <c r="BL371" s="654"/>
      <c r="BM371" s="654"/>
      <c r="BN371" s="654"/>
      <c r="BO371" s="654"/>
      <c r="BP371" s="654"/>
      <c r="BQ371" s="654"/>
      <c r="BR371" s="654"/>
      <c r="BS371" s="654"/>
      <c r="BT371" s="654"/>
      <c r="BU371" s="654"/>
      <c r="BV371" s="654"/>
      <c r="BW371" s="645" t="s">
        <v>109</v>
      </c>
      <c r="BX371" s="658">
        <f>I371/4</f>
        <v>144</v>
      </c>
      <c r="BY371" s="658">
        <f>I371/4</f>
        <v>144</v>
      </c>
      <c r="BZ371" s="658">
        <f>I371/4</f>
        <v>144</v>
      </c>
      <c r="CA371" s="658">
        <f>I371/4</f>
        <v>144</v>
      </c>
      <c r="CB371" s="644">
        <f t="shared" si="176"/>
        <v>576</v>
      </c>
      <c r="CC371" s="658"/>
      <c r="CD371" s="644">
        <f t="shared" si="201"/>
        <v>576</v>
      </c>
      <c r="CE371" s="644">
        <f t="shared" si="178"/>
        <v>0</v>
      </c>
    </row>
    <row r="372" s="338" customFormat="1" ht="40" customHeight="1" spans="1:83">
      <c r="A372" s="632">
        <v>45841</v>
      </c>
      <c r="B372" s="633" t="s">
        <v>1587</v>
      </c>
      <c r="C372" s="634" t="s">
        <v>178</v>
      </c>
      <c r="D372" s="635">
        <v>4500172604</v>
      </c>
      <c r="E372" s="659" t="s">
        <v>1806</v>
      </c>
      <c r="F372" s="636" t="s">
        <v>1807</v>
      </c>
      <c r="G372" s="637" t="s">
        <v>189</v>
      </c>
      <c r="H372" s="637" t="s">
        <v>99</v>
      </c>
      <c r="I372" s="638">
        <v>24</v>
      </c>
      <c r="J372" s="638">
        <v>0</v>
      </c>
      <c r="K372" s="639">
        <v>24</v>
      </c>
      <c r="L372" s="639">
        <f t="shared" si="182"/>
        <v>1</v>
      </c>
      <c r="M372" s="641">
        <v>45877</v>
      </c>
      <c r="N372" s="641">
        <v>45873</v>
      </c>
      <c r="O372" s="641"/>
      <c r="P372" s="642" t="s">
        <v>100</v>
      </c>
      <c r="Q372" s="643"/>
      <c r="R372" s="642" t="s">
        <v>1808</v>
      </c>
      <c r="S372" s="641"/>
      <c r="T372" s="641"/>
      <c r="U372" s="642" t="s">
        <v>493</v>
      </c>
      <c r="V372" s="645" t="s">
        <v>1809</v>
      </c>
      <c r="W372" s="645"/>
      <c r="X372" s="647" t="s">
        <v>1810</v>
      </c>
      <c r="Y372" s="646" t="s">
        <v>734</v>
      </c>
      <c r="Z372" s="683">
        <v>2.5681</v>
      </c>
      <c r="AA372" s="650">
        <f t="shared" si="192"/>
        <v>61.6344</v>
      </c>
      <c r="AB372" s="649">
        <v>24</v>
      </c>
      <c r="AC372" s="649">
        <f t="shared" si="200"/>
        <v>0</v>
      </c>
      <c r="AD372" s="650" t="s">
        <v>106</v>
      </c>
      <c r="AE372" s="637" t="s">
        <v>190</v>
      </c>
      <c r="AF372" s="646" t="s">
        <v>107</v>
      </c>
      <c r="AG372" s="652" t="s">
        <v>43</v>
      </c>
      <c r="AH372" s="646"/>
      <c r="AI372" s="649"/>
      <c r="AJ372" s="649"/>
      <c r="AK372" s="649"/>
      <c r="AL372" s="649"/>
      <c r="AM372" s="649"/>
      <c r="AN372" s="649"/>
      <c r="AO372" s="649">
        <f t="shared" ref="AO372:AO379" si="202">I372</f>
        <v>24</v>
      </c>
      <c r="AP372" s="649"/>
      <c r="AQ372" s="653"/>
      <c r="AR372" s="649"/>
      <c r="AS372" s="649"/>
      <c r="AT372" s="652">
        <f t="shared" si="199"/>
        <v>24</v>
      </c>
      <c r="AU372" s="649"/>
      <c r="AV372" s="654"/>
      <c r="AW372" s="654"/>
      <c r="AX372" s="652"/>
      <c r="AY372" s="652"/>
      <c r="AZ372" s="654"/>
      <c r="BA372" s="652"/>
      <c r="BB372" s="652"/>
      <c r="BC372" s="654"/>
      <c r="BD372" s="654"/>
      <c r="BE372" s="654"/>
      <c r="BF372" s="654"/>
      <c r="BG372" s="652"/>
      <c r="BH372" s="652"/>
      <c r="BI372" s="654"/>
      <c r="BJ372" s="654"/>
      <c r="BK372" s="654"/>
      <c r="BL372" s="654"/>
      <c r="BM372" s="654"/>
      <c r="BN372" s="654"/>
      <c r="BO372" s="654"/>
      <c r="BP372" s="654"/>
      <c r="BQ372" s="654"/>
      <c r="BR372" s="654"/>
      <c r="BS372" s="654"/>
      <c r="BT372" s="654"/>
      <c r="BU372" s="654"/>
      <c r="BV372" s="654"/>
      <c r="BW372" s="645" t="s">
        <v>109</v>
      </c>
      <c r="BX372" s="658"/>
      <c r="BY372" s="658"/>
      <c r="BZ372" s="658"/>
      <c r="CA372" s="658">
        <f>I372</f>
        <v>24</v>
      </c>
      <c r="CB372" s="644">
        <f t="shared" si="176"/>
        <v>24</v>
      </c>
      <c r="CC372" s="644"/>
      <c r="CD372" s="644">
        <f t="shared" si="201"/>
        <v>24</v>
      </c>
      <c r="CE372" s="644">
        <f t="shared" si="178"/>
        <v>0</v>
      </c>
    </row>
    <row r="373" s="338" customFormat="1" ht="40" customHeight="1" spans="1:83">
      <c r="A373" s="632">
        <v>45841</v>
      </c>
      <c r="B373" s="633" t="s">
        <v>1587</v>
      </c>
      <c r="C373" s="634" t="s">
        <v>178</v>
      </c>
      <c r="D373" s="635">
        <v>4500172604</v>
      </c>
      <c r="E373" s="659" t="s">
        <v>1811</v>
      </c>
      <c r="F373" s="636" t="s">
        <v>1812</v>
      </c>
      <c r="G373" s="637" t="s">
        <v>189</v>
      </c>
      <c r="H373" s="637" t="s">
        <v>99</v>
      </c>
      <c r="I373" s="638">
        <v>48</v>
      </c>
      <c r="J373" s="638">
        <v>0</v>
      </c>
      <c r="K373" s="639">
        <v>24</v>
      </c>
      <c r="L373" s="639">
        <f t="shared" ref="L373:L436" si="203">I373/K373</f>
        <v>2</v>
      </c>
      <c r="M373" s="641">
        <v>45877</v>
      </c>
      <c r="N373" s="641">
        <v>45873</v>
      </c>
      <c r="O373" s="641"/>
      <c r="P373" s="642" t="s">
        <v>100</v>
      </c>
      <c r="Q373" s="643"/>
      <c r="R373" s="642" t="s">
        <v>1808</v>
      </c>
      <c r="S373" s="641"/>
      <c r="T373" s="641"/>
      <c r="U373" s="642" t="s">
        <v>493</v>
      </c>
      <c r="V373" s="645" t="s">
        <v>1809</v>
      </c>
      <c r="W373" s="645"/>
      <c r="X373" s="647" t="s">
        <v>1810</v>
      </c>
      <c r="Y373" s="646" t="s">
        <v>734</v>
      </c>
      <c r="Z373" s="683">
        <v>2.5681</v>
      </c>
      <c r="AA373" s="650">
        <f t="shared" si="192"/>
        <v>123.2688</v>
      </c>
      <c r="AB373" s="649">
        <v>48</v>
      </c>
      <c r="AC373" s="649">
        <f t="shared" si="200"/>
        <v>0</v>
      </c>
      <c r="AD373" s="650" t="s">
        <v>106</v>
      </c>
      <c r="AE373" s="637" t="s">
        <v>190</v>
      </c>
      <c r="AF373" s="646" t="s">
        <v>107</v>
      </c>
      <c r="AG373" s="652" t="s">
        <v>43</v>
      </c>
      <c r="AH373" s="646"/>
      <c r="AI373" s="649"/>
      <c r="AJ373" s="649"/>
      <c r="AK373" s="649"/>
      <c r="AL373" s="649"/>
      <c r="AM373" s="649"/>
      <c r="AN373" s="649"/>
      <c r="AO373" s="649">
        <f t="shared" si="202"/>
        <v>48</v>
      </c>
      <c r="AP373" s="649"/>
      <c r="AQ373" s="653"/>
      <c r="AR373" s="649"/>
      <c r="AS373" s="649"/>
      <c r="AT373" s="652">
        <f t="shared" ref="AT373:AT383" si="204">I373</f>
        <v>48</v>
      </c>
      <c r="AU373" s="649"/>
      <c r="AV373" s="654"/>
      <c r="AW373" s="654"/>
      <c r="AX373" s="652"/>
      <c r="AY373" s="652"/>
      <c r="AZ373" s="654"/>
      <c r="BA373" s="652"/>
      <c r="BB373" s="652"/>
      <c r="BC373" s="654"/>
      <c r="BD373" s="654"/>
      <c r="BE373" s="654"/>
      <c r="BF373" s="654"/>
      <c r="BG373" s="652"/>
      <c r="BH373" s="652"/>
      <c r="BI373" s="654"/>
      <c r="BJ373" s="654"/>
      <c r="BK373" s="654"/>
      <c r="BL373" s="654"/>
      <c r="BM373" s="654"/>
      <c r="BN373" s="654"/>
      <c r="BO373" s="654"/>
      <c r="BP373" s="654"/>
      <c r="BQ373" s="654"/>
      <c r="BR373" s="654"/>
      <c r="BS373" s="654"/>
      <c r="BT373" s="654"/>
      <c r="BU373" s="654"/>
      <c r="BV373" s="654"/>
      <c r="BW373" s="645" t="s">
        <v>109</v>
      </c>
      <c r="BX373" s="658"/>
      <c r="BY373" s="658"/>
      <c r="BZ373" s="658"/>
      <c r="CA373" s="658">
        <f>I373</f>
        <v>48</v>
      </c>
      <c r="CB373" s="644">
        <f t="shared" si="176"/>
        <v>48</v>
      </c>
      <c r="CC373" s="644"/>
      <c r="CD373" s="644">
        <f t="shared" si="201"/>
        <v>48</v>
      </c>
      <c r="CE373" s="644">
        <f t="shared" si="178"/>
        <v>0</v>
      </c>
    </row>
    <row r="374" s="338" customFormat="1" ht="40" customHeight="1" spans="1:83">
      <c r="A374" s="632">
        <v>45841</v>
      </c>
      <c r="B374" s="633" t="s">
        <v>1587</v>
      </c>
      <c r="C374" s="634" t="s">
        <v>178</v>
      </c>
      <c r="D374" s="635">
        <v>4500172604</v>
      </c>
      <c r="E374" s="659" t="s">
        <v>1811</v>
      </c>
      <c r="F374" s="636" t="s">
        <v>1813</v>
      </c>
      <c r="G374" s="637" t="s">
        <v>189</v>
      </c>
      <c r="H374" s="637" t="s">
        <v>99</v>
      </c>
      <c r="I374" s="638">
        <v>24</v>
      </c>
      <c r="J374" s="638">
        <v>0</v>
      </c>
      <c r="K374" s="639">
        <v>24</v>
      </c>
      <c r="L374" s="639">
        <f t="shared" si="203"/>
        <v>1</v>
      </c>
      <c r="M374" s="641">
        <v>45877</v>
      </c>
      <c r="N374" s="641">
        <v>45873</v>
      </c>
      <c r="O374" s="641"/>
      <c r="P374" s="642" t="s">
        <v>100</v>
      </c>
      <c r="Q374" s="643" t="s">
        <v>1774</v>
      </c>
      <c r="R374" s="642" t="s">
        <v>1808</v>
      </c>
      <c r="S374" s="641"/>
      <c r="T374" s="641"/>
      <c r="U374" s="642" t="s">
        <v>493</v>
      </c>
      <c r="V374" s="645" t="s">
        <v>1809</v>
      </c>
      <c r="W374" s="645"/>
      <c r="X374" s="647" t="s">
        <v>1810</v>
      </c>
      <c r="Y374" s="646" t="s">
        <v>734</v>
      </c>
      <c r="Z374" s="683">
        <v>2.5681</v>
      </c>
      <c r="AA374" s="650">
        <f t="shared" si="192"/>
        <v>61.6344</v>
      </c>
      <c r="AB374" s="649">
        <v>24</v>
      </c>
      <c r="AC374" s="649">
        <f t="shared" si="200"/>
        <v>0</v>
      </c>
      <c r="AD374" s="650" t="s">
        <v>106</v>
      </c>
      <c r="AE374" s="637" t="s">
        <v>190</v>
      </c>
      <c r="AF374" s="646" t="s">
        <v>107</v>
      </c>
      <c r="AG374" s="652" t="s">
        <v>43</v>
      </c>
      <c r="AH374" s="646"/>
      <c r="AI374" s="649"/>
      <c r="AJ374" s="649"/>
      <c r="AK374" s="649"/>
      <c r="AL374" s="649"/>
      <c r="AM374" s="649"/>
      <c r="AN374" s="649"/>
      <c r="AO374" s="649">
        <f t="shared" si="202"/>
        <v>24</v>
      </c>
      <c r="AP374" s="649"/>
      <c r="AQ374" s="653"/>
      <c r="AR374" s="649"/>
      <c r="AS374" s="649"/>
      <c r="AT374" s="652">
        <f t="shared" si="204"/>
        <v>24</v>
      </c>
      <c r="AU374" s="649"/>
      <c r="AV374" s="654"/>
      <c r="AW374" s="654"/>
      <c r="AX374" s="652"/>
      <c r="AY374" s="652"/>
      <c r="AZ374" s="654"/>
      <c r="BA374" s="652"/>
      <c r="BB374" s="652"/>
      <c r="BC374" s="654"/>
      <c r="BD374" s="654"/>
      <c r="BE374" s="654"/>
      <c r="BF374" s="654"/>
      <c r="BG374" s="652"/>
      <c r="BH374" s="652"/>
      <c r="BI374" s="654"/>
      <c r="BJ374" s="654"/>
      <c r="BK374" s="654"/>
      <c r="BL374" s="654"/>
      <c r="BM374" s="654"/>
      <c r="BN374" s="654"/>
      <c r="BO374" s="654"/>
      <c r="BP374" s="654"/>
      <c r="BQ374" s="654"/>
      <c r="BR374" s="654"/>
      <c r="BS374" s="654"/>
      <c r="BT374" s="654"/>
      <c r="BU374" s="654"/>
      <c r="BV374" s="654"/>
      <c r="BW374" s="645" t="s">
        <v>109</v>
      </c>
      <c r="BX374" s="658"/>
      <c r="BY374" s="658"/>
      <c r="BZ374" s="658"/>
      <c r="CA374" s="658">
        <f>I374</f>
        <v>24</v>
      </c>
      <c r="CB374" s="644">
        <f t="shared" ref="CB374:CB422" si="205">I374</f>
        <v>24</v>
      </c>
      <c r="CC374" s="644"/>
      <c r="CD374" s="644">
        <f t="shared" si="201"/>
        <v>24</v>
      </c>
      <c r="CE374" s="644">
        <f t="shared" ref="CE374:CE437" si="206">I374-CD374</f>
        <v>0</v>
      </c>
    </row>
    <row r="375" s="338" customFormat="1" ht="40" customHeight="1" spans="1:83">
      <c r="A375" s="632">
        <v>45841</v>
      </c>
      <c r="B375" s="633" t="s">
        <v>1587</v>
      </c>
      <c r="C375" s="634" t="s">
        <v>178</v>
      </c>
      <c r="D375" s="635">
        <v>4500172604</v>
      </c>
      <c r="E375" s="659" t="s">
        <v>1814</v>
      </c>
      <c r="F375" s="636" t="s">
        <v>1815</v>
      </c>
      <c r="G375" s="637" t="s">
        <v>132</v>
      </c>
      <c r="H375" s="637" t="s">
        <v>99</v>
      </c>
      <c r="I375" s="638">
        <v>24</v>
      </c>
      <c r="J375" s="638">
        <v>0</v>
      </c>
      <c r="K375" s="639">
        <v>24</v>
      </c>
      <c r="L375" s="639">
        <f t="shared" si="203"/>
        <v>1</v>
      </c>
      <c r="M375" s="641">
        <v>45877</v>
      </c>
      <c r="N375" s="641">
        <v>45873</v>
      </c>
      <c r="O375" s="641"/>
      <c r="P375" s="642" t="s">
        <v>100</v>
      </c>
      <c r="Q375" s="643" t="s">
        <v>1774</v>
      </c>
      <c r="R375" s="642" t="s">
        <v>1808</v>
      </c>
      <c r="S375" s="641"/>
      <c r="T375" s="641"/>
      <c r="U375" s="642" t="s">
        <v>493</v>
      </c>
      <c r="V375" s="645" t="s">
        <v>1809</v>
      </c>
      <c r="W375" s="645"/>
      <c r="X375" s="647" t="s">
        <v>1810</v>
      </c>
      <c r="Y375" s="646" t="s">
        <v>734</v>
      </c>
      <c r="Z375" s="683">
        <v>2.5681</v>
      </c>
      <c r="AA375" s="650">
        <f t="shared" si="192"/>
        <v>61.6344</v>
      </c>
      <c r="AB375" s="649">
        <v>24</v>
      </c>
      <c r="AC375" s="649">
        <f t="shared" si="200"/>
        <v>0</v>
      </c>
      <c r="AD375" s="650" t="s">
        <v>106</v>
      </c>
      <c r="AE375" s="637" t="s">
        <v>193</v>
      </c>
      <c r="AF375" s="646" t="s">
        <v>107</v>
      </c>
      <c r="AG375" s="652" t="s">
        <v>43</v>
      </c>
      <c r="AH375" s="646"/>
      <c r="AI375" s="649"/>
      <c r="AJ375" s="649"/>
      <c r="AK375" s="649"/>
      <c r="AL375" s="649"/>
      <c r="AM375" s="649"/>
      <c r="AN375" s="649"/>
      <c r="AO375" s="649">
        <f t="shared" si="202"/>
        <v>24</v>
      </c>
      <c r="AP375" s="649"/>
      <c r="AQ375" s="653"/>
      <c r="AR375" s="649"/>
      <c r="AS375" s="649"/>
      <c r="AT375" s="652">
        <f t="shared" si="204"/>
        <v>24</v>
      </c>
      <c r="AU375" s="649"/>
      <c r="AV375" s="654"/>
      <c r="AW375" s="654"/>
      <c r="AX375" s="652"/>
      <c r="AY375" s="652"/>
      <c r="AZ375" s="654"/>
      <c r="BA375" s="652"/>
      <c r="BB375" s="652"/>
      <c r="BC375" s="654"/>
      <c r="BD375" s="654"/>
      <c r="BE375" s="654"/>
      <c r="BF375" s="654"/>
      <c r="BG375" s="652"/>
      <c r="BH375" s="652"/>
      <c r="BI375" s="654"/>
      <c r="BJ375" s="654"/>
      <c r="BK375" s="654"/>
      <c r="BL375" s="654"/>
      <c r="BM375" s="654"/>
      <c r="BN375" s="654"/>
      <c r="BO375" s="654"/>
      <c r="BP375" s="654"/>
      <c r="BQ375" s="654"/>
      <c r="BR375" s="654"/>
      <c r="BS375" s="654"/>
      <c r="BT375" s="654"/>
      <c r="BU375" s="654"/>
      <c r="BV375" s="654"/>
      <c r="BW375" s="645" t="s">
        <v>109</v>
      </c>
      <c r="BX375" s="658">
        <f>I375</f>
        <v>24</v>
      </c>
      <c r="BY375" s="658"/>
      <c r="BZ375" s="658"/>
      <c r="CA375" s="658"/>
      <c r="CB375" s="644">
        <f t="shared" si="205"/>
        <v>24</v>
      </c>
      <c r="CC375" s="644"/>
      <c r="CD375" s="644">
        <f t="shared" si="201"/>
        <v>24</v>
      </c>
      <c r="CE375" s="644">
        <f t="shared" si="206"/>
        <v>0</v>
      </c>
    </row>
    <row r="376" s="338" customFormat="1" ht="40" customHeight="1" spans="1:83">
      <c r="A376" s="632">
        <v>45841</v>
      </c>
      <c r="B376" s="633" t="s">
        <v>1587</v>
      </c>
      <c r="C376" s="634" t="s">
        <v>178</v>
      </c>
      <c r="D376" s="635">
        <v>4500172604</v>
      </c>
      <c r="E376" s="659" t="s">
        <v>1816</v>
      </c>
      <c r="F376" s="636" t="s">
        <v>1817</v>
      </c>
      <c r="G376" s="637" t="s">
        <v>132</v>
      </c>
      <c r="H376" s="637" t="s">
        <v>99</v>
      </c>
      <c r="I376" s="638">
        <v>24</v>
      </c>
      <c r="J376" s="638">
        <v>0</v>
      </c>
      <c r="K376" s="639">
        <v>24</v>
      </c>
      <c r="L376" s="639">
        <f t="shared" si="203"/>
        <v>1</v>
      </c>
      <c r="M376" s="641">
        <v>45877</v>
      </c>
      <c r="N376" s="641">
        <v>45873</v>
      </c>
      <c r="O376" s="641"/>
      <c r="P376" s="642" t="s">
        <v>100</v>
      </c>
      <c r="Q376" s="643" t="s">
        <v>1774</v>
      </c>
      <c r="R376" s="642" t="s">
        <v>1808</v>
      </c>
      <c r="S376" s="641"/>
      <c r="T376" s="641"/>
      <c r="U376" s="642" t="s">
        <v>493</v>
      </c>
      <c r="V376" s="645" t="s">
        <v>1809</v>
      </c>
      <c r="W376" s="645"/>
      <c r="X376" s="647" t="s">
        <v>1810</v>
      </c>
      <c r="Y376" s="646" t="s">
        <v>734</v>
      </c>
      <c r="Z376" s="683">
        <v>2.5681</v>
      </c>
      <c r="AA376" s="650">
        <f t="shared" si="192"/>
        <v>61.6344</v>
      </c>
      <c r="AB376" s="649">
        <v>24</v>
      </c>
      <c r="AC376" s="649">
        <f t="shared" si="200"/>
        <v>0</v>
      </c>
      <c r="AD376" s="650" t="s">
        <v>106</v>
      </c>
      <c r="AE376" s="637" t="s">
        <v>193</v>
      </c>
      <c r="AF376" s="646" t="s">
        <v>107</v>
      </c>
      <c r="AG376" s="652" t="s">
        <v>43</v>
      </c>
      <c r="AH376" s="646"/>
      <c r="AI376" s="649"/>
      <c r="AJ376" s="649"/>
      <c r="AK376" s="649"/>
      <c r="AL376" s="649"/>
      <c r="AM376" s="649"/>
      <c r="AN376" s="649"/>
      <c r="AO376" s="649">
        <f t="shared" si="202"/>
        <v>24</v>
      </c>
      <c r="AP376" s="649"/>
      <c r="AQ376" s="653"/>
      <c r="AR376" s="649"/>
      <c r="AS376" s="649"/>
      <c r="AT376" s="652">
        <f t="shared" si="204"/>
        <v>24</v>
      </c>
      <c r="AU376" s="649"/>
      <c r="AV376" s="654"/>
      <c r="AW376" s="654"/>
      <c r="AX376" s="652"/>
      <c r="AY376" s="652"/>
      <c r="AZ376" s="654"/>
      <c r="BA376" s="652"/>
      <c r="BB376" s="652"/>
      <c r="BC376" s="654"/>
      <c r="BD376" s="654"/>
      <c r="BE376" s="654"/>
      <c r="BF376" s="654"/>
      <c r="BG376" s="652"/>
      <c r="BH376" s="652"/>
      <c r="BI376" s="654"/>
      <c r="BJ376" s="654"/>
      <c r="BK376" s="654"/>
      <c r="BL376" s="654"/>
      <c r="BM376" s="654"/>
      <c r="BN376" s="654"/>
      <c r="BO376" s="654"/>
      <c r="BP376" s="654"/>
      <c r="BQ376" s="654"/>
      <c r="BR376" s="654"/>
      <c r="BS376" s="654"/>
      <c r="BT376" s="654"/>
      <c r="BU376" s="654"/>
      <c r="BV376" s="654"/>
      <c r="BW376" s="645" t="s">
        <v>109</v>
      </c>
      <c r="BX376" s="658">
        <f>I376</f>
        <v>24</v>
      </c>
      <c r="BY376" s="658"/>
      <c r="BZ376" s="658"/>
      <c r="CA376" s="658"/>
      <c r="CB376" s="644">
        <f t="shared" si="205"/>
        <v>24</v>
      </c>
      <c r="CC376" s="644"/>
      <c r="CD376" s="644">
        <f t="shared" si="201"/>
        <v>24</v>
      </c>
      <c r="CE376" s="644">
        <f t="shared" si="206"/>
        <v>0</v>
      </c>
    </row>
    <row r="377" s="338" customFormat="1" ht="40" customHeight="1" spans="1:83">
      <c r="A377" s="632">
        <v>45841</v>
      </c>
      <c r="B377" s="633" t="s">
        <v>1587</v>
      </c>
      <c r="C377" s="634" t="s">
        <v>178</v>
      </c>
      <c r="D377" s="635">
        <v>4500172604</v>
      </c>
      <c r="E377" s="659" t="s">
        <v>1818</v>
      </c>
      <c r="F377" s="636" t="s">
        <v>1819</v>
      </c>
      <c r="G377" s="637" t="s">
        <v>132</v>
      </c>
      <c r="H377" s="637" t="s">
        <v>99</v>
      </c>
      <c r="I377" s="638">
        <v>24</v>
      </c>
      <c r="J377" s="638">
        <v>0</v>
      </c>
      <c r="K377" s="639">
        <v>24</v>
      </c>
      <c r="L377" s="639">
        <f t="shared" si="203"/>
        <v>1</v>
      </c>
      <c r="M377" s="641">
        <v>45877</v>
      </c>
      <c r="N377" s="641">
        <v>45873</v>
      </c>
      <c r="O377" s="641"/>
      <c r="P377" s="642" t="s">
        <v>100</v>
      </c>
      <c r="Q377" s="643" t="s">
        <v>1774</v>
      </c>
      <c r="R377" s="642" t="s">
        <v>1808</v>
      </c>
      <c r="S377" s="641"/>
      <c r="T377" s="641"/>
      <c r="U377" s="642" t="s">
        <v>493</v>
      </c>
      <c r="V377" s="645" t="s">
        <v>1809</v>
      </c>
      <c r="W377" s="645"/>
      <c r="X377" s="647" t="s">
        <v>1810</v>
      </c>
      <c r="Y377" s="646" t="s">
        <v>734</v>
      </c>
      <c r="Z377" s="683">
        <v>2.5681</v>
      </c>
      <c r="AA377" s="650">
        <f t="shared" si="192"/>
        <v>61.6344</v>
      </c>
      <c r="AB377" s="649">
        <v>24</v>
      </c>
      <c r="AC377" s="649">
        <f t="shared" si="200"/>
        <v>0</v>
      </c>
      <c r="AD377" s="650" t="s">
        <v>106</v>
      </c>
      <c r="AE377" s="637" t="s">
        <v>193</v>
      </c>
      <c r="AF377" s="646" t="s">
        <v>107</v>
      </c>
      <c r="AG377" s="652" t="s">
        <v>43</v>
      </c>
      <c r="AH377" s="646"/>
      <c r="AI377" s="649"/>
      <c r="AJ377" s="649"/>
      <c r="AK377" s="649"/>
      <c r="AL377" s="649"/>
      <c r="AM377" s="649"/>
      <c r="AN377" s="649"/>
      <c r="AO377" s="649">
        <f t="shared" si="202"/>
        <v>24</v>
      </c>
      <c r="AP377" s="649"/>
      <c r="AQ377" s="653"/>
      <c r="AR377" s="649"/>
      <c r="AS377" s="649"/>
      <c r="AT377" s="652">
        <f t="shared" si="204"/>
        <v>24</v>
      </c>
      <c r="AU377" s="649"/>
      <c r="AV377" s="654"/>
      <c r="AW377" s="654"/>
      <c r="AX377" s="652"/>
      <c r="AY377" s="652"/>
      <c r="AZ377" s="654"/>
      <c r="BA377" s="652"/>
      <c r="BB377" s="652"/>
      <c r="BC377" s="654"/>
      <c r="BD377" s="654"/>
      <c r="BE377" s="654"/>
      <c r="BF377" s="654"/>
      <c r="BG377" s="652"/>
      <c r="BH377" s="652"/>
      <c r="BI377" s="654"/>
      <c r="BJ377" s="654"/>
      <c r="BK377" s="654"/>
      <c r="BL377" s="654"/>
      <c r="BM377" s="654"/>
      <c r="BN377" s="654"/>
      <c r="BO377" s="654"/>
      <c r="BP377" s="654"/>
      <c r="BQ377" s="654"/>
      <c r="BR377" s="654"/>
      <c r="BS377" s="654"/>
      <c r="BT377" s="654"/>
      <c r="BU377" s="654"/>
      <c r="BV377" s="654"/>
      <c r="BW377" s="645" t="s">
        <v>109</v>
      </c>
      <c r="BX377" s="658">
        <f>I377</f>
        <v>24</v>
      </c>
      <c r="BY377" s="658"/>
      <c r="BZ377" s="658"/>
      <c r="CA377" s="658"/>
      <c r="CB377" s="644">
        <f t="shared" si="205"/>
        <v>24</v>
      </c>
      <c r="CC377" s="644"/>
      <c r="CD377" s="644">
        <f t="shared" si="201"/>
        <v>24</v>
      </c>
      <c r="CE377" s="644">
        <f t="shared" si="206"/>
        <v>0</v>
      </c>
    </row>
    <row r="378" s="338" customFormat="1" ht="40" customHeight="1" spans="1:83">
      <c r="A378" s="632">
        <v>45841</v>
      </c>
      <c r="B378" s="633" t="s">
        <v>1587</v>
      </c>
      <c r="C378" s="634" t="s">
        <v>178</v>
      </c>
      <c r="D378" s="635">
        <v>4500172604</v>
      </c>
      <c r="E378" s="659" t="s">
        <v>1820</v>
      </c>
      <c r="F378" s="636" t="s">
        <v>1821</v>
      </c>
      <c r="G378" s="637" t="s">
        <v>132</v>
      </c>
      <c r="H378" s="637" t="s">
        <v>99</v>
      </c>
      <c r="I378" s="638">
        <v>48</v>
      </c>
      <c r="J378" s="638">
        <v>0</v>
      </c>
      <c r="K378" s="639">
        <v>24</v>
      </c>
      <c r="L378" s="639">
        <f t="shared" si="203"/>
        <v>2</v>
      </c>
      <c r="M378" s="641">
        <v>45877</v>
      </c>
      <c r="N378" s="641">
        <v>45873</v>
      </c>
      <c r="O378" s="641"/>
      <c r="P378" s="642" t="s">
        <v>100</v>
      </c>
      <c r="Q378" s="643" t="s">
        <v>1774</v>
      </c>
      <c r="R378" s="642" t="s">
        <v>1808</v>
      </c>
      <c r="S378" s="641"/>
      <c r="T378" s="641"/>
      <c r="U378" s="642" t="s">
        <v>493</v>
      </c>
      <c r="V378" s="645" t="s">
        <v>1809</v>
      </c>
      <c r="W378" s="645"/>
      <c r="X378" s="647" t="s">
        <v>1810</v>
      </c>
      <c r="Y378" s="646" t="s">
        <v>734</v>
      </c>
      <c r="Z378" s="683">
        <v>2.5681</v>
      </c>
      <c r="AA378" s="650">
        <f t="shared" si="192"/>
        <v>123.2688</v>
      </c>
      <c r="AB378" s="649">
        <v>48</v>
      </c>
      <c r="AC378" s="649">
        <f t="shared" si="200"/>
        <v>0</v>
      </c>
      <c r="AD378" s="650" t="s">
        <v>106</v>
      </c>
      <c r="AE378" s="637" t="s">
        <v>193</v>
      </c>
      <c r="AF378" s="646" t="s">
        <v>107</v>
      </c>
      <c r="AG378" s="652" t="s">
        <v>43</v>
      </c>
      <c r="AH378" s="646"/>
      <c r="AI378" s="649"/>
      <c r="AJ378" s="649"/>
      <c r="AK378" s="649"/>
      <c r="AL378" s="649"/>
      <c r="AM378" s="649"/>
      <c r="AN378" s="649"/>
      <c r="AO378" s="649">
        <f t="shared" si="202"/>
        <v>48</v>
      </c>
      <c r="AP378" s="649"/>
      <c r="AQ378" s="653"/>
      <c r="AR378" s="649"/>
      <c r="AS378" s="649"/>
      <c r="AT378" s="652">
        <f t="shared" si="204"/>
        <v>48</v>
      </c>
      <c r="AU378" s="649"/>
      <c r="AV378" s="654"/>
      <c r="AW378" s="654"/>
      <c r="AX378" s="652"/>
      <c r="AY378" s="652"/>
      <c r="AZ378" s="654"/>
      <c r="BA378" s="652"/>
      <c r="BB378" s="652"/>
      <c r="BC378" s="654"/>
      <c r="BD378" s="654"/>
      <c r="BE378" s="654"/>
      <c r="BF378" s="654"/>
      <c r="BG378" s="652"/>
      <c r="BH378" s="652"/>
      <c r="BI378" s="654"/>
      <c r="BJ378" s="654"/>
      <c r="BK378" s="654"/>
      <c r="BL378" s="654"/>
      <c r="BM378" s="654"/>
      <c r="BN378" s="654"/>
      <c r="BO378" s="654"/>
      <c r="BP378" s="654"/>
      <c r="BQ378" s="654"/>
      <c r="BR378" s="654"/>
      <c r="BS378" s="654"/>
      <c r="BT378" s="654"/>
      <c r="BU378" s="654"/>
      <c r="BV378" s="654"/>
      <c r="BW378" s="645" t="s">
        <v>109</v>
      </c>
      <c r="BX378" s="658">
        <f>I378</f>
        <v>48</v>
      </c>
      <c r="BY378" s="658"/>
      <c r="BZ378" s="658"/>
      <c r="CA378" s="658"/>
      <c r="CB378" s="644">
        <f t="shared" si="205"/>
        <v>48</v>
      </c>
      <c r="CC378" s="644"/>
      <c r="CD378" s="644">
        <f t="shared" si="201"/>
        <v>48</v>
      </c>
      <c r="CE378" s="644">
        <f t="shared" si="206"/>
        <v>0</v>
      </c>
    </row>
    <row r="379" s="338" customFormat="1" ht="40" customHeight="1" spans="1:83">
      <c r="A379" s="632">
        <v>45841</v>
      </c>
      <c r="B379" s="633" t="s">
        <v>1587</v>
      </c>
      <c r="C379" s="634" t="s">
        <v>178</v>
      </c>
      <c r="D379" s="635">
        <v>4500172604</v>
      </c>
      <c r="E379" s="659" t="s">
        <v>1822</v>
      </c>
      <c r="F379" s="636" t="s">
        <v>1823</v>
      </c>
      <c r="G379" s="637" t="s">
        <v>132</v>
      </c>
      <c r="H379" s="637" t="s">
        <v>99</v>
      </c>
      <c r="I379" s="638">
        <v>24</v>
      </c>
      <c r="J379" s="638">
        <v>0</v>
      </c>
      <c r="K379" s="639">
        <v>24</v>
      </c>
      <c r="L379" s="639">
        <f t="shared" si="203"/>
        <v>1</v>
      </c>
      <c r="M379" s="641">
        <v>45877</v>
      </c>
      <c r="N379" s="641">
        <v>45873</v>
      </c>
      <c r="O379" s="641"/>
      <c r="P379" s="642" t="s">
        <v>100</v>
      </c>
      <c r="Q379" s="643" t="s">
        <v>1774</v>
      </c>
      <c r="R379" s="642" t="s">
        <v>1808</v>
      </c>
      <c r="S379" s="641"/>
      <c r="T379" s="641"/>
      <c r="U379" s="642" t="s">
        <v>493</v>
      </c>
      <c r="V379" s="645" t="s">
        <v>1809</v>
      </c>
      <c r="W379" s="645"/>
      <c r="X379" s="647" t="s">
        <v>1810</v>
      </c>
      <c r="Y379" s="646" t="s">
        <v>734</v>
      </c>
      <c r="Z379" s="683">
        <v>2.5681</v>
      </c>
      <c r="AA379" s="650">
        <f t="shared" si="192"/>
        <v>61.6344</v>
      </c>
      <c r="AB379" s="649">
        <v>24</v>
      </c>
      <c r="AC379" s="649">
        <f t="shared" si="200"/>
        <v>0</v>
      </c>
      <c r="AD379" s="650" t="s">
        <v>106</v>
      </c>
      <c r="AE379" s="637" t="s">
        <v>193</v>
      </c>
      <c r="AF379" s="646" t="s">
        <v>107</v>
      </c>
      <c r="AG379" s="652" t="s">
        <v>43</v>
      </c>
      <c r="AH379" s="646"/>
      <c r="AI379" s="649"/>
      <c r="AJ379" s="649"/>
      <c r="AK379" s="649"/>
      <c r="AL379" s="649"/>
      <c r="AM379" s="649"/>
      <c r="AN379" s="649"/>
      <c r="AO379" s="649">
        <f t="shared" si="202"/>
        <v>24</v>
      </c>
      <c r="AP379" s="649"/>
      <c r="AQ379" s="653"/>
      <c r="AR379" s="649"/>
      <c r="AS379" s="649"/>
      <c r="AT379" s="652">
        <f t="shared" si="204"/>
        <v>24</v>
      </c>
      <c r="AU379" s="649"/>
      <c r="AV379" s="654"/>
      <c r="AW379" s="654"/>
      <c r="AX379" s="652"/>
      <c r="AY379" s="652"/>
      <c r="AZ379" s="654"/>
      <c r="BA379" s="652"/>
      <c r="BB379" s="652"/>
      <c r="BC379" s="654"/>
      <c r="BD379" s="654"/>
      <c r="BE379" s="654"/>
      <c r="BF379" s="654"/>
      <c r="BG379" s="652"/>
      <c r="BH379" s="652"/>
      <c r="BI379" s="654"/>
      <c r="BJ379" s="654"/>
      <c r="BK379" s="654"/>
      <c r="BL379" s="654"/>
      <c r="BM379" s="654"/>
      <c r="BN379" s="654"/>
      <c r="BO379" s="654"/>
      <c r="BP379" s="654"/>
      <c r="BQ379" s="654"/>
      <c r="BR379" s="654"/>
      <c r="BS379" s="654"/>
      <c r="BT379" s="654"/>
      <c r="BU379" s="654"/>
      <c r="BV379" s="654"/>
      <c r="BW379" s="645" t="s">
        <v>109</v>
      </c>
      <c r="BX379" s="658">
        <f>I379</f>
        <v>24</v>
      </c>
      <c r="BY379" s="658"/>
      <c r="BZ379" s="658"/>
      <c r="CA379" s="658"/>
      <c r="CB379" s="644">
        <f t="shared" si="205"/>
        <v>24</v>
      </c>
      <c r="CC379" s="644"/>
      <c r="CD379" s="644">
        <f t="shared" si="201"/>
        <v>24</v>
      </c>
      <c r="CE379" s="644">
        <f t="shared" si="206"/>
        <v>0</v>
      </c>
    </row>
    <row r="380" s="338" customFormat="1" ht="40" customHeight="1" spans="1:83">
      <c r="A380" s="632">
        <v>45841</v>
      </c>
      <c r="B380" s="633" t="s">
        <v>1587</v>
      </c>
      <c r="C380" s="634" t="s">
        <v>178</v>
      </c>
      <c r="D380" s="635">
        <v>4500172604</v>
      </c>
      <c r="E380" s="659" t="s">
        <v>1822</v>
      </c>
      <c r="F380" s="636" t="s">
        <v>1824</v>
      </c>
      <c r="G380" s="637" t="s">
        <v>141</v>
      </c>
      <c r="H380" s="637" t="s">
        <v>99</v>
      </c>
      <c r="I380" s="638">
        <v>48</v>
      </c>
      <c r="J380" s="638">
        <v>0</v>
      </c>
      <c r="K380" s="639">
        <v>24</v>
      </c>
      <c r="L380" s="639">
        <f t="shared" si="203"/>
        <v>2</v>
      </c>
      <c r="M380" s="641">
        <v>45877</v>
      </c>
      <c r="N380" s="641">
        <v>45873</v>
      </c>
      <c r="O380" s="641"/>
      <c r="P380" s="642" t="s">
        <v>100</v>
      </c>
      <c r="Q380" s="643" t="s">
        <v>1774</v>
      </c>
      <c r="R380" s="642" t="s">
        <v>1808</v>
      </c>
      <c r="S380" s="641"/>
      <c r="T380" s="641"/>
      <c r="U380" s="642" t="s">
        <v>493</v>
      </c>
      <c r="V380" s="645" t="s">
        <v>1809</v>
      </c>
      <c r="W380" s="645"/>
      <c r="X380" s="647" t="s">
        <v>1810</v>
      </c>
      <c r="Y380" s="646" t="s">
        <v>734</v>
      </c>
      <c r="Z380" s="683">
        <v>2.5681</v>
      </c>
      <c r="AA380" s="650">
        <f t="shared" si="192"/>
        <v>123.2688</v>
      </c>
      <c r="AB380" s="649">
        <v>48</v>
      </c>
      <c r="AC380" s="649">
        <f t="shared" si="200"/>
        <v>0</v>
      </c>
      <c r="AD380" s="650" t="s">
        <v>106</v>
      </c>
      <c r="AE380" s="637" t="s">
        <v>153</v>
      </c>
      <c r="AF380" s="646" t="s">
        <v>107</v>
      </c>
      <c r="AG380" s="652" t="s">
        <v>43</v>
      </c>
      <c r="AH380" s="646"/>
      <c r="AI380" s="649"/>
      <c r="AJ380" s="649"/>
      <c r="AK380" s="649"/>
      <c r="AL380" s="649"/>
      <c r="AM380" s="649"/>
      <c r="AN380" s="649"/>
      <c r="AO380" s="649">
        <f t="shared" ref="AO375:AO383" si="207">I380</f>
        <v>48</v>
      </c>
      <c r="AP380" s="649"/>
      <c r="AQ380" s="653"/>
      <c r="AR380" s="649"/>
      <c r="AS380" s="649"/>
      <c r="AT380" s="652">
        <f t="shared" si="204"/>
        <v>48</v>
      </c>
      <c r="AU380" s="649"/>
      <c r="AV380" s="654"/>
      <c r="AW380" s="654"/>
      <c r="AX380" s="652"/>
      <c r="AY380" s="652"/>
      <c r="AZ380" s="654"/>
      <c r="BA380" s="652"/>
      <c r="BB380" s="652"/>
      <c r="BC380" s="654"/>
      <c r="BD380" s="654"/>
      <c r="BE380" s="654"/>
      <c r="BF380" s="654"/>
      <c r="BG380" s="652"/>
      <c r="BH380" s="652"/>
      <c r="BI380" s="654"/>
      <c r="BJ380" s="654"/>
      <c r="BK380" s="654"/>
      <c r="BL380" s="654"/>
      <c r="BM380" s="654"/>
      <c r="BN380" s="654"/>
      <c r="BO380" s="654"/>
      <c r="BP380" s="654"/>
      <c r="BQ380" s="654"/>
      <c r="BR380" s="654"/>
      <c r="BS380" s="654"/>
      <c r="BT380" s="654"/>
      <c r="BU380" s="654"/>
      <c r="BV380" s="654"/>
      <c r="BW380" s="645" t="s">
        <v>109</v>
      </c>
      <c r="BX380" s="658"/>
      <c r="BY380" s="658"/>
      <c r="BZ380" s="658">
        <f>I380</f>
        <v>48</v>
      </c>
      <c r="CA380" s="658"/>
      <c r="CB380" s="644">
        <f t="shared" si="205"/>
        <v>48</v>
      </c>
      <c r="CC380" s="644"/>
      <c r="CD380" s="644">
        <f t="shared" si="201"/>
        <v>48</v>
      </c>
      <c r="CE380" s="644">
        <f t="shared" si="206"/>
        <v>0</v>
      </c>
    </row>
    <row r="381" s="338" customFormat="1" ht="40" customHeight="1" spans="1:83">
      <c r="A381" s="632">
        <v>45841</v>
      </c>
      <c r="B381" s="633" t="s">
        <v>1587</v>
      </c>
      <c r="C381" s="634" t="s">
        <v>178</v>
      </c>
      <c r="D381" s="635">
        <v>4500172604</v>
      </c>
      <c r="E381" s="659" t="s">
        <v>1822</v>
      </c>
      <c r="F381" s="636" t="s">
        <v>1825</v>
      </c>
      <c r="G381" s="637" t="s">
        <v>141</v>
      </c>
      <c r="H381" s="637" t="s">
        <v>99</v>
      </c>
      <c r="I381" s="638">
        <v>48</v>
      </c>
      <c r="J381" s="638">
        <v>0</v>
      </c>
      <c r="K381" s="639">
        <v>24</v>
      </c>
      <c r="L381" s="639">
        <f t="shared" si="203"/>
        <v>2</v>
      </c>
      <c r="M381" s="641">
        <v>45877</v>
      </c>
      <c r="N381" s="641">
        <v>45873</v>
      </c>
      <c r="O381" s="641"/>
      <c r="P381" s="642" t="s">
        <v>100</v>
      </c>
      <c r="Q381" s="643" t="s">
        <v>1774</v>
      </c>
      <c r="R381" s="642" t="s">
        <v>1808</v>
      </c>
      <c r="S381" s="641"/>
      <c r="T381" s="641"/>
      <c r="U381" s="642" t="s">
        <v>493</v>
      </c>
      <c r="V381" s="645" t="s">
        <v>1809</v>
      </c>
      <c r="W381" s="645"/>
      <c r="X381" s="647" t="s">
        <v>1810</v>
      </c>
      <c r="Y381" s="646" t="s">
        <v>734</v>
      </c>
      <c r="Z381" s="683">
        <v>2.5681</v>
      </c>
      <c r="AA381" s="650">
        <f t="shared" si="192"/>
        <v>123.2688</v>
      </c>
      <c r="AB381" s="649">
        <v>48</v>
      </c>
      <c r="AC381" s="649">
        <f t="shared" si="200"/>
        <v>0</v>
      </c>
      <c r="AD381" s="650" t="s">
        <v>106</v>
      </c>
      <c r="AE381" s="637" t="s">
        <v>153</v>
      </c>
      <c r="AF381" s="646" t="s">
        <v>107</v>
      </c>
      <c r="AG381" s="652" t="s">
        <v>43</v>
      </c>
      <c r="AH381" s="646"/>
      <c r="AI381" s="649"/>
      <c r="AJ381" s="649"/>
      <c r="AK381" s="649"/>
      <c r="AL381" s="649"/>
      <c r="AM381" s="649"/>
      <c r="AN381" s="649"/>
      <c r="AO381" s="649">
        <f t="shared" si="207"/>
        <v>48</v>
      </c>
      <c r="AP381" s="649"/>
      <c r="AQ381" s="653"/>
      <c r="AR381" s="649"/>
      <c r="AS381" s="649"/>
      <c r="AT381" s="652">
        <f t="shared" si="204"/>
        <v>48</v>
      </c>
      <c r="AU381" s="649"/>
      <c r="AV381" s="654"/>
      <c r="AW381" s="654"/>
      <c r="AX381" s="652"/>
      <c r="AY381" s="652"/>
      <c r="AZ381" s="654"/>
      <c r="BA381" s="652"/>
      <c r="BB381" s="652"/>
      <c r="BC381" s="654"/>
      <c r="BD381" s="654"/>
      <c r="BE381" s="654"/>
      <c r="BF381" s="654"/>
      <c r="BG381" s="652"/>
      <c r="BH381" s="652"/>
      <c r="BI381" s="654"/>
      <c r="BJ381" s="654"/>
      <c r="BK381" s="654"/>
      <c r="BL381" s="654"/>
      <c r="BM381" s="654"/>
      <c r="BN381" s="654"/>
      <c r="BO381" s="654"/>
      <c r="BP381" s="654"/>
      <c r="BQ381" s="654"/>
      <c r="BR381" s="654"/>
      <c r="BS381" s="654"/>
      <c r="BT381" s="654"/>
      <c r="BU381" s="654"/>
      <c r="BV381" s="654"/>
      <c r="BW381" s="645" t="s">
        <v>109</v>
      </c>
      <c r="BX381" s="658"/>
      <c r="BY381" s="658"/>
      <c r="BZ381" s="658">
        <f>I381</f>
        <v>48</v>
      </c>
      <c r="CA381" s="658"/>
      <c r="CB381" s="644">
        <f t="shared" si="205"/>
        <v>48</v>
      </c>
      <c r="CC381" s="644"/>
      <c r="CD381" s="644">
        <f t="shared" si="201"/>
        <v>48</v>
      </c>
      <c r="CE381" s="644">
        <f t="shared" si="206"/>
        <v>0</v>
      </c>
    </row>
    <row r="382" s="338" customFormat="1" ht="40" customHeight="1" spans="1:83">
      <c r="A382" s="632">
        <v>45841</v>
      </c>
      <c r="B382" s="633" t="s">
        <v>1587</v>
      </c>
      <c r="C382" s="634" t="s">
        <v>178</v>
      </c>
      <c r="D382" s="635">
        <v>4500172604</v>
      </c>
      <c r="E382" s="659" t="s">
        <v>1822</v>
      </c>
      <c r="F382" s="636" t="s">
        <v>1826</v>
      </c>
      <c r="G382" s="637" t="s">
        <v>141</v>
      </c>
      <c r="H382" s="637" t="s">
        <v>99</v>
      </c>
      <c r="I382" s="638">
        <v>24</v>
      </c>
      <c r="J382" s="638">
        <v>0</v>
      </c>
      <c r="K382" s="639">
        <v>24</v>
      </c>
      <c r="L382" s="639">
        <f t="shared" si="203"/>
        <v>1</v>
      </c>
      <c r="M382" s="641">
        <v>45877</v>
      </c>
      <c r="N382" s="641">
        <v>45873</v>
      </c>
      <c r="O382" s="641"/>
      <c r="P382" s="642" t="s">
        <v>100</v>
      </c>
      <c r="Q382" s="643" t="s">
        <v>1774</v>
      </c>
      <c r="R382" s="642" t="s">
        <v>1808</v>
      </c>
      <c r="S382" s="641"/>
      <c r="T382" s="641"/>
      <c r="U382" s="642" t="s">
        <v>493</v>
      </c>
      <c r="V382" s="645" t="s">
        <v>1809</v>
      </c>
      <c r="W382" s="645"/>
      <c r="X382" s="647" t="s">
        <v>1810</v>
      </c>
      <c r="Y382" s="646" t="s">
        <v>734</v>
      </c>
      <c r="Z382" s="683">
        <v>2.5681</v>
      </c>
      <c r="AA382" s="650">
        <f t="shared" si="192"/>
        <v>61.6344</v>
      </c>
      <c r="AB382" s="649">
        <v>24</v>
      </c>
      <c r="AC382" s="649">
        <f t="shared" si="200"/>
        <v>0</v>
      </c>
      <c r="AD382" s="650" t="s">
        <v>106</v>
      </c>
      <c r="AE382" s="637" t="s">
        <v>153</v>
      </c>
      <c r="AF382" s="646" t="s">
        <v>107</v>
      </c>
      <c r="AG382" s="652" t="s">
        <v>43</v>
      </c>
      <c r="AH382" s="646"/>
      <c r="AI382" s="649"/>
      <c r="AJ382" s="649"/>
      <c r="AK382" s="649"/>
      <c r="AL382" s="649"/>
      <c r="AM382" s="649"/>
      <c r="AN382" s="649"/>
      <c r="AO382" s="649">
        <f t="shared" si="207"/>
        <v>24</v>
      </c>
      <c r="AP382" s="649"/>
      <c r="AQ382" s="653"/>
      <c r="AR382" s="649"/>
      <c r="AS382" s="649"/>
      <c r="AT382" s="652">
        <f t="shared" si="204"/>
        <v>24</v>
      </c>
      <c r="AU382" s="649"/>
      <c r="AV382" s="654"/>
      <c r="AW382" s="654"/>
      <c r="AX382" s="652"/>
      <c r="AY382" s="652"/>
      <c r="AZ382" s="654"/>
      <c r="BA382" s="652"/>
      <c r="BB382" s="652"/>
      <c r="BC382" s="654"/>
      <c r="BD382" s="654"/>
      <c r="BE382" s="654"/>
      <c r="BF382" s="654"/>
      <c r="BG382" s="652"/>
      <c r="BH382" s="652"/>
      <c r="BI382" s="654"/>
      <c r="BJ382" s="654"/>
      <c r="BK382" s="654"/>
      <c r="BL382" s="654"/>
      <c r="BM382" s="654"/>
      <c r="BN382" s="654"/>
      <c r="BO382" s="654"/>
      <c r="BP382" s="654"/>
      <c r="BQ382" s="654"/>
      <c r="BR382" s="654"/>
      <c r="BS382" s="654"/>
      <c r="BT382" s="654"/>
      <c r="BU382" s="654"/>
      <c r="BV382" s="654"/>
      <c r="BW382" s="645" t="s">
        <v>109</v>
      </c>
      <c r="BX382" s="658"/>
      <c r="BY382" s="658"/>
      <c r="BZ382" s="658">
        <f>I382</f>
        <v>24</v>
      </c>
      <c r="CA382" s="658"/>
      <c r="CB382" s="644">
        <f t="shared" si="205"/>
        <v>24</v>
      </c>
      <c r="CC382" s="644"/>
      <c r="CD382" s="644">
        <f t="shared" si="201"/>
        <v>24</v>
      </c>
      <c r="CE382" s="644">
        <f t="shared" si="206"/>
        <v>0</v>
      </c>
    </row>
    <row r="383" s="338" customFormat="1" ht="40" customHeight="1" spans="1:83">
      <c r="A383" s="632">
        <v>45841</v>
      </c>
      <c r="B383" s="633" t="s">
        <v>1587</v>
      </c>
      <c r="C383" s="634" t="s">
        <v>178</v>
      </c>
      <c r="D383" s="635">
        <v>4500172604</v>
      </c>
      <c r="E383" s="659" t="s">
        <v>1827</v>
      </c>
      <c r="F383" s="636" t="s">
        <v>1828</v>
      </c>
      <c r="G383" s="637" t="s">
        <v>141</v>
      </c>
      <c r="H383" s="637" t="s">
        <v>99</v>
      </c>
      <c r="I383" s="638">
        <v>72</v>
      </c>
      <c r="J383" s="638">
        <v>0</v>
      </c>
      <c r="K383" s="639">
        <v>24</v>
      </c>
      <c r="L383" s="639">
        <f t="shared" si="203"/>
        <v>3</v>
      </c>
      <c r="M383" s="641">
        <v>45877</v>
      </c>
      <c r="N383" s="641">
        <v>45873</v>
      </c>
      <c r="O383" s="641"/>
      <c r="P383" s="642" t="s">
        <v>100</v>
      </c>
      <c r="Q383" s="643" t="s">
        <v>1774</v>
      </c>
      <c r="R383" s="642" t="s">
        <v>1808</v>
      </c>
      <c r="S383" s="641"/>
      <c r="T383" s="641"/>
      <c r="U383" s="642" t="s">
        <v>493</v>
      </c>
      <c r="V383" s="645" t="s">
        <v>1809</v>
      </c>
      <c r="W383" s="645"/>
      <c r="X383" s="647" t="s">
        <v>1810</v>
      </c>
      <c r="Y383" s="646" t="s">
        <v>734</v>
      </c>
      <c r="Z383" s="683">
        <v>2.5681</v>
      </c>
      <c r="AA383" s="650">
        <f t="shared" si="192"/>
        <v>184.9032</v>
      </c>
      <c r="AB383" s="649">
        <v>72</v>
      </c>
      <c r="AC383" s="649">
        <f t="shared" si="200"/>
        <v>0</v>
      </c>
      <c r="AD383" s="650" t="s">
        <v>106</v>
      </c>
      <c r="AE383" s="637" t="s">
        <v>153</v>
      </c>
      <c r="AF383" s="646" t="s">
        <v>107</v>
      </c>
      <c r="AG383" s="652" t="s">
        <v>43</v>
      </c>
      <c r="AH383" s="646"/>
      <c r="AI383" s="649"/>
      <c r="AJ383" s="649"/>
      <c r="AK383" s="649"/>
      <c r="AL383" s="649"/>
      <c r="AM383" s="649"/>
      <c r="AN383" s="649"/>
      <c r="AO383" s="649">
        <f t="shared" si="207"/>
        <v>72</v>
      </c>
      <c r="AP383" s="649"/>
      <c r="AQ383" s="653"/>
      <c r="AR383" s="649"/>
      <c r="AS383" s="649"/>
      <c r="AT383" s="652">
        <f t="shared" si="204"/>
        <v>72</v>
      </c>
      <c r="AU383" s="649"/>
      <c r="AV383" s="654"/>
      <c r="AW383" s="654"/>
      <c r="AX383" s="652"/>
      <c r="AY383" s="652"/>
      <c r="AZ383" s="654"/>
      <c r="BA383" s="652"/>
      <c r="BB383" s="652"/>
      <c r="BC383" s="654"/>
      <c r="BD383" s="654"/>
      <c r="BE383" s="654"/>
      <c r="BF383" s="654"/>
      <c r="BG383" s="652"/>
      <c r="BH383" s="652"/>
      <c r="BI383" s="654"/>
      <c r="BJ383" s="654"/>
      <c r="BK383" s="654"/>
      <c r="BL383" s="654"/>
      <c r="BM383" s="654"/>
      <c r="BN383" s="654"/>
      <c r="BO383" s="654"/>
      <c r="BP383" s="654"/>
      <c r="BQ383" s="654"/>
      <c r="BR383" s="654"/>
      <c r="BS383" s="654"/>
      <c r="BT383" s="654"/>
      <c r="BU383" s="654"/>
      <c r="BV383" s="654"/>
      <c r="BW383" s="645" t="s">
        <v>109</v>
      </c>
      <c r="BX383" s="658"/>
      <c r="BY383" s="658"/>
      <c r="BZ383" s="658">
        <f>I383</f>
        <v>72</v>
      </c>
      <c r="CA383" s="658"/>
      <c r="CB383" s="644">
        <f t="shared" si="205"/>
        <v>72</v>
      </c>
      <c r="CC383" s="644"/>
      <c r="CD383" s="644">
        <f t="shared" si="201"/>
        <v>72</v>
      </c>
      <c r="CE383" s="644">
        <f t="shared" si="206"/>
        <v>0</v>
      </c>
    </row>
    <row r="384" s="338" customFormat="1" ht="40" customHeight="1" spans="1:83">
      <c r="A384" s="632">
        <v>45840</v>
      </c>
      <c r="B384" s="633" t="s">
        <v>973</v>
      </c>
      <c r="C384" s="634" t="s">
        <v>214</v>
      </c>
      <c r="D384" s="635">
        <v>4500172356</v>
      </c>
      <c r="E384" s="659">
        <v>60236500</v>
      </c>
      <c r="F384" s="636" t="s">
        <v>1829</v>
      </c>
      <c r="G384" s="637" t="s">
        <v>1830</v>
      </c>
      <c r="H384" s="637" t="s">
        <v>1831</v>
      </c>
      <c r="I384" s="638">
        <v>2000</v>
      </c>
      <c r="J384" s="638">
        <v>0</v>
      </c>
      <c r="K384" s="639">
        <v>16</v>
      </c>
      <c r="L384" s="639">
        <f t="shared" si="203"/>
        <v>125</v>
      </c>
      <c r="M384" s="641">
        <v>45873</v>
      </c>
      <c r="N384" s="641">
        <v>45881</v>
      </c>
      <c r="O384" s="641"/>
      <c r="P384" s="642" t="s">
        <v>100</v>
      </c>
      <c r="Q384" s="643" t="s">
        <v>1784</v>
      </c>
      <c r="R384" s="642" t="s">
        <v>1832</v>
      </c>
      <c r="S384" s="641"/>
      <c r="T384" s="641"/>
      <c r="U384" s="642" t="s">
        <v>113</v>
      </c>
      <c r="V384" s="642" t="s">
        <v>1833</v>
      </c>
      <c r="W384" s="645"/>
      <c r="X384" s="647" t="s">
        <v>1834</v>
      </c>
      <c r="Y384" s="646" t="s">
        <v>220</v>
      </c>
      <c r="Z384" s="683">
        <v>1.5</v>
      </c>
      <c r="AA384" s="650">
        <f t="shared" si="192"/>
        <v>3000</v>
      </c>
      <c r="AB384" s="649">
        <v>2000</v>
      </c>
      <c r="AC384" s="649">
        <f t="shared" si="200"/>
        <v>0</v>
      </c>
      <c r="AD384" s="650" t="s">
        <v>123</v>
      </c>
      <c r="AE384" s="637" t="s">
        <v>1830</v>
      </c>
      <c r="AF384" s="646" t="s">
        <v>107</v>
      </c>
      <c r="AG384" s="652" t="s">
        <v>43</v>
      </c>
      <c r="AH384" s="646" t="s">
        <v>1835</v>
      </c>
      <c r="AI384" s="649"/>
      <c r="AJ384" s="649"/>
      <c r="AK384" s="649"/>
      <c r="AL384" s="649">
        <f>I384*2</f>
        <v>4000</v>
      </c>
      <c r="AM384" s="649"/>
      <c r="AN384" s="649"/>
      <c r="AO384" s="649"/>
      <c r="AP384" s="649"/>
      <c r="AQ384" s="653"/>
      <c r="AR384" s="649"/>
      <c r="AS384" s="649"/>
      <c r="AT384" s="649">
        <f>I384*2</f>
        <v>4000</v>
      </c>
      <c r="AU384" s="649"/>
      <c r="AV384" s="654"/>
      <c r="AW384" s="654"/>
      <c r="AX384" s="652"/>
      <c r="AY384" s="652"/>
      <c r="AZ384" s="654"/>
      <c r="BA384" s="652"/>
      <c r="BB384" s="652"/>
      <c r="BC384" s="654"/>
      <c r="BD384" s="654"/>
      <c r="BE384" s="654"/>
      <c r="BF384" s="654"/>
      <c r="BG384" s="652"/>
      <c r="BH384" s="652"/>
      <c r="BI384" s="654"/>
      <c r="BJ384" s="654"/>
      <c r="BK384" s="654"/>
      <c r="BL384" s="654"/>
      <c r="BM384" s="654"/>
      <c r="BN384" s="654"/>
      <c r="BO384" s="654"/>
      <c r="BP384" s="654"/>
      <c r="BQ384" s="654"/>
      <c r="BR384" s="654"/>
      <c r="BS384" s="654"/>
      <c r="BT384" s="654"/>
      <c r="BU384" s="654"/>
      <c r="BV384" s="654"/>
      <c r="BW384" s="645" t="s">
        <v>109</v>
      </c>
      <c r="BX384" s="658">
        <f>I384/4*2</f>
        <v>1000</v>
      </c>
      <c r="BY384" s="658">
        <f>I384/4*2</f>
        <v>1000</v>
      </c>
      <c r="BZ384" s="658">
        <f>I384/4*2</f>
        <v>1000</v>
      </c>
      <c r="CA384" s="658">
        <f>I384/4*2</f>
        <v>1000</v>
      </c>
      <c r="CB384" s="644">
        <f t="shared" si="205"/>
        <v>2000</v>
      </c>
      <c r="CC384" s="658"/>
      <c r="CD384" s="644">
        <f t="shared" si="201"/>
        <v>4000</v>
      </c>
      <c r="CE384" s="644">
        <f t="shared" si="206"/>
        <v>-2000</v>
      </c>
    </row>
    <row r="385" s="338" customFormat="1" ht="40" customHeight="1" spans="1:83">
      <c r="A385" s="632">
        <v>45840</v>
      </c>
      <c r="B385" s="633" t="s">
        <v>1836</v>
      </c>
      <c r="C385" s="634" t="s">
        <v>214</v>
      </c>
      <c r="D385" s="635">
        <v>4500172487</v>
      </c>
      <c r="E385" s="659" t="s">
        <v>1837</v>
      </c>
      <c r="F385" s="635" t="s">
        <v>1838</v>
      </c>
      <c r="G385" s="637" t="s">
        <v>241</v>
      </c>
      <c r="H385" s="637" t="s">
        <v>99</v>
      </c>
      <c r="I385" s="638">
        <v>1848</v>
      </c>
      <c r="J385" s="638">
        <v>0</v>
      </c>
      <c r="K385" s="639">
        <v>11</v>
      </c>
      <c r="L385" s="639">
        <f t="shared" si="203"/>
        <v>168</v>
      </c>
      <c r="M385" s="641">
        <v>45881</v>
      </c>
      <c r="N385" s="641">
        <v>45884</v>
      </c>
      <c r="O385" s="641"/>
      <c r="P385" s="642" t="s">
        <v>100</v>
      </c>
      <c r="Q385" s="643" t="s">
        <v>1774</v>
      </c>
      <c r="R385" s="642" t="s">
        <v>1839</v>
      </c>
      <c r="S385" s="641"/>
      <c r="T385" s="641"/>
      <c r="U385" s="642" t="s">
        <v>113</v>
      </c>
      <c r="V385" s="677"/>
      <c r="W385" s="645"/>
      <c r="X385" s="647" t="s">
        <v>911</v>
      </c>
      <c r="Y385" s="646" t="s">
        <v>289</v>
      </c>
      <c r="Z385" s="683">
        <v>1.6273</v>
      </c>
      <c r="AA385" s="650">
        <f t="shared" si="192"/>
        <v>3007.2504</v>
      </c>
      <c r="AB385" s="649">
        <v>1848</v>
      </c>
      <c r="AC385" s="649">
        <f t="shared" si="200"/>
        <v>0</v>
      </c>
      <c r="AD385" s="650" t="s">
        <v>113</v>
      </c>
      <c r="AE385" s="637" t="s">
        <v>241</v>
      </c>
      <c r="AF385" s="646" t="s">
        <v>107</v>
      </c>
      <c r="AG385" s="652" t="s">
        <v>43</v>
      </c>
      <c r="AH385" s="646" t="s">
        <v>1840</v>
      </c>
      <c r="AI385" s="649"/>
      <c r="AJ385" s="649"/>
      <c r="AK385" s="649"/>
      <c r="AL385" s="652">
        <f>I385</f>
        <v>1848</v>
      </c>
      <c r="AM385" s="652"/>
      <c r="AN385" s="649"/>
      <c r="AO385" s="649"/>
      <c r="AP385" s="649"/>
      <c r="AQ385" s="653"/>
      <c r="AR385" s="649"/>
      <c r="AS385" s="649"/>
      <c r="AT385" s="649">
        <f>I385</f>
        <v>1848</v>
      </c>
      <c r="AU385" s="649"/>
      <c r="AV385" s="654"/>
      <c r="AW385" s="654"/>
      <c r="AX385" s="652">
        <f>I385/11</f>
        <v>168</v>
      </c>
      <c r="AY385" s="652"/>
      <c r="AZ385" s="654"/>
      <c r="BA385" s="652"/>
      <c r="BB385" s="652"/>
      <c r="BC385" s="654"/>
      <c r="BD385" s="654"/>
      <c r="BE385" s="654"/>
      <c r="BF385" s="654"/>
      <c r="BG385" s="652"/>
      <c r="BH385" s="652"/>
      <c r="BI385" s="654"/>
      <c r="BJ385" s="654"/>
      <c r="BK385" s="654"/>
      <c r="BL385" s="654"/>
      <c r="BM385" s="654"/>
      <c r="BN385" s="654"/>
      <c r="BO385" s="654"/>
      <c r="BP385" s="654"/>
      <c r="BQ385" s="654"/>
      <c r="BR385" s="654"/>
      <c r="BS385" s="654"/>
      <c r="BT385" s="654"/>
      <c r="BU385" s="654"/>
      <c r="BV385" s="654"/>
      <c r="BW385" s="645" t="s">
        <v>109</v>
      </c>
      <c r="BX385" s="658">
        <f>I385/22*5</f>
        <v>420</v>
      </c>
      <c r="BY385" s="658">
        <f>I385/22*6</f>
        <v>504</v>
      </c>
      <c r="BZ385" s="658">
        <f>I385/22*6</f>
        <v>504</v>
      </c>
      <c r="CA385" s="658">
        <f>I385/22*5</f>
        <v>420</v>
      </c>
      <c r="CB385" s="644">
        <f t="shared" si="205"/>
        <v>1848</v>
      </c>
      <c r="CC385" s="658">
        <f>I385/11</f>
        <v>168</v>
      </c>
      <c r="CD385" s="644">
        <f t="shared" si="201"/>
        <v>1848</v>
      </c>
      <c r="CE385" s="644">
        <f t="shared" si="206"/>
        <v>0</v>
      </c>
    </row>
    <row r="386" s="338" customFormat="1" ht="40" customHeight="1" spans="1:83">
      <c r="A386" s="632">
        <v>45840</v>
      </c>
      <c r="B386" s="633" t="s">
        <v>1836</v>
      </c>
      <c r="C386" s="634" t="s">
        <v>214</v>
      </c>
      <c r="D386" s="635">
        <v>4500172487</v>
      </c>
      <c r="E386" s="659" t="s">
        <v>1841</v>
      </c>
      <c r="F386" s="635" t="s">
        <v>1842</v>
      </c>
      <c r="G386" s="637" t="s">
        <v>241</v>
      </c>
      <c r="H386" s="637" t="s">
        <v>99</v>
      </c>
      <c r="I386" s="638">
        <v>2640</v>
      </c>
      <c r="J386" s="638">
        <v>0</v>
      </c>
      <c r="K386" s="639">
        <v>11</v>
      </c>
      <c r="L386" s="639">
        <f t="shared" si="203"/>
        <v>240</v>
      </c>
      <c r="M386" s="641">
        <v>45881</v>
      </c>
      <c r="N386" s="641">
        <v>45884</v>
      </c>
      <c r="O386" s="641"/>
      <c r="P386" s="642" t="s">
        <v>100</v>
      </c>
      <c r="Q386" s="643" t="s">
        <v>1843</v>
      </c>
      <c r="R386" s="642" t="s">
        <v>1839</v>
      </c>
      <c r="S386" s="641"/>
      <c r="T386" s="641"/>
      <c r="U386" s="642" t="s">
        <v>113</v>
      </c>
      <c r="V386" s="677"/>
      <c r="W386" s="645"/>
      <c r="X386" s="647" t="s">
        <v>911</v>
      </c>
      <c r="Y386" s="646" t="s">
        <v>289</v>
      </c>
      <c r="Z386" s="683">
        <v>1.6217</v>
      </c>
      <c r="AA386" s="650">
        <f t="shared" si="192"/>
        <v>4281.288</v>
      </c>
      <c r="AB386" s="649">
        <v>2640</v>
      </c>
      <c r="AC386" s="649">
        <f t="shared" si="200"/>
        <v>0</v>
      </c>
      <c r="AD386" s="650" t="s">
        <v>113</v>
      </c>
      <c r="AE386" s="637" t="s">
        <v>241</v>
      </c>
      <c r="AF386" s="646" t="s">
        <v>107</v>
      </c>
      <c r="AG386" s="652" t="s">
        <v>43</v>
      </c>
      <c r="AH386" s="646" t="s">
        <v>1844</v>
      </c>
      <c r="AI386" s="649"/>
      <c r="AJ386" s="649"/>
      <c r="AK386" s="649"/>
      <c r="AL386" s="652">
        <f>I386</f>
        <v>2640</v>
      </c>
      <c r="AM386" s="652"/>
      <c r="AN386" s="649"/>
      <c r="AO386" s="649"/>
      <c r="AP386" s="649"/>
      <c r="AQ386" s="653"/>
      <c r="AR386" s="649"/>
      <c r="AS386" s="649"/>
      <c r="AT386" s="649">
        <f>I386</f>
        <v>2640</v>
      </c>
      <c r="AU386" s="649"/>
      <c r="AV386" s="654"/>
      <c r="AW386" s="654"/>
      <c r="AX386" s="652">
        <f>I386/11</f>
        <v>240</v>
      </c>
      <c r="AY386" s="652"/>
      <c r="AZ386" s="654"/>
      <c r="BA386" s="652"/>
      <c r="BB386" s="652"/>
      <c r="BC386" s="654"/>
      <c r="BD386" s="654"/>
      <c r="BE386" s="654"/>
      <c r="BF386" s="654"/>
      <c r="BG386" s="652"/>
      <c r="BH386" s="652"/>
      <c r="BI386" s="654"/>
      <c r="BJ386" s="654"/>
      <c r="BK386" s="654"/>
      <c r="BL386" s="654"/>
      <c r="BM386" s="654"/>
      <c r="BN386" s="654"/>
      <c r="BO386" s="654"/>
      <c r="BP386" s="654"/>
      <c r="BQ386" s="654"/>
      <c r="BR386" s="654"/>
      <c r="BS386" s="654"/>
      <c r="BT386" s="654"/>
      <c r="BU386" s="654"/>
      <c r="BV386" s="654"/>
      <c r="BW386" s="645" t="s">
        <v>109</v>
      </c>
      <c r="BX386" s="658">
        <f>I386/22*5</f>
        <v>600</v>
      </c>
      <c r="BY386" s="658">
        <f>I386/22*6</f>
        <v>720</v>
      </c>
      <c r="BZ386" s="658">
        <f>I386/22*6</f>
        <v>720</v>
      </c>
      <c r="CA386" s="658">
        <f>I386/22*5</f>
        <v>600</v>
      </c>
      <c r="CB386" s="644">
        <f t="shared" si="205"/>
        <v>2640</v>
      </c>
      <c r="CC386" s="658">
        <f>I386/11</f>
        <v>240</v>
      </c>
      <c r="CD386" s="644">
        <f t="shared" si="201"/>
        <v>2640</v>
      </c>
      <c r="CE386" s="644">
        <f t="shared" si="206"/>
        <v>0</v>
      </c>
    </row>
    <row r="387" s="338" customFormat="1" ht="40" customHeight="1" spans="1:83">
      <c r="A387" s="632">
        <v>45840</v>
      </c>
      <c r="B387" s="633" t="s">
        <v>973</v>
      </c>
      <c r="C387" s="634" t="s">
        <v>214</v>
      </c>
      <c r="D387" s="635">
        <v>4500172367</v>
      </c>
      <c r="E387" s="659">
        <v>60236537</v>
      </c>
      <c r="F387" s="636" t="s">
        <v>1845</v>
      </c>
      <c r="G387" s="637" t="s">
        <v>1830</v>
      </c>
      <c r="H387" s="637" t="s">
        <v>1831</v>
      </c>
      <c r="I387" s="638">
        <v>2000</v>
      </c>
      <c r="J387" s="638">
        <v>0</v>
      </c>
      <c r="K387" s="639">
        <v>16</v>
      </c>
      <c r="L387" s="639">
        <f t="shared" si="203"/>
        <v>125</v>
      </c>
      <c r="M387" s="641">
        <v>45873</v>
      </c>
      <c r="N387" s="641">
        <v>45883</v>
      </c>
      <c r="O387" s="641"/>
      <c r="P387" s="642" t="s">
        <v>100</v>
      </c>
      <c r="Q387" s="643" t="s">
        <v>1843</v>
      </c>
      <c r="R387" s="642" t="s">
        <v>1832</v>
      </c>
      <c r="S387" s="641"/>
      <c r="T387" s="641"/>
      <c r="U387" s="642" t="s">
        <v>113</v>
      </c>
      <c r="V387" s="642" t="s">
        <v>1833</v>
      </c>
      <c r="W387" s="645"/>
      <c r="X387" s="647" t="s">
        <v>1834</v>
      </c>
      <c r="Y387" s="646" t="s">
        <v>220</v>
      </c>
      <c r="Z387" s="683">
        <v>1.5</v>
      </c>
      <c r="AA387" s="650">
        <f t="shared" si="192"/>
        <v>3000</v>
      </c>
      <c r="AB387" s="649">
        <v>2000</v>
      </c>
      <c r="AC387" s="649">
        <f t="shared" si="200"/>
        <v>0</v>
      </c>
      <c r="AD387" s="650" t="s">
        <v>106</v>
      </c>
      <c r="AE387" s="637" t="s">
        <v>1830</v>
      </c>
      <c r="AF387" s="646" t="s">
        <v>107</v>
      </c>
      <c r="AG387" s="652" t="s">
        <v>43</v>
      </c>
      <c r="AH387" s="646" t="s">
        <v>1846</v>
      </c>
      <c r="AI387" s="649"/>
      <c r="AJ387" s="649"/>
      <c r="AK387" s="649"/>
      <c r="AL387" s="649">
        <f>I387*2</f>
        <v>4000</v>
      </c>
      <c r="AM387" s="649"/>
      <c r="AN387" s="649"/>
      <c r="AO387" s="649"/>
      <c r="AP387" s="649"/>
      <c r="AQ387" s="653"/>
      <c r="AR387" s="649"/>
      <c r="AS387" s="649"/>
      <c r="AT387" s="649">
        <f>I387*2</f>
        <v>4000</v>
      </c>
      <c r="AU387" s="649"/>
      <c r="AV387" s="654"/>
      <c r="AW387" s="654"/>
      <c r="AX387" s="652"/>
      <c r="AY387" s="652"/>
      <c r="AZ387" s="654"/>
      <c r="BA387" s="652"/>
      <c r="BB387" s="652"/>
      <c r="BC387" s="654"/>
      <c r="BD387" s="654"/>
      <c r="BE387" s="654"/>
      <c r="BF387" s="654"/>
      <c r="BG387" s="652"/>
      <c r="BH387" s="652"/>
      <c r="BI387" s="654"/>
      <c r="BJ387" s="654"/>
      <c r="BK387" s="654"/>
      <c r="BL387" s="654"/>
      <c r="BM387" s="654"/>
      <c r="BN387" s="654"/>
      <c r="BO387" s="654"/>
      <c r="BP387" s="654"/>
      <c r="BQ387" s="654"/>
      <c r="BR387" s="654"/>
      <c r="BS387" s="654"/>
      <c r="BT387" s="654"/>
      <c r="BU387" s="654"/>
      <c r="BV387" s="654"/>
      <c r="BW387" s="645" t="s">
        <v>109</v>
      </c>
      <c r="BX387" s="658">
        <f>I387/4*2</f>
        <v>1000</v>
      </c>
      <c r="BY387" s="658">
        <f>I387/4*2</f>
        <v>1000</v>
      </c>
      <c r="BZ387" s="658">
        <f>I387/4*2</f>
        <v>1000</v>
      </c>
      <c r="CA387" s="658">
        <f>I387/4*2</f>
        <v>1000</v>
      </c>
      <c r="CB387" s="644">
        <f t="shared" si="205"/>
        <v>2000</v>
      </c>
      <c r="CC387" s="658"/>
      <c r="CD387" s="644">
        <f t="shared" si="201"/>
        <v>4000</v>
      </c>
      <c r="CE387" s="644">
        <f t="shared" si="206"/>
        <v>-2000</v>
      </c>
    </row>
    <row r="388" s="338" customFormat="1" ht="40" customHeight="1" spans="1:83">
      <c r="A388" s="632">
        <v>45840</v>
      </c>
      <c r="B388" s="633" t="s">
        <v>973</v>
      </c>
      <c r="C388" s="634" t="s">
        <v>214</v>
      </c>
      <c r="D388" s="635">
        <v>4500172379</v>
      </c>
      <c r="E388" s="659">
        <v>60236612</v>
      </c>
      <c r="F388" s="636" t="s">
        <v>1847</v>
      </c>
      <c r="G388" s="637" t="s">
        <v>1830</v>
      </c>
      <c r="H388" s="637" t="s">
        <v>1831</v>
      </c>
      <c r="I388" s="638">
        <v>1504</v>
      </c>
      <c r="J388" s="638">
        <v>0</v>
      </c>
      <c r="K388" s="639">
        <v>16</v>
      </c>
      <c r="L388" s="639">
        <f t="shared" si="203"/>
        <v>94</v>
      </c>
      <c r="M388" s="641">
        <v>45877</v>
      </c>
      <c r="N388" s="641">
        <v>45883</v>
      </c>
      <c r="O388" s="641"/>
      <c r="P388" s="642" t="s">
        <v>100</v>
      </c>
      <c r="Q388" s="643" t="s">
        <v>1843</v>
      </c>
      <c r="R388" s="642" t="s">
        <v>1832</v>
      </c>
      <c r="S388" s="641"/>
      <c r="T388" s="641"/>
      <c r="U388" s="642" t="s">
        <v>113</v>
      </c>
      <c r="V388" s="642" t="s">
        <v>1833</v>
      </c>
      <c r="W388" s="645"/>
      <c r="X388" s="647" t="s">
        <v>1834</v>
      </c>
      <c r="Y388" s="646" t="s">
        <v>220</v>
      </c>
      <c r="Z388" s="683">
        <v>1.5</v>
      </c>
      <c r="AA388" s="650">
        <f t="shared" si="192"/>
        <v>2256</v>
      </c>
      <c r="AB388" s="649">
        <v>1504</v>
      </c>
      <c r="AC388" s="649">
        <f t="shared" si="200"/>
        <v>0</v>
      </c>
      <c r="AD388" s="650" t="s">
        <v>106</v>
      </c>
      <c r="AE388" s="637" t="s">
        <v>1830</v>
      </c>
      <c r="AF388" s="646" t="s">
        <v>107</v>
      </c>
      <c r="AG388" s="652" t="s">
        <v>43</v>
      </c>
      <c r="AH388" s="646" t="s">
        <v>1848</v>
      </c>
      <c r="AI388" s="649"/>
      <c r="AJ388" s="649"/>
      <c r="AK388" s="649"/>
      <c r="AL388" s="649">
        <f>I388*2</f>
        <v>3008</v>
      </c>
      <c r="AM388" s="649"/>
      <c r="AN388" s="649"/>
      <c r="AO388" s="649"/>
      <c r="AP388" s="649"/>
      <c r="AQ388" s="653"/>
      <c r="AR388" s="649"/>
      <c r="AS388" s="649"/>
      <c r="AT388" s="649">
        <f>I388*2</f>
        <v>3008</v>
      </c>
      <c r="AU388" s="649"/>
      <c r="AV388" s="654"/>
      <c r="AW388" s="654"/>
      <c r="AX388" s="652"/>
      <c r="AY388" s="652"/>
      <c r="AZ388" s="654"/>
      <c r="BA388" s="652"/>
      <c r="BB388" s="652"/>
      <c r="BC388" s="654"/>
      <c r="BD388" s="654"/>
      <c r="BE388" s="654"/>
      <c r="BF388" s="654"/>
      <c r="BG388" s="652"/>
      <c r="BH388" s="652"/>
      <c r="BI388" s="654"/>
      <c r="BJ388" s="654"/>
      <c r="BK388" s="654"/>
      <c r="BL388" s="654"/>
      <c r="BM388" s="654"/>
      <c r="BN388" s="654"/>
      <c r="BO388" s="654"/>
      <c r="BP388" s="654"/>
      <c r="BQ388" s="654"/>
      <c r="BR388" s="654"/>
      <c r="BS388" s="654"/>
      <c r="BT388" s="654"/>
      <c r="BU388" s="654"/>
      <c r="BV388" s="654"/>
      <c r="BW388" s="645" t="s">
        <v>109</v>
      </c>
      <c r="BX388" s="658">
        <f>I388/4*2</f>
        <v>752</v>
      </c>
      <c r="BY388" s="658">
        <f>I388/4*2</f>
        <v>752</v>
      </c>
      <c r="BZ388" s="658">
        <f>I388/4*2</f>
        <v>752</v>
      </c>
      <c r="CA388" s="658">
        <f>I388/4*2</f>
        <v>752</v>
      </c>
      <c r="CB388" s="644">
        <f t="shared" si="205"/>
        <v>1504</v>
      </c>
      <c r="CC388" s="658"/>
      <c r="CD388" s="644">
        <f t="shared" si="201"/>
        <v>3008</v>
      </c>
      <c r="CE388" s="644">
        <f t="shared" si="206"/>
        <v>-1504</v>
      </c>
    </row>
    <row r="389" s="338" customFormat="1" ht="40" customHeight="1" spans="1:83">
      <c r="A389" s="632">
        <v>45833</v>
      </c>
      <c r="B389" s="633" t="s">
        <v>709</v>
      </c>
      <c r="C389" s="634" t="s">
        <v>247</v>
      </c>
      <c r="D389" s="635">
        <v>4500171263</v>
      </c>
      <c r="E389" s="659">
        <v>2465855</v>
      </c>
      <c r="F389" s="636" t="s">
        <v>1849</v>
      </c>
      <c r="G389" s="637" t="s">
        <v>111</v>
      </c>
      <c r="H389" s="637" t="s">
        <v>99</v>
      </c>
      <c r="I389" s="638">
        <v>1606</v>
      </c>
      <c r="J389" s="638">
        <v>0</v>
      </c>
      <c r="K389" s="639">
        <v>22</v>
      </c>
      <c r="L389" s="639">
        <f t="shared" si="203"/>
        <v>73</v>
      </c>
      <c r="M389" s="641">
        <v>45880</v>
      </c>
      <c r="N389" s="641">
        <v>45884</v>
      </c>
      <c r="O389" s="641"/>
      <c r="P389" s="642" t="s">
        <v>100</v>
      </c>
      <c r="Q389" s="643" t="s">
        <v>1850</v>
      </c>
      <c r="R389" s="642" t="s">
        <v>1505</v>
      </c>
      <c r="S389" s="641"/>
      <c r="T389" s="641"/>
      <c r="U389" s="642" t="s">
        <v>1851</v>
      </c>
      <c r="V389" s="677"/>
      <c r="W389" s="645"/>
      <c r="X389" s="647" t="s">
        <v>1852</v>
      </c>
      <c r="Y389" s="646" t="s">
        <v>253</v>
      </c>
      <c r="Z389" s="683">
        <v>2.7909</v>
      </c>
      <c r="AA389" s="650">
        <f t="shared" si="192"/>
        <v>4482.1854</v>
      </c>
      <c r="AB389" s="649">
        <v>1606</v>
      </c>
      <c r="AC389" s="649">
        <f t="shared" si="200"/>
        <v>0</v>
      </c>
      <c r="AD389" s="650" t="s">
        <v>123</v>
      </c>
      <c r="AE389" s="661" t="s">
        <v>111</v>
      </c>
      <c r="AF389" s="646" t="s">
        <v>107</v>
      </c>
      <c r="AG389" s="652" t="s">
        <v>43</v>
      </c>
      <c r="AH389" s="646"/>
      <c r="AI389" s="649"/>
      <c r="AJ389" s="649"/>
      <c r="AK389" s="649"/>
      <c r="AL389" s="652">
        <f>I389</f>
        <v>1606</v>
      </c>
      <c r="AM389" s="652"/>
      <c r="AN389" s="649"/>
      <c r="AO389" s="649"/>
      <c r="AP389" s="649"/>
      <c r="AQ389" s="653"/>
      <c r="AR389" s="649"/>
      <c r="AS389" s="649"/>
      <c r="AT389" s="649">
        <f>I389</f>
        <v>1606</v>
      </c>
      <c r="AU389" s="649"/>
      <c r="AV389" s="654"/>
      <c r="AW389" s="654"/>
      <c r="AX389" s="652">
        <f>I389/11</f>
        <v>146</v>
      </c>
      <c r="AY389" s="652"/>
      <c r="AZ389" s="654"/>
      <c r="BA389" s="652"/>
      <c r="BB389" s="652"/>
      <c r="BC389" s="654"/>
      <c r="BD389" s="654"/>
      <c r="BE389" s="654"/>
      <c r="BF389" s="654"/>
      <c r="BG389" s="652"/>
      <c r="BH389" s="652"/>
      <c r="BI389" s="654"/>
      <c r="BJ389" s="654"/>
      <c r="BK389" s="654"/>
      <c r="BL389" s="654"/>
      <c r="BM389" s="654"/>
      <c r="BN389" s="654"/>
      <c r="BO389" s="654"/>
      <c r="BP389" s="654"/>
      <c r="BQ389" s="654"/>
      <c r="BR389" s="654"/>
      <c r="BS389" s="654"/>
      <c r="BT389" s="654"/>
      <c r="BU389" s="654"/>
      <c r="BV389" s="654"/>
      <c r="BW389" s="645" t="s">
        <v>109</v>
      </c>
      <c r="BX389" s="658">
        <f>I389/22*5</f>
        <v>365</v>
      </c>
      <c r="BY389" s="658">
        <f>I389/22*6</f>
        <v>438</v>
      </c>
      <c r="BZ389" s="658">
        <f>I389/22*6</f>
        <v>438</v>
      </c>
      <c r="CA389" s="658">
        <f>I389/22*5</f>
        <v>365</v>
      </c>
      <c r="CB389" s="644">
        <f t="shared" si="205"/>
        <v>1606</v>
      </c>
      <c r="CC389" s="658">
        <f>I389/11</f>
        <v>146</v>
      </c>
      <c r="CD389" s="644">
        <f t="shared" si="201"/>
        <v>1606</v>
      </c>
      <c r="CE389" s="644">
        <f t="shared" si="206"/>
        <v>0</v>
      </c>
    </row>
    <row r="390" s="338" customFormat="1" ht="40" customHeight="1" spans="1:83">
      <c r="A390" s="632">
        <v>45839</v>
      </c>
      <c r="B390" s="633" t="s">
        <v>1853</v>
      </c>
      <c r="C390" s="634" t="s">
        <v>556</v>
      </c>
      <c r="D390" s="635">
        <v>4500172189</v>
      </c>
      <c r="E390" s="659">
        <v>4300063420</v>
      </c>
      <c r="F390" s="636" t="s">
        <v>1854</v>
      </c>
      <c r="G390" s="637" t="s">
        <v>111</v>
      </c>
      <c r="H390" s="637" t="s">
        <v>99</v>
      </c>
      <c r="I390" s="638">
        <v>660</v>
      </c>
      <c r="J390" s="638">
        <v>0</v>
      </c>
      <c r="K390" s="639">
        <v>22</v>
      </c>
      <c r="L390" s="639">
        <f t="shared" si="203"/>
        <v>30</v>
      </c>
      <c r="M390" s="641">
        <v>45877</v>
      </c>
      <c r="N390" s="641">
        <v>45880</v>
      </c>
      <c r="O390" s="641"/>
      <c r="P390" s="642" t="s">
        <v>100</v>
      </c>
      <c r="Q390" s="643" t="s">
        <v>1855</v>
      </c>
      <c r="R390" s="642" t="s">
        <v>1839</v>
      </c>
      <c r="S390" s="641"/>
      <c r="T390" s="641"/>
      <c r="U390" s="642" t="s">
        <v>113</v>
      </c>
      <c r="V390" s="677"/>
      <c r="W390" s="645"/>
      <c r="X390" s="647" t="s">
        <v>1856</v>
      </c>
      <c r="Y390" s="646" t="s">
        <v>1472</v>
      </c>
      <c r="Z390" s="683">
        <v>2.6965</v>
      </c>
      <c r="AA390" s="650">
        <f t="shared" si="192"/>
        <v>1779.69</v>
      </c>
      <c r="AB390" s="649">
        <v>660</v>
      </c>
      <c r="AC390" s="649">
        <f t="shared" si="200"/>
        <v>0</v>
      </c>
      <c r="AD390" s="650" t="s">
        <v>113</v>
      </c>
      <c r="AE390" s="661" t="s">
        <v>111</v>
      </c>
      <c r="AF390" s="646" t="s">
        <v>107</v>
      </c>
      <c r="AG390" s="652" t="s">
        <v>43</v>
      </c>
      <c r="AH390" s="646"/>
      <c r="AI390" s="649"/>
      <c r="AJ390" s="649"/>
      <c r="AK390" s="649"/>
      <c r="AL390" s="652">
        <f>I390</f>
        <v>660</v>
      </c>
      <c r="AM390" s="652"/>
      <c r="AN390" s="649"/>
      <c r="AO390" s="649"/>
      <c r="AP390" s="649"/>
      <c r="AQ390" s="653"/>
      <c r="AR390" s="649"/>
      <c r="AS390" s="649"/>
      <c r="AT390" s="649">
        <f t="shared" ref="AT390:AT395" si="208">I390</f>
        <v>660</v>
      </c>
      <c r="AU390" s="649"/>
      <c r="AV390" s="654"/>
      <c r="AW390" s="654"/>
      <c r="AX390" s="652">
        <f>I390/11</f>
        <v>60</v>
      </c>
      <c r="AY390" s="652"/>
      <c r="AZ390" s="654"/>
      <c r="BA390" s="652"/>
      <c r="BB390" s="652"/>
      <c r="BC390" s="654"/>
      <c r="BD390" s="654"/>
      <c r="BE390" s="654"/>
      <c r="BF390" s="654"/>
      <c r="BG390" s="652"/>
      <c r="BH390" s="652"/>
      <c r="BI390" s="654"/>
      <c r="BJ390" s="654"/>
      <c r="BK390" s="654"/>
      <c r="BL390" s="654"/>
      <c r="BM390" s="654"/>
      <c r="BN390" s="654"/>
      <c r="BO390" s="654"/>
      <c r="BP390" s="654"/>
      <c r="BQ390" s="654"/>
      <c r="BR390" s="654"/>
      <c r="BS390" s="654"/>
      <c r="BT390" s="654"/>
      <c r="BU390" s="654"/>
      <c r="BV390" s="654"/>
      <c r="BW390" s="645" t="s">
        <v>109</v>
      </c>
      <c r="BX390" s="658">
        <f>I390/22*5</f>
        <v>150</v>
      </c>
      <c r="BY390" s="658">
        <f>I390/22*6</f>
        <v>180</v>
      </c>
      <c r="BZ390" s="658">
        <f>I390/22*6</f>
        <v>180</v>
      </c>
      <c r="CA390" s="658">
        <f>I390/22*5</f>
        <v>150</v>
      </c>
      <c r="CB390" s="644">
        <f t="shared" si="205"/>
        <v>660</v>
      </c>
      <c r="CC390" s="658">
        <f>I390/11</f>
        <v>60</v>
      </c>
      <c r="CD390" s="644">
        <f t="shared" si="201"/>
        <v>660</v>
      </c>
      <c r="CE390" s="644">
        <f t="shared" si="206"/>
        <v>0</v>
      </c>
    </row>
    <row r="391" s="338" customFormat="1" ht="40" customHeight="1" spans="1:83">
      <c r="A391" s="632">
        <v>45848</v>
      </c>
      <c r="B391" s="633" t="s">
        <v>1857</v>
      </c>
      <c r="C391" s="634" t="s">
        <v>144</v>
      </c>
      <c r="D391" s="635">
        <v>4500173336</v>
      </c>
      <c r="E391" s="659" t="s">
        <v>1858</v>
      </c>
      <c r="F391" s="635" t="s">
        <v>1859</v>
      </c>
      <c r="G391" s="637" t="s">
        <v>111</v>
      </c>
      <c r="H391" s="637" t="s">
        <v>99</v>
      </c>
      <c r="I391" s="638">
        <v>3212</v>
      </c>
      <c r="J391" s="638">
        <v>0</v>
      </c>
      <c r="K391" s="639">
        <v>22</v>
      </c>
      <c r="L391" s="639">
        <f t="shared" si="203"/>
        <v>146</v>
      </c>
      <c r="M391" s="641">
        <v>45884</v>
      </c>
      <c r="N391" s="641">
        <v>45884</v>
      </c>
      <c r="O391" s="641"/>
      <c r="P391" s="642" t="s">
        <v>100</v>
      </c>
      <c r="Q391" s="643" t="s">
        <v>1860</v>
      </c>
      <c r="R391" s="642" t="s">
        <v>1861</v>
      </c>
      <c r="S391" s="641"/>
      <c r="T391" s="641"/>
      <c r="U391" s="642" t="s">
        <v>1862</v>
      </c>
      <c r="V391" s="677"/>
      <c r="W391" s="645"/>
      <c r="X391" s="647" t="s">
        <v>1863</v>
      </c>
      <c r="Y391" s="646" t="s">
        <v>1864</v>
      </c>
      <c r="Z391" s="683">
        <v>2.7064</v>
      </c>
      <c r="AA391" s="650">
        <f t="shared" si="192"/>
        <v>8692.9568</v>
      </c>
      <c r="AB391" s="649">
        <v>3212</v>
      </c>
      <c r="AC391" s="649">
        <f t="shared" si="200"/>
        <v>0</v>
      </c>
      <c r="AD391" s="650" t="s">
        <v>106</v>
      </c>
      <c r="AE391" s="637" t="s">
        <v>230</v>
      </c>
      <c r="AF391" s="646" t="s">
        <v>107</v>
      </c>
      <c r="AG391" s="652" t="s">
        <v>43</v>
      </c>
      <c r="AH391" s="646"/>
      <c r="AI391" s="649"/>
      <c r="AJ391" s="649"/>
      <c r="AK391" s="649"/>
      <c r="AL391" s="649"/>
      <c r="AM391" s="649"/>
      <c r="AN391" s="649"/>
      <c r="AO391" s="649">
        <f>I391</f>
        <v>3212</v>
      </c>
      <c r="AP391" s="649"/>
      <c r="AQ391" s="653"/>
      <c r="AR391" s="649"/>
      <c r="AS391" s="649"/>
      <c r="AT391" s="649">
        <f t="shared" si="208"/>
        <v>3212</v>
      </c>
      <c r="AU391" s="649"/>
      <c r="AV391" s="654"/>
      <c r="AW391" s="654"/>
      <c r="AX391" s="652"/>
      <c r="AY391" s="652"/>
      <c r="AZ391" s="654"/>
      <c r="BA391" s="652">
        <f>I391/11</f>
        <v>292</v>
      </c>
      <c r="BB391" s="652"/>
      <c r="BC391" s="654"/>
      <c r="BD391" s="654"/>
      <c r="BE391" s="654"/>
      <c r="BF391" s="654"/>
      <c r="BG391" s="652"/>
      <c r="BH391" s="652"/>
      <c r="BI391" s="654"/>
      <c r="BJ391" s="654"/>
      <c r="BK391" s="654"/>
      <c r="BL391" s="654"/>
      <c r="BM391" s="654"/>
      <c r="BN391" s="654"/>
      <c r="BO391" s="654"/>
      <c r="BP391" s="654"/>
      <c r="BQ391" s="654"/>
      <c r="BR391" s="654"/>
      <c r="BS391" s="654"/>
      <c r="BT391" s="654"/>
      <c r="BU391" s="654"/>
      <c r="BV391" s="654"/>
      <c r="BW391" s="645" t="s">
        <v>109</v>
      </c>
      <c r="BX391" s="658">
        <f>I391/22*5</f>
        <v>730</v>
      </c>
      <c r="BY391" s="658">
        <f>I391/22*6</f>
        <v>876</v>
      </c>
      <c r="BZ391" s="658">
        <f>I391/22*6</f>
        <v>876</v>
      </c>
      <c r="CA391" s="658">
        <f>I391/22*5</f>
        <v>730</v>
      </c>
      <c r="CB391" s="644">
        <f t="shared" si="205"/>
        <v>3212</v>
      </c>
      <c r="CC391" s="658">
        <f>I391/11</f>
        <v>292</v>
      </c>
      <c r="CD391" s="644">
        <f t="shared" si="201"/>
        <v>3212</v>
      </c>
      <c r="CE391" s="644">
        <f t="shared" si="206"/>
        <v>0</v>
      </c>
    </row>
    <row r="392" s="338" customFormat="1" ht="40" customHeight="1" spans="1:83">
      <c r="A392" s="632">
        <v>45841</v>
      </c>
      <c r="B392" s="633" t="s">
        <v>1865</v>
      </c>
      <c r="C392" s="634" t="s">
        <v>214</v>
      </c>
      <c r="D392" s="635">
        <v>4500171299</v>
      </c>
      <c r="E392" s="659" t="s">
        <v>1866</v>
      </c>
      <c r="F392" s="635" t="s">
        <v>1867</v>
      </c>
      <c r="G392" s="637" t="s">
        <v>98</v>
      </c>
      <c r="H392" s="637" t="s">
        <v>99</v>
      </c>
      <c r="I392" s="638">
        <v>1200</v>
      </c>
      <c r="J392" s="638">
        <v>0</v>
      </c>
      <c r="K392" s="639">
        <v>24</v>
      </c>
      <c r="L392" s="639">
        <f t="shared" si="203"/>
        <v>50</v>
      </c>
      <c r="M392" s="641">
        <v>45882</v>
      </c>
      <c r="N392" s="641">
        <v>45885</v>
      </c>
      <c r="O392" s="641"/>
      <c r="P392" s="642" t="s">
        <v>100</v>
      </c>
      <c r="Q392" s="643" t="s">
        <v>1868</v>
      </c>
      <c r="R392" s="642" t="s">
        <v>1808</v>
      </c>
      <c r="S392" s="641"/>
      <c r="T392" s="641"/>
      <c r="U392" s="642" t="s">
        <v>1869</v>
      </c>
      <c r="V392" s="677"/>
      <c r="W392" s="645"/>
      <c r="X392" s="647" t="s">
        <v>1870</v>
      </c>
      <c r="Y392" s="646" t="s">
        <v>1871</v>
      </c>
      <c r="Z392" s="648">
        <v>1.4998</v>
      </c>
      <c r="AA392" s="650">
        <f t="shared" si="192"/>
        <v>1799.76</v>
      </c>
      <c r="AB392" s="649">
        <v>1200</v>
      </c>
      <c r="AC392" s="649">
        <f t="shared" si="200"/>
        <v>0</v>
      </c>
      <c r="AD392" s="650" t="s">
        <v>106</v>
      </c>
      <c r="AE392" s="637" t="s">
        <v>98</v>
      </c>
      <c r="AF392" s="646" t="s">
        <v>107</v>
      </c>
      <c r="AG392" s="652" t="s">
        <v>43</v>
      </c>
      <c r="AH392" s="646"/>
      <c r="AI392" s="649"/>
      <c r="AJ392" s="649"/>
      <c r="AK392" s="649"/>
      <c r="AL392" s="652">
        <f>I392</f>
        <v>1200</v>
      </c>
      <c r="AM392" s="652"/>
      <c r="AN392" s="649"/>
      <c r="AO392" s="649"/>
      <c r="AP392" s="649"/>
      <c r="AQ392" s="653"/>
      <c r="AR392" s="649"/>
      <c r="AS392" s="649"/>
      <c r="AT392" s="649">
        <f t="shared" si="208"/>
        <v>1200</v>
      </c>
      <c r="AU392" s="649"/>
      <c r="AV392" s="654"/>
      <c r="AW392" s="654"/>
      <c r="AX392" s="652"/>
      <c r="AY392" s="652"/>
      <c r="AZ392" s="654"/>
      <c r="BA392" s="652"/>
      <c r="BB392" s="652"/>
      <c r="BC392" s="654"/>
      <c r="BD392" s="654"/>
      <c r="BE392" s="654"/>
      <c r="BF392" s="654"/>
      <c r="BG392" s="652"/>
      <c r="BH392" s="652"/>
      <c r="BI392" s="654"/>
      <c r="BJ392" s="654"/>
      <c r="BK392" s="654"/>
      <c r="BL392" s="654"/>
      <c r="BM392" s="654"/>
      <c r="BN392" s="654"/>
      <c r="BO392" s="654"/>
      <c r="BP392" s="654"/>
      <c r="BQ392" s="654"/>
      <c r="BR392" s="654"/>
      <c r="BS392" s="654"/>
      <c r="BT392" s="654"/>
      <c r="BU392" s="654"/>
      <c r="BV392" s="654"/>
      <c r="BW392" s="645" t="s">
        <v>109</v>
      </c>
      <c r="BX392" s="658">
        <f>I392/4</f>
        <v>300</v>
      </c>
      <c r="BY392" s="658">
        <f>I392/4</f>
        <v>300</v>
      </c>
      <c r="BZ392" s="658">
        <f>I392/4</f>
        <v>300</v>
      </c>
      <c r="CA392" s="658">
        <f>I392/4</f>
        <v>300</v>
      </c>
      <c r="CB392" s="644">
        <f t="shared" si="205"/>
        <v>1200</v>
      </c>
      <c r="CC392" s="658"/>
      <c r="CD392" s="644">
        <f t="shared" si="201"/>
        <v>1200</v>
      </c>
      <c r="CE392" s="644">
        <f t="shared" si="206"/>
        <v>0</v>
      </c>
    </row>
    <row r="393" s="338" customFormat="1" ht="40" customHeight="1" spans="1:83">
      <c r="A393" s="632">
        <v>45845</v>
      </c>
      <c r="B393" s="633" t="s">
        <v>646</v>
      </c>
      <c r="C393" s="634" t="s">
        <v>247</v>
      </c>
      <c r="D393" s="635">
        <v>4500172944</v>
      </c>
      <c r="E393" s="659">
        <v>20977415</v>
      </c>
      <c r="F393" s="636" t="s">
        <v>1872</v>
      </c>
      <c r="G393" s="637" t="s">
        <v>648</v>
      </c>
      <c r="H393" s="637" t="s">
        <v>99</v>
      </c>
      <c r="I393" s="638">
        <v>1458</v>
      </c>
      <c r="J393" s="638">
        <v>0</v>
      </c>
      <c r="K393" s="639">
        <v>6</v>
      </c>
      <c r="L393" s="639">
        <f t="shared" si="203"/>
        <v>243</v>
      </c>
      <c r="M393" s="641">
        <v>45887</v>
      </c>
      <c r="N393" s="641">
        <v>45883</v>
      </c>
      <c r="O393" s="641"/>
      <c r="P393" s="642" t="s">
        <v>100</v>
      </c>
      <c r="Q393" s="643" t="s">
        <v>1873</v>
      </c>
      <c r="R393" s="642" t="s">
        <v>1874</v>
      </c>
      <c r="S393" s="641"/>
      <c r="T393" s="641"/>
      <c r="U393" s="642" t="s">
        <v>1875</v>
      </c>
      <c r="V393" s="677"/>
      <c r="W393" s="645"/>
      <c r="X393" s="647" t="s">
        <v>1744</v>
      </c>
      <c r="Y393" s="646" t="s">
        <v>653</v>
      </c>
      <c r="Z393" s="648">
        <v>2.6851</v>
      </c>
      <c r="AA393" s="650">
        <f t="shared" si="192"/>
        <v>3914.8758</v>
      </c>
      <c r="AB393" s="649">
        <v>1458</v>
      </c>
      <c r="AC393" s="649">
        <f t="shared" si="200"/>
        <v>0</v>
      </c>
      <c r="AD393" s="650" t="s">
        <v>106</v>
      </c>
      <c r="AE393" s="637" t="s">
        <v>648</v>
      </c>
      <c r="AF393" s="646" t="s">
        <v>107</v>
      </c>
      <c r="AG393" s="652" t="s">
        <v>43</v>
      </c>
      <c r="AH393" s="646"/>
      <c r="AI393" s="649"/>
      <c r="AJ393" s="649"/>
      <c r="AK393" s="649"/>
      <c r="AL393" s="652">
        <f>I393</f>
        <v>1458</v>
      </c>
      <c r="AM393" s="652"/>
      <c r="AN393" s="649"/>
      <c r="AO393" s="649"/>
      <c r="AP393" s="649"/>
      <c r="AQ393" s="653"/>
      <c r="AR393" s="649"/>
      <c r="AS393" s="649"/>
      <c r="AT393" s="649">
        <f t="shared" si="208"/>
        <v>1458</v>
      </c>
      <c r="AU393" s="649"/>
      <c r="AV393" s="654"/>
      <c r="AW393" s="654"/>
      <c r="AX393" s="652"/>
      <c r="AY393" s="652"/>
      <c r="AZ393" s="654"/>
      <c r="BA393" s="652"/>
      <c r="BB393" s="652"/>
      <c r="BC393" s="654"/>
      <c r="BD393" s="654"/>
      <c r="BE393" s="652">
        <f>I393/6</f>
        <v>243</v>
      </c>
      <c r="BF393" s="654"/>
      <c r="BG393" s="652"/>
      <c r="BH393" s="652"/>
      <c r="BI393" s="654"/>
      <c r="BJ393" s="654"/>
      <c r="BK393" s="654"/>
      <c r="BL393" s="654"/>
      <c r="BM393" s="654"/>
      <c r="BN393" s="654"/>
      <c r="BO393" s="654"/>
      <c r="BP393" s="654"/>
      <c r="BQ393" s="654"/>
      <c r="BR393" s="654"/>
      <c r="BS393" s="654"/>
      <c r="BT393" s="654"/>
      <c r="BU393" s="654"/>
      <c r="BV393" s="654"/>
      <c r="BW393" s="645" t="s">
        <v>109</v>
      </c>
      <c r="BX393" s="658">
        <f>I393/4</f>
        <v>364.5</v>
      </c>
      <c r="BY393" s="658">
        <f>I393/4</f>
        <v>364.5</v>
      </c>
      <c r="BZ393" s="658">
        <f>I393/4</f>
        <v>364.5</v>
      </c>
      <c r="CA393" s="658">
        <f>I393/4</f>
        <v>364.5</v>
      </c>
      <c r="CB393" s="644">
        <f t="shared" si="205"/>
        <v>1458</v>
      </c>
      <c r="CC393" s="658"/>
      <c r="CD393" s="644">
        <f t="shared" si="201"/>
        <v>1458</v>
      </c>
      <c r="CE393" s="644">
        <f t="shared" si="206"/>
        <v>0</v>
      </c>
    </row>
    <row r="394" s="338" customFormat="1" ht="40" customHeight="1" spans="1:83">
      <c r="A394" s="632">
        <v>45845</v>
      </c>
      <c r="B394" s="633" t="s">
        <v>896</v>
      </c>
      <c r="C394" s="634" t="s">
        <v>267</v>
      </c>
      <c r="D394" s="635">
        <v>4500172946</v>
      </c>
      <c r="E394" s="659">
        <v>20977416</v>
      </c>
      <c r="F394" s="636" t="s">
        <v>1876</v>
      </c>
      <c r="G394" s="637" t="s">
        <v>648</v>
      </c>
      <c r="H394" s="637" t="s">
        <v>99</v>
      </c>
      <c r="I394" s="638">
        <v>42</v>
      </c>
      <c r="J394" s="638">
        <v>0</v>
      </c>
      <c r="K394" s="639">
        <v>6</v>
      </c>
      <c r="L394" s="639">
        <f t="shared" si="203"/>
        <v>7</v>
      </c>
      <c r="M394" s="641">
        <v>45887</v>
      </c>
      <c r="N394" s="641">
        <v>45883</v>
      </c>
      <c r="O394" s="641"/>
      <c r="P394" s="642" t="s">
        <v>100</v>
      </c>
      <c r="Q394" s="643" t="s">
        <v>1873</v>
      </c>
      <c r="R394" s="642" t="s">
        <v>1874</v>
      </c>
      <c r="S394" s="641"/>
      <c r="T394" s="641"/>
      <c r="U394" s="642" t="s">
        <v>1875</v>
      </c>
      <c r="V394" s="677"/>
      <c r="W394" s="645"/>
      <c r="X394" s="647" t="s">
        <v>1877</v>
      </c>
      <c r="Y394" s="646" t="s">
        <v>653</v>
      </c>
      <c r="Z394" s="648">
        <v>2.699</v>
      </c>
      <c r="AA394" s="650">
        <f t="shared" si="192"/>
        <v>113.358</v>
      </c>
      <c r="AB394" s="649">
        <v>42</v>
      </c>
      <c r="AC394" s="649">
        <f t="shared" si="200"/>
        <v>0</v>
      </c>
      <c r="AD394" s="650" t="s">
        <v>106</v>
      </c>
      <c r="AE394" s="637" t="s">
        <v>648</v>
      </c>
      <c r="AF394" s="646" t="s">
        <v>107</v>
      </c>
      <c r="AG394" s="652" t="s">
        <v>43</v>
      </c>
      <c r="AH394" s="646"/>
      <c r="AI394" s="649"/>
      <c r="AJ394" s="649"/>
      <c r="AK394" s="649"/>
      <c r="AL394" s="652">
        <f>I394</f>
        <v>42</v>
      </c>
      <c r="AM394" s="652"/>
      <c r="AN394" s="649"/>
      <c r="AO394" s="649"/>
      <c r="AP394" s="649"/>
      <c r="AQ394" s="653"/>
      <c r="AR394" s="649"/>
      <c r="AS394" s="649"/>
      <c r="AT394" s="649">
        <f t="shared" si="208"/>
        <v>42</v>
      </c>
      <c r="AU394" s="649"/>
      <c r="AV394" s="654"/>
      <c r="AW394" s="654"/>
      <c r="AX394" s="652"/>
      <c r="AY394" s="652"/>
      <c r="AZ394" s="654"/>
      <c r="BA394" s="652"/>
      <c r="BB394" s="652"/>
      <c r="BC394" s="654"/>
      <c r="BD394" s="654"/>
      <c r="BE394" s="652">
        <f>I394/6</f>
        <v>7</v>
      </c>
      <c r="BF394" s="654"/>
      <c r="BG394" s="652"/>
      <c r="BH394" s="652"/>
      <c r="BI394" s="654"/>
      <c r="BJ394" s="654"/>
      <c r="BK394" s="654"/>
      <c r="BL394" s="654"/>
      <c r="BM394" s="654"/>
      <c r="BN394" s="654"/>
      <c r="BO394" s="654"/>
      <c r="BP394" s="654"/>
      <c r="BQ394" s="654"/>
      <c r="BR394" s="654"/>
      <c r="BS394" s="654"/>
      <c r="BT394" s="654"/>
      <c r="BU394" s="654"/>
      <c r="BV394" s="654"/>
      <c r="BW394" s="645" t="s">
        <v>109</v>
      </c>
      <c r="BX394" s="658">
        <f>I394/4</f>
        <v>10.5</v>
      </c>
      <c r="BY394" s="658">
        <f>I394/4</f>
        <v>10.5</v>
      </c>
      <c r="BZ394" s="658">
        <f>I394/4</f>
        <v>10.5</v>
      </c>
      <c r="CA394" s="658">
        <f>I394/4</f>
        <v>10.5</v>
      </c>
      <c r="CB394" s="644">
        <f t="shared" si="205"/>
        <v>42</v>
      </c>
      <c r="CC394" s="658"/>
      <c r="CD394" s="644">
        <f t="shared" si="201"/>
        <v>42</v>
      </c>
      <c r="CE394" s="644">
        <f t="shared" si="206"/>
        <v>0</v>
      </c>
    </row>
    <row r="395" s="338" customFormat="1" ht="40" customHeight="1" spans="1:83">
      <c r="A395" s="632">
        <v>45825</v>
      </c>
      <c r="B395" s="633" t="s">
        <v>1501</v>
      </c>
      <c r="C395" s="634" t="s">
        <v>1502</v>
      </c>
      <c r="D395" s="635">
        <v>4500170226</v>
      </c>
      <c r="E395" s="659"/>
      <c r="F395" s="636" t="s">
        <v>1878</v>
      </c>
      <c r="G395" s="637" t="s">
        <v>98</v>
      </c>
      <c r="H395" s="637" t="s">
        <v>99</v>
      </c>
      <c r="I395" s="638">
        <v>1008</v>
      </c>
      <c r="J395" s="638">
        <v>0</v>
      </c>
      <c r="K395" s="639">
        <v>24</v>
      </c>
      <c r="L395" s="639">
        <f t="shared" si="203"/>
        <v>42</v>
      </c>
      <c r="M395" s="641">
        <v>45887</v>
      </c>
      <c r="N395" s="641">
        <v>45883</v>
      </c>
      <c r="O395" s="641"/>
      <c r="P395" s="642" t="s">
        <v>100</v>
      </c>
      <c r="Q395" s="643" t="s">
        <v>1879</v>
      </c>
      <c r="R395" s="642" t="s">
        <v>1505</v>
      </c>
      <c r="S395" s="642"/>
      <c r="T395" s="642"/>
      <c r="U395" s="642" t="s">
        <v>1506</v>
      </c>
      <c r="V395" s="642"/>
      <c r="W395" s="645"/>
      <c r="X395" s="647" t="s">
        <v>1507</v>
      </c>
      <c r="Y395" s="646" t="s">
        <v>906</v>
      </c>
      <c r="Z395" s="648">
        <v>2.474</v>
      </c>
      <c r="AA395" s="650">
        <f t="shared" si="192"/>
        <v>2493.792</v>
      </c>
      <c r="AB395" s="649">
        <v>1008</v>
      </c>
      <c r="AC395" s="649">
        <f t="shared" si="200"/>
        <v>0</v>
      </c>
      <c r="AD395" s="650" t="s">
        <v>106</v>
      </c>
      <c r="AE395" s="637" t="s">
        <v>98</v>
      </c>
      <c r="AF395" s="646" t="s">
        <v>107</v>
      </c>
      <c r="AG395" s="652" t="s">
        <v>43</v>
      </c>
      <c r="AH395" s="646"/>
      <c r="AI395" s="649"/>
      <c r="AJ395" s="649"/>
      <c r="AK395" s="649"/>
      <c r="AL395" s="652">
        <f>I395</f>
        <v>1008</v>
      </c>
      <c r="AM395" s="652"/>
      <c r="AN395" s="649"/>
      <c r="AO395" s="649"/>
      <c r="AP395" s="649"/>
      <c r="AQ395" s="653"/>
      <c r="AR395" s="649"/>
      <c r="AS395" s="649"/>
      <c r="AT395" s="649">
        <f t="shared" si="208"/>
        <v>1008</v>
      </c>
      <c r="AU395" s="649"/>
      <c r="AV395" s="654"/>
      <c r="AW395" s="654"/>
      <c r="AX395" s="652"/>
      <c r="AY395" s="652"/>
      <c r="AZ395" s="654"/>
      <c r="BA395" s="652"/>
      <c r="BB395" s="652"/>
      <c r="BC395" s="654"/>
      <c r="BD395" s="654"/>
      <c r="BE395" s="654"/>
      <c r="BF395" s="654"/>
      <c r="BG395" s="652"/>
      <c r="BH395" s="652"/>
      <c r="BI395" s="654"/>
      <c r="BJ395" s="654"/>
      <c r="BK395" s="654"/>
      <c r="BL395" s="654"/>
      <c r="BM395" s="654"/>
      <c r="BN395" s="654"/>
      <c r="BO395" s="654"/>
      <c r="BP395" s="654"/>
      <c r="BQ395" s="654"/>
      <c r="BR395" s="654"/>
      <c r="BS395" s="654"/>
      <c r="BT395" s="654"/>
      <c r="BU395" s="654"/>
      <c r="BV395" s="654"/>
      <c r="BW395" s="645" t="s">
        <v>109</v>
      </c>
      <c r="BX395" s="658">
        <f>I395/4</f>
        <v>252</v>
      </c>
      <c r="BY395" s="658">
        <f>I395/4</f>
        <v>252</v>
      </c>
      <c r="BZ395" s="658">
        <f>I395/4</f>
        <v>252</v>
      </c>
      <c r="CA395" s="658">
        <f>I395/4</f>
        <v>252</v>
      </c>
      <c r="CB395" s="644">
        <f t="shared" si="205"/>
        <v>1008</v>
      </c>
      <c r="CC395" s="658"/>
      <c r="CD395" s="644">
        <f t="shared" si="201"/>
        <v>1008</v>
      </c>
      <c r="CE395" s="644">
        <f t="shared" si="206"/>
        <v>0</v>
      </c>
    </row>
    <row r="396" s="338" customFormat="1" ht="40" customHeight="1" spans="1:83">
      <c r="A396" s="632">
        <v>45840</v>
      </c>
      <c r="B396" s="633" t="s">
        <v>973</v>
      </c>
      <c r="C396" s="634" t="s">
        <v>214</v>
      </c>
      <c r="D396" s="635">
        <v>4500172388</v>
      </c>
      <c r="E396" s="659">
        <v>60236860</v>
      </c>
      <c r="F396" s="636" t="s">
        <v>1880</v>
      </c>
      <c r="G396" s="637" t="s">
        <v>1830</v>
      </c>
      <c r="H396" s="637" t="s">
        <v>1831</v>
      </c>
      <c r="I396" s="638">
        <v>1504</v>
      </c>
      <c r="J396" s="638">
        <v>0</v>
      </c>
      <c r="K396" s="639">
        <v>16</v>
      </c>
      <c r="L396" s="639">
        <f t="shared" si="203"/>
        <v>94</v>
      </c>
      <c r="M396" s="641">
        <v>45889</v>
      </c>
      <c r="N396" s="641">
        <v>45885</v>
      </c>
      <c r="O396" s="641"/>
      <c r="P396" s="642" t="s">
        <v>100</v>
      </c>
      <c r="Q396" s="643"/>
      <c r="R396" s="642" t="s">
        <v>1881</v>
      </c>
      <c r="S396" s="641"/>
      <c r="T396" s="641"/>
      <c r="U396" s="642" t="s">
        <v>113</v>
      </c>
      <c r="V396" s="642" t="s">
        <v>1882</v>
      </c>
      <c r="W396" s="645"/>
      <c r="X396" s="647" t="s">
        <v>1834</v>
      </c>
      <c r="Y396" s="646" t="s">
        <v>220</v>
      </c>
      <c r="Z396" s="683">
        <v>1.5</v>
      </c>
      <c r="AA396" s="650">
        <f t="shared" si="192"/>
        <v>2256</v>
      </c>
      <c r="AB396" s="649">
        <v>1504</v>
      </c>
      <c r="AC396" s="649">
        <f t="shared" si="200"/>
        <v>0</v>
      </c>
      <c r="AD396" s="650" t="s">
        <v>106</v>
      </c>
      <c r="AE396" s="637" t="s">
        <v>1830</v>
      </c>
      <c r="AF396" s="646" t="s">
        <v>107</v>
      </c>
      <c r="AG396" s="652" t="s">
        <v>43</v>
      </c>
      <c r="AH396" s="646"/>
      <c r="AI396" s="649"/>
      <c r="AJ396" s="649"/>
      <c r="AK396" s="649"/>
      <c r="AL396" s="649">
        <f>I396*2</f>
        <v>3008</v>
      </c>
      <c r="AM396" s="649"/>
      <c r="AN396" s="649"/>
      <c r="AO396" s="649"/>
      <c r="AP396" s="649"/>
      <c r="AQ396" s="653"/>
      <c r="AR396" s="649"/>
      <c r="AS396" s="649"/>
      <c r="AT396" s="649">
        <f>I396*2</f>
        <v>3008</v>
      </c>
      <c r="AU396" s="649"/>
      <c r="AV396" s="654"/>
      <c r="AW396" s="654"/>
      <c r="AX396" s="652"/>
      <c r="AY396" s="652"/>
      <c r="AZ396" s="654"/>
      <c r="BA396" s="652"/>
      <c r="BB396" s="652"/>
      <c r="BC396" s="654"/>
      <c r="BD396" s="654"/>
      <c r="BE396" s="654"/>
      <c r="BF396" s="654"/>
      <c r="BG396" s="652"/>
      <c r="BH396" s="652"/>
      <c r="BI396" s="654"/>
      <c r="BJ396" s="654"/>
      <c r="BK396" s="654"/>
      <c r="BL396" s="654"/>
      <c r="BM396" s="654"/>
      <c r="BN396" s="654"/>
      <c r="BO396" s="654"/>
      <c r="BP396" s="654"/>
      <c r="BQ396" s="654"/>
      <c r="BR396" s="654"/>
      <c r="BS396" s="654"/>
      <c r="BT396" s="654"/>
      <c r="BU396" s="654"/>
      <c r="BV396" s="654"/>
      <c r="BW396" s="645" t="s">
        <v>109</v>
      </c>
      <c r="BX396" s="658">
        <f>I396/4*2</f>
        <v>752</v>
      </c>
      <c r="BY396" s="658">
        <f>I396/4*2</f>
        <v>752</v>
      </c>
      <c r="BZ396" s="658">
        <f>I396/4*2</f>
        <v>752</v>
      </c>
      <c r="CA396" s="658">
        <f>I396/4*2</f>
        <v>752</v>
      </c>
      <c r="CB396" s="644">
        <f t="shared" si="205"/>
        <v>1504</v>
      </c>
      <c r="CC396" s="658"/>
      <c r="CD396" s="644">
        <f t="shared" si="201"/>
        <v>3008</v>
      </c>
      <c r="CE396" s="644">
        <f t="shared" si="206"/>
        <v>-1504</v>
      </c>
    </row>
    <row r="397" s="338" customFormat="1" ht="40" customHeight="1" spans="1:83">
      <c r="A397" s="632">
        <v>45840</v>
      </c>
      <c r="B397" s="633" t="s">
        <v>973</v>
      </c>
      <c r="C397" s="634" t="s">
        <v>214</v>
      </c>
      <c r="D397" s="635">
        <v>4500172382</v>
      </c>
      <c r="E397" s="659">
        <v>60236645</v>
      </c>
      <c r="F397" s="636" t="s">
        <v>1883</v>
      </c>
      <c r="G397" s="637" t="s">
        <v>1830</v>
      </c>
      <c r="H397" s="637" t="s">
        <v>1831</v>
      </c>
      <c r="I397" s="638">
        <v>1504</v>
      </c>
      <c r="J397" s="638">
        <v>0</v>
      </c>
      <c r="K397" s="639">
        <v>16</v>
      </c>
      <c r="L397" s="639">
        <f t="shared" si="203"/>
        <v>94</v>
      </c>
      <c r="M397" s="641">
        <v>45889</v>
      </c>
      <c r="N397" s="641">
        <v>45885</v>
      </c>
      <c r="O397" s="641"/>
      <c r="P397" s="642" t="s">
        <v>100</v>
      </c>
      <c r="Q397" s="643"/>
      <c r="R397" s="642" t="s">
        <v>1881</v>
      </c>
      <c r="S397" s="641"/>
      <c r="T397" s="641"/>
      <c r="U397" s="642" t="s">
        <v>113</v>
      </c>
      <c r="V397" s="642" t="s">
        <v>1882</v>
      </c>
      <c r="W397" s="645"/>
      <c r="X397" s="647" t="s">
        <v>1834</v>
      </c>
      <c r="Y397" s="646" t="s">
        <v>220</v>
      </c>
      <c r="Z397" s="683">
        <v>1.5</v>
      </c>
      <c r="AA397" s="650">
        <f t="shared" si="192"/>
        <v>2256</v>
      </c>
      <c r="AB397" s="649">
        <v>1504</v>
      </c>
      <c r="AC397" s="649">
        <f t="shared" si="200"/>
        <v>0</v>
      </c>
      <c r="AD397" s="650" t="s">
        <v>106</v>
      </c>
      <c r="AE397" s="637" t="s">
        <v>1830</v>
      </c>
      <c r="AF397" s="646" t="s">
        <v>107</v>
      </c>
      <c r="AG397" s="652" t="s">
        <v>43</v>
      </c>
      <c r="AH397" s="646"/>
      <c r="AI397" s="649"/>
      <c r="AJ397" s="649"/>
      <c r="AK397" s="649"/>
      <c r="AL397" s="649">
        <f>I397*2</f>
        <v>3008</v>
      </c>
      <c r="AM397" s="649"/>
      <c r="AN397" s="649"/>
      <c r="AO397" s="649"/>
      <c r="AP397" s="649"/>
      <c r="AQ397" s="653"/>
      <c r="AR397" s="649"/>
      <c r="AS397" s="649"/>
      <c r="AT397" s="649">
        <f>I397*2</f>
        <v>3008</v>
      </c>
      <c r="AU397" s="649"/>
      <c r="AV397" s="654"/>
      <c r="AW397" s="654"/>
      <c r="AX397" s="652"/>
      <c r="AY397" s="652"/>
      <c r="AZ397" s="654"/>
      <c r="BA397" s="652"/>
      <c r="BB397" s="652"/>
      <c r="BC397" s="654"/>
      <c r="BD397" s="654"/>
      <c r="BE397" s="654"/>
      <c r="BF397" s="654"/>
      <c r="BG397" s="652"/>
      <c r="BH397" s="652"/>
      <c r="BI397" s="654"/>
      <c r="BJ397" s="654"/>
      <c r="BK397" s="654"/>
      <c r="BL397" s="654"/>
      <c r="BM397" s="654"/>
      <c r="BN397" s="654"/>
      <c r="BO397" s="654"/>
      <c r="BP397" s="654"/>
      <c r="BQ397" s="654"/>
      <c r="BR397" s="654"/>
      <c r="BS397" s="654"/>
      <c r="BT397" s="654"/>
      <c r="BU397" s="654"/>
      <c r="BV397" s="654"/>
      <c r="BW397" s="645" t="s">
        <v>109</v>
      </c>
      <c r="BX397" s="658">
        <f>I397/4*2</f>
        <v>752</v>
      </c>
      <c r="BY397" s="658">
        <f>I397/4*2</f>
        <v>752</v>
      </c>
      <c r="BZ397" s="658">
        <f>I397/4*2</f>
        <v>752</v>
      </c>
      <c r="CA397" s="658">
        <f>I397/4*2</f>
        <v>752</v>
      </c>
      <c r="CB397" s="644">
        <f t="shared" si="205"/>
        <v>1504</v>
      </c>
      <c r="CC397" s="658"/>
      <c r="CD397" s="644">
        <f t="shared" si="201"/>
        <v>3008</v>
      </c>
      <c r="CE397" s="644">
        <f t="shared" si="206"/>
        <v>-1504</v>
      </c>
    </row>
    <row r="398" s="338" customFormat="1" ht="40" customHeight="1" spans="1:83">
      <c r="A398" s="632">
        <v>45845</v>
      </c>
      <c r="B398" s="633" t="s">
        <v>1884</v>
      </c>
      <c r="C398" s="634" t="s">
        <v>214</v>
      </c>
      <c r="D398" s="635">
        <v>4500172984</v>
      </c>
      <c r="E398" s="659">
        <v>70072787</v>
      </c>
      <c r="F398" s="636" t="s">
        <v>1885</v>
      </c>
      <c r="G398" s="637" t="s">
        <v>111</v>
      </c>
      <c r="H398" s="637" t="s">
        <v>99</v>
      </c>
      <c r="I398" s="638">
        <v>616</v>
      </c>
      <c r="J398" s="638">
        <v>0</v>
      </c>
      <c r="K398" s="639">
        <v>22</v>
      </c>
      <c r="L398" s="639">
        <f t="shared" si="203"/>
        <v>28</v>
      </c>
      <c r="M398" s="641">
        <v>45889</v>
      </c>
      <c r="N398" s="641">
        <v>45885</v>
      </c>
      <c r="O398" s="641"/>
      <c r="P398" s="642" t="s">
        <v>100</v>
      </c>
      <c r="Q398" s="643" t="s">
        <v>1886</v>
      </c>
      <c r="R398" s="642" t="s">
        <v>1881</v>
      </c>
      <c r="S398" s="641"/>
      <c r="T398" s="641"/>
      <c r="U398" s="642" t="s">
        <v>113</v>
      </c>
      <c r="V398" s="642" t="s">
        <v>1887</v>
      </c>
      <c r="W398" s="645"/>
      <c r="X398" s="647" t="s">
        <v>1834</v>
      </c>
      <c r="Y398" s="646" t="s">
        <v>220</v>
      </c>
      <c r="Z398" s="683">
        <v>1.6387</v>
      </c>
      <c r="AA398" s="650">
        <f t="shared" si="192"/>
        <v>1009.4392</v>
      </c>
      <c r="AB398" s="649">
        <v>616</v>
      </c>
      <c r="AC398" s="649">
        <f t="shared" si="200"/>
        <v>0</v>
      </c>
      <c r="AD398" s="692" t="s">
        <v>123</v>
      </c>
      <c r="AE398" s="637" t="s">
        <v>111</v>
      </c>
      <c r="AF398" s="646" t="s">
        <v>107</v>
      </c>
      <c r="AG398" s="652" t="s">
        <v>43</v>
      </c>
      <c r="AH398" s="646"/>
      <c r="AI398" s="649"/>
      <c r="AJ398" s="649"/>
      <c r="AK398" s="649"/>
      <c r="AL398" s="649">
        <f>I398</f>
        <v>616</v>
      </c>
      <c r="AM398" s="649"/>
      <c r="AN398" s="649"/>
      <c r="AO398" s="649"/>
      <c r="AP398" s="649"/>
      <c r="AQ398" s="653"/>
      <c r="AR398" s="649"/>
      <c r="AS398" s="649"/>
      <c r="AT398" s="649">
        <f t="shared" ref="AT398:AT418" si="209">I398</f>
        <v>616</v>
      </c>
      <c r="AU398" s="649"/>
      <c r="AV398" s="654"/>
      <c r="AW398" s="654"/>
      <c r="AX398" s="652">
        <f>I398/11</f>
        <v>56</v>
      </c>
      <c r="AY398" s="652"/>
      <c r="AZ398" s="654"/>
      <c r="BA398" s="652"/>
      <c r="BB398" s="652"/>
      <c r="BC398" s="654"/>
      <c r="BD398" s="654"/>
      <c r="BE398" s="654"/>
      <c r="BF398" s="654"/>
      <c r="BG398" s="652"/>
      <c r="BH398" s="652"/>
      <c r="BI398" s="654"/>
      <c r="BJ398" s="654"/>
      <c r="BK398" s="654"/>
      <c r="BL398" s="654"/>
      <c r="BM398" s="654"/>
      <c r="BN398" s="654"/>
      <c r="BO398" s="654"/>
      <c r="BP398" s="654"/>
      <c r="BQ398" s="654"/>
      <c r="BR398" s="654"/>
      <c r="BS398" s="654"/>
      <c r="BT398" s="654"/>
      <c r="BU398" s="654"/>
      <c r="BV398" s="654"/>
      <c r="BW398" s="645" t="s">
        <v>109</v>
      </c>
      <c r="BX398" s="658">
        <f>I398/22*5</f>
        <v>140</v>
      </c>
      <c r="BY398" s="658">
        <f>I398/22*6</f>
        <v>168</v>
      </c>
      <c r="BZ398" s="658">
        <f>I398/22*6</f>
        <v>168</v>
      </c>
      <c r="CA398" s="658">
        <f>I398/22*5</f>
        <v>140</v>
      </c>
      <c r="CB398" s="644">
        <f t="shared" si="205"/>
        <v>616</v>
      </c>
      <c r="CC398" s="658">
        <f>I398/11</f>
        <v>56</v>
      </c>
      <c r="CD398" s="644">
        <f t="shared" si="201"/>
        <v>616</v>
      </c>
      <c r="CE398" s="644">
        <f t="shared" si="206"/>
        <v>0</v>
      </c>
    </row>
    <row r="399" s="338" customFormat="1" ht="40" customHeight="1" spans="1:83">
      <c r="A399" s="632">
        <v>45853</v>
      </c>
      <c r="B399" s="633" t="s">
        <v>1888</v>
      </c>
      <c r="C399" s="634" t="s">
        <v>144</v>
      </c>
      <c r="D399" s="635">
        <v>4500173920</v>
      </c>
      <c r="E399" s="659">
        <v>5200007264</v>
      </c>
      <c r="F399" s="635" t="s">
        <v>1889</v>
      </c>
      <c r="G399" s="637" t="s">
        <v>774</v>
      </c>
      <c r="H399" s="637" t="s">
        <v>99</v>
      </c>
      <c r="I399" s="638">
        <v>2420</v>
      </c>
      <c r="J399" s="638">
        <v>0</v>
      </c>
      <c r="K399" s="639">
        <v>11</v>
      </c>
      <c r="L399" s="639">
        <f t="shared" si="203"/>
        <v>220</v>
      </c>
      <c r="M399" s="641">
        <v>45890</v>
      </c>
      <c r="N399" s="641">
        <v>45887</v>
      </c>
      <c r="O399" s="641"/>
      <c r="P399" s="642" t="s">
        <v>100</v>
      </c>
      <c r="Q399" s="643" t="s">
        <v>1890</v>
      </c>
      <c r="R399" s="642" t="s">
        <v>1891</v>
      </c>
      <c r="S399" s="641"/>
      <c r="T399" s="641"/>
      <c r="U399" s="642" t="s">
        <v>1892</v>
      </c>
      <c r="V399" s="677"/>
      <c r="W399" s="645"/>
      <c r="X399" s="647" t="s">
        <v>1893</v>
      </c>
      <c r="Y399" s="645" t="s">
        <v>934</v>
      </c>
      <c r="Z399" s="648">
        <v>2.7028</v>
      </c>
      <c r="AA399" s="650">
        <f t="shared" si="192"/>
        <v>6540.776</v>
      </c>
      <c r="AB399" s="649">
        <v>2420</v>
      </c>
      <c r="AC399" s="649">
        <f t="shared" si="200"/>
        <v>0</v>
      </c>
      <c r="AD399" s="650" t="s">
        <v>106</v>
      </c>
      <c r="AE399" s="661" t="s">
        <v>597</v>
      </c>
      <c r="AF399" s="646" t="s">
        <v>107</v>
      </c>
      <c r="AG399" s="652" t="s">
        <v>43</v>
      </c>
      <c r="AH399" s="646"/>
      <c r="AI399" s="649"/>
      <c r="AJ399" s="649"/>
      <c r="AK399" s="649"/>
      <c r="AL399" s="649"/>
      <c r="AM399" s="649"/>
      <c r="AN399" s="649"/>
      <c r="AO399" s="649">
        <f>I399</f>
        <v>2420</v>
      </c>
      <c r="AP399" s="649"/>
      <c r="AQ399" s="653"/>
      <c r="AR399" s="649"/>
      <c r="AS399" s="649"/>
      <c r="AT399" s="649">
        <f t="shared" si="209"/>
        <v>2420</v>
      </c>
      <c r="AU399" s="649"/>
      <c r="AV399" s="654"/>
      <c r="AW399" s="654"/>
      <c r="AX399" s="652"/>
      <c r="AY399" s="652"/>
      <c r="AZ399" s="654"/>
      <c r="BA399" s="652">
        <f>I399/11</f>
        <v>220</v>
      </c>
      <c r="BB399" s="652"/>
      <c r="BC399" s="654"/>
      <c r="BD399" s="654"/>
      <c r="BE399" s="654"/>
      <c r="BF399" s="654"/>
      <c r="BG399" s="652"/>
      <c r="BH399" s="652"/>
      <c r="BI399" s="654"/>
      <c r="BJ399" s="654"/>
      <c r="BK399" s="654"/>
      <c r="BL399" s="654"/>
      <c r="BM399" s="654"/>
      <c r="BN399" s="654"/>
      <c r="BO399" s="654"/>
      <c r="BP399" s="654"/>
      <c r="BQ399" s="654"/>
      <c r="BR399" s="654"/>
      <c r="BS399" s="654"/>
      <c r="BT399" s="654"/>
      <c r="BU399" s="654"/>
      <c r="BV399" s="654"/>
      <c r="BW399" s="645" t="s">
        <v>109</v>
      </c>
      <c r="BX399" s="658">
        <f>I399/22*5</f>
        <v>550</v>
      </c>
      <c r="BY399" s="658">
        <f>I399/22*6</f>
        <v>660</v>
      </c>
      <c r="BZ399" s="658">
        <f>I399/22*6</f>
        <v>660</v>
      </c>
      <c r="CA399" s="658">
        <f>I399/22*5</f>
        <v>550</v>
      </c>
      <c r="CB399" s="644">
        <f t="shared" si="205"/>
        <v>2420</v>
      </c>
      <c r="CC399" s="658">
        <f>I399/11</f>
        <v>220</v>
      </c>
      <c r="CD399" s="644">
        <f t="shared" si="201"/>
        <v>2420</v>
      </c>
      <c r="CE399" s="644">
        <f t="shared" si="206"/>
        <v>0</v>
      </c>
    </row>
    <row r="400" s="338" customFormat="1" ht="40" customHeight="1" spans="1:83">
      <c r="A400" s="632">
        <v>45786</v>
      </c>
      <c r="B400" s="633" t="s">
        <v>424</v>
      </c>
      <c r="C400" s="634" t="s">
        <v>380</v>
      </c>
      <c r="D400" s="635">
        <v>4500164521</v>
      </c>
      <c r="E400" s="659">
        <v>273461</v>
      </c>
      <c r="F400" s="636" t="s">
        <v>1894</v>
      </c>
      <c r="G400" s="637" t="s">
        <v>427</v>
      </c>
      <c r="H400" s="637" t="s">
        <v>99</v>
      </c>
      <c r="I400" s="638">
        <v>5999</v>
      </c>
      <c r="J400" s="638">
        <v>0</v>
      </c>
      <c r="K400" s="639">
        <v>7</v>
      </c>
      <c r="L400" s="639">
        <f t="shared" si="203"/>
        <v>857</v>
      </c>
      <c r="M400" s="641">
        <v>45890</v>
      </c>
      <c r="N400" s="641">
        <f>M400-3</f>
        <v>45887</v>
      </c>
      <c r="O400" s="641"/>
      <c r="P400" s="642" t="s">
        <v>100</v>
      </c>
      <c r="Q400" s="643" t="s">
        <v>1886</v>
      </c>
      <c r="R400" s="642" t="s">
        <v>1255</v>
      </c>
      <c r="S400" s="641"/>
      <c r="T400" s="641"/>
      <c r="U400" s="642" t="s">
        <v>1514</v>
      </c>
      <c r="V400" s="677"/>
      <c r="W400" s="645"/>
      <c r="X400" s="647" t="s">
        <v>1515</v>
      </c>
      <c r="Y400" s="646" t="s">
        <v>1219</v>
      </c>
      <c r="Z400" s="648">
        <v>2.7832</v>
      </c>
      <c r="AA400" s="650">
        <f t="shared" si="192"/>
        <v>16696.4168</v>
      </c>
      <c r="AB400" s="649">
        <f>1120+4879</f>
        <v>5999</v>
      </c>
      <c r="AC400" s="649">
        <f t="shared" si="200"/>
        <v>0</v>
      </c>
      <c r="AD400" s="650" t="s">
        <v>106</v>
      </c>
      <c r="AE400" s="637" t="s">
        <v>427</v>
      </c>
      <c r="AF400" s="646" t="s">
        <v>107</v>
      </c>
      <c r="AG400" s="652" t="s">
        <v>43</v>
      </c>
      <c r="AH400" s="646"/>
      <c r="AI400" s="649"/>
      <c r="AJ400" s="649"/>
      <c r="AK400" s="649"/>
      <c r="AL400" s="649">
        <f>I400</f>
        <v>5999</v>
      </c>
      <c r="AM400" s="649"/>
      <c r="AN400" s="649"/>
      <c r="AO400" s="649"/>
      <c r="AP400" s="649"/>
      <c r="AQ400" s="653"/>
      <c r="AR400" s="649"/>
      <c r="AS400" s="649"/>
      <c r="AT400" s="649">
        <f t="shared" si="209"/>
        <v>5999</v>
      </c>
      <c r="AU400" s="649"/>
      <c r="AV400" s="654"/>
      <c r="AW400" s="654"/>
      <c r="AX400" s="652"/>
      <c r="AY400" s="652"/>
      <c r="AZ400" s="654"/>
      <c r="BA400" s="652"/>
      <c r="BB400" s="652"/>
      <c r="BC400" s="654"/>
      <c r="BD400" s="654"/>
      <c r="BE400" s="654"/>
      <c r="BF400" s="654"/>
      <c r="BG400" s="652">
        <f>I400/7</f>
        <v>857</v>
      </c>
      <c r="BH400" s="652"/>
      <c r="BI400" s="654"/>
      <c r="BJ400" s="654"/>
      <c r="BK400" s="654"/>
      <c r="BL400" s="654"/>
      <c r="BM400" s="654"/>
      <c r="BN400" s="654"/>
      <c r="BO400" s="654"/>
      <c r="BP400" s="654"/>
      <c r="BQ400" s="654"/>
      <c r="BR400" s="654"/>
      <c r="BS400" s="654"/>
      <c r="BT400" s="654"/>
      <c r="BU400" s="654"/>
      <c r="BV400" s="654"/>
      <c r="BW400" s="645" t="s">
        <v>109</v>
      </c>
      <c r="BX400" s="658">
        <f>I400/4</f>
        <v>1499.75</v>
      </c>
      <c r="BY400" s="658">
        <f>I400/4</f>
        <v>1499.75</v>
      </c>
      <c r="BZ400" s="658">
        <f>I400/4</f>
        <v>1499.75</v>
      </c>
      <c r="CA400" s="658">
        <f>I400/4</f>
        <v>1499.75</v>
      </c>
      <c r="CB400" s="644">
        <f t="shared" si="205"/>
        <v>5999</v>
      </c>
      <c r="CC400" s="644">
        <f>I400/7</f>
        <v>857</v>
      </c>
      <c r="CD400" s="644">
        <f t="shared" si="201"/>
        <v>5999</v>
      </c>
      <c r="CE400" s="644">
        <f t="shared" si="206"/>
        <v>0</v>
      </c>
    </row>
    <row r="401" s="338" customFormat="1" ht="40" customHeight="1" spans="1:83">
      <c r="A401" s="632">
        <v>45855</v>
      </c>
      <c r="B401" s="633" t="s">
        <v>1895</v>
      </c>
      <c r="C401" s="634" t="s">
        <v>1896</v>
      </c>
      <c r="D401" s="635">
        <v>4500174183</v>
      </c>
      <c r="E401" s="659" t="s">
        <v>1897</v>
      </c>
      <c r="F401" s="636" t="s">
        <v>1898</v>
      </c>
      <c r="G401" s="637" t="s">
        <v>111</v>
      </c>
      <c r="H401" s="637" t="s">
        <v>99</v>
      </c>
      <c r="I401" s="638">
        <v>1210</v>
      </c>
      <c r="J401" s="638">
        <v>0</v>
      </c>
      <c r="K401" s="639">
        <v>22</v>
      </c>
      <c r="L401" s="639">
        <f t="shared" si="203"/>
        <v>55</v>
      </c>
      <c r="M401" s="641">
        <v>45891</v>
      </c>
      <c r="N401" s="641">
        <v>45887</v>
      </c>
      <c r="O401" s="641"/>
      <c r="P401" s="642" t="s">
        <v>100</v>
      </c>
      <c r="Q401" s="643" t="s">
        <v>1855</v>
      </c>
      <c r="R401" s="642" t="s">
        <v>1874</v>
      </c>
      <c r="S401" s="642"/>
      <c r="T401" s="642"/>
      <c r="U401" s="642" t="s">
        <v>1899</v>
      </c>
      <c r="V401" s="642"/>
      <c r="W401" s="645"/>
      <c r="X401" s="647" t="s">
        <v>1900</v>
      </c>
      <c r="Y401" s="646" t="s">
        <v>229</v>
      </c>
      <c r="Z401" s="683">
        <v>2.7172</v>
      </c>
      <c r="AA401" s="650">
        <f t="shared" si="192"/>
        <v>3287.812</v>
      </c>
      <c r="AB401" s="649">
        <v>1210</v>
      </c>
      <c r="AC401" s="649">
        <f t="shared" si="200"/>
        <v>0</v>
      </c>
      <c r="AD401" s="650" t="s">
        <v>106</v>
      </c>
      <c r="AE401" s="637" t="s">
        <v>230</v>
      </c>
      <c r="AF401" s="646" t="s">
        <v>107</v>
      </c>
      <c r="AG401" s="652" t="s">
        <v>43</v>
      </c>
      <c r="AH401" s="646"/>
      <c r="AI401" s="693"/>
      <c r="AJ401" s="693"/>
      <c r="AK401" s="693"/>
      <c r="AL401" s="649"/>
      <c r="AM401" s="649"/>
      <c r="AN401" s="693"/>
      <c r="AO401" s="649">
        <f>I401</f>
        <v>1210</v>
      </c>
      <c r="AP401" s="649"/>
      <c r="AQ401" s="653"/>
      <c r="AR401" s="693"/>
      <c r="AS401" s="693"/>
      <c r="AT401" s="649">
        <f t="shared" si="209"/>
        <v>1210</v>
      </c>
      <c r="AU401" s="649"/>
      <c r="AV401" s="654"/>
      <c r="AW401" s="694"/>
      <c r="AX401" s="652"/>
      <c r="AY401" s="652"/>
      <c r="AZ401" s="694"/>
      <c r="BA401" s="652">
        <f>I401/11</f>
        <v>110</v>
      </c>
      <c r="BB401" s="652"/>
      <c r="BC401" s="694"/>
      <c r="BD401" s="694"/>
      <c r="BE401" s="654"/>
      <c r="BF401" s="694"/>
      <c r="BG401" s="652"/>
      <c r="BH401" s="652"/>
      <c r="BI401" s="694"/>
      <c r="BJ401" s="694"/>
      <c r="BK401" s="654"/>
      <c r="BL401" s="654"/>
      <c r="BM401" s="654"/>
      <c r="BN401" s="654"/>
      <c r="BO401" s="654"/>
      <c r="BP401" s="694"/>
      <c r="BQ401" s="654"/>
      <c r="BR401" s="694"/>
      <c r="BS401" s="654"/>
      <c r="BT401" s="654"/>
      <c r="BU401" s="654"/>
      <c r="BV401" s="654"/>
      <c r="BW401" s="645" t="s">
        <v>109</v>
      </c>
      <c r="BX401" s="658">
        <f>I401/22*5</f>
        <v>275</v>
      </c>
      <c r="BY401" s="658">
        <f>I401/22*6</f>
        <v>330</v>
      </c>
      <c r="BZ401" s="658">
        <f>I401/22*6</f>
        <v>330</v>
      </c>
      <c r="CA401" s="658">
        <f>I401/22*5</f>
        <v>275</v>
      </c>
      <c r="CB401" s="644">
        <f t="shared" si="205"/>
        <v>1210</v>
      </c>
      <c r="CC401" s="658">
        <f>I401/11</f>
        <v>110</v>
      </c>
      <c r="CD401" s="644">
        <f t="shared" si="201"/>
        <v>1210</v>
      </c>
      <c r="CE401" s="644">
        <f t="shared" si="206"/>
        <v>0</v>
      </c>
    </row>
    <row r="402" s="338" customFormat="1" ht="40" customHeight="1" spans="1:83">
      <c r="A402" s="632">
        <v>45852</v>
      </c>
      <c r="B402" s="633" t="s">
        <v>246</v>
      </c>
      <c r="C402" s="634" t="s">
        <v>247</v>
      </c>
      <c r="D402" s="635">
        <v>4500173679</v>
      </c>
      <c r="E402" s="659" t="s">
        <v>1901</v>
      </c>
      <c r="F402" s="635" t="s">
        <v>1902</v>
      </c>
      <c r="G402" s="637" t="s">
        <v>111</v>
      </c>
      <c r="H402" s="637" t="s">
        <v>99</v>
      </c>
      <c r="I402" s="638">
        <v>704</v>
      </c>
      <c r="J402" s="638">
        <v>0</v>
      </c>
      <c r="K402" s="639">
        <v>22</v>
      </c>
      <c r="L402" s="639">
        <f t="shared" si="203"/>
        <v>32</v>
      </c>
      <c r="M402" s="641">
        <v>45890</v>
      </c>
      <c r="N402" s="641">
        <f>M402-3</f>
        <v>45887</v>
      </c>
      <c r="O402" s="641"/>
      <c r="P402" s="642" t="s">
        <v>100</v>
      </c>
      <c r="Q402" s="643" t="s">
        <v>1903</v>
      </c>
      <c r="R402" s="642" t="s">
        <v>1904</v>
      </c>
      <c r="S402" s="641"/>
      <c r="T402" s="641"/>
      <c r="U402" s="642" t="s">
        <v>251</v>
      </c>
      <c r="V402" s="677"/>
      <c r="W402" s="645"/>
      <c r="X402" s="647" t="s">
        <v>1905</v>
      </c>
      <c r="Y402" s="645" t="s">
        <v>1906</v>
      </c>
      <c r="Z402" s="683">
        <v>2.6733</v>
      </c>
      <c r="AA402" s="650">
        <f t="shared" si="192"/>
        <v>1882.0032</v>
      </c>
      <c r="AB402" s="649">
        <v>704</v>
      </c>
      <c r="AC402" s="649">
        <f t="shared" si="200"/>
        <v>0</v>
      </c>
      <c r="AD402" s="650" t="s">
        <v>106</v>
      </c>
      <c r="AE402" s="637" t="s">
        <v>111</v>
      </c>
      <c r="AF402" s="646" t="s">
        <v>107</v>
      </c>
      <c r="AG402" s="652" t="s">
        <v>43</v>
      </c>
      <c r="AH402" s="646"/>
      <c r="AI402" s="693"/>
      <c r="AJ402" s="693"/>
      <c r="AK402" s="693"/>
      <c r="AL402" s="649">
        <f t="shared" ref="AL402:AL414" si="210">I402</f>
        <v>704</v>
      </c>
      <c r="AM402" s="649"/>
      <c r="AN402" s="693"/>
      <c r="AO402" s="649"/>
      <c r="AP402" s="649"/>
      <c r="AQ402" s="653"/>
      <c r="AR402" s="693"/>
      <c r="AS402" s="693"/>
      <c r="AT402" s="649">
        <f t="shared" si="209"/>
        <v>704</v>
      </c>
      <c r="AU402" s="649"/>
      <c r="AV402" s="654"/>
      <c r="AW402" s="694"/>
      <c r="AX402" s="652">
        <f t="shared" ref="AX402:AX408" si="211">I402/11</f>
        <v>64</v>
      </c>
      <c r="AY402" s="652"/>
      <c r="AZ402" s="694"/>
      <c r="BA402" s="652"/>
      <c r="BB402" s="652"/>
      <c r="BC402" s="694"/>
      <c r="BD402" s="694"/>
      <c r="BE402" s="654"/>
      <c r="BF402" s="694"/>
      <c r="BG402" s="652"/>
      <c r="BH402" s="652"/>
      <c r="BI402" s="694"/>
      <c r="BJ402" s="694"/>
      <c r="BK402" s="654"/>
      <c r="BL402" s="654"/>
      <c r="BM402" s="654"/>
      <c r="BN402" s="654"/>
      <c r="BO402" s="654"/>
      <c r="BP402" s="694"/>
      <c r="BQ402" s="654"/>
      <c r="BR402" s="694"/>
      <c r="BS402" s="654"/>
      <c r="BT402" s="654"/>
      <c r="BU402" s="654"/>
      <c r="BV402" s="654"/>
      <c r="BW402" s="645" t="s">
        <v>109</v>
      </c>
      <c r="BX402" s="658">
        <f t="shared" ref="BX402:BX408" si="212">I402/22*5</f>
        <v>160</v>
      </c>
      <c r="BY402" s="658">
        <f t="shared" ref="BY402:BY408" si="213">I402/22*6</f>
        <v>192</v>
      </c>
      <c r="BZ402" s="658">
        <f t="shared" ref="BZ402:BZ408" si="214">I402/22*6</f>
        <v>192</v>
      </c>
      <c r="CA402" s="658">
        <f t="shared" ref="CA402:CA408" si="215">I402/22*5</f>
        <v>160</v>
      </c>
      <c r="CB402" s="644">
        <f t="shared" si="205"/>
        <v>704</v>
      </c>
      <c r="CC402" s="658">
        <f t="shared" ref="CC402:CC408" si="216">I402/11</f>
        <v>64</v>
      </c>
      <c r="CD402" s="644">
        <f t="shared" si="201"/>
        <v>704</v>
      </c>
      <c r="CE402" s="644">
        <f t="shared" si="206"/>
        <v>0</v>
      </c>
    </row>
    <row r="403" s="338" customFormat="1" ht="40" customHeight="1" spans="1:83">
      <c r="A403" s="632">
        <v>45852</v>
      </c>
      <c r="B403" s="633" t="s">
        <v>246</v>
      </c>
      <c r="C403" s="634" t="s">
        <v>247</v>
      </c>
      <c r="D403" s="635">
        <v>4500173679</v>
      </c>
      <c r="E403" s="659" t="s">
        <v>1907</v>
      </c>
      <c r="F403" s="635" t="s">
        <v>1908</v>
      </c>
      <c r="G403" s="637" t="s">
        <v>111</v>
      </c>
      <c r="H403" s="637" t="s">
        <v>99</v>
      </c>
      <c r="I403" s="638">
        <v>550</v>
      </c>
      <c r="J403" s="638">
        <v>0</v>
      </c>
      <c r="K403" s="639">
        <v>22</v>
      </c>
      <c r="L403" s="639">
        <f t="shared" si="203"/>
        <v>25</v>
      </c>
      <c r="M403" s="641">
        <v>45890</v>
      </c>
      <c r="N403" s="641">
        <f>M403-3</f>
        <v>45887</v>
      </c>
      <c r="O403" s="641"/>
      <c r="P403" s="642" t="s">
        <v>100</v>
      </c>
      <c r="Q403" s="643" t="s">
        <v>1909</v>
      </c>
      <c r="R403" s="642" t="s">
        <v>1904</v>
      </c>
      <c r="S403" s="641"/>
      <c r="T403" s="641"/>
      <c r="U403" s="642" t="s">
        <v>251</v>
      </c>
      <c r="V403" s="677"/>
      <c r="W403" s="645"/>
      <c r="X403" s="647" t="s">
        <v>1905</v>
      </c>
      <c r="Y403" s="645" t="s">
        <v>1906</v>
      </c>
      <c r="Z403" s="683">
        <v>2.7816</v>
      </c>
      <c r="AA403" s="650">
        <f t="shared" si="192"/>
        <v>1529.88</v>
      </c>
      <c r="AB403" s="649">
        <v>550</v>
      </c>
      <c r="AC403" s="649">
        <f t="shared" si="200"/>
        <v>0</v>
      </c>
      <c r="AD403" s="650" t="s">
        <v>106</v>
      </c>
      <c r="AE403" s="637" t="s">
        <v>111</v>
      </c>
      <c r="AF403" s="646" t="s">
        <v>107</v>
      </c>
      <c r="AG403" s="652" t="s">
        <v>43</v>
      </c>
      <c r="AH403" s="646" t="s">
        <v>1910</v>
      </c>
      <c r="AI403" s="693"/>
      <c r="AJ403" s="693"/>
      <c r="AK403" s="693"/>
      <c r="AL403" s="649">
        <f t="shared" si="210"/>
        <v>550</v>
      </c>
      <c r="AM403" s="649"/>
      <c r="AN403" s="693"/>
      <c r="AO403" s="649"/>
      <c r="AP403" s="649"/>
      <c r="AQ403" s="653"/>
      <c r="AR403" s="693"/>
      <c r="AS403" s="693"/>
      <c r="AT403" s="649">
        <f t="shared" si="209"/>
        <v>550</v>
      </c>
      <c r="AU403" s="649"/>
      <c r="AV403" s="654"/>
      <c r="AW403" s="694"/>
      <c r="AX403" s="652">
        <f t="shared" si="211"/>
        <v>50</v>
      </c>
      <c r="AY403" s="652"/>
      <c r="AZ403" s="694"/>
      <c r="BA403" s="652"/>
      <c r="BB403" s="652"/>
      <c r="BC403" s="694"/>
      <c r="BD403" s="694"/>
      <c r="BE403" s="654"/>
      <c r="BF403" s="694"/>
      <c r="BG403" s="652"/>
      <c r="BH403" s="652"/>
      <c r="BI403" s="694"/>
      <c r="BJ403" s="694"/>
      <c r="BK403" s="654"/>
      <c r="BL403" s="654"/>
      <c r="BM403" s="654"/>
      <c r="BN403" s="654"/>
      <c r="BO403" s="654"/>
      <c r="BP403" s="694"/>
      <c r="BQ403" s="654"/>
      <c r="BR403" s="694"/>
      <c r="BS403" s="654"/>
      <c r="BT403" s="654"/>
      <c r="BU403" s="654"/>
      <c r="BV403" s="654"/>
      <c r="BW403" s="645" t="s">
        <v>109</v>
      </c>
      <c r="BX403" s="658">
        <f t="shared" si="212"/>
        <v>125</v>
      </c>
      <c r="BY403" s="658">
        <f t="shared" si="213"/>
        <v>150</v>
      </c>
      <c r="BZ403" s="658">
        <f t="shared" si="214"/>
        <v>150</v>
      </c>
      <c r="CA403" s="658">
        <f t="shared" si="215"/>
        <v>125</v>
      </c>
      <c r="CB403" s="644">
        <f t="shared" si="205"/>
        <v>550</v>
      </c>
      <c r="CC403" s="658">
        <f t="shared" si="216"/>
        <v>50</v>
      </c>
      <c r="CD403" s="644">
        <f t="shared" si="201"/>
        <v>550</v>
      </c>
      <c r="CE403" s="644">
        <f t="shared" si="206"/>
        <v>0</v>
      </c>
    </row>
    <row r="404" s="338" customFormat="1" ht="40" customHeight="1" spans="1:83">
      <c r="A404" s="632">
        <v>45852</v>
      </c>
      <c r="B404" s="633" t="s">
        <v>246</v>
      </c>
      <c r="C404" s="634" t="s">
        <v>247</v>
      </c>
      <c r="D404" s="635">
        <v>4500173679</v>
      </c>
      <c r="E404" s="659" t="s">
        <v>1911</v>
      </c>
      <c r="F404" s="635" t="s">
        <v>1912</v>
      </c>
      <c r="G404" s="637" t="s">
        <v>111</v>
      </c>
      <c r="H404" s="637" t="s">
        <v>99</v>
      </c>
      <c r="I404" s="638">
        <v>550</v>
      </c>
      <c r="J404" s="638">
        <v>0</v>
      </c>
      <c r="K404" s="639">
        <v>22</v>
      </c>
      <c r="L404" s="639">
        <f t="shared" si="203"/>
        <v>25</v>
      </c>
      <c r="M404" s="641">
        <v>45890</v>
      </c>
      <c r="N404" s="641">
        <f>M404-3</f>
        <v>45887</v>
      </c>
      <c r="O404" s="641"/>
      <c r="P404" s="642" t="s">
        <v>100</v>
      </c>
      <c r="Q404" s="643" t="s">
        <v>1913</v>
      </c>
      <c r="R404" s="642" t="s">
        <v>1904</v>
      </c>
      <c r="S404" s="641"/>
      <c r="T404" s="641"/>
      <c r="U404" s="642" t="s">
        <v>251</v>
      </c>
      <c r="V404" s="677"/>
      <c r="W404" s="645"/>
      <c r="X404" s="647" t="s">
        <v>1905</v>
      </c>
      <c r="Y404" s="645" t="s">
        <v>1906</v>
      </c>
      <c r="Z404" s="683">
        <v>2.7816</v>
      </c>
      <c r="AA404" s="650">
        <f t="shared" si="192"/>
        <v>1529.88</v>
      </c>
      <c r="AB404" s="649">
        <v>550</v>
      </c>
      <c r="AC404" s="649">
        <f t="shared" si="200"/>
        <v>0</v>
      </c>
      <c r="AD404" s="650" t="s">
        <v>106</v>
      </c>
      <c r="AE404" s="637" t="s">
        <v>111</v>
      </c>
      <c r="AF404" s="646" t="s">
        <v>107</v>
      </c>
      <c r="AG404" s="652" t="s">
        <v>43</v>
      </c>
      <c r="AH404" s="646"/>
      <c r="AI404" s="693"/>
      <c r="AJ404" s="693"/>
      <c r="AK404" s="693"/>
      <c r="AL404" s="649">
        <f t="shared" si="210"/>
        <v>550</v>
      </c>
      <c r="AM404" s="649"/>
      <c r="AN404" s="693"/>
      <c r="AO404" s="649"/>
      <c r="AP404" s="649"/>
      <c r="AQ404" s="653"/>
      <c r="AR404" s="693"/>
      <c r="AS404" s="693"/>
      <c r="AT404" s="649">
        <f t="shared" si="209"/>
        <v>550</v>
      </c>
      <c r="AU404" s="649"/>
      <c r="AV404" s="654"/>
      <c r="AW404" s="694"/>
      <c r="AX404" s="652">
        <f t="shared" si="211"/>
        <v>50</v>
      </c>
      <c r="AY404" s="652"/>
      <c r="AZ404" s="694"/>
      <c r="BA404" s="652"/>
      <c r="BB404" s="652"/>
      <c r="BC404" s="694"/>
      <c r="BD404" s="694"/>
      <c r="BE404" s="654"/>
      <c r="BF404" s="694"/>
      <c r="BG404" s="652"/>
      <c r="BH404" s="652"/>
      <c r="BI404" s="694"/>
      <c r="BJ404" s="694"/>
      <c r="BK404" s="654"/>
      <c r="BL404" s="654"/>
      <c r="BM404" s="654"/>
      <c r="BN404" s="654"/>
      <c r="BO404" s="654"/>
      <c r="BP404" s="694"/>
      <c r="BQ404" s="654"/>
      <c r="BR404" s="694"/>
      <c r="BS404" s="654"/>
      <c r="BT404" s="654"/>
      <c r="BU404" s="654"/>
      <c r="BV404" s="654"/>
      <c r="BW404" s="645" t="s">
        <v>109</v>
      </c>
      <c r="BX404" s="658">
        <f t="shared" si="212"/>
        <v>125</v>
      </c>
      <c r="BY404" s="658">
        <f t="shared" si="213"/>
        <v>150</v>
      </c>
      <c r="BZ404" s="658">
        <f t="shared" si="214"/>
        <v>150</v>
      </c>
      <c r="CA404" s="658">
        <f t="shared" si="215"/>
        <v>125</v>
      </c>
      <c r="CB404" s="644">
        <f t="shared" si="205"/>
        <v>550</v>
      </c>
      <c r="CC404" s="658">
        <f t="shared" si="216"/>
        <v>50</v>
      </c>
      <c r="CD404" s="644">
        <f t="shared" si="201"/>
        <v>550</v>
      </c>
      <c r="CE404" s="644">
        <f t="shared" si="206"/>
        <v>0</v>
      </c>
    </row>
    <row r="405" s="338" customFormat="1" ht="40" customHeight="1" spans="1:83">
      <c r="A405" s="632">
        <v>45852</v>
      </c>
      <c r="B405" s="633" t="s">
        <v>246</v>
      </c>
      <c r="C405" s="634" t="s">
        <v>247</v>
      </c>
      <c r="D405" s="635">
        <v>4500173679</v>
      </c>
      <c r="E405" s="659" t="s">
        <v>1914</v>
      </c>
      <c r="F405" s="635" t="s">
        <v>1915</v>
      </c>
      <c r="G405" s="637" t="s">
        <v>111</v>
      </c>
      <c r="H405" s="637" t="s">
        <v>99</v>
      </c>
      <c r="I405" s="638">
        <v>418</v>
      </c>
      <c r="J405" s="638">
        <v>0</v>
      </c>
      <c r="K405" s="639">
        <v>22</v>
      </c>
      <c r="L405" s="639">
        <f t="shared" si="203"/>
        <v>19</v>
      </c>
      <c r="M405" s="641">
        <v>45890</v>
      </c>
      <c r="N405" s="641">
        <f>M405-3</f>
        <v>45887</v>
      </c>
      <c r="O405" s="641"/>
      <c r="P405" s="642" t="s">
        <v>100</v>
      </c>
      <c r="Q405" s="643"/>
      <c r="R405" s="642" t="s">
        <v>1904</v>
      </c>
      <c r="S405" s="641"/>
      <c r="T405" s="641"/>
      <c r="U405" s="642" t="s">
        <v>251</v>
      </c>
      <c r="V405" s="677"/>
      <c r="W405" s="645"/>
      <c r="X405" s="647" t="s">
        <v>1905</v>
      </c>
      <c r="Y405" s="645" t="s">
        <v>1906</v>
      </c>
      <c r="Z405" s="683">
        <v>2.7816</v>
      </c>
      <c r="AA405" s="650">
        <f t="shared" si="192"/>
        <v>1162.7088</v>
      </c>
      <c r="AB405" s="649">
        <v>418</v>
      </c>
      <c r="AC405" s="649">
        <f t="shared" si="200"/>
        <v>0</v>
      </c>
      <c r="AD405" s="650" t="s">
        <v>106</v>
      </c>
      <c r="AE405" s="637" t="s">
        <v>111</v>
      </c>
      <c r="AF405" s="646" t="s">
        <v>107</v>
      </c>
      <c r="AG405" s="652" t="s">
        <v>43</v>
      </c>
      <c r="AH405" s="646"/>
      <c r="AI405" s="693"/>
      <c r="AJ405" s="693"/>
      <c r="AK405" s="693"/>
      <c r="AL405" s="649">
        <f t="shared" si="210"/>
        <v>418</v>
      </c>
      <c r="AM405" s="649"/>
      <c r="AN405" s="693"/>
      <c r="AO405" s="649"/>
      <c r="AP405" s="649"/>
      <c r="AQ405" s="653"/>
      <c r="AR405" s="693"/>
      <c r="AS405" s="693"/>
      <c r="AT405" s="649">
        <f t="shared" si="209"/>
        <v>418</v>
      </c>
      <c r="AU405" s="649"/>
      <c r="AV405" s="654"/>
      <c r="AW405" s="694"/>
      <c r="AX405" s="652">
        <f t="shared" si="211"/>
        <v>38</v>
      </c>
      <c r="AY405" s="652"/>
      <c r="AZ405" s="694"/>
      <c r="BA405" s="652"/>
      <c r="BB405" s="652"/>
      <c r="BC405" s="694"/>
      <c r="BD405" s="694"/>
      <c r="BE405" s="654"/>
      <c r="BF405" s="694"/>
      <c r="BG405" s="652"/>
      <c r="BH405" s="652"/>
      <c r="BI405" s="694"/>
      <c r="BJ405" s="694"/>
      <c r="BK405" s="654"/>
      <c r="BL405" s="654"/>
      <c r="BM405" s="654"/>
      <c r="BN405" s="654"/>
      <c r="BO405" s="654"/>
      <c r="BP405" s="694"/>
      <c r="BQ405" s="654"/>
      <c r="BR405" s="694"/>
      <c r="BS405" s="654"/>
      <c r="BT405" s="654"/>
      <c r="BU405" s="654"/>
      <c r="BV405" s="654"/>
      <c r="BW405" s="645" t="s">
        <v>109</v>
      </c>
      <c r="BX405" s="658">
        <f t="shared" si="212"/>
        <v>95</v>
      </c>
      <c r="BY405" s="658">
        <f t="shared" si="213"/>
        <v>114</v>
      </c>
      <c r="BZ405" s="658">
        <f t="shared" si="214"/>
        <v>114</v>
      </c>
      <c r="CA405" s="658">
        <f t="shared" si="215"/>
        <v>95</v>
      </c>
      <c r="CB405" s="644">
        <f t="shared" si="205"/>
        <v>418</v>
      </c>
      <c r="CC405" s="658">
        <f t="shared" si="216"/>
        <v>38</v>
      </c>
      <c r="CD405" s="644">
        <f t="shared" si="201"/>
        <v>418</v>
      </c>
      <c r="CE405" s="644">
        <f t="shared" si="206"/>
        <v>0</v>
      </c>
    </row>
    <row r="406" s="338" customFormat="1" ht="40" customHeight="1" spans="1:83">
      <c r="A406" s="632">
        <v>45848</v>
      </c>
      <c r="B406" s="633" t="s">
        <v>1916</v>
      </c>
      <c r="C406" s="634" t="s">
        <v>247</v>
      </c>
      <c r="D406" s="635">
        <v>4500173377</v>
      </c>
      <c r="E406" s="659" t="s">
        <v>1917</v>
      </c>
      <c r="F406" s="636" t="s">
        <v>1918</v>
      </c>
      <c r="G406" s="637" t="s">
        <v>111</v>
      </c>
      <c r="H406" s="637" t="s">
        <v>99</v>
      </c>
      <c r="I406" s="638">
        <v>132</v>
      </c>
      <c r="J406" s="638">
        <v>0</v>
      </c>
      <c r="K406" s="639">
        <v>22</v>
      </c>
      <c r="L406" s="639">
        <f t="shared" si="203"/>
        <v>6</v>
      </c>
      <c r="M406" s="641">
        <v>45891</v>
      </c>
      <c r="N406" s="641">
        <v>45887</v>
      </c>
      <c r="O406" s="641"/>
      <c r="P406" s="642" t="s">
        <v>100</v>
      </c>
      <c r="Q406" s="643" t="s">
        <v>1886</v>
      </c>
      <c r="R406" s="642" t="s">
        <v>1861</v>
      </c>
      <c r="S406" s="641"/>
      <c r="T406" s="641"/>
      <c r="U406" s="642" t="s">
        <v>1919</v>
      </c>
      <c r="V406" s="677"/>
      <c r="W406" s="645"/>
      <c r="X406" s="647" t="s">
        <v>1920</v>
      </c>
      <c r="Y406" s="646" t="s">
        <v>253</v>
      </c>
      <c r="Z406" s="683">
        <v>2.7311</v>
      </c>
      <c r="AA406" s="650">
        <f t="shared" si="192"/>
        <v>360.5052</v>
      </c>
      <c r="AB406" s="649">
        <v>132</v>
      </c>
      <c r="AC406" s="649">
        <f t="shared" si="200"/>
        <v>0</v>
      </c>
      <c r="AD406" s="650" t="s">
        <v>106</v>
      </c>
      <c r="AE406" s="637" t="s">
        <v>111</v>
      </c>
      <c r="AF406" s="646" t="s">
        <v>107</v>
      </c>
      <c r="AG406" s="652" t="s">
        <v>43</v>
      </c>
      <c r="AH406" s="646"/>
      <c r="AI406" s="693"/>
      <c r="AJ406" s="693"/>
      <c r="AK406" s="693"/>
      <c r="AL406" s="649">
        <f t="shared" si="210"/>
        <v>132</v>
      </c>
      <c r="AM406" s="649"/>
      <c r="AN406" s="693"/>
      <c r="AO406" s="649"/>
      <c r="AP406" s="649"/>
      <c r="AQ406" s="653"/>
      <c r="AR406" s="693"/>
      <c r="AS406" s="693"/>
      <c r="AT406" s="649">
        <f t="shared" si="209"/>
        <v>132</v>
      </c>
      <c r="AU406" s="649"/>
      <c r="AV406" s="654"/>
      <c r="AW406" s="694"/>
      <c r="AX406" s="652">
        <f t="shared" si="211"/>
        <v>12</v>
      </c>
      <c r="AY406" s="652"/>
      <c r="AZ406" s="694"/>
      <c r="BA406" s="652"/>
      <c r="BB406" s="652"/>
      <c r="BC406" s="694"/>
      <c r="BD406" s="694"/>
      <c r="BE406" s="654"/>
      <c r="BF406" s="694"/>
      <c r="BG406" s="652"/>
      <c r="BH406" s="652"/>
      <c r="BI406" s="694"/>
      <c r="BJ406" s="694"/>
      <c r="BK406" s="654"/>
      <c r="BL406" s="654"/>
      <c r="BM406" s="654"/>
      <c r="BN406" s="654"/>
      <c r="BO406" s="654"/>
      <c r="BP406" s="694"/>
      <c r="BQ406" s="654"/>
      <c r="BR406" s="694"/>
      <c r="BS406" s="654"/>
      <c r="BT406" s="654"/>
      <c r="BU406" s="654"/>
      <c r="BV406" s="654"/>
      <c r="BW406" s="645" t="s">
        <v>109</v>
      </c>
      <c r="BX406" s="658">
        <f t="shared" si="212"/>
        <v>30</v>
      </c>
      <c r="BY406" s="658">
        <f t="shared" si="213"/>
        <v>36</v>
      </c>
      <c r="BZ406" s="658">
        <f t="shared" si="214"/>
        <v>36</v>
      </c>
      <c r="CA406" s="658">
        <f t="shared" si="215"/>
        <v>30</v>
      </c>
      <c r="CB406" s="644">
        <f t="shared" si="205"/>
        <v>132</v>
      </c>
      <c r="CC406" s="658">
        <f t="shared" si="216"/>
        <v>12</v>
      </c>
      <c r="CD406" s="644">
        <f t="shared" si="201"/>
        <v>132</v>
      </c>
      <c r="CE406" s="644">
        <f t="shared" si="206"/>
        <v>0</v>
      </c>
    </row>
    <row r="407" s="338" customFormat="1" ht="40" customHeight="1" spans="1:83">
      <c r="A407" s="632">
        <v>45848</v>
      </c>
      <c r="B407" s="633" t="s">
        <v>1916</v>
      </c>
      <c r="C407" s="634" t="s">
        <v>247</v>
      </c>
      <c r="D407" s="635">
        <v>4500173375</v>
      </c>
      <c r="E407" s="659" t="s">
        <v>1921</v>
      </c>
      <c r="F407" s="636" t="s">
        <v>1922</v>
      </c>
      <c r="G407" s="637" t="s">
        <v>111</v>
      </c>
      <c r="H407" s="637" t="s">
        <v>99</v>
      </c>
      <c r="I407" s="638">
        <v>286</v>
      </c>
      <c r="J407" s="638">
        <v>0</v>
      </c>
      <c r="K407" s="639">
        <v>22</v>
      </c>
      <c r="L407" s="639">
        <f t="shared" si="203"/>
        <v>13</v>
      </c>
      <c r="M407" s="641">
        <v>45891</v>
      </c>
      <c r="N407" s="641">
        <v>45887</v>
      </c>
      <c r="O407" s="641"/>
      <c r="P407" s="642" t="s">
        <v>100</v>
      </c>
      <c r="Q407" s="643" t="s">
        <v>1886</v>
      </c>
      <c r="R407" s="642" t="s">
        <v>1861</v>
      </c>
      <c r="S407" s="641"/>
      <c r="T407" s="641"/>
      <c r="U407" s="642" t="s">
        <v>1919</v>
      </c>
      <c r="V407" s="677"/>
      <c r="W407" s="645"/>
      <c r="X407" s="647" t="s">
        <v>1920</v>
      </c>
      <c r="Y407" s="646" t="s">
        <v>253</v>
      </c>
      <c r="Z407" s="683">
        <v>2.7311</v>
      </c>
      <c r="AA407" s="650">
        <f t="shared" si="192"/>
        <v>781.0946</v>
      </c>
      <c r="AB407" s="649">
        <v>286</v>
      </c>
      <c r="AC407" s="649">
        <f t="shared" si="200"/>
        <v>0</v>
      </c>
      <c r="AD407" s="650" t="s">
        <v>106</v>
      </c>
      <c r="AE407" s="637" t="s">
        <v>111</v>
      </c>
      <c r="AF407" s="646" t="s">
        <v>107</v>
      </c>
      <c r="AG407" s="652" t="s">
        <v>43</v>
      </c>
      <c r="AH407" s="646"/>
      <c r="AI407" s="693"/>
      <c r="AJ407" s="693"/>
      <c r="AK407" s="693"/>
      <c r="AL407" s="649">
        <f t="shared" si="210"/>
        <v>286</v>
      </c>
      <c r="AM407" s="649"/>
      <c r="AN407" s="693"/>
      <c r="AO407" s="649"/>
      <c r="AP407" s="649"/>
      <c r="AQ407" s="653"/>
      <c r="AR407" s="693"/>
      <c r="AS407" s="693"/>
      <c r="AT407" s="649">
        <f t="shared" si="209"/>
        <v>286</v>
      </c>
      <c r="AU407" s="649"/>
      <c r="AV407" s="654"/>
      <c r="AW407" s="694"/>
      <c r="AX407" s="652">
        <f t="shared" si="211"/>
        <v>26</v>
      </c>
      <c r="AY407" s="652"/>
      <c r="AZ407" s="694"/>
      <c r="BA407" s="652"/>
      <c r="BB407" s="652"/>
      <c r="BC407" s="694"/>
      <c r="BD407" s="694"/>
      <c r="BE407" s="654"/>
      <c r="BF407" s="694"/>
      <c r="BG407" s="652"/>
      <c r="BH407" s="652"/>
      <c r="BI407" s="694"/>
      <c r="BJ407" s="694"/>
      <c r="BK407" s="654"/>
      <c r="BL407" s="654"/>
      <c r="BM407" s="654"/>
      <c r="BN407" s="654"/>
      <c r="BO407" s="654"/>
      <c r="BP407" s="694"/>
      <c r="BQ407" s="654"/>
      <c r="BR407" s="694"/>
      <c r="BS407" s="654"/>
      <c r="BT407" s="654"/>
      <c r="BU407" s="654"/>
      <c r="BV407" s="654"/>
      <c r="BW407" s="645" t="s">
        <v>109</v>
      </c>
      <c r="BX407" s="658">
        <f t="shared" si="212"/>
        <v>65</v>
      </c>
      <c r="BY407" s="658">
        <f t="shared" si="213"/>
        <v>78</v>
      </c>
      <c r="BZ407" s="658">
        <f t="shared" si="214"/>
        <v>78</v>
      </c>
      <c r="CA407" s="658">
        <f t="shared" si="215"/>
        <v>65</v>
      </c>
      <c r="CB407" s="644">
        <f t="shared" si="205"/>
        <v>286</v>
      </c>
      <c r="CC407" s="658">
        <f t="shared" si="216"/>
        <v>26</v>
      </c>
      <c r="CD407" s="644">
        <f t="shared" si="201"/>
        <v>286</v>
      </c>
      <c r="CE407" s="644">
        <f t="shared" si="206"/>
        <v>0</v>
      </c>
    </row>
    <row r="408" s="338" customFormat="1" ht="40" customHeight="1" spans="1:83">
      <c r="A408" s="632">
        <v>45848</v>
      </c>
      <c r="B408" s="633" t="s">
        <v>1916</v>
      </c>
      <c r="C408" s="634" t="s">
        <v>247</v>
      </c>
      <c r="D408" s="635">
        <v>4500173373</v>
      </c>
      <c r="E408" s="659" t="s">
        <v>1923</v>
      </c>
      <c r="F408" s="636" t="s">
        <v>1924</v>
      </c>
      <c r="G408" s="637" t="s">
        <v>111</v>
      </c>
      <c r="H408" s="637" t="s">
        <v>99</v>
      </c>
      <c r="I408" s="638">
        <v>594</v>
      </c>
      <c r="J408" s="638">
        <v>0</v>
      </c>
      <c r="K408" s="639">
        <v>22</v>
      </c>
      <c r="L408" s="639">
        <f t="shared" si="203"/>
        <v>27</v>
      </c>
      <c r="M408" s="641">
        <v>45891</v>
      </c>
      <c r="N408" s="641">
        <v>45887</v>
      </c>
      <c r="O408" s="641"/>
      <c r="P408" s="642" t="s">
        <v>100</v>
      </c>
      <c r="Q408" s="643" t="s">
        <v>1925</v>
      </c>
      <c r="R408" s="642" t="s">
        <v>1861</v>
      </c>
      <c r="S408" s="641"/>
      <c r="T408" s="641"/>
      <c r="U408" s="642" t="s">
        <v>1919</v>
      </c>
      <c r="V408" s="677"/>
      <c r="W408" s="645"/>
      <c r="X408" s="647" t="s">
        <v>1920</v>
      </c>
      <c r="Y408" s="646" t="s">
        <v>253</v>
      </c>
      <c r="Z408" s="683">
        <v>2.7311</v>
      </c>
      <c r="AA408" s="650">
        <f t="shared" si="192"/>
        <v>1622.2734</v>
      </c>
      <c r="AB408" s="649">
        <v>594</v>
      </c>
      <c r="AC408" s="649">
        <f t="shared" si="200"/>
        <v>0</v>
      </c>
      <c r="AD408" s="650" t="s">
        <v>106</v>
      </c>
      <c r="AE408" s="637" t="s">
        <v>111</v>
      </c>
      <c r="AF408" s="646" t="s">
        <v>107</v>
      </c>
      <c r="AG408" s="652" t="s">
        <v>43</v>
      </c>
      <c r="AH408" s="646"/>
      <c r="AI408" s="693"/>
      <c r="AJ408" s="693"/>
      <c r="AK408" s="693"/>
      <c r="AL408" s="649">
        <f t="shared" si="210"/>
        <v>594</v>
      </c>
      <c r="AM408" s="649"/>
      <c r="AN408" s="693"/>
      <c r="AO408" s="649"/>
      <c r="AP408" s="649"/>
      <c r="AQ408" s="653"/>
      <c r="AR408" s="693"/>
      <c r="AS408" s="693"/>
      <c r="AT408" s="649">
        <f t="shared" si="209"/>
        <v>594</v>
      </c>
      <c r="AU408" s="649"/>
      <c r="AV408" s="654"/>
      <c r="AW408" s="694"/>
      <c r="AX408" s="652">
        <f t="shared" si="211"/>
        <v>54</v>
      </c>
      <c r="AY408" s="652"/>
      <c r="AZ408" s="694"/>
      <c r="BA408" s="652"/>
      <c r="BB408" s="652"/>
      <c r="BC408" s="694"/>
      <c r="BD408" s="694"/>
      <c r="BE408" s="654"/>
      <c r="BF408" s="694"/>
      <c r="BG408" s="652"/>
      <c r="BH408" s="652"/>
      <c r="BI408" s="694"/>
      <c r="BJ408" s="694"/>
      <c r="BK408" s="654"/>
      <c r="BL408" s="654"/>
      <c r="BM408" s="654"/>
      <c r="BN408" s="654"/>
      <c r="BO408" s="654"/>
      <c r="BP408" s="694"/>
      <c r="BQ408" s="654"/>
      <c r="BR408" s="694"/>
      <c r="BS408" s="654"/>
      <c r="BT408" s="654"/>
      <c r="BU408" s="654"/>
      <c r="BV408" s="654"/>
      <c r="BW408" s="645" t="s">
        <v>109</v>
      </c>
      <c r="BX408" s="658">
        <f t="shared" si="212"/>
        <v>135</v>
      </c>
      <c r="BY408" s="658">
        <f t="shared" si="213"/>
        <v>162</v>
      </c>
      <c r="BZ408" s="658">
        <f t="shared" si="214"/>
        <v>162</v>
      </c>
      <c r="CA408" s="658">
        <f t="shared" si="215"/>
        <v>135</v>
      </c>
      <c r="CB408" s="644">
        <f t="shared" si="205"/>
        <v>594</v>
      </c>
      <c r="CC408" s="658">
        <f t="shared" si="216"/>
        <v>54</v>
      </c>
      <c r="CD408" s="644">
        <f t="shared" si="201"/>
        <v>594</v>
      </c>
      <c r="CE408" s="644">
        <f t="shared" si="206"/>
        <v>0</v>
      </c>
    </row>
    <row r="409" s="338" customFormat="1" ht="40" customHeight="1" spans="1:83">
      <c r="A409" s="632">
        <v>45838</v>
      </c>
      <c r="B409" s="633" t="s">
        <v>432</v>
      </c>
      <c r="C409" s="634" t="s">
        <v>380</v>
      </c>
      <c r="D409" s="635">
        <v>4500164293</v>
      </c>
      <c r="E409" s="659">
        <v>232332</v>
      </c>
      <c r="F409" s="636" t="s">
        <v>1926</v>
      </c>
      <c r="G409" s="637" t="s">
        <v>98</v>
      </c>
      <c r="H409" s="637" t="s">
        <v>99</v>
      </c>
      <c r="I409" s="638">
        <v>3504</v>
      </c>
      <c r="J409" s="638">
        <v>0</v>
      </c>
      <c r="K409" s="639">
        <v>24</v>
      </c>
      <c r="L409" s="639">
        <f t="shared" si="203"/>
        <v>146</v>
      </c>
      <c r="M409" s="641">
        <v>45891</v>
      </c>
      <c r="N409" s="641">
        <v>45887</v>
      </c>
      <c r="O409" s="641"/>
      <c r="P409" s="642" t="s">
        <v>100</v>
      </c>
      <c r="Q409" s="643" t="s">
        <v>1927</v>
      </c>
      <c r="R409" s="642" t="s">
        <v>1775</v>
      </c>
      <c r="S409" s="642"/>
      <c r="T409" s="642"/>
      <c r="U409" s="642" t="s">
        <v>1928</v>
      </c>
      <c r="V409" s="642"/>
      <c r="W409" s="645"/>
      <c r="X409" s="647" t="s">
        <v>1929</v>
      </c>
      <c r="Y409" s="646" t="s">
        <v>1424</v>
      </c>
      <c r="Z409" s="648">
        <v>2.4888</v>
      </c>
      <c r="AA409" s="650">
        <f t="shared" si="192"/>
        <v>8720.7552</v>
      </c>
      <c r="AB409" s="649">
        <v>3504</v>
      </c>
      <c r="AC409" s="649">
        <f t="shared" si="200"/>
        <v>0</v>
      </c>
      <c r="AD409" s="650" t="s">
        <v>106</v>
      </c>
      <c r="AE409" s="637" t="s">
        <v>98</v>
      </c>
      <c r="AF409" s="646" t="s">
        <v>107</v>
      </c>
      <c r="AG409" s="652" t="s">
        <v>43</v>
      </c>
      <c r="AH409" s="646"/>
      <c r="AI409" s="693"/>
      <c r="AJ409" s="693"/>
      <c r="AK409" s="693"/>
      <c r="AL409" s="649">
        <f t="shared" si="210"/>
        <v>3504</v>
      </c>
      <c r="AM409" s="649"/>
      <c r="AN409" s="693"/>
      <c r="AO409" s="649"/>
      <c r="AP409" s="649"/>
      <c r="AQ409" s="653"/>
      <c r="AR409" s="693"/>
      <c r="AS409" s="693"/>
      <c r="AT409" s="649">
        <f t="shared" si="209"/>
        <v>3504</v>
      </c>
      <c r="AU409" s="649"/>
      <c r="AV409" s="654"/>
      <c r="AW409" s="694"/>
      <c r="AX409" s="652"/>
      <c r="AY409" s="652"/>
      <c r="AZ409" s="694"/>
      <c r="BA409" s="652"/>
      <c r="BB409" s="652"/>
      <c r="BC409" s="694"/>
      <c r="BD409" s="694"/>
      <c r="BE409" s="654"/>
      <c r="BF409" s="694"/>
      <c r="BG409" s="652"/>
      <c r="BH409" s="652"/>
      <c r="BI409" s="694"/>
      <c r="BJ409" s="694"/>
      <c r="BK409" s="654"/>
      <c r="BL409" s="654"/>
      <c r="BM409" s="654"/>
      <c r="BN409" s="654"/>
      <c r="BO409" s="654"/>
      <c r="BP409" s="694"/>
      <c r="BQ409" s="654"/>
      <c r="BR409" s="694"/>
      <c r="BS409" s="654"/>
      <c r="BT409" s="654"/>
      <c r="BU409" s="654"/>
      <c r="BV409" s="654"/>
      <c r="BW409" s="645" t="s">
        <v>109</v>
      </c>
      <c r="BX409" s="658">
        <f>I409/4</f>
        <v>876</v>
      </c>
      <c r="BY409" s="658">
        <f>I409/4</f>
        <v>876</v>
      </c>
      <c r="BZ409" s="658">
        <f>I409/4</f>
        <v>876</v>
      </c>
      <c r="CA409" s="658">
        <f>I409/4</f>
        <v>876</v>
      </c>
      <c r="CB409" s="644">
        <f t="shared" si="205"/>
        <v>3504</v>
      </c>
      <c r="CC409" s="658"/>
      <c r="CD409" s="644">
        <f t="shared" si="201"/>
        <v>3504</v>
      </c>
      <c r="CE409" s="644">
        <f t="shared" si="206"/>
        <v>0</v>
      </c>
    </row>
    <row r="410" s="338" customFormat="1" ht="40" customHeight="1" spans="1:83">
      <c r="A410" s="632">
        <v>45853</v>
      </c>
      <c r="B410" s="633" t="s">
        <v>1930</v>
      </c>
      <c r="C410" s="634" t="s">
        <v>556</v>
      </c>
      <c r="D410" s="635">
        <v>4500173241</v>
      </c>
      <c r="E410" s="659" t="s">
        <v>1931</v>
      </c>
      <c r="F410" s="636" t="s">
        <v>1932</v>
      </c>
      <c r="G410" s="637" t="s">
        <v>111</v>
      </c>
      <c r="H410" s="637" t="s">
        <v>99</v>
      </c>
      <c r="I410" s="638">
        <v>330</v>
      </c>
      <c r="J410" s="638">
        <v>0</v>
      </c>
      <c r="K410" s="639">
        <v>22</v>
      </c>
      <c r="L410" s="639">
        <f t="shared" si="203"/>
        <v>15</v>
      </c>
      <c r="M410" s="641">
        <v>45894</v>
      </c>
      <c r="N410" s="641">
        <v>45890</v>
      </c>
      <c r="O410" s="641"/>
      <c r="P410" s="642" t="s">
        <v>100</v>
      </c>
      <c r="Q410" s="643" t="s">
        <v>1933</v>
      </c>
      <c r="R410" s="642" t="s">
        <v>1934</v>
      </c>
      <c r="S410" s="642"/>
      <c r="T410" s="642"/>
      <c r="U410" s="642" t="s">
        <v>113</v>
      </c>
      <c r="V410" s="642"/>
      <c r="W410" s="645"/>
      <c r="X410" s="647" t="s">
        <v>1935</v>
      </c>
      <c r="Y410" s="646" t="s">
        <v>1472</v>
      </c>
      <c r="Z410" s="683">
        <v>2.7311</v>
      </c>
      <c r="AA410" s="650">
        <f t="shared" si="192"/>
        <v>901.263</v>
      </c>
      <c r="AB410" s="649">
        <v>330</v>
      </c>
      <c r="AC410" s="649">
        <f t="shared" si="200"/>
        <v>0</v>
      </c>
      <c r="AD410" s="650" t="s">
        <v>113</v>
      </c>
      <c r="AE410" s="637" t="s">
        <v>111</v>
      </c>
      <c r="AF410" s="646" t="s">
        <v>107</v>
      </c>
      <c r="AG410" s="652" t="s">
        <v>43</v>
      </c>
      <c r="AH410" s="646"/>
      <c r="AI410" s="693"/>
      <c r="AJ410" s="693"/>
      <c r="AK410" s="693"/>
      <c r="AL410" s="649">
        <f t="shared" si="210"/>
        <v>330</v>
      </c>
      <c r="AM410" s="649"/>
      <c r="AN410" s="693"/>
      <c r="AO410" s="649"/>
      <c r="AP410" s="649"/>
      <c r="AQ410" s="653"/>
      <c r="AR410" s="693"/>
      <c r="AS410" s="693"/>
      <c r="AT410" s="649">
        <f t="shared" si="209"/>
        <v>330</v>
      </c>
      <c r="AU410" s="649"/>
      <c r="AV410" s="654"/>
      <c r="AW410" s="694"/>
      <c r="AX410" s="652">
        <f>I410/11</f>
        <v>30</v>
      </c>
      <c r="AY410" s="652"/>
      <c r="AZ410" s="694"/>
      <c r="BA410" s="652"/>
      <c r="BB410" s="652"/>
      <c r="BC410" s="694"/>
      <c r="BD410" s="694"/>
      <c r="BE410" s="654"/>
      <c r="BF410" s="694"/>
      <c r="BG410" s="652"/>
      <c r="BH410" s="652"/>
      <c r="BI410" s="694"/>
      <c r="BJ410" s="694"/>
      <c r="BK410" s="654"/>
      <c r="BL410" s="654"/>
      <c r="BM410" s="654"/>
      <c r="BN410" s="654"/>
      <c r="BO410" s="654"/>
      <c r="BP410" s="694"/>
      <c r="BQ410" s="654"/>
      <c r="BR410" s="694"/>
      <c r="BS410" s="654"/>
      <c r="BT410" s="654"/>
      <c r="BU410" s="654"/>
      <c r="BV410" s="654"/>
      <c r="BW410" s="645" t="s">
        <v>109</v>
      </c>
      <c r="BX410" s="658">
        <f>I410/22*5</f>
        <v>75</v>
      </c>
      <c r="BY410" s="658">
        <f>I410/22*6</f>
        <v>90</v>
      </c>
      <c r="BZ410" s="658">
        <f>I410/22*6</f>
        <v>90</v>
      </c>
      <c r="CA410" s="658">
        <f>I410/22*5</f>
        <v>75</v>
      </c>
      <c r="CB410" s="644">
        <f t="shared" si="205"/>
        <v>330</v>
      </c>
      <c r="CC410" s="658">
        <f>I410/11</f>
        <v>30</v>
      </c>
      <c r="CD410" s="644">
        <f t="shared" si="201"/>
        <v>330</v>
      </c>
      <c r="CE410" s="644">
        <f t="shared" si="206"/>
        <v>0</v>
      </c>
    </row>
    <row r="411" s="338" customFormat="1" ht="40" customHeight="1" spans="1:83">
      <c r="A411" s="632">
        <v>45856</v>
      </c>
      <c r="B411" s="633" t="s">
        <v>1888</v>
      </c>
      <c r="C411" s="634" t="s">
        <v>144</v>
      </c>
      <c r="D411" s="635">
        <v>4500174290</v>
      </c>
      <c r="E411" s="659">
        <v>5200007271</v>
      </c>
      <c r="F411" s="635" t="s">
        <v>1936</v>
      </c>
      <c r="G411" s="637" t="s">
        <v>774</v>
      </c>
      <c r="H411" s="637" t="s">
        <v>99</v>
      </c>
      <c r="I411" s="695">
        <v>4070</v>
      </c>
      <c r="J411" s="638">
        <v>0</v>
      </c>
      <c r="K411" s="639">
        <v>11</v>
      </c>
      <c r="L411" s="639">
        <f t="shared" si="203"/>
        <v>370</v>
      </c>
      <c r="M411" s="641">
        <v>45894</v>
      </c>
      <c r="N411" s="641">
        <v>45890</v>
      </c>
      <c r="O411" s="641"/>
      <c r="P411" s="642" t="s">
        <v>100</v>
      </c>
      <c r="Q411" s="643" t="s">
        <v>1937</v>
      </c>
      <c r="R411" s="642" t="s">
        <v>1874</v>
      </c>
      <c r="S411" s="642"/>
      <c r="T411" s="642"/>
      <c r="U411" s="642" t="s">
        <v>1938</v>
      </c>
      <c r="V411" s="642"/>
      <c r="W411" s="645"/>
      <c r="X411" s="647" t="s">
        <v>1939</v>
      </c>
      <c r="Y411" s="646" t="s">
        <v>1940</v>
      </c>
      <c r="Z411" s="648">
        <v>2.5944</v>
      </c>
      <c r="AA411" s="650">
        <f t="shared" si="192"/>
        <v>10559.208</v>
      </c>
      <c r="AB411" s="649">
        <v>4070</v>
      </c>
      <c r="AC411" s="649">
        <f t="shared" si="200"/>
        <v>0</v>
      </c>
      <c r="AD411" s="650" t="s">
        <v>106</v>
      </c>
      <c r="AE411" s="661" t="s">
        <v>597</v>
      </c>
      <c r="AF411" s="646" t="s">
        <v>107</v>
      </c>
      <c r="AG411" s="652" t="s">
        <v>43</v>
      </c>
      <c r="AH411" s="646"/>
      <c r="AI411" s="693"/>
      <c r="AJ411" s="693"/>
      <c r="AK411" s="693"/>
      <c r="AL411" s="649"/>
      <c r="AM411" s="649"/>
      <c r="AN411" s="693"/>
      <c r="AO411" s="649">
        <f>I411</f>
        <v>4070</v>
      </c>
      <c r="AP411" s="649"/>
      <c r="AQ411" s="653"/>
      <c r="AR411" s="693"/>
      <c r="AS411" s="693"/>
      <c r="AT411" s="649">
        <f t="shared" si="209"/>
        <v>4070</v>
      </c>
      <c r="AU411" s="649"/>
      <c r="AV411" s="654"/>
      <c r="AW411" s="694"/>
      <c r="AX411" s="652"/>
      <c r="AY411" s="652"/>
      <c r="AZ411" s="694"/>
      <c r="BA411" s="652">
        <f>I411/11</f>
        <v>370</v>
      </c>
      <c r="BB411" s="652"/>
      <c r="BC411" s="694"/>
      <c r="BD411" s="694"/>
      <c r="BE411" s="654"/>
      <c r="BF411" s="694"/>
      <c r="BG411" s="652"/>
      <c r="BH411" s="652"/>
      <c r="BI411" s="694"/>
      <c r="BJ411" s="694"/>
      <c r="BK411" s="654"/>
      <c r="BL411" s="654"/>
      <c r="BM411" s="654"/>
      <c r="BN411" s="654"/>
      <c r="BO411" s="654"/>
      <c r="BP411" s="694"/>
      <c r="BQ411" s="654"/>
      <c r="BR411" s="694"/>
      <c r="BS411" s="654"/>
      <c r="BT411" s="654"/>
      <c r="BU411" s="654"/>
      <c r="BV411" s="654"/>
      <c r="BW411" s="645" t="s">
        <v>109</v>
      </c>
      <c r="BX411" s="658">
        <f>I411/22*5</f>
        <v>925</v>
      </c>
      <c r="BY411" s="658">
        <f>I411/22*6</f>
        <v>1110</v>
      </c>
      <c r="BZ411" s="658">
        <f>I411/22*6</f>
        <v>1110</v>
      </c>
      <c r="CA411" s="658">
        <f>I411/22*5</f>
        <v>925</v>
      </c>
      <c r="CB411" s="644">
        <f t="shared" si="205"/>
        <v>4070</v>
      </c>
      <c r="CC411" s="658">
        <f>I411/11</f>
        <v>370</v>
      </c>
      <c r="CD411" s="644">
        <f t="shared" si="201"/>
        <v>4070</v>
      </c>
      <c r="CE411" s="644">
        <f t="shared" si="206"/>
        <v>0</v>
      </c>
    </row>
    <row r="412" s="338" customFormat="1" ht="40" customHeight="1" spans="1:83">
      <c r="A412" s="632">
        <v>45769</v>
      </c>
      <c r="B412" s="633" t="s">
        <v>94</v>
      </c>
      <c r="C412" s="634" t="s">
        <v>205</v>
      </c>
      <c r="D412" s="635">
        <v>4500164464</v>
      </c>
      <c r="E412" s="659" t="s">
        <v>116</v>
      </c>
      <c r="F412" s="636" t="s">
        <v>1941</v>
      </c>
      <c r="G412" s="637" t="s">
        <v>98</v>
      </c>
      <c r="H412" s="637" t="s">
        <v>99</v>
      </c>
      <c r="I412" s="638">
        <v>1296</v>
      </c>
      <c r="J412" s="638">
        <v>0</v>
      </c>
      <c r="K412" s="639">
        <v>24</v>
      </c>
      <c r="L412" s="639">
        <f t="shared" si="203"/>
        <v>54</v>
      </c>
      <c r="M412" s="641">
        <v>45896</v>
      </c>
      <c r="N412" s="641">
        <v>45892</v>
      </c>
      <c r="O412" s="641"/>
      <c r="P412" s="642" t="s">
        <v>100</v>
      </c>
      <c r="Q412" s="643" t="s">
        <v>1925</v>
      </c>
      <c r="R412" s="642" t="s">
        <v>1450</v>
      </c>
      <c r="S412" s="641"/>
      <c r="T412" s="641"/>
      <c r="U412" s="642" t="s">
        <v>1802</v>
      </c>
      <c r="V412" s="677"/>
      <c r="W412" s="645" t="s">
        <v>1770</v>
      </c>
      <c r="X412" s="647" t="s">
        <v>1803</v>
      </c>
      <c r="Y412" s="646" t="s">
        <v>972</v>
      </c>
      <c r="Z412" s="648">
        <v>2.4997</v>
      </c>
      <c r="AA412" s="650">
        <f>I412*Z412</f>
        <v>3239.6112</v>
      </c>
      <c r="AB412" s="649">
        <v>1296</v>
      </c>
      <c r="AC412" s="649">
        <f t="shared" si="200"/>
        <v>0</v>
      </c>
      <c r="AD412" s="650" t="s">
        <v>106</v>
      </c>
      <c r="AE412" s="637" t="s">
        <v>98</v>
      </c>
      <c r="AF412" s="646" t="s">
        <v>107</v>
      </c>
      <c r="AG412" s="652" t="s">
        <v>43</v>
      </c>
      <c r="AH412" s="646" t="s">
        <v>1942</v>
      </c>
      <c r="AI412" s="693"/>
      <c r="AJ412" s="693"/>
      <c r="AK412" s="693"/>
      <c r="AL412" s="649">
        <f>I412</f>
        <v>1296</v>
      </c>
      <c r="AM412" s="649"/>
      <c r="AN412" s="693"/>
      <c r="AO412" s="649"/>
      <c r="AP412" s="649"/>
      <c r="AQ412" s="653"/>
      <c r="AR412" s="693"/>
      <c r="AS412" s="693"/>
      <c r="AT412" s="649">
        <f t="shared" si="209"/>
        <v>1296</v>
      </c>
      <c r="AU412" s="649"/>
      <c r="AV412" s="654"/>
      <c r="AW412" s="694"/>
      <c r="AX412" s="652"/>
      <c r="AY412" s="652"/>
      <c r="AZ412" s="694"/>
      <c r="BA412" s="652"/>
      <c r="BB412" s="652"/>
      <c r="BC412" s="694"/>
      <c r="BD412" s="694"/>
      <c r="BE412" s="654"/>
      <c r="BF412" s="694"/>
      <c r="BG412" s="652"/>
      <c r="BH412" s="652"/>
      <c r="BI412" s="694"/>
      <c r="BJ412" s="694"/>
      <c r="BK412" s="654"/>
      <c r="BL412" s="654"/>
      <c r="BM412" s="654"/>
      <c r="BN412" s="654"/>
      <c r="BO412" s="654"/>
      <c r="BP412" s="694"/>
      <c r="BQ412" s="654"/>
      <c r="BR412" s="694"/>
      <c r="BS412" s="654"/>
      <c r="BT412" s="654"/>
      <c r="BU412" s="654"/>
      <c r="BV412" s="654"/>
      <c r="BW412" s="645" t="s">
        <v>109</v>
      </c>
      <c r="BX412" s="658">
        <f>I412/4</f>
        <v>324</v>
      </c>
      <c r="BY412" s="658">
        <f>I412/4</f>
        <v>324</v>
      </c>
      <c r="BZ412" s="658">
        <f>I412/4</f>
        <v>324</v>
      </c>
      <c r="CA412" s="658">
        <f>I412/4</f>
        <v>324</v>
      </c>
      <c r="CB412" s="644">
        <f t="shared" si="205"/>
        <v>1296</v>
      </c>
      <c r="CC412" s="644"/>
      <c r="CD412" s="644">
        <f t="shared" si="201"/>
        <v>1296</v>
      </c>
      <c r="CE412" s="644">
        <f t="shared" si="206"/>
        <v>0</v>
      </c>
    </row>
    <row r="413" s="338" customFormat="1" ht="40" customHeight="1" spans="1:83">
      <c r="A413" s="632">
        <v>45769</v>
      </c>
      <c r="B413" s="633" t="s">
        <v>94</v>
      </c>
      <c r="C413" s="634" t="s">
        <v>205</v>
      </c>
      <c r="D413" s="635">
        <v>4500164464</v>
      </c>
      <c r="E413" s="659" t="s">
        <v>125</v>
      </c>
      <c r="F413" s="636" t="s">
        <v>1943</v>
      </c>
      <c r="G413" s="637" t="s">
        <v>98</v>
      </c>
      <c r="H413" s="637" t="s">
        <v>99</v>
      </c>
      <c r="I413" s="638">
        <v>504</v>
      </c>
      <c r="J413" s="638">
        <v>0</v>
      </c>
      <c r="K413" s="639">
        <v>24</v>
      </c>
      <c r="L413" s="639">
        <f t="shared" si="203"/>
        <v>21</v>
      </c>
      <c r="M413" s="641">
        <v>45896</v>
      </c>
      <c r="N413" s="641">
        <v>45892</v>
      </c>
      <c r="O413" s="641"/>
      <c r="P413" s="642" t="s">
        <v>100</v>
      </c>
      <c r="Q413" s="643" t="s">
        <v>1925</v>
      </c>
      <c r="R413" s="642" t="s">
        <v>1450</v>
      </c>
      <c r="S413" s="641"/>
      <c r="T413" s="641"/>
      <c r="U413" s="642" t="s">
        <v>1802</v>
      </c>
      <c r="V413" s="677"/>
      <c r="W413" s="645" t="s">
        <v>1770</v>
      </c>
      <c r="X413" s="647" t="s">
        <v>1803</v>
      </c>
      <c r="Y413" s="646" t="s">
        <v>972</v>
      </c>
      <c r="Z413" s="648">
        <v>2.4997</v>
      </c>
      <c r="AA413" s="650">
        <f>I413*Z413</f>
        <v>1259.8488</v>
      </c>
      <c r="AB413" s="649">
        <v>504</v>
      </c>
      <c r="AC413" s="649">
        <f t="shared" si="200"/>
        <v>0</v>
      </c>
      <c r="AD413" s="650" t="s">
        <v>106</v>
      </c>
      <c r="AE413" s="637" t="s">
        <v>98</v>
      </c>
      <c r="AF413" s="646" t="s">
        <v>107</v>
      </c>
      <c r="AG413" s="652" t="s">
        <v>43</v>
      </c>
      <c r="AH413" s="646" t="s">
        <v>1944</v>
      </c>
      <c r="AI413" s="693"/>
      <c r="AJ413" s="693"/>
      <c r="AK413" s="693"/>
      <c r="AL413" s="649">
        <f>I413</f>
        <v>504</v>
      </c>
      <c r="AM413" s="649"/>
      <c r="AN413" s="693"/>
      <c r="AO413" s="649"/>
      <c r="AP413" s="649"/>
      <c r="AQ413" s="653"/>
      <c r="AR413" s="693"/>
      <c r="AS413" s="693"/>
      <c r="AT413" s="649">
        <f t="shared" si="209"/>
        <v>504</v>
      </c>
      <c r="AU413" s="649"/>
      <c r="AV413" s="654"/>
      <c r="AW413" s="694"/>
      <c r="AX413" s="652"/>
      <c r="AY413" s="652"/>
      <c r="AZ413" s="694"/>
      <c r="BA413" s="652"/>
      <c r="BB413" s="652"/>
      <c r="BC413" s="694"/>
      <c r="BD413" s="694"/>
      <c r="BE413" s="654"/>
      <c r="BF413" s="694"/>
      <c r="BG413" s="652"/>
      <c r="BH413" s="652"/>
      <c r="BI413" s="694"/>
      <c r="BJ413" s="694"/>
      <c r="BK413" s="654"/>
      <c r="BL413" s="654"/>
      <c r="BM413" s="654"/>
      <c r="BN413" s="654"/>
      <c r="BO413" s="654"/>
      <c r="BP413" s="694"/>
      <c r="BQ413" s="654"/>
      <c r="BR413" s="694"/>
      <c r="BS413" s="654"/>
      <c r="BT413" s="654"/>
      <c r="BU413" s="654"/>
      <c r="BV413" s="654"/>
      <c r="BW413" s="645" t="s">
        <v>109</v>
      </c>
      <c r="BX413" s="658">
        <f>I413/4</f>
        <v>126</v>
      </c>
      <c r="BY413" s="658">
        <f>I413/4</f>
        <v>126</v>
      </c>
      <c r="BZ413" s="658">
        <f>I413/4</f>
        <v>126</v>
      </c>
      <c r="CA413" s="658">
        <f>I413/4</f>
        <v>126</v>
      </c>
      <c r="CB413" s="644">
        <f t="shared" si="205"/>
        <v>504</v>
      </c>
      <c r="CC413" s="644"/>
      <c r="CD413" s="644">
        <f t="shared" si="201"/>
        <v>504</v>
      </c>
      <c r="CE413" s="644">
        <f t="shared" si="206"/>
        <v>0</v>
      </c>
    </row>
    <row r="414" s="338" customFormat="1" ht="40" customHeight="1" spans="1:83">
      <c r="A414" s="632">
        <v>45856</v>
      </c>
      <c r="B414" s="633" t="s">
        <v>1888</v>
      </c>
      <c r="C414" s="634" t="s">
        <v>144</v>
      </c>
      <c r="D414" s="635">
        <v>4500174290</v>
      </c>
      <c r="E414" s="659">
        <v>5200007271</v>
      </c>
      <c r="F414" s="635" t="s">
        <v>1945</v>
      </c>
      <c r="G414" s="637" t="s">
        <v>774</v>
      </c>
      <c r="H414" s="637" t="s">
        <v>99</v>
      </c>
      <c r="I414" s="695">
        <v>6050</v>
      </c>
      <c r="J414" s="638">
        <v>0</v>
      </c>
      <c r="K414" s="639">
        <v>11</v>
      </c>
      <c r="L414" s="639">
        <f t="shared" si="203"/>
        <v>550</v>
      </c>
      <c r="M414" s="641">
        <v>45894</v>
      </c>
      <c r="N414" s="641">
        <v>45890</v>
      </c>
      <c r="O414" s="641"/>
      <c r="P414" s="642" t="s">
        <v>100</v>
      </c>
      <c r="Q414" s="643" t="s">
        <v>1946</v>
      </c>
      <c r="R414" s="642" t="s">
        <v>1874</v>
      </c>
      <c r="S414" s="642"/>
      <c r="T414" s="642"/>
      <c r="U414" s="642" t="s">
        <v>1938</v>
      </c>
      <c r="V414" s="642"/>
      <c r="W414" s="645"/>
      <c r="X414" s="647" t="s">
        <v>1939</v>
      </c>
      <c r="Y414" s="646" t="s">
        <v>1940</v>
      </c>
      <c r="Z414" s="648">
        <v>2.626</v>
      </c>
      <c r="AA414" s="650">
        <f>I414*Z414</f>
        <v>15887.3</v>
      </c>
      <c r="AB414" s="649">
        <v>6050</v>
      </c>
      <c r="AC414" s="649">
        <f t="shared" si="200"/>
        <v>0</v>
      </c>
      <c r="AD414" s="650" t="s">
        <v>106</v>
      </c>
      <c r="AE414" s="661" t="s">
        <v>597</v>
      </c>
      <c r="AF414" s="646" t="s">
        <v>107</v>
      </c>
      <c r="AG414" s="652" t="s">
        <v>43</v>
      </c>
      <c r="AH414" s="646" t="s">
        <v>1947</v>
      </c>
      <c r="AI414" s="693"/>
      <c r="AJ414" s="693"/>
      <c r="AK414" s="693"/>
      <c r="AL414" s="649"/>
      <c r="AM414" s="649"/>
      <c r="AN414" s="693"/>
      <c r="AO414" s="649">
        <f>I414</f>
        <v>6050</v>
      </c>
      <c r="AP414" s="649"/>
      <c r="AQ414" s="653"/>
      <c r="AR414" s="693"/>
      <c r="AS414" s="693"/>
      <c r="AT414" s="649">
        <f t="shared" si="209"/>
        <v>6050</v>
      </c>
      <c r="AU414" s="649"/>
      <c r="AV414" s="654"/>
      <c r="AW414" s="694"/>
      <c r="AX414" s="652"/>
      <c r="AY414" s="652"/>
      <c r="AZ414" s="694"/>
      <c r="BA414" s="652">
        <f>I414/11</f>
        <v>550</v>
      </c>
      <c r="BB414" s="652"/>
      <c r="BC414" s="694"/>
      <c r="BD414" s="694"/>
      <c r="BE414" s="654"/>
      <c r="BF414" s="694"/>
      <c r="BG414" s="652"/>
      <c r="BH414" s="652"/>
      <c r="BI414" s="694"/>
      <c r="BJ414" s="694"/>
      <c r="BK414" s="654"/>
      <c r="BL414" s="654"/>
      <c r="BM414" s="654"/>
      <c r="BN414" s="654"/>
      <c r="BO414" s="654"/>
      <c r="BP414" s="694"/>
      <c r="BQ414" s="654"/>
      <c r="BR414" s="694"/>
      <c r="BS414" s="654"/>
      <c r="BT414" s="654"/>
      <c r="BU414" s="654"/>
      <c r="BV414" s="654"/>
      <c r="BW414" s="645" t="s">
        <v>109</v>
      </c>
      <c r="BX414" s="658">
        <f>I414/22*5</f>
        <v>1375</v>
      </c>
      <c r="BY414" s="658">
        <f>I414/22*6</f>
        <v>1650</v>
      </c>
      <c r="BZ414" s="658">
        <f>I414/22*6</f>
        <v>1650</v>
      </c>
      <c r="CA414" s="658">
        <f>I414/22*5</f>
        <v>1375</v>
      </c>
      <c r="CB414" s="644">
        <f t="shared" si="205"/>
        <v>6050</v>
      </c>
      <c r="CC414" s="658">
        <f>I414/11</f>
        <v>550</v>
      </c>
      <c r="CD414" s="644">
        <f t="shared" si="201"/>
        <v>6050</v>
      </c>
      <c r="CE414" s="644">
        <f t="shared" si="206"/>
        <v>0</v>
      </c>
    </row>
    <row r="415" s="338" customFormat="1" ht="40" customHeight="1" spans="1:83">
      <c r="A415" s="632">
        <v>45863</v>
      </c>
      <c r="B415" s="633" t="s">
        <v>1789</v>
      </c>
      <c r="C415" s="634" t="s">
        <v>380</v>
      </c>
      <c r="D415" s="635">
        <v>4500175135</v>
      </c>
      <c r="E415" s="659" t="s">
        <v>1948</v>
      </c>
      <c r="F415" s="635" t="s">
        <v>1949</v>
      </c>
      <c r="G415" s="637" t="s">
        <v>111</v>
      </c>
      <c r="H415" s="637" t="s">
        <v>99</v>
      </c>
      <c r="I415" s="638">
        <v>506</v>
      </c>
      <c r="J415" s="638">
        <v>0</v>
      </c>
      <c r="K415" s="639">
        <v>22</v>
      </c>
      <c r="L415" s="639">
        <f t="shared" si="203"/>
        <v>23</v>
      </c>
      <c r="M415" s="641">
        <v>45898</v>
      </c>
      <c r="N415" s="641">
        <v>45894</v>
      </c>
      <c r="O415" s="641"/>
      <c r="P415" s="642" t="s">
        <v>100</v>
      </c>
      <c r="Q415" s="643" t="s">
        <v>1950</v>
      </c>
      <c r="R415" s="642" t="s">
        <v>1951</v>
      </c>
      <c r="S415" s="641"/>
      <c r="T415" s="641"/>
      <c r="U415" s="642" t="s">
        <v>1952</v>
      </c>
      <c r="V415" s="677"/>
      <c r="W415" s="645"/>
      <c r="X415" s="647" t="s">
        <v>1953</v>
      </c>
      <c r="Y415" s="646" t="s">
        <v>1864</v>
      </c>
      <c r="Z415" s="683">
        <v>2.7311</v>
      </c>
      <c r="AA415" s="650">
        <f t="shared" ref="AA415:AA421" si="217">I415*Z415</f>
        <v>1381.9366</v>
      </c>
      <c r="AB415" s="649">
        <v>506</v>
      </c>
      <c r="AC415" s="649">
        <f t="shared" si="200"/>
        <v>0</v>
      </c>
      <c r="AD415" s="650" t="s">
        <v>123</v>
      </c>
      <c r="AE415" s="637" t="s">
        <v>230</v>
      </c>
      <c r="AF415" s="646" t="s">
        <v>107</v>
      </c>
      <c r="AG415" s="652" t="s">
        <v>43</v>
      </c>
      <c r="AH415" s="646" t="s">
        <v>1954</v>
      </c>
      <c r="AI415" s="693"/>
      <c r="AJ415" s="693"/>
      <c r="AK415" s="693"/>
      <c r="AL415" s="649"/>
      <c r="AM415" s="649"/>
      <c r="AN415" s="693"/>
      <c r="AO415" s="649">
        <f>I415</f>
        <v>506</v>
      </c>
      <c r="AP415" s="649"/>
      <c r="AQ415" s="653"/>
      <c r="AR415" s="693"/>
      <c r="AS415" s="693"/>
      <c r="AT415" s="649">
        <f t="shared" ref="AT415:AT423" si="218">I415</f>
        <v>506</v>
      </c>
      <c r="AU415" s="649"/>
      <c r="AV415" s="654"/>
      <c r="AW415" s="694"/>
      <c r="AX415" s="652"/>
      <c r="AY415" s="652"/>
      <c r="AZ415" s="694"/>
      <c r="BA415" s="652">
        <f>I415/11</f>
        <v>46</v>
      </c>
      <c r="BB415" s="652"/>
      <c r="BC415" s="694"/>
      <c r="BD415" s="694"/>
      <c r="BE415" s="654"/>
      <c r="BF415" s="694"/>
      <c r="BG415" s="652"/>
      <c r="BH415" s="652"/>
      <c r="BI415" s="694"/>
      <c r="BJ415" s="694"/>
      <c r="BK415" s="654"/>
      <c r="BL415" s="654"/>
      <c r="BM415" s="654"/>
      <c r="BN415" s="654"/>
      <c r="BO415" s="654"/>
      <c r="BP415" s="694"/>
      <c r="BQ415" s="654"/>
      <c r="BR415" s="694"/>
      <c r="BS415" s="654"/>
      <c r="BT415" s="654"/>
      <c r="BU415" s="654"/>
      <c r="BV415" s="654"/>
      <c r="BW415" s="645" t="s">
        <v>109</v>
      </c>
      <c r="BX415" s="658">
        <f>I415/22*5</f>
        <v>115</v>
      </c>
      <c r="BY415" s="658">
        <f>I415/22*6</f>
        <v>138</v>
      </c>
      <c r="BZ415" s="658">
        <f>I415/22*6</f>
        <v>138</v>
      </c>
      <c r="CA415" s="658">
        <f>I415/22*5</f>
        <v>115</v>
      </c>
      <c r="CB415" s="644">
        <f t="shared" si="205"/>
        <v>506</v>
      </c>
      <c r="CC415" s="658">
        <f>I415/11</f>
        <v>46</v>
      </c>
      <c r="CD415" s="644">
        <f t="shared" si="201"/>
        <v>506</v>
      </c>
      <c r="CE415" s="644">
        <f t="shared" si="206"/>
        <v>0</v>
      </c>
    </row>
    <row r="416" s="338" customFormat="1" ht="40" customHeight="1" spans="1:83">
      <c r="A416" s="632">
        <v>45863</v>
      </c>
      <c r="B416" s="633" t="s">
        <v>1763</v>
      </c>
      <c r="C416" s="634" t="s">
        <v>617</v>
      </c>
      <c r="D416" s="635">
        <v>4500175148</v>
      </c>
      <c r="E416" s="659" t="s">
        <v>1955</v>
      </c>
      <c r="F416" s="635" t="s">
        <v>1956</v>
      </c>
      <c r="G416" s="637" t="s">
        <v>111</v>
      </c>
      <c r="H416" s="637" t="s">
        <v>99</v>
      </c>
      <c r="I416" s="638">
        <v>220</v>
      </c>
      <c r="J416" s="638">
        <v>0</v>
      </c>
      <c r="K416" s="639">
        <v>22</v>
      </c>
      <c r="L416" s="639">
        <f t="shared" si="203"/>
        <v>10</v>
      </c>
      <c r="M416" s="641">
        <v>45899</v>
      </c>
      <c r="N416" s="641">
        <v>45895</v>
      </c>
      <c r="O416" s="641"/>
      <c r="P416" s="642" t="s">
        <v>100</v>
      </c>
      <c r="Q416" s="643" t="s">
        <v>1957</v>
      </c>
      <c r="R416" s="642" t="s">
        <v>1951</v>
      </c>
      <c r="S416" s="641"/>
      <c r="T416" s="641"/>
      <c r="U416" s="642" t="s">
        <v>1952</v>
      </c>
      <c r="V416" s="677"/>
      <c r="W416" s="645"/>
      <c r="X416" s="647" t="s">
        <v>1953</v>
      </c>
      <c r="Y416" s="646" t="s">
        <v>1864</v>
      </c>
      <c r="Z416" s="683">
        <v>2.7311</v>
      </c>
      <c r="AA416" s="650">
        <f t="shared" si="217"/>
        <v>600.842</v>
      </c>
      <c r="AB416" s="649">
        <v>220</v>
      </c>
      <c r="AC416" s="649">
        <f t="shared" si="200"/>
        <v>0</v>
      </c>
      <c r="AD416" s="650" t="s">
        <v>106</v>
      </c>
      <c r="AE416" s="637" t="s">
        <v>230</v>
      </c>
      <c r="AF416" s="646" t="s">
        <v>107</v>
      </c>
      <c r="AG416" s="652" t="s">
        <v>43</v>
      </c>
      <c r="AH416" s="646" t="s">
        <v>1958</v>
      </c>
      <c r="AI416" s="693"/>
      <c r="AJ416" s="693"/>
      <c r="AK416" s="693"/>
      <c r="AL416" s="649"/>
      <c r="AM416" s="649"/>
      <c r="AN416" s="693"/>
      <c r="AO416" s="649">
        <f>I416</f>
        <v>220</v>
      </c>
      <c r="AP416" s="649"/>
      <c r="AQ416" s="653"/>
      <c r="AR416" s="693"/>
      <c r="AS416" s="693"/>
      <c r="AT416" s="649">
        <f t="shared" si="218"/>
        <v>220</v>
      </c>
      <c r="AU416" s="649"/>
      <c r="AV416" s="654"/>
      <c r="AW416" s="694"/>
      <c r="AX416" s="652"/>
      <c r="AY416" s="652"/>
      <c r="AZ416" s="694"/>
      <c r="BA416" s="652">
        <f>I416/11</f>
        <v>20</v>
      </c>
      <c r="BB416" s="652"/>
      <c r="BC416" s="694"/>
      <c r="BD416" s="694"/>
      <c r="BE416" s="654"/>
      <c r="BF416" s="694"/>
      <c r="BG416" s="652"/>
      <c r="BH416" s="652"/>
      <c r="BI416" s="694"/>
      <c r="BJ416" s="694"/>
      <c r="BK416" s="654"/>
      <c r="BL416" s="654"/>
      <c r="BM416" s="654"/>
      <c r="BN416" s="654"/>
      <c r="BO416" s="654"/>
      <c r="BP416" s="694"/>
      <c r="BQ416" s="654"/>
      <c r="BR416" s="694"/>
      <c r="BS416" s="654"/>
      <c r="BT416" s="654"/>
      <c r="BU416" s="654"/>
      <c r="BV416" s="654"/>
      <c r="BW416" s="645" t="s">
        <v>109</v>
      </c>
      <c r="BX416" s="658">
        <f>I416/22*5</f>
        <v>50</v>
      </c>
      <c r="BY416" s="658">
        <f>I416/22*6</f>
        <v>60</v>
      </c>
      <c r="BZ416" s="658">
        <f>I416/22*6</f>
        <v>60</v>
      </c>
      <c r="CA416" s="658">
        <f>I416/22*5</f>
        <v>50</v>
      </c>
      <c r="CB416" s="644">
        <f t="shared" si="205"/>
        <v>220</v>
      </c>
      <c r="CC416" s="658">
        <f>I416/11</f>
        <v>20</v>
      </c>
      <c r="CD416" s="644">
        <f t="shared" si="201"/>
        <v>220</v>
      </c>
      <c r="CE416" s="644">
        <f t="shared" si="206"/>
        <v>0</v>
      </c>
    </row>
    <row r="417" s="338" customFormat="1" ht="40" customHeight="1" spans="1:83">
      <c r="A417" s="632">
        <v>45867</v>
      </c>
      <c r="B417" s="633" t="s">
        <v>1865</v>
      </c>
      <c r="C417" s="634" t="s">
        <v>214</v>
      </c>
      <c r="D417" s="635">
        <v>4500174788</v>
      </c>
      <c r="E417" s="659" t="s">
        <v>1959</v>
      </c>
      <c r="F417" s="635" t="s">
        <v>1960</v>
      </c>
      <c r="G417" s="637" t="s">
        <v>98</v>
      </c>
      <c r="H417" s="637" t="s">
        <v>99</v>
      </c>
      <c r="I417" s="638">
        <v>3960</v>
      </c>
      <c r="J417" s="638">
        <v>0</v>
      </c>
      <c r="K417" s="639">
        <v>24</v>
      </c>
      <c r="L417" s="639">
        <f t="shared" si="203"/>
        <v>165</v>
      </c>
      <c r="M417" s="641">
        <v>45901</v>
      </c>
      <c r="N417" s="641">
        <f>M417-4</f>
        <v>45897</v>
      </c>
      <c r="O417" s="641"/>
      <c r="P417" s="642" t="s">
        <v>100</v>
      </c>
      <c r="Q417" s="643" t="s">
        <v>1946</v>
      </c>
      <c r="R417" s="642" t="s">
        <v>1961</v>
      </c>
      <c r="S417" s="641"/>
      <c r="T417" s="641"/>
      <c r="U417" s="642" t="s">
        <v>1962</v>
      </c>
      <c r="V417" s="642"/>
      <c r="W417" s="645"/>
      <c r="X417" s="647" t="s">
        <v>1870</v>
      </c>
      <c r="Y417" s="646" t="s">
        <v>1871</v>
      </c>
      <c r="Z417" s="648">
        <v>1.4933</v>
      </c>
      <c r="AA417" s="650">
        <f t="shared" si="217"/>
        <v>5913.468</v>
      </c>
      <c r="AB417" s="649">
        <f>2592+1368</f>
        <v>3960</v>
      </c>
      <c r="AC417" s="649">
        <f t="shared" si="200"/>
        <v>0</v>
      </c>
      <c r="AD417" s="650" t="s">
        <v>106</v>
      </c>
      <c r="AE417" s="637" t="s">
        <v>98</v>
      </c>
      <c r="AF417" s="646" t="s">
        <v>107</v>
      </c>
      <c r="AG417" s="652" t="s">
        <v>43</v>
      </c>
      <c r="AH417" s="646" t="s">
        <v>1963</v>
      </c>
      <c r="AI417" s="693"/>
      <c r="AJ417" s="693"/>
      <c r="AK417" s="693"/>
      <c r="AL417" s="649">
        <f>I417</f>
        <v>3960</v>
      </c>
      <c r="AM417" s="649"/>
      <c r="AN417" s="693"/>
      <c r="AO417" s="649"/>
      <c r="AP417" s="649"/>
      <c r="AQ417" s="653"/>
      <c r="AR417" s="693"/>
      <c r="AS417" s="693"/>
      <c r="AT417" s="649">
        <f t="shared" si="218"/>
        <v>3960</v>
      </c>
      <c r="AU417" s="649"/>
      <c r="AV417" s="654"/>
      <c r="AW417" s="694"/>
      <c r="AX417" s="652"/>
      <c r="AY417" s="652"/>
      <c r="AZ417" s="694"/>
      <c r="BA417" s="652"/>
      <c r="BB417" s="652"/>
      <c r="BC417" s="694"/>
      <c r="BD417" s="694"/>
      <c r="BE417" s="654"/>
      <c r="BF417" s="694"/>
      <c r="BG417" s="652"/>
      <c r="BH417" s="652"/>
      <c r="BI417" s="694"/>
      <c r="BJ417" s="694"/>
      <c r="BK417" s="654"/>
      <c r="BL417" s="654"/>
      <c r="BM417" s="654"/>
      <c r="BN417" s="654"/>
      <c r="BO417" s="654"/>
      <c r="BP417" s="694"/>
      <c r="BQ417" s="654"/>
      <c r="BR417" s="694"/>
      <c r="BS417" s="654"/>
      <c r="BT417" s="654"/>
      <c r="BU417" s="654"/>
      <c r="BV417" s="654"/>
      <c r="BW417" s="645" t="s">
        <v>109</v>
      </c>
      <c r="BX417" s="658">
        <f>I417/4</f>
        <v>990</v>
      </c>
      <c r="BY417" s="658">
        <f>I417/4</f>
        <v>990</v>
      </c>
      <c r="BZ417" s="658">
        <f>I417/4</f>
        <v>990</v>
      </c>
      <c r="CA417" s="658">
        <f>I417/4</f>
        <v>990</v>
      </c>
      <c r="CB417" s="644">
        <f t="shared" si="205"/>
        <v>3960</v>
      </c>
      <c r="CC417" s="644"/>
      <c r="CD417" s="644">
        <f t="shared" si="201"/>
        <v>3960</v>
      </c>
      <c r="CE417" s="644">
        <f t="shared" si="206"/>
        <v>0</v>
      </c>
    </row>
    <row r="418" s="338" customFormat="1" ht="40" customHeight="1" spans="1:83">
      <c r="A418" s="632">
        <v>45862</v>
      </c>
      <c r="B418" s="633" t="s">
        <v>1964</v>
      </c>
      <c r="C418" s="634" t="s">
        <v>1965</v>
      </c>
      <c r="D418" s="635">
        <v>4500174900</v>
      </c>
      <c r="E418" s="659" t="s">
        <v>1966</v>
      </c>
      <c r="F418" s="635" t="s">
        <v>1967</v>
      </c>
      <c r="G418" s="637" t="s">
        <v>1968</v>
      </c>
      <c r="H418" s="637" t="s">
        <v>1969</v>
      </c>
      <c r="I418" s="638">
        <v>504</v>
      </c>
      <c r="J418" s="638">
        <v>1</v>
      </c>
      <c r="K418" s="639">
        <v>24</v>
      </c>
      <c r="L418" s="639">
        <f t="shared" si="203"/>
        <v>21</v>
      </c>
      <c r="M418" s="641">
        <v>45898</v>
      </c>
      <c r="N418" s="641">
        <v>45894</v>
      </c>
      <c r="O418" s="641" t="s">
        <v>1970</v>
      </c>
      <c r="P418" s="642" t="s">
        <v>100</v>
      </c>
      <c r="Q418" s="643"/>
      <c r="R418" s="642" t="s">
        <v>1971</v>
      </c>
      <c r="S418" s="641"/>
      <c r="T418" s="641"/>
      <c r="U418" s="642" t="s">
        <v>1972</v>
      </c>
      <c r="V418" s="677" t="s">
        <v>1973</v>
      </c>
      <c r="W418" s="645"/>
      <c r="X418" s="647" t="s">
        <v>1974</v>
      </c>
      <c r="Y418" s="646" t="s">
        <v>165</v>
      </c>
      <c r="Z418" s="648">
        <v>2.5966</v>
      </c>
      <c r="AA418" s="650">
        <f>Z418*'9543'!I418</f>
        <v>1308.6864</v>
      </c>
      <c r="AB418" s="649">
        <v>504</v>
      </c>
      <c r="AC418" s="649">
        <f t="shared" si="200"/>
        <v>0</v>
      </c>
      <c r="AD418" s="650" t="s">
        <v>123</v>
      </c>
      <c r="AE418" s="637" t="s">
        <v>1968</v>
      </c>
      <c r="AF418" s="646" t="s">
        <v>107</v>
      </c>
      <c r="AG418" s="652" t="s">
        <v>43</v>
      </c>
      <c r="AH418" s="646" t="s">
        <v>1975</v>
      </c>
      <c r="AI418" s="693"/>
      <c r="AJ418" s="693"/>
      <c r="AK418" s="693"/>
      <c r="AL418" s="649"/>
      <c r="AM418" s="649"/>
      <c r="AN418" s="693"/>
      <c r="AO418" s="649">
        <f>I418</f>
        <v>504</v>
      </c>
      <c r="AP418" s="649"/>
      <c r="AQ418" s="653"/>
      <c r="AR418" s="693"/>
      <c r="AS418" s="693"/>
      <c r="AT418" s="649">
        <f t="shared" si="218"/>
        <v>504</v>
      </c>
      <c r="AU418" s="649"/>
      <c r="AV418" s="654"/>
      <c r="AW418" s="694"/>
      <c r="AX418" s="652"/>
      <c r="AY418" s="652"/>
      <c r="AZ418" s="694"/>
      <c r="BA418" s="652"/>
      <c r="BB418" s="652"/>
      <c r="BC418" s="694"/>
      <c r="BD418" s="694"/>
      <c r="BE418" s="654"/>
      <c r="BF418" s="694"/>
      <c r="BG418" s="652"/>
      <c r="BH418" s="652"/>
      <c r="BI418" s="694"/>
      <c r="BJ418" s="694"/>
      <c r="BK418" s="654"/>
      <c r="BL418" s="654"/>
      <c r="BM418" s="654"/>
      <c r="BN418" s="654"/>
      <c r="BO418" s="654"/>
      <c r="BP418" s="694"/>
      <c r="BQ418" s="654"/>
      <c r="BR418" s="694"/>
      <c r="BS418" s="654"/>
      <c r="BT418" s="654"/>
      <c r="BU418" s="654"/>
      <c r="BV418" s="654"/>
      <c r="BW418" s="645" t="s">
        <v>109</v>
      </c>
      <c r="BX418" s="658"/>
      <c r="BY418" s="658">
        <f>I418</f>
        <v>504</v>
      </c>
      <c r="BZ418" s="658"/>
      <c r="CA418" s="658"/>
      <c r="CB418" s="644"/>
      <c r="CC418" s="658"/>
      <c r="CD418" s="644">
        <f t="shared" si="201"/>
        <v>504</v>
      </c>
      <c r="CE418" s="644">
        <f t="shared" si="206"/>
        <v>0</v>
      </c>
    </row>
    <row r="419" s="338" customFormat="1" ht="40" customHeight="1" spans="1:83">
      <c r="A419" s="632">
        <v>45863</v>
      </c>
      <c r="B419" s="633" t="s">
        <v>379</v>
      </c>
      <c r="C419" s="634" t="s">
        <v>380</v>
      </c>
      <c r="D419" s="635">
        <v>4500175025</v>
      </c>
      <c r="E419" s="659" t="s">
        <v>1976</v>
      </c>
      <c r="F419" s="635" t="s">
        <v>1977</v>
      </c>
      <c r="G419" s="637" t="s">
        <v>1968</v>
      </c>
      <c r="H419" s="637" t="s">
        <v>1969</v>
      </c>
      <c r="I419" s="638">
        <v>480</v>
      </c>
      <c r="J419" s="638">
        <v>1</v>
      </c>
      <c r="K419" s="639">
        <v>24</v>
      </c>
      <c r="L419" s="639">
        <f t="shared" si="203"/>
        <v>20</v>
      </c>
      <c r="M419" s="641">
        <v>45901</v>
      </c>
      <c r="N419" s="641">
        <f>M419-4</f>
        <v>45897</v>
      </c>
      <c r="O419" s="641" t="s">
        <v>1978</v>
      </c>
      <c r="P419" s="642" t="s">
        <v>100</v>
      </c>
      <c r="Q419" s="643" t="s">
        <v>1979</v>
      </c>
      <c r="R419" s="642" t="s">
        <v>993</v>
      </c>
      <c r="S419" s="641"/>
      <c r="T419" s="641"/>
      <c r="U419" s="642" t="s">
        <v>1980</v>
      </c>
      <c r="V419" s="642" t="s">
        <v>1981</v>
      </c>
      <c r="W419" s="645"/>
      <c r="X419" s="647" t="s">
        <v>1982</v>
      </c>
      <c r="Y419" s="646" t="s">
        <v>175</v>
      </c>
      <c r="Z419" s="683">
        <v>2.6493</v>
      </c>
      <c r="AA419" s="650">
        <f>Z419*'9543'!I419</f>
        <v>1271.664</v>
      </c>
      <c r="AB419" s="649">
        <v>480</v>
      </c>
      <c r="AC419" s="649">
        <f t="shared" si="200"/>
        <v>0</v>
      </c>
      <c r="AD419" s="650" t="s">
        <v>106</v>
      </c>
      <c r="AE419" s="637" t="s">
        <v>1968</v>
      </c>
      <c r="AF419" s="646" t="s">
        <v>107</v>
      </c>
      <c r="AG419" s="652" t="s">
        <v>43</v>
      </c>
      <c r="AH419" s="646" t="s">
        <v>1983</v>
      </c>
      <c r="AI419" s="696"/>
      <c r="AJ419" s="696"/>
      <c r="AK419" s="696"/>
      <c r="AL419" s="649"/>
      <c r="AM419" s="649"/>
      <c r="AN419" s="696"/>
      <c r="AO419" s="649">
        <f>I419</f>
        <v>480</v>
      </c>
      <c r="AP419" s="649"/>
      <c r="AQ419" s="653"/>
      <c r="AR419" s="696"/>
      <c r="AS419" s="696"/>
      <c r="AT419" s="649">
        <f t="shared" si="218"/>
        <v>480</v>
      </c>
      <c r="AU419" s="649"/>
      <c r="AV419" s="654"/>
      <c r="AW419" s="697"/>
      <c r="AX419" s="652"/>
      <c r="AY419" s="652"/>
      <c r="AZ419" s="697"/>
      <c r="BA419" s="652"/>
      <c r="BB419" s="652"/>
      <c r="BC419" s="697"/>
      <c r="BD419" s="697"/>
      <c r="BE419" s="654"/>
      <c r="BF419" s="697"/>
      <c r="BG419" s="652"/>
      <c r="BH419" s="652"/>
      <c r="BI419" s="697"/>
      <c r="BJ419" s="697"/>
      <c r="BK419" s="654"/>
      <c r="BL419" s="654"/>
      <c r="BM419" s="654"/>
      <c r="BN419" s="654"/>
      <c r="BO419" s="654"/>
      <c r="BP419" s="697"/>
      <c r="BQ419" s="654"/>
      <c r="BR419" s="697"/>
      <c r="BS419" s="654"/>
      <c r="BT419" s="654"/>
      <c r="BU419" s="654"/>
      <c r="BV419" s="654"/>
      <c r="BW419" s="645" t="s">
        <v>109</v>
      </c>
      <c r="BX419" s="658"/>
      <c r="BY419" s="658">
        <f>I419</f>
        <v>480</v>
      </c>
      <c r="BZ419" s="658"/>
      <c r="CA419" s="658"/>
      <c r="CB419" s="644"/>
      <c r="CC419" s="644"/>
      <c r="CD419" s="644">
        <f t="shared" si="201"/>
        <v>480</v>
      </c>
      <c r="CE419" s="644">
        <f t="shared" si="206"/>
        <v>0</v>
      </c>
    </row>
    <row r="420" s="338" customFormat="1" ht="40" customHeight="1" spans="1:83">
      <c r="A420" s="632">
        <v>45863</v>
      </c>
      <c r="B420" s="633" t="s">
        <v>379</v>
      </c>
      <c r="C420" s="634" t="s">
        <v>380</v>
      </c>
      <c r="D420" s="635">
        <v>4500175025</v>
      </c>
      <c r="E420" s="659" t="s">
        <v>1984</v>
      </c>
      <c r="F420" s="635" t="s">
        <v>1985</v>
      </c>
      <c r="G420" s="637" t="s">
        <v>1968</v>
      </c>
      <c r="H420" s="637" t="s">
        <v>1969</v>
      </c>
      <c r="I420" s="638">
        <v>480</v>
      </c>
      <c r="J420" s="638">
        <v>1</v>
      </c>
      <c r="K420" s="639">
        <v>24</v>
      </c>
      <c r="L420" s="639">
        <f t="shared" si="203"/>
        <v>20</v>
      </c>
      <c r="M420" s="641">
        <v>45901</v>
      </c>
      <c r="N420" s="641">
        <f>M420-4</f>
        <v>45897</v>
      </c>
      <c r="O420" s="641" t="s">
        <v>1978</v>
      </c>
      <c r="P420" s="642" t="s">
        <v>100</v>
      </c>
      <c r="Q420" s="643" t="s">
        <v>1986</v>
      </c>
      <c r="R420" s="642" t="s">
        <v>993</v>
      </c>
      <c r="S420" s="641"/>
      <c r="T420" s="641"/>
      <c r="U420" s="642" t="s">
        <v>1980</v>
      </c>
      <c r="V420" s="642" t="s">
        <v>1981</v>
      </c>
      <c r="W420" s="645"/>
      <c r="X420" s="647" t="s">
        <v>1982</v>
      </c>
      <c r="Y420" s="646" t="s">
        <v>175</v>
      </c>
      <c r="Z420" s="683">
        <v>2.6493</v>
      </c>
      <c r="AA420" s="650">
        <f>Z420*'9543'!I420</f>
        <v>1271.664</v>
      </c>
      <c r="AB420" s="649">
        <v>480</v>
      </c>
      <c r="AC420" s="649">
        <f t="shared" si="200"/>
        <v>0</v>
      </c>
      <c r="AD420" s="650" t="s">
        <v>106</v>
      </c>
      <c r="AE420" s="637" t="s">
        <v>1968</v>
      </c>
      <c r="AF420" s="646" t="s">
        <v>107</v>
      </c>
      <c r="AG420" s="652" t="s">
        <v>43</v>
      </c>
      <c r="AH420" s="646" t="s">
        <v>1987</v>
      </c>
      <c r="AI420" s="696"/>
      <c r="AJ420" s="696"/>
      <c r="AK420" s="696"/>
      <c r="AL420" s="649"/>
      <c r="AM420" s="649"/>
      <c r="AN420" s="696"/>
      <c r="AO420" s="649">
        <f>I420</f>
        <v>480</v>
      </c>
      <c r="AP420" s="649"/>
      <c r="AQ420" s="653"/>
      <c r="AR420" s="696"/>
      <c r="AS420" s="696"/>
      <c r="AT420" s="649">
        <f t="shared" si="218"/>
        <v>480</v>
      </c>
      <c r="AU420" s="649"/>
      <c r="AV420" s="654"/>
      <c r="AW420" s="697"/>
      <c r="AX420" s="652"/>
      <c r="AY420" s="652"/>
      <c r="AZ420" s="697"/>
      <c r="BA420" s="652"/>
      <c r="BB420" s="652"/>
      <c r="BC420" s="697"/>
      <c r="BD420" s="697"/>
      <c r="BE420" s="654"/>
      <c r="BF420" s="697"/>
      <c r="BG420" s="652"/>
      <c r="BH420" s="652"/>
      <c r="BI420" s="697"/>
      <c r="BJ420" s="697"/>
      <c r="BK420" s="654"/>
      <c r="BL420" s="654"/>
      <c r="BM420" s="654"/>
      <c r="BN420" s="654"/>
      <c r="BO420" s="654"/>
      <c r="BP420" s="697"/>
      <c r="BQ420" s="654"/>
      <c r="BR420" s="697"/>
      <c r="BS420" s="654"/>
      <c r="BT420" s="654"/>
      <c r="BU420" s="654"/>
      <c r="BV420" s="654"/>
      <c r="BW420" s="645" t="s">
        <v>109</v>
      </c>
      <c r="BX420" s="658"/>
      <c r="BY420" s="658">
        <f>I420</f>
        <v>480</v>
      </c>
      <c r="BZ420" s="658"/>
      <c r="CA420" s="658"/>
      <c r="CB420" s="644"/>
      <c r="CC420" s="644"/>
      <c r="CD420" s="644">
        <f t="shared" si="201"/>
        <v>480</v>
      </c>
      <c r="CE420" s="644">
        <f t="shared" si="206"/>
        <v>0</v>
      </c>
    </row>
    <row r="421" s="338" customFormat="1" ht="40" customHeight="1" spans="1:83">
      <c r="A421" s="632">
        <v>45863</v>
      </c>
      <c r="B421" s="633" t="s">
        <v>379</v>
      </c>
      <c r="C421" s="634" t="s">
        <v>380</v>
      </c>
      <c r="D421" s="635">
        <v>4500175025</v>
      </c>
      <c r="E421" s="659" t="s">
        <v>1988</v>
      </c>
      <c r="F421" s="635" t="s">
        <v>1989</v>
      </c>
      <c r="G421" s="637" t="s">
        <v>1968</v>
      </c>
      <c r="H421" s="637" t="s">
        <v>1969</v>
      </c>
      <c r="I421" s="638">
        <v>504</v>
      </c>
      <c r="J421" s="638">
        <v>1</v>
      </c>
      <c r="K421" s="639">
        <v>24</v>
      </c>
      <c r="L421" s="639">
        <f t="shared" si="203"/>
        <v>21</v>
      </c>
      <c r="M421" s="641">
        <v>45901</v>
      </c>
      <c r="N421" s="641">
        <f>M421-4</f>
        <v>45897</v>
      </c>
      <c r="O421" s="641" t="s">
        <v>1978</v>
      </c>
      <c r="P421" s="642" t="s">
        <v>100</v>
      </c>
      <c r="Q421" s="643" t="s">
        <v>1990</v>
      </c>
      <c r="R421" s="642" t="s">
        <v>993</v>
      </c>
      <c r="S421" s="641"/>
      <c r="T421" s="641"/>
      <c r="U421" s="642" t="s">
        <v>1980</v>
      </c>
      <c r="V421" s="642" t="s">
        <v>1981</v>
      </c>
      <c r="W421" s="645"/>
      <c r="X421" s="647" t="s">
        <v>1982</v>
      </c>
      <c r="Y421" s="646" t="s">
        <v>175</v>
      </c>
      <c r="Z421" s="683">
        <v>2.6493</v>
      </c>
      <c r="AA421" s="650">
        <f>Z421*'9543'!I421</f>
        <v>1335.2472</v>
      </c>
      <c r="AB421" s="649">
        <v>504</v>
      </c>
      <c r="AC421" s="649">
        <f t="shared" si="200"/>
        <v>0</v>
      </c>
      <c r="AD421" s="650" t="s">
        <v>106</v>
      </c>
      <c r="AE421" s="637" t="s">
        <v>1968</v>
      </c>
      <c r="AF421" s="646" t="s">
        <v>107</v>
      </c>
      <c r="AG421" s="652" t="s">
        <v>43</v>
      </c>
      <c r="AH421" s="646" t="s">
        <v>1987</v>
      </c>
      <c r="AI421" s="696"/>
      <c r="AJ421" s="696"/>
      <c r="AK421" s="696"/>
      <c r="AL421" s="649"/>
      <c r="AM421" s="649"/>
      <c r="AN421" s="696"/>
      <c r="AO421" s="649">
        <f>I421</f>
        <v>504</v>
      </c>
      <c r="AP421" s="649"/>
      <c r="AQ421" s="653"/>
      <c r="AR421" s="696"/>
      <c r="AS421" s="696"/>
      <c r="AT421" s="649">
        <f t="shared" si="218"/>
        <v>504</v>
      </c>
      <c r="AU421" s="649"/>
      <c r="AV421" s="654"/>
      <c r="AW421" s="697"/>
      <c r="AX421" s="652"/>
      <c r="AY421" s="652"/>
      <c r="AZ421" s="697"/>
      <c r="BA421" s="652"/>
      <c r="BB421" s="652"/>
      <c r="BC421" s="697"/>
      <c r="BD421" s="697"/>
      <c r="BE421" s="654"/>
      <c r="BF421" s="697"/>
      <c r="BG421" s="652"/>
      <c r="BH421" s="652"/>
      <c r="BI421" s="697"/>
      <c r="BJ421" s="697"/>
      <c r="BK421" s="654"/>
      <c r="BL421" s="654"/>
      <c r="BM421" s="654"/>
      <c r="BN421" s="654"/>
      <c r="BO421" s="654"/>
      <c r="BP421" s="697"/>
      <c r="BQ421" s="654"/>
      <c r="BR421" s="697"/>
      <c r="BS421" s="654"/>
      <c r="BT421" s="654"/>
      <c r="BU421" s="654"/>
      <c r="BV421" s="654"/>
      <c r="BW421" s="645" t="s">
        <v>109</v>
      </c>
      <c r="BX421" s="658"/>
      <c r="BY421" s="658">
        <f>I421</f>
        <v>504</v>
      </c>
      <c r="BZ421" s="658"/>
      <c r="CA421" s="658"/>
      <c r="CB421" s="644"/>
      <c r="CC421" s="644"/>
      <c r="CD421" s="644">
        <f t="shared" si="201"/>
        <v>504</v>
      </c>
      <c r="CE421" s="644">
        <f t="shared" si="206"/>
        <v>0</v>
      </c>
    </row>
    <row r="422" s="338" customFormat="1" ht="40" customHeight="1" spans="1:83">
      <c r="A422" s="632">
        <v>45863</v>
      </c>
      <c r="B422" s="633" t="s">
        <v>379</v>
      </c>
      <c r="C422" s="634" t="s">
        <v>380</v>
      </c>
      <c r="D422" s="635">
        <v>4500175025</v>
      </c>
      <c r="E422" s="659" t="s">
        <v>1988</v>
      </c>
      <c r="F422" s="635" t="s">
        <v>1991</v>
      </c>
      <c r="G422" s="637" t="s">
        <v>1992</v>
      </c>
      <c r="H422" s="637" t="s">
        <v>1993</v>
      </c>
      <c r="I422" s="638">
        <v>480</v>
      </c>
      <c r="J422" s="638">
        <v>1</v>
      </c>
      <c r="K422" s="639">
        <v>24</v>
      </c>
      <c r="L422" s="639">
        <f t="shared" si="203"/>
        <v>20</v>
      </c>
      <c r="M422" s="641">
        <v>45901</v>
      </c>
      <c r="N422" s="641">
        <f>M422-4</f>
        <v>45897</v>
      </c>
      <c r="O422" s="641" t="s">
        <v>1978</v>
      </c>
      <c r="P422" s="642" t="s">
        <v>100</v>
      </c>
      <c r="Q422" s="643" t="s">
        <v>1990</v>
      </c>
      <c r="R422" s="642" t="s">
        <v>993</v>
      </c>
      <c r="S422" s="641"/>
      <c r="T422" s="641"/>
      <c r="U422" s="642" t="s">
        <v>1980</v>
      </c>
      <c r="V422" s="642" t="s">
        <v>1981</v>
      </c>
      <c r="W422" s="645"/>
      <c r="X422" s="647" t="s">
        <v>1994</v>
      </c>
      <c r="Y422" s="646" t="s">
        <v>175</v>
      </c>
      <c r="Z422" s="683">
        <v>2.6493</v>
      </c>
      <c r="AA422" s="650">
        <f>Z422*'9543'!I422</f>
        <v>1271.664</v>
      </c>
      <c r="AB422" s="649">
        <v>480</v>
      </c>
      <c r="AC422" s="649">
        <f t="shared" si="200"/>
        <v>0</v>
      </c>
      <c r="AD422" s="318" t="s">
        <v>106</v>
      </c>
      <c r="AE422" s="637" t="s">
        <v>1992</v>
      </c>
      <c r="AF422" s="646" t="s">
        <v>107</v>
      </c>
      <c r="AG422" s="652" t="s">
        <v>43</v>
      </c>
      <c r="AH422" s="646" t="s">
        <v>1995</v>
      </c>
      <c r="AI422" s="696"/>
      <c r="AJ422" s="696"/>
      <c r="AK422" s="696"/>
      <c r="AL422" s="649"/>
      <c r="AM422" s="649"/>
      <c r="AN422" s="696"/>
      <c r="AO422" s="649">
        <f>I422</f>
        <v>480</v>
      </c>
      <c r="AP422" s="649"/>
      <c r="AQ422" s="653"/>
      <c r="AR422" s="696"/>
      <c r="AS422" s="696"/>
      <c r="AT422" s="649">
        <f t="shared" si="218"/>
        <v>480</v>
      </c>
      <c r="AU422" s="649"/>
      <c r="AV422" s="654"/>
      <c r="AW422" s="697"/>
      <c r="AX422" s="652"/>
      <c r="AY422" s="652"/>
      <c r="AZ422" s="697"/>
      <c r="BA422" s="652"/>
      <c r="BB422" s="652"/>
      <c r="BC422" s="697"/>
      <c r="BD422" s="697"/>
      <c r="BE422" s="654"/>
      <c r="BF422" s="697"/>
      <c r="BG422" s="652"/>
      <c r="BH422" s="652"/>
      <c r="BI422" s="697"/>
      <c r="BJ422" s="697"/>
      <c r="BK422" s="654"/>
      <c r="BL422" s="654"/>
      <c r="BM422" s="654"/>
      <c r="BN422" s="654"/>
      <c r="BO422" s="654"/>
      <c r="BP422" s="697"/>
      <c r="BQ422" s="654"/>
      <c r="BR422" s="697"/>
      <c r="BS422" s="654"/>
      <c r="BT422" s="654"/>
      <c r="BU422" s="654"/>
      <c r="BV422" s="654"/>
      <c r="BW422" s="645" t="s">
        <v>109</v>
      </c>
      <c r="BX422" s="658"/>
      <c r="BY422" s="658"/>
      <c r="BZ422" s="658"/>
      <c r="CA422" s="658">
        <f>I422</f>
        <v>480</v>
      </c>
      <c r="CB422" s="644"/>
      <c r="CC422" s="644"/>
      <c r="CD422" s="644">
        <f t="shared" si="201"/>
        <v>480</v>
      </c>
      <c r="CE422" s="644">
        <f t="shared" si="206"/>
        <v>0</v>
      </c>
    </row>
    <row r="423" s="338" customFormat="1" ht="40" customHeight="1" spans="1:83">
      <c r="A423" s="632">
        <v>45877</v>
      </c>
      <c r="B423" s="633" t="s">
        <v>1996</v>
      </c>
      <c r="C423" s="634" t="s">
        <v>380</v>
      </c>
      <c r="D423" s="635">
        <v>4500176452</v>
      </c>
      <c r="E423" s="659"/>
      <c r="F423" s="635" t="s">
        <v>1997</v>
      </c>
      <c r="G423" s="637" t="s">
        <v>1998</v>
      </c>
      <c r="H423" s="637" t="s">
        <v>1999</v>
      </c>
      <c r="I423" s="638">
        <v>6400</v>
      </c>
      <c r="J423" s="638">
        <v>8</v>
      </c>
      <c r="K423" s="639">
        <v>640</v>
      </c>
      <c r="L423" s="639">
        <f t="shared" si="203"/>
        <v>10</v>
      </c>
      <c r="M423" s="641">
        <v>45903</v>
      </c>
      <c r="N423" s="641">
        <f>M423-4</f>
        <v>45899</v>
      </c>
      <c r="O423" s="641"/>
      <c r="P423" s="642" t="s">
        <v>100</v>
      </c>
      <c r="Q423" s="643" t="s">
        <v>1990</v>
      </c>
      <c r="R423" s="642" t="s">
        <v>2000</v>
      </c>
      <c r="S423" s="641"/>
      <c r="T423" s="641"/>
      <c r="U423" s="698" t="s">
        <v>2001</v>
      </c>
      <c r="V423" s="642"/>
      <c r="W423" s="645"/>
      <c r="X423" s="647" t="s">
        <v>2002</v>
      </c>
      <c r="Y423" s="646" t="s">
        <v>2003</v>
      </c>
      <c r="Z423" s="648">
        <v>1546.6826</v>
      </c>
      <c r="AA423" s="650">
        <f>L423*Z423</f>
        <v>15466.826</v>
      </c>
      <c r="AB423" s="649">
        <f>5120+1280</f>
        <v>6400</v>
      </c>
      <c r="AC423" s="649">
        <f t="shared" si="200"/>
        <v>0</v>
      </c>
      <c r="AD423" s="650" t="s">
        <v>113</v>
      </c>
      <c r="AE423" s="637" t="s">
        <v>1998</v>
      </c>
      <c r="AF423" s="646" t="s">
        <v>107</v>
      </c>
      <c r="AG423" s="652" t="s">
        <v>43</v>
      </c>
      <c r="AH423" s="646" t="s">
        <v>2004</v>
      </c>
      <c r="AI423" s="699"/>
      <c r="AJ423" s="699"/>
      <c r="AK423" s="699"/>
      <c r="AL423" s="649">
        <f>I423</f>
        <v>6400</v>
      </c>
      <c r="AM423" s="649"/>
      <c r="AN423" s="699"/>
      <c r="AO423" s="649"/>
      <c r="AP423" s="649"/>
      <c r="AQ423" s="653"/>
      <c r="AR423" s="699"/>
      <c r="AS423" s="699"/>
      <c r="AT423" s="649">
        <f t="shared" si="218"/>
        <v>6400</v>
      </c>
      <c r="AU423" s="649"/>
      <c r="AV423" s="654"/>
      <c r="AW423" s="700"/>
      <c r="AX423" s="652"/>
      <c r="AY423" s="652"/>
      <c r="AZ423" s="700"/>
      <c r="BA423" s="652"/>
      <c r="BB423" s="652"/>
      <c r="BC423" s="700"/>
      <c r="BD423" s="700"/>
      <c r="BE423" s="654"/>
      <c r="BF423" s="700"/>
      <c r="BG423" s="652"/>
      <c r="BH423" s="652"/>
      <c r="BI423" s="700"/>
      <c r="BJ423" s="700"/>
      <c r="BK423" s="654"/>
      <c r="BL423" s="654"/>
      <c r="BM423" s="654"/>
      <c r="BN423" s="654"/>
      <c r="BO423" s="654"/>
      <c r="BP423" s="700"/>
      <c r="BQ423" s="654"/>
      <c r="BR423" s="700"/>
      <c r="BS423" s="652">
        <f>I423/8</f>
        <v>800</v>
      </c>
      <c r="BT423" s="654"/>
      <c r="BU423" s="654"/>
      <c r="BV423" s="654"/>
      <c r="BW423" s="645" t="s">
        <v>109</v>
      </c>
      <c r="BX423" s="658">
        <f>I423/4</f>
        <v>1600</v>
      </c>
      <c r="BY423" s="658">
        <f>I423/4</f>
        <v>1600</v>
      </c>
      <c r="BZ423" s="658">
        <f>I423/4</f>
        <v>1600</v>
      </c>
      <c r="CA423" s="658">
        <f>I423/4</f>
        <v>1600</v>
      </c>
      <c r="CB423" s="644">
        <f>I423</f>
        <v>6400</v>
      </c>
      <c r="CC423" s="644"/>
      <c r="CD423" s="644">
        <f t="shared" si="201"/>
        <v>6400</v>
      </c>
      <c r="CE423" s="644">
        <f t="shared" si="206"/>
        <v>0</v>
      </c>
    </row>
    <row r="424" s="338" customFormat="1" ht="40" customHeight="1" spans="1:83">
      <c r="A424" s="632">
        <v>45868</v>
      </c>
      <c r="B424" s="633" t="s">
        <v>286</v>
      </c>
      <c r="C424" s="634" t="s">
        <v>214</v>
      </c>
      <c r="D424" s="635">
        <v>4500175521</v>
      </c>
      <c r="E424" s="659" t="s">
        <v>2005</v>
      </c>
      <c r="F424" s="635" t="s">
        <v>2006</v>
      </c>
      <c r="G424" s="637" t="s">
        <v>241</v>
      </c>
      <c r="H424" s="637" t="s">
        <v>99</v>
      </c>
      <c r="I424" s="638">
        <v>3509</v>
      </c>
      <c r="J424" s="638">
        <v>0</v>
      </c>
      <c r="K424" s="639">
        <v>11</v>
      </c>
      <c r="L424" s="639">
        <f t="shared" si="203"/>
        <v>319</v>
      </c>
      <c r="M424" s="641">
        <v>45904</v>
      </c>
      <c r="N424" s="641">
        <f>M424-3</f>
        <v>45901</v>
      </c>
      <c r="O424" s="641"/>
      <c r="P424" s="642" t="s">
        <v>100</v>
      </c>
      <c r="Q424" s="643" t="s">
        <v>2007</v>
      </c>
      <c r="R424" s="642" t="s">
        <v>2008</v>
      </c>
      <c r="S424" s="641"/>
      <c r="T424" s="641"/>
      <c r="U424" s="642" t="s">
        <v>113</v>
      </c>
      <c r="V424" s="642"/>
      <c r="W424" s="645"/>
      <c r="X424" s="647" t="s">
        <v>2009</v>
      </c>
      <c r="Y424" s="646" t="s">
        <v>289</v>
      </c>
      <c r="Z424" s="683">
        <v>1.6208</v>
      </c>
      <c r="AA424" s="650">
        <f t="shared" ref="AA424:AA453" si="219">I424*Z424</f>
        <v>5687.3872</v>
      </c>
      <c r="AB424" s="649">
        <v>3509</v>
      </c>
      <c r="AC424" s="649">
        <f t="shared" si="200"/>
        <v>0</v>
      </c>
      <c r="AD424" s="642" t="s">
        <v>113</v>
      </c>
      <c r="AE424" s="637" t="s">
        <v>241</v>
      </c>
      <c r="AF424" s="646" t="s">
        <v>107</v>
      </c>
      <c r="AG424" s="652" t="s">
        <v>43</v>
      </c>
      <c r="AH424" s="646" t="s">
        <v>2010</v>
      </c>
      <c r="AI424" s="693"/>
      <c r="AJ424" s="693"/>
      <c r="AK424" s="693"/>
      <c r="AL424" s="649">
        <f>I424</f>
        <v>3509</v>
      </c>
      <c r="AM424" s="649"/>
      <c r="AN424" s="693"/>
      <c r="AO424" s="649"/>
      <c r="AP424" s="649"/>
      <c r="AQ424" s="653"/>
      <c r="AR424" s="693"/>
      <c r="AS424" s="693"/>
      <c r="AT424" s="649">
        <f t="shared" ref="AT424:AT429" si="220">I424</f>
        <v>3509</v>
      </c>
      <c r="AU424" s="649"/>
      <c r="AV424" s="654"/>
      <c r="AW424" s="694"/>
      <c r="AX424" s="652">
        <f>I424/11</f>
        <v>319</v>
      </c>
      <c r="AY424" s="652"/>
      <c r="AZ424" s="694"/>
      <c r="BA424" s="652"/>
      <c r="BB424" s="652"/>
      <c r="BC424" s="694"/>
      <c r="BD424" s="694"/>
      <c r="BE424" s="654"/>
      <c r="BF424" s="694"/>
      <c r="BG424" s="652"/>
      <c r="BH424" s="652"/>
      <c r="BI424" s="694"/>
      <c r="BJ424" s="694"/>
      <c r="BK424" s="654"/>
      <c r="BL424" s="654"/>
      <c r="BM424" s="654"/>
      <c r="BN424" s="654"/>
      <c r="BO424" s="654"/>
      <c r="BP424" s="694"/>
      <c r="BQ424" s="654"/>
      <c r="BR424" s="694"/>
      <c r="BS424" s="654"/>
      <c r="BT424" s="654"/>
      <c r="BU424" s="654"/>
      <c r="BV424" s="654"/>
      <c r="BW424" s="645" t="s">
        <v>109</v>
      </c>
      <c r="BX424" s="658">
        <f>I424/22*5</f>
        <v>797.5</v>
      </c>
      <c r="BY424" s="658">
        <f>I424/22*6</f>
        <v>957</v>
      </c>
      <c r="BZ424" s="658">
        <f>I424/22*6</f>
        <v>957</v>
      </c>
      <c r="CA424" s="658">
        <f>I424/22*5</f>
        <v>797.5</v>
      </c>
      <c r="CB424" s="644">
        <f t="shared" ref="CB424:CB471" si="221">I424</f>
        <v>3509</v>
      </c>
      <c r="CC424" s="658">
        <f>I424/11</f>
        <v>319</v>
      </c>
      <c r="CD424" s="644">
        <f t="shared" si="201"/>
        <v>3509</v>
      </c>
      <c r="CE424" s="644">
        <f t="shared" si="206"/>
        <v>0</v>
      </c>
    </row>
    <row r="425" s="338" customFormat="1" ht="40" customHeight="1" spans="1:83">
      <c r="A425" s="632">
        <v>45863</v>
      </c>
      <c r="B425" s="633" t="s">
        <v>1587</v>
      </c>
      <c r="C425" s="634" t="s">
        <v>178</v>
      </c>
      <c r="D425" s="635">
        <v>4500175030</v>
      </c>
      <c r="E425" s="659" t="s">
        <v>2011</v>
      </c>
      <c r="F425" s="635" t="s">
        <v>2012</v>
      </c>
      <c r="G425" s="637" t="s">
        <v>132</v>
      </c>
      <c r="H425" s="637" t="s">
        <v>99</v>
      </c>
      <c r="I425" s="638">
        <v>144</v>
      </c>
      <c r="J425" s="638">
        <v>0</v>
      </c>
      <c r="K425" s="639">
        <v>24</v>
      </c>
      <c r="L425" s="639">
        <f t="shared" si="203"/>
        <v>6</v>
      </c>
      <c r="M425" s="641">
        <v>45905</v>
      </c>
      <c r="N425" s="641">
        <v>45901</v>
      </c>
      <c r="O425" s="641"/>
      <c r="P425" s="642" t="s">
        <v>100</v>
      </c>
      <c r="Q425" s="643" t="s">
        <v>2013</v>
      </c>
      <c r="R425" s="642" t="s">
        <v>1951</v>
      </c>
      <c r="S425" s="641"/>
      <c r="T425" s="641"/>
      <c r="U425" s="642" t="s">
        <v>493</v>
      </c>
      <c r="V425" s="642" t="s">
        <v>2014</v>
      </c>
      <c r="W425" s="645"/>
      <c r="X425" s="647" t="s">
        <v>2015</v>
      </c>
      <c r="Y425" s="646" t="s">
        <v>734</v>
      </c>
      <c r="Z425" s="683">
        <v>2.5135</v>
      </c>
      <c r="AA425" s="650">
        <f t="shared" si="219"/>
        <v>361.944</v>
      </c>
      <c r="AB425" s="649">
        <v>144</v>
      </c>
      <c r="AC425" s="649">
        <f t="shared" si="200"/>
        <v>0</v>
      </c>
      <c r="AD425" s="650" t="s">
        <v>106</v>
      </c>
      <c r="AE425" s="637" t="s">
        <v>193</v>
      </c>
      <c r="AF425" s="646" t="s">
        <v>107</v>
      </c>
      <c r="AG425" s="652" t="s">
        <v>43</v>
      </c>
      <c r="AH425" s="646" t="s">
        <v>2016</v>
      </c>
      <c r="AI425" s="693"/>
      <c r="AJ425" s="693"/>
      <c r="AK425" s="693"/>
      <c r="AL425" s="649"/>
      <c r="AM425" s="649"/>
      <c r="AN425" s="693"/>
      <c r="AO425" s="649">
        <f>I425</f>
        <v>144</v>
      </c>
      <c r="AP425" s="649"/>
      <c r="AQ425" s="653"/>
      <c r="AR425" s="693"/>
      <c r="AS425" s="693"/>
      <c r="AT425" s="649">
        <f t="shared" si="220"/>
        <v>144</v>
      </c>
      <c r="AU425" s="649"/>
      <c r="AV425" s="654"/>
      <c r="AW425" s="694"/>
      <c r="AX425" s="652"/>
      <c r="AY425" s="652"/>
      <c r="AZ425" s="694"/>
      <c r="BA425" s="652"/>
      <c r="BB425" s="652"/>
      <c r="BC425" s="694"/>
      <c r="BD425" s="694"/>
      <c r="BE425" s="654"/>
      <c r="BF425" s="694"/>
      <c r="BG425" s="652"/>
      <c r="BH425" s="652"/>
      <c r="BI425" s="694"/>
      <c r="BJ425" s="694"/>
      <c r="BK425" s="654"/>
      <c r="BL425" s="654"/>
      <c r="BM425" s="654"/>
      <c r="BN425" s="654"/>
      <c r="BO425" s="654"/>
      <c r="BP425" s="694"/>
      <c r="BQ425" s="654"/>
      <c r="BR425" s="694"/>
      <c r="BS425" s="654"/>
      <c r="BT425" s="654"/>
      <c r="BU425" s="654"/>
      <c r="BV425" s="654"/>
      <c r="BW425" s="645" t="s">
        <v>109</v>
      </c>
      <c r="BX425" s="658">
        <f>I425</f>
        <v>144</v>
      </c>
      <c r="BY425" s="658"/>
      <c r="BZ425" s="658"/>
      <c r="CA425" s="658"/>
      <c r="CB425" s="644">
        <f t="shared" si="221"/>
        <v>144</v>
      </c>
      <c r="CC425" s="644"/>
      <c r="CD425" s="644">
        <f t="shared" si="201"/>
        <v>144</v>
      </c>
      <c r="CE425" s="644">
        <f t="shared" si="206"/>
        <v>0</v>
      </c>
    </row>
    <row r="426" s="338" customFormat="1" ht="40" customHeight="1" spans="1:83">
      <c r="A426" s="632">
        <v>45863</v>
      </c>
      <c r="B426" s="633" t="s">
        <v>1587</v>
      </c>
      <c r="C426" s="634" t="s">
        <v>178</v>
      </c>
      <c r="D426" s="635">
        <v>4500175030</v>
      </c>
      <c r="E426" s="659" t="s">
        <v>2017</v>
      </c>
      <c r="F426" s="635" t="s">
        <v>2018</v>
      </c>
      <c r="G426" s="637" t="s">
        <v>141</v>
      </c>
      <c r="H426" s="637" t="s">
        <v>99</v>
      </c>
      <c r="I426" s="638">
        <v>72</v>
      </c>
      <c r="J426" s="638">
        <v>0</v>
      </c>
      <c r="K426" s="639">
        <v>24</v>
      </c>
      <c r="L426" s="639">
        <f t="shared" si="203"/>
        <v>3</v>
      </c>
      <c r="M426" s="641">
        <v>45905</v>
      </c>
      <c r="N426" s="641">
        <v>45901</v>
      </c>
      <c r="O426" s="641"/>
      <c r="P426" s="642" t="s">
        <v>100</v>
      </c>
      <c r="Q426" s="643" t="s">
        <v>2013</v>
      </c>
      <c r="R426" s="642" t="s">
        <v>1951</v>
      </c>
      <c r="S426" s="641"/>
      <c r="T426" s="641"/>
      <c r="U426" s="642" t="s">
        <v>493</v>
      </c>
      <c r="V426" s="642" t="s">
        <v>2014</v>
      </c>
      <c r="W426" s="645"/>
      <c r="X426" s="647" t="s">
        <v>2015</v>
      </c>
      <c r="Y426" s="646" t="s">
        <v>734</v>
      </c>
      <c r="Z426" s="683">
        <v>2.5135</v>
      </c>
      <c r="AA426" s="650">
        <f t="shared" si="219"/>
        <v>180.972</v>
      </c>
      <c r="AB426" s="649">
        <v>72</v>
      </c>
      <c r="AC426" s="649">
        <f t="shared" si="200"/>
        <v>0</v>
      </c>
      <c r="AD426" s="650" t="s">
        <v>106</v>
      </c>
      <c r="AE426" s="637" t="s">
        <v>153</v>
      </c>
      <c r="AF426" s="646" t="s">
        <v>107</v>
      </c>
      <c r="AG426" s="652" t="s">
        <v>43</v>
      </c>
      <c r="AH426" s="646" t="s">
        <v>2016</v>
      </c>
      <c r="AI426" s="693"/>
      <c r="AJ426" s="693"/>
      <c r="AK426" s="693"/>
      <c r="AL426" s="649"/>
      <c r="AM426" s="649"/>
      <c r="AN426" s="693"/>
      <c r="AO426" s="649">
        <f>I426</f>
        <v>72</v>
      </c>
      <c r="AP426" s="649"/>
      <c r="AQ426" s="653"/>
      <c r="AR426" s="693"/>
      <c r="AS426" s="693"/>
      <c r="AT426" s="649">
        <f t="shared" si="220"/>
        <v>72</v>
      </c>
      <c r="AU426" s="649"/>
      <c r="AV426" s="654"/>
      <c r="AW426" s="694"/>
      <c r="AX426" s="652"/>
      <c r="AY426" s="652"/>
      <c r="AZ426" s="694"/>
      <c r="BA426" s="652"/>
      <c r="BB426" s="652"/>
      <c r="BC426" s="694"/>
      <c r="BD426" s="694"/>
      <c r="BE426" s="654"/>
      <c r="BF426" s="694"/>
      <c r="BG426" s="652"/>
      <c r="BH426" s="652"/>
      <c r="BI426" s="694"/>
      <c r="BJ426" s="694"/>
      <c r="BK426" s="654"/>
      <c r="BL426" s="654"/>
      <c r="BM426" s="654"/>
      <c r="BN426" s="654"/>
      <c r="BO426" s="654"/>
      <c r="BP426" s="694"/>
      <c r="BQ426" s="654"/>
      <c r="BR426" s="694"/>
      <c r="BS426" s="654"/>
      <c r="BT426" s="654"/>
      <c r="BU426" s="654"/>
      <c r="BV426" s="654"/>
      <c r="BW426" s="645" t="s">
        <v>109</v>
      </c>
      <c r="BX426" s="658"/>
      <c r="BY426" s="658"/>
      <c r="BZ426" s="658">
        <f>I426</f>
        <v>72</v>
      </c>
      <c r="CA426" s="658"/>
      <c r="CB426" s="644">
        <f t="shared" si="221"/>
        <v>72</v>
      </c>
      <c r="CC426" s="644"/>
      <c r="CD426" s="644">
        <f t="shared" si="201"/>
        <v>72</v>
      </c>
      <c r="CE426" s="644">
        <f t="shared" si="206"/>
        <v>0</v>
      </c>
    </row>
    <row r="427" s="338" customFormat="1" ht="40" customHeight="1" spans="1:83">
      <c r="A427" s="632">
        <v>45863</v>
      </c>
      <c r="B427" s="633" t="s">
        <v>1587</v>
      </c>
      <c r="C427" s="634" t="s">
        <v>178</v>
      </c>
      <c r="D427" s="635">
        <v>4500175030</v>
      </c>
      <c r="E427" s="659" t="s">
        <v>2019</v>
      </c>
      <c r="F427" s="635" t="s">
        <v>2020</v>
      </c>
      <c r="G427" s="637" t="s">
        <v>141</v>
      </c>
      <c r="H427" s="637" t="s">
        <v>99</v>
      </c>
      <c r="I427" s="638">
        <v>24</v>
      </c>
      <c r="J427" s="638">
        <v>0</v>
      </c>
      <c r="K427" s="639">
        <v>24</v>
      </c>
      <c r="L427" s="639">
        <f t="shared" si="203"/>
        <v>1</v>
      </c>
      <c r="M427" s="641">
        <v>45905</v>
      </c>
      <c r="N427" s="641">
        <v>45901</v>
      </c>
      <c r="O427" s="641"/>
      <c r="P427" s="642" t="s">
        <v>100</v>
      </c>
      <c r="Q427" s="643" t="s">
        <v>2013</v>
      </c>
      <c r="R427" s="642" t="s">
        <v>1951</v>
      </c>
      <c r="S427" s="641"/>
      <c r="T427" s="641"/>
      <c r="U427" s="642" t="s">
        <v>493</v>
      </c>
      <c r="V427" s="642" t="s">
        <v>2014</v>
      </c>
      <c r="W427" s="645"/>
      <c r="X427" s="647" t="s">
        <v>2015</v>
      </c>
      <c r="Y427" s="646" t="s">
        <v>734</v>
      </c>
      <c r="Z427" s="683">
        <v>2.5135</v>
      </c>
      <c r="AA427" s="650">
        <f t="shared" si="219"/>
        <v>60.324</v>
      </c>
      <c r="AB427" s="649">
        <v>24</v>
      </c>
      <c r="AC427" s="649">
        <f t="shared" si="200"/>
        <v>0</v>
      </c>
      <c r="AD427" s="650" t="s">
        <v>106</v>
      </c>
      <c r="AE427" s="637" t="s">
        <v>153</v>
      </c>
      <c r="AF427" s="646" t="s">
        <v>107</v>
      </c>
      <c r="AG427" s="652" t="s">
        <v>43</v>
      </c>
      <c r="AH427" s="646" t="s">
        <v>2016</v>
      </c>
      <c r="AI427" s="693"/>
      <c r="AJ427" s="693"/>
      <c r="AK427" s="693"/>
      <c r="AL427" s="649"/>
      <c r="AM427" s="649"/>
      <c r="AN427" s="693"/>
      <c r="AO427" s="649">
        <f>I427</f>
        <v>24</v>
      </c>
      <c r="AP427" s="649"/>
      <c r="AQ427" s="653"/>
      <c r="AR427" s="693"/>
      <c r="AS427" s="693"/>
      <c r="AT427" s="649">
        <f t="shared" si="220"/>
        <v>24</v>
      </c>
      <c r="AU427" s="649"/>
      <c r="AV427" s="654"/>
      <c r="AW427" s="694"/>
      <c r="AX427" s="652"/>
      <c r="AY427" s="652"/>
      <c r="AZ427" s="694"/>
      <c r="BA427" s="652"/>
      <c r="BB427" s="652"/>
      <c r="BC427" s="694"/>
      <c r="BD427" s="694"/>
      <c r="BE427" s="654"/>
      <c r="BF427" s="694"/>
      <c r="BG427" s="652"/>
      <c r="BH427" s="652"/>
      <c r="BI427" s="694"/>
      <c r="BJ427" s="694"/>
      <c r="BK427" s="654"/>
      <c r="BL427" s="654"/>
      <c r="BM427" s="654"/>
      <c r="BN427" s="654"/>
      <c r="BO427" s="654"/>
      <c r="BP427" s="694"/>
      <c r="BQ427" s="654"/>
      <c r="BR427" s="694"/>
      <c r="BS427" s="654"/>
      <c r="BT427" s="654"/>
      <c r="BU427" s="654"/>
      <c r="BV427" s="654"/>
      <c r="BW427" s="645" t="s">
        <v>109</v>
      </c>
      <c r="BX427" s="658"/>
      <c r="BY427" s="658"/>
      <c r="BZ427" s="658">
        <f>I427</f>
        <v>24</v>
      </c>
      <c r="CA427" s="658"/>
      <c r="CB427" s="644">
        <f t="shared" si="221"/>
        <v>24</v>
      </c>
      <c r="CC427" s="644"/>
      <c r="CD427" s="644">
        <f t="shared" si="201"/>
        <v>24</v>
      </c>
      <c r="CE427" s="644">
        <f t="shared" si="206"/>
        <v>0</v>
      </c>
    </row>
    <row r="428" s="338" customFormat="1" ht="40" customHeight="1" spans="1:83">
      <c r="A428" s="632">
        <v>45852</v>
      </c>
      <c r="B428" s="633" t="s">
        <v>2021</v>
      </c>
      <c r="C428" s="634" t="s">
        <v>317</v>
      </c>
      <c r="D428" s="635">
        <v>4500173750</v>
      </c>
      <c r="E428" s="659"/>
      <c r="F428" s="636" t="s">
        <v>2022</v>
      </c>
      <c r="G428" s="637" t="s">
        <v>111</v>
      </c>
      <c r="H428" s="637" t="s">
        <v>99</v>
      </c>
      <c r="I428" s="638">
        <v>1210</v>
      </c>
      <c r="J428" s="638">
        <v>0</v>
      </c>
      <c r="K428" s="639">
        <v>22</v>
      </c>
      <c r="L428" s="639">
        <f t="shared" si="203"/>
        <v>55</v>
      </c>
      <c r="M428" s="641">
        <v>45909</v>
      </c>
      <c r="N428" s="641">
        <v>45905</v>
      </c>
      <c r="O428" s="641"/>
      <c r="P428" s="642" t="s">
        <v>100</v>
      </c>
      <c r="Q428" s="643" t="s">
        <v>1946</v>
      </c>
      <c r="R428" s="642" t="s">
        <v>2008</v>
      </c>
      <c r="S428" s="641"/>
      <c r="T428" s="641"/>
      <c r="U428" s="642" t="s">
        <v>2023</v>
      </c>
      <c r="V428" s="677"/>
      <c r="W428" s="645"/>
      <c r="X428" s="647" t="s">
        <v>2024</v>
      </c>
      <c r="Y428" s="646" t="s">
        <v>281</v>
      </c>
      <c r="Z428" s="683">
        <v>2.6826</v>
      </c>
      <c r="AA428" s="650">
        <f t="shared" si="219"/>
        <v>3245.946</v>
      </c>
      <c r="AB428" s="649">
        <v>1210</v>
      </c>
      <c r="AC428" s="649">
        <f t="shared" si="200"/>
        <v>0</v>
      </c>
      <c r="AD428" s="650" t="s">
        <v>106</v>
      </c>
      <c r="AE428" s="701" t="s">
        <v>230</v>
      </c>
      <c r="AF428" s="646" t="s">
        <v>107</v>
      </c>
      <c r="AG428" s="652" t="s">
        <v>43</v>
      </c>
      <c r="AH428" s="646" t="s">
        <v>2025</v>
      </c>
      <c r="AI428" s="693"/>
      <c r="AJ428" s="693"/>
      <c r="AK428" s="693"/>
      <c r="AL428" s="649"/>
      <c r="AM428" s="649"/>
      <c r="AN428" s="693"/>
      <c r="AO428" s="649">
        <f>I428</f>
        <v>1210</v>
      </c>
      <c r="AP428" s="649"/>
      <c r="AQ428" s="653"/>
      <c r="AR428" s="693"/>
      <c r="AS428" s="693"/>
      <c r="AT428" s="649">
        <f t="shared" si="220"/>
        <v>1210</v>
      </c>
      <c r="AU428" s="649"/>
      <c r="AV428" s="654"/>
      <c r="AW428" s="694"/>
      <c r="AX428" s="652"/>
      <c r="AY428" s="652"/>
      <c r="AZ428" s="694"/>
      <c r="BA428" s="652">
        <f>I428/11</f>
        <v>110</v>
      </c>
      <c r="BB428" s="652"/>
      <c r="BC428" s="694"/>
      <c r="BD428" s="694"/>
      <c r="BE428" s="654"/>
      <c r="BF428" s="694"/>
      <c r="BG428" s="652"/>
      <c r="BH428" s="652"/>
      <c r="BI428" s="694"/>
      <c r="BJ428" s="694"/>
      <c r="BK428" s="654"/>
      <c r="BL428" s="654"/>
      <c r="BM428" s="654"/>
      <c r="BN428" s="654"/>
      <c r="BO428" s="654"/>
      <c r="BP428" s="694"/>
      <c r="BQ428" s="654"/>
      <c r="BR428" s="694"/>
      <c r="BS428" s="654"/>
      <c r="BT428" s="654"/>
      <c r="BU428" s="654"/>
      <c r="BV428" s="654"/>
      <c r="BW428" s="645" t="s">
        <v>109</v>
      </c>
      <c r="BX428" s="658">
        <f t="shared" ref="BX428:BX433" si="222">I428/22*5</f>
        <v>275</v>
      </c>
      <c r="BY428" s="658">
        <f t="shared" ref="BY428:BY433" si="223">I428/22*6</f>
        <v>330</v>
      </c>
      <c r="BZ428" s="658">
        <f t="shared" ref="BZ428:BZ433" si="224">I428/22*6</f>
        <v>330</v>
      </c>
      <c r="CA428" s="658">
        <f t="shared" ref="CA428:CA433" si="225">I428/22*5</f>
        <v>275</v>
      </c>
      <c r="CB428" s="644">
        <f t="shared" si="221"/>
        <v>1210</v>
      </c>
      <c r="CC428" s="658">
        <f t="shared" ref="CC428:CC433" si="226">I428/11</f>
        <v>110</v>
      </c>
      <c r="CD428" s="644">
        <f t="shared" si="201"/>
        <v>1210</v>
      </c>
      <c r="CE428" s="644">
        <f t="shared" si="206"/>
        <v>0</v>
      </c>
    </row>
    <row r="429" s="338" customFormat="1" ht="40" customHeight="1" spans="1:83">
      <c r="A429" s="632">
        <v>45866</v>
      </c>
      <c r="B429" s="633" t="s">
        <v>709</v>
      </c>
      <c r="C429" s="634" t="s">
        <v>247</v>
      </c>
      <c r="D429" s="635">
        <v>4500175221</v>
      </c>
      <c r="E429" s="659">
        <v>2465887</v>
      </c>
      <c r="F429" s="635" t="s">
        <v>2026</v>
      </c>
      <c r="G429" s="637" t="s">
        <v>111</v>
      </c>
      <c r="H429" s="637" t="s">
        <v>99</v>
      </c>
      <c r="I429" s="638">
        <v>1518</v>
      </c>
      <c r="J429" s="638">
        <v>0</v>
      </c>
      <c r="K429" s="639">
        <v>22</v>
      </c>
      <c r="L429" s="639">
        <f t="shared" si="203"/>
        <v>69</v>
      </c>
      <c r="M429" s="641">
        <v>45908</v>
      </c>
      <c r="N429" s="641">
        <v>45904</v>
      </c>
      <c r="O429" s="641"/>
      <c r="P429" s="642" t="s">
        <v>100</v>
      </c>
      <c r="Q429" s="643"/>
      <c r="R429" s="642" t="s">
        <v>2027</v>
      </c>
      <c r="S429" s="641"/>
      <c r="T429" s="641"/>
      <c r="U429" s="642" t="s">
        <v>2028</v>
      </c>
      <c r="V429" s="642"/>
      <c r="W429" s="645"/>
      <c r="X429" s="647" t="s">
        <v>2029</v>
      </c>
      <c r="Y429" s="646" t="s">
        <v>253</v>
      </c>
      <c r="Z429" s="683">
        <v>2.6826</v>
      </c>
      <c r="AA429" s="650">
        <f t="shared" si="219"/>
        <v>4072.1868</v>
      </c>
      <c r="AB429" s="649">
        <v>1518</v>
      </c>
      <c r="AC429" s="649">
        <f t="shared" si="200"/>
        <v>0</v>
      </c>
      <c r="AD429" s="650" t="s">
        <v>106</v>
      </c>
      <c r="AE429" s="637" t="s">
        <v>111</v>
      </c>
      <c r="AF429" s="646" t="s">
        <v>107</v>
      </c>
      <c r="AG429" s="652" t="s">
        <v>43</v>
      </c>
      <c r="AH429" s="646" t="s">
        <v>2030</v>
      </c>
      <c r="AI429" s="693"/>
      <c r="AJ429" s="693"/>
      <c r="AK429" s="693"/>
      <c r="AL429" s="649">
        <f>I429</f>
        <v>1518</v>
      </c>
      <c r="AM429" s="649"/>
      <c r="AN429" s="693"/>
      <c r="AO429" s="649"/>
      <c r="AP429" s="649"/>
      <c r="AQ429" s="653"/>
      <c r="AR429" s="693"/>
      <c r="AS429" s="693"/>
      <c r="AT429" s="649">
        <f t="shared" si="220"/>
        <v>1518</v>
      </c>
      <c r="AU429" s="649"/>
      <c r="AV429" s="654"/>
      <c r="AW429" s="694"/>
      <c r="AX429" s="652">
        <f>I429/11</f>
        <v>138</v>
      </c>
      <c r="AY429" s="652"/>
      <c r="AZ429" s="694"/>
      <c r="BA429" s="652"/>
      <c r="BB429" s="652"/>
      <c r="BC429" s="694"/>
      <c r="BD429" s="694"/>
      <c r="BE429" s="654"/>
      <c r="BF429" s="694"/>
      <c r="BG429" s="652"/>
      <c r="BH429" s="652"/>
      <c r="BI429" s="694"/>
      <c r="BJ429" s="694"/>
      <c r="BK429" s="654"/>
      <c r="BL429" s="654"/>
      <c r="BM429" s="654"/>
      <c r="BN429" s="654"/>
      <c r="BO429" s="654"/>
      <c r="BP429" s="694"/>
      <c r="BQ429" s="654"/>
      <c r="BR429" s="694"/>
      <c r="BS429" s="654"/>
      <c r="BT429" s="654"/>
      <c r="BU429" s="654"/>
      <c r="BV429" s="654"/>
      <c r="BW429" s="645" t="s">
        <v>109</v>
      </c>
      <c r="BX429" s="658">
        <f t="shared" si="222"/>
        <v>345</v>
      </c>
      <c r="BY429" s="658">
        <f t="shared" si="223"/>
        <v>414</v>
      </c>
      <c r="BZ429" s="658">
        <f t="shared" si="224"/>
        <v>414</v>
      </c>
      <c r="CA429" s="658">
        <f t="shared" si="225"/>
        <v>345</v>
      </c>
      <c r="CB429" s="644">
        <f t="shared" si="221"/>
        <v>1518</v>
      </c>
      <c r="CC429" s="644">
        <f t="shared" si="226"/>
        <v>138</v>
      </c>
      <c r="CD429" s="644">
        <f t="shared" si="201"/>
        <v>1518</v>
      </c>
      <c r="CE429" s="644">
        <f t="shared" si="206"/>
        <v>0</v>
      </c>
    </row>
    <row r="430" s="338" customFormat="1" ht="40" customHeight="1" spans="1:83">
      <c r="A430" s="632">
        <v>45862</v>
      </c>
      <c r="B430" s="633" t="s">
        <v>1884</v>
      </c>
      <c r="C430" s="634" t="s">
        <v>214</v>
      </c>
      <c r="D430" s="635">
        <v>4500174858</v>
      </c>
      <c r="E430" s="659">
        <v>70072788</v>
      </c>
      <c r="F430" s="635" t="s">
        <v>2031</v>
      </c>
      <c r="G430" s="637" t="s">
        <v>111</v>
      </c>
      <c r="H430" s="637" t="s">
        <v>99</v>
      </c>
      <c r="I430" s="638">
        <v>616</v>
      </c>
      <c r="J430" s="638">
        <v>0</v>
      </c>
      <c r="K430" s="639">
        <v>22</v>
      </c>
      <c r="L430" s="639">
        <f t="shared" si="203"/>
        <v>28</v>
      </c>
      <c r="M430" s="641">
        <v>45910</v>
      </c>
      <c r="N430" s="641">
        <v>45906</v>
      </c>
      <c r="O430" s="641"/>
      <c r="P430" s="642" t="s">
        <v>100</v>
      </c>
      <c r="Q430" s="643" t="s">
        <v>2032</v>
      </c>
      <c r="R430" s="642" t="s">
        <v>2033</v>
      </c>
      <c r="S430" s="641"/>
      <c r="T430" s="641"/>
      <c r="U430" s="642" t="s">
        <v>113</v>
      </c>
      <c r="V430" s="642" t="s">
        <v>2034</v>
      </c>
      <c r="W430" s="645"/>
      <c r="X430" s="647" t="s">
        <v>1834</v>
      </c>
      <c r="Y430" s="646" t="s">
        <v>220</v>
      </c>
      <c r="Z430" s="683">
        <v>1.6387</v>
      </c>
      <c r="AA430" s="650">
        <f t="shared" si="219"/>
        <v>1009.4392</v>
      </c>
      <c r="AB430" s="649">
        <v>616</v>
      </c>
      <c r="AC430" s="649">
        <f t="shared" si="200"/>
        <v>0</v>
      </c>
      <c r="AD430" s="650" t="s">
        <v>123</v>
      </c>
      <c r="AE430" s="637" t="s">
        <v>111</v>
      </c>
      <c r="AF430" s="646" t="s">
        <v>107</v>
      </c>
      <c r="AG430" s="652" t="s">
        <v>43</v>
      </c>
      <c r="AH430" s="646" t="s">
        <v>2035</v>
      </c>
      <c r="AI430" s="693"/>
      <c r="AJ430" s="693"/>
      <c r="AK430" s="693"/>
      <c r="AL430" s="649">
        <f>I430</f>
        <v>616</v>
      </c>
      <c r="AM430" s="649"/>
      <c r="AN430" s="693"/>
      <c r="AO430" s="649"/>
      <c r="AP430" s="649"/>
      <c r="AQ430" s="653"/>
      <c r="AR430" s="693"/>
      <c r="AS430" s="693"/>
      <c r="AT430" s="649">
        <f t="shared" ref="AT430:AT435" si="227">I430</f>
        <v>616</v>
      </c>
      <c r="AU430" s="649"/>
      <c r="AV430" s="654"/>
      <c r="AW430" s="694"/>
      <c r="AX430" s="652">
        <f>I430/11</f>
        <v>56</v>
      </c>
      <c r="AY430" s="652"/>
      <c r="AZ430" s="694"/>
      <c r="BA430" s="652"/>
      <c r="BB430" s="652"/>
      <c r="BC430" s="694"/>
      <c r="BD430" s="694"/>
      <c r="BE430" s="654"/>
      <c r="BF430" s="694"/>
      <c r="BG430" s="652"/>
      <c r="BH430" s="652"/>
      <c r="BI430" s="694"/>
      <c r="BJ430" s="694"/>
      <c r="BK430" s="654"/>
      <c r="BL430" s="654"/>
      <c r="BM430" s="654"/>
      <c r="BN430" s="654"/>
      <c r="BO430" s="654"/>
      <c r="BP430" s="694"/>
      <c r="BQ430" s="654"/>
      <c r="BR430" s="694"/>
      <c r="BS430" s="654"/>
      <c r="BT430" s="654"/>
      <c r="BU430" s="654"/>
      <c r="BV430" s="654"/>
      <c r="BW430" s="645" t="s">
        <v>109</v>
      </c>
      <c r="BX430" s="658">
        <f t="shared" si="222"/>
        <v>140</v>
      </c>
      <c r="BY430" s="658">
        <f t="shared" si="223"/>
        <v>168</v>
      </c>
      <c r="BZ430" s="658">
        <f t="shared" si="224"/>
        <v>168</v>
      </c>
      <c r="CA430" s="658">
        <f t="shared" si="225"/>
        <v>140</v>
      </c>
      <c r="CB430" s="644">
        <f t="shared" si="221"/>
        <v>616</v>
      </c>
      <c r="CC430" s="658">
        <f t="shared" si="226"/>
        <v>56</v>
      </c>
      <c r="CD430" s="644">
        <f t="shared" si="201"/>
        <v>616</v>
      </c>
      <c r="CE430" s="644">
        <f t="shared" si="206"/>
        <v>0</v>
      </c>
    </row>
    <row r="431" s="338" customFormat="1" ht="40" customHeight="1" spans="1:83">
      <c r="A431" s="632">
        <v>45877</v>
      </c>
      <c r="B431" s="633" t="s">
        <v>1888</v>
      </c>
      <c r="C431" s="634" t="s">
        <v>144</v>
      </c>
      <c r="D431" s="635">
        <v>4500176308</v>
      </c>
      <c r="E431" s="659">
        <v>5200007401</v>
      </c>
      <c r="F431" s="635" t="s">
        <v>2036</v>
      </c>
      <c r="G431" s="637" t="s">
        <v>774</v>
      </c>
      <c r="H431" s="637" t="s">
        <v>99</v>
      </c>
      <c r="I431" s="638">
        <v>1100</v>
      </c>
      <c r="J431" s="638">
        <v>0</v>
      </c>
      <c r="K431" s="639">
        <v>11</v>
      </c>
      <c r="L431" s="639">
        <f t="shared" si="203"/>
        <v>100</v>
      </c>
      <c r="M431" s="641">
        <v>45912</v>
      </c>
      <c r="N431" s="641">
        <v>45908</v>
      </c>
      <c r="O431" s="641"/>
      <c r="P431" s="642" t="s">
        <v>100</v>
      </c>
      <c r="Q431" s="643" t="s">
        <v>2037</v>
      </c>
      <c r="R431" s="642" t="s">
        <v>2038</v>
      </c>
      <c r="S431" s="641"/>
      <c r="T431" s="641"/>
      <c r="U431" s="642" t="s">
        <v>2039</v>
      </c>
      <c r="V431" s="642"/>
      <c r="W431" s="645"/>
      <c r="X431" s="647" t="s">
        <v>2040</v>
      </c>
      <c r="Y431" s="646" t="s">
        <v>447</v>
      </c>
      <c r="Z431" s="648">
        <v>2.7121</v>
      </c>
      <c r="AA431" s="650">
        <f t="shared" si="219"/>
        <v>2983.31</v>
      </c>
      <c r="AB431" s="649">
        <v>1100</v>
      </c>
      <c r="AC431" s="649">
        <f t="shared" si="200"/>
        <v>0</v>
      </c>
      <c r="AD431" s="650" t="s">
        <v>106</v>
      </c>
      <c r="AE431" s="661" t="s">
        <v>597</v>
      </c>
      <c r="AF431" s="646" t="s">
        <v>107</v>
      </c>
      <c r="AG431" s="652" t="s">
        <v>43</v>
      </c>
      <c r="AH431" s="646" t="s">
        <v>2041</v>
      </c>
      <c r="AI431" s="693"/>
      <c r="AJ431" s="693"/>
      <c r="AK431" s="693"/>
      <c r="AL431" s="649"/>
      <c r="AM431" s="649"/>
      <c r="AN431" s="693"/>
      <c r="AO431" s="649">
        <f>I431</f>
        <v>1100</v>
      </c>
      <c r="AP431" s="649"/>
      <c r="AQ431" s="653"/>
      <c r="AR431" s="693"/>
      <c r="AS431" s="693"/>
      <c r="AT431" s="649">
        <f t="shared" si="227"/>
        <v>1100</v>
      </c>
      <c r="AU431" s="649"/>
      <c r="AV431" s="654"/>
      <c r="AW431" s="694"/>
      <c r="AX431" s="652"/>
      <c r="AY431" s="652"/>
      <c r="AZ431" s="694"/>
      <c r="BA431" s="652">
        <f>I431/11</f>
        <v>100</v>
      </c>
      <c r="BB431" s="652"/>
      <c r="BC431" s="694"/>
      <c r="BD431" s="694"/>
      <c r="BE431" s="654"/>
      <c r="BF431" s="694"/>
      <c r="BG431" s="652"/>
      <c r="BH431" s="652"/>
      <c r="BI431" s="694"/>
      <c r="BJ431" s="694"/>
      <c r="BK431" s="654"/>
      <c r="BL431" s="654"/>
      <c r="BM431" s="654"/>
      <c r="BN431" s="654"/>
      <c r="BO431" s="654"/>
      <c r="BP431" s="694"/>
      <c r="BQ431" s="654"/>
      <c r="BR431" s="694"/>
      <c r="BS431" s="654"/>
      <c r="BT431" s="654"/>
      <c r="BU431" s="654"/>
      <c r="BV431" s="654"/>
      <c r="BW431" s="645" t="s">
        <v>109</v>
      </c>
      <c r="BX431" s="658">
        <f t="shared" si="222"/>
        <v>250</v>
      </c>
      <c r="BY431" s="658">
        <f t="shared" si="223"/>
        <v>300</v>
      </c>
      <c r="BZ431" s="658">
        <f t="shared" si="224"/>
        <v>300</v>
      </c>
      <c r="CA431" s="658">
        <f t="shared" si="225"/>
        <v>250</v>
      </c>
      <c r="CB431" s="644">
        <f t="shared" si="221"/>
        <v>1100</v>
      </c>
      <c r="CC431" s="658">
        <f t="shared" si="226"/>
        <v>100</v>
      </c>
      <c r="CD431" s="644">
        <f t="shared" si="201"/>
        <v>1100</v>
      </c>
      <c r="CE431" s="644">
        <f t="shared" si="206"/>
        <v>0</v>
      </c>
    </row>
    <row r="432" s="338" customFormat="1" ht="40" customHeight="1" spans="1:83">
      <c r="A432" s="632">
        <v>45873</v>
      </c>
      <c r="B432" s="633" t="s">
        <v>2042</v>
      </c>
      <c r="C432" s="634" t="s">
        <v>205</v>
      </c>
      <c r="D432" s="635">
        <v>4500175614</v>
      </c>
      <c r="E432" s="659"/>
      <c r="F432" s="635" t="s">
        <v>2043</v>
      </c>
      <c r="G432" s="637" t="s">
        <v>111</v>
      </c>
      <c r="H432" s="637" t="s">
        <v>99</v>
      </c>
      <c r="I432" s="638">
        <v>220</v>
      </c>
      <c r="J432" s="638">
        <v>0</v>
      </c>
      <c r="K432" s="639">
        <v>22</v>
      </c>
      <c r="L432" s="639">
        <f t="shared" si="203"/>
        <v>10</v>
      </c>
      <c r="M432" s="641">
        <v>45915</v>
      </c>
      <c r="N432" s="641">
        <v>45911</v>
      </c>
      <c r="O432" s="641"/>
      <c r="P432" s="642" t="s">
        <v>100</v>
      </c>
      <c r="Q432" s="643" t="s">
        <v>2044</v>
      </c>
      <c r="R432" s="642" t="s">
        <v>2033</v>
      </c>
      <c r="S432" s="641"/>
      <c r="T432" s="641"/>
      <c r="U432" s="642" t="s">
        <v>2045</v>
      </c>
      <c r="V432" s="642"/>
      <c r="W432" s="645"/>
      <c r="X432" s="647" t="s">
        <v>2046</v>
      </c>
      <c r="Y432" s="646" t="s">
        <v>972</v>
      </c>
      <c r="Z432" s="683">
        <v>2.6965</v>
      </c>
      <c r="AA432" s="650">
        <f t="shared" si="219"/>
        <v>593.23</v>
      </c>
      <c r="AB432" s="649">
        <v>220</v>
      </c>
      <c r="AC432" s="649">
        <f t="shared" si="200"/>
        <v>0</v>
      </c>
      <c r="AD432" s="650" t="s">
        <v>106</v>
      </c>
      <c r="AE432" s="637" t="s">
        <v>111</v>
      </c>
      <c r="AF432" s="646" t="s">
        <v>107</v>
      </c>
      <c r="AG432" s="652" t="s">
        <v>43</v>
      </c>
      <c r="AH432" s="646"/>
      <c r="AI432" s="693"/>
      <c r="AJ432" s="693"/>
      <c r="AK432" s="693"/>
      <c r="AL432" s="649">
        <f>I432</f>
        <v>220</v>
      </c>
      <c r="AM432" s="649"/>
      <c r="AN432" s="693"/>
      <c r="AO432" s="649"/>
      <c r="AP432" s="649"/>
      <c r="AQ432" s="653"/>
      <c r="AR432" s="693"/>
      <c r="AS432" s="693"/>
      <c r="AT432" s="649">
        <f t="shared" si="227"/>
        <v>220</v>
      </c>
      <c r="AU432" s="649"/>
      <c r="AV432" s="654"/>
      <c r="AW432" s="694"/>
      <c r="AX432" s="652">
        <f>I432/11</f>
        <v>20</v>
      </c>
      <c r="AY432" s="652"/>
      <c r="AZ432" s="694"/>
      <c r="BA432" s="652"/>
      <c r="BB432" s="652"/>
      <c r="BC432" s="694"/>
      <c r="BD432" s="694"/>
      <c r="BE432" s="654"/>
      <c r="BF432" s="694"/>
      <c r="BG432" s="652"/>
      <c r="BH432" s="652"/>
      <c r="BI432" s="694"/>
      <c r="BJ432" s="694"/>
      <c r="BK432" s="654"/>
      <c r="BL432" s="654"/>
      <c r="BM432" s="654"/>
      <c r="BN432" s="654"/>
      <c r="BO432" s="654"/>
      <c r="BP432" s="694"/>
      <c r="BQ432" s="654"/>
      <c r="BR432" s="694"/>
      <c r="BS432" s="654"/>
      <c r="BT432" s="654"/>
      <c r="BU432" s="654"/>
      <c r="BV432" s="654"/>
      <c r="BW432" s="645" t="s">
        <v>109</v>
      </c>
      <c r="BX432" s="658">
        <f t="shared" si="222"/>
        <v>50</v>
      </c>
      <c r="BY432" s="658">
        <f t="shared" si="223"/>
        <v>60</v>
      </c>
      <c r="BZ432" s="658">
        <f t="shared" si="224"/>
        <v>60</v>
      </c>
      <c r="CA432" s="658">
        <f t="shared" si="225"/>
        <v>50</v>
      </c>
      <c r="CB432" s="644">
        <f t="shared" si="221"/>
        <v>220</v>
      </c>
      <c r="CC432" s="658">
        <f t="shared" si="226"/>
        <v>20</v>
      </c>
      <c r="CD432" s="644">
        <f t="shared" si="201"/>
        <v>220</v>
      </c>
      <c r="CE432" s="644">
        <f t="shared" si="206"/>
        <v>0</v>
      </c>
    </row>
    <row r="433" s="338" customFormat="1" ht="40" customHeight="1" spans="1:83">
      <c r="A433" s="632">
        <v>45862</v>
      </c>
      <c r="B433" s="633" t="s">
        <v>1884</v>
      </c>
      <c r="C433" s="634" t="s">
        <v>214</v>
      </c>
      <c r="D433" s="635">
        <v>4500174842</v>
      </c>
      <c r="E433" s="659">
        <v>70072725</v>
      </c>
      <c r="F433" s="635" t="s">
        <v>2047</v>
      </c>
      <c r="G433" s="637" t="s">
        <v>111</v>
      </c>
      <c r="H433" s="637" t="s">
        <v>99</v>
      </c>
      <c r="I433" s="638">
        <v>616</v>
      </c>
      <c r="J433" s="638">
        <v>0</v>
      </c>
      <c r="K433" s="639">
        <v>22</v>
      </c>
      <c r="L433" s="639">
        <f t="shared" si="203"/>
        <v>28</v>
      </c>
      <c r="M433" s="641">
        <v>45918</v>
      </c>
      <c r="N433" s="641">
        <v>45915</v>
      </c>
      <c r="O433" s="641"/>
      <c r="P433" s="642" t="s">
        <v>100</v>
      </c>
      <c r="Q433" s="643"/>
      <c r="R433" s="642" t="s">
        <v>2048</v>
      </c>
      <c r="S433" s="641"/>
      <c r="T433" s="641"/>
      <c r="U433" s="642" t="s">
        <v>113</v>
      </c>
      <c r="V433" s="642" t="s">
        <v>2034</v>
      </c>
      <c r="W433" s="645"/>
      <c r="X433" s="647" t="s">
        <v>1834</v>
      </c>
      <c r="Y433" s="646" t="s">
        <v>220</v>
      </c>
      <c r="Z433" s="683">
        <v>1.6179</v>
      </c>
      <c r="AA433" s="650">
        <f t="shared" si="219"/>
        <v>996.6264</v>
      </c>
      <c r="AB433" s="649">
        <v>616</v>
      </c>
      <c r="AC433" s="649">
        <f t="shared" ref="AC433:AC496" si="228">AB433-I433</f>
        <v>0</v>
      </c>
      <c r="AD433" s="650" t="s">
        <v>123</v>
      </c>
      <c r="AE433" s="637" t="s">
        <v>111</v>
      </c>
      <c r="AF433" s="646" t="s">
        <v>107</v>
      </c>
      <c r="AG433" s="652" t="s">
        <v>43</v>
      </c>
      <c r="AH433" s="646" t="s">
        <v>2049</v>
      </c>
      <c r="AI433" s="693"/>
      <c r="AJ433" s="693"/>
      <c r="AK433" s="693"/>
      <c r="AL433" s="649">
        <f>I433</f>
        <v>616</v>
      </c>
      <c r="AM433" s="649"/>
      <c r="AN433" s="693"/>
      <c r="AO433" s="649"/>
      <c r="AP433" s="649"/>
      <c r="AQ433" s="653"/>
      <c r="AR433" s="693"/>
      <c r="AS433" s="693"/>
      <c r="AT433" s="649">
        <f t="shared" si="227"/>
        <v>616</v>
      </c>
      <c r="AU433" s="649"/>
      <c r="AV433" s="654"/>
      <c r="AW433" s="694"/>
      <c r="AX433" s="652">
        <f>I433/11</f>
        <v>56</v>
      </c>
      <c r="AY433" s="652"/>
      <c r="AZ433" s="694"/>
      <c r="BA433" s="652"/>
      <c r="BB433" s="652"/>
      <c r="BC433" s="694"/>
      <c r="BD433" s="694"/>
      <c r="BE433" s="654"/>
      <c r="BF433" s="694"/>
      <c r="BG433" s="652"/>
      <c r="BH433" s="652"/>
      <c r="BI433" s="694"/>
      <c r="BJ433" s="694"/>
      <c r="BK433" s="654"/>
      <c r="BL433" s="654"/>
      <c r="BM433" s="654"/>
      <c r="BN433" s="654"/>
      <c r="BO433" s="654"/>
      <c r="BP433" s="694"/>
      <c r="BQ433" s="654"/>
      <c r="BR433" s="694"/>
      <c r="BS433" s="654"/>
      <c r="BT433" s="654"/>
      <c r="BU433" s="654"/>
      <c r="BV433" s="654"/>
      <c r="BW433" s="645" t="s">
        <v>109</v>
      </c>
      <c r="BX433" s="658">
        <f t="shared" si="222"/>
        <v>140</v>
      </c>
      <c r="BY433" s="658">
        <f t="shared" si="223"/>
        <v>168</v>
      </c>
      <c r="BZ433" s="658">
        <f t="shared" si="224"/>
        <v>168</v>
      </c>
      <c r="CA433" s="658">
        <f t="shared" si="225"/>
        <v>140</v>
      </c>
      <c r="CB433" s="644">
        <f t="shared" si="221"/>
        <v>616</v>
      </c>
      <c r="CC433" s="658">
        <f t="shared" si="226"/>
        <v>56</v>
      </c>
      <c r="CD433" s="644">
        <f t="shared" si="201"/>
        <v>616</v>
      </c>
      <c r="CE433" s="644">
        <f t="shared" si="206"/>
        <v>0</v>
      </c>
    </row>
    <row r="434" s="338" customFormat="1" ht="40" customHeight="1" spans="1:83">
      <c r="A434" s="632">
        <v>45873</v>
      </c>
      <c r="B434" s="633" t="s">
        <v>896</v>
      </c>
      <c r="C434" s="634" t="s">
        <v>267</v>
      </c>
      <c r="D434" s="635">
        <v>4500175925</v>
      </c>
      <c r="E434" s="659">
        <v>21012335</v>
      </c>
      <c r="F434" s="635" t="s">
        <v>2050</v>
      </c>
      <c r="G434" s="637" t="s">
        <v>648</v>
      </c>
      <c r="H434" s="637" t="s">
        <v>99</v>
      </c>
      <c r="I434" s="638">
        <v>312</v>
      </c>
      <c r="J434" s="638">
        <v>0</v>
      </c>
      <c r="K434" s="639">
        <v>6</v>
      </c>
      <c r="L434" s="639">
        <f t="shared" si="203"/>
        <v>52</v>
      </c>
      <c r="M434" s="641">
        <v>45915</v>
      </c>
      <c r="N434" s="641">
        <v>45911</v>
      </c>
      <c r="O434" s="641"/>
      <c r="P434" s="642" t="s">
        <v>100</v>
      </c>
      <c r="Q434" s="702" t="s">
        <v>2051</v>
      </c>
      <c r="R434" s="642" t="s">
        <v>2048</v>
      </c>
      <c r="S434" s="641"/>
      <c r="T434" s="641"/>
      <c r="U434" s="642" t="s">
        <v>2052</v>
      </c>
      <c r="V434" s="642"/>
      <c r="W434" s="645"/>
      <c r="X434" s="647" t="s">
        <v>2053</v>
      </c>
      <c r="Y434" s="646" t="s">
        <v>2054</v>
      </c>
      <c r="Z434" s="648">
        <v>2.699</v>
      </c>
      <c r="AA434" s="650">
        <f t="shared" si="219"/>
        <v>842.088</v>
      </c>
      <c r="AB434" s="649">
        <v>312</v>
      </c>
      <c r="AC434" s="649">
        <f t="shared" si="228"/>
        <v>0</v>
      </c>
      <c r="AD434" s="650" t="s">
        <v>106</v>
      </c>
      <c r="AE434" s="637" t="s">
        <v>648</v>
      </c>
      <c r="AF434" s="646" t="s">
        <v>107</v>
      </c>
      <c r="AG434" s="652" t="s">
        <v>43</v>
      </c>
      <c r="AH434" s="646"/>
      <c r="AI434" s="696"/>
      <c r="AJ434" s="696"/>
      <c r="AK434" s="696"/>
      <c r="AL434" s="649">
        <f>I434</f>
        <v>312</v>
      </c>
      <c r="AM434" s="649"/>
      <c r="AN434" s="696"/>
      <c r="AO434" s="649"/>
      <c r="AP434" s="649"/>
      <c r="AQ434" s="653"/>
      <c r="AR434" s="696"/>
      <c r="AS434" s="696"/>
      <c r="AT434" s="649">
        <f t="shared" si="227"/>
        <v>312</v>
      </c>
      <c r="AU434" s="649"/>
      <c r="AV434" s="654"/>
      <c r="AW434" s="697"/>
      <c r="AX434" s="652"/>
      <c r="AY434" s="652"/>
      <c r="AZ434" s="697"/>
      <c r="BA434" s="652"/>
      <c r="BB434" s="652"/>
      <c r="BC434" s="697"/>
      <c r="BD434" s="697"/>
      <c r="BE434" s="652">
        <f>I434/6</f>
        <v>52</v>
      </c>
      <c r="BF434" s="697"/>
      <c r="BG434" s="652"/>
      <c r="BH434" s="652"/>
      <c r="BI434" s="697"/>
      <c r="BJ434" s="697"/>
      <c r="BK434" s="654"/>
      <c r="BL434" s="654"/>
      <c r="BM434" s="654"/>
      <c r="BN434" s="654"/>
      <c r="BO434" s="654"/>
      <c r="BP434" s="697"/>
      <c r="BQ434" s="654"/>
      <c r="BR434" s="697"/>
      <c r="BS434" s="654"/>
      <c r="BT434" s="654"/>
      <c r="BU434" s="654"/>
      <c r="BV434" s="654"/>
      <c r="BW434" s="645" t="s">
        <v>109</v>
      </c>
      <c r="BX434" s="658">
        <f>I434/4</f>
        <v>78</v>
      </c>
      <c r="BY434" s="658">
        <f>I434/4</f>
        <v>78</v>
      </c>
      <c r="BZ434" s="658">
        <f>I434/4</f>
        <v>78</v>
      </c>
      <c r="CA434" s="658">
        <f>I434/4</f>
        <v>78</v>
      </c>
      <c r="CB434" s="644">
        <f t="shared" si="221"/>
        <v>312</v>
      </c>
      <c r="CC434" s="658"/>
      <c r="CD434" s="644">
        <f t="shared" ref="CD434:CD497" si="229">SUM(BX434:CA434)</f>
        <v>312</v>
      </c>
      <c r="CE434" s="644">
        <f t="shared" si="206"/>
        <v>0</v>
      </c>
    </row>
    <row r="435" s="338" customFormat="1" ht="40" customHeight="1" spans="1:83">
      <c r="A435" s="632">
        <v>45873</v>
      </c>
      <c r="B435" s="633" t="s">
        <v>646</v>
      </c>
      <c r="C435" s="634" t="s">
        <v>247</v>
      </c>
      <c r="D435" s="635">
        <v>4500175924</v>
      </c>
      <c r="E435" s="659">
        <v>21012335</v>
      </c>
      <c r="F435" s="635" t="s">
        <v>2055</v>
      </c>
      <c r="G435" s="637" t="s">
        <v>648</v>
      </c>
      <c r="H435" s="637" t="s">
        <v>99</v>
      </c>
      <c r="I435" s="638">
        <v>1188</v>
      </c>
      <c r="J435" s="638">
        <v>0</v>
      </c>
      <c r="K435" s="639">
        <v>6</v>
      </c>
      <c r="L435" s="639">
        <f t="shared" si="203"/>
        <v>198</v>
      </c>
      <c r="M435" s="641">
        <v>45915</v>
      </c>
      <c r="N435" s="641">
        <v>45911</v>
      </c>
      <c r="O435" s="641"/>
      <c r="P435" s="642" t="s">
        <v>100</v>
      </c>
      <c r="Q435" s="702" t="s">
        <v>2051</v>
      </c>
      <c r="R435" s="642" t="s">
        <v>2048</v>
      </c>
      <c r="S435" s="641"/>
      <c r="T435" s="641"/>
      <c r="U435" s="642" t="s">
        <v>2052</v>
      </c>
      <c r="V435" s="642"/>
      <c r="W435" s="645"/>
      <c r="X435" s="647" t="s">
        <v>2056</v>
      </c>
      <c r="Y435" s="646" t="s">
        <v>2054</v>
      </c>
      <c r="Z435" s="648">
        <v>2.6851</v>
      </c>
      <c r="AA435" s="650">
        <f t="shared" si="219"/>
        <v>3189.8988</v>
      </c>
      <c r="AB435" s="649">
        <v>1188</v>
      </c>
      <c r="AC435" s="649">
        <f t="shared" si="228"/>
        <v>0</v>
      </c>
      <c r="AD435" s="650" t="s">
        <v>106</v>
      </c>
      <c r="AE435" s="637" t="s">
        <v>648</v>
      </c>
      <c r="AF435" s="646" t="s">
        <v>107</v>
      </c>
      <c r="AG435" s="652" t="s">
        <v>43</v>
      </c>
      <c r="AH435" s="646"/>
      <c r="AI435" s="696"/>
      <c r="AJ435" s="696"/>
      <c r="AK435" s="696"/>
      <c r="AL435" s="649">
        <f>I435</f>
        <v>1188</v>
      </c>
      <c r="AM435" s="649"/>
      <c r="AN435" s="696"/>
      <c r="AO435" s="649"/>
      <c r="AP435" s="649"/>
      <c r="AQ435" s="653"/>
      <c r="AR435" s="696"/>
      <c r="AS435" s="696"/>
      <c r="AT435" s="649">
        <f t="shared" si="227"/>
        <v>1188</v>
      </c>
      <c r="AU435" s="649"/>
      <c r="AV435" s="654"/>
      <c r="AW435" s="697"/>
      <c r="AX435" s="652"/>
      <c r="AY435" s="652"/>
      <c r="AZ435" s="697"/>
      <c r="BA435" s="652"/>
      <c r="BB435" s="652"/>
      <c r="BC435" s="697"/>
      <c r="BD435" s="697"/>
      <c r="BE435" s="652">
        <f>I435/6</f>
        <v>198</v>
      </c>
      <c r="BF435" s="697"/>
      <c r="BG435" s="652"/>
      <c r="BH435" s="652"/>
      <c r="BI435" s="697"/>
      <c r="BJ435" s="697"/>
      <c r="BK435" s="654"/>
      <c r="BL435" s="654"/>
      <c r="BM435" s="654"/>
      <c r="BN435" s="654"/>
      <c r="BO435" s="654"/>
      <c r="BP435" s="697"/>
      <c r="BQ435" s="654"/>
      <c r="BR435" s="697"/>
      <c r="BS435" s="654"/>
      <c r="BT435" s="654"/>
      <c r="BU435" s="654"/>
      <c r="BV435" s="654"/>
      <c r="BW435" s="645" t="s">
        <v>109</v>
      </c>
      <c r="BX435" s="658">
        <f>I435/4</f>
        <v>297</v>
      </c>
      <c r="BY435" s="658">
        <f>I435/4</f>
        <v>297</v>
      </c>
      <c r="BZ435" s="658">
        <f>I435/4</f>
        <v>297</v>
      </c>
      <c r="CA435" s="658">
        <f>I435/4</f>
        <v>297</v>
      </c>
      <c r="CB435" s="644">
        <f t="shared" si="221"/>
        <v>1188</v>
      </c>
      <c r="CC435" s="658"/>
      <c r="CD435" s="644">
        <f t="shared" si="229"/>
        <v>1188</v>
      </c>
      <c r="CE435" s="644">
        <f t="shared" si="206"/>
        <v>0</v>
      </c>
    </row>
    <row r="436" s="338" customFormat="1" ht="40" customHeight="1" spans="1:83">
      <c r="A436" s="632">
        <v>45840</v>
      </c>
      <c r="B436" s="633" t="s">
        <v>973</v>
      </c>
      <c r="C436" s="634" t="s">
        <v>214</v>
      </c>
      <c r="D436" s="703">
        <v>4500172386</v>
      </c>
      <c r="E436" s="659">
        <v>60236649</v>
      </c>
      <c r="F436" s="636" t="s">
        <v>2057</v>
      </c>
      <c r="G436" s="637" t="s">
        <v>1830</v>
      </c>
      <c r="H436" s="637" t="s">
        <v>1831</v>
      </c>
      <c r="I436" s="638">
        <v>2000</v>
      </c>
      <c r="J436" s="638">
        <v>0</v>
      </c>
      <c r="K436" s="639">
        <v>16</v>
      </c>
      <c r="L436" s="639">
        <f t="shared" si="203"/>
        <v>125</v>
      </c>
      <c r="M436" s="641">
        <v>45919</v>
      </c>
      <c r="N436" s="641">
        <v>45915</v>
      </c>
      <c r="O436" s="641"/>
      <c r="P436" s="642" t="s">
        <v>100</v>
      </c>
      <c r="Q436" s="643"/>
      <c r="R436" s="642" t="s">
        <v>1881</v>
      </c>
      <c r="S436" s="641"/>
      <c r="T436" s="641"/>
      <c r="U436" s="642" t="s">
        <v>113</v>
      </c>
      <c r="V436" s="642" t="s">
        <v>2034</v>
      </c>
      <c r="W436" s="645"/>
      <c r="X436" s="647" t="s">
        <v>1834</v>
      </c>
      <c r="Y436" s="646" t="s">
        <v>220</v>
      </c>
      <c r="Z436" s="683">
        <v>1.5</v>
      </c>
      <c r="AA436" s="650">
        <f t="shared" si="219"/>
        <v>3000</v>
      </c>
      <c r="AB436" s="649">
        <v>2000</v>
      </c>
      <c r="AC436" s="649">
        <f t="shared" si="228"/>
        <v>0</v>
      </c>
      <c r="AD436" s="704" t="s">
        <v>106</v>
      </c>
      <c r="AE436" s="637" t="s">
        <v>1830</v>
      </c>
      <c r="AF436" s="646" t="s">
        <v>107</v>
      </c>
      <c r="AG436" s="652" t="s">
        <v>43</v>
      </c>
      <c r="AH436" s="646" t="s">
        <v>2058</v>
      </c>
      <c r="AI436" s="693"/>
      <c r="AJ436" s="693"/>
      <c r="AK436" s="693"/>
      <c r="AL436" s="649">
        <f>I436*2</f>
        <v>4000</v>
      </c>
      <c r="AM436" s="649"/>
      <c r="AN436" s="693"/>
      <c r="AO436" s="649"/>
      <c r="AP436" s="649"/>
      <c r="AQ436" s="653"/>
      <c r="AR436" s="693"/>
      <c r="AS436" s="693"/>
      <c r="AT436" s="649">
        <f>I436*2</f>
        <v>4000</v>
      </c>
      <c r="AU436" s="649"/>
      <c r="AV436" s="654"/>
      <c r="AW436" s="694"/>
      <c r="AX436" s="652"/>
      <c r="AY436" s="652"/>
      <c r="AZ436" s="694"/>
      <c r="BA436" s="652"/>
      <c r="BB436" s="652"/>
      <c r="BC436" s="694"/>
      <c r="BD436" s="694"/>
      <c r="BE436" s="654"/>
      <c r="BF436" s="694"/>
      <c r="BG436" s="652"/>
      <c r="BH436" s="652"/>
      <c r="BI436" s="694"/>
      <c r="BJ436" s="694"/>
      <c r="BK436" s="654"/>
      <c r="BL436" s="654"/>
      <c r="BM436" s="654"/>
      <c r="BN436" s="654"/>
      <c r="BO436" s="654"/>
      <c r="BP436" s="694"/>
      <c r="BQ436" s="654"/>
      <c r="BR436" s="694"/>
      <c r="BS436" s="654"/>
      <c r="BT436" s="654"/>
      <c r="BU436" s="654"/>
      <c r="BV436" s="654"/>
      <c r="BW436" s="645" t="s">
        <v>109</v>
      </c>
      <c r="BX436" s="658">
        <f>I436/4*2</f>
        <v>1000</v>
      </c>
      <c r="BY436" s="658">
        <f>I436/4*2</f>
        <v>1000</v>
      </c>
      <c r="BZ436" s="658">
        <f>I436/4*2</f>
        <v>1000</v>
      </c>
      <c r="CA436" s="658">
        <f>I436/4*2</f>
        <v>1000</v>
      </c>
      <c r="CB436" s="644">
        <f t="shared" si="221"/>
        <v>2000</v>
      </c>
      <c r="CC436" s="644"/>
      <c r="CD436" s="644">
        <f t="shared" si="229"/>
        <v>4000</v>
      </c>
      <c r="CE436" s="644">
        <f t="shared" si="206"/>
        <v>-2000</v>
      </c>
    </row>
    <row r="437" s="338" customFormat="1" ht="40" customHeight="1" spans="1:83">
      <c r="A437" s="632">
        <v>45859</v>
      </c>
      <c r="B437" s="633" t="s">
        <v>973</v>
      </c>
      <c r="C437" s="634" t="s">
        <v>214</v>
      </c>
      <c r="D437" s="703">
        <v>4500173612</v>
      </c>
      <c r="E437" s="659">
        <v>60236677</v>
      </c>
      <c r="F437" s="635" t="s">
        <v>2059</v>
      </c>
      <c r="G437" s="637" t="s">
        <v>1830</v>
      </c>
      <c r="H437" s="637" t="s">
        <v>1831</v>
      </c>
      <c r="I437" s="638">
        <v>2000</v>
      </c>
      <c r="J437" s="638">
        <v>0</v>
      </c>
      <c r="K437" s="639">
        <v>16</v>
      </c>
      <c r="L437" s="639">
        <f t="shared" ref="L437:L500" si="230">I437/K437</f>
        <v>125</v>
      </c>
      <c r="M437" s="641">
        <v>45920</v>
      </c>
      <c r="N437" s="641">
        <f>M437-3</f>
        <v>45917</v>
      </c>
      <c r="O437" s="641"/>
      <c r="P437" s="642" t="s">
        <v>100</v>
      </c>
      <c r="Q437" s="643"/>
      <c r="R437" s="642" t="s">
        <v>1961</v>
      </c>
      <c r="S437" s="641"/>
      <c r="T437" s="641"/>
      <c r="U437" s="642" t="s">
        <v>113</v>
      </c>
      <c r="V437" s="642" t="s">
        <v>2060</v>
      </c>
      <c r="W437" s="645"/>
      <c r="X437" s="647" t="s">
        <v>1834</v>
      </c>
      <c r="Y437" s="646" t="s">
        <v>979</v>
      </c>
      <c r="Z437" s="683">
        <v>1.5</v>
      </c>
      <c r="AA437" s="650">
        <f t="shared" si="219"/>
        <v>3000</v>
      </c>
      <c r="AB437" s="649">
        <v>2000</v>
      </c>
      <c r="AC437" s="649">
        <f t="shared" si="228"/>
        <v>0</v>
      </c>
      <c r="AD437" s="704" t="s">
        <v>106</v>
      </c>
      <c r="AE437" s="637" t="s">
        <v>1830</v>
      </c>
      <c r="AF437" s="646" t="s">
        <v>107</v>
      </c>
      <c r="AG437" s="652" t="s">
        <v>43</v>
      </c>
      <c r="AH437" s="646" t="s">
        <v>2061</v>
      </c>
      <c r="AI437" s="693"/>
      <c r="AJ437" s="693"/>
      <c r="AK437" s="693"/>
      <c r="AL437" s="649">
        <f>I437*2</f>
        <v>4000</v>
      </c>
      <c r="AM437" s="649"/>
      <c r="AN437" s="693"/>
      <c r="AO437" s="649"/>
      <c r="AP437" s="649"/>
      <c r="AQ437" s="653"/>
      <c r="AR437" s="693"/>
      <c r="AS437" s="693"/>
      <c r="AT437" s="649">
        <f>I437*2</f>
        <v>4000</v>
      </c>
      <c r="AU437" s="649"/>
      <c r="AV437" s="654"/>
      <c r="AW437" s="694"/>
      <c r="AX437" s="652"/>
      <c r="AY437" s="652"/>
      <c r="AZ437" s="694"/>
      <c r="BA437" s="652"/>
      <c r="BB437" s="652"/>
      <c r="BC437" s="694"/>
      <c r="BD437" s="694"/>
      <c r="BE437" s="654"/>
      <c r="BF437" s="694"/>
      <c r="BG437" s="652"/>
      <c r="BH437" s="652"/>
      <c r="BI437" s="694"/>
      <c r="BJ437" s="694"/>
      <c r="BK437" s="654"/>
      <c r="BL437" s="654"/>
      <c r="BM437" s="654"/>
      <c r="BN437" s="654"/>
      <c r="BO437" s="654"/>
      <c r="BP437" s="694"/>
      <c r="BQ437" s="654"/>
      <c r="BR437" s="694"/>
      <c r="BS437" s="654"/>
      <c r="BT437" s="654"/>
      <c r="BU437" s="654"/>
      <c r="BV437" s="654"/>
      <c r="BW437" s="645" t="s">
        <v>109</v>
      </c>
      <c r="BX437" s="658">
        <f>I437/4*2</f>
        <v>1000</v>
      </c>
      <c r="BY437" s="658">
        <f>I437/4*2</f>
        <v>1000</v>
      </c>
      <c r="BZ437" s="658">
        <f>I437/4*2</f>
        <v>1000</v>
      </c>
      <c r="CA437" s="658">
        <f>I437/4*2</f>
        <v>1000</v>
      </c>
      <c r="CB437" s="644">
        <f t="shared" si="221"/>
        <v>2000</v>
      </c>
      <c r="CC437" s="644"/>
      <c r="CD437" s="644">
        <f t="shared" si="229"/>
        <v>4000</v>
      </c>
      <c r="CE437" s="644">
        <f t="shared" si="206"/>
        <v>-2000</v>
      </c>
    </row>
    <row r="438" s="338" customFormat="1" ht="40" customHeight="1" spans="1:83">
      <c r="A438" s="632">
        <v>45862</v>
      </c>
      <c r="B438" s="633" t="s">
        <v>973</v>
      </c>
      <c r="C438" s="634" t="s">
        <v>214</v>
      </c>
      <c r="D438" s="703">
        <v>4500174700</v>
      </c>
      <c r="E438" s="659">
        <v>60236613</v>
      </c>
      <c r="F438" s="635" t="s">
        <v>2062</v>
      </c>
      <c r="G438" s="637" t="s">
        <v>1830</v>
      </c>
      <c r="H438" s="637" t="s">
        <v>1831</v>
      </c>
      <c r="I438" s="638">
        <v>2000</v>
      </c>
      <c r="J438" s="638">
        <v>0</v>
      </c>
      <c r="K438" s="639">
        <v>16</v>
      </c>
      <c r="L438" s="639">
        <f t="shared" si="230"/>
        <v>125</v>
      </c>
      <c r="M438" s="641">
        <v>45929</v>
      </c>
      <c r="N438" s="641">
        <v>45925</v>
      </c>
      <c r="O438" s="641"/>
      <c r="P438" s="642" t="s">
        <v>100</v>
      </c>
      <c r="Q438" s="643" t="s">
        <v>2063</v>
      </c>
      <c r="R438" s="642" t="s">
        <v>2033</v>
      </c>
      <c r="S438" s="641"/>
      <c r="T438" s="641"/>
      <c r="U438" s="642" t="s">
        <v>113</v>
      </c>
      <c r="V438" s="642" t="s">
        <v>2034</v>
      </c>
      <c r="W438" s="645"/>
      <c r="X438" s="647" t="s">
        <v>1834</v>
      </c>
      <c r="Y438" s="646" t="s">
        <v>979</v>
      </c>
      <c r="Z438" s="683">
        <v>1.5</v>
      </c>
      <c r="AA438" s="650">
        <f t="shared" si="219"/>
        <v>3000</v>
      </c>
      <c r="AB438" s="649">
        <v>2000</v>
      </c>
      <c r="AC438" s="649">
        <f t="shared" si="228"/>
        <v>0</v>
      </c>
      <c r="AD438" s="704" t="s">
        <v>106</v>
      </c>
      <c r="AE438" s="637" t="s">
        <v>1830</v>
      </c>
      <c r="AF438" s="646" t="s">
        <v>107</v>
      </c>
      <c r="AG438" s="652" t="s">
        <v>43</v>
      </c>
      <c r="AH438" s="646" t="s">
        <v>2064</v>
      </c>
      <c r="AI438" s="693"/>
      <c r="AJ438" s="693"/>
      <c r="AK438" s="693"/>
      <c r="AL438" s="649">
        <f>I438*2</f>
        <v>4000</v>
      </c>
      <c r="AM438" s="649"/>
      <c r="AN438" s="693"/>
      <c r="AO438" s="649"/>
      <c r="AP438" s="649"/>
      <c r="AQ438" s="653"/>
      <c r="AR438" s="693"/>
      <c r="AS438" s="693"/>
      <c r="AT438" s="649">
        <f>I438*2</f>
        <v>4000</v>
      </c>
      <c r="AU438" s="649"/>
      <c r="AV438" s="654"/>
      <c r="AW438" s="694"/>
      <c r="AX438" s="652"/>
      <c r="AY438" s="652"/>
      <c r="AZ438" s="694"/>
      <c r="BA438" s="652"/>
      <c r="BB438" s="652"/>
      <c r="BC438" s="694"/>
      <c r="BD438" s="694"/>
      <c r="BE438" s="654"/>
      <c r="BF438" s="694"/>
      <c r="BG438" s="652"/>
      <c r="BH438" s="652"/>
      <c r="BI438" s="694"/>
      <c r="BJ438" s="694"/>
      <c r="BK438" s="654"/>
      <c r="BL438" s="654"/>
      <c r="BM438" s="654"/>
      <c r="BN438" s="654"/>
      <c r="BO438" s="654"/>
      <c r="BP438" s="694"/>
      <c r="BQ438" s="654"/>
      <c r="BR438" s="694"/>
      <c r="BS438" s="654"/>
      <c r="BT438" s="654"/>
      <c r="BU438" s="654"/>
      <c r="BV438" s="654"/>
      <c r="BW438" s="645" t="s">
        <v>109</v>
      </c>
      <c r="BX438" s="658">
        <f>I438/4*2</f>
        <v>1000</v>
      </c>
      <c r="BY438" s="658">
        <f>I438/4*2</f>
        <v>1000</v>
      </c>
      <c r="BZ438" s="658">
        <f>I438/4*2</f>
        <v>1000</v>
      </c>
      <c r="CA438" s="658">
        <f>I438/4*2</f>
        <v>1000</v>
      </c>
      <c r="CB438" s="644">
        <f t="shared" si="221"/>
        <v>2000</v>
      </c>
      <c r="CC438" s="644"/>
      <c r="CD438" s="644">
        <f t="shared" si="229"/>
        <v>4000</v>
      </c>
      <c r="CE438" s="644">
        <f t="shared" ref="CE438:CE501" si="231">I438-CD438</f>
        <v>-2000</v>
      </c>
    </row>
    <row r="439" s="338" customFormat="1" ht="40" customHeight="1" spans="1:83">
      <c r="A439" s="632">
        <v>45856</v>
      </c>
      <c r="B439" s="633" t="s">
        <v>2065</v>
      </c>
      <c r="C439" s="634" t="s">
        <v>1350</v>
      </c>
      <c r="D439" s="635">
        <v>4500174129</v>
      </c>
      <c r="E439" s="659" t="s">
        <v>2066</v>
      </c>
      <c r="F439" s="636" t="s">
        <v>2067</v>
      </c>
      <c r="G439" s="637" t="s">
        <v>111</v>
      </c>
      <c r="H439" s="637" t="s">
        <v>99</v>
      </c>
      <c r="I439" s="638">
        <v>682</v>
      </c>
      <c r="J439" s="638">
        <v>0</v>
      </c>
      <c r="K439" s="639">
        <v>22</v>
      </c>
      <c r="L439" s="639">
        <f t="shared" si="230"/>
        <v>31</v>
      </c>
      <c r="M439" s="641">
        <v>45919</v>
      </c>
      <c r="N439" s="641">
        <v>45918</v>
      </c>
      <c r="O439" s="641"/>
      <c r="P439" s="642" t="s">
        <v>100</v>
      </c>
      <c r="Q439" s="643" t="s">
        <v>2068</v>
      </c>
      <c r="R439" s="642" t="s">
        <v>1874</v>
      </c>
      <c r="S439" s="641"/>
      <c r="T439" s="641"/>
      <c r="U439" s="642" t="s">
        <v>113</v>
      </c>
      <c r="V439" s="642"/>
      <c r="W439" s="645"/>
      <c r="X439" s="647" t="s">
        <v>2069</v>
      </c>
      <c r="Y439" s="646" t="s">
        <v>2070</v>
      </c>
      <c r="Z439" s="683">
        <v>2.7311</v>
      </c>
      <c r="AA439" s="650">
        <f t="shared" si="219"/>
        <v>1862.6102</v>
      </c>
      <c r="AB439" s="649">
        <v>682</v>
      </c>
      <c r="AC439" s="649">
        <f t="shared" si="228"/>
        <v>0</v>
      </c>
      <c r="AD439" s="650" t="s">
        <v>113</v>
      </c>
      <c r="AE439" s="637" t="s">
        <v>111</v>
      </c>
      <c r="AF439" s="646" t="s">
        <v>107</v>
      </c>
      <c r="AG439" s="652" t="s">
        <v>43</v>
      </c>
      <c r="AH439" s="646" t="s">
        <v>2071</v>
      </c>
      <c r="AI439" s="705"/>
      <c r="AJ439" s="705"/>
      <c r="AK439" s="705"/>
      <c r="AL439" s="649">
        <f t="shared" ref="AL439:AL464" si="232">I439</f>
        <v>682</v>
      </c>
      <c r="AM439" s="649"/>
      <c r="AN439" s="705"/>
      <c r="AO439" s="649"/>
      <c r="AP439" s="649"/>
      <c r="AQ439" s="653"/>
      <c r="AR439" s="705"/>
      <c r="AS439" s="705"/>
      <c r="AT439" s="649">
        <f t="shared" ref="AT439:AT464" si="233">I439</f>
        <v>682</v>
      </c>
      <c r="AU439" s="649"/>
      <c r="AV439" s="654"/>
      <c r="AW439" s="706"/>
      <c r="AX439" s="652">
        <f>I439/11</f>
        <v>62</v>
      </c>
      <c r="AY439" s="652"/>
      <c r="AZ439" s="706"/>
      <c r="BA439" s="652"/>
      <c r="BB439" s="652"/>
      <c r="BC439" s="706"/>
      <c r="BD439" s="706"/>
      <c r="BE439" s="654"/>
      <c r="BF439" s="706"/>
      <c r="BG439" s="652"/>
      <c r="BH439" s="652"/>
      <c r="BI439" s="706"/>
      <c r="BJ439" s="706"/>
      <c r="BK439" s="654"/>
      <c r="BL439" s="654"/>
      <c r="BM439" s="654"/>
      <c r="BN439" s="654"/>
      <c r="BO439" s="654"/>
      <c r="BP439" s="706"/>
      <c r="BQ439" s="654"/>
      <c r="BR439" s="706"/>
      <c r="BS439" s="654"/>
      <c r="BT439" s="654"/>
      <c r="BU439" s="654"/>
      <c r="BV439" s="654"/>
      <c r="BW439" s="645" t="s">
        <v>109</v>
      </c>
      <c r="BX439" s="658">
        <f>I439/22*5</f>
        <v>155</v>
      </c>
      <c r="BY439" s="658">
        <f>I439/22*6</f>
        <v>186</v>
      </c>
      <c r="BZ439" s="658">
        <f>I439/22*6</f>
        <v>186</v>
      </c>
      <c r="CA439" s="658">
        <f>I439/22*5</f>
        <v>155</v>
      </c>
      <c r="CB439" s="644">
        <f t="shared" si="221"/>
        <v>682</v>
      </c>
      <c r="CC439" s="658">
        <f>I439/11</f>
        <v>62</v>
      </c>
      <c r="CD439" s="644">
        <f t="shared" si="229"/>
        <v>682</v>
      </c>
      <c r="CE439" s="644">
        <f t="shared" si="231"/>
        <v>0</v>
      </c>
    </row>
    <row r="440" s="338" customFormat="1" ht="40" customHeight="1" spans="1:83">
      <c r="A440" s="632">
        <v>45894</v>
      </c>
      <c r="B440" s="633" t="s">
        <v>646</v>
      </c>
      <c r="C440" s="634" t="s">
        <v>247</v>
      </c>
      <c r="D440" s="635">
        <v>4500177772</v>
      </c>
      <c r="E440" s="659"/>
      <c r="F440" s="635" t="s">
        <v>2072</v>
      </c>
      <c r="G440" s="637" t="s">
        <v>648</v>
      </c>
      <c r="H440" s="637" t="s">
        <v>99</v>
      </c>
      <c r="I440" s="638">
        <v>1350</v>
      </c>
      <c r="J440" s="638">
        <v>0</v>
      </c>
      <c r="K440" s="639">
        <v>6</v>
      </c>
      <c r="L440" s="639">
        <f t="shared" si="230"/>
        <v>225</v>
      </c>
      <c r="M440" s="641">
        <v>45919</v>
      </c>
      <c r="N440" s="641">
        <v>45918</v>
      </c>
      <c r="O440" s="641"/>
      <c r="P440" s="642" t="s">
        <v>100</v>
      </c>
      <c r="Q440" s="702" t="s">
        <v>2051</v>
      </c>
      <c r="R440" s="642" t="s">
        <v>2073</v>
      </c>
      <c r="S440" s="641"/>
      <c r="T440" s="641"/>
      <c r="U440" s="642" t="s">
        <v>2074</v>
      </c>
      <c r="V440" s="642"/>
      <c r="W440" s="645"/>
      <c r="X440" s="647" t="s">
        <v>2075</v>
      </c>
      <c r="Y440" s="646" t="s">
        <v>653</v>
      </c>
      <c r="Z440" s="648">
        <v>2.6851</v>
      </c>
      <c r="AA440" s="650">
        <f t="shared" si="219"/>
        <v>3624.885</v>
      </c>
      <c r="AB440" s="649">
        <v>1350</v>
      </c>
      <c r="AC440" s="649">
        <f t="shared" si="228"/>
        <v>0</v>
      </c>
      <c r="AD440" s="650" t="s">
        <v>106</v>
      </c>
      <c r="AE440" s="637" t="s">
        <v>648</v>
      </c>
      <c r="AF440" s="646" t="s">
        <v>107</v>
      </c>
      <c r="AG440" s="652" t="s">
        <v>43</v>
      </c>
      <c r="AH440" s="646" t="s">
        <v>2076</v>
      </c>
      <c r="AI440" s="705"/>
      <c r="AJ440" s="705"/>
      <c r="AK440" s="705"/>
      <c r="AL440" s="649">
        <f t="shared" si="232"/>
        <v>1350</v>
      </c>
      <c r="AM440" s="649"/>
      <c r="AN440" s="705"/>
      <c r="AO440" s="649"/>
      <c r="AP440" s="649"/>
      <c r="AQ440" s="653"/>
      <c r="AR440" s="705"/>
      <c r="AS440" s="705"/>
      <c r="AT440" s="649">
        <f t="shared" si="233"/>
        <v>1350</v>
      </c>
      <c r="AU440" s="649"/>
      <c r="AV440" s="654"/>
      <c r="AW440" s="706"/>
      <c r="AX440" s="652"/>
      <c r="AY440" s="652"/>
      <c r="AZ440" s="706"/>
      <c r="BA440" s="652"/>
      <c r="BB440" s="652"/>
      <c r="BC440" s="706"/>
      <c r="BD440" s="706"/>
      <c r="BE440" s="652">
        <f>I440/6</f>
        <v>225</v>
      </c>
      <c r="BF440" s="706"/>
      <c r="BG440" s="652"/>
      <c r="BH440" s="652"/>
      <c r="BI440" s="706"/>
      <c r="BJ440" s="706"/>
      <c r="BK440" s="654"/>
      <c r="BL440" s="654"/>
      <c r="BM440" s="654"/>
      <c r="BN440" s="654"/>
      <c r="BO440" s="654"/>
      <c r="BP440" s="706"/>
      <c r="BQ440" s="654"/>
      <c r="BR440" s="706"/>
      <c r="BS440" s="654"/>
      <c r="BT440" s="654"/>
      <c r="BU440" s="654"/>
      <c r="BV440" s="654"/>
      <c r="BW440" s="645" t="s">
        <v>109</v>
      </c>
      <c r="BX440" s="658">
        <f>I440/4</f>
        <v>337.5</v>
      </c>
      <c r="BY440" s="658">
        <f>I440/4</f>
        <v>337.5</v>
      </c>
      <c r="BZ440" s="658">
        <f>I440/4</f>
        <v>337.5</v>
      </c>
      <c r="CA440" s="658">
        <f>I440/4</f>
        <v>337.5</v>
      </c>
      <c r="CB440" s="644">
        <f t="shared" si="221"/>
        <v>1350</v>
      </c>
      <c r="CC440" s="658"/>
      <c r="CD440" s="644">
        <f t="shared" si="229"/>
        <v>1350</v>
      </c>
      <c r="CE440" s="644">
        <f t="shared" si="231"/>
        <v>0</v>
      </c>
    </row>
    <row r="441" s="338" customFormat="1" ht="40" customHeight="1" spans="1:83">
      <c r="A441" s="632">
        <v>45897</v>
      </c>
      <c r="B441" s="633" t="s">
        <v>896</v>
      </c>
      <c r="C441" s="634" t="s">
        <v>267</v>
      </c>
      <c r="D441" s="635">
        <v>4500178041</v>
      </c>
      <c r="E441" s="659">
        <v>21138061</v>
      </c>
      <c r="F441" s="635" t="s">
        <v>2077</v>
      </c>
      <c r="G441" s="637" t="s">
        <v>648</v>
      </c>
      <c r="H441" s="637" t="s">
        <v>99</v>
      </c>
      <c r="I441" s="638">
        <v>150</v>
      </c>
      <c r="J441" s="638">
        <v>0</v>
      </c>
      <c r="K441" s="639">
        <v>6</v>
      </c>
      <c r="L441" s="639">
        <f t="shared" si="230"/>
        <v>25</v>
      </c>
      <c r="M441" s="641">
        <v>45919</v>
      </c>
      <c r="N441" s="641">
        <v>45918</v>
      </c>
      <c r="O441" s="641"/>
      <c r="P441" s="642" t="s">
        <v>100</v>
      </c>
      <c r="Q441" s="702" t="s">
        <v>2051</v>
      </c>
      <c r="R441" s="642" t="s">
        <v>2073</v>
      </c>
      <c r="S441" s="641"/>
      <c r="T441" s="641"/>
      <c r="U441" s="642" t="s">
        <v>2074</v>
      </c>
      <c r="V441" s="642"/>
      <c r="W441" s="645"/>
      <c r="X441" s="647" t="s">
        <v>1746</v>
      </c>
      <c r="Y441" s="646" t="s">
        <v>653</v>
      </c>
      <c r="Z441" s="648">
        <v>2.699</v>
      </c>
      <c r="AA441" s="650">
        <f t="shared" si="219"/>
        <v>404.85</v>
      </c>
      <c r="AB441" s="649">
        <v>150</v>
      </c>
      <c r="AC441" s="649">
        <f t="shared" si="228"/>
        <v>0</v>
      </c>
      <c r="AD441" s="650" t="s">
        <v>106</v>
      </c>
      <c r="AE441" s="637" t="s">
        <v>648</v>
      </c>
      <c r="AF441" s="646" t="s">
        <v>107</v>
      </c>
      <c r="AG441" s="652" t="s">
        <v>43</v>
      </c>
      <c r="AH441" s="646" t="s">
        <v>2078</v>
      </c>
      <c r="AI441" s="705"/>
      <c r="AJ441" s="705"/>
      <c r="AK441" s="705"/>
      <c r="AL441" s="649">
        <f t="shared" si="232"/>
        <v>150</v>
      </c>
      <c r="AM441" s="649"/>
      <c r="AN441" s="705"/>
      <c r="AO441" s="649"/>
      <c r="AP441" s="649"/>
      <c r="AQ441" s="653"/>
      <c r="AR441" s="705"/>
      <c r="AS441" s="705"/>
      <c r="AT441" s="649">
        <f t="shared" si="233"/>
        <v>150</v>
      </c>
      <c r="AU441" s="649"/>
      <c r="AV441" s="654"/>
      <c r="AW441" s="706"/>
      <c r="AX441" s="652"/>
      <c r="AY441" s="652"/>
      <c r="AZ441" s="706"/>
      <c r="BA441" s="652"/>
      <c r="BB441" s="652"/>
      <c r="BC441" s="706"/>
      <c r="BD441" s="706"/>
      <c r="BE441" s="652">
        <f>I441/6</f>
        <v>25</v>
      </c>
      <c r="BF441" s="706"/>
      <c r="BG441" s="652"/>
      <c r="BH441" s="652"/>
      <c r="BI441" s="706"/>
      <c r="BJ441" s="706"/>
      <c r="BK441" s="654"/>
      <c r="BL441" s="654"/>
      <c r="BM441" s="654"/>
      <c r="BN441" s="654"/>
      <c r="BO441" s="654"/>
      <c r="BP441" s="706"/>
      <c r="BQ441" s="654"/>
      <c r="BR441" s="706"/>
      <c r="BS441" s="654"/>
      <c r="BT441" s="654"/>
      <c r="BU441" s="654"/>
      <c r="BV441" s="654"/>
      <c r="BW441" s="645" t="s">
        <v>109</v>
      </c>
      <c r="BX441" s="658">
        <f>I441/4</f>
        <v>37.5</v>
      </c>
      <c r="BY441" s="658">
        <f>I441/4</f>
        <v>37.5</v>
      </c>
      <c r="BZ441" s="658">
        <f>I441/4</f>
        <v>37.5</v>
      </c>
      <c r="CA441" s="658">
        <f>I441/4</f>
        <v>37.5</v>
      </c>
      <c r="CB441" s="644">
        <f t="shared" si="221"/>
        <v>150</v>
      </c>
      <c r="CC441" s="658"/>
      <c r="CD441" s="644">
        <f t="shared" si="229"/>
        <v>150</v>
      </c>
      <c r="CE441" s="644">
        <f t="shared" si="231"/>
        <v>0</v>
      </c>
    </row>
    <row r="442" s="338" customFormat="1" ht="40" customHeight="1" spans="1:83">
      <c r="A442" s="632">
        <v>45881</v>
      </c>
      <c r="B442" s="633" t="s">
        <v>246</v>
      </c>
      <c r="C442" s="634" t="s">
        <v>247</v>
      </c>
      <c r="D442" s="635">
        <v>4500176747</v>
      </c>
      <c r="E442" s="659" t="s">
        <v>2079</v>
      </c>
      <c r="F442" s="635" t="s">
        <v>2080</v>
      </c>
      <c r="G442" s="637" t="s">
        <v>111</v>
      </c>
      <c r="H442" s="637" t="s">
        <v>99</v>
      </c>
      <c r="I442" s="638">
        <v>704</v>
      </c>
      <c r="J442" s="638">
        <v>0</v>
      </c>
      <c r="K442" s="639">
        <v>22</v>
      </c>
      <c r="L442" s="639">
        <f t="shared" si="230"/>
        <v>32</v>
      </c>
      <c r="M442" s="641">
        <v>45919</v>
      </c>
      <c r="N442" s="641">
        <v>45918</v>
      </c>
      <c r="O442" s="641"/>
      <c r="P442" s="642" t="s">
        <v>100</v>
      </c>
      <c r="Q442" s="643" t="s">
        <v>2081</v>
      </c>
      <c r="R442" s="642" t="s">
        <v>2082</v>
      </c>
      <c r="S442" s="641"/>
      <c r="T442" s="641"/>
      <c r="U442" s="642" t="s">
        <v>251</v>
      </c>
      <c r="V442" s="642"/>
      <c r="W442" s="645"/>
      <c r="X442" s="647" t="s">
        <v>2083</v>
      </c>
      <c r="Y442" s="646" t="s">
        <v>253</v>
      </c>
      <c r="Z442" s="683">
        <v>2.7889</v>
      </c>
      <c r="AA442" s="650">
        <f t="shared" si="219"/>
        <v>1963.3856</v>
      </c>
      <c r="AB442" s="649">
        <v>704</v>
      </c>
      <c r="AC442" s="649">
        <f t="shared" si="228"/>
        <v>0</v>
      </c>
      <c r="AD442" s="650" t="s">
        <v>106</v>
      </c>
      <c r="AE442" s="637" t="s">
        <v>111</v>
      </c>
      <c r="AF442" s="646" t="s">
        <v>107</v>
      </c>
      <c r="AG442" s="652" t="s">
        <v>43</v>
      </c>
      <c r="AH442" s="646" t="s">
        <v>2084</v>
      </c>
      <c r="AI442" s="705"/>
      <c r="AJ442" s="705"/>
      <c r="AK442" s="705"/>
      <c r="AL442" s="649">
        <f t="shared" si="232"/>
        <v>704</v>
      </c>
      <c r="AM442" s="649"/>
      <c r="AN442" s="705"/>
      <c r="AO442" s="649"/>
      <c r="AP442" s="649"/>
      <c r="AQ442" s="653"/>
      <c r="AR442" s="705"/>
      <c r="AS442" s="705"/>
      <c r="AT442" s="649">
        <f t="shared" si="233"/>
        <v>704</v>
      </c>
      <c r="AU442" s="649"/>
      <c r="AV442" s="654"/>
      <c r="AW442" s="706"/>
      <c r="AX442" s="652">
        <f t="shared" ref="AX442:AX447" si="234">I442/11</f>
        <v>64</v>
      </c>
      <c r="AY442" s="652"/>
      <c r="AZ442" s="706"/>
      <c r="BA442" s="652"/>
      <c r="BB442" s="652"/>
      <c r="BC442" s="706"/>
      <c r="BD442" s="706"/>
      <c r="BE442" s="654"/>
      <c r="BF442" s="706"/>
      <c r="BG442" s="652"/>
      <c r="BH442" s="652"/>
      <c r="BI442" s="706"/>
      <c r="BJ442" s="706"/>
      <c r="BK442" s="654"/>
      <c r="BL442" s="654"/>
      <c r="BM442" s="654"/>
      <c r="BN442" s="654"/>
      <c r="BO442" s="654"/>
      <c r="BP442" s="706"/>
      <c r="BQ442" s="654"/>
      <c r="BR442" s="706"/>
      <c r="BS442" s="654"/>
      <c r="BT442" s="654"/>
      <c r="BU442" s="654"/>
      <c r="BV442" s="654"/>
      <c r="BW442" s="645" t="s">
        <v>109</v>
      </c>
      <c r="BX442" s="658">
        <f t="shared" ref="BX442:BX447" si="235">I442/22*5</f>
        <v>160</v>
      </c>
      <c r="BY442" s="658">
        <f t="shared" ref="BY442:BY447" si="236">I442/22*6</f>
        <v>192</v>
      </c>
      <c r="BZ442" s="658">
        <f t="shared" ref="BZ442:BZ447" si="237">I442/22*6</f>
        <v>192</v>
      </c>
      <c r="CA442" s="658">
        <f t="shared" ref="CA442:CA447" si="238">I442/22*5</f>
        <v>160</v>
      </c>
      <c r="CB442" s="644">
        <f t="shared" si="221"/>
        <v>704</v>
      </c>
      <c r="CC442" s="658">
        <f t="shared" ref="CC442:CC447" si="239">I442/11</f>
        <v>64</v>
      </c>
      <c r="CD442" s="644">
        <f t="shared" si="229"/>
        <v>704</v>
      </c>
      <c r="CE442" s="644">
        <f t="shared" si="231"/>
        <v>0</v>
      </c>
    </row>
    <row r="443" s="338" customFormat="1" ht="40" customHeight="1" spans="1:83">
      <c r="A443" s="632">
        <v>45881</v>
      </c>
      <c r="B443" s="633" t="s">
        <v>246</v>
      </c>
      <c r="C443" s="634" t="s">
        <v>247</v>
      </c>
      <c r="D443" s="635">
        <v>4500176747</v>
      </c>
      <c r="E443" s="659" t="s">
        <v>2085</v>
      </c>
      <c r="F443" s="635" t="s">
        <v>2086</v>
      </c>
      <c r="G443" s="637" t="s">
        <v>111</v>
      </c>
      <c r="H443" s="637" t="s">
        <v>99</v>
      </c>
      <c r="I443" s="638">
        <v>550</v>
      </c>
      <c r="J443" s="638">
        <v>0</v>
      </c>
      <c r="K443" s="639">
        <v>22</v>
      </c>
      <c r="L443" s="639">
        <f t="shared" si="230"/>
        <v>25</v>
      </c>
      <c r="M443" s="641">
        <v>45919</v>
      </c>
      <c r="N443" s="641">
        <v>45918</v>
      </c>
      <c r="O443" s="641"/>
      <c r="P443" s="642" t="s">
        <v>100</v>
      </c>
      <c r="Q443" s="643" t="s">
        <v>2087</v>
      </c>
      <c r="R443" s="642" t="s">
        <v>2082</v>
      </c>
      <c r="S443" s="641"/>
      <c r="T443" s="641"/>
      <c r="U443" s="642" t="s">
        <v>251</v>
      </c>
      <c r="V443" s="642"/>
      <c r="W443" s="645"/>
      <c r="X443" s="647" t="s">
        <v>2083</v>
      </c>
      <c r="Y443" s="646" t="s">
        <v>253</v>
      </c>
      <c r="Z443" s="683">
        <v>2.7889</v>
      </c>
      <c r="AA443" s="650">
        <f t="shared" si="219"/>
        <v>1533.895</v>
      </c>
      <c r="AB443" s="649">
        <v>550</v>
      </c>
      <c r="AC443" s="649">
        <f t="shared" si="228"/>
        <v>0</v>
      </c>
      <c r="AD443" s="650" t="s">
        <v>106</v>
      </c>
      <c r="AE443" s="637" t="s">
        <v>111</v>
      </c>
      <c r="AF443" s="646" t="s">
        <v>107</v>
      </c>
      <c r="AG443" s="652" t="s">
        <v>43</v>
      </c>
      <c r="AH443" s="646" t="s">
        <v>2088</v>
      </c>
      <c r="AI443" s="705"/>
      <c r="AJ443" s="705"/>
      <c r="AK443" s="705"/>
      <c r="AL443" s="649">
        <f t="shared" si="232"/>
        <v>550</v>
      </c>
      <c r="AM443" s="649"/>
      <c r="AN443" s="705"/>
      <c r="AO443" s="649"/>
      <c r="AP443" s="649"/>
      <c r="AQ443" s="653"/>
      <c r="AR443" s="705"/>
      <c r="AS443" s="705"/>
      <c r="AT443" s="649">
        <f t="shared" si="233"/>
        <v>550</v>
      </c>
      <c r="AU443" s="649"/>
      <c r="AV443" s="654"/>
      <c r="AW443" s="706"/>
      <c r="AX443" s="652">
        <f t="shared" si="234"/>
        <v>50</v>
      </c>
      <c r="AY443" s="652"/>
      <c r="AZ443" s="706"/>
      <c r="BA443" s="652"/>
      <c r="BB443" s="652"/>
      <c r="BC443" s="706"/>
      <c r="BD443" s="706"/>
      <c r="BE443" s="654"/>
      <c r="BF443" s="706"/>
      <c r="BG443" s="652"/>
      <c r="BH443" s="652"/>
      <c r="BI443" s="706"/>
      <c r="BJ443" s="706"/>
      <c r="BK443" s="654"/>
      <c r="BL443" s="654"/>
      <c r="BM443" s="654"/>
      <c r="BN443" s="654"/>
      <c r="BO443" s="654"/>
      <c r="BP443" s="706"/>
      <c r="BQ443" s="654"/>
      <c r="BR443" s="706"/>
      <c r="BS443" s="654"/>
      <c r="BT443" s="654"/>
      <c r="BU443" s="654"/>
      <c r="BV443" s="654"/>
      <c r="BW443" s="645" t="s">
        <v>109</v>
      </c>
      <c r="BX443" s="658">
        <f t="shared" si="235"/>
        <v>125</v>
      </c>
      <c r="BY443" s="658">
        <f t="shared" si="236"/>
        <v>150</v>
      </c>
      <c r="BZ443" s="658">
        <f t="shared" si="237"/>
        <v>150</v>
      </c>
      <c r="CA443" s="658">
        <f t="shared" si="238"/>
        <v>125</v>
      </c>
      <c r="CB443" s="644">
        <f t="shared" si="221"/>
        <v>550</v>
      </c>
      <c r="CC443" s="658">
        <f t="shared" si="239"/>
        <v>50</v>
      </c>
      <c r="CD443" s="644">
        <f t="shared" si="229"/>
        <v>550</v>
      </c>
      <c r="CE443" s="644">
        <f t="shared" si="231"/>
        <v>0</v>
      </c>
    </row>
    <row r="444" s="338" customFormat="1" ht="40" customHeight="1" spans="1:83">
      <c r="A444" s="632">
        <v>45881</v>
      </c>
      <c r="B444" s="633" t="s">
        <v>246</v>
      </c>
      <c r="C444" s="634" t="s">
        <v>247</v>
      </c>
      <c r="D444" s="635">
        <v>4500176747</v>
      </c>
      <c r="E444" s="659" t="s">
        <v>2089</v>
      </c>
      <c r="F444" s="635" t="s">
        <v>2090</v>
      </c>
      <c r="G444" s="637" t="s">
        <v>111</v>
      </c>
      <c r="H444" s="637" t="s">
        <v>99</v>
      </c>
      <c r="I444" s="638">
        <v>550</v>
      </c>
      <c r="J444" s="638">
        <v>0</v>
      </c>
      <c r="K444" s="639">
        <v>22</v>
      </c>
      <c r="L444" s="639">
        <f t="shared" si="230"/>
        <v>25</v>
      </c>
      <c r="M444" s="641">
        <v>45919</v>
      </c>
      <c r="N444" s="641">
        <v>45918</v>
      </c>
      <c r="O444" s="641"/>
      <c r="P444" s="642" t="s">
        <v>100</v>
      </c>
      <c r="Q444" s="643" t="s">
        <v>2087</v>
      </c>
      <c r="R444" s="642" t="s">
        <v>2082</v>
      </c>
      <c r="S444" s="641"/>
      <c r="T444" s="641"/>
      <c r="U444" s="642" t="s">
        <v>251</v>
      </c>
      <c r="V444" s="642"/>
      <c r="W444" s="645"/>
      <c r="X444" s="647" t="s">
        <v>2083</v>
      </c>
      <c r="Y444" s="646" t="s">
        <v>253</v>
      </c>
      <c r="Z444" s="683">
        <v>2.7889</v>
      </c>
      <c r="AA444" s="650">
        <f t="shared" si="219"/>
        <v>1533.895</v>
      </c>
      <c r="AB444" s="649">
        <v>550</v>
      </c>
      <c r="AC444" s="649">
        <f t="shared" si="228"/>
        <v>0</v>
      </c>
      <c r="AD444" s="650" t="s">
        <v>106</v>
      </c>
      <c r="AE444" s="637" t="s">
        <v>111</v>
      </c>
      <c r="AF444" s="646" t="s">
        <v>107</v>
      </c>
      <c r="AG444" s="652" t="s">
        <v>43</v>
      </c>
      <c r="AH444" s="646" t="s">
        <v>2088</v>
      </c>
      <c r="AI444" s="705"/>
      <c r="AJ444" s="705"/>
      <c r="AK444" s="705"/>
      <c r="AL444" s="649">
        <f t="shared" si="232"/>
        <v>550</v>
      </c>
      <c r="AM444" s="649"/>
      <c r="AN444" s="705"/>
      <c r="AO444" s="649"/>
      <c r="AP444" s="649"/>
      <c r="AQ444" s="653"/>
      <c r="AR444" s="705"/>
      <c r="AS444" s="705"/>
      <c r="AT444" s="649">
        <f t="shared" si="233"/>
        <v>550</v>
      </c>
      <c r="AU444" s="649"/>
      <c r="AV444" s="654"/>
      <c r="AW444" s="706"/>
      <c r="AX444" s="652">
        <f t="shared" si="234"/>
        <v>50</v>
      </c>
      <c r="AY444" s="652"/>
      <c r="AZ444" s="706"/>
      <c r="BA444" s="652"/>
      <c r="BB444" s="652"/>
      <c r="BC444" s="706"/>
      <c r="BD444" s="706"/>
      <c r="BE444" s="654"/>
      <c r="BF444" s="706"/>
      <c r="BG444" s="652"/>
      <c r="BH444" s="652"/>
      <c r="BI444" s="706"/>
      <c r="BJ444" s="706"/>
      <c r="BK444" s="654"/>
      <c r="BL444" s="654"/>
      <c r="BM444" s="654"/>
      <c r="BN444" s="654"/>
      <c r="BO444" s="654"/>
      <c r="BP444" s="706"/>
      <c r="BQ444" s="654"/>
      <c r="BR444" s="706"/>
      <c r="BS444" s="654"/>
      <c r="BT444" s="654"/>
      <c r="BU444" s="654"/>
      <c r="BV444" s="654"/>
      <c r="BW444" s="645" t="s">
        <v>109</v>
      </c>
      <c r="BX444" s="658">
        <f t="shared" si="235"/>
        <v>125</v>
      </c>
      <c r="BY444" s="658">
        <f t="shared" si="236"/>
        <v>150</v>
      </c>
      <c r="BZ444" s="658">
        <f t="shared" si="237"/>
        <v>150</v>
      </c>
      <c r="CA444" s="658">
        <f t="shared" si="238"/>
        <v>125</v>
      </c>
      <c r="CB444" s="644">
        <f t="shared" si="221"/>
        <v>550</v>
      </c>
      <c r="CC444" s="658">
        <f t="shared" si="239"/>
        <v>50</v>
      </c>
      <c r="CD444" s="644">
        <f t="shared" si="229"/>
        <v>550</v>
      </c>
      <c r="CE444" s="644">
        <f t="shared" si="231"/>
        <v>0</v>
      </c>
    </row>
    <row r="445" s="338" customFormat="1" ht="40" customHeight="1" spans="1:83">
      <c r="A445" s="632">
        <v>45883</v>
      </c>
      <c r="B445" s="633" t="s">
        <v>2091</v>
      </c>
      <c r="C445" s="634" t="s">
        <v>214</v>
      </c>
      <c r="D445" s="635">
        <v>4500176907</v>
      </c>
      <c r="E445" s="659" t="s">
        <v>2092</v>
      </c>
      <c r="F445" s="635" t="s">
        <v>2093</v>
      </c>
      <c r="G445" s="637" t="s">
        <v>111</v>
      </c>
      <c r="H445" s="637" t="s">
        <v>99</v>
      </c>
      <c r="I445" s="638">
        <v>2420</v>
      </c>
      <c r="J445" s="638">
        <v>0</v>
      </c>
      <c r="K445" s="639">
        <v>22</v>
      </c>
      <c r="L445" s="639">
        <f t="shared" si="230"/>
        <v>110</v>
      </c>
      <c r="M445" s="641">
        <v>45919</v>
      </c>
      <c r="N445" s="641">
        <v>45918</v>
      </c>
      <c r="O445" s="641"/>
      <c r="P445" s="642" t="s">
        <v>100</v>
      </c>
      <c r="Q445" s="643" t="s">
        <v>2081</v>
      </c>
      <c r="R445" s="642" t="s">
        <v>2094</v>
      </c>
      <c r="S445" s="641"/>
      <c r="T445" s="641"/>
      <c r="U445" s="642" t="s">
        <v>113</v>
      </c>
      <c r="V445" s="642"/>
      <c r="W445" s="645"/>
      <c r="X445" s="647" t="s">
        <v>2095</v>
      </c>
      <c r="Y445" s="646" t="s">
        <v>2096</v>
      </c>
      <c r="Z445" s="683">
        <v>1.6236</v>
      </c>
      <c r="AA445" s="650">
        <f t="shared" si="219"/>
        <v>3929.112</v>
      </c>
      <c r="AB445" s="649">
        <v>2420</v>
      </c>
      <c r="AC445" s="649">
        <f t="shared" si="228"/>
        <v>0</v>
      </c>
      <c r="AD445" s="650" t="s">
        <v>113</v>
      </c>
      <c r="AE445" s="637" t="s">
        <v>111</v>
      </c>
      <c r="AF445" s="646" t="s">
        <v>107</v>
      </c>
      <c r="AG445" s="652" t="s">
        <v>43</v>
      </c>
      <c r="AH445" s="646" t="s">
        <v>2097</v>
      </c>
      <c r="AI445" s="705"/>
      <c r="AJ445" s="705"/>
      <c r="AK445" s="705"/>
      <c r="AL445" s="649">
        <f t="shared" si="232"/>
        <v>2420</v>
      </c>
      <c r="AM445" s="649"/>
      <c r="AN445" s="705"/>
      <c r="AO445" s="649"/>
      <c r="AP445" s="649"/>
      <c r="AQ445" s="653"/>
      <c r="AR445" s="705"/>
      <c r="AS445" s="705"/>
      <c r="AT445" s="649">
        <f t="shared" si="233"/>
        <v>2420</v>
      </c>
      <c r="AU445" s="649"/>
      <c r="AV445" s="654"/>
      <c r="AW445" s="706"/>
      <c r="AX445" s="652">
        <f t="shared" si="234"/>
        <v>220</v>
      </c>
      <c r="AY445" s="652"/>
      <c r="AZ445" s="706"/>
      <c r="BA445" s="652"/>
      <c r="BB445" s="652"/>
      <c r="BC445" s="706"/>
      <c r="BD445" s="706"/>
      <c r="BE445" s="654"/>
      <c r="BF445" s="706"/>
      <c r="BG445" s="652"/>
      <c r="BH445" s="652"/>
      <c r="BI445" s="706"/>
      <c r="BJ445" s="706"/>
      <c r="BK445" s="654"/>
      <c r="BL445" s="654"/>
      <c r="BM445" s="654"/>
      <c r="BN445" s="654"/>
      <c r="BO445" s="654"/>
      <c r="BP445" s="706"/>
      <c r="BQ445" s="654"/>
      <c r="BR445" s="706"/>
      <c r="BS445" s="654"/>
      <c r="BT445" s="654"/>
      <c r="BU445" s="654"/>
      <c r="BV445" s="654"/>
      <c r="BW445" s="645" t="s">
        <v>109</v>
      </c>
      <c r="BX445" s="658">
        <f t="shared" si="235"/>
        <v>550</v>
      </c>
      <c r="BY445" s="658">
        <f t="shared" si="236"/>
        <v>660</v>
      </c>
      <c r="BZ445" s="658">
        <f t="shared" si="237"/>
        <v>660</v>
      </c>
      <c r="CA445" s="658">
        <f t="shared" si="238"/>
        <v>550</v>
      </c>
      <c r="CB445" s="644">
        <f t="shared" si="221"/>
        <v>2420</v>
      </c>
      <c r="CC445" s="658">
        <f t="shared" si="239"/>
        <v>220</v>
      </c>
      <c r="CD445" s="644">
        <f t="shared" si="229"/>
        <v>2420</v>
      </c>
      <c r="CE445" s="644">
        <f t="shared" si="231"/>
        <v>0</v>
      </c>
    </row>
    <row r="446" s="338" customFormat="1" ht="40" customHeight="1" spans="1:83">
      <c r="A446" s="632">
        <v>45876</v>
      </c>
      <c r="B446" s="633" t="s">
        <v>885</v>
      </c>
      <c r="C446" s="634" t="s">
        <v>556</v>
      </c>
      <c r="D446" s="635">
        <v>4500176300</v>
      </c>
      <c r="E446" s="659" t="s">
        <v>2098</v>
      </c>
      <c r="F446" s="635" t="s">
        <v>2099</v>
      </c>
      <c r="G446" s="637" t="s">
        <v>111</v>
      </c>
      <c r="H446" s="637" t="s">
        <v>99</v>
      </c>
      <c r="I446" s="638">
        <v>440</v>
      </c>
      <c r="J446" s="638">
        <v>0</v>
      </c>
      <c r="K446" s="639">
        <v>22</v>
      </c>
      <c r="L446" s="639">
        <f t="shared" si="230"/>
        <v>20</v>
      </c>
      <c r="M446" s="641">
        <v>45922</v>
      </c>
      <c r="N446" s="641">
        <v>45918</v>
      </c>
      <c r="O446" s="641"/>
      <c r="P446" s="642" t="s">
        <v>100</v>
      </c>
      <c r="Q446" s="643" t="s">
        <v>2100</v>
      </c>
      <c r="R446" s="642" t="s">
        <v>2101</v>
      </c>
      <c r="S446" s="641"/>
      <c r="T446" s="641"/>
      <c r="U446" s="642" t="s">
        <v>113</v>
      </c>
      <c r="V446" s="642"/>
      <c r="W446" s="645"/>
      <c r="X446" s="647" t="s">
        <v>2102</v>
      </c>
      <c r="Y446" s="646" t="s">
        <v>2070</v>
      </c>
      <c r="Z446" s="683">
        <v>2.6965</v>
      </c>
      <c r="AA446" s="650">
        <f t="shared" si="219"/>
        <v>1186.46</v>
      </c>
      <c r="AB446" s="649">
        <v>440</v>
      </c>
      <c r="AC446" s="649">
        <f t="shared" si="228"/>
        <v>0</v>
      </c>
      <c r="AD446" s="650" t="s">
        <v>113</v>
      </c>
      <c r="AE446" s="637" t="s">
        <v>111</v>
      </c>
      <c r="AF446" s="646" t="s">
        <v>107</v>
      </c>
      <c r="AG446" s="652" t="s">
        <v>43</v>
      </c>
      <c r="AH446" s="646" t="s">
        <v>2103</v>
      </c>
      <c r="AI446" s="705"/>
      <c r="AJ446" s="705"/>
      <c r="AK446" s="705"/>
      <c r="AL446" s="649">
        <f t="shared" si="232"/>
        <v>440</v>
      </c>
      <c r="AM446" s="649"/>
      <c r="AN446" s="705"/>
      <c r="AO446" s="649"/>
      <c r="AP446" s="649"/>
      <c r="AQ446" s="653"/>
      <c r="AR446" s="705"/>
      <c r="AS446" s="705"/>
      <c r="AT446" s="649">
        <f t="shared" si="233"/>
        <v>440</v>
      </c>
      <c r="AU446" s="649"/>
      <c r="AV446" s="654"/>
      <c r="AW446" s="706"/>
      <c r="AX446" s="652">
        <f t="shared" si="234"/>
        <v>40</v>
      </c>
      <c r="AY446" s="652"/>
      <c r="AZ446" s="706"/>
      <c r="BA446" s="652"/>
      <c r="BB446" s="652"/>
      <c r="BC446" s="706"/>
      <c r="BD446" s="706"/>
      <c r="BE446" s="654"/>
      <c r="BF446" s="706"/>
      <c r="BG446" s="652"/>
      <c r="BH446" s="652"/>
      <c r="BI446" s="706"/>
      <c r="BJ446" s="706"/>
      <c r="BK446" s="654"/>
      <c r="BL446" s="654"/>
      <c r="BM446" s="654"/>
      <c r="BN446" s="654"/>
      <c r="BO446" s="654"/>
      <c r="BP446" s="706"/>
      <c r="BQ446" s="654"/>
      <c r="BR446" s="706"/>
      <c r="BS446" s="654"/>
      <c r="BT446" s="654"/>
      <c r="BU446" s="654"/>
      <c r="BV446" s="654"/>
      <c r="BW446" s="645" t="s">
        <v>109</v>
      </c>
      <c r="BX446" s="658">
        <f t="shared" si="235"/>
        <v>100</v>
      </c>
      <c r="BY446" s="658">
        <f t="shared" si="236"/>
        <v>120</v>
      </c>
      <c r="BZ446" s="658">
        <f t="shared" si="237"/>
        <v>120</v>
      </c>
      <c r="CA446" s="658">
        <f t="shared" si="238"/>
        <v>100</v>
      </c>
      <c r="CB446" s="644">
        <f t="shared" si="221"/>
        <v>440</v>
      </c>
      <c r="CC446" s="658">
        <f t="shared" si="239"/>
        <v>40</v>
      </c>
      <c r="CD446" s="644">
        <f t="shared" si="229"/>
        <v>440</v>
      </c>
      <c r="CE446" s="644">
        <f t="shared" si="231"/>
        <v>0</v>
      </c>
    </row>
    <row r="447" s="338" customFormat="1" ht="40" customHeight="1" spans="1:83">
      <c r="A447" s="632">
        <v>45877</v>
      </c>
      <c r="B447" s="633" t="s">
        <v>2104</v>
      </c>
      <c r="C447" s="634" t="s">
        <v>466</v>
      </c>
      <c r="D447" s="635">
        <v>4500176381</v>
      </c>
      <c r="E447" s="659"/>
      <c r="F447" s="636" t="s">
        <v>2105</v>
      </c>
      <c r="G447" s="637" t="s">
        <v>111</v>
      </c>
      <c r="H447" s="637" t="s">
        <v>99</v>
      </c>
      <c r="I447" s="638">
        <v>682</v>
      </c>
      <c r="J447" s="638">
        <v>0</v>
      </c>
      <c r="K447" s="639">
        <v>22</v>
      </c>
      <c r="L447" s="639">
        <f t="shared" si="230"/>
        <v>31</v>
      </c>
      <c r="M447" s="641">
        <v>45925</v>
      </c>
      <c r="N447" s="641">
        <v>45922</v>
      </c>
      <c r="O447" s="641"/>
      <c r="P447" s="642" t="s">
        <v>100</v>
      </c>
      <c r="Q447" s="643" t="s">
        <v>2106</v>
      </c>
      <c r="R447" s="642" t="s">
        <v>2033</v>
      </c>
      <c r="S447" s="641"/>
      <c r="T447" s="641"/>
      <c r="U447" s="642" t="s">
        <v>2107</v>
      </c>
      <c r="V447" s="642"/>
      <c r="W447" s="645"/>
      <c r="X447" s="647" t="s">
        <v>2108</v>
      </c>
      <c r="Y447" s="646" t="s">
        <v>2109</v>
      </c>
      <c r="Z447" s="683">
        <v>2.7291</v>
      </c>
      <c r="AA447" s="650">
        <f t="shared" si="219"/>
        <v>1861.2462</v>
      </c>
      <c r="AB447" s="649">
        <v>682</v>
      </c>
      <c r="AC447" s="649">
        <f t="shared" si="228"/>
        <v>0</v>
      </c>
      <c r="AD447" s="650" t="s">
        <v>123</v>
      </c>
      <c r="AE447" s="637" t="s">
        <v>111</v>
      </c>
      <c r="AF447" s="646" t="s">
        <v>107</v>
      </c>
      <c r="AG447" s="652" t="s">
        <v>43</v>
      </c>
      <c r="AH447" s="646"/>
      <c r="AI447" s="705"/>
      <c r="AJ447" s="705"/>
      <c r="AK447" s="705"/>
      <c r="AL447" s="649">
        <f t="shared" si="232"/>
        <v>682</v>
      </c>
      <c r="AM447" s="649"/>
      <c r="AN447" s="705"/>
      <c r="AO447" s="649"/>
      <c r="AP447" s="649"/>
      <c r="AQ447" s="653"/>
      <c r="AR447" s="705"/>
      <c r="AS447" s="705"/>
      <c r="AT447" s="649">
        <f t="shared" si="233"/>
        <v>682</v>
      </c>
      <c r="AU447" s="649"/>
      <c r="AV447" s="654"/>
      <c r="AW447" s="706"/>
      <c r="AX447" s="652">
        <f t="shared" si="234"/>
        <v>62</v>
      </c>
      <c r="AY447" s="652"/>
      <c r="AZ447" s="706"/>
      <c r="BA447" s="652"/>
      <c r="BB447" s="652"/>
      <c r="BC447" s="706"/>
      <c r="BD447" s="706"/>
      <c r="BE447" s="654"/>
      <c r="BF447" s="706"/>
      <c r="BG447" s="652"/>
      <c r="BH447" s="652"/>
      <c r="BI447" s="706"/>
      <c r="BJ447" s="706"/>
      <c r="BK447" s="654"/>
      <c r="BL447" s="654"/>
      <c r="BM447" s="654"/>
      <c r="BN447" s="654"/>
      <c r="BO447" s="654"/>
      <c r="BP447" s="706"/>
      <c r="BQ447" s="654"/>
      <c r="BR447" s="706"/>
      <c r="BS447" s="654"/>
      <c r="BT447" s="654"/>
      <c r="BU447" s="654"/>
      <c r="BV447" s="654"/>
      <c r="BW447" s="645" t="s">
        <v>109</v>
      </c>
      <c r="BX447" s="658">
        <f t="shared" si="235"/>
        <v>155</v>
      </c>
      <c r="BY447" s="658">
        <f t="shared" si="236"/>
        <v>186</v>
      </c>
      <c r="BZ447" s="658">
        <f t="shared" si="237"/>
        <v>186</v>
      </c>
      <c r="CA447" s="658">
        <f t="shared" si="238"/>
        <v>155</v>
      </c>
      <c r="CB447" s="644">
        <f t="shared" si="221"/>
        <v>682</v>
      </c>
      <c r="CC447" s="658">
        <f t="shared" si="239"/>
        <v>62</v>
      </c>
      <c r="CD447" s="644">
        <f t="shared" si="229"/>
        <v>682</v>
      </c>
      <c r="CE447" s="644">
        <f t="shared" si="231"/>
        <v>0</v>
      </c>
    </row>
    <row r="448" s="338" customFormat="1" ht="40" customHeight="1" spans="1:83">
      <c r="A448" s="632">
        <v>45890</v>
      </c>
      <c r="B448" s="633" t="s">
        <v>2110</v>
      </c>
      <c r="C448" s="634" t="s">
        <v>214</v>
      </c>
      <c r="D448" s="635">
        <v>4500177536</v>
      </c>
      <c r="E448" s="659">
        <v>4558370983</v>
      </c>
      <c r="F448" s="635" t="s">
        <v>2111</v>
      </c>
      <c r="G448" s="637" t="s">
        <v>718</v>
      </c>
      <c r="H448" s="637" t="s">
        <v>99</v>
      </c>
      <c r="I448" s="638">
        <v>2394</v>
      </c>
      <c r="J448" s="638">
        <v>0</v>
      </c>
      <c r="K448" s="639">
        <v>6</v>
      </c>
      <c r="L448" s="639">
        <f t="shared" si="230"/>
        <v>399</v>
      </c>
      <c r="M448" s="641">
        <v>45930</v>
      </c>
      <c r="N448" s="641">
        <v>45926</v>
      </c>
      <c r="O448" s="641" t="s">
        <v>2112</v>
      </c>
      <c r="P448" s="642" t="s">
        <v>100</v>
      </c>
      <c r="Q448" s="643"/>
      <c r="R448" s="642" t="s">
        <v>2113</v>
      </c>
      <c r="S448" s="641"/>
      <c r="T448" s="641"/>
      <c r="U448" s="642" t="s">
        <v>2114</v>
      </c>
      <c r="V448" s="642"/>
      <c r="W448" s="645" t="s">
        <v>2115</v>
      </c>
      <c r="X448" s="647" t="s">
        <v>2116</v>
      </c>
      <c r="Y448" s="646" t="s">
        <v>725</v>
      </c>
      <c r="Z448" s="648">
        <v>1.5649</v>
      </c>
      <c r="AA448" s="650">
        <f t="shared" ref="AA448:AA456" si="240">Z448*I448</f>
        <v>3746.3706</v>
      </c>
      <c r="AB448" s="649">
        <v>2394</v>
      </c>
      <c r="AC448" s="649">
        <f t="shared" si="228"/>
        <v>0</v>
      </c>
      <c r="AD448" s="650" t="s">
        <v>106</v>
      </c>
      <c r="AE448" s="637" t="s">
        <v>718</v>
      </c>
      <c r="AF448" s="646" t="s">
        <v>107</v>
      </c>
      <c r="AG448" s="652" t="s">
        <v>43</v>
      </c>
      <c r="AH448" s="646" t="s">
        <v>2117</v>
      </c>
      <c r="AI448" s="696"/>
      <c r="AJ448" s="696"/>
      <c r="AK448" s="696"/>
      <c r="AL448" s="649">
        <f t="shared" si="232"/>
        <v>2394</v>
      </c>
      <c r="AM448" s="649"/>
      <c r="AN448" s="696"/>
      <c r="AO448" s="649"/>
      <c r="AP448" s="649"/>
      <c r="AQ448" s="653"/>
      <c r="AR448" s="696"/>
      <c r="AS448" s="696"/>
      <c r="AT448" s="649">
        <f t="shared" si="233"/>
        <v>2394</v>
      </c>
      <c r="AU448" s="649"/>
      <c r="AV448" s="654"/>
      <c r="AW448" s="697"/>
      <c r="AX448" s="652"/>
      <c r="AY448" s="652"/>
      <c r="AZ448" s="697"/>
      <c r="BA448" s="652"/>
      <c r="BB448" s="652"/>
      <c r="BC448" s="697"/>
      <c r="BD448" s="697"/>
      <c r="BE448" s="654"/>
      <c r="BF448" s="697"/>
      <c r="BG448" s="652"/>
      <c r="BH448" s="652"/>
      <c r="BI448" s="697"/>
      <c r="BJ448" s="697"/>
      <c r="BK448" s="652">
        <f>I448/6</f>
        <v>399</v>
      </c>
      <c r="BL448" s="652"/>
      <c r="BM448" s="654"/>
      <c r="BN448" s="654"/>
      <c r="BO448" s="654"/>
      <c r="BP448" s="697"/>
      <c r="BQ448" s="654"/>
      <c r="BR448" s="697"/>
      <c r="BS448" s="654"/>
      <c r="BT448" s="654"/>
      <c r="BU448" s="654"/>
      <c r="BV448" s="654"/>
      <c r="BW448" s="645" t="s">
        <v>109</v>
      </c>
      <c r="BX448" s="658">
        <f>I448/4</f>
        <v>598.5</v>
      </c>
      <c r="BY448" s="658">
        <f>I448/4</f>
        <v>598.5</v>
      </c>
      <c r="BZ448" s="658">
        <f>I448/4</f>
        <v>598.5</v>
      </c>
      <c r="CA448" s="658">
        <f>I448/4</f>
        <v>598.5</v>
      </c>
      <c r="CB448" s="644">
        <f t="shared" si="221"/>
        <v>2394</v>
      </c>
      <c r="CC448" s="644"/>
      <c r="CD448" s="644">
        <f t="shared" si="229"/>
        <v>2394</v>
      </c>
      <c r="CE448" s="644">
        <f t="shared" si="231"/>
        <v>0</v>
      </c>
    </row>
    <row r="449" s="338" customFormat="1" ht="40" customHeight="1" spans="1:83">
      <c r="A449" s="632">
        <v>45890</v>
      </c>
      <c r="B449" s="633" t="s">
        <v>2110</v>
      </c>
      <c r="C449" s="634" t="s">
        <v>214</v>
      </c>
      <c r="D449" s="635">
        <v>4500177536</v>
      </c>
      <c r="E449" s="659">
        <v>4558370947</v>
      </c>
      <c r="F449" s="635" t="s">
        <v>2118</v>
      </c>
      <c r="G449" s="637" t="s">
        <v>718</v>
      </c>
      <c r="H449" s="637" t="s">
        <v>99</v>
      </c>
      <c r="I449" s="638">
        <v>666</v>
      </c>
      <c r="J449" s="638">
        <v>0</v>
      </c>
      <c r="K449" s="639">
        <v>6</v>
      </c>
      <c r="L449" s="639">
        <f t="shared" si="230"/>
        <v>111</v>
      </c>
      <c r="M449" s="641">
        <v>45930</v>
      </c>
      <c r="N449" s="641">
        <v>45926</v>
      </c>
      <c r="O449" s="641" t="s">
        <v>2112</v>
      </c>
      <c r="P449" s="642" t="s">
        <v>100</v>
      </c>
      <c r="Q449" s="643" t="s">
        <v>367</v>
      </c>
      <c r="R449" s="642" t="s">
        <v>2113</v>
      </c>
      <c r="S449" s="641"/>
      <c r="T449" s="641"/>
      <c r="U449" s="642" t="s">
        <v>2114</v>
      </c>
      <c r="V449" s="642"/>
      <c r="W449" s="645" t="s">
        <v>2115</v>
      </c>
      <c r="X449" s="647" t="s">
        <v>2116</v>
      </c>
      <c r="Y449" s="646" t="s">
        <v>725</v>
      </c>
      <c r="Z449" s="648">
        <v>1.5787</v>
      </c>
      <c r="AA449" s="650">
        <f t="shared" si="240"/>
        <v>1051.4142</v>
      </c>
      <c r="AB449" s="649">
        <v>666</v>
      </c>
      <c r="AC449" s="649">
        <f t="shared" si="228"/>
        <v>0</v>
      </c>
      <c r="AD449" s="650"/>
      <c r="AE449" s="637" t="s">
        <v>718</v>
      </c>
      <c r="AF449" s="646" t="s">
        <v>107</v>
      </c>
      <c r="AG449" s="652" t="s">
        <v>43</v>
      </c>
      <c r="AH449" s="646" t="s">
        <v>2119</v>
      </c>
      <c r="AI449" s="696"/>
      <c r="AJ449" s="696"/>
      <c r="AK449" s="696"/>
      <c r="AL449" s="649">
        <f t="shared" si="232"/>
        <v>666</v>
      </c>
      <c r="AM449" s="649"/>
      <c r="AN449" s="696"/>
      <c r="AO449" s="649"/>
      <c r="AP449" s="649"/>
      <c r="AQ449" s="653"/>
      <c r="AR449" s="696"/>
      <c r="AS449" s="696"/>
      <c r="AT449" s="649">
        <f t="shared" si="233"/>
        <v>666</v>
      </c>
      <c r="AU449" s="649"/>
      <c r="AV449" s="654"/>
      <c r="AW449" s="697"/>
      <c r="AX449" s="652"/>
      <c r="AY449" s="652"/>
      <c r="AZ449" s="697"/>
      <c r="BA449" s="652"/>
      <c r="BB449" s="652"/>
      <c r="BC449" s="697"/>
      <c r="BD449" s="697"/>
      <c r="BE449" s="654"/>
      <c r="BF449" s="697"/>
      <c r="BG449" s="652"/>
      <c r="BH449" s="652"/>
      <c r="BI449" s="697"/>
      <c r="BJ449" s="697"/>
      <c r="BK449" s="652">
        <f t="shared" ref="BK449:BK456" si="241">I449/6</f>
        <v>111</v>
      </c>
      <c r="BL449" s="652"/>
      <c r="BM449" s="654"/>
      <c r="BN449" s="654"/>
      <c r="BO449" s="654"/>
      <c r="BP449" s="697"/>
      <c r="BQ449" s="654"/>
      <c r="BR449" s="697"/>
      <c r="BS449" s="654"/>
      <c r="BT449" s="654"/>
      <c r="BU449" s="654"/>
      <c r="BV449" s="654"/>
      <c r="BW449" s="645" t="s">
        <v>109</v>
      </c>
      <c r="BX449" s="658">
        <f t="shared" ref="BX449:BX460" si="242">I449/4</f>
        <v>166.5</v>
      </c>
      <c r="BY449" s="658">
        <f t="shared" ref="BY449:BY460" si="243">I449/4</f>
        <v>166.5</v>
      </c>
      <c r="BZ449" s="658">
        <f t="shared" ref="BZ449:BZ460" si="244">I449/4</f>
        <v>166.5</v>
      </c>
      <c r="CA449" s="658">
        <f t="shared" ref="CA449:CA460" si="245">I449/4</f>
        <v>166.5</v>
      </c>
      <c r="CB449" s="644">
        <f t="shared" si="221"/>
        <v>666</v>
      </c>
      <c r="CC449" s="644"/>
      <c r="CD449" s="644">
        <f t="shared" si="229"/>
        <v>666</v>
      </c>
      <c r="CE449" s="644">
        <f t="shared" si="231"/>
        <v>0</v>
      </c>
    </row>
    <row r="450" s="338" customFormat="1" ht="40" customHeight="1" spans="1:83">
      <c r="A450" s="632">
        <v>45890</v>
      </c>
      <c r="B450" s="633" t="s">
        <v>2110</v>
      </c>
      <c r="C450" s="634" t="s">
        <v>214</v>
      </c>
      <c r="D450" s="635">
        <v>4500177536</v>
      </c>
      <c r="E450" s="659">
        <v>4558371011</v>
      </c>
      <c r="F450" s="635" t="s">
        <v>2120</v>
      </c>
      <c r="G450" s="637" t="s">
        <v>718</v>
      </c>
      <c r="H450" s="637" t="s">
        <v>99</v>
      </c>
      <c r="I450" s="638">
        <v>1614</v>
      </c>
      <c r="J450" s="638">
        <v>0</v>
      </c>
      <c r="K450" s="639">
        <v>6</v>
      </c>
      <c r="L450" s="639">
        <f t="shared" si="230"/>
        <v>269</v>
      </c>
      <c r="M450" s="641">
        <v>45930</v>
      </c>
      <c r="N450" s="641">
        <v>45926</v>
      </c>
      <c r="O450" s="641" t="s">
        <v>2112</v>
      </c>
      <c r="P450" s="642" t="s">
        <v>100</v>
      </c>
      <c r="Q450" s="643"/>
      <c r="R450" s="642" t="s">
        <v>2113</v>
      </c>
      <c r="S450" s="641"/>
      <c r="T450" s="641"/>
      <c r="U450" s="642" t="s">
        <v>2114</v>
      </c>
      <c r="V450" s="642"/>
      <c r="W450" s="645" t="s">
        <v>2115</v>
      </c>
      <c r="X450" s="647" t="s">
        <v>2116</v>
      </c>
      <c r="Y450" s="646" t="s">
        <v>725</v>
      </c>
      <c r="Z450" s="648">
        <v>1.5704</v>
      </c>
      <c r="AA450" s="650">
        <f t="shared" si="240"/>
        <v>2534.6256</v>
      </c>
      <c r="AB450" s="649">
        <v>1614</v>
      </c>
      <c r="AC450" s="649">
        <f t="shared" si="228"/>
        <v>0</v>
      </c>
      <c r="AD450" s="650"/>
      <c r="AE450" s="637" t="s">
        <v>718</v>
      </c>
      <c r="AF450" s="646" t="s">
        <v>107</v>
      </c>
      <c r="AG450" s="652" t="s">
        <v>43</v>
      </c>
      <c r="AH450" s="646" t="s">
        <v>2121</v>
      </c>
      <c r="AI450" s="696"/>
      <c r="AJ450" s="696"/>
      <c r="AK450" s="696"/>
      <c r="AL450" s="649">
        <f t="shared" si="232"/>
        <v>1614</v>
      </c>
      <c r="AM450" s="649"/>
      <c r="AN450" s="696"/>
      <c r="AO450" s="649"/>
      <c r="AP450" s="649"/>
      <c r="AQ450" s="653"/>
      <c r="AR450" s="696"/>
      <c r="AS450" s="696"/>
      <c r="AT450" s="649">
        <f t="shared" si="233"/>
        <v>1614</v>
      </c>
      <c r="AU450" s="649"/>
      <c r="AV450" s="654"/>
      <c r="AW450" s="697"/>
      <c r="AX450" s="652"/>
      <c r="AY450" s="652"/>
      <c r="AZ450" s="697"/>
      <c r="BA450" s="652"/>
      <c r="BB450" s="652"/>
      <c r="BC450" s="697"/>
      <c r="BD450" s="697"/>
      <c r="BE450" s="654"/>
      <c r="BF450" s="697"/>
      <c r="BG450" s="652"/>
      <c r="BH450" s="652"/>
      <c r="BI450" s="697"/>
      <c r="BJ450" s="697"/>
      <c r="BK450" s="652">
        <f t="shared" si="241"/>
        <v>269</v>
      </c>
      <c r="BL450" s="652"/>
      <c r="BM450" s="654"/>
      <c r="BN450" s="654"/>
      <c r="BO450" s="654"/>
      <c r="BP450" s="697"/>
      <c r="BQ450" s="654"/>
      <c r="BR450" s="697"/>
      <c r="BS450" s="654"/>
      <c r="BT450" s="654"/>
      <c r="BU450" s="654"/>
      <c r="BV450" s="654"/>
      <c r="BW450" s="645" t="s">
        <v>109</v>
      </c>
      <c r="BX450" s="658">
        <f t="shared" si="242"/>
        <v>403.5</v>
      </c>
      <c r="BY450" s="658">
        <f t="shared" si="243"/>
        <v>403.5</v>
      </c>
      <c r="BZ450" s="658">
        <f t="shared" si="244"/>
        <v>403.5</v>
      </c>
      <c r="CA450" s="658">
        <f t="shared" si="245"/>
        <v>403.5</v>
      </c>
      <c r="CB450" s="644">
        <f t="shared" si="221"/>
        <v>1614</v>
      </c>
      <c r="CC450" s="644"/>
      <c r="CD450" s="644">
        <f t="shared" si="229"/>
        <v>1614</v>
      </c>
      <c r="CE450" s="644">
        <f t="shared" si="231"/>
        <v>0</v>
      </c>
    </row>
    <row r="451" s="338" customFormat="1" ht="40" customHeight="1" spans="1:83">
      <c r="A451" s="632">
        <v>45890</v>
      </c>
      <c r="B451" s="633" t="s">
        <v>2110</v>
      </c>
      <c r="C451" s="634" t="s">
        <v>214</v>
      </c>
      <c r="D451" s="635">
        <v>4500177536</v>
      </c>
      <c r="E451" s="659">
        <v>4558371026</v>
      </c>
      <c r="F451" s="635" t="s">
        <v>2122</v>
      </c>
      <c r="G451" s="637" t="s">
        <v>718</v>
      </c>
      <c r="H451" s="637" t="s">
        <v>99</v>
      </c>
      <c r="I451" s="638">
        <v>1638</v>
      </c>
      <c r="J451" s="638">
        <v>0</v>
      </c>
      <c r="K451" s="639">
        <v>6</v>
      </c>
      <c r="L451" s="639">
        <f t="shared" si="230"/>
        <v>273</v>
      </c>
      <c r="M451" s="641">
        <v>45922</v>
      </c>
      <c r="N451" s="641">
        <v>45918</v>
      </c>
      <c r="O451" s="641" t="s">
        <v>2112</v>
      </c>
      <c r="P451" s="642" t="s">
        <v>100</v>
      </c>
      <c r="Q451" s="643"/>
      <c r="R451" s="642" t="s">
        <v>2113</v>
      </c>
      <c r="S451" s="641"/>
      <c r="T451" s="641"/>
      <c r="U451" s="642" t="s">
        <v>2114</v>
      </c>
      <c r="V451" s="642"/>
      <c r="W451" s="645" t="s">
        <v>2115</v>
      </c>
      <c r="X451" s="647" t="s">
        <v>2116</v>
      </c>
      <c r="Y451" s="646" t="s">
        <v>725</v>
      </c>
      <c r="Z451" s="648">
        <v>1.5704</v>
      </c>
      <c r="AA451" s="650">
        <f t="shared" si="240"/>
        <v>2572.3152</v>
      </c>
      <c r="AB451" s="649">
        <v>1638</v>
      </c>
      <c r="AC451" s="649">
        <f t="shared" si="228"/>
        <v>0</v>
      </c>
      <c r="AD451" s="650"/>
      <c r="AE451" s="637" t="s">
        <v>718</v>
      </c>
      <c r="AF451" s="646" t="s">
        <v>107</v>
      </c>
      <c r="AG451" s="652" t="s">
        <v>43</v>
      </c>
      <c r="AH451" s="646" t="s">
        <v>2123</v>
      </c>
      <c r="AI451" s="696"/>
      <c r="AJ451" s="696"/>
      <c r="AK451" s="696"/>
      <c r="AL451" s="649">
        <f t="shared" si="232"/>
        <v>1638</v>
      </c>
      <c r="AM451" s="649"/>
      <c r="AN451" s="696"/>
      <c r="AO451" s="649"/>
      <c r="AP451" s="649"/>
      <c r="AQ451" s="653"/>
      <c r="AR451" s="696"/>
      <c r="AS451" s="696"/>
      <c r="AT451" s="649">
        <f t="shared" si="233"/>
        <v>1638</v>
      </c>
      <c r="AU451" s="649"/>
      <c r="AV451" s="654"/>
      <c r="AW451" s="697"/>
      <c r="AX451" s="652"/>
      <c r="AY451" s="652"/>
      <c r="AZ451" s="697"/>
      <c r="BA451" s="652"/>
      <c r="BB451" s="652"/>
      <c r="BC451" s="697"/>
      <c r="BD451" s="697"/>
      <c r="BE451" s="654"/>
      <c r="BF451" s="697"/>
      <c r="BG451" s="652"/>
      <c r="BH451" s="652"/>
      <c r="BI451" s="697"/>
      <c r="BJ451" s="697"/>
      <c r="BK451" s="652">
        <f t="shared" si="241"/>
        <v>273</v>
      </c>
      <c r="BL451" s="652"/>
      <c r="BM451" s="654"/>
      <c r="BN451" s="654"/>
      <c r="BO451" s="654"/>
      <c r="BP451" s="697"/>
      <c r="BQ451" s="654"/>
      <c r="BR451" s="697"/>
      <c r="BS451" s="654"/>
      <c r="BT451" s="654"/>
      <c r="BU451" s="654"/>
      <c r="BV451" s="654"/>
      <c r="BW451" s="645" t="s">
        <v>109</v>
      </c>
      <c r="BX451" s="658">
        <f t="shared" si="242"/>
        <v>409.5</v>
      </c>
      <c r="BY451" s="658">
        <f t="shared" si="243"/>
        <v>409.5</v>
      </c>
      <c r="BZ451" s="658">
        <f t="shared" si="244"/>
        <v>409.5</v>
      </c>
      <c r="CA451" s="658">
        <f t="shared" si="245"/>
        <v>409.5</v>
      </c>
      <c r="CB451" s="644">
        <f t="shared" si="221"/>
        <v>1638</v>
      </c>
      <c r="CC451" s="644"/>
      <c r="CD451" s="644">
        <f t="shared" si="229"/>
        <v>1638</v>
      </c>
      <c r="CE451" s="644">
        <f t="shared" si="231"/>
        <v>0</v>
      </c>
    </row>
    <row r="452" s="338" customFormat="1" ht="40" customHeight="1" spans="1:83">
      <c r="A452" s="632">
        <v>45890</v>
      </c>
      <c r="B452" s="633" t="s">
        <v>2110</v>
      </c>
      <c r="C452" s="634" t="s">
        <v>214</v>
      </c>
      <c r="D452" s="635">
        <v>4500177536</v>
      </c>
      <c r="E452" s="659">
        <v>4558370979</v>
      </c>
      <c r="F452" s="635" t="s">
        <v>2124</v>
      </c>
      <c r="G452" s="637" t="s">
        <v>718</v>
      </c>
      <c r="H452" s="637" t="s">
        <v>99</v>
      </c>
      <c r="I452" s="638">
        <v>600</v>
      </c>
      <c r="J452" s="638">
        <v>0</v>
      </c>
      <c r="K452" s="639">
        <v>6</v>
      </c>
      <c r="L452" s="639">
        <f t="shared" si="230"/>
        <v>100</v>
      </c>
      <c r="M452" s="641">
        <v>45930</v>
      </c>
      <c r="N452" s="641">
        <v>45926</v>
      </c>
      <c r="O452" s="641" t="s">
        <v>2112</v>
      </c>
      <c r="P452" s="642" t="s">
        <v>100</v>
      </c>
      <c r="Q452" s="643"/>
      <c r="R452" s="642" t="s">
        <v>2113</v>
      </c>
      <c r="S452" s="641"/>
      <c r="T452" s="641"/>
      <c r="U452" s="642" t="s">
        <v>2114</v>
      </c>
      <c r="V452" s="642"/>
      <c r="W452" s="645" t="s">
        <v>2115</v>
      </c>
      <c r="X452" s="647" t="s">
        <v>2116</v>
      </c>
      <c r="Y452" s="646" t="s">
        <v>725</v>
      </c>
      <c r="Z452" s="648">
        <v>1.5787</v>
      </c>
      <c r="AA452" s="650">
        <f t="shared" si="240"/>
        <v>947.22</v>
      </c>
      <c r="AB452" s="649">
        <v>600</v>
      </c>
      <c r="AC452" s="649">
        <f t="shared" si="228"/>
        <v>0</v>
      </c>
      <c r="AD452" s="650"/>
      <c r="AE452" s="637" t="s">
        <v>718</v>
      </c>
      <c r="AF452" s="646" t="s">
        <v>107</v>
      </c>
      <c r="AG452" s="652" t="s">
        <v>43</v>
      </c>
      <c r="AH452" s="646" t="s">
        <v>2125</v>
      </c>
      <c r="AI452" s="696"/>
      <c r="AJ452" s="696"/>
      <c r="AK452" s="696"/>
      <c r="AL452" s="649">
        <f t="shared" si="232"/>
        <v>600</v>
      </c>
      <c r="AM452" s="649"/>
      <c r="AN452" s="696"/>
      <c r="AO452" s="649"/>
      <c r="AP452" s="649"/>
      <c r="AQ452" s="653"/>
      <c r="AR452" s="696"/>
      <c r="AS452" s="696"/>
      <c r="AT452" s="649">
        <f t="shared" si="233"/>
        <v>600</v>
      </c>
      <c r="AU452" s="649"/>
      <c r="AV452" s="654"/>
      <c r="AW452" s="697"/>
      <c r="AX452" s="652"/>
      <c r="AY452" s="652"/>
      <c r="AZ452" s="697"/>
      <c r="BA452" s="652"/>
      <c r="BB452" s="652"/>
      <c r="BC452" s="697"/>
      <c r="BD452" s="697"/>
      <c r="BE452" s="654"/>
      <c r="BF452" s="697"/>
      <c r="BG452" s="652"/>
      <c r="BH452" s="652"/>
      <c r="BI452" s="697"/>
      <c r="BJ452" s="697"/>
      <c r="BK452" s="652">
        <f t="shared" si="241"/>
        <v>100</v>
      </c>
      <c r="BL452" s="652"/>
      <c r="BM452" s="654"/>
      <c r="BN452" s="654"/>
      <c r="BO452" s="654"/>
      <c r="BP452" s="697"/>
      <c r="BQ452" s="654"/>
      <c r="BR452" s="697"/>
      <c r="BS452" s="654"/>
      <c r="BT452" s="654"/>
      <c r="BU452" s="654"/>
      <c r="BV452" s="654"/>
      <c r="BW452" s="645" t="s">
        <v>109</v>
      </c>
      <c r="BX452" s="658">
        <f t="shared" si="242"/>
        <v>150</v>
      </c>
      <c r="BY452" s="658">
        <f t="shared" si="243"/>
        <v>150</v>
      </c>
      <c r="BZ452" s="658">
        <f t="shared" si="244"/>
        <v>150</v>
      </c>
      <c r="CA452" s="658">
        <f t="shared" si="245"/>
        <v>150</v>
      </c>
      <c r="CB452" s="644">
        <f t="shared" si="221"/>
        <v>600</v>
      </c>
      <c r="CC452" s="644"/>
      <c r="CD452" s="644">
        <f t="shared" si="229"/>
        <v>600</v>
      </c>
      <c r="CE452" s="644">
        <f t="shared" si="231"/>
        <v>0</v>
      </c>
    </row>
    <row r="453" s="338" customFormat="1" ht="40" customHeight="1" spans="1:83">
      <c r="A453" s="632">
        <v>45890</v>
      </c>
      <c r="B453" s="633" t="s">
        <v>2110</v>
      </c>
      <c r="C453" s="634" t="s">
        <v>214</v>
      </c>
      <c r="D453" s="635">
        <v>4500177536</v>
      </c>
      <c r="E453" s="659">
        <v>4558370945</v>
      </c>
      <c r="F453" s="635" t="s">
        <v>2126</v>
      </c>
      <c r="G453" s="637" t="s">
        <v>718</v>
      </c>
      <c r="H453" s="637" t="s">
        <v>99</v>
      </c>
      <c r="I453" s="638">
        <v>792</v>
      </c>
      <c r="J453" s="638">
        <v>0</v>
      </c>
      <c r="K453" s="639">
        <v>6</v>
      </c>
      <c r="L453" s="639">
        <f t="shared" si="230"/>
        <v>132</v>
      </c>
      <c r="M453" s="641">
        <v>45922</v>
      </c>
      <c r="N453" s="641">
        <v>45918</v>
      </c>
      <c r="O453" s="641" t="s">
        <v>2112</v>
      </c>
      <c r="P453" s="642" t="s">
        <v>100</v>
      </c>
      <c r="Q453" s="643"/>
      <c r="R453" s="642" t="s">
        <v>2113</v>
      </c>
      <c r="S453" s="641"/>
      <c r="T453" s="641"/>
      <c r="U453" s="642" t="s">
        <v>2114</v>
      </c>
      <c r="V453" s="642"/>
      <c r="W453" s="645" t="s">
        <v>2115</v>
      </c>
      <c r="X453" s="647" t="s">
        <v>2116</v>
      </c>
      <c r="Y453" s="646" t="s">
        <v>725</v>
      </c>
      <c r="Z453" s="648">
        <v>1.5787</v>
      </c>
      <c r="AA453" s="650">
        <f t="shared" si="240"/>
        <v>1250.3304</v>
      </c>
      <c r="AB453" s="649">
        <v>792</v>
      </c>
      <c r="AC453" s="649">
        <f t="shared" si="228"/>
        <v>0</v>
      </c>
      <c r="AD453" s="650"/>
      <c r="AE453" s="637" t="s">
        <v>718</v>
      </c>
      <c r="AF453" s="646" t="s">
        <v>107</v>
      </c>
      <c r="AG453" s="652" t="s">
        <v>43</v>
      </c>
      <c r="AH453" s="646" t="s">
        <v>2127</v>
      </c>
      <c r="AI453" s="696"/>
      <c r="AJ453" s="696"/>
      <c r="AK453" s="696"/>
      <c r="AL453" s="649">
        <f t="shared" si="232"/>
        <v>792</v>
      </c>
      <c r="AM453" s="649"/>
      <c r="AN453" s="696"/>
      <c r="AO453" s="649"/>
      <c r="AP453" s="649"/>
      <c r="AQ453" s="653"/>
      <c r="AR453" s="696"/>
      <c r="AS453" s="696"/>
      <c r="AT453" s="649">
        <f t="shared" si="233"/>
        <v>792</v>
      </c>
      <c r="AU453" s="649"/>
      <c r="AV453" s="654"/>
      <c r="AW453" s="697"/>
      <c r="AX453" s="652"/>
      <c r="AY453" s="652"/>
      <c r="AZ453" s="697"/>
      <c r="BA453" s="652"/>
      <c r="BB453" s="652"/>
      <c r="BC453" s="697"/>
      <c r="BD453" s="697"/>
      <c r="BE453" s="654"/>
      <c r="BF453" s="697"/>
      <c r="BG453" s="652"/>
      <c r="BH453" s="652"/>
      <c r="BI453" s="697"/>
      <c r="BJ453" s="697"/>
      <c r="BK453" s="652">
        <f t="shared" si="241"/>
        <v>132</v>
      </c>
      <c r="BL453" s="652"/>
      <c r="BM453" s="654"/>
      <c r="BN453" s="654"/>
      <c r="BO453" s="654"/>
      <c r="BP453" s="697"/>
      <c r="BQ453" s="654"/>
      <c r="BR453" s="697"/>
      <c r="BS453" s="654"/>
      <c r="BT453" s="654"/>
      <c r="BU453" s="654"/>
      <c r="BV453" s="654"/>
      <c r="BW453" s="645" t="s">
        <v>109</v>
      </c>
      <c r="BX453" s="658">
        <f t="shared" si="242"/>
        <v>198</v>
      </c>
      <c r="BY453" s="658">
        <f t="shared" si="243"/>
        <v>198</v>
      </c>
      <c r="BZ453" s="658">
        <f t="shared" si="244"/>
        <v>198</v>
      </c>
      <c r="CA453" s="658">
        <f t="shared" si="245"/>
        <v>198</v>
      </c>
      <c r="CB453" s="644">
        <f t="shared" si="221"/>
        <v>792</v>
      </c>
      <c r="CC453" s="644"/>
      <c r="CD453" s="644">
        <f t="shared" si="229"/>
        <v>792</v>
      </c>
      <c r="CE453" s="644">
        <f t="shared" si="231"/>
        <v>0</v>
      </c>
    </row>
    <row r="454" s="338" customFormat="1" ht="40" customHeight="1" spans="1:83">
      <c r="A454" s="632">
        <v>45890</v>
      </c>
      <c r="B454" s="633" t="s">
        <v>2110</v>
      </c>
      <c r="C454" s="634" t="s">
        <v>214</v>
      </c>
      <c r="D454" s="635">
        <v>4500177536</v>
      </c>
      <c r="E454" s="659">
        <v>4558370965</v>
      </c>
      <c r="F454" s="635" t="s">
        <v>2128</v>
      </c>
      <c r="G454" s="637" t="s">
        <v>718</v>
      </c>
      <c r="H454" s="637" t="s">
        <v>99</v>
      </c>
      <c r="I454" s="638">
        <v>2286</v>
      </c>
      <c r="J454" s="638">
        <v>0</v>
      </c>
      <c r="K454" s="639">
        <v>6</v>
      </c>
      <c r="L454" s="639">
        <f t="shared" si="230"/>
        <v>381</v>
      </c>
      <c r="M454" s="641">
        <v>45930</v>
      </c>
      <c r="N454" s="641">
        <v>45926</v>
      </c>
      <c r="O454" s="641" t="s">
        <v>2112</v>
      </c>
      <c r="P454" s="642" t="s">
        <v>100</v>
      </c>
      <c r="Q454" s="643"/>
      <c r="R454" s="642" t="s">
        <v>2113</v>
      </c>
      <c r="S454" s="641"/>
      <c r="T454" s="641"/>
      <c r="U454" s="642" t="s">
        <v>2114</v>
      </c>
      <c r="V454" s="642"/>
      <c r="W454" s="645" t="s">
        <v>2115</v>
      </c>
      <c r="X454" s="647" t="s">
        <v>2116</v>
      </c>
      <c r="Y454" s="646" t="s">
        <v>725</v>
      </c>
      <c r="Z454" s="648">
        <v>1.5649</v>
      </c>
      <c r="AA454" s="650">
        <f t="shared" si="240"/>
        <v>3577.3614</v>
      </c>
      <c r="AB454" s="649">
        <v>2286</v>
      </c>
      <c r="AC454" s="649">
        <f t="shared" si="228"/>
        <v>0</v>
      </c>
      <c r="AD454" s="650"/>
      <c r="AE454" s="637" t="s">
        <v>718</v>
      </c>
      <c r="AF454" s="646" t="s">
        <v>107</v>
      </c>
      <c r="AG454" s="652" t="s">
        <v>43</v>
      </c>
      <c r="AH454" s="646" t="s">
        <v>2129</v>
      </c>
      <c r="AI454" s="696"/>
      <c r="AJ454" s="696"/>
      <c r="AK454" s="696"/>
      <c r="AL454" s="649">
        <f t="shared" si="232"/>
        <v>2286</v>
      </c>
      <c r="AM454" s="649"/>
      <c r="AN454" s="696"/>
      <c r="AO454" s="649"/>
      <c r="AP454" s="649"/>
      <c r="AQ454" s="653"/>
      <c r="AR454" s="696"/>
      <c r="AS454" s="696"/>
      <c r="AT454" s="649">
        <f t="shared" si="233"/>
        <v>2286</v>
      </c>
      <c r="AU454" s="649"/>
      <c r="AV454" s="654"/>
      <c r="AW454" s="697"/>
      <c r="AX454" s="652"/>
      <c r="AY454" s="652"/>
      <c r="AZ454" s="697"/>
      <c r="BA454" s="652"/>
      <c r="BB454" s="652"/>
      <c r="BC454" s="697"/>
      <c r="BD454" s="697"/>
      <c r="BE454" s="654"/>
      <c r="BF454" s="697"/>
      <c r="BG454" s="652"/>
      <c r="BH454" s="652"/>
      <c r="BI454" s="697"/>
      <c r="BJ454" s="697"/>
      <c r="BK454" s="652">
        <f t="shared" si="241"/>
        <v>381</v>
      </c>
      <c r="BL454" s="652"/>
      <c r="BM454" s="654"/>
      <c r="BN454" s="654"/>
      <c r="BO454" s="654"/>
      <c r="BP454" s="697"/>
      <c r="BQ454" s="654"/>
      <c r="BR454" s="697"/>
      <c r="BS454" s="654"/>
      <c r="BT454" s="654"/>
      <c r="BU454" s="654"/>
      <c r="BV454" s="654"/>
      <c r="BW454" s="645" t="s">
        <v>109</v>
      </c>
      <c r="BX454" s="658">
        <f t="shared" si="242"/>
        <v>571.5</v>
      </c>
      <c r="BY454" s="658">
        <f t="shared" si="243"/>
        <v>571.5</v>
      </c>
      <c r="BZ454" s="658">
        <f t="shared" si="244"/>
        <v>571.5</v>
      </c>
      <c r="CA454" s="658">
        <f t="shared" si="245"/>
        <v>571.5</v>
      </c>
      <c r="CB454" s="644">
        <f t="shared" si="221"/>
        <v>2286</v>
      </c>
      <c r="CC454" s="644"/>
      <c r="CD454" s="644">
        <f t="shared" si="229"/>
        <v>2286</v>
      </c>
      <c r="CE454" s="644">
        <f t="shared" si="231"/>
        <v>0</v>
      </c>
    </row>
    <row r="455" s="338" customFormat="1" ht="40" customHeight="1" spans="1:83">
      <c r="A455" s="632">
        <v>45890</v>
      </c>
      <c r="B455" s="633" t="s">
        <v>2110</v>
      </c>
      <c r="C455" s="634" t="s">
        <v>214</v>
      </c>
      <c r="D455" s="635">
        <v>4500177536</v>
      </c>
      <c r="E455" s="659">
        <v>4558370930</v>
      </c>
      <c r="F455" s="635" t="s">
        <v>2130</v>
      </c>
      <c r="G455" s="637" t="s">
        <v>718</v>
      </c>
      <c r="H455" s="637" t="s">
        <v>99</v>
      </c>
      <c r="I455" s="638">
        <v>1512</v>
      </c>
      <c r="J455" s="638">
        <v>0</v>
      </c>
      <c r="K455" s="639">
        <v>6</v>
      </c>
      <c r="L455" s="639">
        <f t="shared" si="230"/>
        <v>252</v>
      </c>
      <c r="M455" s="641">
        <v>45930</v>
      </c>
      <c r="N455" s="641">
        <v>45926</v>
      </c>
      <c r="O455" s="641" t="s">
        <v>2112</v>
      </c>
      <c r="P455" s="642" t="s">
        <v>100</v>
      </c>
      <c r="Q455" s="643"/>
      <c r="R455" s="642" t="s">
        <v>2113</v>
      </c>
      <c r="S455" s="641"/>
      <c r="T455" s="641"/>
      <c r="U455" s="642" t="s">
        <v>2114</v>
      </c>
      <c r="V455" s="642"/>
      <c r="W455" s="645" t="s">
        <v>2115</v>
      </c>
      <c r="X455" s="647" t="s">
        <v>2116</v>
      </c>
      <c r="Y455" s="646" t="s">
        <v>725</v>
      </c>
      <c r="Z455" s="648">
        <v>1.5704</v>
      </c>
      <c r="AA455" s="650">
        <f t="shared" si="240"/>
        <v>2374.4448</v>
      </c>
      <c r="AB455" s="649">
        <v>1512</v>
      </c>
      <c r="AC455" s="649">
        <f t="shared" si="228"/>
        <v>0</v>
      </c>
      <c r="AD455" s="650"/>
      <c r="AE455" s="637" t="s">
        <v>718</v>
      </c>
      <c r="AF455" s="646" t="s">
        <v>107</v>
      </c>
      <c r="AG455" s="652" t="s">
        <v>43</v>
      </c>
      <c r="AH455" s="646" t="s">
        <v>2131</v>
      </c>
      <c r="AI455" s="696"/>
      <c r="AJ455" s="696"/>
      <c r="AK455" s="696"/>
      <c r="AL455" s="649">
        <f t="shared" si="232"/>
        <v>1512</v>
      </c>
      <c r="AM455" s="649"/>
      <c r="AN455" s="696"/>
      <c r="AO455" s="649"/>
      <c r="AP455" s="649"/>
      <c r="AQ455" s="653"/>
      <c r="AR455" s="696"/>
      <c r="AS455" s="696"/>
      <c r="AT455" s="649">
        <f t="shared" si="233"/>
        <v>1512</v>
      </c>
      <c r="AU455" s="649"/>
      <c r="AV455" s="654"/>
      <c r="AW455" s="697"/>
      <c r="AX455" s="652"/>
      <c r="AY455" s="652"/>
      <c r="AZ455" s="697"/>
      <c r="BA455" s="652"/>
      <c r="BB455" s="652"/>
      <c r="BC455" s="697"/>
      <c r="BD455" s="697"/>
      <c r="BE455" s="654"/>
      <c r="BF455" s="697"/>
      <c r="BG455" s="652"/>
      <c r="BH455" s="652"/>
      <c r="BI455" s="697"/>
      <c r="BJ455" s="697"/>
      <c r="BK455" s="652">
        <f t="shared" si="241"/>
        <v>252</v>
      </c>
      <c r="BL455" s="652"/>
      <c r="BM455" s="654"/>
      <c r="BN455" s="654"/>
      <c r="BO455" s="654"/>
      <c r="BP455" s="697"/>
      <c r="BQ455" s="654"/>
      <c r="BR455" s="697"/>
      <c r="BS455" s="654"/>
      <c r="BT455" s="654"/>
      <c r="BU455" s="654"/>
      <c r="BV455" s="654"/>
      <c r="BW455" s="645" t="s">
        <v>109</v>
      </c>
      <c r="BX455" s="658">
        <f t="shared" si="242"/>
        <v>378</v>
      </c>
      <c r="BY455" s="658">
        <f t="shared" si="243"/>
        <v>378</v>
      </c>
      <c r="BZ455" s="658">
        <f t="shared" si="244"/>
        <v>378</v>
      </c>
      <c r="CA455" s="658">
        <f t="shared" si="245"/>
        <v>378</v>
      </c>
      <c r="CB455" s="644">
        <f t="shared" si="221"/>
        <v>1512</v>
      </c>
      <c r="CC455" s="644"/>
      <c r="CD455" s="644">
        <f t="shared" si="229"/>
        <v>1512</v>
      </c>
      <c r="CE455" s="644">
        <f t="shared" si="231"/>
        <v>0</v>
      </c>
    </row>
    <row r="456" s="338" customFormat="1" ht="40" customHeight="1" spans="1:83">
      <c r="A456" s="632">
        <v>45890</v>
      </c>
      <c r="B456" s="633" t="s">
        <v>2110</v>
      </c>
      <c r="C456" s="634" t="s">
        <v>214</v>
      </c>
      <c r="D456" s="635">
        <v>4500177536</v>
      </c>
      <c r="E456" s="659">
        <v>4558371013</v>
      </c>
      <c r="F456" s="635" t="s">
        <v>2132</v>
      </c>
      <c r="G456" s="637" t="s">
        <v>718</v>
      </c>
      <c r="H456" s="637" t="s">
        <v>99</v>
      </c>
      <c r="I456" s="638">
        <v>480</v>
      </c>
      <c r="J456" s="638">
        <v>0</v>
      </c>
      <c r="K456" s="639">
        <v>6</v>
      </c>
      <c r="L456" s="639">
        <f t="shared" si="230"/>
        <v>80</v>
      </c>
      <c r="M456" s="641">
        <v>45930</v>
      </c>
      <c r="N456" s="641">
        <v>45926</v>
      </c>
      <c r="O456" s="641" t="s">
        <v>2112</v>
      </c>
      <c r="P456" s="642" t="s">
        <v>100</v>
      </c>
      <c r="Q456" s="643"/>
      <c r="R456" s="642" t="s">
        <v>2113</v>
      </c>
      <c r="S456" s="641"/>
      <c r="T456" s="641"/>
      <c r="U456" s="642" t="s">
        <v>2114</v>
      </c>
      <c r="V456" s="642"/>
      <c r="W456" s="645" t="s">
        <v>2115</v>
      </c>
      <c r="X456" s="647" t="s">
        <v>2116</v>
      </c>
      <c r="Y456" s="646" t="s">
        <v>725</v>
      </c>
      <c r="Z456" s="648">
        <v>1.5787</v>
      </c>
      <c r="AA456" s="650">
        <f t="shared" si="240"/>
        <v>757.776</v>
      </c>
      <c r="AB456" s="649">
        <v>480</v>
      </c>
      <c r="AC456" s="649">
        <f t="shared" si="228"/>
        <v>0</v>
      </c>
      <c r="AD456" s="650"/>
      <c r="AE456" s="637" t="s">
        <v>718</v>
      </c>
      <c r="AF456" s="646" t="s">
        <v>107</v>
      </c>
      <c r="AG456" s="652" t="s">
        <v>43</v>
      </c>
      <c r="AH456" s="646" t="s">
        <v>2133</v>
      </c>
      <c r="AI456" s="696"/>
      <c r="AJ456" s="696"/>
      <c r="AK456" s="696"/>
      <c r="AL456" s="649">
        <f t="shared" si="232"/>
        <v>480</v>
      </c>
      <c r="AM456" s="649"/>
      <c r="AN456" s="696"/>
      <c r="AO456" s="649"/>
      <c r="AP456" s="649"/>
      <c r="AQ456" s="653"/>
      <c r="AR456" s="696"/>
      <c r="AS456" s="696"/>
      <c r="AT456" s="649">
        <f t="shared" si="233"/>
        <v>480</v>
      </c>
      <c r="AU456" s="649"/>
      <c r="AV456" s="654"/>
      <c r="AW456" s="697"/>
      <c r="AX456" s="652"/>
      <c r="AY456" s="652"/>
      <c r="AZ456" s="697"/>
      <c r="BA456" s="652"/>
      <c r="BB456" s="652"/>
      <c r="BC456" s="697"/>
      <c r="BD456" s="697"/>
      <c r="BE456" s="654"/>
      <c r="BF456" s="697"/>
      <c r="BG456" s="652"/>
      <c r="BH456" s="652"/>
      <c r="BI456" s="697"/>
      <c r="BJ456" s="697"/>
      <c r="BK456" s="652">
        <f t="shared" si="241"/>
        <v>80</v>
      </c>
      <c r="BL456" s="652"/>
      <c r="BM456" s="654"/>
      <c r="BN456" s="654"/>
      <c r="BO456" s="654"/>
      <c r="BP456" s="697"/>
      <c r="BQ456" s="654"/>
      <c r="BR456" s="697"/>
      <c r="BS456" s="654"/>
      <c r="BT456" s="654"/>
      <c r="BU456" s="654"/>
      <c r="BV456" s="654"/>
      <c r="BW456" s="645" t="s">
        <v>109</v>
      </c>
      <c r="BX456" s="658">
        <f t="shared" si="242"/>
        <v>120</v>
      </c>
      <c r="BY456" s="658">
        <f t="shared" si="243"/>
        <v>120</v>
      </c>
      <c r="BZ456" s="658">
        <f t="shared" si="244"/>
        <v>120</v>
      </c>
      <c r="CA456" s="658">
        <f t="shared" si="245"/>
        <v>120</v>
      </c>
      <c r="CB456" s="644">
        <f t="shared" si="221"/>
        <v>480</v>
      </c>
      <c r="CC456" s="644"/>
      <c r="CD456" s="644">
        <f t="shared" si="229"/>
        <v>480</v>
      </c>
      <c r="CE456" s="644">
        <f t="shared" si="231"/>
        <v>0</v>
      </c>
    </row>
    <row r="457" s="338" customFormat="1" ht="40" customHeight="1" spans="1:83">
      <c r="A457" s="632">
        <v>45862</v>
      </c>
      <c r="B457" s="633" t="s">
        <v>1884</v>
      </c>
      <c r="C457" s="634" t="s">
        <v>214</v>
      </c>
      <c r="D457" s="635">
        <v>4500174854</v>
      </c>
      <c r="E457" s="659">
        <v>70072740</v>
      </c>
      <c r="F457" s="635" t="s">
        <v>2134</v>
      </c>
      <c r="G457" s="637" t="s">
        <v>111</v>
      </c>
      <c r="H457" s="637" t="s">
        <v>99</v>
      </c>
      <c r="I457" s="638">
        <v>616</v>
      </c>
      <c r="J457" s="638">
        <v>0</v>
      </c>
      <c r="K457" s="639">
        <v>22</v>
      </c>
      <c r="L457" s="639">
        <f t="shared" si="230"/>
        <v>28</v>
      </c>
      <c r="M457" s="641">
        <v>45928</v>
      </c>
      <c r="N457" s="641">
        <v>45924</v>
      </c>
      <c r="O457" s="641"/>
      <c r="P457" s="642" t="s">
        <v>100</v>
      </c>
      <c r="Q457" s="643"/>
      <c r="R457" s="642" t="s">
        <v>2048</v>
      </c>
      <c r="S457" s="641"/>
      <c r="T457" s="641"/>
      <c r="U457" s="642" t="s">
        <v>113</v>
      </c>
      <c r="V457" s="642" t="s">
        <v>2135</v>
      </c>
      <c r="W457" s="645"/>
      <c r="X457" s="647" t="s">
        <v>1834</v>
      </c>
      <c r="Y457" s="646" t="s">
        <v>220</v>
      </c>
      <c r="Z457" s="683">
        <v>1.6387</v>
      </c>
      <c r="AA457" s="650">
        <f>I457*Z457</f>
        <v>1009.4392</v>
      </c>
      <c r="AB457" s="649">
        <v>616</v>
      </c>
      <c r="AC457" s="649">
        <f t="shared" si="228"/>
        <v>0</v>
      </c>
      <c r="AD457" s="707" t="s">
        <v>106</v>
      </c>
      <c r="AE457" s="637" t="s">
        <v>111</v>
      </c>
      <c r="AF457" s="646" t="s">
        <v>107</v>
      </c>
      <c r="AG457" s="652" t="s">
        <v>43</v>
      </c>
      <c r="AH457" s="646" t="s">
        <v>2136</v>
      </c>
      <c r="AI457" s="705"/>
      <c r="AJ457" s="705"/>
      <c r="AK457" s="705"/>
      <c r="AL457" s="649">
        <f t="shared" si="232"/>
        <v>616</v>
      </c>
      <c r="AM457" s="649"/>
      <c r="AN457" s="705"/>
      <c r="AO457" s="649"/>
      <c r="AP457" s="649"/>
      <c r="AQ457" s="653"/>
      <c r="AR457" s="705"/>
      <c r="AS457" s="705"/>
      <c r="AT457" s="649">
        <f t="shared" si="233"/>
        <v>616</v>
      </c>
      <c r="AU457" s="649"/>
      <c r="AV457" s="654"/>
      <c r="AW457" s="706"/>
      <c r="AX457" s="652">
        <f>I457/11</f>
        <v>56</v>
      </c>
      <c r="AY457" s="652"/>
      <c r="AZ457" s="706"/>
      <c r="BA457" s="652"/>
      <c r="BB457" s="652"/>
      <c r="BC457" s="706"/>
      <c r="BD457" s="706"/>
      <c r="BE457" s="654"/>
      <c r="BF457" s="706"/>
      <c r="BG457" s="652"/>
      <c r="BH457" s="652"/>
      <c r="BI457" s="706"/>
      <c r="BJ457" s="706"/>
      <c r="BK457" s="654"/>
      <c r="BL457" s="654"/>
      <c r="BM457" s="654"/>
      <c r="BN457" s="654"/>
      <c r="BO457" s="654"/>
      <c r="BP457" s="706"/>
      <c r="BQ457" s="654"/>
      <c r="BR457" s="706"/>
      <c r="BS457" s="654"/>
      <c r="BT457" s="654"/>
      <c r="BU457" s="654"/>
      <c r="BV457" s="654"/>
      <c r="BW457" s="645" t="s">
        <v>109</v>
      </c>
      <c r="BX457" s="658">
        <f>I457/22*5</f>
        <v>140</v>
      </c>
      <c r="BY457" s="658">
        <f>I457/22*6</f>
        <v>168</v>
      </c>
      <c r="BZ457" s="658">
        <f>I457/22*6</f>
        <v>168</v>
      </c>
      <c r="CA457" s="658">
        <f>I457/22*5</f>
        <v>140</v>
      </c>
      <c r="CB457" s="644">
        <f t="shared" si="221"/>
        <v>616</v>
      </c>
      <c r="CC457" s="658">
        <f>I457/11</f>
        <v>56</v>
      </c>
      <c r="CD457" s="644">
        <f t="shared" si="229"/>
        <v>616</v>
      </c>
      <c r="CE457" s="644">
        <f t="shared" si="231"/>
        <v>0</v>
      </c>
    </row>
    <row r="458" s="338" customFormat="1" ht="40" customHeight="1" spans="1:83">
      <c r="A458" s="632">
        <v>45889</v>
      </c>
      <c r="B458" s="633" t="s">
        <v>709</v>
      </c>
      <c r="C458" s="634" t="s">
        <v>247</v>
      </c>
      <c r="D458" s="635">
        <v>4500177451</v>
      </c>
      <c r="E458" s="659">
        <v>2465875</v>
      </c>
      <c r="F458" s="635" t="s">
        <v>2137</v>
      </c>
      <c r="G458" s="637" t="s">
        <v>111</v>
      </c>
      <c r="H458" s="637" t="s">
        <v>99</v>
      </c>
      <c r="I458" s="638">
        <v>1606</v>
      </c>
      <c r="J458" s="638">
        <v>0</v>
      </c>
      <c r="K458" s="639">
        <v>22</v>
      </c>
      <c r="L458" s="639">
        <f t="shared" si="230"/>
        <v>73</v>
      </c>
      <c r="M458" s="641">
        <v>45930</v>
      </c>
      <c r="N458" s="641">
        <v>45926</v>
      </c>
      <c r="O458" s="641"/>
      <c r="P458" s="642" t="s">
        <v>100</v>
      </c>
      <c r="Q458" s="643"/>
      <c r="R458" s="642" t="s">
        <v>2138</v>
      </c>
      <c r="S458" s="641"/>
      <c r="T458" s="641"/>
      <c r="U458" s="642" t="s">
        <v>2139</v>
      </c>
      <c r="V458" s="642"/>
      <c r="W458" s="645"/>
      <c r="X458" s="647" t="s">
        <v>2140</v>
      </c>
      <c r="Y458" s="646" t="s">
        <v>253</v>
      </c>
      <c r="Z458" s="683">
        <v>2.7889</v>
      </c>
      <c r="AA458" s="650">
        <f>I458*Z458</f>
        <v>4478.9734</v>
      </c>
      <c r="AB458" s="649">
        <f>1584+22</f>
        <v>1606</v>
      </c>
      <c r="AC458" s="649">
        <f t="shared" si="228"/>
        <v>0</v>
      </c>
      <c r="AD458" s="650" t="s">
        <v>123</v>
      </c>
      <c r="AE458" s="637" t="s">
        <v>111</v>
      </c>
      <c r="AF458" s="646" t="s">
        <v>107</v>
      </c>
      <c r="AG458" s="652" t="s">
        <v>43</v>
      </c>
      <c r="AH458" s="646"/>
      <c r="AI458" s="708"/>
      <c r="AJ458" s="708"/>
      <c r="AK458" s="708"/>
      <c r="AL458" s="649">
        <f t="shared" si="232"/>
        <v>1606</v>
      </c>
      <c r="AM458" s="649"/>
      <c r="AN458" s="708"/>
      <c r="AO458" s="649"/>
      <c r="AP458" s="649"/>
      <c r="AQ458" s="653"/>
      <c r="AR458" s="708"/>
      <c r="AS458" s="708"/>
      <c r="AT458" s="649">
        <f t="shared" si="233"/>
        <v>1606</v>
      </c>
      <c r="AU458" s="649"/>
      <c r="AV458" s="654"/>
      <c r="AW458" s="709"/>
      <c r="AX458" s="652">
        <f>I458/11</f>
        <v>146</v>
      </c>
      <c r="AY458" s="652"/>
      <c r="AZ458" s="709"/>
      <c r="BA458" s="652"/>
      <c r="BB458" s="652"/>
      <c r="BC458" s="709"/>
      <c r="BD458" s="709"/>
      <c r="BE458" s="654"/>
      <c r="BF458" s="709"/>
      <c r="BG458" s="652"/>
      <c r="BH458" s="652"/>
      <c r="BI458" s="709"/>
      <c r="BJ458" s="709"/>
      <c r="BK458" s="654"/>
      <c r="BL458" s="654"/>
      <c r="BM458" s="654"/>
      <c r="BN458" s="654"/>
      <c r="BO458" s="654"/>
      <c r="BP458" s="709"/>
      <c r="BQ458" s="654"/>
      <c r="BR458" s="709"/>
      <c r="BS458" s="654"/>
      <c r="BT458" s="654"/>
      <c r="BU458" s="654"/>
      <c r="BV458" s="654"/>
      <c r="BW458" s="645" t="s">
        <v>109</v>
      </c>
      <c r="BX458" s="658">
        <f>I458/22*5</f>
        <v>365</v>
      </c>
      <c r="BY458" s="658">
        <f>I458/22*6</f>
        <v>438</v>
      </c>
      <c r="BZ458" s="658">
        <f>I458/22*6</f>
        <v>438</v>
      </c>
      <c r="CA458" s="658">
        <f>I458/22*5</f>
        <v>365</v>
      </c>
      <c r="CB458" s="644">
        <f t="shared" si="221"/>
        <v>1606</v>
      </c>
      <c r="CC458" s="658">
        <f>I458/11</f>
        <v>146</v>
      </c>
      <c r="CD458" s="644">
        <f t="shared" si="229"/>
        <v>1606</v>
      </c>
      <c r="CE458" s="644">
        <f t="shared" si="231"/>
        <v>0</v>
      </c>
    </row>
    <row r="459" s="338" customFormat="1" ht="40" customHeight="1" spans="1:83">
      <c r="A459" s="632">
        <v>45863</v>
      </c>
      <c r="B459" s="633" t="s">
        <v>1727</v>
      </c>
      <c r="C459" s="634" t="s">
        <v>380</v>
      </c>
      <c r="D459" s="635">
        <v>4500175112</v>
      </c>
      <c r="E459" s="659" t="s">
        <v>2141</v>
      </c>
      <c r="F459" s="635" t="s">
        <v>2142</v>
      </c>
      <c r="G459" s="637" t="s">
        <v>952</v>
      </c>
      <c r="H459" s="637" t="s">
        <v>99</v>
      </c>
      <c r="I459" s="638">
        <v>506</v>
      </c>
      <c r="J459" s="638">
        <v>11</v>
      </c>
      <c r="K459" s="639">
        <v>22</v>
      </c>
      <c r="L459" s="639">
        <f t="shared" si="230"/>
        <v>23</v>
      </c>
      <c r="M459" s="641">
        <v>45939</v>
      </c>
      <c r="N459" s="641">
        <v>45936</v>
      </c>
      <c r="O459" s="641"/>
      <c r="P459" s="642" t="s">
        <v>100</v>
      </c>
      <c r="Q459" s="643"/>
      <c r="R459" s="642" t="s">
        <v>2143</v>
      </c>
      <c r="S459" s="641"/>
      <c r="T459" s="641"/>
      <c r="U459" s="642" t="s">
        <v>2144</v>
      </c>
      <c r="V459" s="642"/>
      <c r="W459" s="645"/>
      <c r="X459" s="647" t="s">
        <v>2145</v>
      </c>
      <c r="Y459" s="646" t="s">
        <v>1054</v>
      </c>
      <c r="Z459" s="648">
        <v>2.7245</v>
      </c>
      <c r="AA459" s="650">
        <f>I459*Z459</f>
        <v>1378.597</v>
      </c>
      <c r="AB459" s="649">
        <v>506</v>
      </c>
      <c r="AC459" s="649">
        <f t="shared" si="228"/>
        <v>0</v>
      </c>
      <c r="AD459" s="650" t="s">
        <v>106</v>
      </c>
      <c r="AE459" s="637" t="s">
        <v>952</v>
      </c>
      <c r="AF459" s="646" t="s">
        <v>107</v>
      </c>
      <c r="AG459" s="652" t="s">
        <v>43</v>
      </c>
      <c r="AH459" s="646"/>
      <c r="AI459" s="705"/>
      <c r="AJ459" s="705"/>
      <c r="AK459" s="705"/>
      <c r="AL459" s="649">
        <f t="shared" si="232"/>
        <v>506</v>
      </c>
      <c r="AM459" s="649"/>
      <c r="AN459" s="705"/>
      <c r="AO459" s="649"/>
      <c r="AP459" s="649"/>
      <c r="AQ459" s="653"/>
      <c r="AR459" s="705"/>
      <c r="AS459" s="705"/>
      <c r="AT459" s="649">
        <f t="shared" si="233"/>
        <v>506</v>
      </c>
      <c r="AU459" s="649"/>
      <c r="AV459" s="654"/>
      <c r="AW459" s="706"/>
      <c r="AX459" s="652">
        <f>I459/11</f>
        <v>46</v>
      </c>
      <c r="AY459" s="652"/>
      <c r="AZ459" s="706"/>
      <c r="BA459" s="652"/>
      <c r="BB459" s="652"/>
      <c r="BC459" s="706"/>
      <c r="BD459" s="706"/>
      <c r="BE459" s="654"/>
      <c r="BF459" s="706"/>
      <c r="BG459" s="652"/>
      <c r="BH459" s="652"/>
      <c r="BI459" s="706"/>
      <c r="BJ459" s="706"/>
      <c r="BK459" s="654"/>
      <c r="BL459" s="654"/>
      <c r="BM459" s="654"/>
      <c r="BN459" s="654"/>
      <c r="BO459" s="654"/>
      <c r="BP459" s="706"/>
      <c r="BQ459" s="654"/>
      <c r="BR459" s="706"/>
      <c r="BS459" s="654"/>
      <c r="BT459" s="654"/>
      <c r="BU459" s="654"/>
      <c r="BV459" s="654"/>
      <c r="BW459" s="645" t="s">
        <v>109</v>
      </c>
      <c r="BX459" s="658">
        <f>I459/22*5</f>
        <v>115</v>
      </c>
      <c r="BY459" s="658">
        <f>I459/22*6</f>
        <v>138</v>
      </c>
      <c r="BZ459" s="658">
        <f>I459/22*6</f>
        <v>138</v>
      </c>
      <c r="CA459" s="658">
        <f>I459/22*5</f>
        <v>115</v>
      </c>
      <c r="CB459" s="644">
        <f t="shared" si="221"/>
        <v>506</v>
      </c>
      <c r="CC459" s="658">
        <f>I459/11</f>
        <v>46</v>
      </c>
      <c r="CD459" s="644">
        <f t="shared" si="229"/>
        <v>506</v>
      </c>
      <c r="CE459" s="644">
        <f t="shared" si="231"/>
        <v>0</v>
      </c>
    </row>
    <row r="460" s="338" customFormat="1" ht="40" customHeight="1" spans="1:83">
      <c r="A460" s="632">
        <v>45896</v>
      </c>
      <c r="B460" s="633" t="s">
        <v>1707</v>
      </c>
      <c r="C460" s="634" t="s">
        <v>214</v>
      </c>
      <c r="D460" s="635">
        <v>4500177996</v>
      </c>
      <c r="E460" s="659" t="s">
        <v>2146</v>
      </c>
      <c r="F460" s="635" t="s">
        <v>2147</v>
      </c>
      <c r="G460" s="637" t="s">
        <v>159</v>
      </c>
      <c r="H460" s="637" t="s">
        <v>99</v>
      </c>
      <c r="I460" s="638">
        <v>240</v>
      </c>
      <c r="J460" s="638">
        <v>0</v>
      </c>
      <c r="K460" s="639">
        <v>24</v>
      </c>
      <c r="L460" s="639">
        <f t="shared" si="230"/>
        <v>10</v>
      </c>
      <c r="M460" s="641">
        <v>45939</v>
      </c>
      <c r="N460" s="641">
        <v>45936</v>
      </c>
      <c r="O460" s="641"/>
      <c r="P460" s="642" t="s">
        <v>100</v>
      </c>
      <c r="Q460" s="643" t="s">
        <v>2044</v>
      </c>
      <c r="R460" s="642" t="s">
        <v>2148</v>
      </c>
      <c r="S460" s="641"/>
      <c r="T460" s="641"/>
      <c r="U460" s="642" t="s">
        <v>2149</v>
      </c>
      <c r="V460" s="642" t="s">
        <v>2150</v>
      </c>
      <c r="W460" s="645"/>
      <c r="X460" s="647" t="s">
        <v>2151</v>
      </c>
      <c r="Y460" s="646" t="s">
        <v>809</v>
      </c>
      <c r="Z460" s="648">
        <v>1.5081</v>
      </c>
      <c r="AA460" s="650">
        <f>Z460*'9543'!I460</f>
        <v>361.944</v>
      </c>
      <c r="AB460" s="649">
        <v>240</v>
      </c>
      <c r="AC460" s="649">
        <f t="shared" si="228"/>
        <v>0</v>
      </c>
      <c r="AD460" s="650" t="s">
        <v>106</v>
      </c>
      <c r="AE460" s="661" t="s">
        <v>451</v>
      </c>
      <c r="AF460" s="646" t="s">
        <v>107</v>
      </c>
      <c r="AG460" s="652" t="s">
        <v>43</v>
      </c>
      <c r="AH460" s="646" t="s">
        <v>2152</v>
      </c>
      <c r="AI460" s="705"/>
      <c r="AJ460" s="705"/>
      <c r="AK460" s="705"/>
      <c r="AL460" s="649">
        <f t="shared" si="232"/>
        <v>240</v>
      </c>
      <c r="AM460" s="649"/>
      <c r="AN460" s="705"/>
      <c r="AO460" s="649"/>
      <c r="AP460" s="649"/>
      <c r="AQ460" s="653"/>
      <c r="AR460" s="705"/>
      <c r="AS460" s="705"/>
      <c r="AT460" s="649">
        <f t="shared" si="233"/>
        <v>240</v>
      </c>
      <c r="AU460" s="649"/>
      <c r="AV460" s="654"/>
      <c r="AW460" s="706"/>
      <c r="AX460" s="652"/>
      <c r="AY460" s="652"/>
      <c r="AZ460" s="706"/>
      <c r="BA460" s="652"/>
      <c r="BB460" s="652"/>
      <c r="BC460" s="706"/>
      <c r="BD460" s="706"/>
      <c r="BE460" s="654"/>
      <c r="BF460" s="706"/>
      <c r="BG460" s="652"/>
      <c r="BH460" s="652"/>
      <c r="BI460" s="706"/>
      <c r="BJ460" s="706"/>
      <c r="BK460" s="654"/>
      <c r="BL460" s="654"/>
      <c r="BM460" s="654"/>
      <c r="BN460" s="654"/>
      <c r="BO460" s="654"/>
      <c r="BP460" s="706"/>
      <c r="BQ460" s="654"/>
      <c r="BR460" s="706"/>
      <c r="BS460" s="654"/>
      <c r="BT460" s="654"/>
      <c r="BU460" s="654"/>
      <c r="BV460" s="654"/>
      <c r="BW460" s="645" t="s">
        <v>109</v>
      </c>
      <c r="BX460" s="658"/>
      <c r="BY460" s="658">
        <f>I460</f>
        <v>240</v>
      </c>
      <c r="BZ460" s="658"/>
      <c r="CA460" s="658"/>
      <c r="CB460" s="644">
        <f t="shared" si="221"/>
        <v>240</v>
      </c>
      <c r="CC460" s="658"/>
      <c r="CD460" s="644">
        <f t="shared" si="229"/>
        <v>240</v>
      </c>
      <c r="CE460" s="644">
        <f t="shared" si="231"/>
        <v>0</v>
      </c>
    </row>
    <row r="461" s="338" customFormat="1" ht="40" customHeight="1" spans="1:83">
      <c r="A461" s="632">
        <v>45896</v>
      </c>
      <c r="B461" s="633" t="s">
        <v>1707</v>
      </c>
      <c r="C461" s="634" t="s">
        <v>214</v>
      </c>
      <c r="D461" s="635">
        <v>4500177996</v>
      </c>
      <c r="E461" s="659" t="s">
        <v>2153</v>
      </c>
      <c r="F461" s="635" t="s">
        <v>2154</v>
      </c>
      <c r="G461" s="637" t="s">
        <v>159</v>
      </c>
      <c r="H461" s="637" t="s">
        <v>99</v>
      </c>
      <c r="I461" s="638">
        <v>312</v>
      </c>
      <c r="J461" s="638">
        <v>0</v>
      </c>
      <c r="K461" s="639">
        <v>24</v>
      </c>
      <c r="L461" s="639">
        <f t="shared" si="230"/>
        <v>13</v>
      </c>
      <c r="M461" s="641">
        <v>45939</v>
      </c>
      <c r="N461" s="641">
        <v>45936</v>
      </c>
      <c r="O461" s="641"/>
      <c r="P461" s="642" t="s">
        <v>100</v>
      </c>
      <c r="Q461" s="643" t="s">
        <v>2044</v>
      </c>
      <c r="R461" s="642" t="s">
        <v>2148</v>
      </c>
      <c r="S461" s="641"/>
      <c r="T461" s="641"/>
      <c r="U461" s="642" t="s">
        <v>2149</v>
      </c>
      <c r="V461" s="642" t="s">
        <v>2150</v>
      </c>
      <c r="W461" s="645"/>
      <c r="X461" s="647" t="s">
        <v>2151</v>
      </c>
      <c r="Y461" s="646" t="s">
        <v>809</v>
      </c>
      <c r="Z461" s="648">
        <v>1.5081</v>
      </c>
      <c r="AA461" s="650">
        <f>Z461*'9543'!I461</f>
        <v>470.5272</v>
      </c>
      <c r="AB461" s="649">
        <v>312</v>
      </c>
      <c r="AC461" s="649">
        <f t="shared" si="228"/>
        <v>0</v>
      </c>
      <c r="AD461" s="650" t="s">
        <v>106</v>
      </c>
      <c r="AE461" s="661" t="s">
        <v>451</v>
      </c>
      <c r="AF461" s="646" t="s">
        <v>107</v>
      </c>
      <c r="AG461" s="652" t="s">
        <v>43</v>
      </c>
      <c r="AH461" s="646" t="s">
        <v>2152</v>
      </c>
      <c r="AI461" s="705"/>
      <c r="AJ461" s="705"/>
      <c r="AK461" s="705"/>
      <c r="AL461" s="649">
        <f t="shared" si="232"/>
        <v>312</v>
      </c>
      <c r="AM461" s="649"/>
      <c r="AN461" s="705"/>
      <c r="AO461" s="649"/>
      <c r="AP461" s="649"/>
      <c r="AQ461" s="653"/>
      <c r="AR461" s="705"/>
      <c r="AS461" s="705"/>
      <c r="AT461" s="649">
        <f t="shared" si="233"/>
        <v>312</v>
      </c>
      <c r="AU461" s="649"/>
      <c r="AV461" s="654"/>
      <c r="AW461" s="706"/>
      <c r="AX461" s="652"/>
      <c r="AY461" s="652"/>
      <c r="AZ461" s="706"/>
      <c r="BA461" s="652"/>
      <c r="BB461" s="652"/>
      <c r="BC461" s="706"/>
      <c r="BD461" s="706"/>
      <c r="BE461" s="654"/>
      <c r="BF461" s="706"/>
      <c r="BG461" s="652"/>
      <c r="BH461" s="652"/>
      <c r="BI461" s="706"/>
      <c r="BJ461" s="706"/>
      <c r="BK461" s="654"/>
      <c r="BL461" s="654"/>
      <c r="BM461" s="654"/>
      <c r="BN461" s="654"/>
      <c r="BO461" s="654"/>
      <c r="BP461" s="706"/>
      <c r="BQ461" s="654"/>
      <c r="BR461" s="706"/>
      <c r="BS461" s="654"/>
      <c r="BT461" s="654"/>
      <c r="BU461" s="654"/>
      <c r="BV461" s="654"/>
      <c r="BW461" s="645" t="s">
        <v>109</v>
      </c>
      <c r="BX461" s="658"/>
      <c r="BY461" s="658">
        <f>I461</f>
        <v>312</v>
      </c>
      <c r="BZ461" s="658"/>
      <c r="CA461" s="658"/>
      <c r="CB461" s="644">
        <f t="shared" si="221"/>
        <v>312</v>
      </c>
      <c r="CC461" s="658"/>
      <c r="CD461" s="644">
        <f t="shared" si="229"/>
        <v>312</v>
      </c>
      <c r="CE461" s="644">
        <f t="shared" si="231"/>
        <v>0</v>
      </c>
    </row>
    <row r="462" s="338" customFormat="1" ht="40" customHeight="1" spans="1:83">
      <c r="A462" s="632">
        <v>45896</v>
      </c>
      <c r="B462" s="633" t="s">
        <v>1707</v>
      </c>
      <c r="C462" s="634" t="s">
        <v>214</v>
      </c>
      <c r="D462" s="635">
        <v>4500178020</v>
      </c>
      <c r="E462" s="659" t="s">
        <v>2155</v>
      </c>
      <c r="F462" s="635" t="s">
        <v>2156</v>
      </c>
      <c r="G462" s="637" t="s">
        <v>159</v>
      </c>
      <c r="H462" s="637" t="s">
        <v>99</v>
      </c>
      <c r="I462" s="638">
        <v>120</v>
      </c>
      <c r="J462" s="638">
        <v>0</v>
      </c>
      <c r="K462" s="639">
        <v>24</v>
      </c>
      <c r="L462" s="639">
        <f t="shared" si="230"/>
        <v>5</v>
      </c>
      <c r="M462" s="641">
        <v>45939</v>
      </c>
      <c r="N462" s="641">
        <v>45936</v>
      </c>
      <c r="O462" s="641"/>
      <c r="P462" s="642" t="s">
        <v>100</v>
      </c>
      <c r="Q462" s="643"/>
      <c r="R462" s="642" t="s">
        <v>2148</v>
      </c>
      <c r="S462" s="641"/>
      <c r="T462" s="641"/>
      <c r="U462" s="642" t="s">
        <v>2149</v>
      </c>
      <c r="V462" s="642" t="s">
        <v>2150</v>
      </c>
      <c r="W462" s="645"/>
      <c r="X462" s="647" t="s">
        <v>2151</v>
      </c>
      <c r="Y462" s="646" t="s">
        <v>809</v>
      </c>
      <c r="Z462" s="648">
        <v>1.5081</v>
      </c>
      <c r="AA462" s="650">
        <f>Z462*'9543'!I462</f>
        <v>180.972</v>
      </c>
      <c r="AB462" s="649">
        <v>120</v>
      </c>
      <c r="AC462" s="649">
        <f t="shared" si="228"/>
        <v>0</v>
      </c>
      <c r="AD462" s="650" t="s">
        <v>106</v>
      </c>
      <c r="AE462" s="661" t="s">
        <v>451</v>
      </c>
      <c r="AF462" s="646" t="s">
        <v>107</v>
      </c>
      <c r="AG462" s="652" t="s">
        <v>43</v>
      </c>
      <c r="AH462" s="646" t="s">
        <v>2157</v>
      </c>
      <c r="AI462" s="705"/>
      <c r="AJ462" s="705"/>
      <c r="AK462" s="705"/>
      <c r="AL462" s="649">
        <f t="shared" si="232"/>
        <v>120</v>
      </c>
      <c r="AM462" s="649"/>
      <c r="AN462" s="705"/>
      <c r="AO462" s="649"/>
      <c r="AP462" s="649"/>
      <c r="AQ462" s="653"/>
      <c r="AR462" s="705"/>
      <c r="AS462" s="705"/>
      <c r="AT462" s="649">
        <f t="shared" si="233"/>
        <v>120</v>
      </c>
      <c r="AU462" s="649"/>
      <c r="AV462" s="654"/>
      <c r="AW462" s="706"/>
      <c r="AX462" s="652"/>
      <c r="AY462" s="652"/>
      <c r="AZ462" s="706"/>
      <c r="BA462" s="652"/>
      <c r="BB462" s="652"/>
      <c r="BC462" s="706"/>
      <c r="BD462" s="706"/>
      <c r="BE462" s="654"/>
      <c r="BF462" s="706"/>
      <c r="BG462" s="652"/>
      <c r="BH462" s="652"/>
      <c r="BI462" s="706"/>
      <c r="BJ462" s="706"/>
      <c r="BK462" s="654"/>
      <c r="BL462" s="654"/>
      <c r="BM462" s="654"/>
      <c r="BN462" s="654"/>
      <c r="BO462" s="654"/>
      <c r="BP462" s="706"/>
      <c r="BQ462" s="654"/>
      <c r="BR462" s="706"/>
      <c r="BS462" s="654"/>
      <c r="BT462" s="654"/>
      <c r="BU462" s="654"/>
      <c r="BV462" s="654"/>
      <c r="BW462" s="645" t="s">
        <v>109</v>
      </c>
      <c r="BX462" s="658"/>
      <c r="BY462" s="658">
        <f>I462</f>
        <v>120</v>
      </c>
      <c r="BZ462" s="658"/>
      <c r="CA462" s="658"/>
      <c r="CB462" s="644">
        <f t="shared" si="221"/>
        <v>120</v>
      </c>
      <c r="CC462" s="658"/>
      <c r="CD462" s="644">
        <f t="shared" si="229"/>
        <v>120</v>
      </c>
      <c r="CE462" s="644">
        <f t="shared" si="231"/>
        <v>0</v>
      </c>
    </row>
    <row r="463" s="338" customFormat="1" ht="40" customHeight="1" spans="1:83">
      <c r="A463" s="632">
        <v>45896</v>
      </c>
      <c r="B463" s="633" t="s">
        <v>1707</v>
      </c>
      <c r="C463" s="634" t="s">
        <v>214</v>
      </c>
      <c r="D463" s="635">
        <v>4500178020</v>
      </c>
      <c r="E463" s="659" t="s">
        <v>2158</v>
      </c>
      <c r="F463" s="635" t="s">
        <v>2159</v>
      </c>
      <c r="G463" s="637" t="s">
        <v>159</v>
      </c>
      <c r="H463" s="637" t="s">
        <v>99</v>
      </c>
      <c r="I463" s="638">
        <v>216</v>
      </c>
      <c r="J463" s="638">
        <v>0</v>
      </c>
      <c r="K463" s="639">
        <v>24</v>
      </c>
      <c r="L463" s="639">
        <f t="shared" si="230"/>
        <v>9</v>
      </c>
      <c r="M463" s="641">
        <v>45939</v>
      </c>
      <c r="N463" s="641">
        <v>45936</v>
      </c>
      <c r="O463" s="641"/>
      <c r="P463" s="642" t="s">
        <v>100</v>
      </c>
      <c r="Q463" s="643"/>
      <c r="R463" s="642" t="s">
        <v>2148</v>
      </c>
      <c r="S463" s="641"/>
      <c r="T463" s="641"/>
      <c r="U463" s="642" t="s">
        <v>2149</v>
      </c>
      <c r="V463" s="642" t="s">
        <v>2150</v>
      </c>
      <c r="W463" s="645"/>
      <c r="X463" s="647" t="s">
        <v>2151</v>
      </c>
      <c r="Y463" s="646" t="s">
        <v>809</v>
      </c>
      <c r="Z463" s="648">
        <v>1.5081</v>
      </c>
      <c r="AA463" s="650">
        <f>Z463*'9543'!I463</f>
        <v>325.7496</v>
      </c>
      <c r="AB463" s="649">
        <v>216</v>
      </c>
      <c r="AC463" s="649">
        <f t="shared" si="228"/>
        <v>0</v>
      </c>
      <c r="AD463" s="650" t="s">
        <v>106</v>
      </c>
      <c r="AE463" s="661" t="s">
        <v>451</v>
      </c>
      <c r="AF463" s="646" t="s">
        <v>107</v>
      </c>
      <c r="AG463" s="652" t="s">
        <v>43</v>
      </c>
      <c r="AH463" s="646" t="s">
        <v>2157</v>
      </c>
      <c r="AI463" s="705"/>
      <c r="AJ463" s="705"/>
      <c r="AK463" s="705"/>
      <c r="AL463" s="649">
        <f t="shared" si="232"/>
        <v>216</v>
      </c>
      <c r="AM463" s="649"/>
      <c r="AN463" s="705"/>
      <c r="AO463" s="649"/>
      <c r="AP463" s="649"/>
      <c r="AQ463" s="653"/>
      <c r="AR463" s="705"/>
      <c r="AS463" s="705"/>
      <c r="AT463" s="649">
        <f t="shared" si="233"/>
        <v>216</v>
      </c>
      <c r="AU463" s="649"/>
      <c r="AV463" s="654"/>
      <c r="AW463" s="706"/>
      <c r="AX463" s="652"/>
      <c r="AY463" s="652"/>
      <c r="AZ463" s="706"/>
      <c r="BA463" s="652"/>
      <c r="BB463" s="652"/>
      <c r="BC463" s="706"/>
      <c r="BD463" s="706"/>
      <c r="BE463" s="654"/>
      <c r="BF463" s="706"/>
      <c r="BG463" s="652"/>
      <c r="BH463" s="652"/>
      <c r="BI463" s="706"/>
      <c r="BJ463" s="706"/>
      <c r="BK463" s="654"/>
      <c r="BL463" s="654"/>
      <c r="BM463" s="654"/>
      <c r="BN463" s="654"/>
      <c r="BO463" s="654"/>
      <c r="BP463" s="706"/>
      <c r="BQ463" s="654"/>
      <c r="BR463" s="706"/>
      <c r="BS463" s="654"/>
      <c r="BT463" s="654"/>
      <c r="BU463" s="654"/>
      <c r="BV463" s="654"/>
      <c r="BW463" s="645" t="s">
        <v>109</v>
      </c>
      <c r="BX463" s="658"/>
      <c r="BY463" s="658">
        <f>I463</f>
        <v>216</v>
      </c>
      <c r="BZ463" s="658"/>
      <c r="CA463" s="658"/>
      <c r="CB463" s="644">
        <f t="shared" si="221"/>
        <v>216</v>
      </c>
      <c r="CC463" s="658"/>
      <c r="CD463" s="644">
        <f t="shared" si="229"/>
        <v>216</v>
      </c>
      <c r="CE463" s="644">
        <f t="shared" si="231"/>
        <v>0</v>
      </c>
    </row>
    <row r="464" s="338" customFormat="1" ht="40" customHeight="1" spans="1:83">
      <c r="A464" s="632">
        <v>45896</v>
      </c>
      <c r="B464" s="633" t="s">
        <v>1707</v>
      </c>
      <c r="C464" s="634" t="s">
        <v>214</v>
      </c>
      <c r="D464" s="635">
        <v>4500178034</v>
      </c>
      <c r="E464" s="659" t="s">
        <v>2160</v>
      </c>
      <c r="F464" s="635" t="s">
        <v>2161</v>
      </c>
      <c r="G464" s="637" t="s">
        <v>159</v>
      </c>
      <c r="H464" s="637" t="s">
        <v>99</v>
      </c>
      <c r="I464" s="638">
        <v>192</v>
      </c>
      <c r="J464" s="638">
        <v>0</v>
      </c>
      <c r="K464" s="639">
        <v>24</v>
      </c>
      <c r="L464" s="639">
        <f t="shared" si="230"/>
        <v>8</v>
      </c>
      <c r="M464" s="641">
        <v>45939</v>
      </c>
      <c r="N464" s="641">
        <v>45936</v>
      </c>
      <c r="O464" s="641"/>
      <c r="P464" s="642" t="s">
        <v>100</v>
      </c>
      <c r="Q464" s="643" t="s">
        <v>2162</v>
      </c>
      <c r="R464" s="642" t="s">
        <v>2148</v>
      </c>
      <c r="S464" s="641"/>
      <c r="T464" s="641"/>
      <c r="U464" s="642" t="s">
        <v>2149</v>
      </c>
      <c r="V464" s="642" t="s">
        <v>2150</v>
      </c>
      <c r="W464" s="645"/>
      <c r="X464" s="647" t="s">
        <v>2151</v>
      </c>
      <c r="Y464" s="646" t="s">
        <v>809</v>
      </c>
      <c r="Z464" s="648">
        <v>1.5081</v>
      </c>
      <c r="AA464" s="650">
        <f>Z464*'9543'!I464</f>
        <v>289.5552</v>
      </c>
      <c r="AB464" s="649">
        <v>192</v>
      </c>
      <c r="AC464" s="649">
        <f t="shared" si="228"/>
        <v>0</v>
      </c>
      <c r="AD464" s="650" t="s">
        <v>106</v>
      </c>
      <c r="AE464" s="661" t="s">
        <v>451</v>
      </c>
      <c r="AF464" s="646" t="s">
        <v>107</v>
      </c>
      <c r="AG464" s="652" t="s">
        <v>43</v>
      </c>
      <c r="AH464" s="646" t="s">
        <v>2163</v>
      </c>
      <c r="AI464" s="705"/>
      <c r="AJ464" s="705"/>
      <c r="AK464" s="705"/>
      <c r="AL464" s="649">
        <f t="shared" si="232"/>
        <v>192</v>
      </c>
      <c r="AM464" s="649"/>
      <c r="AN464" s="705"/>
      <c r="AO464" s="649"/>
      <c r="AP464" s="649"/>
      <c r="AQ464" s="653"/>
      <c r="AR464" s="705"/>
      <c r="AS464" s="705"/>
      <c r="AT464" s="649">
        <f t="shared" si="233"/>
        <v>192</v>
      </c>
      <c r="AU464" s="649"/>
      <c r="AV464" s="654"/>
      <c r="AW464" s="706"/>
      <c r="AX464" s="652"/>
      <c r="AY464" s="652"/>
      <c r="AZ464" s="706"/>
      <c r="BA464" s="652"/>
      <c r="BB464" s="652"/>
      <c r="BC464" s="706"/>
      <c r="BD464" s="706"/>
      <c r="BE464" s="654"/>
      <c r="BF464" s="706"/>
      <c r="BG464" s="652"/>
      <c r="BH464" s="652"/>
      <c r="BI464" s="706"/>
      <c r="BJ464" s="706"/>
      <c r="BK464" s="654"/>
      <c r="BL464" s="654"/>
      <c r="BM464" s="654"/>
      <c r="BN464" s="654"/>
      <c r="BO464" s="654"/>
      <c r="BP464" s="706"/>
      <c r="BQ464" s="654"/>
      <c r="BR464" s="706"/>
      <c r="BS464" s="654"/>
      <c r="BT464" s="654"/>
      <c r="BU464" s="654"/>
      <c r="BV464" s="654"/>
      <c r="BW464" s="645" t="s">
        <v>109</v>
      </c>
      <c r="BX464" s="658"/>
      <c r="BY464" s="658">
        <f>I464</f>
        <v>192</v>
      </c>
      <c r="BZ464" s="658"/>
      <c r="CA464" s="658"/>
      <c r="CB464" s="644">
        <f t="shared" si="221"/>
        <v>192</v>
      </c>
      <c r="CC464" s="658"/>
      <c r="CD464" s="644">
        <f t="shared" si="229"/>
        <v>192</v>
      </c>
      <c r="CE464" s="644">
        <f t="shared" si="231"/>
        <v>0</v>
      </c>
    </row>
    <row r="465" s="338" customFormat="1" ht="40" customHeight="1" spans="1:83">
      <c r="A465" s="632">
        <v>45862</v>
      </c>
      <c r="B465" s="633" t="s">
        <v>973</v>
      </c>
      <c r="C465" s="634" t="s">
        <v>214</v>
      </c>
      <c r="D465" s="703">
        <v>4500174719</v>
      </c>
      <c r="E465" s="659">
        <v>60236745</v>
      </c>
      <c r="F465" s="635" t="s">
        <v>2164</v>
      </c>
      <c r="G465" s="637" t="s">
        <v>1830</v>
      </c>
      <c r="H465" s="637" t="s">
        <v>1831</v>
      </c>
      <c r="I465" s="638">
        <v>2000</v>
      </c>
      <c r="J465" s="638">
        <v>0</v>
      </c>
      <c r="K465" s="639">
        <v>16</v>
      </c>
      <c r="L465" s="639">
        <f t="shared" si="230"/>
        <v>125</v>
      </c>
      <c r="M465" s="641">
        <v>45939</v>
      </c>
      <c r="N465" s="641">
        <v>45936</v>
      </c>
      <c r="O465" s="641"/>
      <c r="P465" s="642" t="s">
        <v>100</v>
      </c>
      <c r="Q465" s="643" t="s">
        <v>2165</v>
      </c>
      <c r="R465" s="642" t="s">
        <v>2048</v>
      </c>
      <c r="S465" s="641"/>
      <c r="T465" s="641"/>
      <c r="U465" s="642" t="s">
        <v>113</v>
      </c>
      <c r="V465" s="642" t="s">
        <v>2034</v>
      </c>
      <c r="W465" s="645"/>
      <c r="X465" s="647" t="s">
        <v>1834</v>
      </c>
      <c r="Y465" s="646" t="s">
        <v>979</v>
      </c>
      <c r="Z465" s="683">
        <v>1.5</v>
      </c>
      <c r="AA465" s="650">
        <f t="shared" ref="AA465:AA471" si="246">I465*Z465</f>
        <v>3000</v>
      </c>
      <c r="AB465" s="649">
        <v>2000</v>
      </c>
      <c r="AC465" s="649">
        <f t="shared" si="228"/>
        <v>0</v>
      </c>
      <c r="AD465" s="704" t="s">
        <v>106</v>
      </c>
      <c r="AE465" s="637" t="s">
        <v>1830</v>
      </c>
      <c r="AF465" s="646" t="s">
        <v>107</v>
      </c>
      <c r="AG465" s="652" t="s">
        <v>43</v>
      </c>
      <c r="AH465" s="646" t="s">
        <v>2166</v>
      </c>
      <c r="AI465" s="705"/>
      <c r="AJ465" s="705"/>
      <c r="AK465" s="705"/>
      <c r="AL465" s="649">
        <f>I465*2</f>
        <v>4000</v>
      </c>
      <c r="AM465" s="649"/>
      <c r="AN465" s="705"/>
      <c r="AO465" s="649"/>
      <c r="AP465" s="649"/>
      <c r="AQ465" s="653"/>
      <c r="AR465" s="705"/>
      <c r="AS465" s="705"/>
      <c r="AT465" s="649">
        <f>I465*2</f>
        <v>4000</v>
      </c>
      <c r="AU465" s="649"/>
      <c r="AV465" s="654"/>
      <c r="AW465" s="706"/>
      <c r="AX465" s="652"/>
      <c r="AY465" s="652"/>
      <c r="AZ465" s="706"/>
      <c r="BA465" s="652"/>
      <c r="BB465" s="652"/>
      <c r="BC465" s="706"/>
      <c r="BD465" s="706"/>
      <c r="BE465" s="654"/>
      <c r="BF465" s="706"/>
      <c r="BG465" s="652"/>
      <c r="BH465" s="652"/>
      <c r="BI465" s="706"/>
      <c r="BJ465" s="706"/>
      <c r="BK465" s="654"/>
      <c r="BL465" s="654"/>
      <c r="BM465" s="654"/>
      <c r="BN465" s="654"/>
      <c r="BO465" s="654"/>
      <c r="BP465" s="706"/>
      <c r="BQ465" s="654"/>
      <c r="BR465" s="706"/>
      <c r="BS465" s="654"/>
      <c r="BT465" s="654"/>
      <c r="BU465" s="654"/>
      <c r="BV465" s="654"/>
      <c r="BW465" s="645" t="s">
        <v>109</v>
      </c>
      <c r="BX465" s="658">
        <f>I465/4*2</f>
        <v>1000</v>
      </c>
      <c r="BY465" s="658">
        <f>I465/4*2</f>
        <v>1000</v>
      </c>
      <c r="BZ465" s="658">
        <f>I465/4*2</f>
        <v>1000</v>
      </c>
      <c r="CA465" s="658">
        <f>I465/4*2</f>
        <v>1000</v>
      </c>
      <c r="CB465" s="644">
        <f t="shared" si="221"/>
        <v>2000</v>
      </c>
      <c r="CC465" s="658"/>
      <c r="CD465" s="644">
        <f t="shared" si="229"/>
        <v>4000</v>
      </c>
      <c r="CE465" s="644">
        <f t="shared" si="231"/>
        <v>-2000</v>
      </c>
    </row>
    <row r="466" s="338" customFormat="1" ht="40" customHeight="1" spans="1:83">
      <c r="A466" s="632">
        <v>45897</v>
      </c>
      <c r="B466" s="633" t="s">
        <v>2167</v>
      </c>
      <c r="C466" s="634" t="s">
        <v>205</v>
      </c>
      <c r="D466" s="635">
        <v>4500178086</v>
      </c>
      <c r="E466" s="659" t="s">
        <v>2168</v>
      </c>
      <c r="F466" s="635" t="s">
        <v>2169</v>
      </c>
      <c r="G466" s="637" t="s">
        <v>241</v>
      </c>
      <c r="H466" s="637" t="s">
        <v>99</v>
      </c>
      <c r="I466" s="638">
        <v>1023</v>
      </c>
      <c r="J466" s="638">
        <v>0</v>
      </c>
      <c r="K466" s="639">
        <v>11</v>
      </c>
      <c r="L466" s="639">
        <f t="shared" si="230"/>
        <v>93</v>
      </c>
      <c r="M466" s="641">
        <v>45940</v>
      </c>
      <c r="N466" s="641">
        <v>45936</v>
      </c>
      <c r="O466" s="641"/>
      <c r="P466" s="642" t="s">
        <v>100</v>
      </c>
      <c r="Q466" s="643" t="s">
        <v>367</v>
      </c>
      <c r="R466" s="642" t="s">
        <v>2170</v>
      </c>
      <c r="S466" s="641"/>
      <c r="T466" s="641"/>
      <c r="U466" s="642" t="s">
        <v>2171</v>
      </c>
      <c r="V466" s="642"/>
      <c r="W466" s="645"/>
      <c r="X466" s="647" t="s">
        <v>2172</v>
      </c>
      <c r="Y466" s="646" t="s">
        <v>105</v>
      </c>
      <c r="Z466" s="683">
        <v>2.6785</v>
      </c>
      <c r="AA466" s="650">
        <f t="shared" si="246"/>
        <v>2740.1055</v>
      </c>
      <c r="AB466" s="649">
        <v>1023</v>
      </c>
      <c r="AC466" s="649">
        <f t="shared" si="228"/>
        <v>0</v>
      </c>
      <c r="AD466" s="650" t="s">
        <v>106</v>
      </c>
      <c r="AE466" s="637" t="s">
        <v>241</v>
      </c>
      <c r="AF466" s="646" t="s">
        <v>107</v>
      </c>
      <c r="AG466" s="652" t="s">
        <v>43</v>
      </c>
      <c r="AH466" s="646"/>
      <c r="AI466" s="705"/>
      <c r="AJ466" s="705"/>
      <c r="AK466" s="705"/>
      <c r="AL466" s="649">
        <f t="shared" ref="AL466:AL472" si="247">I466</f>
        <v>1023</v>
      </c>
      <c r="AM466" s="649"/>
      <c r="AN466" s="705"/>
      <c r="AO466" s="649"/>
      <c r="AP466" s="649"/>
      <c r="AQ466" s="653"/>
      <c r="AR466" s="705"/>
      <c r="AS466" s="705"/>
      <c r="AT466" s="649">
        <f t="shared" ref="AT466:AT472" si="248">I466</f>
        <v>1023</v>
      </c>
      <c r="AU466" s="649"/>
      <c r="AV466" s="654"/>
      <c r="AW466" s="706"/>
      <c r="AX466" s="652"/>
      <c r="AY466" s="652"/>
      <c r="AZ466" s="706"/>
      <c r="BA466" s="652"/>
      <c r="BB466" s="652"/>
      <c r="BC466" s="706"/>
      <c r="BD466" s="706"/>
      <c r="BE466" s="654"/>
      <c r="BF466" s="706"/>
      <c r="BG466" s="652"/>
      <c r="BH466" s="652"/>
      <c r="BI466" s="706"/>
      <c r="BJ466" s="706"/>
      <c r="BK466" s="654"/>
      <c r="BL466" s="654"/>
      <c r="BM466" s="654"/>
      <c r="BN466" s="654"/>
      <c r="BO466" s="654"/>
      <c r="BP466" s="706"/>
      <c r="BQ466" s="654"/>
      <c r="BR466" s="706"/>
      <c r="BS466" s="652"/>
      <c r="BT466" s="654"/>
      <c r="BU466" s="654"/>
      <c r="BV466" s="654"/>
      <c r="BW466" s="645" t="s">
        <v>109</v>
      </c>
      <c r="BX466" s="658">
        <f t="shared" ref="BX466:BX472" si="249">I466/22*5</f>
        <v>232.5</v>
      </c>
      <c r="BY466" s="658">
        <f t="shared" ref="BY466:BY472" si="250">I466/22*6</f>
        <v>279</v>
      </c>
      <c r="BZ466" s="658">
        <f t="shared" ref="BZ466:BZ472" si="251">I466/22*6</f>
        <v>279</v>
      </c>
      <c r="CA466" s="658">
        <f t="shared" ref="CA466:CA472" si="252">I466/22*5</f>
        <v>232.5</v>
      </c>
      <c r="CB466" s="644">
        <f t="shared" si="221"/>
        <v>1023</v>
      </c>
      <c r="CC466" s="658">
        <f t="shared" ref="CC466:CC472" si="253">I466/11</f>
        <v>93</v>
      </c>
      <c r="CD466" s="644">
        <f t="shared" si="229"/>
        <v>1023</v>
      </c>
      <c r="CE466" s="644">
        <f t="shared" si="231"/>
        <v>0</v>
      </c>
    </row>
    <row r="467" s="338" customFormat="1" ht="40" customHeight="1" spans="1:83">
      <c r="A467" s="632">
        <v>45897</v>
      </c>
      <c r="B467" s="633" t="s">
        <v>2167</v>
      </c>
      <c r="C467" s="634" t="s">
        <v>205</v>
      </c>
      <c r="D467" s="635">
        <v>4500178070</v>
      </c>
      <c r="E467" s="659" t="s">
        <v>2173</v>
      </c>
      <c r="F467" s="635" t="s">
        <v>2174</v>
      </c>
      <c r="G467" s="637" t="s">
        <v>241</v>
      </c>
      <c r="H467" s="637" t="s">
        <v>99</v>
      </c>
      <c r="I467" s="638">
        <v>1936</v>
      </c>
      <c r="J467" s="638">
        <v>0</v>
      </c>
      <c r="K467" s="639">
        <v>11</v>
      </c>
      <c r="L467" s="639">
        <f t="shared" si="230"/>
        <v>176</v>
      </c>
      <c r="M467" s="641">
        <v>45940</v>
      </c>
      <c r="N467" s="641">
        <v>45936</v>
      </c>
      <c r="O467" s="641"/>
      <c r="P467" s="642" t="s">
        <v>100</v>
      </c>
      <c r="Q467" s="643" t="s">
        <v>367</v>
      </c>
      <c r="R467" s="642" t="s">
        <v>2170</v>
      </c>
      <c r="S467" s="641"/>
      <c r="T467" s="641"/>
      <c r="U467" s="642" t="s">
        <v>2171</v>
      </c>
      <c r="V467" s="642"/>
      <c r="W467" s="645"/>
      <c r="X467" s="647" t="s">
        <v>2175</v>
      </c>
      <c r="Y467" s="646" t="s">
        <v>972</v>
      </c>
      <c r="Z467" s="683">
        <v>2.6785</v>
      </c>
      <c r="AA467" s="650">
        <f t="shared" si="246"/>
        <v>5185.576</v>
      </c>
      <c r="AB467" s="649">
        <f>1914+22</f>
        <v>1936</v>
      </c>
      <c r="AC467" s="649">
        <f t="shared" si="228"/>
        <v>0</v>
      </c>
      <c r="AD467" s="650" t="s">
        <v>106</v>
      </c>
      <c r="AE467" s="637" t="s">
        <v>241</v>
      </c>
      <c r="AF467" s="646" t="s">
        <v>107</v>
      </c>
      <c r="AG467" s="652" t="s">
        <v>43</v>
      </c>
      <c r="AH467" s="646"/>
      <c r="AI467" s="705"/>
      <c r="AJ467" s="705"/>
      <c r="AK467" s="705"/>
      <c r="AL467" s="649">
        <f t="shared" si="247"/>
        <v>1936</v>
      </c>
      <c r="AM467" s="649"/>
      <c r="AN467" s="705"/>
      <c r="AO467" s="649"/>
      <c r="AP467" s="649"/>
      <c r="AQ467" s="653"/>
      <c r="AR467" s="705"/>
      <c r="AS467" s="705"/>
      <c r="AT467" s="649">
        <f t="shared" si="248"/>
        <v>1936</v>
      </c>
      <c r="AU467" s="649"/>
      <c r="AV467" s="654"/>
      <c r="AW467" s="706"/>
      <c r="AX467" s="652"/>
      <c r="AY467" s="652"/>
      <c r="AZ467" s="706"/>
      <c r="BA467" s="652"/>
      <c r="BB467" s="652"/>
      <c r="BC467" s="706"/>
      <c r="BD467" s="706"/>
      <c r="BE467" s="654"/>
      <c r="BF467" s="706"/>
      <c r="BG467" s="652"/>
      <c r="BH467" s="652"/>
      <c r="BI467" s="706"/>
      <c r="BJ467" s="706"/>
      <c r="BK467" s="654"/>
      <c r="BL467" s="654"/>
      <c r="BM467" s="654"/>
      <c r="BN467" s="654"/>
      <c r="BO467" s="654"/>
      <c r="BP467" s="706"/>
      <c r="BQ467" s="654"/>
      <c r="BR467" s="706"/>
      <c r="BS467" s="652"/>
      <c r="BT467" s="654"/>
      <c r="BU467" s="654"/>
      <c r="BV467" s="654"/>
      <c r="BW467" s="645" t="s">
        <v>109</v>
      </c>
      <c r="BX467" s="658">
        <f t="shared" si="249"/>
        <v>440</v>
      </c>
      <c r="BY467" s="658">
        <f t="shared" si="250"/>
        <v>528</v>
      </c>
      <c r="BZ467" s="658">
        <f t="shared" si="251"/>
        <v>528</v>
      </c>
      <c r="CA467" s="658">
        <f t="shared" si="252"/>
        <v>440</v>
      </c>
      <c r="CB467" s="644">
        <f t="shared" si="221"/>
        <v>1936</v>
      </c>
      <c r="CC467" s="658">
        <f t="shared" si="253"/>
        <v>176</v>
      </c>
      <c r="CD467" s="644">
        <f t="shared" si="229"/>
        <v>1936</v>
      </c>
      <c r="CE467" s="644">
        <f t="shared" si="231"/>
        <v>0</v>
      </c>
    </row>
    <row r="468" s="338" customFormat="1" ht="40" customHeight="1" spans="1:83">
      <c r="A468" s="632">
        <v>45876</v>
      </c>
      <c r="B468" s="633" t="s">
        <v>1916</v>
      </c>
      <c r="C468" s="634" t="s">
        <v>247</v>
      </c>
      <c r="D468" s="635">
        <v>4500176225</v>
      </c>
      <c r="E468" s="659" t="s">
        <v>2176</v>
      </c>
      <c r="F468" s="635" t="s">
        <v>2177</v>
      </c>
      <c r="G468" s="637" t="s">
        <v>111</v>
      </c>
      <c r="H468" s="637" t="s">
        <v>99</v>
      </c>
      <c r="I468" s="638">
        <v>286</v>
      </c>
      <c r="J468" s="638">
        <v>0</v>
      </c>
      <c r="K468" s="639">
        <v>22</v>
      </c>
      <c r="L468" s="639">
        <f t="shared" si="230"/>
        <v>13</v>
      </c>
      <c r="M468" s="641">
        <v>45940</v>
      </c>
      <c r="N468" s="641">
        <v>45936</v>
      </c>
      <c r="O468" s="641"/>
      <c r="P468" s="642" t="s">
        <v>100</v>
      </c>
      <c r="Q468" s="643" t="s">
        <v>2178</v>
      </c>
      <c r="R468" s="642" t="s">
        <v>2101</v>
      </c>
      <c r="S468" s="641"/>
      <c r="T468" s="641"/>
      <c r="U468" s="642" t="s">
        <v>2023</v>
      </c>
      <c r="V468" s="642"/>
      <c r="W468" s="645"/>
      <c r="X468" s="647" t="s">
        <v>2179</v>
      </c>
      <c r="Y468" s="646" t="s">
        <v>253</v>
      </c>
      <c r="Z468" s="683">
        <v>2.7583</v>
      </c>
      <c r="AA468" s="650">
        <f t="shared" si="246"/>
        <v>788.8738</v>
      </c>
      <c r="AB468" s="649">
        <v>286</v>
      </c>
      <c r="AC468" s="649">
        <f t="shared" si="228"/>
        <v>0</v>
      </c>
      <c r="AD468" s="650" t="s">
        <v>106</v>
      </c>
      <c r="AE468" s="637" t="s">
        <v>111</v>
      </c>
      <c r="AF468" s="646" t="s">
        <v>107</v>
      </c>
      <c r="AG468" s="652" t="s">
        <v>43</v>
      </c>
      <c r="AH468" s="646"/>
      <c r="AI468" s="696"/>
      <c r="AJ468" s="696"/>
      <c r="AK468" s="696"/>
      <c r="AL468" s="649">
        <f t="shared" si="247"/>
        <v>286</v>
      </c>
      <c r="AM468" s="649"/>
      <c r="AN468" s="696"/>
      <c r="AO468" s="649"/>
      <c r="AP468" s="649"/>
      <c r="AQ468" s="653"/>
      <c r="AR468" s="696"/>
      <c r="AS468" s="696"/>
      <c r="AT468" s="649">
        <f t="shared" si="248"/>
        <v>286</v>
      </c>
      <c r="AU468" s="649"/>
      <c r="AV468" s="654"/>
      <c r="AW468" s="697"/>
      <c r="AX468" s="652">
        <f>I468/11</f>
        <v>26</v>
      </c>
      <c r="AY468" s="652"/>
      <c r="AZ468" s="697"/>
      <c r="BA468" s="652"/>
      <c r="BB468" s="652"/>
      <c r="BC468" s="697"/>
      <c r="BD468" s="697"/>
      <c r="BE468" s="654"/>
      <c r="BF468" s="697"/>
      <c r="BG468" s="652"/>
      <c r="BH468" s="652"/>
      <c r="BI468" s="697"/>
      <c r="BJ468" s="697"/>
      <c r="BK468" s="654"/>
      <c r="BL468" s="654"/>
      <c r="BM468" s="654"/>
      <c r="BN468" s="654"/>
      <c r="BO468" s="654"/>
      <c r="BP468" s="697"/>
      <c r="BQ468" s="654"/>
      <c r="BR468" s="697"/>
      <c r="BS468" s="654"/>
      <c r="BT468" s="654"/>
      <c r="BU468" s="654"/>
      <c r="BV468" s="654"/>
      <c r="BW468" s="645" t="s">
        <v>109</v>
      </c>
      <c r="BX468" s="658">
        <f t="shared" si="249"/>
        <v>65</v>
      </c>
      <c r="BY468" s="658">
        <f t="shared" si="250"/>
        <v>78</v>
      </c>
      <c r="BZ468" s="658">
        <f t="shared" si="251"/>
        <v>78</v>
      </c>
      <c r="CA468" s="658">
        <f t="shared" si="252"/>
        <v>65</v>
      </c>
      <c r="CB468" s="644">
        <f t="shared" si="221"/>
        <v>286</v>
      </c>
      <c r="CC468" s="658">
        <f t="shared" si="253"/>
        <v>26</v>
      </c>
      <c r="CD468" s="644">
        <f t="shared" si="229"/>
        <v>286</v>
      </c>
      <c r="CE468" s="644">
        <f t="shared" si="231"/>
        <v>0</v>
      </c>
    </row>
    <row r="469" s="338" customFormat="1" ht="40" customHeight="1" spans="1:83">
      <c r="A469" s="632">
        <v>45876</v>
      </c>
      <c r="B469" s="633" t="s">
        <v>1916</v>
      </c>
      <c r="C469" s="634" t="s">
        <v>247</v>
      </c>
      <c r="D469" s="635">
        <v>4500176225</v>
      </c>
      <c r="E469" s="659" t="s">
        <v>2180</v>
      </c>
      <c r="F469" s="635" t="s">
        <v>2181</v>
      </c>
      <c r="G469" s="637" t="s">
        <v>111</v>
      </c>
      <c r="H469" s="637" t="s">
        <v>99</v>
      </c>
      <c r="I469" s="638">
        <v>726</v>
      </c>
      <c r="J469" s="638">
        <v>0</v>
      </c>
      <c r="K469" s="639">
        <v>22</v>
      </c>
      <c r="L469" s="639">
        <f t="shared" si="230"/>
        <v>33</v>
      </c>
      <c r="M469" s="641">
        <v>45940</v>
      </c>
      <c r="N469" s="641">
        <v>45936</v>
      </c>
      <c r="O469" s="641"/>
      <c r="P469" s="642" t="s">
        <v>100</v>
      </c>
      <c r="Q469" s="643" t="s">
        <v>2182</v>
      </c>
      <c r="R469" s="642" t="s">
        <v>2101</v>
      </c>
      <c r="S469" s="641"/>
      <c r="T469" s="641"/>
      <c r="U469" s="642" t="s">
        <v>2023</v>
      </c>
      <c r="V469" s="642"/>
      <c r="W469" s="645"/>
      <c r="X469" s="647" t="s">
        <v>2179</v>
      </c>
      <c r="Y469" s="646" t="s">
        <v>253</v>
      </c>
      <c r="Z469" s="683">
        <v>2.7311</v>
      </c>
      <c r="AA469" s="650">
        <f t="shared" si="246"/>
        <v>1982.7786</v>
      </c>
      <c r="AB469" s="649">
        <v>726</v>
      </c>
      <c r="AC469" s="649">
        <f t="shared" si="228"/>
        <v>0</v>
      </c>
      <c r="AD469" s="650" t="s">
        <v>106</v>
      </c>
      <c r="AE469" s="637" t="s">
        <v>111</v>
      </c>
      <c r="AF469" s="646" t="s">
        <v>107</v>
      </c>
      <c r="AG469" s="652" t="s">
        <v>43</v>
      </c>
      <c r="AH469" s="646"/>
      <c r="AI469" s="696"/>
      <c r="AJ469" s="696"/>
      <c r="AK469" s="696"/>
      <c r="AL469" s="649">
        <f t="shared" si="247"/>
        <v>726</v>
      </c>
      <c r="AM469" s="649"/>
      <c r="AN469" s="696"/>
      <c r="AO469" s="649"/>
      <c r="AP469" s="649"/>
      <c r="AQ469" s="653"/>
      <c r="AR469" s="696"/>
      <c r="AS469" s="696"/>
      <c r="AT469" s="649">
        <f t="shared" si="248"/>
        <v>726</v>
      </c>
      <c r="AU469" s="649"/>
      <c r="AV469" s="654"/>
      <c r="AW469" s="697"/>
      <c r="AX469" s="652">
        <f>I469/11</f>
        <v>66</v>
      </c>
      <c r="AY469" s="652"/>
      <c r="AZ469" s="697"/>
      <c r="BA469" s="652"/>
      <c r="BB469" s="652"/>
      <c r="BC469" s="697"/>
      <c r="BD469" s="697"/>
      <c r="BE469" s="654"/>
      <c r="BF469" s="697"/>
      <c r="BG469" s="652"/>
      <c r="BH469" s="652"/>
      <c r="BI469" s="697"/>
      <c r="BJ469" s="697"/>
      <c r="BK469" s="654"/>
      <c r="BL469" s="654"/>
      <c r="BM469" s="654"/>
      <c r="BN469" s="654"/>
      <c r="BO469" s="654"/>
      <c r="BP469" s="697"/>
      <c r="BQ469" s="654"/>
      <c r="BR469" s="697"/>
      <c r="BS469" s="654"/>
      <c r="BT469" s="654"/>
      <c r="BU469" s="654"/>
      <c r="BV469" s="654"/>
      <c r="BW469" s="645" t="s">
        <v>109</v>
      </c>
      <c r="BX469" s="658">
        <f t="shared" si="249"/>
        <v>165</v>
      </c>
      <c r="BY469" s="658">
        <f t="shared" si="250"/>
        <v>198</v>
      </c>
      <c r="BZ469" s="658">
        <f t="shared" si="251"/>
        <v>198</v>
      </c>
      <c r="CA469" s="658">
        <f t="shared" si="252"/>
        <v>165</v>
      </c>
      <c r="CB469" s="644">
        <f t="shared" si="221"/>
        <v>726</v>
      </c>
      <c r="CC469" s="658">
        <f t="shared" si="253"/>
        <v>66</v>
      </c>
      <c r="CD469" s="644">
        <f t="shared" si="229"/>
        <v>726</v>
      </c>
      <c r="CE469" s="644">
        <f t="shared" si="231"/>
        <v>0</v>
      </c>
    </row>
    <row r="470" s="338" customFormat="1" ht="40" customHeight="1" spans="1:83">
      <c r="A470" s="632">
        <v>45891</v>
      </c>
      <c r="B470" s="633" t="s">
        <v>2183</v>
      </c>
      <c r="C470" s="634" t="s">
        <v>2184</v>
      </c>
      <c r="D470" s="635">
        <v>4500177534</v>
      </c>
      <c r="E470" s="659"/>
      <c r="F470" s="635" t="s">
        <v>2185</v>
      </c>
      <c r="G470" s="637" t="s">
        <v>111</v>
      </c>
      <c r="H470" s="637" t="s">
        <v>99</v>
      </c>
      <c r="I470" s="638">
        <v>220</v>
      </c>
      <c r="J470" s="638">
        <v>0</v>
      </c>
      <c r="K470" s="639">
        <v>22</v>
      </c>
      <c r="L470" s="639">
        <f t="shared" si="230"/>
        <v>10</v>
      </c>
      <c r="M470" s="641">
        <v>45940</v>
      </c>
      <c r="N470" s="641">
        <v>45936</v>
      </c>
      <c r="O470" s="641"/>
      <c r="P470" s="642" t="s">
        <v>100</v>
      </c>
      <c r="Q470" s="643" t="s">
        <v>2162</v>
      </c>
      <c r="R470" s="642" t="s">
        <v>2186</v>
      </c>
      <c r="S470" s="641"/>
      <c r="T470" s="641"/>
      <c r="U470" s="642" t="s">
        <v>2187</v>
      </c>
      <c r="V470" s="642"/>
      <c r="W470" s="645"/>
      <c r="X470" s="647" t="s">
        <v>2188</v>
      </c>
      <c r="Y470" s="646" t="s">
        <v>972</v>
      </c>
      <c r="Z470" s="683">
        <v>2.7563</v>
      </c>
      <c r="AA470" s="650">
        <f t="shared" si="246"/>
        <v>606.386</v>
      </c>
      <c r="AB470" s="649">
        <v>220</v>
      </c>
      <c r="AC470" s="649">
        <f t="shared" si="228"/>
        <v>0</v>
      </c>
      <c r="AD470" s="650" t="s">
        <v>106</v>
      </c>
      <c r="AE470" s="637" t="s">
        <v>111</v>
      </c>
      <c r="AF470" s="646" t="s">
        <v>107</v>
      </c>
      <c r="AG470" s="652" t="s">
        <v>43</v>
      </c>
      <c r="AH470" s="646"/>
      <c r="AI470" s="696"/>
      <c r="AJ470" s="696"/>
      <c r="AK470" s="696"/>
      <c r="AL470" s="649">
        <f t="shared" si="247"/>
        <v>220</v>
      </c>
      <c r="AM470" s="649"/>
      <c r="AN470" s="696"/>
      <c r="AO470" s="649"/>
      <c r="AP470" s="649"/>
      <c r="AQ470" s="653"/>
      <c r="AR470" s="696"/>
      <c r="AS470" s="696"/>
      <c r="AT470" s="649">
        <f t="shared" si="248"/>
        <v>220</v>
      </c>
      <c r="AU470" s="649"/>
      <c r="AV470" s="654"/>
      <c r="AW470" s="697"/>
      <c r="AX470" s="652">
        <f>I470/11</f>
        <v>20</v>
      </c>
      <c r="AY470" s="652"/>
      <c r="AZ470" s="697"/>
      <c r="BA470" s="652"/>
      <c r="BB470" s="652"/>
      <c r="BC470" s="697"/>
      <c r="BD470" s="697"/>
      <c r="BE470" s="654"/>
      <c r="BF470" s="697"/>
      <c r="BG470" s="652"/>
      <c r="BH470" s="652"/>
      <c r="BI470" s="697"/>
      <c r="BJ470" s="697"/>
      <c r="BK470" s="654"/>
      <c r="BL470" s="654"/>
      <c r="BM470" s="654"/>
      <c r="BN470" s="654"/>
      <c r="BO470" s="654"/>
      <c r="BP470" s="697"/>
      <c r="BQ470" s="654"/>
      <c r="BR470" s="697"/>
      <c r="BS470" s="654"/>
      <c r="BT470" s="654"/>
      <c r="BU470" s="654"/>
      <c r="BV470" s="654"/>
      <c r="BW470" s="645" t="s">
        <v>109</v>
      </c>
      <c r="BX470" s="658">
        <f t="shared" si="249"/>
        <v>50</v>
      </c>
      <c r="BY470" s="658">
        <f t="shared" si="250"/>
        <v>60</v>
      </c>
      <c r="BZ470" s="658">
        <f t="shared" si="251"/>
        <v>60</v>
      </c>
      <c r="CA470" s="658">
        <f t="shared" si="252"/>
        <v>50</v>
      </c>
      <c r="CB470" s="644">
        <f t="shared" si="221"/>
        <v>220</v>
      </c>
      <c r="CC470" s="658">
        <f t="shared" si="253"/>
        <v>20</v>
      </c>
      <c r="CD470" s="644">
        <f t="shared" si="229"/>
        <v>220</v>
      </c>
      <c r="CE470" s="644">
        <f t="shared" si="231"/>
        <v>0</v>
      </c>
    </row>
    <row r="471" s="338" customFormat="1" ht="40" customHeight="1" spans="1:83">
      <c r="A471" s="632">
        <v>45876</v>
      </c>
      <c r="B471" s="633" t="s">
        <v>1884</v>
      </c>
      <c r="C471" s="634" t="s">
        <v>214</v>
      </c>
      <c r="D471" s="635">
        <v>4500176193</v>
      </c>
      <c r="E471" s="659">
        <v>70072790</v>
      </c>
      <c r="F471" s="635" t="s">
        <v>2189</v>
      </c>
      <c r="G471" s="637" t="s">
        <v>111</v>
      </c>
      <c r="H471" s="637" t="s">
        <v>99</v>
      </c>
      <c r="I471" s="638">
        <v>616</v>
      </c>
      <c r="J471" s="638">
        <v>0</v>
      </c>
      <c r="K471" s="639">
        <v>22</v>
      </c>
      <c r="L471" s="639">
        <f t="shared" si="230"/>
        <v>28</v>
      </c>
      <c r="M471" s="641">
        <v>45943</v>
      </c>
      <c r="N471" s="641">
        <v>45939</v>
      </c>
      <c r="O471" s="641"/>
      <c r="P471" s="642" t="s">
        <v>100</v>
      </c>
      <c r="Q471" s="643" t="s">
        <v>2190</v>
      </c>
      <c r="R471" s="642" t="s">
        <v>2191</v>
      </c>
      <c r="S471" s="641"/>
      <c r="T471" s="641"/>
      <c r="U471" s="642" t="s">
        <v>113</v>
      </c>
      <c r="V471" s="642" t="s">
        <v>2135</v>
      </c>
      <c r="W471" s="645"/>
      <c r="X471" s="647" t="s">
        <v>1834</v>
      </c>
      <c r="Y471" s="646" t="s">
        <v>220</v>
      </c>
      <c r="Z471" s="683">
        <v>1.6387</v>
      </c>
      <c r="AA471" s="650">
        <f t="shared" si="246"/>
        <v>1009.4392</v>
      </c>
      <c r="AB471" s="649">
        <v>616</v>
      </c>
      <c r="AC471" s="649">
        <f t="shared" si="228"/>
        <v>0</v>
      </c>
      <c r="AD471" s="707" t="s">
        <v>106</v>
      </c>
      <c r="AE471" s="637" t="s">
        <v>111</v>
      </c>
      <c r="AF471" s="646" t="s">
        <v>107</v>
      </c>
      <c r="AG471" s="652" t="s">
        <v>43</v>
      </c>
      <c r="AH471" s="646" t="s">
        <v>2192</v>
      </c>
      <c r="AI471" s="696"/>
      <c r="AJ471" s="696"/>
      <c r="AK471" s="696"/>
      <c r="AL471" s="649">
        <f t="shared" si="247"/>
        <v>616</v>
      </c>
      <c r="AM471" s="649"/>
      <c r="AN471" s="696"/>
      <c r="AO471" s="649"/>
      <c r="AP471" s="649"/>
      <c r="AQ471" s="653"/>
      <c r="AR471" s="696"/>
      <c r="AS471" s="696"/>
      <c r="AT471" s="649">
        <f t="shared" si="248"/>
        <v>616</v>
      </c>
      <c r="AU471" s="649"/>
      <c r="AV471" s="654"/>
      <c r="AW471" s="697"/>
      <c r="AX471" s="652">
        <f>I471/11</f>
        <v>56</v>
      </c>
      <c r="AY471" s="652"/>
      <c r="AZ471" s="697"/>
      <c r="BA471" s="652"/>
      <c r="BB471" s="652"/>
      <c r="BC471" s="697"/>
      <c r="BD471" s="697"/>
      <c r="BE471" s="654"/>
      <c r="BF471" s="697"/>
      <c r="BG471" s="652"/>
      <c r="BH471" s="652"/>
      <c r="BI471" s="697"/>
      <c r="BJ471" s="697"/>
      <c r="BK471" s="654"/>
      <c r="BL471" s="654"/>
      <c r="BM471" s="654"/>
      <c r="BN471" s="654"/>
      <c r="BO471" s="654"/>
      <c r="BP471" s="697"/>
      <c r="BQ471" s="654"/>
      <c r="BR471" s="697"/>
      <c r="BS471" s="654"/>
      <c r="BT471" s="654"/>
      <c r="BU471" s="654"/>
      <c r="BV471" s="654"/>
      <c r="BW471" s="645" t="s">
        <v>109</v>
      </c>
      <c r="BX471" s="658">
        <f t="shared" si="249"/>
        <v>140</v>
      </c>
      <c r="BY471" s="658">
        <f t="shared" si="250"/>
        <v>168</v>
      </c>
      <c r="BZ471" s="658">
        <f t="shared" si="251"/>
        <v>168</v>
      </c>
      <c r="CA471" s="658">
        <f t="shared" si="252"/>
        <v>140</v>
      </c>
      <c r="CB471" s="644">
        <f t="shared" si="221"/>
        <v>616</v>
      </c>
      <c r="CC471" s="658">
        <f t="shared" si="253"/>
        <v>56</v>
      </c>
      <c r="CD471" s="644">
        <f t="shared" si="229"/>
        <v>616</v>
      </c>
      <c r="CE471" s="644">
        <f t="shared" si="231"/>
        <v>0</v>
      </c>
    </row>
    <row r="472" s="338" customFormat="1" ht="40" customHeight="1" spans="1:83">
      <c r="A472" s="632">
        <v>45902</v>
      </c>
      <c r="B472" s="633" t="s">
        <v>1836</v>
      </c>
      <c r="C472" s="634" t="s">
        <v>214</v>
      </c>
      <c r="D472" s="635">
        <v>4500177678</v>
      </c>
      <c r="E472" s="659" t="s">
        <v>2193</v>
      </c>
      <c r="F472" s="635" t="s">
        <v>2194</v>
      </c>
      <c r="G472" s="637" t="s">
        <v>241</v>
      </c>
      <c r="H472" s="637" t="s">
        <v>99</v>
      </c>
      <c r="I472" s="638">
        <v>1056</v>
      </c>
      <c r="J472" s="638">
        <v>0</v>
      </c>
      <c r="K472" s="639">
        <v>11</v>
      </c>
      <c r="L472" s="639">
        <f t="shared" si="230"/>
        <v>96</v>
      </c>
      <c r="M472" s="641">
        <v>45943</v>
      </c>
      <c r="N472" s="641">
        <v>45939</v>
      </c>
      <c r="O472" s="641"/>
      <c r="P472" s="642" t="s">
        <v>100</v>
      </c>
      <c r="Q472" s="643" t="s">
        <v>2195</v>
      </c>
      <c r="R472" s="642" t="s">
        <v>2196</v>
      </c>
      <c r="S472" s="641"/>
      <c r="T472" s="641"/>
      <c r="U472" s="642" t="s">
        <v>113</v>
      </c>
      <c r="V472" s="642"/>
      <c r="W472" s="645"/>
      <c r="X472" s="647" t="s">
        <v>2197</v>
      </c>
      <c r="Y472" s="646" t="s">
        <v>289</v>
      </c>
      <c r="Z472" s="683">
        <v>1.6261</v>
      </c>
      <c r="AA472" s="650">
        <f t="shared" ref="AA472:AA481" si="254">I472*Z472</f>
        <v>1717.1616</v>
      </c>
      <c r="AB472" s="649">
        <v>1056</v>
      </c>
      <c r="AC472" s="649">
        <f t="shared" si="228"/>
        <v>0</v>
      </c>
      <c r="AD472" s="650" t="s">
        <v>113</v>
      </c>
      <c r="AE472" s="637" t="s">
        <v>241</v>
      </c>
      <c r="AF472" s="646" t="s">
        <v>107</v>
      </c>
      <c r="AG472" s="652" t="s">
        <v>43</v>
      </c>
      <c r="AH472" s="646" t="s">
        <v>2198</v>
      </c>
      <c r="AI472" s="696"/>
      <c r="AJ472" s="696"/>
      <c r="AK472" s="696"/>
      <c r="AL472" s="649">
        <f t="shared" si="247"/>
        <v>1056</v>
      </c>
      <c r="AM472" s="649"/>
      <c r="AN472" s="696"/>
      <c r="AO472" s="649"/>
      <c r="AP472" s="649"/>
      <c r="AQ472" s="653"/>
      <c r="AR472" s="696"/>
      <c r="AS472" s="696"/>
      <c r="AT472" s="649">
        <f t="shared" si="248"/>
        <v>1056</v>
      </c>
      <c r="AU472" s="649"/>
      <c r="AV472" s="654"/>
      <c r="AW472" s="697"/>
      <c r="AX472" s="652">
        <f>I472/11</f>
        <v>96</v>
      </c>
      <c r="AY472" s="652"/>
      <c r="AZ472" s="697"/>
      <c r="BA472" s="652"/>
      <c r="BB472" s="652"/>
      <c r="BC472" s="697"/>
      <c r="BD472" s="697"/>
      <c r="BE472" s="654"/>
      <c r="BF472" s="697"/>
      <c r="BG472" s="652"/>
      <c r="BH472" s="652"/>
      <c r="BI472" s="697"/>
      <c r="BJ472" s="697"/>
      <c r="BK472" s="654"/>
      <c r="BL472" s="654"/>
      <c r="BM472" s="654"/>
      <c r="BN472" s="654"/>
      <c r="BO472" s="654"/>
      <c r="BP472" s="697"/>
      <c r="BQ472" s="654"/>
      <c r="BR472" s="697"/>
      <c r="BS472" s="652"/>
      <c r="BT472" s="654"/>
      <c r="BU472" s="654"/>
      <c r="BV472" s="654"/>
      <c r="BW472" s="645" t="s">
        <v>109</v>
      </c>
      <c r="BX472" s="658">
        <f t="shared" si="249"/>
        <v>240</v>
      </c>
      <c r="BY472" s="658">
        <f t="shared" si="250"/>
        <v>288</v>
      </c>
      <c r="BZ472" s="658">
        <f t="shared" si="251"/>
        <v>288</v>
      </c>
      <c r="CA472" s="658">
        <f t="shared" si="252"/>
        <v>240</v>
      </c>
      <c r="CB472" s="644">
        <f t="shared" ref="CB472:CB479" si="255">I472</f>
        <v>1056</v>
      </c>
      <c r="CC472" s="658">
        <f t="shared" si="253"/>
        <v>96</v>
      </c>
      <c r="CD472" s="644">
        <f t="shared" si="229"/>
        <v>1056</v>
      </c>
      <c r="CE472" s="644">
        <f t="shared" si="231"/>
        <v>0</v>
      </c>
    </row>
    <row r="473" s="338" customFormat="1" ht="40" customHeight="1" spans="1:83">
      <c r="A473" s="632">
        <v>45862</v>
      </c>
      <c r="B473" s="633" t="s">
        <v>973</v>
      </c>
      <c r="C473" s="634" t="s">
        <v>214</v>
      </c>
      <c r="D473" s="635">
        <v>4500174743</v>
      </c>
      <c r="E473" s="659">
        <v>60236793</v>
      </c>
      <c r="F473" s="635" t="s">
        <v>2199</v>
      </c>
      <c r="G473" s="637" t="s">
        <v>1830</v>
      </c>
      <c r="H473" s="637" t="s">
        <v>1831</v>
      </c>
      <c r="I473" s="638">
        <v>2000</v>
      </c>
      <c r="J473" s="638">
        <v>0</v>
      </c>
      <c r="K473" s="639">
        <v>16</v>
      </c>
      <c r="L473" s="639">
        <f t="shared" si="230"/>
        <v>125</v>
      </c>
      <c r="M473" s="641">
        <v>45946</v>
      </c>
      <c r="N473" s="641">
        <v>45943</v>
      </c>
      <c r="O473" s="641"/>
      <c r="P473" s="642" t="s">
        <v>100</v>
      </c>
      <c r="Q473" s="643" t="s">
        <v>2190</v>
      </c>
      <c r="R473" s="642" t="s">
        <v>2048</v>
      </c>
      <c r="S473" s="641"/>
      <c r="T473" s="641"/>
      <c r="U473" s="642" t="s">
        <v>113</v>
      </c>
      <c r="V473" s="642" t="s">
        <v>2200</v>
      </c>
      <c r="W473" s="645"/>
      <c r="X473" s="647" t="s">
        <v>1834</v>
      </c>
      <c r="Y473" s="646" t="s">
        <v>979</v>
      </c>
      <c r="Z473" s="683">
        <v>1.5</v>
      </c>
      <c r="AA473" s="650">
        <f t="shared" si="254"/>
        <v>3000</v>
      </c>
      <c r="AB473" s="649">
        <v>2000</v>
      </c>
      <c r="AC473" s="649">
        <f t="shared" si="228"/>
        <v>0</v>
      </c>
      <c r="AD473" s="704" t="s">
        <v>106</v>
      </c>
      <c r="AE473" s="637" t="s">
        <v>1830</v>
      </c>
      <c r="AF473" s="646" t="s">
        <v>107</v>
      </c>
      <c r="AG473" s="652" t="s">
        <v>43</v>
      </c>
      <c r="AH473" s="646" t="s">
        <v>2201</v>
      </c>
      <c r="AI473" s="705"/>
      <c r="AJ473" s="705"/>
      <c r="AK473" s="705"/>
      <c r="AL473" s="649">
        <f>I473*2</f>
        <v>4000</v>
      </c>
      <c r="AM473" s="649"/>
      <c r="AN473" s="705"/>
      <c r="AO473" s="649"/>
      <c r="AP473" s="649"/>
      <c r="AQ473" s="653"/>
      <c r="AR473" s="705"/>
      <c r="AS473" s="705"/>
      <c r="AT473" s="649">
        <f>I473*2</f>
        <v>4000</v>
      </c>
      <c r="AU473" s="649"/>
      <c r="AV473" s="654"/>
      <c r="AW473" s="706"/>
      <c r="AX473" s="652"/>
      <c r="AY473" s="652"/>
      <c r="AZ473" s="706"/>
      <c r="BA473" s="652"/>
      <c r="BB473" s="652"/>
      <c r="BC473" s="706"/>
      <c r="BD473" s="706"/>
      <c r="BE473" s="654"/>
      <c r="BF473" s="706"/>
      <c r="BG473" s="652"/>
      <c r="BH473" s="652"/>
      <c r="BI473" s="706"/>
      <c r="BJ473" s="706"/>
      <c r="BK473" s="654"/>
      <c r="BL473" s="654"/>
      <c r="BM473" s="654"/>
      <c r="BN473" s="654"/>
      <c r="BO473" s="654"/>
      <c r="BP473" s="706"/>
      <c r="BQ473" s="654"/>
      <c r="BR473" s="706"/>
      <c r="BS473" s="654"/>
      <c r="BT473" s="654"/>
      <c r="BU473" s="654"/>
      <c r="BV473" s="654"/>
      <c r="BW473" s="645" t="s">
        <v>109</v>
      </c>
      <c r="BX473" s="658">
        <f>I473/4*2</f>
        <v>1000</v>
      </c>
      <c r="BY473" s="658">
        <f>I473/4*2</f>
        <v>1000</v>
      </c>
      <c r="BZ473" s="658">
        <f>I473/4*2</f>
        <v>1000</v>
      </c>
      <c r="CA473" s="658">
        <f>I473/4*2</f>
        <v>1000</v>
      </c>
      <c r="CB473" s="644">
        <f t="shared" si="255"/>
        <v>2000</v>
      </c>
      <c r="CC473" s="658"/>
      <c r="CD473" s="644">
        <f t="shared" si="229"/>
        <v>4000</v>
      </c>
      <c r="CE473" s="644">
        <f t="shared" si="231"/>
        <v>-2000</v>
      </c>
    </row>
    <row r="474" s="338" customFormat="1" ht="40" customHeight="1" spans="1:83">
      <c r="A474" s="632">
        <v>45902</v>
      </c>
      <c r="B474" s="633" t="s">
        <v>754</v>
      </c>
      <c r="C474" s="634" t="s">
        <v>205</v>
      </c>
      <c r="D474" s="635">
        <v>4500178496</v>
      </c>
      <c r="E474" s="666">
        <v>2508001996681</v>
      </c>
      <c r="F474" s="635" t="s">
        <v>2202</v>
      </c>
      <c r="G474" s="637" t="s">
        <v>111</v>
      </c>
      <c r="H474" s="637" t="s">
        <v>99</v>
      </c>
      <c r="I474" s="638">
        <v>1540</v>
      </c>
      <c r="J474" s="638">
        <v>0</v>
      </c>
      <c r="K474" s="639">
        <v>22</v>
      </c>
      <c r="L474" s="639">
        <f t="shared" si="230"/>
        <v>70</v>
      </c>
      <c r="M474" s="641">
        <v>45945</v>
      </c>
      <c r="N474" s="641">
        <v>45943</v>
      </c>
      <c r="O474" s="641"/>
      <c r="P474" s="642" t="s">
        <v>100</v>
      </c>
      <c r="Q474" s="643" t="s">
        <v>2044</v>
      </c>
      <c r="R474" s="642" t="s">
        <v>2203</v>
      </c>
      <c r="S474" s="641"/>
      <c r="T474" s="641"/>
      <c r="U474" s="642" t="s">
        <v>2204</v>
      </c>
      <c r="V474" s="642"/>
      <c r="W474" s="645"/>
      <c r="X474" s="647" t="s">
        <v>2205</v>
      </c>
      <c r="Y474" s="646" t="s">
        <v>105</v>
      </c>
      <c r="Z474" s="683">
        <v>2.7152</v>
      </c>
      <c r="AA474" s="650">
        <f t="shared" si="254"/>
        <v>4181.408</v>
      </c>
      <c r="AB474" s="649">
        <v>1540</v>
      </c>
      <c r="AC474" s="649">
        <f t="shared" si="228"/>
        <v>0</v>
      </c>
      <c r="AD474" s="650" t="s">
        <v>123</v>
      </c>
      <c r="AE474" s="637" t="s">
        <v>111</v>
      </c>
      <c r="AF474" s="646" t="s">
        <v>107</v>
      </c>
      <c r="AG474" s="652" t="s">
        <v>43</v>
      </c>
      <c r="AH474" s="646"/>
      <c r="AI474" s="705"/>
      <c r="AJ474" s="705"/>
      <c r="AK474" s="705"/>
      <c r="AL474" s="649">
        <f>I474</f>
        <v>1540</v>
      </c>
      <c r="AM474" s="649"/>
      <c r="AN474" s="705"/>
      <c r="AO474" s="649"/>
      <c r="AP474" s="649"/>
      <c r="AQ474" s="653"/>
      <c r="AR474" s="705"/>
      <c r="AS474" s="705"/>
      <c r="AT474" s="649">
        <f>I474</f>
        <v>1540</v>
      </c>
      <c r="AU474" s="649"/>
      <c r="AV474" s="654"/>
      <c r="AW474" s="706"/>
      <c r="AX474" s="652">
        <f>I474/11</f>
        <v>140</v>
      </c>
      <c r="AY474" s="652"/>
      <c r="AZ474" s="706"/>
      <c r="BA474" s="652"/>
      <c r="BB474" s="652"/>
      <c r="BC474" s="706"/>
      <c r="BD474" s="706"/>
      <c r="BE474" s="654"/>
      <c r="BF474" s="706"/>
      <c r="BG474" s="652"/>
      <c r="BH474" s="652"/>
      <c r="BI474" s="706"/>
      <c r="BJ474" s="706"/>
      <c r="BK474" s="654"/>
      <c r="BL474" s="654"/>
      <c r="BM474" s="654"/>
      <c r="BN474" s="654"/>
      <c r="BO474" s="654"/>
      <c r="BP474" s="706"/>
      <c r="BQ474" s="654"/>
      <c r="BR474" s="706"/>
      <c r="BS474" s="652"/>
      <c r="BT474" s="654"/>
      <c r="BU474" s="654"/>
      <c r="BV474" s="654"/>
      <c r="BW474" s="645" t="s">
        <v>109</v>
      </c>
      <c r="BX474" s="658">
        <f>I474/22*5</f>
        <v>350</v>
      </c>
      <c r="BY474" s="658">
        <f>I474/22*6</f>
        <v>420</v>
      </c>
      <c r="BZ474" s="658">
        <f>I474/22*6</f>
        <v>420</v>
      </c>
      <c r="CA474" s="658">
        <f>I474/22*5</f>
        <v>350</v>
      </c>
      <c r="CB474" s="644">
        <f t="shared" si="255"/>
        <v>1540</v>
      </c>
      <c r="CC474" s="658">
        <f>I474/11</f>
        <v>140</v>
      </c>
      <c r="CD474" s="644">
        <f t="shared" si="229"/>
        <v>1540</v>
      </c>
      <c r="CE474" s="644">
        <f t="shared" si="231"/>
        <v>0</v>
      </c>
    </row>
    <row r="475" s="338" customFormat="1" ht="40" customHeight="1" spans="1:83">
      <c r="A475" s="632">
        <v>45853</v>
      </c>
      <c r="B475" s="633" t="s">
        <v>973</v>
      </c>
      <c r="C475" s="634" t="s">
        <v>214</v>
      </c>
      <c r="D475" s="635">
        <v>4500173979</v>
      </c>
      <c r="E475" s="659">
        <v>60236832</v>
      </c>
      <c r="F475" s="636" t="s">
        <v>2206</v>
      </c>
      <c r="G475" s="637" t="s">
        <v>1830</v>
      </c>
      <c r="H475" s="637" t="s">
        <v>1831</v>
      </c>
      <c r="I475" s="638">
        <v>1504</v>
      </c>
      <c r="J475" s="638">
        <v>0</v>
      </c>
      <c r="K475" s="639">
        <v>16</v>
      </c>
      <c r="L475" s="639">
        <f t="shared" si="230"/>
        <v>94</v>
      </c>
      <c r="M475" s="641">
        <v>45946</v>
      </c>
      <c r="N475" s="641">
        <v>45943</v>
      </c>
      <c r="O475" s="641"/>
      <c r="P475" s="642" t="s">
        <v>100</v>
      </c>
      <c r="Q475" s="643" t="s">
        <v>2190</v>
      </c>
      <c r="R475" s="642" t="s">
        <v>2048</v>
      </c>
      <c r="S475" s="641"/>
      <c r="T475" s="641"/>
      <c r="U475" s="642" t="s">
        <v>113</v>
      </c>
      <c r="V475" s="642" t="s">
        <v>2200</v>
      </c>
      <c r="W475" s="645"/>
      <c r="X475" s="647" t="s">
        <v>1834</v>
      </c>
      <c r="Y475" s="646" t="s">
        <v>979</v>
      </c>
      <c r="Z475" s="683">
        <v>1.5</v>
      </c>
      <c r="AA475" s="650">
        <f t="shared" si="254"/>
        <v>2256</v>
      </c>
      <c r="AB475" s="649">
        <f>1504+1376</f>
        <v>2880</v>
      </c>
      <c r="AC475" s="649">
        <f t="shared" si="228"/>
        <v>1376</v>
      </c>
      <c r="AD475" s="704" t="s">
        <v>106</v>
      </c>
      <c r="AE475" s="637" t="s">
        <v>1830</v>
      </c>
      <c r="AF475" s="646" t="s">
        <v>107</v>
      </c>
      <c r="AG475" s="652" t="s">
        <v>43</v>
      </c>
      <c r="AH475" s="646" t="s">
        <v>2207</v>
      </c>
      <c r="AI475" s="705"/>
      <c r="AJ475" s="705"/>
      <c r="AK475" s="705"/>
      <c r="AL475" s="649">
        <f>I475*2</f>
        <v>3008</v>
      </c>
      <c r="AM475" s="649"/>
      <c r="AN475" s="705"/>
      <c r="AO475" s="649"/>
      <c r="AP475" s="649"/>
      <c r="AQ475" s="653"/>
      <c r="AR475" s="705"/>
      <c r="AS475" s="705"/>
      <c r="AT475" s="649">
        <f>I475*2</f>
        <v>3008</v>
      </c>
      <c r="AU475" s="649"/>
      <c r="AV475" s="654"/>
      <c r="AW475" s="706"/>
      <c r="AX475" s="652"/>
      <c r="AY475" s="652"/>
      <c r="AZ475" s="706"/>
      <c r="BA475" s="652"/>
      <c r="BB475" s="652"/>
      <c r="BC475" s="706"/>
      <c r="BD475" s="706"/>
      <c r="BE475" s="654"/>
      <c r="BF475" s="706"/>
      <c r="BG475" s="652"/>
      <c r="BH475" s="652"/>
      <c r="BI475" s="706"/>
      <c r="BJ475" s="706"/>
      <c r="BK475" s="654"/>
      <c r="BL475" s="654"/>
      <c r="BM475" s="654"/>
      <c r="BN475" s="654"/>
      <c r="BO475" s="654"/>
      <c r="BP475" s="706"/>
      <c r="BQ475" s="654"/>
      <c r="BR475" s="706"/>
      <c r="BS475" s="654"/>
      <c r="BT475" s="654"/>
      <c r="BU475" s="654"/>
      <c r="BV475" s="654"/>
      <c r="BW475" s="645" t="s">
        <v>109</v>
      </c>
      <c r="BX475" s="658">
        <f>I475/4*2</f>
        <v>752</v>
      </c>
      <c r="BY475" s="658">
        <f>I475/4*2</f>
        <v>752</v>
      </c>
      <c r="BZ475" s="658">
        <f>I475/4*2</f>
        <v>752</v>
      </c>
      <c r="CA475" s="658">
        <f>I475/4*2</f>
        <v>752</v>
      </c>
      <c r="CB475" s="644">
        <f t="shared" si="255"/>
        <v>1504</v>
      </c>
      <c r="CC475" s="658"/>
      <c r="CD475" s="644">
        <f t="shared" si="229"/>
        <v>3008</v>
      </c>
      <c r="CE475" s="644">
        <f t="shared" si="231"/>
        <v>-1504</v>
      </c>
    </row>
    <row r="476" s="338" customFormat="1" ht="40" customHeight="1" spans="1:83">
      <c r="A476" s="632">
        <v>45903</v>
      </c>
      <c r="B476" s="633" t="s">
        <v>2065</v>
      </c>
      <c r="C476" s="634" t="s">
        <v>1350</v>
      </c>
      <c r="D476" s="635">
        <v>4500178685</v>
      </c>
      <c r="E476" s="659" t="s">
        <v>2208</v>
      </c>
      <c r="F476" s="635" t="s">
        <v>2209</v>
      </c>
      <c r="G476" s="637" t="s">
        <v>111</v>
      </c>
      <c r="H476" s="637" t="s">
        <v>99</v>
      </c>
      <c r="I476" s="638">
        <v>1100</v>
      </c>
      <c r="J476" s="638">
        <v>0</v>
      </c>
      <c r="K476" s="639">
        <v>22</v>
      </c>
      <c r="L476" s="639">
        <f t="shared" si="230"/>
        <v>50</v>
      </c>
      <c r="M476" s="641">
        <v>45950</v>
      </c>
      <c r="N476" s="641">
        <v>45946</v>
      </c>
      <c r="O476" s="641"/>
      <c r="P476" s="642" t="s">
        <v>100</v>
      </c>
      <c r="Q476" s="643" t="s">
        <v>2210</v>
      </c>
      <c r="R476" s="642" t="s">
        <v>2191</v>
      </c>
      <c r="S476" s="641"/>
      <c r="T476" s="641"/>
      <c r="U476" s="642" t="s">
        <v>113</v>
      </c>
      <c r="V476" s="642"/>
      <c r="W476" s="645"/>
      <c r="X476" s="647" t="s">
        <v>1935</v>
      </c>
      <c r="Y476" s="646" t="s">
        <v>2070</v>
      </c>
      <c r="Z476" s="683">
        <v>2.6806</v>
      </c>
      <c r="AA476" s="650">
        <f t="shared" si="254"/>
        <v>2948.66</v>
      </c>
      <c r="AB476" s="649">
        <v>1100</v>
      </c>
      <c r="AC476" s="649">
        <f t="shared" si="228"/>
        <v>0</v>
      </c>
      <c r="AD476" s="650" t="s">
        <v>113</v>
      </c>
      <c r="AE476" s="637" t="s">
        <v>111</v>
      </c>
      <c r="AF476" s="646" t="s">
        <v>107</v>
      </c>
      <c r="AG476" s="652" t="s">
        <v>43</v>
      </c>
      <c r="AH476" s="646"/>
      <c r="AI476" s="705"/>
      <c r="AJ476" s="705"/>
      <c r="AK476" s="705"/>
      <c r="AL476" s="649">
        <f>I476</f>
        <v>1100</v>
      </c>
      <c r="AM476" s="649"/>
      <c r="AN476" s="705"/>
      <c r="AO476" s="649"/>
      <c r="AP476" s="649"/>
      <c r="AQ476" s="653"/>
      <c r="AR476" s="705"/>
      <c r="AS476" s="705"/>
      <c r="AT476" s="649">
        <f>I476</f>
        <v>1100</v>
      </c>
      <c r="AU476" s="649"/>
      <c r="AV476" s="654"/>
      <c r="AW476" s="706"/>
      <c r="AX476" s="652">
        <f>I476/11</f>
        <v>100</v>
      </c>
      <c r="AY476" s="652"/>
      <c r="AZ476" s="706"/>
      <c r="BA476" s="652"/>
      <c r="BB476" s="652"/>
      <c r="BC476" s="706"/>
      <c r="BD476" s="706"/>
      <c r="BE476" s="654"/>
      <c r="BF476" s="706"/>
      <c r="BG476" s="652"/>
      <c r="BH476" s="652"/>
      <c r="BI476" s="706"/>
      <c r="BJ476" s="706"/>
      <c r="BK476" s="654"/>
      <c r="BL476" s="654"/>
      <c r="BM476" s="654"/>
      <c r="BN476" s="654"/>
      <c r="BO476" s="654"/>
      <c r="BP476" s="706"/>
      <c r="BQ476" s="654"/>
      <c r="BR476" s="706"/>
      <c r="BS476" s="652"/>
      <c r="BT476" s="654"/>
      <c r="BU476" s="654"/>
      <c r="BV476" s="654"/>
      <c r="BW476" s="645" t="s">
        <v>109</v>
      </c>
      <c r="BX476" s="658">
        <f>I476/22*5</f>
        <v>250</v>
      </c>
      <c r="BY476" s="658">
        <f>I476/22*6</f>
        <v>300</v>
      </c>
      <c r="BZ476" s="658">
        <f>I476/22*6</f>
        <v>300</v>
      </c>
      <c r="CA476" s="658">
        <f>I476/22*5</f>
        <v>250</v>
      </c>
      <c r="CB476" s="644">
        <f t="shared" si="255"/>
        <v>1100</v>
      </c>
      <c r="CC476" s="658">
        <f>I476/11</f>
        <v>100</v>
      </c>
      <c r="CD476" s="644">
        <f t="shared" si="229"/>
        <v>1100</v>
      </c>
      <c r="CE476" s="644">
        <f t="shared" si="231"/>
        <v>0</v>
      </c>
    </row>
    <row r="477" s="338" customFormat="1" ht="40" customHeight="1" spans="1:83">
      <c r="A477" s="632">
        <v>45912</v>
      </c>
      <c r="B477" s="633" t="s">
        <v>357</v>
      </c>
      <c r="C477" s="634" t="s">
        <v>214</v>
      </c>
      <c r="D477" s="635">
        <v>4500179366</v>
      </c>
      <c r="E477" s="659" t="s">
        <v>2211</v>
      </c>
      <c r="F477" s="635" t="s">
        <v>2212</v>
      </c>
      <c r="G477" s="637" t="s">
        <v>111</v>
      </c>
      <c r="H477" s="637" t="s">
        <v>99</v>
      </c>
      <c r="I477" s="638">
        <v>1430</v>
      </c>
      <c r="J477" s="638">
        <v>0</v>
      </c>
      <c r="K477" s="639">
        <v>22</v>
      </c>
      <c r="L477" s="639">
        <f t="shared" si="230"/>
        <v>65</v>
      </c>
      <c r="M477" s="641">
        <v>45953</v>
      </c>
      <c r="N477" s="641">
        <v>45950</v>
      </c>
      <c r="O477" s="641"/>
      <c r="P477" s="642" t="s">
        <v>100</v>
      </c>
      <c r="Q477" s="643" t="s">
        <v>2213</v>
      </c>
      <c r="R477" s="642" t="s">
        <v>2214</v>
      </c>
      <c r="S477" s="641"/>
      <c r="T477" s="641"/>
      <c r="U477" s="642" t="s">
        <v>113</v>
      </c>
      <c r="V477" s="642"/>
      <c r="W477" s="645"/>
      <c r="X477" s="647" t="s">
        <v>2215</v>
      </c>
      <c r="Y477" s="646" t="s">
        <v>2096</v>
      </c>
      <c r="Z477" s="683">
        <v>1.6291</v>
      </c>
      <c r="AA477" s="650">
        <f t="shared" si="254"/>
        <v>2329.613</v>
      </c>
      <c r="AB477" s="710">
        <v>1430</v>
      </c>
      <c r="AC477" s="649">
        <f t="shared" si="228"/>
        <v>0</v>
      </c>
      <c r="AD477" s="650" t="s">
        <v>113</v>
      </c>
      <c r="AE477" s="637" t="s">
        <v>111</v>
      </c>
      <c r="AF477" s="646" t="s">
        <v>107</v>
      </c>
      <c r="AG477" s="652" t="s">
        <v>43</v>
      </c>
      <c r="AH477" s="646" t="s">
        <v>2216</v>
      </c>
      <c r="AI477" s="708"/>
      <c r="AJ477" s="708"/>
      <c r="AK477" s="708"/>
      <c r="AL477" s="649">
        <f>I477</f>
        <v>1430</v>
      </c>
      <c r="AM477" s="649"/>
      <c r="AN477" s="708"/>
      <c r="AO477" s="649"/>
      <c r="AP477" s="649"/>
      <c r="AQ477" s="653"/>
      <c r="AR477" s="708"/>
      <c r="AS477" s="708"/>
      <c r="AT477" s="649">
        <f>I477</f>
        <v>1430</v>
      </c>
      <c r="AU477" s="649"/>
      <c r="AV477" s="654"/>
      <c r="AW477" s="709"/>
      <c r="AX477" s="652">
        <f>I477/11</f>
        <v>130</v>
      </c>
      <c r="AY477" s="652"/>
      <c r="AZ477" s="709"/>
      <c r="BA477" s="652"/>
      <c r="BB477" s="652"/>
      <c r="BC477" s="709"/>
      <c r="BD477" s="709"/>
      <c r="BE477" s="654"/>
      <c r="BF477" s="709"/>
      <c r="BG477" s="652"/>
      <c r="BH477" s="652"/>
      <c r="BI477" s="709"/>
      <c r="BJ477" s="709"/>
      <c r="BK477" s="654"/>
      <c r="BL477" s="654"/>
      <c r="BM477" s="654"/>
      <c r="BN477" s="654"/>
      <c r="BO477" s="654"/>
      <c r="BP477" s="709"/>
      <c r="BQ477" s="654"/>
      <c r="BR477" s="709"/>
      <c r="BS477" s="652"/>
      <c r="BT477" s="654"/>
      <c r="BU477" s="654"/>
      <c r="BV477" s="654"/>
      <c r="BW477" s="645" t="s">
        <v>109</v>
      </c>
      <c r="BX477" s="658">
        <f>I477/22*5</f>
        <v>325</v>
      </c>
      <c r="BY477" s="658">
        <f>I477/22*6</f>
        <v>390</v>
      </c>
      <c r="BZ477" s="658">
        <f>I477/22*6</f>
        <v>390</v>
      </c>
      <c r="CA477" s="658">
        <f>I477/22*5</f>
        <v>325</v>
      </c>
      <c r="CB477" s="644">
        <f t="shared" si="255"/>
        <v>1430</v>
      </c>
      <c r="CC477" s="658">
        <f>I477/11</f>
        <v>130</v>
      </c>
      <c r="CD477" s="644">
        <f t="shared" si="229"/>
        <v>1430</v>
      </c>
      <c r="CE477" s="644">
        <f t="shared" si="231"/>
        <v>0</v>
      </c>
    </row>
    <row r="478" s="338" customFormat="1" ht="40" customHeight="1" spans="1:83">
      <c r="A478" s="632">
        <v>45918</v>
      </c>
      <c r="B478" s="633" t="s">
        <v>1865</v>
      </c>
      <c r="C478" s="634" t="s">
        <v>214</v>
      </c>
      <c r="D478" s="635">
        <v>4500179747</v>
      </c>
      <c r="E478" s="659" t="s">
        <v>2217</v>
      </c>
      <c r="F478" s="635" t="s">
        <v>2218</v>
      </c>
      <c r="G478" s="637" t="s">
        <v>98</v>
      </c>
      <c r="H478" s="637" t="s">
        <v>99</v>
      </c>
      <c r="I478" s="638">
        <v>1200</v>
      </c>
      <c r="J478" s="638">
        <v>0</v>
      </c>
      <c r="K478" s="639">
        <v>24</v>
      </c>
      <c r="L478" s="639">
        <f t="shared" si="230"/>
        <v>50</v>
      </c>
      <c r="M478" s="641">
        <v>45958</v>
      </c>
      <c r="N478" s="641">
        <v>45954</v>
      </c>
      <c r="O478" s="641"/>
      <c r="P478" s="642" t="s">
        <v>100</v>
      </c>
      <c r="Q478" s="643" t="s">
        <v>2210</v>
      </c>
      <c r="R478" s="642" t="s">
        <v>2219</v>
      </c>
      <c r="S478" s="641"/>
      <c r="T478" s="641"/>
      <c r="U478" s="642" t="s">
        <v>2220</v>
      </c>
      <c r="V478" s="642"/>
      <c r="W478" s="645"/>
      <c r="X478" s="647" t="s">
        <v>1870</v>
      </c>
      <c r="Y478" s="646" t="s">
        <v>1871</v>
      </c>
      <c r="Z478" s="648">
        <v>1.4986</v>
      </c>
      <c r="AA478" s="650">
        <f t="shared" si="254"/>
        <v>1798.32</v>
      </c>
      <c r="AB478" s="649">
        <v>1200</v>
      </c>
      <c r="AC478" s="649">
        <f t="shared" si="228"/>
        <v>0</v>
      </c>
      <c r="AD478" s="650" t="s">
        <v>123</v>
      </c>
      <c r="AE478" s="637" t="s">
        <v>98</v>
      </c>
      <c r="AF478" s="646" t="s">
        <v>107</v>
      </c>
      <c r="AG478" s="652" t="s">
        <v>43</v>
      </c>
      <c r="AH478" s="646" t="s">
        <v>2221</v>
      </c>
      <c r="AI478" s="708"/>
      <c r="AJ478" s="708"/>
      <c r="AK478" s="708"/>
      <c r="AL478" s="649">
        <f>I478</f>
        <v>1200</v>
      </c>
      <c r="AM478" s="649"/>
      <c r="AN478" s="708"/>
      <c r="AO478" s="649"/>
      <c r="AP478" s="649"/>
      <c r="AQ478" s="653"/>
      <c r="AR478" s="708"/>
      <c r="AS478" s="708"/>
      <c r="AT478" s="649">
        <f>I478</f>
        <v>1200</v>
      </c>
      <c r="AU478" s="649"/>
      <c r="AV478" s="654"/>
      <c r="AW478" s="709"/>
      <c r="AX478" s="652"/>
      <c r="AY478" s="652"/>
      <c r="AZ478" s="709"/>
      <c r="BA478" s="652"/>
      <c r="BB478" s="652"/>
      <c r="BC478" s="709"/>
      <c r="BD478" s="709"/>
      <c r="BE478" s="654"/>
      <c r="BF478" s="709"/>
      <c r="BG478" s="652"/>
      <c r="BH478" s="652"/>
      <c r="BI478" s="709"/>
      <c r="BJ478" s="709"/>
      <c r="BK478" s="654"/>
      <c r="BL478" s="654"/>
      <c r="BM478" s="654"/>
      <c r="BN478" s="654"/>
      <c r="BO478" s="654"/>
      <c r="BP478" s="709"/>
      <c r="BQ478" s="654"/>
      <c r="BR478" s="709"/>
      <c r="BS478" s="652"/>
      <c r="BT478" s="654"/>
      <c r="BU478" s="654"/>
      <c r="BV478" s="654"/>
      <c r="BW478" s="645" t="s">
        <v>109</v>
      </c>
      <c r="BX478" s="658">
        <f>I478/4</f>
        <v>300</v>
      </c>
      <c r="BY478" s="658">
        <f>I478/4</f>
        <v>300</v>
      </c>
      <c r="BZ478" s="658">
        <f>I478/4</f>
        <v>300</v>
      </c>
      <c r="CA478" s="658">
        <f>I478/4</f>
        <v>300</v>
      </c>
      <c r="CB478" s="644">
        <f t="shared" si="255"/>
        <v>1200</v>
      </c>
      <c r="CC478" s="644"/>
      <c r="CD478" s="644">
        <f t="shared" si="229"/>
        <v>1200</v>
      </c>
      <c r="CE478" s="644">
        <f t="shared" si="231"/>
        <v>0</v>
      </c>
    </row>
    <row r="479" s="338" customFormat="1" ht="40" customHeight="1" spans="1:83">
      <c r="A479" s="632">
        <v>45919</v>
      </c>
      <c r="B479" s="633" t="s">
        <v>1789</v>
      </c>
      <c r="C479" s="634" t="s">
        <v>380</v>
      </c>
      <c r="D479" s="635">
        <v>4500179831</v>
      </c>
      <c r="E479" s="659" t="s">
        <v>2222</v>
      </c>
      <c r="F479" s="635" t="s">
        <v>2223</v>
      </c>
      <c r="G479" s="637" t="s">
        <v>111</v>
      </c>
      <c r="H479" s="637" t="s">
        <v>99</v>
      </c>
      <c r="I479" s="638">
        <v>1012</v>
      </c>
      <c r="J479" s="638">
        <v>0</v>
      </c>
      <c r="K479" s="639">
        <v>22</v>
      </c>
      <c r="L479" s="639">
        <f t="shared" si="230"/>
        <v>46</v>
      </c>
      <c r="M479" s="641">
        <v>45959</v>
      </c>
      <c r="N479" s="641">
        <v>45955</v>
      </c>
      <c r="O479" s="641"/>
      <c r="P479" s="642" t="s">
        <v>100</v>
      </c>
      <c r="Q479" s="643" t="s">
        <v>2224</v>
      </c>
      <c r="R479" s="642" t="s">
        <v>2225</v>
      </c>
      <c r="S479" s="641"/>
      <c r="T479" s="641"/>
      <c r="U479" s="642" t="s">
        <v>2226</v>
      </c>
      <c r="V479" s="642"/>
      <c r="W479" s="645"/>
      <c r="X479" s="647" t="s">
        <v>2227</v>
      </c>
      <c r="Y479" s="646" t="s">
        <v>1864</v>
      </c>
      <c r="Z479" s="683">
        <v>2.7152</v>
      </c>
      <c r="AA479" s="650">
        <f t="shared" si="254"/>
        <v>2747.7824</v>
      </c>
      <c r="AB479" s="649">
        <v>1012</v>
      </c>
      <c r="AC479" s="649">
        <f t="shared" si="228"/>
        <v>0</v>
      </c>
      <c r="AD479" s="650" t="s">
        <v>123</v>
      </c>
      <c r="AE479" s="701" t="s">
        <v>230</v>
      </c>
      <c r="AF479" s="646" t="s">
        <v>107</v>
      </c>
      <c r="AG479" s="652" t="s">
        <v>43</v>
      </c>
      <c r="AH479" s="646"/>
      <c r="AI479" s="708"/>
      <c r="AJ479" s="708"/>
      <c r="AK479" s="708"/>
      <c r="AL479" s="649"/>
      <c r="AM479" s="649"/>
      <c r="AN479" s="708"/>
      <c r="AO479" s="649">
        <f>I479</f>
        <v>1012</v>
      </c>
      <c r="AP479" s="649"/>
      <c r="AQ479" s="653"/>
      <c r="AR479" s="708"/>
      <c r="AS479" s="708"/>
      <c r="AT479" s="649">
        <f>I479</f>
        <v>1012</v>
      </c>
      <c r="AU479" s="649"/>
      <c r="AV479" s="654"/>
      <c r="AW479" s="709"/>
      <c r="AX479" s="652"/>
      <c r="AY479" s="652"/>
      <c r="AZ479" s="709"/>
      <c r="BA479" s="652">
        <f>I479/11</f>
        <v>92</v>
      </c>
      <c r="BB479" s="652"/>
      <c r="BC479" s="709"/>
      <c r="BD479" s="709"/>
      <c r="BE479" s="654"/>
      <c r="BF479" s="709"/>
      <c r="BG479" s="652"/>
      <c r="BH479" s="652"/>
      <c r="BI479" s="709"/>
      <c r="BJ479" s="709"/>
      <c r="BK479" s="654"/>
      <c r="BL479" s="654"/>
      <c r="BM479" s="654"/>
      <c r="BN479" s="654"/>
      <c r="BO479" s="654"/>
      <c r="BP479" s="709"/>
      <c r="BQ479" s="654"/>
      <c r="BR479" s="709"/>
      <c r="BS479" s="652"/>
      <c r="BT479" s="654"/>
      <c r="BU479" s="654"/>
      <c r="BV479" s="654"/>
      <c r="BW479" s="645" t="s">
        <v>109</v>
      </c>
      <c r="BX479" s="658">
        <f>I479/22*5</f>
        <v>230</v>
      </c>
      <c r="BY479" s="658">
        <f>I479/22*6</f>
        <v>276</v>
      </c>
      <c r="BZ479" s="658">
        <f>I479/22*6</f>
        <v>276</v>
      </c>
      <c r="CA479" s="658">
        <f>I479/22*5</f>
        <v>230</v>
      </c>
      <c r="CB479" s="644">
        <f t="shared" si="255"/>
        <v>1012</v>
      </c>
      <c r="CC479" s="658">
        <f>I479/11</f>
        <v>92</v>
      </c>
      <c r="CD479" s="644">
        <f t="shared" si="229"/>
        <v>1012</v>
      </c>
      <c r="CE479" s="644">
        <f t="shared" si="231"/>
        <v>0</v>
      </c>
    </row>
    <row r="480" s="338" customFormat="1" ht="40" customHeight="1" spans="1:83">
      <c r="A480" s="632">
        <v>45915</v>
      </c>
      <c r="B480" s="633" t="s">
        <v>2228</v>
      </c>
      <c r="C480" s="634" t="s">
        <v>144</v>
      </c>
      <c r="D480" s="635">
        <v>4500179516</v>
      </c>
      <c r="E480" s="659" t="s">
        <v>2229</v>
      </c>
      <c r="F480" s="635" t="s">
        <v>2230</v>
      </c>
      <c r="G480" s="637" t="s">
        <v>2231</v>
      </c>
      <c r="H480" s="637" t="s">
        <v>2232</v>
      </c>
      <c r="I480" s="638">
        <v>504</v>
      </c>
      <c r="J480" s="638">
        <v>0</v>
      </c>
      <c r="K480" s="639">
        <v>24</v>
      </c>
      <c r="L480" s="639">
        <f t="shared" si="230"/>
        <v>21</v>
      </c>
      <c r="M480" s="641">
        <v>45960</v>
      </c>
      <c r="N480" s="641">
        <v>45957</v>
      </c>
      <c r="O480" s="641" t="s">
        <v>2233</v>
      </c>
      <c r="P480" s="642" t="s">
        <v>100</v>
      </c>
      <c r="Q480" s="643" t="s">
        <v>2234</v>
      </c>
      <c r="R480" s="642" t="s">
        <v>2235</v>
      </c>
      <c r="S480" s="641"/>
      <c r="T480" s="641"/>
      <c r="U480" s="642" t="s">
        <v>2236</v>
      </c>
      <c r="V480" s="642"/>
      <c r="W480" s="645"/>
      <c r="X480" s="647" t="s">
        <v>2237</v>
      </c>
      <c r="Y480" s="646" t="s">
        <v>1279</v>
      </c>
      <c r="Z480" s="683">
        <v>2.6493</v>
      </c>
      <c r="AA480" s="650">
        <f t="shared" si="254"/>
        <v>1335.2472</v>
      </c>
      <c r="AB480" s="649">
        <v>504</v>
      </c>
      <c r="AC480" s="649">
        <f t="shared" si="228"/>
        <v>0</v>
      </c>
      <c r="AD480" s="650" t="s">
        <v>123</v>
      </c>
      <c r="AE480" s="637" t="s">
        <v>2238</v>
      </c>
      <c r="AF480" s="646" t="s">
        <v>107</v>
      </c>
      <c r="AG480" s="652" t="s">
        <v>43</v>
      </c>
      <c r="AH480" s="646"/>
      <c r="AI480" s="708"/>
      <c r="AJ480" s="708"/>
      <c r="AK480" s="708"/>
      <c r="AL480" s="649">
        <f>I480</f>
        <v>504</v>
      </c>
      <c r="AM480" s="649"/>
      <c r="AN480" s="708"/>
      <c r="AO480" s="649"/>
      <c r="AP480" s="649"/>
      <c r="AQ480" s="653"/>
      <c r="AR480" s="708"/>
      <c r="AS480" s="708"/>
      <c r="AT480" s="649">
        <f t="shared" ref="AT480:AT486" si="256">I480</f>
        <v>504</v>
      </c>
      <c r="AU480" s="649"/>
      <c r="AV480" s="654"/>
      <c r="AW480" s="709"/>
      <c r="AX480" s="652"/>
      <c r="AY480" s="652"/>
      <c r="AZ480" s="709"/>
      <c r="BA480" s="652"/>
      <c r="BB480" s="652"/>
      <c r="BC480" s="709"/>
      <c r="BD480" s="709"/>
      <c r="BE480" s="654"/>
      <c r="BF480" s="709"/>
      <c r="BG480" s="652"/>
      <c r="BH480" s="652"/>
      <c r="BI480" s="709"/>
      <c r="BJ480" s="709"/>
      <c r="BK480" s="654"/>
      <c r="BL480" s="654"/>
      <c r="BM480" s="654"/>
      <c r="BN480" s="654"/>
      <c r="BO480" s="654"/>
      <c r="BP480" s="709"/>
      <c r="BQ480" s="654"/>
      <c r="BR480" s="709"/>
      <c r="BS480" s="652"/>
      <c r="BT480" s="654"/>
      <c r="BU480" s="654"/>
      <c r="BV480" s="654"/>
      <c r="BW480" s="645" t="s">
        <v>109</v>
      </c>
      <c r="BX480" s="658">
        <f>I480</f>
        <v>504</v>
      </c>
      <c r="BY480" s="658"/>
      <c r="BZ480" s="658"/>
      <c r="CA480" s="658"/>
      <c r="CB480" s="644"/>
      <c r="CC480" s="658"/>
      <c r="CD480" s="644">
        <f t="shared" si="229"/>
        <v>504</v>
      </c>
      <c r="CE480" s="644">
        <f t="shared" si="231"/>
        <v>0</v>
      </c>
    </row>
    <row r="481" s="338" customFormat="1" ht="40" customHeight="1" spans="1:83">
      <c r="A481" s="632">
        <v>45922</v>
      </c>
      <c r="B481" s="633" t="s">
        <v>709</v>
      </c>
      <c r="C481" s="634" t="s">
        <v>247</v>
      </c>
      <c r="D481" s="635">
        <v>4500180088</v>
      </c>
      <c r="E481" s="659">
        <v>2465861</v>
      </c>
      <c r="F481" s="635" t="s">
        <v>2239</v>
      </c>
      <c r="G481" s="637" t="s">
        <v>111</v>
      </c>
      <c r="H481" s="637" t="s">
        <v>99</v>
      </c>
      <c r="I481" s="638">
        <v>1518</v>
      </c>
      <c r="J481" s="638">
        <v>0</v>
      </c>
      <c r="K481" s="639">
        <v>22</v>
      </c>
      <c r="L481" s="639">
        <f t="shared" si="230"/>
        <v>69</v>
      </c>
      <c r="M481" s="641">
        <v>45964</v>
      </c>
      <c r="N481" s="641">
        <f>M481-4</f>
        <v>45960</v>
      </c>
      <c r="O481" s="641"/>
      <c r="P481" s="642" t="s">
        <v>100</v>
      </c>
      <c r="Q481" s="643" t="s">
        <v>2240</v>
      </c>
      <c r="R481" s="642" t="s">
        <v>2241</v>
      </c>
      <c r="S481" s="641"/>
      <c r="T481" s="641"/>
      <c r="U481" s="642" t="s">
        <v>2242</v>
      </c>
      <c r="V481" s="642"/>
      <c r="W481" s="645"/>
      <c r="X481" s="647" t="s">
        <v>2243</v>
      </c>
      <c r="Y481" s="646" t="s">
        <v>253</v>
      </c>
      <c r="Z481" s="683">
        <v>2.7889</v>
      </c>
      <c r="AA481" s="650">
        <f t="shared" si="254"/>
        <v>4233.5502</v>
      </c>
      <c r="AB481" s="649">
        <v>1518</v>
      </c>
      <c r="AC481" s="649">
        <f t="shared" si="228"/>
        <v>0</v>
      </c>
      <c r="AD481" s="650" t="s">
        <v>106</v>
      </c>
      <c r="AE481" s="637" t="s">
        <v>111</v>
      </c>
      <c r="AF481" s="646" t="s">
        <v>107</v>
      </c>
      <c r="AG481" s="652" t="s">
        <v>43</v>
      </c>
      <c r="AH481" s="646"/>
      <c r="AI481" s="693"/>
      <c r="AJ481" s="693"/>
      <c r="AK481" s="693"/>
      <c r="AL481" s="649">
        <f>I481</f>
        <v>1518</v>
      </c>
      <c r="AM481" s="649"/>
      <c r="AN481" s="693"/>
      <c r="AO481" s="649"/>
      <c r="AP481" s="649"/>
      <c r="AQ481" s="653"/>
      <c r="AR481" s="693"/>
      <c r="AS481" s="693"/>
      <c r="AT481" s="649">
        <f t="shared" si="256"/>
        <v>1518</v>
      </c>
      <c r="AU481" s="649"/>
      <c r="AV481" s="654"/>
      <c r="AW481" s="694"/>
      <c r="AX481" s="652">
        <f>I481/11</f>
        <v>138</v>
      </c>
      <c r="AY481" s="652"/>
      <c r="AZ481" s="694"/>
      <c r="BA481" s="652"/>
      <c r="BB481" s="652"/>
      <c r="BC481" s="694"/>
      <c r="BD481" s="694"/>
      <c r="BE481" s="654"/>
      <c r="BF481" s="694"/>
      <c r="BG481" s="652"/>
      <c r="BH481" s="652"/>
      <c r="BI481" s="694"/>
      <c r="BJ481" s="694"/>
      <c r="BK481" s="654"/>
      <c r="BL481" s="654"/>
      <c r="BM481" s="654"/>
      <c r="BN481" s="654"/>
      <c r="BO481" s="654"/>
      <c r="BP481" s="694"/>
      <c r="BQ481" s="654"/>
      <c r="BR481" s="694"/>
      <c r="BS481" s="652"/>
      <c r="BT481" s="654"/>
      <c r="BU481" s="654"/>
      <c r="BV481" s="654"/>
      <c r="BW481" s="645" t="s">
        <v>109</v>
      </c>
      <c r="BX481" s="658">
        <f>I481/22*5</f>
        <v>345</v>
      </c>
      <c r="BY481" s="658">
        <f>I481/22*6</f>
        <v>414</v>
      </c>
      <c r="BZ481" s="658">
        <f>I481/22*6</f>
        <v>414</v>
      </c>
      <c r="CA481" s="658">
        <f>I481/22*5</f>
        <v>345</v>
      </c>
      <c r="CB481" s="644">
        <f>I481</f>
        <v>1518</v>
      </c>
      <c r="CC481" s="658">
        <f>I481/11</f>
        <v>138</v>
      </c>
      <c r="CD481" s="644">
        <f t="shared" si="229"/>
        <v>1518</v>
      </c>
      <c r="CE481" s="644">
        <f t="shared" si="231"/>
        <v>0</v>
      </c>
    </row>
    <row r="482" s="338" customFormat="1" ht="40" customHeight="1" spans="1:83">
      <c r="A482" s="632">
        <v>45918</v>
      </c>
      <c r="B482" s="633" t="s">
        <v>2244</v>
      </c>
      <c r="C482" s="634" t="s">
        <v>1965</v>
      </c>
      <c r="D482" s="635">
        <v>4500179692</v>
      </c>
      <c r="E482" s="659" t="s">
        <v>2245</v>
      </c>
      <c r="F482" s="635" t="s">
        <v>2246</v>
      </c>
      <c r="G482" s="637" t="s">
        <v>1992</v>
      </c>
      <c r="H482" s="637" t="s">
        <v>1993</v>
      </c>
      <c r="I482" s="638">
        <v>504</v>
      </c>
      <c r="J482" s="638">
        <v>1</v>
      </c>
      <c r="K482" s="639">
        <v>24</v>
      </c>
      <c r="L482" s="639">
        <f t="shared" si="230"/>
        <v>21</v>
      </c>
      <c r="M482" s="641">
        <v>45968</v>
      </c>
      <c r="N482" s="641">
        <v>45966</v>
      </c>
      <c r="O482" s="641" t="s">
        <v>2247</v>
      </c>
      <c r="P482" s="642" t="s">
        <v>100</v>
      </c>
      <c r="Q482" s="643" t="s">
        <v>2248</v>
      </c>
      <c r="R482" s="642" t="s">
        <v>993</v>
      </c>
      <c r="S482" s="641"/>
      <c r="T482" s="641"/>
      <c r="U482" s="642" t="s">
        <v>2249</v>
      </c>
      <c r="V482" s="642" t="s">
        <v>2250</v>
      </c>
      <c r="W482" s="645"/>
      <c r="X482" s="647" t="s">
        <v>2251</v>
      </c>
      <c r="Y482" s="646" t="s">
        <v>165</v>
      </c>
      <c r="Z482" s="683">
        <v>2.7254</v>
      </c>
      <c r="AA482" s="650">
        <f>Z482*'9543'!I482</f>
        <v>1373.6016</v>
      </c>
      <c r="AB482" s="649">
        <v>504</v>
      </c>
      <c r="AC482" s="649">
        <f t="shared" si="228"/>
        <v>0</v>
      </c>
      <c r="AD482" s="650" t="s">
        <v>106</v>
      </c>
      <c r="AE482" s="637" t="s">
        <v>1992</v>
      </c>
      <c r="AF482" s="646" t="s">
        <v>107</v>
      </c>
      <c r="AG482" s="652" t="s">
        <v>43</v>
      </c>
      <c r="AH482" s="646"/>
      <c r="AI482" s="699"/>
      <c r="AJ482" s="699"/>
      <c r="AK482" s="699"/>
      <c r="AL482" s="649"/>
      <c r="AM482" s="649"/>
      <c r="AN482" s="699"/>
      <c r="AO482" s="649">
        <f t="shared" ref="AO482:AO489" si="257">I482</f>
        <v>504</v>
      </c>
      <c r="AP482" s="649"/>
      <c r="AQ482" s="653"/>
      <c r="AR482" s="699"/>
      <c r="AS482" s="699"/>
      <c r="AT482" s="649">
        <f t="shared" si="256"/>
        <v>504</v>
      </c>
      <c r="AU482" s="649"/>
      <c r="AV482" s="654"/>
      <c r="AW482" s="700"/>
      <c r="AX482" s="652"/>
      <c r="AY482" s="652"/>
      <c r="AZ482" s="700"/>
      <c r="BA482" s="652"/>
      <c r="BB482" s="652"/>
      <c r="BC482" s="700"/>
      <c r="BD482" s="700"/>
      <c r="BE482" s="654"/>
      <c r="BF482" s="700"/>
      <c r="BG482" s="652"/>
      <c r="BH482" s="652"/>
      <c r="BI482" s="700"/>
      <c r="BJ482" s="700"/>
      <c r="BK482" s="654"/>
      <c r="BL482" s="654"/>
      <c r="BM482" s="654"/>
      <c r="BN482" s="654"/>
      <c r="BO482" s="654"/>
      <c r="BP482" s="700"/>
      <c r="BQ482" s="654"/>
      <c r="BR482" s="700"/>
      <c r="BS482" s="652"/>
      <c r="BT482" s="654"/>
      <c r="BU482" s="654"/>
      <c r="BV482" s="654"/>
      <c r="BW482" s="645" t="s">
        <v>109</v>
      </c>
      <c r="BX482" s="658"/>
      <c r="BY482" s="658"/>
      <c r="BZ482" s="658"/>
      <c r="CA482" s="658">
        <f>I482</f>
        <v>504</v>
      </c>
      <c r="CB482" s="644"/>
      <c r="CC482" s="644"/>
      <c r="CD482" s="644">
        <f t="shared" si="229"/>
        <v>504</v>
      </c>
      <c r="CE482" s="644">
        <f t="shared" si="231"/>
        <v>0</v>
      </c>
    </row>
    <row r="483" s="338" customFormat="1" ht="40" customHeight="1" spans="1:83">
      <c r="A483" s="632">
        <v>45918</v>
      </c>
      <c r="B483" s="633" t="s">
        <v>2244</v>
      </c>
      <c r="C483" s="634" t="s">
        <v>1965</v>
      </c>
      <c r="D483" s="635">
        <v>4500179692</v>
      </c>
      <c r="E483" s="659" t="s">
        <v>2252</v>
      </c>
      <c r="F483" s="635" t="s">
        <v>2253</v>
      </c>
      <c r="G483" s="637" t="s">
        <v>1992</v>
      </c>
      <c r="H483" s="637" t="s">
        <v>1993</v>
      </c>
      <c r="I483" s="638">
        <v>504</v>
      </c>
      <c r="J483" s="638">
        <v>1</v>
      </c>
      <c r="K483" s="639">
        <v>24</v>
      </c>
      <c r="L483" s="639">
        <f t="shared" si="230"/>
        <v>21</v>
      </c>
      <c r="M483" s="641">
        <v>45968</v>
      </c>
      <c r="N483" s="641">
        <v>45966</v>
      </c>
      <c r="O483" s="641" t="s">
        <v>2247</v>
      </c>
      <c r="P483" s="642" t="s">
        <v>100</v>
      </c>
      <c r="Q483" s="643" t="s">
        <v>2248</v>
      </c>
      <c r="R483" s="642" t="s">
        <v>993</v>
      </c>
      <c r="S483" s="641"/>
      <c r="T483" s="641"/>
      <c r="U483" s="642" t="s">
        <v>2254</v>
      </c>
      <c r="V483" s="642" t="s">
        <v>2250</v>
      </c>
      <c r="W483" s="645"/>
      <c r="X483" s="647" t="s">
        <v>2251</v>
      </c>
      <c r="Y483" s="646" t="s">
        <v>165</v>
      </c>
      <c r="Z483" s="683">
        <v>2.7254</v>
      </c>
      <c r="AA483" s="650">
        <f>Z483*'9543'!I483</f>
        <v>1373.6016</v>
      </c>
      <c r="AB483" s="649">
        <v>504</v>
      </c>
      <c r="AC483" s="649">
        <f t="shared" si="228"/>
        <v>0</v>
      </c>
      <c r="AD483" s="650" t="s">
        <v>106</v>
      </c>
      <c r="AE483" s="637" t="s">
        <v>1992</v>
      </c>
      <c r="AF483" s="646" t="s">
        <v>107</v>
      </c>
      <c r="AG483" s="652" t="s">
        <v>43</v>
      </c>
      <c r="AH483" s="646"/>
      <c r="AI483" s="699"/>
      <c r="AJ483" s="699"/>
      <c r="AK483" s="699"/>
      <c r="AL483" s="649"/>
      <c r="AM483" s="649"/>
      <c r="AN483" s="699"/>
      <c r="AO483" s="649">
        <f t="shared" si="257"/>
        <v>504</v>
      </c>
      <c r="AP483" s="649"/>
      <c r="AQ483" s="653"/>
      <c r="AR483" s="699"/>
      <c r="AS483" s="699"/>
      <c r="AT483" s="649">
        <f t="shared" si="256"/>
        <v>504</v>
      </c>
      <c r="AU483" s="649"/>
      <c r="AV483" s="654"/>
      <c r="AW483" s="700"/>
      <c r="AX483" s="652"/>
      <c r="AY483" s="652"/>
      <c r="AZ483" s="700"/>
      <c r="BA483" s="652"/>
      <c r="BB483" s="652"/>
      <c r="BC483" s="700"/>
      <c r="BD483" s="700"/>
      <c r="BE483" s="654"/>
      <c r="BF483" s="700"/>
      <c r="BG483" s="652"/>
      <c r="BH483" s="652"/>
      <c r="BI483" s="700"/>
      <c r="BJ483" s="700"/>
      <c r="BK483" s="654"/>
      <c r="BL483" s="654"/>
      <c r="BM483" s="654"/>
      <c r="BN483" s="654"/>
      <c r="BO483" s="654"/>
      <c r="BP483" s="700"/>
      <c r="BQ483" s="654"/>
      <c r="BR483" s="700"/>
      <c r="BS483" s="652"/>
      <c r="BT483" s="654"/>
      <c r="BU483" s="654"/>
      <c r="BV483" s="654"/>
      <c r="BW483" s="645" t="s">
        <v>109</v>
      </c>
      <c r="BX483" s="658"/>
      <c r="BY483" s="658"/>
      <c r="BZ483" s="658"/>
      <c r="CA483" s="658">
        <f>I483</f>
        <v>504</v>
      </c>
      <c r="CB483" s="644"/>
      <c r="CC483" s="644"/>
      <c r="CD483" s="644">
        <f t="shared" si="229"/>
        <v>504</v>
      </c>
      <c r="CE483" s="644">
        <f t="shared" si="231"/>
        <v>0</v>
      </c>
    </row>
    <row r="484" s="338" customFormat="1" ht="40" customHeight="1" spans="1:83">
      <c r="A484" s="632">
        <v>45917</v>
      </c>
      <c r="B484" s="633" t="s">
        <v>379</v>
      </c>
      <c r="C484" s="634" t="s">
        <v>144</v>
      </c>
      <c r="D484" s="635">
        <v>4500179736</v>
      </c>
      <c r="E484" s="659" t="s">
        <v>2255</v>
      </c>
      <c r="F484" s="635" t="s">
        <v>2256</v>
      </c>
      <c r="G484" s="637" t="s">
        <v>2231</v>
      </c>
      <c r="H484" s="637" t="s">
        <v>2232</v>
      </c>
      <c r="I484" s="638">
        <v>504</v>
      </c>
      <c r="J484" s="638">
        <v>1</v>
      </c>
      <c r="K484" s="639">
        <v>24</v>
      </c>
      <c r="L484" s="639">
        <f t="shared" si="230"/>
        <v>21</v>
      </c>
      <c r="M484" s="641">
        <v>45968</v>
      </c>
      <c r="N484" s="641">
        <v>45966</v>
      </c>
      <c r="O484" s="641" t="s">
        <v>2247</v>
      </c>
      <c r="P484" s="642" t="s">
        <v>100</v>
      </c>
      <c r="Q484" s="643" t="s">
        <v>2257</v>
      </c>
      <c r="R484" s="642" t="s">
        <v>993</v>
      </c>
      <c r="S484" s="641"/>
      <c r="T484" s="641"/>
      <c r="U484" s="642" t="s">
        <v>2258</v>
      </c>
      <c r="V484" s="642" t="s">
        <v>2242</v>
      </c>
      <c r="W484" s="645"/>
      <c r="X484" s="647" t="s">
        <v>2259</v>
      </c>
      <c r="Y484" s="646" t="s">
        <v>175</v>
      </c>
      <c r="Z484" s="683">
        <v>2.6493</v>
      </c>
      <c r="AA484" s="650">
        <f>Z484*'9543'!I484</f>
        <v>1335.2472</v>
      </c>
      <c r="AB484" s="649">
        <v>504</v>
      </c>
      <c r="AC484" s="649">
        <f t="shared" si="228"/>
        <v>0</v>
      </c>
      <c r="AD484" s="650" t="s">
        <v>106</v>
      </c>
      <c r="AE484" s="637" t="s">
        <v>2231</v>
      </c>
      <c r="AF484" s="646" t="s">
        <v>107</v>
      </c>
      <c r="AG484" s="652" t="s">
        <v>43</v>
      </c>
      <c r="AH484" s="646"/>
      <c r="AI484" s="699"/>
      <c r="AJ484" s="699"/>
      <c r="AK484" s="699"/>
      <c r="AL484" s="649"/>
      <c r="AM484" s="649"/>
      <c r="AN484" s="699"/>
      <c r="AO484" s="649">
        <f t="shared" si="257"/>
        <v>504</v>
      </c>
      <c r="AP484" s="649"/>
      <c r="AQ484" s="653"/>
      <c r="AR484" s="699"/>
      <c r="AS484" s="699"/>
      <c r="AT484" s="649">
        <f t="shared" si="256"/>
        <v>504</v>
      </c>
      <c r="AU484" s="649"/>
      <c r="AV484" s="654"/>
      <c r="AW484" s="700"/>
      <c r="AX484" s="652"/>
      <c r="AY484" s="652"/>
      <c r="AZ484" s="700"/>
      <c r="BA484" s="652"/>
      <c r="BB484" s="652"/>
      <c r="BC484" s="700"/>
      <c r="BD484" s="700"/>
      <c r="BE484" s="654"/>
      <c r="BF484" s="700"/>
      <c r="BG484" s="652"/>
      <c r="BH484" s="652"/>
      <c r="BI484" s="700"/>
      <c r="BJ484" s="700"/>
      <c r="BK484" s="654"/>
      <c r="BL484" s="654"/>
      <c r="BM484" s="654"/>
      <c r="BN484" s="654"/>
      <c r="BO484" s="654"/>
      <c r="BP484" s="700"/>
      <c r="BQ484" s="654"/>
      <c r="BR484" s="700"/>
      <c r="BS484" s="652"/>
      <c r="BT484" s="654"/>
      <c r="BU484" s="654"/>
      <c r="BV484" s="654"/>
      <c r="BW484" s="645" t="s">
        <v>109</v>
      </c>
      <c r="BX484" s="658">
        <f>I484</f>
        <v>504</v>
      </c>
      <c r="BY484" s="658"/>
      <c r="BZ484" s="658"/>
      <c r="CA484" s="658"/>
      <c r="CB484" s="644"/>
      <c r="CC484" s="644"/>
      <c r="CD484" s="644">
        <f t="shared" si="229"/>
        <v>504</v>
      </c>
      <c r="CE484" s="644">
        <f t="shared" si="231"/>
        <v>0</v>
      </c>
    </row>
    <row r="485" s="338" customFormat="1" ht="40" customHeight="1" spans="1:83">
      <c r="A485" s="632">
        <v>45917</v>
      </c>
      <c r="B485" s="633" t="s">
        <v>379</v>
      </c>
      <c r="C485" s="634" t="s">
        <v>144</v>
      </c>
      <c r="D485" s="635">
        <v>4500179736</v>
      </c>
      <c r="E485" s="659" t="s">
        <v>2255</v>
      </c>
      <c r="F485" s="635" t="s">
        <v>2260</v>
      </c>
      <c r="G485" s="637" t="s">
        <v>1992</v>
      </c>
      <c r="H485" s="637" t="s">
        <v>1993</v>
      </c>
      <c r="I485" s="638">
        <v>792</v>
      </c>
      <c r="J485" s="638">
        <v>1</v>
      </c>
      <c r="K485" s="639">
        <v>24</v>
      </c>
      <c r="L485" s="639">
        <f t="shared" si="230"/>
        <v>33</v>
      </c>
      <c r="M485" s="641">
        <v>45968</v>
      </c>
      <c r="N485" s="641">
        <v>45966</v>
      </c>
      <c r="O485" s="641" t="s">
        <v>2247</v>
      </c>
      <c r="P485" s="642" t="s">
        <v>100</v>
      </c>
      <c r="Q485" s="643" t="s">
        <v>2257</v>
      </c>
      <c r="R485" s="642" t="s">
        <v>993</v>
      </c>
      <c r="S485" s="641"/>
      <c r="T485" s="641"/>
      <c r="U485" s="642" t="s">
        <v>2258</v>
      </c>
      <c r="V485" s="642" t="s">
        <v>2242</v>
      </c>
      <c r="W485" s="645"/>
      <c r="X485" s="647" t="s">
        <v>2261</v>
      </c>
      <c r="Y485" s="646" t="s">
        <v>175</v>
      </c>
      <c r="Z485" s="683">
        <v>2.6493</v>
      </c>
      <c r="AA485" s="650">
        <f>Z485*'9543'!I485</f>
        <v>2098.2456</v>
      </c>
      <c r="AB485" s="649">
        <v>792</v>
      </c>
      <c r="AC485" s="649">
        <f t="shared" si="228"/>
        <v>0</v>
      </c>
      <c r="AD485" s="650" t="s">
        <v>106</v>
      </c>
      <c r="AE485" s="637" t="s">
        <v>1992</v>
      </c>
      <c r="AF485" s="646" t="s">
        <v>107</v>
      </c>
      <c r="AG485" s="652" t="s">
        <v>43</v>
      </c>
      <c r="AH485" s="646"/>
      <c r="AI485" s="699"/>
      <c r="AJ485" s="699"/>
      <c r="AK485" s="699"/>
      <c r="AL485" s="649"/>
      <c r="AM485" s="649"/>
      <c r="AN485" s="699"/>
      <c r="AO485" s="649">
        <f t="shared" si="257"/>
        <v>792</v>
      </c>
      <c r="AP485" s="649"/>
      <c r="AQ485" s="653"/>
      <c r="AR485" s="699"/>
      <c r="AS485" s="699"/>
      <c r="AT485" s="649">
        <f t="shared" si="256"/>
        <v>792</v>
      </c>
      <c r="AU485" s="649"/>
      <c r="AV485" s="654"/>
      <c r="AW485" s="700"/>
      <c r="AX485" s="652"/>
      <c r="AY485" s="652"/>
      <c r="AZ485" s="700"/>
      <c r="BA485" s="652"/>
      <c r="BB485" s="652"/>
      <c r="BC485" s="700"/>
      <c r="BD485" s="700"/>
      <c r="BE485" s="654"/>
      <c r="BF485" s="700"/>
      <c r="BG485" s="652"/>
      <c r="BH485" s="652"/>
      <c r="BI485" s="700"/>
      <c r="BJ485" s="700"/>
      <c r="BK485" s="654"/>
      <c r="BL485" s="654"/>
      <c r="BM485" s="654"/>
      <c r="BN485" s="654"/>
      <c r="BO485" s="654"/>
      <c r="BP485" s="700"/>
      <c r="BQ485" s="654"/>
      <c r="BR485" s="700"/>
      <c r="BS485" s="652"/>
      <c r="BT485" s="654"/>
      <c r="BU485" s="654"/>
      <c r="BV485" s="654"/>
      <c r="BW485" s="645" t="s">
        <v>109</v>
      </c>
      <c r="BX485" s="658"/>
      <c r="BY485" s="658"/>
      <c r="BZ485" s="658"/>
      <c r="CA485" s="658">
        <f>I485</f>
        <v>792</v>
      </c>
      <c r="CB485" s="644"/>
      <c r="CC485" s="644"/>
      <c r="CD485" s="644">
        <f t="shared" si="229"/>
        <v>792</v>
      </c>
      <c r="CE485" s="644">
        <f t="shared" si="231"/>
        <v>0</v>
      </c>
    </row>
    <row r="486" s="338" customFormat="1" ht="40" customHeight="1" spans="1:83">
      <c r="A486" s="632">
        <v>45917</v>
      </c>
      <c r="B486" s="633" t="s">
        <v>379</v>
      </c>
      <c r="C486" s="634" t="s">
        <v>144</v>
      </c>
      <c r="D486" s="635">
        <v>4500179736</v>
      </c>
      <c r="E486" s="659" t="s">
        <v>2262</v>
      </c>
      <c r="F486" s="635" t="s">
        <v>2263</v>
      </c>
      <c r="G486" s="637" t="s">
        <v>1992</v>
      </c>
      <c r="H486" s="637" t="s">
        <v>1993</v>
      </c>
      <c r="I486" s="638">
        <v>480</v>
      </c>
      <c r="J486" s="638">
        <v>1</v>
      </c>
      <c r="K486" s="639">
        <v>24</v>
      </c>
      <c r="L486" s="639">
        <f t="shared" si="230"/>
        <v>20</v>
      </c>
      <c r="M486" s="641">
        <v>45968</v>
      </c>
      <c r="N486" s="641">
        <v>45966</v>
      </c>
      <c r="O486" s="641" t="s">
        <v>2247</v>
      </c>
      <c r="P486" s="642" t="s">
        <v>100</v>
      </c>
      <c r="Q486" s="643"/>
      <c r="R486" s="642" t="s">
        <v>993</v>
      </c>
      <c r="S486" s="641"/>
      <c r="T486" s="641"/>
      <c r="U486" s="642" t="s">
        <v>2258</v>
      </c>
      <c r="V486" s="642" t="s">
        <v>2242</v>
      </c>
      <c r="W486" s="645"/>
      <c r="X486" s="647" t="s">
        <v>2261</v>
      </c>
      <c r="Y486" s="646" t="s">
        <v>175</v>
      </c>
      <c r="Z486" s="683">
        <v>2.6493</v>
      </c>
      <c r="AA486" s="650">
        <f>Z486*'9543'!I486</f>
        <v>1271.664</v>
      </c>
      <c r="AB486" s="649">
        <v>480</v>
      </c>
      <c r="AC486" s="649">
        <f t="shared" si="228"/>
        <v>0</v>
      </c>
      <c r="AD486" s="650" t="s">
        <v>106</v>
      </c>
      <c r="AE486" s="637" t="s">
        <v>1992</v>
      </c>
      <c r="AF486" s="646" t="s">
        <v>107</v>
      </c>
      <c r="AG486" s="652" t="s">
        <v>43</v>
      </c>
      <c r="AH486" s="646"/>
      <c r="AI486" s="699"/>
      <c r="AJ486" s="699"/>
      <c r="AK486" s="699"/>
      <c r="AL486" s="649"/>
      <c r="AM486" s="649"/>
      <c r="AN486" s="699"/>
      <c r="AO486" s="649">
        <f t="shared" si="257"/>
        <v>480</v>
      </c>
      <c r="AP486" s="649"/>
      <c r="AQ486" s="653"/>
      <c r="AR486" s="699"/>
      <c r="AS486" s="699"/>
      <c r="AT486" s="649">
        <f t="shared" si="256"/>
        <v>480</v>
      </c>
      <c r="AU486" s="649"/>
      <c r="AV486" s="654"/>
      <c r="AW486" s="700"/>
      <c r="AX486" s="652"/>
      <c r="AY486" s="652"/>
      <c r="AZ486" s="700"/>
      <c r="BA486" s="652"/>
      <c r="BB486" s="652"/>
      <c r="BC486" s="700"/>
      <c r="BD486" s="700"/>
      <c r="BE486" s="654"/>
      <c r="BF486" s="700"/>
      <c r="BG486" s="652"/>
      <c r="BH486" s="652"/>
      <c r="BI486" s="700"/>
      <c r="BJ486" s="700"/>
      <c r="BK486" s="654"/>
      <c r="BL486" s="654"/>
      <c r="BM486" s="654"/>
      <c r="BN486" s="654"/>
      <c r="BO486" s="654"/>
      <c r="BP486" s="700"/>
      <c r="BQ486" s="654"/>
      <c r="BR486" s="700"/>
      <c r="BS486" s="652"/>
      <c r="BT486" s="654"/>
      <c r="BU486" s="654"/>
      <c r="BV486" s="654"/>
      <c r="BW486" s="645" t="s">
        <v>109</v>
      </c>
      <c r="BX486" s="658"/>
      <c r="BY486" s="658"/>
      <c r="BZ486" s="658"/>
      <c r="CA486" s="658">
        <f>I486</f>
        <v>480</v>
      </c>
      <c r="CB486" s="644"/>
      <c r="CC486" s="644"/>
      <c r="CD486" s="644">
        <f t="shared" si="229"/>
        <v>480</v>
      </c>
      <c r="CE486" s="644">
        <f t="shared" si="231"/>
        <v>0</v>
      </c>
    </row>
    <row r="487" s="338" customFormat="1" ht="40" customHeight="1" spans="1:83">
      <c r="A487" s="632">
        <v>45875</v>
      </c>
      <c r="B487" s="633" t="s">
        <v>1258</v>
      </c>
      <c r="C487" s="634" t="s">
        <v>1063</v>
      </c>
      <c r="D487" s="635">
        <v>4500175934</v>
      </c>
      <c r="E487" s="659"/>
      <c r="F487" s="635" t="s">
        <v>2264</v>
      </c>
      <c r="G487" s="637" t="s">
        <v>241</v>
      </c>
      <c r="H487" s="637" t="s">
        <v>99</v>
      </c>
      <c r="I487" s="638">
        <v>1507</v>
      </c>
      <c r="J487" s="638">
        <v>0</v>
      </c>
      <c r="K487" s="639">
        <v>11</v>
      </c>
      <c r="L487" s="639">
        <f t="shared" si="230"/>
        <v>137</v>
      </c>
      <c r="M487" s="641">
        <v>45973</v>
      </c>
      <c r="N487" s="641">
        <v>45969</v>
      </c>
      <c r="O487" s="641"/>
      <c r="P487" s="642" t="s">
        <v>100</v>
      </c>
      <c r="Q487" s="643" t="s">
        <v>367</v>
      </c>
      <c r="R487" s="642" t="s">
        <v>2265</v>
      </c>
      <c r="S487" s="641"/>
      <c r="T487" s="641"/>
      <c r="U487" s="642" t="s">
        <v>2266</v>
      </c>
      <c r="V487" s="642"/>
      <c r="W487" s="645"/>
      <c r="X487" s="647" t="s">
        <v>2267</v>
      </c>
      <c r="Y487" s="646" t="s">
        <v>1029</v>
      </c>
      <c r="Z487" s="683">
        <v>2.7121</v>
      </c>
      <c r="AA487" s="650">
        <f t="shared" ref="AA487:AA511" si="258">I487*Z487</f>
        <v>4087.1347</v>
      </c>
      <c r="AB487" s="649">
        <v>1507</v>
      </c>
      <c r="AC487" s="649">
        <f t="shared" si="228"/>
        <v>0</v>
      </c>
      <c r="AD487" s="650" t="s">
        <v>106</v>
      </c>
      <c r="AE487" s="637" t="s">
        <v>1264</v>
      </c>
      <c r="AF487" s="646" t="s">
        <v>107</v>
      </c>
      <c r="AG487" s="652" t="s">
        <v>43</v>
      </c>
      <c r="AH487" s="646" t="s">
        <v>2268</v>
      </c>
      <c r="AI487" s="705"/>
      <c r="AJ487" s="705"/>
      <c r="AK487" s="705"/>
      <c r="AL487" s="649"/>
      <c r="AM487" s="649"/>
      <c r="AN487" s="705"/>
      <c r="AO487" s="649">
        <f t="shared" si="257"/>
        <v>1507</v>
      </c>
      <c r="AP487" s="649"/>
      <c r="AQ487" s="653"/>
      <c r="AR487" s="705"/>
      <c r="AS487" s="705"/>
      <c r="AT487" s="649"/>
      <c r="AU487" s="649"/>
      <c r="AV487" s="652">
        <f>I487</f>
        <v>1507</v>
      </c>
      <c r="AW487" s="706"/>
      <c r="AX487" s="652"/>
      <c r="AY487" s="652"/>
      <c r="AZ487" s="706"/>
      <c r="BA487" s="652">
        <f>I487/11</f>
        <v>137</v>
      </c>
      <c r="BB487" s="652"/>
      <c r="BC487" s="706"/>
      <c r="BD487" s="706"/>
      <c r="BE487" s="654"/>
      <c r="BF487" s="706"/>
      <c r="BG487" s="652"/>
      <c r="BH487" s="652"/>
      <c r="BI487" s="706"/>
      <c r="BJ487" s="706"/>
      <c r="BK487" s="654"/>
      <c r="BL487" s="654"/>
      <c r="BM487" s="654"/>
      <c r="BN487" s="654"/>
      <c r="BO487" s="654"/>
      <c r="BP487" s="706"/>
      <c r="BQ487" s="654"/>
      <c r="BR487" s="706"/>
      <c r="BS487" s="654"/>
      <c r="BT487" s="654"/>
      <c r="BU487" s="654"/>
      <c r="BV487" s="654"/>
      <c r="BW487" s="645" t="s">
        <v>109</v>
      </c>
      <c r="BX487" s="658">
        <f>I487/22*5</f>
        <v>342.5</v>
      </c>
      <c r="BY487" s="658">
        <f>I487/22*6</f>
        <v>411</v>
      </c>
      <c r="BZ487" s="658">
        <f>I487/22*6</f>
        <v>411</v>
      </c>
      <c r="CA487" s="658">
        <f>I487/22*5</f>
        <v>342.5</v>
      </c>
      <c r="CB487" s="644">
        <f>I487</f>
        <v>1507</v>
      </c>
      <c r="CC487" s="658">
        <f>I487/11</f>
        <v>137</v>
      </c>
      <c r="CD487" s="644">
        <f t="shared" si="229"/>
        <v>1507</v>
      </c>
      <c r="CE487" s="644">
        <f t="shared" si="231"/>
        <v>0</v>
      </c>
    </row>
    <row r="488" s="338" customFormat="1" ht="40" customHeight="1" spans="1:83">
      <c r="A488" s="632">
        <v>45925</v>
      </c>
      <c r="B488" s="633" t="s">
        <v>2244</v>
      </c>
      <c r="C488" s="634" t="s">
        <v>156</v>
      </c>
      <c r="D488" s="635">
        <v>4500180299</v>
      </c>
      <c r="E488" s="659" t="s">
        <v>2269</v>
      </c>
      <c r="F488" s="635" t="s">
        <v>2270</v>
      </c>
      <c r="G488" s="637" t="s">
        <v>2231</v>
      </c>
      <c r="H488" s="637" t="s">
        <v>2232</v>
      </c>
      <c r="I488" s="638">
        <v>504</v>
      </c>
      <c r="J488" s="638">
        <v>0</v>
      </c>
      <c r="K488" s="639">
        <v>24</v>
      </c>
      <c r="L488" s="639">
        <f t="shared" si="230"/>
        <v>21</v>
      </c>
      <c r="M488" s="641">
        <v>45975</v>
      </c>
      <c r="N488" s="641">
        <v>45971</v>
      </c>
      <c r="O488" s="642" t="s">
        <v>2271</v>
      </c>
      <c r="P488" s="642" t="s">
        <v>100</v>
      </c>
      <c r="Q488" s="643" t="s">
        <v>2272</v>
      </c>
      <c r="R488" s="642" t="s">
        <v>993</v>
      </c>
      <c r="S488" s="641"/>
      <c r="T488" s="641"/>
      <c r="U488" s="642" t="s">
        <v>2273</v>
      </c>
      <c r="V488" s="642" t="s">
        <v>2274</v>
      </c>
      <c r="W488" s="645"/>
      <c r="X488" s="647" t="s">
        <v>2275</v>
      </c>
      <c r="Y488" s="646" t="s">
        <v>165</v>
      </c>
      <c r="Z488" s="683">
        <v>2.7254</v>
      </c>
      <c r="AA488" s="650">
        <f t="shared" si="258"/>
        <v>1373.6016</v>
      </c>
      <c r="AB488" s="649">
        <v>504</v>
      </c>
      <c r="AC488" s="649">
        <f t="shared" si="228"/>
        <v>0</v>
      </c>
      <c r="AD488" s="650" t="s">
        <v>123</v>
      </c>
      <c r="AE488" s="637" t="s">
        <v>2231</v>
      </c>
      <c r="AF488" s="646" t="s">
        <v>107</v>
      </c>
      <c r="AG488" s="652" t="s">
        <v>43</v>
      </c>
      <c r="AH488" s="646" t="s">
        <v>2276</v>
      </c>
      <c r="AI488" s="705"/>
      <c r="AJ488" s="705"/>
      <c r="AK488" s="705"/>
      <c r="AL488" s="649"/>
      <c r="AM488" s="649"/>
      <c r="AN488" s="705"/>
      <c r="AO488" s="649">
        <f t="shared" si="257"/>
        <v>504</v>
      </c>
      <c r="AP488" s="649"/>
      <c r="AQ488" s="653"/>
      <c r="AR488" s="705"/>
      <c r="AS488" s="705"/>
      <c r="AT488" s="649">
        <f>I488</f>
        <v>504</v>
      </c>
      <c r="AU488" s="649"/>
      <c r="AV488" s="652"/>
      <c r="AW488" s="706"/>
      <c r="AX488" s="652"/>
      <c r="AY488" s="652"/>
      <c r="AZ488" s="706"/>
      <c r="BA488" s="652"/>
      <c r="BB488" s="652"/>
      <c r="BC488" s="706"/>
      <c r="BD488" s="706"/>
      <c r="BE488" s="654"/>
      <c r="BF488" s="706"/>
      <c r="BG488" s="652"/>
      <c r="BH488" s="652"/>
      <c r="BI488" s="706"/>
      <c r="BJ488" s="706"/>
      <c r="BK488" s="654"/>
      <c r="BL488" s="654"/>
      <c r="BM488" s="654"/>
      <c r="BN488" s="654"/>
      <c r="BO488" s="654"/>
      <c r="BP488" s="706"/>
      <c r="BQ488" s="654"/>
      <c r="BR488" s="706"/>
      <c r="BS488" s="654"/>
      <c r="BT488" s="654"/>
      <c r="BU488" s="654"/>
      <c r="BV488" s="654"/>
      <c r="BW488" s="645" t="s">
        <v>109</v>
      </c>
      <c r="BX488" s="658">
        <f>I488</f>
        <v>504</v>
      </c>
      <c r="BY488" s="658"/>
      <c r="BZ488" s="658"/>
      <c r="CA488" s="658"/>
      <c r="CB488" s="644"/>
      <c r="CC488" s="644"/>
      <c r="CD488" s="644">
        <f t="shared" si="229"/>
        <v>504</v>
      </c>
      <c r="CE488" s="644">
        <f t="shared" si="231"/>
        <v>0</v>
      </c>
    </row>
    <row r="489" s="338" customFormat="1" ht="40" customHeight="1" spans="1:83">
      <c r="A489" s="632">
        <v>45925</v>
      </c>
      <c r="B489" s="633" t="s">
        <v>2244</v>
      </c>
      <c r="C489" s="634" t="s">
        <v>156</v>
      </c>
      <c r="D489" s="635">
        <v>4500180299</v>
      </c>
      <c r="E489" s="659" t="s">
        <v>2269</v>
      </c>
      <c r="F489" s="635" t="s">
        <v>2277</v>
      </c>
      <c r="G489" s="637" t="s">
        <v>1992</v>
      </c>
      <c r="H489" s="637" t="s">
        <v>1993</v>
      </c>
      <c r="I489" s="638">
        <v>504</v>
      </c>
      <c r="J489" s="638">
        <v>0</v>
      </c>
      <c r="K489" s="639">
        <v>24</v>
      </c>
      <c r="L489" s="639">
        <f t="shared" si="230"/>
        <v>21</v>
      </c>
      <c r="M489" s="641">
        <v>45975</v>
      </c>
      <c r="N489" s="641">
        <v>45971</v>
      </c>
      <c r="O489" s="642" t="s">
        <v>2271</v>
      </c>
      <c r="P489" s="642" t="s">
        <v>100</v>
      </c>
      <c r="Q489" s="643" t="s">
        <v>2272</v>
      </c>
      <c r="R489" s="642" t="s">
        <v>993</v>
      </c>
      <c r="S489" s="641"/>
      <c r="T489" s="641"/>
      <c r="U489" s="642" t="s">
        <v>2273</v>
      </c>
      <c r="V489" s="642" t="s">
        <v>2274</v>
      </c>
      <c r="W489" s="645"/>
      <c r="X489" s="647" t="s">
        <v>2275</v>
      </c>
      <c r="Y489" s="646" t="s">
        <v>165</v>
      </c>
      <c r="Z489" s="683">
        <v>2.7254</v>
      </c>
      <c r="AA489" s="650">
        <f t="shared" si="258"/>
        <v>1373.6016</v>
      </c>
      <c r="AB489" s="649">
        <v>504</v>
      </c>
      <c r="AC489" s="649">
        <f t="shared" si="228"/>
        <v>0</v>
      </c>
      <c r="AD489" s="650" t="s">
        <v>106</v>
      </c>
      <c r="AE489" s="637" t="s">
        <v>1992</v>
      </c>
      <c r="AF489" s="646" t="s">
        <v>107</v>
      </c>
      <c r="AG489" s="652" t="s">
        <v>43</v>
      </c>
      <c r="AH489" s="646" t="s">
        <v>2276</v>
      </c>
      <c r="AI489" s="705"/>
      <c r="AJ489" s="705"/>
      <c r="AK489" s="705"/>
      <c r="AL489" s="649"/>
      <c r="AM489" s="649"/>
      <c r="AN489" s="705"/>
      <c r="AO489" s="649">
        <f t="shared" si="257"/>
        <v>504</v>
      </c>
      <c r="AP489" s="649"/>
      <c r="AQ489" s="653"/>
      <c r="AR489" s="705"/>
      <c r="AS489" s="705"/>
      <c r="AT489" s="649">
        <f>I489</f>
        <v>504</v>
      </c>
      <c r="AU489" s="649"/>
      <c r="AV489" s="652"/>
      <c r="AW489" s="706"/>
      <c r="AX489" s="652"/>
      <c r="AY489" s="652"/>
      <c r="AZ489" s="706"/>
      <c r="BA489" s="652"/>
      <c r="BB489" s="652"/>
      <c r="BC489" s="706"/>
      <c r="BD489" s="706"/>
      <c r="BE489" s="654"/>
      <c r="BF489" s="706"/>
      <c r="BG489" s="652"/>
      <c r="BH489" s="652"/>
      <c r="BI489" s="706"/>
      <c r="BJ489" s="706"/>
      <c r="BK489" s="654"/>
      <c r="BL489" s="654"/>
      <c r="BM489" s="654"/>
      <c r="BN489" s="654"/>
      <c r="BO489" s="654"/>
      <c r="BP489" s="706"/>
      <c r="BQ489" s="654"/>
      <c r="BR489" s="706"/>
      <c r="BS489" s="654"/>
      <c r="BT489" s="654"/>
      <c r="BU489" s="654"/>
      <c r="BV489" s="654"/>
      <c r="BW489" s="645" t="s">
        <v>109</v>
      </c>
      <c r="BX489" s="658"/>
      <c r="BY489" s="658"/>
      <c r="BZ489" s="658"/>
      <c r="CA489" s="658">
        <f>I489</f>
        <v>504</v>
      </c>
      <c r="CB489" s="644"/>
      <c r="CC489" s="644"/>
      <c r="CD489" s="644">
        <f t="shared" si="229"/>
        <v>504</v>
      </c>
      <c r="CE489" s="644">
        <f t="shared" si="231"/>
        <v>0</v>
      </c>
    </row>
    <row r="490" s="338" customFormat="1" ht="40" customHeight="1" spans="1:83">
      <c r="A490" s="632">
        <v>45929</v>
      </c>
      <c r="B490" s="633" t="s">
        <v>2278</v>
      </c>
      <c r="C490" s="634" t="s">
        <v>144</v>
      </c>
      <c r="D490" s="635">
        <v>4500180918</v>
      </c>
      <c r="E490" s="659">
        <v>249727</v>
      </c>
      <c r="F490" s="635" t="s">
        <v>2279</v>
      </c>
      <c r="G490" s="637" t="s">
        <v>111</v>
      </c>
      <c r="H490" s="637" t="s">
        <v>99</v>
      </c>
      <c r="I490" s="638">
        <v>3300</v>
      </c>
      <c r="J490" s="638">
        <v>0</v>
      </c>
      <c r="K490" s="639">
        <v>22</v>
      </c>
      <c r="L490" s="639">
        <f t="shared" si="230"/>
        <v>150</v>
      </c>
      <c r="M490" s="641">
        <v>45979</v>
      </c>
      <c r="N490" s="641">
        <v>45975</v>
      </c>
      <c r="O490" s="641"/>
      <c r="P490" s="642" t="s">
        <v>100</v>
      </c>
      <c r="Q490" s="643" t="s">
        <v>2280</v>
      </c>
      <c r="R490" s="642" t="s">
        <v>2281</v>
      </c>
      <c r="S490" s="641"/>
      <c r="T490" s="641"/>
      <c r="U490" s="642" t="s">
        <v>2282</v>
      </c>
      <c r="V490" s="642"/>
      <c r="W490" s="645"/>
      <c r="X490" s="647" t="s">
        <v>2283</v>
      </c>
      <c r="Y490" s="646" t="s">
        <v>2284</v>
      </c>
      <c r="Z490" s="683">
        <v>2.7044</v>
      </c>
      <c r="AA490" s="650">
        <f t="shared" si="258"/>
        <v>8924.52</v>
      </c>
      <c r="AB490" s="649">
        <f>2244+1056</f>
        <v>3300</v>
      </c>
      <c r="AC490" s="649">
        <f t="shared" si="228"/>
        <v>0</v>
      </c>
      <c r="AD490" s="650" t="s">
        <v>123</v>
      </c>
      <c r="AE490" s="637" t="s">
        <v>111</v>
      </c>
      <c r="AF490" s="646" t="s">
        <v>107</v>
      </c>
      <c r="AG490" s="652" t="s">
        <v>43</v>
      </c>
      <c r="AH490" s="646" t="s">
        <v>2285</v>
      </c>
      <c r="AI490" s="705"/>
      <c r="AJ490" s="705"/>
      <c r="AK490" s="705"/>
      <c r="AL490" s="649">
        <f>I490</f>
        <v>3300</v>
      </c>
      <c r="AM490" s="649"/>
      <c r="AN490" s="705"/>
      <c r="AO490" s="649"/>
      <c r="AP490" s="649"/>
      <c r="AQ490" s="653"/>
      <c r="AR490" s="705"/>
      <c r="AS490" s="705"/>
      <c r="AT490" s="649">
        <f>I490</f>
        <v>3300</v>
      </c>
      <c r="AU490" s="649"/>
      <c r="AV490" s="654"/>
      <c r="AW490" s="706"/>
      <c r="AX490" s="652">
        <f>I490/11</f>
        <v>300</v>
      </c>
      <c r="AY490" s="652"/>
      <c r="AZ490" s="706"/>
      <c r="BA490" s="652"/>
      <c r="BB490" s="652"/>
      <c r="BC490" s="706"/>
      <c r="BD490" s="706"/>
      <c r="BE490" s="654"/>
      <c r="BF490" s="706"/>
      <c r="BG490" s="652"/>
      <c r="BH490" s="652"/>
      <c r="BI490" s="706"/>
      <c r="BJ490" s="706"/>
      <c r="BK490" s="654"/>
      <c r="BL490" s="654"/>
      <c r="BM490" s="654"/>
      <c r="BN490" s="654"/>
      <c r="BO490" s="654"/>
      <c r="BP490" s="706"/>
      <c r="BQ490" s="654"/>
      <c r="BR490" s="706"/>
      <c r="BS490" s="652"/>
      <c r="BT490" s="654"/>
      <c r="BU490" s="654"/>
      <c r="BV490" s="654"/>
      <c r="BW490" s="645" t="s">
        <v>109</v>
      </c>
      <c r="BX490" s="658">
        <f t="shared" ref="BX490:BX495" si="259">I490/22*5</f>
        <v>750</v>
      </c>
      <c r="BY490" s="658">
        <f t="shared" ref="BY490:BY495" si="260">I490/22*6</f>
        <v>900</v>
      </c>
      <c r="BZ490" s="658">
        <f t="shared" ref="BZ490:BZ495" si="261">I490/22*6</f>
        <v>900</v>
      </c>
      <c r="CA490" s="658">
        <f t="shared" ref="CA490:CA495" si="262">I490/22*5</f>
        <v>750</v>
      </c>
      <c r="CB490" s="644">
        <f t="shared" ref="CB490:CB495" si="263">I490</f>
        <v>3300</v>
      </c>
      <c r="CC490" s="658">
        <f t="shared" ref="CC490:CC495" si="264">I490/11</f>
        <v>300</v>
      </c>
      <c r="CD490" s="644">
        <f t="shared" si="229"/>
        <v>3300</v>
      </c>
      <c r="CE490" s="644">
        <f t="shared" si="231"/>
        <v>0</v>
      </c>
    </row>
    <row r="491" s="338" customFormat="1" ht="40" customHeight="1" spans="1:83">
      <c r="A491" s="632">
        <v>45945</v>
      </c>
      <c r="B491" s="633" t="s">
        <v>2286</v>
      </c>
      <c r="C491" s="634" t="s">
        <v>1024</v>
      </c>
      <c r="D491" s="635">
        <v>4500181980</v>
      </c>
      <c r="E491" s="659">
        <v>20119</v>
      </c>
      <c r="F491" s="635" t="s">
        <v>2287</v>
      </c>
      <c r="G491" s="637" t="s">
        <v>241</v>
      </c>
      <c r="H491" s="637" t="s">
        <v>99</v>
      </c>
      <c r="I491" s="638">
        <v>594</v>
      </c>
      <c r="J491" s="638">
        <v>0</v>
      </c>
      <c r="K491" s="639">
        <v>11</v>
      </c>
      <c r="L491" s="639">
        <f t="shared" si="230"/>
        <v>54</v>
      </c>
      <c r="M491" s="641">
        <v>45981</v>
      </c>
      <c r="N491" s="641">
        <v>45978</v>
      </c>
      <c r="O491" s="641" t="s">
        <v>2288</v>
      </c>
      <c r="P491" s="642" t="s">
        <v>100</v>
      </c>
      <c r="Q491" s="643" t="s">
        <v>2289</v>
      </c>
      <c r="R491" s="642" t="s">
        <v>305</v>
      </c>
      <c r="S491" s="641"/>
      <c r="T491" s="641"/>
      <c r="U491" s="642" t="s">
        <v>2290</v>
      </c>
      <c r="V491" s="642"/>
      <c r="W491" s="645"/>
      <c r="X491" s="647" t="s">
        <v>2291</v>
      </c>
      <c r="Y491" s="646" t="s">
        <v>1054</v>
      </c>
      <c r="Z491" s="683">
        <v>2.724</v>
      </c>
      <c r="AA491" s="650">
        <f t="shared" si="258"/>
        <v>1618.056</v>
      </c>
      <c r="AB491" s="649">
        <v>594</v>
      </c>
      <c r="AC491" s="649">
        <f t="shared" si="228"/>
        <v>0</v>
      </c>
      <c r="AD491" s="650" t="s">
        <v>106</v>
      </c>
      <c r="AE491" s="637" t="s">
        <v>1264</v>
      </c>
      <c r="AF491" s="646" t="s">
        <v>107</v>
      </c>
      <c r="AG491" s="652" t="s">
        <v>43</v>
      </c>
      <c r="AH491" s="646" t="s">
        <v>2292</v>
      </c>
      <c r="AI491" s="705"/>
      <c r="AJ491" s="705"/>
      <c r="AK491" s="705"/>
      <c r="AL491" s="649"/>
      <c r="AM491" s="649"/>
      <c r="AN491" s="705"/>
      <c r="AO491" s="649">
        <f>I491</f>
        <v>594</v>
      </c>
      <c r="AP491" s="649"/>
      <c r="AQ491" s="653"/>
      <c r="AR491" s="705"/>
      <c r="AS491" s="705"/>
      <c r="AT491" s="649"/>
      <c r="AU491" s="649"/>
      <c r="AV491" s="652">
        <f>I491</f>
        <v>594</v>
      </c>
      <c r="AW491" s="706"/>
      <c r="AX491" s="652"/>
      <c r="AY491" s="652"/>
      <c r="AZ491" s="706"/>
      <c r="BA491" s="652">
        <f>I491/11</f>
        <v>54</v>
      </c>
      <c r="BB491" s="652"/>
      <c r="BC491" s="706"/>
      <c r="BD491" s="706"/>
      <c r="BE491" s="654"/>
      <c r="BF491" s="706"/>
      <c r="BG491" s="652"/>
      <c r="BH491" s="652"/>
      <c r="BI491" s="706"/>
      <c r="BJ491" s="706"/>
      <c r="BK491" s="654"/>
      <c r="BL491" s="654"/>
      <c r="BM491" s="654"/>
      <c r="BN491" s="654"/>
      <c r="BO491" s="654"/>
      <c r="BP491" s="706"/>
      <c r="BQ491" s="654"/>
      <c r="BR491" s="706"/>
      <c r="BS491" s="652"/>
      <c r="BT491" s="654"/>
      <c r="BU491" s="654"/>
      <c r="BV491" s="654"/>
      <c r="BW491" s="645" t="s">
        <v>109</v>
      </c>
      <c r="BX491" s="658">
        <f t="shared" si="259"/>
        <v>135</v>
      </c>
      <c r="BY491" s="658">
        <f t="shared" si="260"/>
        <v>162</v>
      </c>
      <c r="BZ491" s="658">
        <f t="shared" si="261"/>
        <v>162</v>
      </c>
      <c r="CA491" s="658">
        <f t="shared" si="262"/>
        <v>135</v>
      </c>
      <c r="CB491" s="644">
        <f t="shared" si="263"/>
        <v>594</v>
      </c>
      <c r="CC491" s="658">
        <f t="shared" si="264"/>
        <v>54</v>
      </c>
      <c r="CD491" s="644">
        <f t="shared" si="229"/>
        <v>594</v>
      </c>
      <c r="CE491" s="644">
        <f t="shared" si="231"/>
        <v>0</v>
      </c>
    </row>
    <row r="492" s="338" customFormat="1" ht="40" customHeight="1" spans="1:83">
      <c r="A492" s="632">
        <v>45946</v>
      </c>
      <c r="B492" s="633" t="s">
        <v>2293</v>
      </c>
      <c r="C492" s="634" t="s">
        <v>590</v>
      </c>
      <c r="D492" s="635">
        <v>4500181278</v>
      </c>
      <c r="E492" s="659">
        <v>5200007921</v>
      </c>
      <c r="F492" s="635" t="s">
        <v>2294</v>
      </c>
      <c r="G492" s="637" t="s">
        <v>774</v>
      </c>
      <c r="H492" s="637" t="s">
        <v>99</v>
      </c>
      <c r="I492" s="638">
        <v>1122</v>
      </c>
      <c r="J492" s="638">
        <v>0</v>
      </c>
      <c r="K492" s="639">
        <v>11</v>
      </c>
      <c r="L492" s="639">
        <f t="shared" si="230"/>
        <v>102</v>
      </c>
      <c r="M492" s="641">
        <v>45981</v>
      </c>
      <c r="N492" s="641">
        <v>45978</v>
      </c>
      <c r="O492" s="641"/>
      <c r="P492" s="642" t="s">
        <v>100</v>
      </c>
      <c r="Q492" s="643" t="s">
        <v>2295</v>
      </c>
      <c r="R492" s="642" t="s">
        <v>2296</v>
      </c>
      <c r="S492" s="641"/>
      <c r="T492" s="641"/>
      <c r="U492" s="642" t="s">
        <v>2297</v>
      </c>
      <c r="V492" s="642"/>
      <c r="W492" s="645"/>
      <c r="X492" s="647" t="s">
        <v>2298</v>
      </c>
      <c r="Y492" s="646" t="s">
        <v>1725</v>
      </c>
      <c r="Z492" s="648">
        <v>2.7121</v>
      </c>
      <c r="AA492" s="650">
        <f t="shared" si="258"/>
        <v>3042.9762</v>
      </c>
      <c r="AB492" s="649">
        <v>1122</v>
      </c>
      <c r="AC492" s="649">
        <f t="shared" si="228"/>
        <v>0</v>
      </c>
      <c r="AD492" s="650" t="s">
        <v>106</v>
      </c>
      <c r="AE492" s="661" t="s">
        <v>597</v>
      </c>
      <c r="AF492" s="646" t="s">
        <v>107</v>
      </c>
      <c r="AG492" s="652" t="s">
        <v>43</v>
      </c>
      <c r="AH492" s="646" t="s">
        <v>2299</v>
      </c>
      <c r="AI492" s="705"/>
      <c r="AJ492" s="705"/>
      <c r="AK492" s="705"/>
      <c r="AL492" s="649"/>
      <c r="AM492" s="649"/>
      <c r="AN492" s="705"/>
      <c r="AO492" s="649">
        <f>I492</f>
        <v>1122</v>
      </c>
      <c r="AP492" s="649"/>
      <c r="AQ492" s="653"/>
      <c r="AR492" s="705"/>
      <c r="AS492" s="705"/>
      <c r="AT492" s="649">
        <f>I492</f>
        <v>1122</v>
      </c>
      <c r="AU492" s="649"/>
      <c r="AV492" s="654"/>
      <c r="AW492" s="706"/>
      <c r="AX492" s="652"/>
      <c r="AY492" s="652"/>
      <c r="AZ492" s="706"/>
      <c r="BA492" s="652">
        <f>I492/11</f>
        <v>102</v>
      </c>
      <c r="BB492" s="652"/>
      <c r="BC492" s="706"/>
      <c r="BD492" s="706"/>
      <c r="BE492" s="654"/>
      <c r="BF492" s="706"/>
      <c r="BG492" s="652"/>
      <c r="BH492" s="652"/>
      <c r="BI492" s="706"/>
      <c r="BJ492" s="706"/>
      <c r="BK492" s="654"/>
      <c r="BL492" s="654"/>
      <c r="BM492" s="654"/>
      <c r="BN492" s="654"/>
      <c r="BO492" s="654"/>
      <c r="BP492" s="706"/>
      <c r="BQ492" s="654"/>
      <c r="BR492" s="706"/>
      <c r="BS492" s="652"/>
      <c r="BT492" s="654"/>
      <c r="BU492" s="654"/>
      <c r="BV492" s="654"/>
      <c r="BW492" s="645" t="s">
        <v>109</v>
      </c>
      <c r="BX492" s="658">
        <f t="shared" si="259"/>
        <v>255</v>
      </c>
      <c r="BY492" s="658">
        <f t="shared" si="260"/>
        <v>306</v>
      </c>
      <c r="BZ492" s="658">
        <f t="shared" si="261"/>
        <v>306</v>
      </c>
      <c r="CA492" s="658">
        <f t="shared" si="262"/>
        <v>255</v>
      </c>
      <c r="CB492" s="644">
        <f t="shared" si="263"/>
        <v>1122</v>
      </c>
      <c r="CC492" s="658">
        <f t="shared" si="264"/>
        <v>102</v>
      </c>
      <c r="CD492" s="644">
        <f t="shared" si="229"/>
        <v>1122</v>
      </c>
      <c r="CE492" s="644">
        <f t="shared" si="231"/>
        <v>0</v>
      </c>
    </row>
    <row r="493" s="338" customFormat="1" ht="40" customHeight="1" spans="1:83">
      <c r="A493" s="632">
        <v>45928</v>
      </c>
      <c r="B493" s="633" t="s">
        <v>1778</v>
      </c>
      <c r="C493" s="634" t="s">
        <v>590</v>
      </c>
      <c r="D493" s="635">
        <v>4500180068</v>
      </c>
      <c r="E493" s="659"/>
      <c r="F493" s="635" t="s">
        <v>2300</v>
      </c>
      <c r="G493" s="637" t="s">
        <v>241</v>
      </c>
      <c r="H493" s="637" t="s">
        <v>99</v>
      </c>
      <c r="I493" s="638">
        <v>1100</v>
      </c>
      <c r="J493" s="638">
        <v>0</v>
      </c>
      <c r="K493" s="639">
        <v>11</v>
      </c>
      <c r="L493" s="639">
        <f t="shared" si="230"/>
        <v>100</v>
      </c>
      <c r="M493" s="641">
        <v>45985</v>
      </c>
      <c r="N493" s="641">
        <v>45981</v>
      </c>
      <c r="O493" s="641" t="s">
        <v>1304</v>
      </c>
      <c r="P493" s="642" t="s">
        <v>100</v>
      </c>
      <c r="Q493" s="643" t="s">
        <v>2301</v>
      </c>
      <c r="R493" s="642" t="s">
        <v>2302</v>
      </c>
      <c r="S493" s="641"/>
      <c r="T493" s="641"/>
      <c r="U493" s="642" t="s">
        <v>1303</v>
      </c>
      <c r="V493" s="642"/>
      <c r="W493" s="645"/>
      <c r="X493" s="647" t="s">
        <v>2303</v>
      </c>
      <c r="Y493" s="646" t="s">
        <v>1029</v>
      </c>
      <c r="Z493" s="683">
        <v>2.7101</v>
      </c>
      <c r="AA493" s="650">
        <f t="shared" si="258"/>
        <v>2981.11</v>
      </c>
      <c r="AB493" s="649">
        <v>1100</v>
      </c>
      <c r="AC493" s="649">
        <f t="shared" si="228"/>
        <v>0</v>
      </c>
      <c r="AD493" s="650" t="s">
        <v>106</v>
      </c>
      <c r="AE493" s="637" t="s">
        <v>1264</v>
      </c>
      <c r="AF493" s="646" t="s">
        <v>107</v>
      </c>
      <c r="AG493" s="652" t="s">
        <v>43</v>
      </c>
      <c r="AH493" s="646" t="s">
        <v>2304</v>
      </c>
      <c r="AI493" s="705"/>
      <c r="AJ493" s="705"/>
      <c r="AK493" s="705"/>
      <c r="AL493" s="649"/>
      <c r="AM493" s="649"/>
      <c r="AN493" s="705"/>
      <c r="AO493" s="649">
        <f>I493</f>
        <v>1100</v>
      </c>
      <c r="AP493" s="649"/>
      <c r="AQ493" s="653"/>
      <c r="AR493" s="705"/>
      <c r="AS493" s="705"/>
      <c r="AT493" s="649"/>
      <c r="AU493" s="649"/>
      <c r="AV493" s="654">
        <f>I493</f>
        <v>1100</v>
      </c>
      <c r="AW493" s="706"/>
      <c r="AX493" s="652"/>
      <c r="AY493" s="652"/>
      <c r="AZ493" s="706"/>
      <c r="BA493" s="652">
        <f>I493/11</f>
        <v>100</v>
      </c>
      <c r="BB493" s="652"/>
      <c r="BC493" s="706"/>
      <c r="BD493" s="706"/>
      <c r="BE493" s="654"/>
      <c r="BF493" s="706"/>
      <c r="BG493" s="652"/>
      <c r="BH493" s="652"/>
      <c r="BI493" s="706"/>
      <c r="BJ493" s="706"/>
      <c r="BK493" s="654"/>
      <c r="BL493" s="654"/>
      <c r="BM493" s="654"/>
      <c r="BN493" s="654"/>
      <c r="BO493" s="654"/>
      <c r="BP493" s="706"/>
      <c r="BQ493" s="654"/>
      <c r="BR493" s="706"/>
      <c r="BS493" s="652"/>
      <c r="BT493" s="654"/>
      <c r="BU493" s="654"/>
      <c r="BV493" s="654"/>
      <c r="BW493" s="645" t="s">
        <v>109</v>
      </c>
      <c r="BX493" s="658">
        <f t="shared" si="259"/>
        <v>250</v>
      </c>
      <c r="BY493" s="658">
        <f t="shared" si="260"/>
        <v>300</v>
      </c>
      <c r="BZ493" s="658">
        <f t="shared" si="261"/>
        <v>300</v>
      </c>
      <c r="CA493" s="658">
        <f t="shared" si="262"/>
        <v>250</v>
      </c>
      <c r="CB493" s="644">
        <f t="shared" si="263"/>
        <v>1100</v>
      </c>
      <c r="CC493" s="658">
        <f t="shared" si="264"/>
        <v>100</v>
      </c>
      <c r="CD493" s="644">
        <f t="shared" si="229"/>
        <v>1100</v>
      </c>
      <c r="CE493" s="644">
        <f t="shared" si="231"/>
        <v>0</v>
      </c>
    </row>
    <row r="494" s="338" customFormat="1" ht="40" customHeight="1" spans="1:83">
      <c r="A494" s="632">
        <v>45926</v>
      </c>
      <c r="B494" s="633" t="s">
        <v>1002</v>
      </c>
      <c r="C494" s="634" t="s">
        <v>1003</v>
      </c>
      <c r="D494" s="635">
        <v>4500180436</v>
      </c>
      <c r="E494" s="659" t="s">
        <v>2305</v>
      </c>
      <c r="F494" s="635" t="s">
        <v>2306</v>
      </c>
      <c r="G494" s="637" t="s">
        <v>111</v>
      </c>
      <c r="H494" s="637" t="s">
        <v>99</v>
      </c>
      <c r="I494" s="638">
        <v>1210</v>
      </c>
      <c r="J494" s="638">
        <v>0</v>
      </c>
      <c r="K494" s="639">
        <v>22</v>
      </c>
      <c r="L494" s="639">
        <f t="shared" si="230"/>
        <v>55</v>
      </c>
      <c r="M494" s="641">
        <v>45985</v>
      </c>
      <c r="N494" s="641">
        <v>45988</v>
      </c>
      <c r="O494" s="641"/>
      <c r="P494" s="642" t="s">
        <v>100</v>
      </c>
      <c r="Q494" s="643" t="s">
        <v>269</v>
      </c>
      <c r="R494" s="642" t="s">
        <v>2307</v>
      </c>
      <c r="S494" s="641"/>
      <c r="T494" s="641"/>
      <c r="U494" s="642" t="s">
        <v>2308</v>
      </c>
      <c r="V494" s="642"/>
      <c r="W494" s="645"/>
      <c r="X494" s="647" t="s">
        <v>2309</v>
      </c>
      <c r="Y494" s="646" t="s">
        <v>2310</v>
      </c>
      <c r="Z494" s="683">
        <v>2.6806</v>
      </c>
      <c r="AA494" s="650">
        <f t="shared" si="258"/>
        <v>3243.526</v>
      </c>
      <c r="AB494" s="649">
        <f>1188+22</f>
        <v>1210</v>
      </c>
      <c r="AC494" s="649">
        <f t="shared" si="228"/>
        <v>0</v>
      </c>
      <c r="AD494" s="650" t="s">
        <v>106</v>
      </c>
      <c r="AE494" s="637" t="s">
        <v>111</v>
      </c>
      <c r="AF494" s="646" t="s">
        <v>107</v>
      </c>
      <c r="AG494" s="652" t="s">
        <v>43</v>
      </c>
      <c r="AH494" s="711" t="s">
        <v>2311</v>
      </c>
      <c r="AI494" s="712"/>
      <c r="AJ494" s="712"/>
      <c r="AK494" s="712"/>
      <c r="AL494" s="649">
        <f>I494</f>
        <v>1210</v>
      </c>
      <c r="AM494" s="649"/>
      <c r="AN494" s="712"/>
      <c r="AO494" s="649"/>
      <c r="AP494" s="649"/>
      <c r="AQ494" s="653"/>
      <c r="AR494" s="712"/>
      <c r="AS494" s="712"/>
      <c r="AT494" s="649">
        <f t="shared" ref="AT494:AT508" si="265">I494</f>
        <v>1210</v>
      </c>
      <c r="AU494" s="649"/>
      <c r="AV494" s="654"/>
      <c r="AW494" s="713"/>
      <c r="AX494" s="652">
        <f>I494/11</f>
        <v>110</v>
      </c>
      <c r="AY494" s="652"/>
      <c r="AZ494" s="713"/>
      <c r="BA494" s="652"/>
      <c r="BB494" s="652"/>
      <c r="BC494" s="713"/>
      <c r="BD494" s="713"/>
      <c r="BE494" s="654"/>
      <c r="BF494" s="713"/>
      <c r="BG494" s="652"/>
      <c r="BH494" s="652"/>
      <c r="BI494" s="713"/>
      <c r="BJ494" s="713"/>
      <c r="BK494" s="654"/>
      <c r="BL494" s="654"/>
      <c r="BM494" s="654"/>
      <c r="BN494" s="654"/>
      <c r="BO494" s="654"/>
      <c r="BP494" s="713"/>
      <c r="BQ494" s="654"/>
      <c r="BR494" s="713"/>
      <c r="BS494" s="652"/>
      <c r="BT494" s="654"/>
      <c r="BU494" s="654"/>
      <c r="BV494" s="654"/>
      <c r="BW494" s="645" t="s">
        <v>109</v>
      </c>
      <c r="BX494" s="658">
        <f t="shared" si="259"/>
        <v>275</v>
      </c>
      <c r="BY494" s="658">
        <f t="shared" si="260"/>
        <v>330</v>
      </c>
      <c r="BZ494" s="658">
        <f t="shared" si="261"/>
        <v>330</v>
      </c>
      <c r="CA494" s="658">
        <f t="shared" si="262"/>
        <v>275</v>
      </c>
      <c r="CB494" s="644">
        <f t="shared" si="263"/>
        <v>1210</v>
      </c>
      <c r="CC494" s="658">
        <f t="shared" si="264"/>
        <v>110</v>
      </c>
      <c r="CD494" s="644">
        <f t="shared" si="229"/>
        <v>1210</v>
      </c>
      <c r="CE494" s="644">
        <f t="shared" si="231"/>
        <v>0</v>
      </c>
    </row>
    <row r="495" s="338" customFormat="1" ht="40" customHeight="1" spans="1:83">
      <c r="A495" s="632">
        <v>45944</v>
      </c>
      <c r="B495" s="633" t="s">
        <v>1888</v>
      </c>
      <c r="C495" s="634" t="s">
        <v>144</v>
      </c>
      <c r="D495" s="635">
        <v>4500181762</v>
      </c>
      <c r="E495" s="659">
        <v>5200007966</v>
      </c>
      <c r="F495" s="635" t="s">
        <v>2312</v>
      </c>
      <c r="G495" s="637" t="s">
        <v>774</v>
      </c>
      <c r="H495" s="637" t="s">
        <v>99</v>
      </c>
      <c r="I495" s="638">
        <v>4807</v>
      </c>
      <c r="J495" s="638">
        <v>0</v>
      </c>
      <c r="K495" s="639">
        <v>11</v>
      </c>
      <c r="L495" s="639">
        <f t="shared" si="230"/>
        <v>437</v>
      </c>
      <c r="M495" s="641">
        <v>45986</v>
      </c>
      <c r="N495" s="641">
        <v>45982</v>
      </c>
      <c r="O495" s="641"/>
      <c r="P495" s="642" t="s">
        <v>100</v>
      </c>
      <c r="Q495" s="643"/>
      <c r="R495" s="642" t="s">
        <v>2313</v>
      </c>
      <c r="S495" s="641"/>
      <c r="T495" s="641"/>
      <c r="U495" s="642" t="s">
        <v>2314</v>
      </c>
      <c r="V495" s="642"/>
      <c r="W495" s="645"/>
      <c r="X495" s="647" t="s">
        <v>2315</v>
      </c>
      <c r="Y495" s="646" t="s">
        <v>1725</v>
      </c>
      <c r="Z495" s="648">
        <v>2.7013</v>
      </c>
      <c r="AA495" s="650">
        <f t="shared" si="258"/>
        <v>12985.1491</v>
      </c>
      <c r="AB495" s="649">
        <f>4796+11</f>
        <v>4807</v>
      </c>
      <c r="AC495" s="649">
        <f t="shared" si="228"/>
        <v>0</v>
      </c>
      <c r="AD495" s="650" t="s">
        <v>123</v>
      </c>
      <c r="AE495" s="661" t="s">
        <v>597</v>
      </c>
      <c r="AF495" s="646" t="s">
        <v>107</v>
      </c>
      <c r="AG495" s="652" t="s">
        <v>43</v>
      </c>
      <c r="AH495" s="646" t="s">
        <v>2316</v>
      </c>
      <c r="AI495" s="705"/>
      <c r="AJ495" s="705"/>
      <c r="AK495" s="705"/>
      <c r="AL495" s="649"/>
      <c r="AM495" s="649"/>
      <c r="AN495" s="705"/>
      <c r="AO495" s="649">
        <f t="shared" ref="AO495:AO500" si="266">I495</f>
        <v>4807</v>
      </c>
      <c r="AP495" s="649"/>
      <c r="AQ495" s="653"/>
      <c r="AR495" s="705"/>
      <c r="AS495" s="705"/>
      <c r="AT495" s="649">
        <f t="shared" si="265"/>
        <v>4807</v>
      </c>
      <c r="AU495" s="649"/>
      <c r="AV495" s="654"/>
      <c r="AW495" s="706"/>
      <c r="AX495" s="652"/>
      <c r="AY495" s="652"/>
      <c r="AZ495" s="706"/>
      <c r="BA495" s="652">
        <f>I495/11</f>
        <v>437</v>
      </c>
      <c r="BB495" s="652"/>
      <c r="BC495" s="706"/>
      <c r="BD495" s="706"/>
      <c r="BE495" s="654"/>
      <c r="BF495" s="706"/>
      <c r="BG495" s="652"/>
      <c r="BH495" s="652"/>
      <c r="BI495" s="706"/>
      <c r="BJ495" s="706"/>
      <c r="BK495" s="654"/>
      <c r="BL495" s="654"/>
      <c r="BM495" s="654"/>
      <c r="BN495" s="654"/>
      <c r="BO495" s="654"/>
      <c r="BP495" s="706"/>
      <c r="BQ495" s="654"/>
      <c r="BR495" s="706"/>
      <c r="BS495" s="652"/>
      <c r="BT495" s="654"/>
      <c r="BU495" s="654"/>
      <c r="BV495" s="654"/>
      <c r="BW495" s="645" t="s">
        <v>109</v>
      </c>
      <c r="BX495" s="658">
        <f t="shared" si="259"/>
        <v>1092.5</v>
      </c>
      <c r="BY495" s="658">
        <f t="shared" si="260"/>
        <v>1311</v>
      </c>
      <c r="BZ495" s="658">
        <f t="shared" si="261"/>
        <v>1311</v>
      </c>
      <c r="CA495" s="658">
        <f t="shared" si="262"/>
        <v>1092.5</v>
      </c>
      <c r="CB495" s="644">
        <f t="shared" si="263"/>
        <v>4807</v>
      </c>
      <c r="CC495" s="658">
        <f t="shared" si="264"/>
        <v>437</v>
      </c>
      <c r="CD495" s="644">
        <f t="shared" si="229"/>
        <v>4807</v>
      </c>
      <c r="CE495" s="644">
        <f t="shared" si="231"/>
        <v>0</v>
      </c>
    </row>
    <row r="496" s="338" customFormat="1" ht="40" customHeight="1" spans="1:83">
      <c r="A496" s="632">
        <v>45928</v>
      </c>
      <c r="B496" s="633" t="s">
        <v>379</v>
      </c>
      <c r="C496" s="634" t="s">
        <v>380</v>
      </c>
      <c r="D496" s="635">
        <v>4500180750</v>
      </c>
      <c r="E496" s="659" t="s">
        <v>2317</v>
      </c>
      <c r="F496" s="635" t="s">
        <v>2318</v>
      </c>
      <c r="G496" s="637" t="s">
        <v>2231</v>
      </c>
      <c r="H496" s="637" t="s">
        <v>2232</v>
      </c>
      <c r="I496" s="638">
        <v>504</v>
      </c>
      <c r="J496" s="638">
        <v>0</v>
      </c>
      <c r="K496" s="639">
        <v>24</v>
      </c>
      <c r="L496" s="639">
        <f t="shared" si="230"/>
        <v>21</v>
      </c>
      <c r="M496" s="641">
        <v>45989</v>
      </c>
      <c r="N496" s="641">
        <v>45985</v>
      </c>
      <c r="O496" s="642" t="s">
        <v>2271</v>
      </c>
      <c r="P496" s="642" t="s">
        <v>100</v>
      </c>
      <c r="Q496" s="643" t="s">
        <v>2319</v>
      </c>
      <c r="R496" s="642" t="s">
        <v>993</v>
      </c>
      <c r="S496" s="641"/>
      <c r="T496" s="641"/>
      <c r="U496" s="642" t="s">
        <v>2320</v>
      </c>
      <c r="V496" s="642" t="s">
        <v>2321</v>
      </c>
      <c r="W496" s="645"/>
      <c r="X496" s="647" t="s">
        <v>2322</v>
      </c>
      <c r="Y496" s="646" t="s">
        <v>175</v>
      </c>
      <c r="Z496" s="683">
        <v>2.6493</v>
      </c>
      <c r="AA496" s="650">
        <f t="shared" si="258"/>
        <v>1335.2472</v>
      </c>
      <c r="AB496" s="649">
        <v>504</v>
      </c>
      <c r="AC496" s="649">
        <f t="shared" si="228"/>
        <v>0</v>
      </c>
      <c r="AD496" s="650" t="s">
        <v>106</v>
      </c>
      <c r="AE496" s="637" t="s">
        <v>2231</v>
      </c>
      <c r="AF496" s="646" t="s">
        <v>107</v>
      </c>
      <c r="AG496" s="652" t="s">
        <v>43</v>
      </c>
      <c r="AH496" s="646"/>
      <c r="AI496" s="705"/>
      <c r="AJ496" s="705"/>
      <c r="AK496" s="705"/>
      <c r="AL496" s="649"/>
      <c r="AM496" s="649"/>
      <c r="AN496" s="705"/>
      <c r="AO496" s="649">
        <f t="shared" si="266"/>
        <v>504</v>
      </c>
      <c r="AP496" s="649"/>
      <c r="AQ496" s="653"/>
      <c r="AR496" s="705"/>
      <c r="AS496" s="705"/>
      <c r="AT496" s="649">
        <f t="shared" si="265"/>
        <v>504</v>
      </c>
      <c r="AU496" s="649"/>
      <c r="AV496" s="654"/>
      <c r="AW496" s="706"/>
      <c r="AX496" s="652"/>
      <c r="AY496" s="652"/>
      <c r="AZ496" s="706"/>
      <c r="BA496" s="652"/>
      <c r="BB496" s="652"/>
      <c r="BC496" s="706"/>
      <c r="BD496" s="706"/>
      <c r="BE496" s="654"/>
      <c r="BF496" s="706"/>
      <c r="BG496" s="652"/>
      <c r="BH496" s="652"/>
      <c r="BI496" s="706"/>
      <c r="BJ496" s="706"/>
      <c r="BK496" s="654"/>
      <c r="BL496" s="654"/>
      <c r="BM496" s="654"/>
      <c r="BN496" s="654"/>
      <c r="BO496" s="654"/>
      <c r="BP496" s="706"/>
      <c r="BQ496" s="654"/>
      <c r="BR496" s="706"/>
      <c r="BS496" s="652"/>
      <c r="BT496" s="654"/>
      <c r="BU496" s="654"/>
      <c r="BV496" s="654"/>
      <c r="BW496" s="645" t="s">
        <v>109</v>
      </c>
      <c r="BX496" s="658">
        <f>I496</f>
        <v>504</v>
      </c>
      <c r="BY496" s="658"/>
      <c r="BZ496" s="658"/>
      <c r="CA496" s="658"/>
      <c r="CB496" s="644"/>
      <c r="CC496" s="658"/>
      <c r="CD496" s="644">
        <f t="shared" si="229"/>
        <v>504</v>
      </c>
      <c r="CE496" s="644">
        <f t="shared" si="231"/>
        <v>0</v>
      </c>
    </row>
    <row r="497" s="338" customFormat="1" ht="40" customHeight="1" spans="1:83">
      <c r="A497" s="632">
        <v>45928</v>
      </c>
      <c r="B497" s="633" t="s">
        <v>379</v>
      </c>
      <c r="C497" s="634" t="s">
        <v>380</v>
      </c>
      <c r="D497" s="635">
        <v>4500180750</v>
      </c>
      <c r="E497" s="659" t="s">
        <v>2317</v>
      </c>
      <c r="F497" s="635" t="s">
        <v>2323</v>
      </c>
      <c r="G497" s="637" t="s">
        <v>1992</v>
      </c>
      <c r="H497" s="637" t="s">
        <v>1993</v>
      </c>
      <c r="I497" s="638">
        <v>768</v>
      </c>
      <c r="J497" s="638">
        <v>0</v>
      </c>
      <c r="K497" s="639">
        <v>24</v>
      </c>
      <c r="L497" s="639">
        <f t="shared" si="230"/>
        <v>32</v>
      </c>
      <c r="M497" s="641">
        <v>45989</v>
      </c>
      <c r="N497" s="641">
        <v>45985</v>
      </c>
      <c r="O497" s="642" t="s">
        <v>2271</v>
      </c>
      <c r="P497" s="642" t="s">
        <v>100</v>
      </c>
      <c r="Q497" s="643" t="s">
        <v>2319</v>
      </c>
      <c r="R497" s="642" t="s">
        <v>993</v>
      </c>
      <c r="S497" s="641"/>
      <c r="T497" s="641"/>
      <c r="U497" s="642" t="s">
        <v>2320</v>
      </c>
      <c r="V497" s="642" t="s">
        <v>2321</v>
      </c>
      <c r="W497" s="645"/>
      <c r="X497" s="647" t="s">
        <v>2324</v>
      </c>
      <c r="Y497" s="646" t="s">
        <v>175</v>
      </c>
      <c r="Z497" s="683">
        <v>2.6493</v>
      </c>
      <c r="AA497" s="650">
        <f t="shared" si="258"/>
        <v>2034.6624</v>
      </c>
      <c r="AB497" s="649">
        <v>768</v>
      </c>
      <c r="AC497" s="649">
        <f t="shared" ref="AC497:AC516" si="267">AB497-I497</f>
        <v>0</v>
      </c>
      <c r="AD497" s="650" t="s">
        <v>106</v>
      </c>
      <c r="AE497" s="637" t="s">
        <v>1992</v>
      </c>
      <c r="AF497" s="646" t="s">
        <v>107</v>
      </c>
      <c r="AG497" s="652" t="s">
        <v>43</v>
      </c>
      <c r="AH497" s="646"/>
      <c r="AI497" s="705"/>
      <c r="AJ497" s="705"/>
      <c r="AK497" s="705"/>
      <c r="AL497" s="649"/>
      <c r="AM497" s="649"/>
      <c r="AN497" s="705"/>
      <c r="AO497" s="649">
        <f t="shared" si="266"/>
        <v>768</v>
      </c>
      <c r="AP497" s="649"/>
      <c r="AQ497" s="653"/>
      <c r="AR497" s="705"/>
      <c r="AS497" s="705"/>
      <c r="AT497" s="649">
        <f t="shared" si="265"/>
        <v>768</v>
      </c>
      <c r="AU497" s="649"/>
      <c r="AV497" s="654"/>
      <c r="AW497" s="706"/>
      <c r="AX497" s="652"/>
      <c r="AY497" s="652"/>
      <c r="AZ497" s="706"/>
      <c r="BA497" s="652"/>
      <c r="BB497" s="652"/>
      <c r="BC497" s="706"/>
      <c r="BD497" s="706"/>
      <c r="BE497" s="654"/>
      <c r="BF497" s="706"/>
      <c r="BG497" s="652"/>
      <c r="BH497" s="652"/>
      <c r="BI497" s="706"/>
      <c r="BJ497" s="706"/>
      <c r="BK497" s="654"/>
      <c r="BL497" s="654"/>
      <c r="BM497" s="654"/>
      <c r="BN497" s="654"/>
      <c r="BO497" s="654"/>
      <c r="BP497" s="706"/>
      <c r="BQ497" s="654"/>
      <c r="BR497" s="706"/>
      <c r="BS497" s="652"/>
      <c r="BT497" s="654"/>
      <c r="BU497" s="654"/>
      <c r="BV497" s="654"/>
      <c r="BW497" s="645" t="s">
        <v>109</v>
      </c>
      <c r="BX497" s="658"/>
      <c r="BY497" s="658"/>
      <c r="BZ497" s="658"/>
      <c r="CA497" s="658">
        <f>I497</f>
        <v>768</v>
      </c>
      <c r="CB497" s="644"/>
      <c r="CC497" s="644"/>
      <c r="CD497" s="644">
        <f t="shared" si="229"/>
        <v>768</v>
      </c>
      <c r="CE497" s="644">
        <f t="shared" si="231"/>
        <v>0</v>
      </c>
    </row>
    <row r="498" s="338" customFormat="1" ht="40" customHeight="1" spans="1:83">
      <c r="A498" s="632">
        <v>45928</v>
      </c>
      <c r="B498" s="633" t="s">
        <v>379</v>
      </c>
      <c r="C498" s="634" t="s">
        <v>144</v>
      </c>
      <c r="D498" s="635">
        <v>4500180750</v>
      </c>
      <c r="E498" s="659" t="s">
        <v>2325</v>
      </c>
      <c r="F498" s="635" t="s">
        <v>2326</v>
      </c>
      <c r="G498" s="637" t="s">
        <v>1992</v>
      </c>
      <c r="H498" s="637" t="s">
        <v>1993</v>
      </c>
      <c r="I498" s="638">
        <v>960</v>
      </c>
      <c r="J498" s="638">
        <v>0</v>
      </c>
      <c r="K498" s="639">
        <v>24</v>
      </c>
      <c r="L498" s="639">
        <f t="shared" si="230"/>
        <v>40</v>
      </c>
      <c r="M498" s="641">
        <v>45989</v>
      </c>
      <c r="N498" s="641">
        <v>45985</v>
      </c>
      <c r="O498" s="642" t="s">
        <v>2271</v>
      </c>
      <c r="P498" s="642" t="s">
        <v>100</v>
      </c>
      <c r="Q498" s="643" t="s">
        <v>2319</v>
      </c>
      <c r="R498" s="642" t="s">
        <v>993</v>
      </c>
      <c r="S498" s="641"/>
      <c r="T498" s="641"/>
      <c r="U498" s="642" t="s">
        <v>2320</v>
      </c>
      <c r="V498" s="642" t="s">
        <v>2321</v>
      </c>
      <c r="W498" s="645"/>
      <c r="X498" s="647" t="s">
        <v>2324</v>
      </c>
      <c r="Y498" s="646" t="s">
        <v>175</v>
      </c>
      <c r="Z498" s="683">
        <v>2.6493</v>
      </c>
      <c r="AA498" s="650">
        <f t="shared" si="258"/>
        <v>2543.328</v>
      </c>
      <c r="AB498" s="649">
        <v>960</v>
      </c>
      <c r="AC498" s="649">
        <f t="shared" si="267"/>
        <v>0</v>
      </c>
      <c r="AD498" s="650" t="s">
        <v>106</v>
      </c>
      <c r="AE498" s="637" t="s">
        <v>1992</v>
      </c>
      <c r="AF498" s="646" t="s">
        <v>107</v>
      </c>
      <c r="AG498" s="652" t="s">
        <v>43</v>
      </c>
      <c r="AH498" s="646"/>
      <c r="AI498" s="705"/>
      <c r="AJ498" s="705"/>
      <c r="AK498" s="705"/>
      <c r="AL498" s="649"/>
      <c r="AM498" s="649"/>
      <c r="AN498" s="705"/>
      <c r="AO498" s="649">
        <f t="shared" si="266"/>
        <v>960</v>
      </c>
      <c r="AP498" s="649"/>
      <c r="AQ498" s="653"/>
      <c r="AR498" s="705"/>
      <c r="AS498" s="705"/>
      <c r="AT498" s="649">
        <f t="shared" si="265"/>
        <v>960</v>
      </c>
      <c r="AU498" s="649"/>
      <c r="AV498" s="654"/>
      <c r="AW498" s="706"/>
      <c r="AX498" s="652"/>
      <c r="AY498" s="652"/>
      <c r="AZ498" s="706"/>
      <c r="BA498" s="652"/>
      <c r="BB498" s="652"/>
      <c r="BC498" s="706"/>
      <c r="BD498" s="706"/>
      <c r="BE498" s="654"/>
      <c r="BF498" s="706"/>
      <c r="BG498" s="652"/>
      <c r="BH498" s="652"/>
      <c r="BI498" s="706"/>
      <c r="BJ498" s="706"/>
      <c r="BK498" s="654"/>
      <c r="BL498" s="654"/>
      <c r="BM498" s="654"/>
      <c r="BN498" s="654"/>
      <c r="BO498" s="654"/>
      <c r="BP498" s="706"/>
      <c r="BQ498" s="654"/>
      <c r="BR498" s="706"/>
      <c r="BS498" s="652"/>
      <c r="BT498" s="654"/>
      <c r="BU498" s="654"/>
      <c r="BV498" s="654"/>
      <c r="BW498" s="645" t="s">
        <v>109</v>
      </c>
      <c r="BX498" s="658"/>
      <c r="BY498" s="658"/>
      <c r="BZ498" s="658"/>
      <c r="CA498" s="658">
        <f>I498</f>
        <v>960</v>
      </c>
      <c r="CB498" s="644"/>
      <c r="CC498" s="644"/>
      <c r="CD498" s="644">
        <f t="shared" ref="CD498:CD516" si="268">SUM(BX498:CA498)</f>
        <v>960</v>
      </c>
      <c r="CE498" s="644">
        <f t="shared" si="231"/>
        <v>0</v>
      </c>
    </row>
    <row r="499" s="338" customFormat="1" ht="40" customHeight="1" spans="1:83">
      <c r="A499" s="632">
        <v>45928</v>
      </c>
      <c r="B499" s="633" t="s">
        <v>379</v>
      </c>
      <c r="C499" s="634" t="s">
        <v>169</v>
      </c>
      <c r="D499" s="635">
        <v>4500180750</v>
      </c>
      <c r="E499" s="659" t="s">
        <v>2327</v>
      </c>
      <c r="F499" s="635" t="s">
        <v>2328</v>
      </c>
      <c r="G499" s="637" t="s">
        <v>2231</v>
      </c>
      <c r="H499" s="637" t="s">
        <v>2232</v>
      </c>
      <c r="I499" s="638">
        <v>504</v>
      </c>
      <c r="J499" s="638">
        <v>0</v>
      </c>
      <c r="K499" s="639">
        <v>24</v>
      </c>
      <c r="L499" s="639">
        <f t="shared" si="230"/>
        <v>21</v>
      </c>
      <c r="M499" s="641">
        <v>45989</v>
      </c>
      <c r="N499" s="641">
        <v>45985</v>
      </c>
      <c r="O499" s="642" t="s">
        <v>2271</v>
      </c>
      <c r="P499" s="642" t="s">
        <v>100</v>
      </c>
      <c r="Q499" s="643" t="s">
        <v>2329</v>
      </c>
      <c r="R499" s="642" t="s">
        <v>993</v>
      </c>
      <c r="S499" s="641"/>
      <c r="T499" s="641"/>
      <c r="U499" s="642" t="s">
        <v>2320</v>
      </c>
      <c r="V499" s="642" t="s">
        <v>2321</v>
      </c>
      <c r="W499" s="645"/>
      <c r="X499" s="647" t="s">
        <v>2322</v>
      </c>
      <c r="Y499" s="646" t="s">
        <v>175</v>
      </c>
      <c r="Z499" s="683">
        <v>2.6493</v>
      </c>
      <c r="AA499" s="650">
        <f t="shared" si="258"/>
        <v>1335.2472</v>
      </c>
      <c r="AB499" s="649">
        <v>504</v>
      </c>
      <c r="AC499" s="649">
        <f t="shared" si="267"/>
        <v>0</v>
      </c>
      <c r="AD499" s="650" t="s">
        <v>106</v>
      </c>
      <c r="AE499" s="637" t="s">
        <v>2231</v>
      </c>
      <c r="AF499" s="646" t="s">
        <v>107</v>
      </c>
      <c r="AG499" s="652" t="s">
        <v>43</v>
      </c>
      <c r="AH499" s="646"/>
      <c r="AI499" s="705"/>
      <c r="AJ499" s="705"/>
      <c r="AK499" s="705"/>
      <c r="AL499" s="649"/>
      <c r="AM499" s="649"/>
      <c r="AN499" s="705"/>
      <c r="AO499" s="649">
        <f t="shared" si="266"/>
        <v>504</v>
      </c>
      <c r="AP499" s="649"/>
      <c r="AQ499" s="653"/>
      <c r="AR499" s="705"/>
      <c r="AS499" s="705"/>
      <c r="AT499" s="649">
        <f t="shared" si="265"/>
        <v>504</v>
      </c>
      <c r="AU499" s="649"/>
      <c r="AV499" s="654"/>
      <c r="AW499" s="706"/>
      <c r="AX499" s="652"/>
      <c r="AY499" s="652"/>
      <c r="AZ499" s="706"/>
      <c r="BA499" s="652"/>
      <c r="BB499" s="652"/>
      <c r="BC499" s="706"/>
      <c r="BD499" s="706"/>
      <c r="BE499" s="654"/>
      <c r="BF499" s="706"/>
      <c r="BG499" s="652"/>
      <c r="BH499" s="652"/>
      <c r="BI499" s="706"/>
      <c r="BJ499" s="706"/>
      <c r="BK499" s="654"/>
      <c r="BL499" s="654"/>
      <c r="BM499" s="654"/>
      <c r="BN499" s="654"/>
      <c r="BO499" s="654"/>
      <c r="BP499" s="706"/>
      <c r="BQ499" s="654"/>
      <c r="BR499" s="706"/>
      <c r="BS499" s="652"/>
      <c r="BT499" s="654"/>
      <c r="BU499" s="654"/>
      <c r="BV499" s="654"/>
      <c r="BW499" s="645" t="s">
        <v>109</v>
      </c>
      <c r="BX499" s="658">
        <f>I499</f>
        <v>504</v>
      </c>
      <c r="BY499" s="658"/>
      <c r="BZ499" s="658"/>
      <c r="CA499" s="658"/>
      <c r="CB499" s="644"/>
      <c r="CC499" s="658"/>
      <c r="CD499" s="644">
        <f t="shared" si="268"/>
        <v>504</v>
      </c>
      <c r="CE499" s="644">
        <f t="shared" si="231"/>
        <v>0</v>
      </c>
    </row>
    <row r="500" s="338" customFormat="1" ht="40" customHeight="1" spans="1:83">
      <c r="A500" s="632">
        <v>45928</v>
      </c>
      <c r="B500" s="633" t="s">
        <v>379</v>
      </c>
      <c r="C500" s="634" t="s">
        <v>169</v>
      </c>
      <c r="D500" s="635">
        <v>4500180750</v>
      </c>
      <c r="E500" s="659" t="s">
        <v>2327</v>
      </c>
      <c r="F500" s="635" t="s">
        <v>2330</v>
      </c>
      <c r="G500" s="637" t="s">
        <v>1992</v>
      </c>
      <c r="H500" s="637" t="s">
        <v>1993</v>
      </c>
      <c r="I500" s="638">
        <v>504</v>
      </c>
      <c r="J500" s="638">
        <v>0</v>
      </c>
      <c r="K500" s="639">
        <v>24</v>
      </c>
      <c r="L500" s="639">
        <f t="shared" si="230"/>
        <v>21</v>
      </c>
      <c r="M500" s="641">
        <v>45989</v>
      </c>
      <c r="N500" s="641">
        <v>45985</v>
      </c>
      <c r="O500" s="642" t="s">
        <v>2271</v>
      </c>
      <c r="P500" s="642" t="s">
        <v>100</v>
      </c>
      <c r="Q500" s="643" t="s">
        <v>2329</v>
      </c>
      <c r="R500" s="642" t="s">
        <v>993</v>
      </c>
      <c r="S500" s="641"/>
      <c r="T500" s="641"/>
      <c r="U500" s="642" t="s">
        <v>2320</v>
      </c>
      <c r="V500" s="642" t="s">
        <v>2321</v>
      </c>
      <c r="W500" s="645"/>
      <c r="X500" s="647" t="s">
        <v>2324</v>
      </c>
      <c r="Y500" s="646" t="s">
        <v>175</v>
      </c>
      <c r="Z500" s="683">
        <v>2.6493</v>
      </c>
      <c r="AA500" s="650">
        <f t="shared" si="258"/>
        <v>1335.2472</v>
      </c>
      <c r="AB500" s="649">
        <v>504</v>
      </c>
      <c r="AC500" s="649">
        <f t="shared" si="267"/>
        <v>0</v>
      </c>
      <c r="AD500" s="650" t="s">
        <v>106</v>
      </c>
      <c r="AE500" s="637" t="s">
        <v>1992</v>
      </c>
      <c r="AF500" s="646" t="s">
        <v>107</v>
      </c>
      <c r="AG500" s="652" t="s">
        <v>43</v>
      </c>
      <c r="AH500" s="646"/>
      <c r="AI500" s="705"/>
      <c r="AJ500" s="705"/>
      <c r="AK500" s="705"/>
      <c r="AL500" s="649"/>
      <c r="AM500" s="649"/>
      <c r="AN500" s="705"/>
      <c r="AO500" s="649">
        <f t="shared" si="266"/>
        <v>504</v>
      </c>
      <c r="AP500" s="649"/>
      <c r="AQ500" s="653"/>
      <c r="AR500" s="705"/>
      <c r="AS500" s="705"/>
      <c r="AT500" s="649">
        <f t="shared" si="265"/>
        <v>504</v>
      </c>
      <c r="AU500" s="649"/>
      <c r="AV500" s="654"/>
      <c r="AW500" s="706"/>
      <c r="AX500" s="652"/>
      <c r="AY500" s="652"/>
      <c r="AZ500" s="706"/>
      <c r="BA500" s="652"/>
      <c r="BB500" s="652"/>
      <c r="BC500" s="706"/>
      <c r="BD500" s="706"/>
      <c r="BE500" s="654"/>
      <c r="BF500" s="706"/>
      <c r="BG500" s="652"/>
      <c r="BH500" s="652"/>
      <c r="BI500" s="706"/>
      <c r="BJ500" s="706"/>
      <c r="BK500" s="654"/>
      <c r="BL500" s="654"/>
      <c r="BM500" s="654"/>
      <c r="BN500" s="654"/>
      <c r="BO500" s="654"/>
      <c r="BP500" s="706"/>
      <c r="BQ500" s="654"/>
      <c r="BR500" s="706"/>
      <c r="BS500" s="652"/>
      <c r="BT500" s="654"/>
      <c r="BU500" s="654"/>
      <c r="BV500" s="654"/>
      <c r="BW500" s="645" t="s">
        <v>109</v>
      </c>
      <c r="BX500" s="658"/>
      <c r="BY500" s="658"/>
      <c r="BZ500" s="658"/>
      <c r="CA500" s="658">
        <f>I500</f>
        <v>504</v>
      </c>
      <c r="CB500" s="644"/>
      <c r="CC500" s="644"/>
      <c r="CD500" s="644">
        <f t="shared" si="268"/>
        <v>504</v>
      </c>
      <c r="CE500" s="644">
        <f t="shared" si="231"/>
        <v>0</v>
      </c>
    </row>
    <row r="501" s="338" customFormat="1" ht="40" customHeight="1" spans="1:83">
      <c r="A501" s="632">
        <v>45950</v>
      </c>
      <c r="B501" s="633" t="s">
        <v>1865</v>
      </c>
      <c r="C501" s="634" t="s">
        <v>214</v>
      </c>
      <c r="D501" s="635">
        <v>4500181807</v>
      </c>
      <c r="E501" s="659" t="s">
        <v>2331</v>
      </c>
      <c r="F501" s="635" t="s">
        <v>2332</v>
      </c>
      <c r="G501" s="637" t="s">
        <v>98</v>
      </c>
      <c r="H501" s="637" t="s">
        <v>99</v>
      </c>
      <c r="I501" s="638">
        <v>3600</v>
      </c>
      <c r="J501" s="638">
        <v>0</v>
      </c>
      <c r="K501" s="639">
        <v>24</v>
      </c>
      <c r="L501" s="639">
        <f t="shared" ref="L501:L516" si="269">I501/K501</f>
        <v>150</v>
      </c>
      <c r="M501" s="641">
        <v>45985</v>
      </c>
      <c r="N501" s="641">
        <v>45981</v>
      </c>
      <c r="O501" s="641"/>
      <c r="P501" s="642" t="s">
        <v>100</v>
      </c>
      <c r="Q501" s="643" t="s">
        <v>2333</v>
      </c>
      <c r="R501" s="642" t="s">
        <v>2313</v>
      </c>
      <c r="S501" s="641"/>
      <c r="T501" s="641"/>
      <c r="U501" s="642" t="s">
        <v>2334</v>
      </c>
      <c r="V501" s="642"/>
      <c r="W501" s="645"/>
      <c r="X501" s="647" t="s">
        <v>2335</v>
      </c>
      <c r="Y501" s="646" t="s">
        <v>1871</v>
      </c>
      <c r="Z501" s="648">
        <v>1.4921</v>
      </c>
      <c r="AA501" s="650">
        <f t="shared" si="258"/>
        <v>5371.56</v>
      </c>
      <c r="AB501" s="649">
        <v>3600</v>
      </c>
      <c r="AC501" s="649">
        <f t="shared" si="267"/>
        <v>0</v>
      </c>
      <c r="AD501" s="650" t="s">
        <v>106</v>
      </c>
      <c r="AE501" s="637" t="s">
        <v>98</v>
      </c>
      <c r="AF501" s="646" t="s">
        <v>107</v>
      </c>
      <c r="AG501" s="652" t="s">
        <v>43</v>
      </c>
      <c r="AH501" s="646" t="s">
        <v>2336</v>
      </c>
      <c r="AI501" s="705"/>
      <c r="AJ501" s="705"/>
      <c r="AK501" s="705"/>
      <c r="AL501" s="649">
        <f>I501</f>
        <v>3600</v>
      </c>
      <c r="AM501" s="649"/>
      <c r="AN501" s="705"/>
      <c r="AO501" s="649"/>
      <c r="AP501" s="649"/>
      <c r="AQ501" s="653"/>
      <c r="AR501" s="705"/>
      <c r="AS501" s="705"/>
      <c r="AT501" s="649">
        <f t="shared" si="265"/>
        <v>3600</v>
      </c>
      <c r="AU501" s="649"/>
      <c r="AV501" s="654"/>
      <c r="AW501" s="706"/>
      <c r="AX501" s="652"/>
      <c r="AY501" s="652"/>
      <c r="AZ501" s="706"/>
      <c r="BA501" s="652"/>
      <c r="BB501" s="652"/>
      <c r="BC501" s="706"/>
      <c r="BD501" s="706"/>
      <c r="BE501" s="654"/>
      <c r="BF501" s="706"/>
      <c r="BG501" s="652"/>
      <c r="BH501" s="652"/>
      <c r="BI501" s="706"/>
      <c r="BJ501" s="706"/>
      <c r="BK501" s="654"/>
      <c r="BL501" s="654"/>
      <c r="BM501" s="654"/>
      <c r="BN501" s="654"/>
      <c r="BO501" s="654"/>
      <c r="BP501" s="706"/>
      <c r="BQ501" s="654"/>
      <c r="BR501" s="706"/>
      <c r="BS501" s="652"/>
      <c r="BT501" s="654"/>
      <c r="BU501" s="654"/>
      <c r="BV501" s="654"/>
      <c r="BW501" s="645" t="s">
        <v>109</v>
      </c>
      <c r="BX501" s="658">
        <f>I501/4</f>
        <v>900</v>
      </c>
      <c r="BY501" s="658">
        <f>I501/4</f>
        <v>900</v>
      </c>
      <c r="BZ501" s="658">
        <f>I501/4</f>
        <v>900</v>
      </c>
      <c r="CA501" s="658">
        <f>I501/4</f>
        <v>900</v>
      </c>
      <c r="CB501" s="644">
        <f>I501</f>
        <v>3600</v>
      </c>
      <c r="CC501" s="644"/>
      <c r="CD501" s="644">
        <f t="shared" si="268"/>
        <v>3600</v>
      </c>
      <c r="CE501" s="644">
        <f t="shared" si="231"/>
        <v>0</v>
      </c>
    </row>
    <row r="502" s="338" customFormat="1" ht="40" customHeight="1" spans="1:83">
      <c r="A502" s="632">
        <v>45950</v>
      </c>
      <c r="B502" s="633" t="s">
        <v>232</v>
      </c>
      <c r="C502" s="634" t="s">
        <v>223</v>
      </c>
      <c r="D502" s="635">
        <v>4500182488</v>
      </c>
      <c r="E502" s="659"/>
      <c r="F502" s="635" t="s">
        <v>2337</v>
      </c>
      <c r="G502" s="637" t="s">
        <v>111</v>
      </c>
      <c r="H502" s="637" t="s">
        <v>99</v>
      </c>
      <c r="I502" s="638">
        <v>1100</v>
      </c>
      <c r="J502" s="638">
        <v>0</v>
      </c>
      <c r="K502" s="639">
        <v>22</v>
      </c>
      <c r="L502" s="639">
        <f t="shared" si="269"/>
        <v>50</v>
      </c>
      <c r="M502" s="641">
        <v>45989</v>
      </c>
      <c r="N502" s="641">
        <v>45985</v>
      </c>
      <c r="O502" s="641"/>
      <c r="P502" s="642" t="s">
        <v>100</v>
      </c>
      <c r="Q502" s="643" t="s">
        <v>2338</v>
      </c>
      <c r="R502" s="642" t="s">
        <v>119</v>
      </c>
      <c r="S502" s="641"/>
      <c r="T502" s="641"/>
      <c r="U502" s="642" t="s">
        <v>2339</v>
      </c>
      <c r="V502" s="642"/>
      <c r="W502" s="645"/>
      <c r="X502" s="647" t="s">
        <v>2340</v>
      </c>
      <c r="Y502" s="646" t="s">
        <v>298</v>
      </c>
      <c r="Z502" s="683">
        <v>2.7152</v>
      </c>
      <c r="AA502" s="650">
        <f t="shared" si="258"/>
        <v>2986.72</v>
      </c>
      <c r="AB502" s="649">
        <f>1078+22</f>
        <v>1100</v>
      </c>
      <c r="AC502" s="649">
        <f t="shared" si="267"/>
        <v>0</v>
      </c>
      <c r="AD502" s="650" t="s">
        <v>106</v>
      </c>
      <c r="AE502" s="701" t="s">
        <v>230</v>
      </c>
      <c r="AF502" s="646" t="s">
        <v>107</v>
      </c>
      <c r="AG502" s="652" t="s">
        <v>43</v>
      </c>
      <c r="AH502" s="646" t="s">
        <v>2341</v>
      </c>
      <c r="AI502" s="705"/>
      <c r="AJ502" s="705"/>
      <c r="AK502" s="705"/>
      <c r="AL502" s="649"/>
      <c r="AM502" s="649"/>
      <c r="AN502" s="705"/>
      <c r="AO502" s="649">
        <f>I502</f>
        <v>1100</v>
      </c>
      <c r="AP502" s="649"/>
      <c r="AQ502" s="653"/>
      <c r="AR502" s="705"/>
      <c r="AS502" s="705"/>
      <c r="AT502" s="649">
        <f t="shared" si="265"/>
        <v>1100</v>
      </c>
      <c r="AU502" s="649"/>
      <c r="AV502" s="654"/>
      <c r="AW502" s="706"/>
      <c r="AX502" s="652"/>
      <c r="AY502" s="652"/>
      <c r="AZ502" s="706"/>
      <c r="BA502" s="652">
        <f>I502/11</f>
        <v>100</v>
      </c>
      <c r="BB502" s="652"/>
      <c r="BC502" s="706"/>
      <c r="BD502" s="706"/>
      <c r="BE502" s="654"/>
      <c r="BF502" s="706"/>
      <c r="BG502" s="652"/>
      <c r="BH502" s="652"/>
      <c r="BI502" s="706"/>
      <c r="BJ502" s="706"/>
      <c r="BK502" s="654"/>
      <c r="BL502" s="654"/>
      <c r="BM502" s="654"/>
      <c r="BN502" s="654"/>
      <c r="BO502" s="654"/>
      <c r="BP502" s="706"/>
      <c r="BQ502" s="654"/>
      <c r="BR502" s="706"/>
      <c r="BS502" s="652"/>
      <c r="BT502" s="654"/>
      <c r="BU502" s="654"/>
      <c r="BV502" s="654"/>
      <c r="BW502" s="645" t="s">
        <v>109</v>
      </c>
      <c r="BX502" s="658">
        <f>I502/22*5</f>
        <v>250</v>
      </c>
      <c r="BY502" s="658">
        <f>I502/22*6</f>
        <v>300</v>
      </c>
      <c r="BZ502" s="658">
        <f>I502/22*6</f>
        <v>300</v>
      </c>
      <c r="CA502" s="658">
        <f>I502/22*5</f>
        <v>250</v>
      </c>
      <c r="CB502" s="644">
        <f>I502</f>
        <v>1100</v>
      </c>
      <c r="CC502" s="658">
        <f>I502/11</f>
        <v>100</v>
      </c>
      <c r="CD502" s="644">
        <f t="shared" si="268"/>
        <v>1100</v>
      </c>
      <c r="CE502" s="644">
        <f t="shared" ref="CE502:CE516" si="270">I502-CD502</f>
        <v>0</v>
      </c>
    </row>
    <row r="503" s="338" customFormat="1" ht="40" customHeight="1" spans="1:83">
      <c r="A503" s="632">
        <v>45954</v>
      </c>
      <c r="B503" s="633" t="s">
        <v>432</v>
      </c>
      <c r="C503" s="634" t="s">
        <v>380</v>
      </c>
      <c r="D503" s="635">
        <v>4500183152</v>
      </c>
      <c r="E503" s="659" t="s">
        <v>2342</v>
      </c>
      <c r="F503" s="635" t="s">
        <v>2343</v>
      </c>
      <c r="G503" s="637" t="s">
        <v>98</v>
      </c>
      <c r="H503" s="637" t="s">
        <v>99</v>
      </c>
      <c r="I503" s="638">
        <v>2016</v>
      </c>
      <c r="J503" s="638">
        <v>0</v>
      </c>
      <c r="K503" s="639">
        <v>24</v>
      </c>
      <c r="L503" s="639">
        <f t="shared" si="269"/>
        <v>84</v>
      </c>
      <c r="M503" s="641">
        <v>45989</v>
      </c>
      <c r="N503" s="641">
        <v>45985</v>
      </c>
      <c r="O503" s="641"/>
      <c r="P503" s="642" t="s">
        <v>100</v>
      </c>
      <c r="Q503" s="643" t="s">
        <v>2344</v>
      </c>
      <c r="R503" s="642" t="s">
        <v>2345</v>
      </c>
      <c r="S503" s="641"/>
      <c r="T503" s="641"/>
      <c r="U503" s="642" t="s">
        <v>2346</v>
      </c>
      <c r="V503" s="642"/>
      <c r="W503" s="645"/>
      <c r="X503" s="647" t="s">
        <v>2347</v>
      </c>
      <c r="Y503" s="646" t="s">
        <v>298</v>
      </c>
      <c r="Z503" s="648">
        <v>2.4884</v>
      </c>
      <c r="AA503" s="650">
        <f t="shared" si="258"/>
        <v>5016.6144</v>
      </c>
      <c r="AB503" s="649">
        <v>2016</v>
      </c>
      <c r="AC503" s="649">
        <f t="shared" si="267"/>
        <v>0</v>
      </c>
      <c r="AD503" s="650" t="s">
        <v>106</v>
      </c>
      <c r="AE503" s="637" t="s">
        <v>98</v>
      </c>
      <c r="AF503" s="646" t="s">
        <v>107</v>
      </c>
      <c r="AG503" s="652" t="s">
        <v>43</v>
      </c>
      <c r="AH503" s="646" t="s">
        <v>2348</v>
      </c>
      <c r="AI503" s="705"/>
      <c r="AJ503" s="705"/>
      <c r="AK503" s="705"/>
      <c r="AL503" s="649">
        <f>I503</f>
        <v>2016</v>
      </c>
      <c r="AM503" s="649"/>
      <c r="AN503" s="705"/>
      <c r="AO503" s="649"/>
      <c r="AP503" s="649"/>
      <c r="AQ503" s="653"/>
      <c r="AR503" s="705"/>
      <c r="AS503" s="705"/>
      <c r="AT503" s="649">
        <f t="shared" si="265"/>
        <v>2016</v>
      </c>
      <c r="AU503" s="649"/>
      <c r="AV503" s="654"/>
      <c r="AW503" s="706"/>
      <c r="AX503" s="652"/>
      <c r="AY503" s="652"/>
      <c r="AZ503" s="706"/>
      <c r="BA503" s="652"/>
      <c r="BB503" s="652"/>
      <c r="BC503" s="706"/>
      <c r="BD503" s="706"/>
      <c r="BE503" s="654"/>
      <c r="BF503" s="706"/>
      <c r="BG503" s="652"/>
      <c r="BH503" s="652"/>
      <c r="BI503" s="706"/>
      <c r="BJ503" s="706"/>
      <c r="BK503" s="654"/>
      <c r="BL503" s="654"/>
      <c r="BM503" s="654"/>
      <c r="BN503" s="654"/>
      <c r="BO503" s="654"/>
      <c r="BP503" s="706"/>
      <c r="BQ503" s="654"/>
      <c r="BR503" s="706"/>
      <c r="BS503" s="652"/>
      <c r="BT503" s="654"/>
      <c r="BU503" s="654"/>
      <c r="BV503" s="654"/>
      <c r="BW503" s="645" t="s">
        <v>109</v>
      </c>
      <c r="BX503" s="658">
        <f>I503/4</f>
        <v>504</v>
      </c>
      <c r="BY503" s="658">
        <f>I503/4</f>
        <v>504</v>
      </c>
      <c r="BZ503" s="658">
        <f>I503/4</f>
        <v>504</v>
      </c>
      <c r="CA503" s="658">
        <f>I503/4</f>
        <v>504</v>
      </c>
      <c r="CB503" s="644">
        <f>I503</f>
        <v>2016</v>
      </c>
      <c r="CC503" s="644"/>
      <c r="CD503" s="644">
        <f t="shared" si="268"/>
        <v>2016</v>
      </c>
      <c r="CE503" s="644">
        <f t="shared" si="270"/>
        <v>0</v>
      </c>
    </row>
    <row r="504" s="338" customFormat="1" ht="40" customHeight="1" spans="1:83">
      <c r="A504" s="632">
        <v>45925</v>
      </c>
      <c r="B504" s="633" t="s">
        <v>2349</v>
      </c>
      <c r="C504" s="634" t="s">
        <v>1965</v>
      </c>
      <c r="D504" s="635">
        <v>4500180308</v>
      </c>
      <c r="E504" s="659" t="s">
        <v>2350</v>
      </c>
      <c r="F504" s="635" t="s">
        <v>2351</v>
      </c>
      <c r="G504" s="637" t="s">
        <v>2231</v>
      </c>
      <c r="H504" s="637" t="s">
        <v>2232</v>
      </c>
      <c r="I504" s="638">
        <v>504</v>
      </c>
      <c r="J504" s="638">
        <v>0</v>
      </c>
      <c r="K504" s="639">
        <v>24</v>
      </c>
      <c r="L504" s="639">
        <f t="shared" si="269"/>
        <v>21</v>
      </c>
      <c r="M504" s="641">
        <v>45991</v>
      </c>
      <c r="N504" s="641">
        <v>45987</v>
      </c>
      <c r="O504" s="641" t="s">
        <v>2352</v>
      </c>
      <c r="P504" s="642" t="s">
        <v>100</v>
      </c>
      <c r="Q504" s="643" t="s">
        <v>2353</v>
      </c>
      <c r="R504" s="642" t="s">
        <v>993</v>
      </c>
      <c r="S504" s="641"/>
      <c r="T504" s="641"/>
      <c r="U504" s="642" t="s">
        <v>2354</v>
      </c>
      <c r="V504" s="642" t="s">
        <v>2321</v>
      </c>
      <c r="W504" s="645"/>
      <c r="X504" s="647" t="s">
        <v>2355</v>
      </c>
      <c r="Y504" s="646" t="s">
        <v>165</v>
      </c>
      <c r="Z504" s="683">
        <v>2.7254</v>
      </c>
      <c r="AA504" s="650">
        <f t="shared" si="258"/>
        <v>1373.6016</v>
      </c>
      <c r="AB504" s="649">
        <v>504</v>
      </c>
      <c r="AC504" s="649">
        <f t="shared" si="267"/>
        <v>0</v>
      </c>
      <c r="AD504" s="650" t="s">
        <v>106</v>
      </c>
      <c r="AE504" s="637" t="s">
        <v>2231</v>
      </c>
      <c r="AF504" s="646" t="s">
        <v>107</v>
      </c>
      <c r="AG504" s="652" t="s">
        <v>43</v>
      </c>
      <c r="AH504" s="646"/>
      <c r="AI504" s="705"/>
      <c r="AJ504" s="705"/>
      <c r="AK504" s="705"/>
      <c r="AL504" s="649"/>
      <c r="AM504" s="649"/>
      <c r="AN504" s="705"/>
      <c r="AO504" s="649">
        <f>I504</f>
        <v>504</v>
      </c>
      <c r="AP504" s="649"/>
      <c r="AQ504" s="653"/>
      <c r="AR504" s="705"/>
      <c r="AS504" s="705"/>
      <c r="AT504" s="649">
        <f t="shared" si="265"/>
        <v>504</v>
      </c>
      <c r="AU504" s="649"/>
      <c r="AV504" s="654"/>
      <c r="AW504" s="706"/>
      <c r="AX504" s="652"/>
      <c r="AY504" s="652"/>
      <c r="AZ504" s="706"/>
      <c r="BA504" s="652"/>
      <c r="BB504" s="652"/>
      <c r="BC504" s="706"/>
      <c r="BD504" s="706"/>
      <c r="BE504" s="654"/>
      <c r="BF504" s="706"/>
      <c r="BG504" s="652"/>
      <c r="BH504" s="652"/>
      <c r="BI504" s="706"/>
      <c r="BJ504" s="706"/>
      <c r="BK504" s="654"/>
      <c r="BL504" s="654"/>
      <c r="BM504" s="654"/>
      <c r="BN504" s="654"/>
      <c r="BO504" s="654"/>
      <c r="BP504" s="706"/>
      <c r="BQ504" s="654"/>
      <c r="BR504" s="706"/>
      <c r="BS504" s="652"/>
      <c r="BT504" s="654"/>
      <c r="BU504" s="654"/>
      <c r="BV504" s="654"/>
      <c r="BW504" s="645" t="s">
        <v>109</v>
      </c>
      <c r="BX504" s="658">
        <f>I504</f>
        <v>504</v>
      </c>
      <c r="BY504" s="658"/>
      <c r="BZ504" s="658"/>
      <c r="CA504" s="658"/>
      <c r="CB504" s="644"/>
      <c r="CC504" s="644"/>
      <c r="CD504" s="644">
        <f t="shared" si="268"/>
        <v>504</v>
      </c>
      <c r="CE504" s="644">
        <f t="shared" si="270"/>
        <v>0</v>
      </c>
    </row>
    <row r="505" s="338" customFormat="1" ht="40" customHeight="1" spans="1:83">
      <c r="A505" s="632">
        <v>45925</v>
      </c>
      <c r="B505" s="633" t="s">
        <v>2349</v>
      </c>
      <c r="C505" s="634" t="s">
        <v>1965</v>
      </c>
      <c r="D505" s="635">
        <v>4500180308</v>
      </c>
      <c r="E505" s="659" t="s">
        <v>2356</v>
      </c>
      <c r="F505" s="635" t="s">
        <v>2357</v>
      </c>
      <c r="G505" s="637" t="s">
        <v>1992</v>
      </c>
      <c r="H505" s="637" t="s">
        <v>1993</v>
      </c>
      <c r="I505" s="638">
        <v>504</v>
      </c>
      <c r="J505" s="638">
        <v>0</v>
      </c>
      <c r="K505" s="639">
        <v>24</v>
      </c>
      <c r="L505" s="639">
        <f t="shared" si="269"/>
        <v>21</v>
      </c>
      <c r="M505" s="641">
        <v>45991</v>
      </c>
      <c r="N505" s="641">
        <v>45987</v>
      </c>
      <c r="O505" s="641" t="s">
        <v>2352</v>
      </c>
      <c r="P505" s="642" t="s">
        <v>100</v>
      </c>
      <c r="Q505" s="643" t="s">
        <v>2353</v>
      </c>
      <c r="R505" s="642" t="s">
        <v>993</v>
      </c>
      <c r="S505" s="641"/>
      <c r="T505" s="641"/>
      <c r="U505" s="642" t="s">
        <v>2354</v>
      </c>
      <c r="V505" s="642" t="s">
        <v>2321</v>
      </c>
      <c r="W505" s="645"/>
      <c r="X505" s="647" t="s">
        <v>2358</v>
      </c>
      <c r="Y505" s="646" t="s">
        <v>165</v>
      </c>
      <c r="Z505" s="683">
        <v>2.7254</v>
      </c>
      <c r="AA505" s="650">
        <f t="shared" si="258"/>
        <v>1373.6016</v>
      </c>
      <c r="AB505" s="649">
        <v>504</v>
      </c>
      <c r="AC505" s="649">
        <f t="shared" si="267"/>
        <v>0</v>
      </c>
      <c r="AD505" s="650" t="s">
        <v>106</v>
      </c>
      <c r="AE505" s="637" t="s">
        <v>1992</v>
      </c>
      <c r="AF505" s="646" t="s">
        <v>107</v>
      </c>
      <c r="AG505" s="652" t="s">
        <v>43</v>
      </c>
      <c r="AH505" s="646"/>
      <c r="AI505" s="705"/>
      <c r="AJ505" s="705"/>
      <c r="AK505" s="705"/>
      <c r="AL505" s="649"/>
      <c r="AM505" s="649"/>
      <c r="AN505" s="705"/>
      <c r="AO505" s="649">
        <f>I505</f>
        <v>504</v>
      </c>
      <c r="AP505" s="649"/>
      <c r="AQ505" s="653"/>
      <c r="AR505" s="705"/>
      <c r="AS505" s="705"/>
      <c r="AT505" s="649">
        <f t="shared" si="265"/>
        <v>504</v>
      </c>
      <c r="AU505" s="649"/>
      <c r="AV505" s="654"/>
      <c r="AW505" s="706"/>
      <c r="AX505" s="652"/>
      <c r="AY505" s="652"/>
      <c r="AZ505" s="706"/>
      <c r="BA505" s="652"/>
      <c r="BB505" s="652"/>
      <c r="BC505" s="706"/>
      <c r="BD505" s="706"/>
      <c r="BE505" s="654"/>
      <c r="BF505" s="706"/>
      <c r="BG505" s="652"/>
      <c r="BH505" s="652"/>
      <c r="BI505" s="706"/>
      <c r="BJ505" s="706"/>
      <c r="BK505" s="654"/>
      <c r="BL505" s="654"/>
      <c r="BM505" s="654"/>
      <c r="BN505" s="654"/>
      <c r="BO505" s="654"/>
      <c r="BP505" s="706"/>
      <c r="BQ505" s="654"/>
      <c r="BR505" s="706"/>
      <c r="BS505" s="652"/>
      <c r="BT505" s="654"/>
      <c r="BU505" s="654"/>
      <c r="BV505" s="654"/>
      <c r="BW505" s="645" t="s">
        <v>109</v>
      </c>
      <c r="BX505" s="658"/>
      <c r="BY505" s="658"/>
      <c r="BZ505" s="658"/>
      <c r="CA505" s="658">
        <f>I505</f>
        <v>504</v>
      </c>
      <c r="CB505" s="644"/>
      <c r="CC505" s="658"/>
      <c r="CD505" s="644">
        <f t="shared" si="268"/>
        <v>504</v>
      </c>
      <c r="CE505" s="644">
        <f t="shared" si="270"/>
        <v>0</v>
      </c>
    </row>
    <row r="506" s="338" customFormat="1" ht="40" customHeight="1" spans="1:83">
      <c r="A506" s="632">
        <v>45957</v>
      </c>
      <c r="B506" s="633" t="s">
        <v>2359</v>
      </c>
      <c r="C506" s="634" t="s">
        <v>144</v>
      </c>
      <c r="D506" s="635">
        <v>4500183138</v>
      </c>
      <c r="E506" s="659" t="s">
        <v>2360</v>
      </c>
      <c r="F506" s="635" t="s">
        <v>2361</v>
      </c>
      <c r="G506" s="637" t="s">
        <v>1431</v>
      </c>
      <c r="H506" s="637" t="s">
        <v>1432</v>
      </c>
      <c r="I506" s="638">
        <v>2496</v>
      </c>
      <c r="J506" s="638">
        <v>0</v>
      </c>
      <c r="K506" s="639">
        <v>24</v>
      </c>
      <c r="L506" s="639">
        <f t="shared" si="269"/>
        <v>104</v>
      </c>
      <c r="M506" s="641">
        <v>45992</v>
      </c>
      <c r="N506" s="641">
        <f>M506-4</f>
        <v>45988</v>
      </c>
      <c r="O506" s="714" t="s">
        <v>2362</v>
      </c>
      <c r="P506" s="642" t="s">
        <v>100</v>
      </c>
      <c r="Q506" s="643" t="s">
        <v>2363</v>
      </c>
      <c r="R506" s="642" t="s">
        <v>2364</v>
      </c>
      <c r="S506" s="641"/>
      <c r="T506" s="641"/>
      <c r="U506" s="642" t="s">
        <v>2365</v>
      </c>
      <c r="V506" s="642"/>
      <c r="W506" s="645"/>
      <c r="X506" s="647" t="s">
        <v>2366</v>
      </c>
      <c r="Y506" s="646" t="s">
        <v>202</v>
      </c>
      <c r="Z506" s="683">
        <v>2.4904</v>
      </c>
      <c r="AA506" s="650">
        <f t="shared" si="258"/>
        <v>6216.0384</v>
      </c>
      <c r="AB506" s="649">
        <v>2496</v>
      </c>
      <c r="AC506" s="649">
        <f t="shared" si="267"/>
        <v>0</v>
      </c>
      <c r="AD506" s="650" t="s">
        <v>106</v>
      </c>
      <c r="AE506" s="637" t="s">
        <v>1431</v>
      </c>
      <c r="AF506" s="646" t="s">
        <v>107</v>
      </c>
      <c r="AG506" s="652" t="s">
        <v>43</v>
      </c>
      <c r="AH506" s="646" t="s">
        <v>2367</v>
      </c>
      <c r="AI506" s="705"/>
      <c r="AJ506" s="705"/>
      <c r="AK506" s="705"/>
      <c r="AL506" s="649">
        <f>I506</f>
        <v>2496</v>
      </c>
      <c r="AM506" s="649"/>
      <c r="AN506" s="705"/>
      <c r="AO506" s="649"/>
      <c r="AP506" s="649"/>
      <c r="AQ506" s="653"/>
      <c r="AR506" s="705"/>
      <c r="AS506" s="705"/>
      <c r="AT506" s="649">
        <f t="shared" si="265"/>
        <v>2496</v>
      </c>
      <c r="AU506" s="649"/>
      <c r="AV506" s="654"/>
      <c r="AW506" s="706"/>
      <c r="AX506" s="652"/>
      <c r="AY506" s="652"/>
      <c r="AZ506" s="706"/>
      <c r="BA506" s="652"/>
      <c r="BB506" s="652"/>
      <c r="BC506" s="706"/>
      <c r="BD506" s="706"/>
      <c r="BE506" s="654"/>
      <c r="BF506" s="706"/>
      <c r="BG506" s="652"/>
      <c r="BH506" s="652"/>
      <c r="BI506" s="706"/>
      <c r="BJ506" s="706"/>
      <c r="BK506" s="654"/>
      <c r="BL506" s="654"/>
      <c r="BM506" s="654"/>
      <c r="BN506" s="654"/>
      <c r="BO506" s="654"/>
      <c r="BP506" s="706"/>
      <c r="BQ506" s="654"/>
      <c r="BR506" s="706"/>
      <c r="BS506" s="652"/>
      <c r="BT506" s="654"/>
      <c r="BU506" s="654"/>
      <c r="BV506" s="654"/>
      <c r="BW506" s="645" t="s">
        <v>109</v>
      </c>
      <c r="BX506" s="658">
        <f>I506/4</f>
        <v>624</v>
      </c>
      <c r="BY506" s="658">
        <f>I506/4</f>
        <v>624</v>
      </c>
      <c r="BZ506" s="658">
        <f>I506/4</f>
        <v>624</v>
      </c>
      <c r="CA506" s="658">
        <f>I506/4</f>
        <v>624</v>
      </c>
      <c r="CB506" s="644">
        <f t="shared" ref="CB506:CB515" si="271">I506</f>
        <v>2496</v>
      </c>
      <c r="CC506" s="644"/>
      <c r="CD506" s="644">
        <f t="shared" si="268"/>
        <v>2496</v>
      </c>
      <c r="CE506" s="644">
        <f t="shared" si="270"/>
        <v>0</v>
      </c>
    </row>
    <row r="507" s="338" customFormat="1" ht="40" customHeight="1" spans="1:83">
      <c r="A507" s="632">
        <v>45923</v>
      </c>
      <c r="B507" s="633" t="s">
        <v>2368</v>
      </c>
      <c r="C507" s="634" t="s">
        <v>380</v>
      </c>
      <c r="D507" s="635">
        <v>4500180135</v>
      </c>
      <c r="E507" s="659" t="s">
        <v>2369</v>
      </c>
      <c r="F507" s="635" t="s">
        <v>2370</v>
      </c>
      <c r="G507" s="637" t="s">
        <v>2371</v>
      </c>
      <c r="H507" s="637" t="s">
        <v>99</v>
      </c>
      <c r="I507" s="638">
        <v>2400</v>
      </c>
      <c r="J507" s="638">
        <v>0</v>
      </c>
      <c r="K507" s="639">
        <v>24</v>
      </c>
      <c r="L507" s="639">
        <f t="shared" si="269"/>
        <v>100</v>
      </c>
      <c r="M507" s="641">
        <v>45989</v>
      </c>
      <c r="N507" s="641">
        <v>45985</v>
      </c>
      <c r="O507" s="641"/>
      <c r="P507" s="642" t="s">
        <v>100</v>
      </c>
      <c r="Q507" s="643" t="s">
        <v>2372</v>
      </c>
      <c r="R507" s="642" t="s">
        <v>2373</v>
      </c>
      <c r="S507" s="641"/>
      <c r="T507" s="641"/>
      <c r="U507" s="642" t="s">
        <v>2374</v>
      </c>
      <c r="V507" s="642"/>
      <c r="W507" s="645"/>
      <c r="X507" s="647" t="s">
        <v>2375</v>
      </c>
      <c r="Y507" s="646" t="s">
        <v>2376</v>
      </c>
      <c r="Z507" s="683">
        <v>2.5794</v>
      </c>
      <c r="AA507" s="650">
        <f t="shared" si="258"/>
        <v>6190.56</v>
      </c>
      <c r="AB507" s="710">
        <f>2376+24</f>
        <v>2400</v>
      </c>
      <c r="AC507" s="649">
        <f t="shared" si="267"/>
        <v>0</v>
      </c>
      <c r="AD507" s="650" t="s">
        <v>106</v>
      </c>
      <c r="AE507" s="637" t="s">
        <v>2377</v>
      </c>
      <c r="AF507" s="646" t="s">
        <v>107</v>
      </c>
      <c r="AG507" s="652" t="s">
        <v>43</v>
      </c>
      <c r="AH507" s="646" t="s">
        <v>2378</v>
      </c>
      <c r="AI507" s="705"/>
      <c r="AJ507" s="705"/>
      <c r="AK507" s="705"/>
      <c r="AL507" s="649"/>
      <c r="AM507" s="649"/>
      <c r="AN507" s="705"/>
      <c r="AO507" s="649">
        <f>I507</f>
        <v>2400</v>
      </c>
      <c r="AP507" s="649"/>
      <c r="AQ507" s="653"/>
      <c r="AR507" s="705"/>
      <c r="AS507" s="705"/>
      <c r="AT507" s="649">
        <f t="shared" si="265"/>
        <v>2400</v>
      </c>
      <c r="AU507" s="649"/>
      <c r="AV507" s="654"/>
      <c r="AW507" s="706"/>
      <c r="AX507" s="652"/>
      <c r="AY507" s="652"/>
      <c r="AZ507" s="706"/>
      <c r="BA507" s="652"/>
      <c r="BB507" s="652"/>
      <c r="BC507" s="706"/>
      <c r="BD507" s="706"/>
      <c r="BE507" s="654"/>
      <c r="BF507" s="706"/>
      <c r="BG507" s="652"/>
      <c r="BH507" s="652"/>
      <c r="BI507" s="706"/>
      <c r="BJ507" s="706"/>
      <c r="BK507" s="654"/>
      <c r="BL507" s="654"/>
      <c r="BM507" s="654"/>
      <c r="BN507" s="654">
        <f>I507/3</f>
        <v>800</v>
      </c>
      <c r="BO507" s="654"/>
      <c r="BP507" s="706"/>
      <c r="BQ507" s="654"/>
      <c r="BR507" s="706"/>
      <c r="BS507" s="652"/>
      <c r="BT507" s="654"/>
      <c r="BU507" s="654"/>
      <c r="BV507" s="654"/>
      <c r="BW507" s="645" t="s">
        <v>109</v>
      </c>
      <c r="BX507" s="658">
        <f>I507/4</f>
        <v>600</v>
      </c>
      <c r="BY507" s="658">
        <f>I507/4</f>
        <v>600</v>
      </c>
      <c r="BZ507" s="658">
        <f>I507/4</f>
        <v>600</v>
      </c>
      <c r="CA507" s="658">
        <f>I507/4</f>
        <v>600</v>
      </c>
      <c r="CB507" s="644">
        <f t="shared" si="271"/>
        <v>2400</v>
      </c>
      <c r="CC507" s="658"/>
      <c r="CD507" s="644">
        <f t="shared" si="268"/>
        <v>2400</v>
      </c>
      <c r="CE507" s="644">
        <f t="shared" si="270"/>
        <v>0</v>
      </c>
    </row>
    <row r="508" s="338" customFormat="1" ht="40" customHeight="1" spans="1:83">
      <c r="A508" s="632">
        <v>45924</v>
      </c>
      <c r="B508" s="633" t="s">
        <v>2379</v>
      </c>
      <c r="C508" s="634" t="s">
        <v>144</v>
      </c>
      <c r="D508" s="635">
        <v>4500180187</v>
      </c>
      <c r="E508" s="659" t="s">
        <v>2380</v>
      </c>
      <c r="F508" s="635" t="s">
        <v>2381</v>
      </c>
      <c r="G508" s="637" t="s">
        <v>2371</v>
      </c>
      <c r="H508" s="637" t="s">
        <v>99</v>
      </c>
      <c r="I508" s="638">
        <v>1560</v>
      </c>
      <c r="J508" s="638">
        <v>0</v>
      </c>
      <c r="K508" s="639">
        <v>24</v>
      </c>
      <c r="L508" s="639">
        <f t="shared" si="269"/>
        <v>65</v>
      </c>
      <c r="M508" s="641">
        <v>45989</v>
      </c>
      <c r="N508" s="641">
        <v>45985</v>
      </c>
      <c r="O508" s="641"/>
      <c r="P508" s="642" t="s">
        <v>100</v>
      </c>
      <c r="Q508" s="643"/>
      <c r="R508" s="642" t="s">
        <v>2373</v>
      </c>
      <c r="S508" s="641"/>
      <c r="T508" s="641"/>
      <c r="U508" s="642" t="s">
        <v>2382</v>
      </c>
      <c r="V508" s="642"/>
      <c r="W508" s="645"/>
      <c r="X508" s="647" t="s">
        <v>2383</v>
      </c>
      <c r="Y508" s="646" t="s">
        <v>2376</v>
      </c>
      <c r="Z508" s="683">
        <v>2.5887</v>
      </c>
      <c r="AA508" s="650">
        <f t="shared" si="258"/>
        <v>4038.372</v>
      </c>
      <c r="AB508" s="710">
        <f>1536+24</f>
        <v>1560</v>
      </c>
      <c r="AC508" s="649">
        <f t="shared" si="267"/>
        <v>0</v>
      </c>
      <c r="AD508" s="650" t="s">
        <v>106</v>
      </c>
      <c r="AE508" s="637" t="s">
        <v>2377</v>
      </c>
      <c r="AF508" s="646" t="s">
        <v>107</v>
      </c>
      <c r="AG508" s="652" t="s">
        <v>43</v>
      </c>
      <c r="AH508" s="646"/>
      <c r="AI508" s="705"/>
      <c r="AJ508" s="705"/>
      <c r="AK508" s="705"/>
      <c r="AL508" s="649"/>
      <c r="AM508" s="649"/>
      <c r="AN508" s="705"/>
      <c r="AO508" s="649">
        <f>I508</f>
        <v>1560</v>
      </c>
      <c r="AP508" s="649"/>
      <c r="AQ508" s="653"/>
      <c r="AR508" s="705"/>
      <c r="AS508" s="705"/>
      <c r="AT508" s="649">
        <f t="shared" si="265"/>
        <v>1560</v>
      </c>
      <c r="AU508" s="649"/>
      <c r="AV508" s="654"/>
      <c r="AW508" s="706"/>
      <c r="AX508" s="652"/>
      <c r="AY508" s="652"/>
      <c r="AZ508" s="706"/>
      <c r="BA508" s="652"/>
      <c r="BB508" s="652"/>
      <c r="BC508" s="706"/>
      <c r="BD508" s="706"/>
      <c r="BE508" s="654"/>
      <c r="BF508" s="706"/>
      <c r="BG508" s="652"/>
      <c r="BH508" s="652"/>
      <c r="BI508" s="706"/>
      <c r="BJ508" s="706"/>
      <c r="BK508" s="654"/>
      <c r="BL508" s="654"/>
      <c r="BM508" s="654"/>
      <c r="BN508" s="654">
        <f>I508/3</f>
        <v>520</v>
      </c>
      <c r="BO508" s="654"/>
      <c r="BP508" s="706"/>
      <c r="BQ508" s="654"/>
      <c r="BR508" s="706"/>
      <c r="BS508" s="652"/>
      <c r="BT508" s="654"/>
      <c r="BU508" s="654"/>
      <c r="BV508" s="654"/>
      <c r="BW508" s="645" t="s">
        <v>109</v>
      </c>
      <c r="BX508" s="658">
        <f>I508/4</f>
        <v>390</v>
      </c>
      <c r="BY508" s="658">
        <f>I508/4</f>
        <v>390</v>
      </c>
      <c r="BZ508" s="658">
        <f>I508/4</f>
        <v>390</v>
      </c>
      <c r="CA508" s="658">
        <f>I508/4</f>
        <v>390</v>
      </c>
      <c r="CB508" s="644">
        <f t="shared" si="271"/>
        <v>1560</v>
      </c>
      <c r="CC508" s="658"/>
      <c r="CD508" s="644">
        <f t="shared" si="268"/>
        <v>1560</v>
      </c>
      <c r="CE508" s="644">
        <f t="shared" si="270"/>
        <v>0</v>
      </c>
    </row>
    <row r="509" s="338" customFormat="1" ht="40" customHeight="1" spans="1:83">
      <c r="A509" s="632">
        <v>45943</v>
      </c>
      <c r="B509" s="633" t="s">
        <v>1747</v>
      </c>
      <c r="C509" s="634" t="s">
        <v>1117</v>
      </c>
      <c r="D509" s="635">
        <v>4500176686</v>
      </c>
      <c r="E509" s="659">
        <v>300581433</v>
      </c>
      <c r="F509" s="635" t="s">
        <v>2384</v>
      </c>
      <c r="G509" s="637" t="s">
        <v>2385</v>
      </c>
      <c r="H509" s="637" t="s">
        <v>99</v>
      </c>
      <c r="I509" s="638">
        <v>605</v>
      </c>
      <c r="J509" s="638">
        <v>0</v>
      </c>
      <c r="K509" s="639">
        <v>11</v>
      </c>
      <c r="L509" s="639">
        <f t="shared" si="269"/>
        <v>55</v>
      </c>
      <c r="M509" s="641">
        <v>45993</v>
      </c>
      <c r="N509" s="641">
        <v>45989</v>
      </c>
      <c r="O509" s="641"/>
      <c r="P509" s="642" t="s">
        <v>100</v>
      </c>
      <c r="Q509" s="643" t="s">
        <v>2363</v>
      </c>
      <c r="R509" s="642" t="s">
        <v>2386</v>
      </c>
      <c r="S509" s="641"/>
      <c r="T509" s="641"/>
      <c r="U509" s="642" t="s">
        <v>2387</v>
      </c>
      <c r="V509" s="642"/>
      <c r="W509" s="645"/>
      <c r="X509" s="647" t="s">
        <v>2388</v>
      </c>
      <c r="Y509" s="646" t="s">
        <v>596</v>
      </c>
      <c r="Z509" s="683">
        <v>2.5135</v>
      </c>
      <c r="AA509" s="650">
        <f t="shared" si="258"/>
        <v>1520.6675</v>
      </c>
      <c r="AB509" s="649">
        <v>605</v>
      </c>
      <c r="AC509" s="649">
        <f t="shared" si="267"/>
        <v>0</v>
      </c>
      <c r="AD509" s="650" t="s">
        <v>123</v>
      </c>
      <c r="AE509" s="637" t="s">
        <v>2385</v>
      </c>
      <c r="AF509" s="646" t="s">
        <v>107</v>
      </c>
      <c r="AG509" s="652" t="s">
        <v>43</v>
      </c>
      <c r="AH509" s="646"/>
      <c r="AI509" s="693"/>
      <c r="AJ509" s="693"/>
      <c r="AK509" s="693"/>
      <c r="AL509" s="649"/>
      <c r="AM509" s="649"/>
      <c r="AN509" s="693"/>
      <c r="AO509" s="649">
        <f>I509</f>
        <v>605</v>
      </c>
      <c r="AP509" s="649"/>
      <c r="AQ509" s="653"/>
      <c r="AR509" s="693"/>
      <c r="AS509" s="693"/>
      <c r="AT509" s="649"/>
      <c r="AU509" s="649"/>
      <c r="AV509" s="654">
        <f>I509</f>
        <v>605</v>
      </c>
      <c r="AW509" s="694"/>
      <c r="AX509" s="652"/>
      <c r="AY509" s="652"/>
      <c r="AZ509" s="694"/>
      <c r="BA509" s="652"/>
      <c r="BB509" s="652"/>
      <c r="BC509" s="694"/>
      <c r="BD509" s="694"/>
      <c r="BE509" s="654"/>
      <c r="BF509" s="694"/>
      <c r="BG509" s="652"/>
      <c r="BH509" s="652"/>
      <c r="BI509" s="694"/>
      <c r="BJ509" s="694"/>
      <c r="BK509" s="654"/>
      <c r="BL509" s="654"/>
      <c r="BM509" s="654"/>
      <c r="BN509" s="654"/>
      <c r="BO509" s="654"/>
      <c r="BP509" s="694"/>
      <c r="BQ509" s="654"/>
      <c r="BR509" s="694"/>
      <c r="BS509" s="652"/>
      <c r="BT509" s="654"/>
      <c r="BU509" s="654"/>
      <c r="BV509" s="654"/>
      <c r="BW509" s="645" t="s">
        <v>109</v>
      </c>
      <c r="BX509" s="658">
        <f>I509/4</f>
        <v>151.25</v>
      </c>
      <c r="BY509" s="658">
        <f>I509/4</f>
        <v>151.25</v>
      </c>
      <c r="BZ509" s="658">
        <f>I509/4</f>
        <v>151.25</v>
      </c>
      <c r="CA509" s="658">
        <f>I509/4</f>
        <v>151.25</v>
      </c>
      <c r="CB509" s="644">
        <f t="shared" si="271"/>
        <v>605</v>
      </c>
      <c r="CC509" s="658"/>
      <c r="CD509" s="644">
        <f t="shared" si="268"/>
        <v>605</v>
      </c>
      <c r="CE509" s="644">
        <f t="shared" si="270"/>
        <v>0</v>
      </c>
    </row>
    <row r="510" s="338" customFormat="1" ht="40" customHeight="1" spans="1:83">
      <c r="A510" s="632">
        <v>45952</v>
      </c>
      <c r="B510" s="633" t="s">
        <v>2389</v>
      </c>
      <c r="C510" s="634" t="s">
        <v>223</v>
      </c>
      <c r="D510" s="635">
        <v>4500182640</v>
      </c>
      <c r="E510" s="666">
        <v>251000009311</v>
      </c>
      <c r="F510" s="635" t="s">
        <v>2390</v>
      </c>
      <c r="G510" s="637" t="s">
        <v>111</v>
      </c>
      <c r="H510" s="637" t="s">
        <v>99</v>
      </c>
      <c r="I510" s="638">
        <v>1210</v>
      </c>
      <c r="J510" s="638">
        <v>0</v>
      </c>
      <c r="K510" s="639">
        <v>22</v>
      </c>
      <c r="L510" s="639">
        <f t="shared" si="269"/>
        <v>55</v>
      </c>
      <c r="M510" s="641">
        <v>45993</v>
      </c>
      <c r="N510" s="641">
        <v>45989</v>
      </c>
      <c r="O510" s="641"/>
      <c r="P510" s="642" t="s">
        <v>100</v>
      </c>
      <c r="Q510" s="643" t="s">
        <v>2391</v>
      </c>
      <c r="R510" s="642" t="s">
        <v>119</v>
      </c>
      <c r="S510" s="641"/>
      <c r="T510" s="641"/>
      <c r="U510" s="642" t="s">
        <v>2392</v>
      </c>
      <c r="V510" s="642"/>
      <c r="W510" s="645"/>
      <c r="X510" s="647" t="s">
        <v>2393</v>
      </c>
      <c r="Y510" s="646" t="s">
        <v>298</v>
      </c>
      <c r="Z510" s="683">
        <v>2.7152</v>
      </c>
      <c r="AA510" s="650">
        <f t="shared" si="258"/>
        <v>3285.392</v>
      </c>
      <c r="AB510" s="649">
        <v>1210</v>
      </c>
      <c r="AC510" s="649">
        <f t="shared" si="267"/>
        <v>0</v>
      </c>
      <c r="AD510" s="650" t="s">
        <v>106</v>
      </c>
      <c r="AE510" s="701" t="s">
        <v>230</v>
      </c>
      <c r="AF510" s="646" t="s">
        <v>107</v>
      </c>
      <c r="AG510" s="652" t="s">
        <v>43</v>
      </c>
      <c r="AH510" s="646" t="s">
        <v>2394</v>
      </c>
      <c r="AI510" s="693"/>
      <c r="AJ510" s="693"/>
      <c r="AK510" s="693"/>
      <c r="AL510" s="649"/>
      <c r="AM510" s="649"/>
      <c r="AN510" s="693"/>
      <c r="AO510" s="649">
        <f>I510</f>
        <v>1210</v>
      </c>
      <c r="AP510" s="649"/>
      <c r="AQ510" s="653"/>
      <c r="AR510" s="693"/>
      <c r="AS510" s="693"/>
      <c r="AT510" s="649">
        <f t="shared" ref="AT510:AT517" si="272">I510</f>
        <v>1210</v>
      </c>
      <c r="AU510" s="649"/>
      <c r="AV510" s="654"/>
      <c r="AW510" s="694"/>
      <c r="AX510" s="652"/>
      <c r="AY510" s="652"/>
      <c r="AZ510" s="694"/>
      <c r="BA510" s="652">
        <f>I510/11</f>
        <v>110</v>
      </c>
      <c r="BB510" s="652"/>
      <c r="BC510" s="694"/>
      <c r="BD510" s="694"/>
      <c r="BE510" s="654"/>
      <c r="BF510" s="694"/>
      <c r="BG510" s="652"/>
      <c r="BH510" s="652"/>
      <c r="BI510" s="694"/>
      <c r="BJ510" s="694"/>
      <c r="BK510" s="654"/>
      <c r="BL510" s="654"/>
      <c r="BM510" s="654"/>
      <c r="BN510" s="654"/>
      <c r="BO510" s="654"/>
      <c r="BP510" s="694"/>
      <c r="BQ510" s="654"/>
      <c r="BR510" s="694"/>
      <c r="BS510" s="652"/>
      <c r="BT510" s="654"/>
      <c r="BU510" s="654"/>
      <c r="BV510" s="654"/>
      <c r="BW510" s="645" t="s">
        <v>109</v>
      </c>
      <c r="BX510" s="658">
        <f t="shared" ref="BX510:BX515" si="273">I510/22*5</f>
        <v>275</v>
      </c>
      <c r="BY510" s="658">
        <f t="shared" ref="BY510:BY515" si="274">I510/22*6</f>
        <v>330</v>
      </c>
      <c r="BZ510" s="658">
        <f t="shared" ref="BZ510:BZ515" si="275">I510/22*6</f>
        <v>330</v>
      </c>
      <c r="CA510" s="658">
        <f t="shared" ref="CA510:CA515" si="276">I510/22*5</f>
        <v>275</v>
      </c>
      <c r="CB510" s="644">
        <f t="shared" si="271"/>
        <v>1210</v>
      </c>
      <c r="CC510" s="658">
        <f t="shared" ref="CC510:CC516" si="277">I510/11</f>
        <v>110</v>
      </c>
      <c r="CD510" s="644">
        <f t="shared" si="268"/>
        <v>1210</v>
      </c>
      <c r="CE510" s="644">
        <f t="shared" si="270"/>
        <v>0</v>
      </c>
    </row>
    <row r="511" s="338" customFormat="1" ht="40" customHeight="1" spans="1:83">
      <c r="A511" s="632">
        <v>45880</v>
      </c>
      <c r="B511" s="633" t="s">
        <v>1884</v>
      </c>
      <c r="C511" s="634" t="s">
        <v>214</v>
      </c>
      <c r="D511" s="635">
        <v>4500176590</v>
      </c>
      <c r="E511" s="659">
        <v>70072792</v>
      </c>
      <c r="F511" s="635" t="s">
        <v>2395</v>
      </c>
      <c r="G511" s="637" t="s">
        <v>111</v>
      </c>
      <c r="H511" s="637" t="s">
        <v>99</v>
      </c>
      <c r="I511" s="638">
        <v>616</v>
      </c>
      <c r="J511" s="638">
        <v>0</v>
      </c>
      <c r="K511" s="639">
        <v>22</v>
      </c>
      <c r="L511" s="639">
        <f t="shared" si="269"/>
        <v>28</v>
      </c>
      <c r="M511" s="641">
        <v>45994</v>
      </c>
      <c r="N511" s="641">
        <f>M511-4</f>
        <v>45990</v>
      </c>
      <c r="O511" s="641"/>
      <c r="P511" s="642" t="s">
        <v>100</v>
      </c>
      <c r="Q511" s="643"/>
      <c r="R511" s="642" t="s">
        <v>2396</v>
      </c>
      <c r="S511" s="641"/>
      <c r="T511" s="641"/>
      <c r="U511" s="642" t="s">
        <v>113</v>
      </c>
      <c r="V511" s="642" t="s">
        <v>2397</v>
      </c>
      <c r="W511" s="645"/>
      <c r="X511" s="647" t="s">
        <v>1834</v>
      </c>
      <c r="Y511" s="646" t="s">
        <v>220</v>
      </c>
      <c r="Z511" s="683">
        <v>1.6387</v>
      </c>
      <c r="AA511" s="650">
        <f t="shared" si="258"/>
        <v>1009.4392</v>
      </c>
      <c r="AB511" s="649">
        <v>616</v>
      </c>
      <c r="AC511" s="649">
        <f t="shared" si="267"/>
        <v>0</v>
      </c>
      <c r="AD511" s="650" t="s">
        <v>106</v>
      </c>
      <c r="AE511" s="637" t="s">
        <v>111</v>
      </c>
      <c r="AF511" s="646" t="s">
        <v>107</v>
      </c>
      <c r="AG511" s="652" t="s">
        <v>43</v>
      </c>
      <c r="AH511" s="646"/>
      <c r="AI511" s="693"/>
      <c r="AJ511" s="693"/>
      <c r="AK511" s="693"/>
      <c r="AL511" s="649">
        <f>I511</f>
        <v>616</v>
      </c>
      <c r="AM511" s="649"/>
      <c r="AN511" s="693"/>
      <c r="AO511" s="649"/>
      <c r="AP511" s="649"/>
      <c r="AQ511" s="653"/>
      <c r="AR511" s="693"/>
      <c r="AS511" s="693"/>
      <c r="AT511" s="649">
        <f t="shared" si="272"/>
        <v>616</v>
      </c>
      <c r="AU511" s="649"/>
      <c r="AV511" s="652"/>
      <c r="AW511" s="694"/>
      <c r="AX511" s="652">
        <f>I511/11</f>
        <v>56</v>
      </c>
      <c r="AY511" s="652"/>
      <c r="AZ511" s="694"/>
      <c r="BA511" s="652"/>
      <c r="BB511" s="652"/>
      <c r="BC511" s="694"/>
      <c r="BD511" s="694"/>
      <c r="BE511" s="654"/>
      <c r="BF511" s="694"/>
      <c r="BG511" s="652"/>
      <c r="BH511" s="652"/>
      <c r="BI511" s="694"/>
      <c r="BJ511" s="694"/>
      <c r="BK511" s="654"/>
      <c r="BL511" s="654"/>
      <c r="BM511" s="654"/>
      <c r="BN511" s="654"/>
      <c r="BO511" s="654"/>
      <c r="BP511" s="694"/>
      <c r="BQ511" s="654"/>
      <c r="BR511" s="694"/>
      <c r="BS511" s="654"/>
      <c r="BT511" s="654"/>
      <c r="BU511" s="654"/>
      <c r="BV511" s="654"/>
      <c r="BW511" s="645" t="s">
        <v>109</v>
      </c>
      <c r="BX511" s="658">
        <f t="shared" si="273"/>
        <v>140</v>
      </c>
      <c r="BY511" s="658">
        <f t="shared" si="274"/>
        <v>168</v>
      </c>
      <c r="BZ511" s="658">
        <f t="shared" si="275"/>
        <v>168</v>
      </c>
      <c r="CA511" s="658">
        <f t="shared" si="276"/>
        <v>140</v>
      </c>
      <c r="CB511" s="644">
        <f t="shared" si="271"/>
        <v>616</v>
      </c>
      <c r="CC511" s="658">
        <f t="shared" si="277"/>
        <v>56</v>
      </c>
      <c r="CD511" s="644">
        <f t="shared" si="268"/>
        <v>616</v>
      </c>
      <c r="CE511" s="644">
        <f t="shared" si="270"/>
        <v>0</v>
      </c>
    </row>
    <row r="512" s="338" customFormat="1" ht="40" customHeight="1" spans="1:83">
      <c r="A512" s="632">
        <v>45975</v>
      </c>
      <c r="B512" s="633"/>
      <c r="C512" s="634"/>
      <c r="D512" s="635" t="s">
        <v>2398</v>
      </c>
      <c r="E512" s="659"/>
      <c r="F512" s="635"/>
      <c r="G512" s="637" t="s">
        <v>111</v>
      </c>
      <c r="H512" s="637" t="s">
        <v>99</v>
      </c>
      <c r="I512" s="638">
        <v>220</v>
      </c>
      <c r="J512" s="638">
        <v>0</v>
      </c>
      <c r="K512" s="639">
        <v>22</v>
      </c>
      <c r="L512" s="639">
        <f t="shared" si="269"/>
        <v>10</v>
      </c>
      <c r="M512" s="641">
        <v>45996</v>
      </c>
      <c r="N512" s="641">
        <v>45994</v>
      </c>
      <c r="O512" s="641"/>
      <c r="P512" s="642" t="s">
        <v>100</v>
      </c>
      <c r="Q512" s="643"/>
      <c r="R512" s="642" t="s">
        <v>112</v>
      </c>
      <c r="S512" s="641"/>
      <c r="T512" s="641"/>
      <c r="U512" s="642" t="s">
        <v>113</v>
      </c>
      <c r="V512" s="642"/>
      <c r="W512" s="645"/>
      <c r="X512" s="647" t="s">
        <v>2399</v>
      </c>
      <c r="Y512" s="646" t="s">
        <v>2400</v>
      </c>
      <c r="Z512" s="683"/>
      <c r="AA512" s="650"/>
      <c r="AB512" s="649">
        <v>220</v>
      </c>
      <c r="AC512" s="649">
        <f t="shared" si="267"/>
        <v>0</v>
      </c>
      <c r="AD512" s="650" t="s">
        <v>113</v>
      </c>
      <c r="AE512" s="637" t="s">
        <v>111</v>
      </c>
      <c r="AF512" s="646" t="s">
        <v>107</v>
      </c>
      <c r="AG512" s="652" t="s">
        <v>43</v>
      </c>
      <c r="AH512" s="646"/>
      <c r="AI512" s="693"/>
      <c r="AJ512" s="693"/>
      <c r="AK512" s="693"/>
      <c r="AL512" s="649">
        <f>I512</f>
        <v>220</v>
      </c>
      <c r="AM512" s="649"/>
      <c r="AN512" s="693"/>
      <c r="AO512" s="649"/>
      <c r="AP512" s="649"/>
      <c r="AQ512" s="653"/>
      <c r="AR512" s="693"/>
      <c r="AS512" s="693"/>
      <c r="AT512" s="649">
        <f t="shared" si="272"/>
        <v>220</v>
      </c>
      <c r="AU512" s="649"/>
      <c r="AV512" s="652"/>
      <c r="AW512" s="694"/>
      <c r="AX512" s="652">
        <f>I512/11</f>
        <v>20</v>
      </c>
      <c r="AY512" s="652"/>
      <c r="AZ512" s="694"/>
      <c r="BA512" s="652"/>
      <c r="BB512" s="652"/>
      <c r="BC512" s="694"/>
      <c r="BD512" s="694"/>
      <c r="BE512" s="654"/>
      <c r="BF512" s="694"/>
      <c r="BG512" s="652"/>
      <c r="BH512" s="652"/>
      <c r="BI512" s="694"/>
      <c r="BJ512" s="694"/>
      <c r="BK512" s="654"/>
      <c r="BL512" s="654"/>
      <c r="BM512" s="654"/>
      <c r="BN512" s="654"/>
      <c r="BO512" s="654"/>
      <c r="BP512" s="694"/>
      <c r="BQ512" s="654"/>
      <c r="BR512" s="694"/>
      <c r="BS512" s="654"/>
      <c r="BT512" s="654"/>
      <c r="BU512" s="654"/>
      <c r="BV512" s="654"/>
      <c r="BW512" s="645" t="s">
        <v>109</v>
      </c>
      <c r="BX512" s="658">
        <f t="shared" si="273"/>
        <v>50</v>
      </c>
      <c r="BY512" s="658">
        <f t="shared" si="274"/>
        <v>60</v>
      </c>
      <c r="BZ512" s="658">
        <f t="shared" si="275"/>
        <v>60</v>
      </c>
      <c r="CA512" s="658">
        <f t="shared" si="276"/>
        <v>50</v>
      </c>
      <c r="CB512" s="644">
        <f t="shared" si="271"/>
        <v>220</v>
      </c>
      <c r="CC512" s="658">
        <f t="shared" si="277"/>
        <v>20</v>
      </c>
      <c r="CD512" s="644">
        <f t="shared" si="268"/>
        <v>220</v>
      </c>
      <c r="CE512" s="644">
        <f t="shared" si="270"/>
        <v>0</v>
      </c>
    </row>
    <row r="513" s="338" customFormat="1" ht="40" customHeight="1" spans="1:83">
      <c r="A513" s="632">
        <v>45964</v>
      </c>
      <c r="B513" s="633" t="s">
        <v>2401</v>
      </c>
      <c r="C513" s="634" t="s">
        <v>1117</v>
      </c>
      <c r="D513" s="635">
        <v>4500183825</v>
      </c>
      <c r="E513" s="635">
        <v>157056</v>
      </c>
      <c r="F513" s="635" t="s">
        <v>2402</v>
      </c>
      <c r="G513" s="637" t="s">
        <v>241</v>
      </c>
      <c r="H513" s="637" t="s">
        <v>99</v>
      </c>
      <c r="I513" s="638">
        <v>308</v>
      </c>
      <c r="J513" s="638">
        <v>0</v>
      </c>
      <c r="K513" s="639">
        <v>11</v>
      </c>
      <c r="L513" s="639">
        <f t="shared" si="269"/>
        <v>28</v>
      </c>
      <c r="M513" s="641">
        <v>46001</v>
      </c>
      <c r="N513" s="641">
        <v>45997</v>
      </c>
      <c r="O513" s="641"/>
      <c r="P513" s="642" t="s">
        <v>100</v>
      </c>
      <c r="Q513" s="643" t="s">
        <v>2403</v>
      </c>
      <c r="R513" s="642" t="s">
        <v>2396</v>
      </c>
      <c r="S513" s="641"/>
      <c r="T513" s="641"/>
      <c r="U513" s="642" t="s">
        <v>2404</v>
      </c>
      <c r="V513" s="642"/>
      <c r="W513" s="645"/>
      <c r="X513" s="647" t="s">
        <v>2405</v>
      </c>
      <c r="Y513" s="646" t="s">
        <v>2406</v>
      </c>
      <c r="Z513" s="683">
        <v>2.724</v>
      </c>
      <c r="AA513" s="650">
        <f>I513*Z513</f>
        <v>838.992</v>
      </c>
      <c r="AB513" s="649">
        <v>308</v>
      </c>
      <c r="AC513" s="649">
        <f t="shared" si="267"/>
        <v>0</v>
      </c>
      <c r="AD513" s="650" t="s">
        <v>106</v>
      </c>
      <c r="AE513" s="637" t="s">
        <v>597</v>
      </c>
      <c r="AF513" s="646" t="s">
        <v>107</v>
      </c>
      <c r="AG513" s="652" t="s">
        <v>43</v>
      </c>
      <c r="AH513" s="646"/>
      <c r="AI513" s="693"/>
      <c r="AJ513" s="693"/>
      <c r="AK513" s="693"/>
      <c r="AL513" s="649"/>
      <c r="AM513" s="649"/>
      <c r="AN513" s="693"/>
      <c r="AO513" s="649">
        <f>I513</f>
        <v>308</v>
      </c>
      <c r="AP513" s="649"/>
      <c r="AQ513" s="653"/>
      <c r="AR513" s="693"/>
      <c r="AS513" s="693"/>
      <c r="AT513" s="649">
        <f t="shared" si="272"/>
        <v>308</v>
      </c>
      <c r="AU513" s="649"/>
      <c r="AV513" s="654"/>
      <c r="AW513" s="694"/>
      <c r="AX513" s="652"/>
      <c r="AY513" s="652"/>
      <c r="AZ513" s="694"/>
      <c r="BA513" s="652">
        <f>I513/11</f>
        <v>28</v>
      </c>
      <c r="BB513" s="652"/>
      <c r="BC513" s="694"/>
      <c r="BD513" s="694"/>
      <c r="BE513" s="654"/>
      <c r="BF513" s="694"/>
      <c r="BG513" s="652"/>
      <c r="BH513" s="652"/>
      <c r="BI513" s="694"/>
      <c r="BJ513" s="694"/>
      <c r="BK513" s="654"/>
      <c r="BL513" s="654"/>
      <c r="BM513" s="654"/>
      <c r="BN513" s="654"/>
      <c r="BO513" s="654"/>
      <c r="BP513" s="694"/>
      <c r="BQ513" s="654"/>
      <c r="BR513" s="694"/>
      <c r="BS513" s="652"/>
      <c r="BT513" s="654"/>
      <c r="BU513" s="654"/>
      <c r="BV513" s="654"/>
      <c r="BW513" s="645" t="s">
        <v>109</v>
      </c>
      <c r="BX513" s="658">
        <f t="shared" si="273"/>
        <v>70</v>
      </c>
      <c r="BY513" s="658">
        <f t="shared" si="274"/>
        <v>84</v>
      </c>
      <c r="BZ513" s="658">
        <f t="shared" si="275"/>
        <v>84</v>
      </c>
      <c r="CA513" s="658">
        <f t="shared" si="276"/>
        <v>70</v>
      </c>
      <c r="CB513" s="644">
        <f t="shared" si="271"/>
        <v>308</v>
      </c>
      <c r="CC513" s="658">
        <f t="shared" si="277"/>
        <v>28</v>
      </c>
      <c r="CD513" s="644">
        <f t="shared" si="268"/>
        <v>308</v>
      </c>
      <c r="CE513" s="644">
        <f t="shared" si="270"/>
        <v>0</v>
      </c>
    </row>
    <row r="514" s="338" customFormat="1" ht="40" customHeight="1" spans="1:83">
      <c r="A514" s="632">
        <v>45944</v>
      </c>
      <c r="B514" s="633" t="s">
        <v>1009</v>
      </c>
      <c r="C514" s="634" t="s">
        <v>1010</v>
      </c>
      <c r="D514" s="635">
        <v>4500180735</v>
      </c>
      <c r="E514" s="659" t="s">
        <v>2407</v>
      </c>
      <c r="F514" s="635" t="s">
        <v>2408</v>
      </c>
      <c r="G514" s="637" t="s">
        <v>111</v>
      </c>
      <c r="H514" s="637" t="s">
        <v>99</v>
      </c>
      <c r="I514" s="638">
        <v>506</v>
      </c>
      <c r="J514" s="638">
        <v>0</v>
      </c>
      <c r="K514" s="639">
        <v>22</v>
      </c>
      <c r="L514" s="639">
        <f t="shared" si="269"/>
        <v>23</v>
      </c>
      <c r="M514" s="641">
        <v>46006</v>
      </c>
      <c r="N514" s="641">
        <v>46004</v>
      </c>
      <c r="O514" s="641"/>
      <c r="P514" s="642" t="s">
        <v>100</v>
      </c>
      <c r="Q514" s="643" t="s">
        <v>2409</v>
      </c>
      <c r="R514" s="642" t="s">
        <v>182</v>
      </c>
      <c r="S514" s="641"/>
      <c r="T514" s="641"/>
      <c r="U514" s="642" t="s">
        <v>2410</v>
      </c>
      <c r="V514" s="642"/>
      <c r="W514" s="645"/>
      <c r="X514" s="647" t="s">
        <v>2411</v>
      </c>
      <c r="Y514" s="646" t="s">
        <v>2310</v>
      </c>
      <c r="Z514" s="683">
        <v>2.6945</v>
      </c>
      <c r="AA514" s="650">
        <f>I514*Z514</f>
        <v>1363.417</v>
      </c>
      <c r="AB514" s="649">
        <v>506</v>
      </c>
      <c r="AC514" s="649">
        <f t="shared" si="267"/>
        <v>0</v>
      </c>
      <c r="AD514" s="650" t="s">
        <v>123</v>
      </c>
      <c r="AE514" s="637" t="s">
        <v>111</v>
      </c>
      <c r="AF514" s="646" t="s">
        <v>107</v>
      </c>
      <c r="AG514" s="652" t="s">
        <v>43</v>
      </c>
      <c r="AH514" s="715" t="s">
        <v>2412</v>
      </c>
      <c r="AI514" s="693"/>
      <c r="AJ514" s="693"/>
      <c r="AK514" s="693"/>
      <c r="AL514" s="649">
        <f>I514</f>
        <v>506</v>
      </c>
      <c r="AM514" s="649"/>
      <c r="AN514" s="693"/>
      <c r="AO514" s="649"/>
      <c r="AP514" s="649"/>
      <c r="AQ514" s="653"/>
      <c r="AR514" s="693"/>
      <c r="AS514" s="693"/>
      <c r="AT514" s="649">
        <f t="shared" si="272"/>
        <v>506</v>
      </c>
      <c r="AU514" s="649"/>
      <c r="AV514" s="654"/>
      <c r="AW514" s="694"/>
      <c r="AX514" s="652">
        <f>I514/11</f>
        <v>46</v>
      </c>
      <c r="AY514" s="652"/>
      <c r="AZ514" s="694"/>
      <c r="BA514" s="652"/>
      <c r="BB514" s="652"/>
      <c r="BC514" s="694"/>
      <c r="BD514" s="694"/>
      <c r="BE514" s="654"/>
      <c r="BF514" s="694"/>
      <c r="BG514" s="652"/>
      <c r="BH514" s="652"/>
      <c r="BI514" s="694"/>
      <c r="BJ514" s="694"/>
      <c r="BK514" s="654"/>
      <c r="BL514" s="654"/>
      <c r="BM514" s="654"/>
      <c r="BN514" s="654"/>
      <c r="BO514" s="654"/>
      <c r="BP514" s="694"/>
      <c r="BQ514" s="654"/>
      <c r="BR514" s="694"/>
      <c r="BS514" s="652"/>
      <c r="BT514" s="654"/>
      <c r="BU514" s="654"/>
      <c r="BV514" s="654"/>
      <c r="BW514" s="645" t="s">
        <v>109</v>
      </c>
      <c r="BX514" s="658">
        <f t="shared" si="273"/>
        <v>115</v>
      </c>
      <c r="BY514" s="658">
        <f t="shared" si="274"/>
        <v>138</v>
      </c>
      <c r="BZ514" s="658">
        <f t="shared" si="275"/>
        <v>138</v>
      </c>
      <c r="CA514" s="658">
        <f t="shared" si="276"/>
        <v>115</v>
      </c>
      <c r="CB514" s="644">
        <f t="shared" si="271"/>
        <v>506</v>
      </c>
      <c r="CC514" s="658">
        <f t="shared" si="277"/>
        <v>46</v>
      </c>
      <c r="CD514" s="644">
        <f t="shared" si="268"/>
        <v>506</v>
      </c>
      <c r="CE514" s="644">
        <f t="shared" si="270"/>
        <v>0</v>
      </c>
    </row>
    <row r="515" s="338" customFormat="1" ht="40" customHeight="1" spans="1:83">
      <c r="A515" s="632">
        <v>45929</v>
      </c>
      <c r="B515" s="633" t="s">
        <v>1474</v>
      </c>
      <c r="C515" s="634" t="s">
        <v>129</v>
      </c>
      <c r="D515" s="703">
        <v>4500180866</v>
      </c>
      <c r="E515" s="659">
        <v>5251218582</v>
      </c>
      <c r="F515" s="635" t="s">
        <v>2413</v>
      </c>
      <c r="G515" s="637" t="s">
        <v>111</v>
      </c>
      <c r="H515" s="637" t="s">
        <v>1476</v>
      </c>
      <c r="I515" s="638">
        <v>8008</v>
      </c>
      <c r="J515" s="638">
        <v>0</v>
      </c>
      <c r="K515" s="639">
        <v>22</v>
      </c>
      <c r="L515" s="639">
        <f t="shared" si="269"/>
        <v>364</v>
      </c>
      <c r="M515" s="641">
        <v>46006</v>
      </c>
      <c r="N515" s="641">
        <v>46002</v>
      </c>
      <c r="O515" s="641"/>
      <c r="P515" s="642" t="s">
        <v>100</v>
      </c>
      <c r="Q515" s="643" t="s">
        <v>2414</v>
      </c>
      <c r="R515" s="642" t="s">
        <v>2415</v>
      </c>
      <c r="S515" s="641"/>
      <c r="T515" s="641"/>
      <c r="U515" s="642" t="s">
        <v>2416</v>
      </c>
      <c r="V515" s="642"/>
      <c r="W515" s="645" t="s">
        <v>1480</v>
      </c>
      <c r="X515" s="647" t="s">
        <v>2417</v>
      </c>
      <c r="Y515" s="646" t="s">
        <v>818</v>
      </c>
      <c r="Z515" s="683">
        <v>2.6872</v>
      </c>
      <c r="AA515" s="650">
        <f>I515*Z515</f>
        <v>21519.0976</v>
      </c>
      <c r="AB515" s="649">
        <f>7986+22</f>
        <v>8008</v>
      </c>
      <c r="AC515" s="649">
        <f t="shared" si="267"/>
        <v>0</v>
      </c>
      <c r="AD515" s="650" t="s">
        <v>106</v>
      </c>
      <c r="AE515" s="701" t="s">
        <v>230</v>
      </c>
      <c r="AF515" s="716" t="s">
        <v>107</v>
      </c>
      <c r="AG515" s="652" t="s">
        <v>43</v>
      </c>
      <c r="AH515" s="715" t="s">
        <v>2418</v>
      </c>
      <c r="AI515" s="693"/>
      <c r="AJ515" s="693"/>
      <c r="AK515" s="693"/>
      <c r="AL515" s="649"/>
      <c r="AM515" s="649"/>
      <c r="AN515" s="693"/>
      <c r="AO515" s="649">
        <f>I515</f>
        <v>8008</v>
      </c>
      <c r="AP515" s="649"/>
      <c r="AQ515" s="653"/>
      <c r="AR515" s="693"/>
      <c r="AS515" s="693"/>
      <c r="AT515" s="649">
        <f t="shared" si="272"/>
        <v>8008</v>
      </c>
      <c r="AU515" s="649"/>
      <c r="AV515" s="654"/>
      <c r="AW515" s="694"/>
      <c r="AX515" s="652"/>
      <c r="AY515" s="652"/>
      <c r="AZ515" s="694"/>
      <c r="BA515" s="652">
        <f>I515/11</f>
        <v>728</v>
      </c>
      <c r="BB515" s="652"/>
      <c r="BC515" s="694"/>
      <c r="BD515" s="694"/>
      <c r="BE515" s="654"/>
      <c r="BF515" s="694"/>
      <c r="BG515" s="652"/>
      <c r="BH515" s="652"/>
      <c r="BI515" s="694"/>
      <c r="BJ515" s="694"/>
      <c r="BK515" s="654"/>
      <c r="BL515" s="654"/>
      <c r="BM515" s="654"/>
      <c r="BN515" s="654"/>
      <c r="BO515" s="654"/>
      <c r="BP515" s="694"/>
      <c r="BQ515" s="654"/>
      <c r="BR515" s="694"/>
      <c r="BS515" s="652"/>
      <c r="BT515" s="654"/>
      <c r="BU515" s="654"/>
      <c r="BV515" s="654"/>
      <c r="BW515" s="645" t="s">
        <v>109</v>
      </c>
      <c r="BX515" s="658">
        <f t="shared" si="273"/>
        <v>1820</v>
      </c>
      <c r="BY515" s="658">
        <f t="shared" si="274"/>
        <v>2184</v>
      </c>
      <c r="BZ515" s="658">
        <f t="shared" si="275"/>
        <v>2184</v>
      </c>
      <c r="CA515" s="658">
        <f t="shared" si="276"/>
        <v>1820</v>
      </c>
      <c r="CB515" s="644">
        <f t="shared" si="271"/>
        <v>8008</v>
      </c>
      <c r="CC515" s="658">
        <f t="shared" si="277"/>
        <v>728</v>
      </c>
      <c r="CD515" s="644">
        <f t="shared" si="268"/>
        <v>8008</v>
      </c>
      <c r="CE515" s="644">
        <f t="shared" si="270"/>
        <v>0</v>
      </c>
    </row>
    <row r="516" s="558" customFormat="1" ht="40" customHeight="1" spans="1:83">
      <c r="A516" s="717">
        <v>45897</v>
      </c>
      <c r="B516" s="718" t="s">
        <v>2419</v>
      </c>
      <c r="C516" s="719" t="s">
        <v>129</v>
      </c>
      <c r="D516" s="720">
        <v>4500177857</v>
      </c>
      <c r="E516" s="721">
        <v>62007522</v>
      </c>
      <c r="F516" s="720" t="s">
        <v>2420</v>
      </c>
      <c r="G516" s="722" t="s">
        <v>111</v>
      </c>
      <c r="H516" s="722" t="s">
        <v>99</v>
      </c>
      <c r="I516" s="723">
        <v>704</v>
      </c>
      <c r="J516" s="723">
        <v>0</v>
      </c>
      <c r="K516" s="724">
        <v>22</v>
      </c>
      <c r="L516" s="724">
        <f t="shared" si="269"/>
        <v>32</v>
      </c>
      <c r="M516" s="725">
        <v>46006</v>
      </c>
      <c r="N516" s="725">
        <v>46031</v>
      </c>
      <c r="O516" s="726"/>
      <c r="P516" s="726" t="s">
        <v>100</v>
      </c>
      <c r="Q516" s="727"/>
      <c r="R516" s="726" t="s">
        <v>2421</v>
      </c>
      <c r="S516" s="725"/>
      <c r="T516" s="725"/>
      <c r="U516" s="726" t="s">
        <v>2422</v>
      </c>
      <c r="V516" s="726" t="s">
        <v>2423</v>
      </c>
      <c r="W516" s="728"/>
      <c r="X516" s="729" t="s">
        <v>2424</v>
      </c>
      <c r="Y516" s="730" t="s">
        <v>281</v>
      </c>
      <c r="Z516" s="731">
        <v>2.7291</v>
      </c>
      <c r="AA516" s="732">
        <f>I516*Z516</f>
        <v>1921.2864</v>
      </c>
      <c r="AB516" s="712">
        <f>682+22</f>
        <v>704</v>
      </c>
      <c r="AC516" s="712">
        <f t="shared" si="267"/>
        <v>0</v>
      </c>
      <c r="AD516" s="732" t="s">
        <v>106</v>
      </c>
      <c r="AE516" s="733" t="s">
        <v>230</v>
      </c>
      <c r="AF516" s="730" t="s">
        <v>107</v>
      </c>
      <c r="AG516" s="734" t="s">
        <v>43</v>
      </c>
      <c r="AH516" s="730"/>
      <c r="AI516" s="712"/>
      <c r="AJ516" s="712"/>
      <c r="AK516" s="712"/>
      <c r="AL516" s="712"/>
      <c r="AM516" s="712"/>
      <c r="AN516" s="712"/>
      <c r="AO516" s="712">
        <f>I516</f>
        <v>704</v>
      </c>
      <c r="AP516" s="712"/>
      <c r="AQ516" s="735"/>
      <c r="AR516" s="712"/>
      <c r="AS516" s="712"/>
      <c r="AT516" s="712">
        <f t="shared" si="272"/>
        <v>704</v>
      </c>
      <c r="AU516" s="712"/>
      <c r="AV516" s="734"/>
      <c r="AW516" s="713"/>
      <c r="AX516" s="734"/>
      <c r="AY516" s="734"/>
      <c r="AZ516" s="713"/>
      <c r="BA516" s="734">
        <f>I516/11</f>
        <v>64</v>
      </c>
      <c r="BB516" s="734"/>
      <c r="BC516" s="713"/>
      <c r="BD516" s="713"/>
      <c r="BE516" s="713"/>
      <c r="BF516" s="713"/>
      <c r="BG516" s="734"/>
      <c r="BH516" s="734"/>
      <c r="BI516" s="713"/>
      <c r="BJ516" s="713"/>
      <c r="BK516" s="713"/>
      <c r="BL516" s="713"/>
      <c r="BM516" s="713"/>
      <c r="BN516" s="713"/>
      <c r="BO516" s="713"/>
      <c r="BP516" s="713"/>
      <c r="BQ516" s="713"/>
      <c r="BR516" s="713"/>
      <c r="BS516" s="713"/>
      <c r="BT516" s="713"/>
      <c r="BU516" s="713"/>
      <c r="BV516" s="713"/>
      <c r="BW516" s="728" t="s">
        <v>109</v>
      </c>
      <c r="BX516" s="736"/>
      <c r="BY516" s="736">
        <f>I516/22*7</f>
        <v>224</v>
      </c>
      <c r="BZ516" s="736">
        <f>I516/22*7</f>
        <v>224</v>
      </c>
      <c r="CA516" s="736">
        <f>I516/22*8</f>
        <v>256</v>
      </c>
      <c r="CB516" s="737"/>
      <c r="CC516" s="736">
        <f t="shared" si="277"/>
        <v>64</v>
      </c>
      <c r="CD516" s="737">
        <f t="shared" si="268"/>
        <v>704</v>
      </c>
      <c r="CE516" s="737">
        <f t="shared" si="270"/>
        <v>0</v>
      </c>
    </row>
    <row r="517" s="338" customFormat="1" ht="40" customHeight="1" spans="1:83">
      <c r="A517" s="632">
        <v>45972</v>
      </c>
      <c r="B517" s="633" t="s">
        <v>2110</v>
      </c>
      <c r="C517" s="634" t="s">
        <v>214</v>
      </c>
      <c r="D517" s="635">
        <v>4500185200</v>
      </c>
      <c r="E517" s="659">
        <v>4559335111</v>
      </c>
      <c r="F517" s="635" t="s">
        <v>2425</v>
      </c>
      <c r="G517" s="637" t="s">
        <v>718</v>
      </c>
      <c r="H517" s="637" t="s">
        <v>99</v>
      </c>
      <c r="I517" s="638">
        <v>756</v>
      </c>
      <c r="J517" s="638">
        <v>0</v>
      </c>
      <c r="K517" s="639">
        <v>6</v>
      </c>
      <c r="L517" s="639">
        <f t="shared" ref="L517:L566" si="278">I517/K517</f>
        <v>126</v>
      </c>
      <c r="M517" s="641">
        <v>46009</v>
      </c>
      <c r="N517" s="641">
        <v>46006</v>
      </c>
      <c r="O517" s="641"/>
      <c r="P517" s="642" t="s">
        <v>100</v>
      </c>
      <c r="Q517" s="643"/>
      <c r="R517" s="642" t="s">
        <v>568</v>
      </c>
      <c r="S517" s="641"/>
      <c r="T517" s="641"/>
      <c r="U517" s="642" t="s">
        <v>2426</v>
      </c>
      <c r="V517" s="642"/>
      <c r="W517" s="645"/>
      <c r="X517" s="647" t="s">
        <v>2427</v>
      </c>
      <c r="Y517" s="646" t="s">
        <v>725</v>
      </c>
      <c r="Z517" s="648">
        <v>1.5775</v>
      </c>
      <c r="AA517" s="650">
        <f t="shared" ref="AA517:AA525" si="279">Z517*I517</f>
        <v>1192.59</v>
      </c>
      <c r="AB517" s="649">
        <v>756</v>
      </c>
      <c r="AC517" s="649">
        <f t="shared" ref="AC517:AC540" si="280">AB517-I517</f>
        <v>0</v>
      </c>
      <c r="AD517" s="650" t="s">
        <v>106</v>
      </c>
      <c r="AE517" s="637" t="s">
        <v>718</v>
      </c>
      <c r="AF517" s="646" t="s">
        <v>107</v>
      </c>
      <c r="AG517" s="652" t="s">
        <v>43</v>
      </c>
      <c r="AH517" s="646"/>
      <c r="AI517" s="693"/>
      <c r="AJ517" s="693"/>
      <c r="AK517" s="693"/>
      <c r="AL517" s="649">
        <f>I517</f>
        <v>756</v>
      </c>
      <c r="AM517" s="649"/>
      <c r="AN517" s="693"/>
      <c r="AO517" s="649"/>
      <c r="AP517" s="649"/>
      <c r="AQ517" s="653"/>
      <c r="AR517" s="693"/>
      <c r="AS517" s="693"/>
      <c r="AT517" s="649">
        <f t="shared" si="272"/>
        <v>756</v>
      </c>
      <c r="AU517" s="649"/>
      <c r="AV517" s="652"/>
      <c r="AW517" s="694"/>
      <c r="AX517" s="652"/>
      <c r="AY517" s="652"/>
      <c r="AZ517" s="694"/>
      <c r="BA517" s="652"/>
      <c r="BB517" s="652"/>
      <c r="BC517" s="694"/>
      <c r="BD517" s="694"/>
      <c r="BE517" s="654"/>
      <c r="BF517" s="694"/>
      <c r="BG517" s="652"/>
      <c r="BH517" s="652"/>
      <c r="BI517" s="694"/>
      <c r="BJ517" s="694"/>
      <c r="BK517" s="652">
        <f>I517/6</f>
        <v>126</v>
      </c>
      <c r="BL517" s="652"/>
      <c r="BM517" s="654"/>
      <c r="BN517" s="654"/>
      <c r="BO517" s="654"/>
      <c r="BP517" s="694"/>
      <c r="BQ517" s="654"/>
      <c r="BR517" s="694"/>
      <c r="BS517" s="654"/>
      <c r="BT517" s="654"/>
      <c r="BU517" s="654"/>
      <c r="BV517" s="654"/>
      <c r="BW517" s="645" t="s">
        <v>109</v>
      </c>
      <c r="BX517" s="658">
        <f t="shared" ref="BX517:BX525" si="281">I517/4</f>
        <v>189</v>
      </c>
      <c r="BY517" s="658">
        <f t="shared" ref="BY517:BY525" si="282">I517/4</f>
        <v>189</v>
      </c>
      <c r="BZ517" s="658">
        <f t="shared" ref="BZ517:BZ525" si="283">I517/4</f>
        <v>189</v>
      </c>
      <c r="CA517" s="658">
        <f t="shared" ref="CA517:CA525" si="284">I517/4</f>
        <v>189</v>
      </c>
      <c r="CB517" s="644">
        <f t="shared" ref="CB517:CB543" si="285">I517</f>
        <v>756</v>
      </c>
      <c r="CC517" s="644"/>
      <c r="CD517" s="644">
        <f t="shared" ref="CD517:CD566" si="286">SUM(BX517:CA517)</f>
        <v>756</v>
      </c>
      <c r="CE517" s="644">
        <f t="shared" ref="CE517:CE566" si="287">I517-CD517</f>
        <v>0</v>
      </c>
    </row>
    <row r="518" s="338" customFormat="1" ht="40" customHeight="1" spans="1:83">
      <c r="A518" s="632">
        <v>45972</v>
      </c>
      <c r="B518" s="633" t="s">
        <v>2110</v>
      </c>
      <c r="C518" s="634" t="s">
        <v>214</v>
      </c>
      <c r="D518" s="635">
        <v>4500185200</v>
      </c>
      <c r="E518" s="659">
        <v>4559334570</v>
      </c>
      <c r="F518" s="635" t="s">
        <v>2428</v>
      </c>
      <c r="G518" s="637" t="s">
        <v>718</v>
      </c>
      <c r="H518" s="637" t="s">
        <v>99</v>
      </c>
      <c r="I518" s="638">
        <v>1386</v>
      </c>
      <c r="J518" s="638">
        <v>0</v>
      </c>
      <c r="K518" s="639">
        <v>6</v>
      </c>
      <c r="L518" s="639">
        <f t="shared" si="278"/>
        <v>231</v>
      </c>
      <c r="M518" s="641">
        <v>46009</v>
      </c>
      <c r="N518" s="641">
        <v>46006</v>
      </c>
      <c r="O518" s="641"/>
      <c r="P518" s="642" t="s">
        <v>100</v>
      </c>
      <c r="Q518" s="643"/>
      <c r="R518" s="642" t="s">
        <v>568</v>
      </c>
      <c r="S518" s="641"/>
      <c r="T518" s="641"/>
      <c r="U518" s="642" t="s">
        <v>2426</v>
      </c>
      <c r="V518" s="642"/>
      <c r="W518" s="645"/>
      <c r="X518" s="647" t="s">
        <v>2427</v>
      </c>
      <c r="Y518" s="646" t="s">
        <v>725</v>
      </c>
      <c r="Z518" s="648">
        <v>1.5692</v>
      </c>
      <c r="AA518" s="650">
        <f t="shared" si="279"/>
        <v>2174.9112</v>
      </c>
      <c r="AB518" s="649">
        <v>1386</v>
      </c>
      <c r="AC518" s="649">
        <f t="shared" si="280"/>
        <v>0</v>
      </c>
      <c r="AD518" s="650"/>
      <c r="AE518" s="637" t="s">
        <v>718</v>
      </c>
      <c r="AF518" s="646" t="s">
        <v>107</v>
      </c>
      <c r="AG518" s="652" t="s">
        <v>43</v>
      </c>
      <c r="AH518" s="646"/>
      <c r="AI518" s="693"/>
      <c r="AJ518" s="693"/>
      <c r="AK518" s="693"/>
      <c r="AL518" s="649">
        <f t="shared" ref="AL518:AL525" si="288">I518</f>
        <v>1386</v>
      </c>
      <c r="AM518" s="649"/>
      <c r="AN518" s="693"/>
      <c r="AO518" s="649"/>
      <c r="AP518" s="649"/>
      <c r="AQ518" s="653"/>
      <c r="AR518" s="693"/>
      <c r="AS518" s="693"/>
      <c r="AT518" s="649">
        <f t="shared" ref="AT518:AT525" si="289">I518</f>
        <v>1386</v>
      </c>
      <c r="AU518" s="649"/>
      <c r="AV518" s="652"/>
      <c r="AW518" s="694"/>
      <c r="AX518" s="652"/>
      <c r="AY518" s="652"/>
      <c r="AZ518" s="694"/>
      <c r="BA518" s="652"/>
      <c r="BB518" s="652"/>
      <c r="BC518" s="694"/>
      <c r="BD518" s="694"/>
      <c r="BE518" s="654"/>
      <c r="BF518" s="694"/>
      <c r="BG518" s="652"/>
      <c r="BH518" s="652"/>
      <c r="BI518" s="694"/>
      <c r="BJ518" s="694"/>
      <c r="BK518" s="652">
        <f t="shared" ref="BK518:BK525" si="290">I518/6</f>
        <v>231</v>
      </c>
      <c r="BL518" s="652"/>
      <c r="BM518" s="654"/>
      <c r="BN518" s="654"/>
      <c r="BO518" s="654"/>
      <c r="BP518" s="694"/>
      <c r="BQ518" s="654"/>
      <c r="BR518" s="694"/>
      <c r="BS518" s="654"/>
      <c r="BT518" s="654"/>
      <c r="BU518" s="654"/>
      <c r="BV518" s="654"/>
      <c r="BW518" s="645" t="s">
        <v>109</v>
      </c>
      <c r="BX518" s="658">
        <f t="shared" si="281"/>
        <v>346.5</v>
      </c>
      <c r="BY518" s="658">
        <f t="shared" si="282"/>
        <v>346.5</v>
      </c>
      <c r="BZ518" s="658">
        <f t="shared" si="283"/>
        <v>346.5</v>
      </c>
      <c r="CA518" s="658">
        <f t="shared" si="284"/>
        <v>346.5</v>
      </c>
      <c r="CB518" s="644">
        <f t="shared" si="285"/>
        <v>1386</v>
      </c>
      <c r="CC518" s="644"/>
      <c r="CD518" s="644">
        <f t="shared" si="286"/>
        <v>1386</v>
      </c>
      <c r="CE518" s="644">
        <f t="shared" si="287"/>
        <v>0</v>
      </c>
    </row>
    <row r="519" s="338" customFormat="1" ht="40" customHeight="1" spans="1:83">
      <c r="A519" s="632">
        <v>45972</v>
      </c>
      <c r="B519" s="633" t="s">
        <v>2110</v>
      </c>
      <c r="C519" s="634" t="s">
        <v>214</v>
      </c>
      <c r="D519" s="635">
        <v>4500185200</v>
      </c>
      <c r="E519" s="659">
        <v>4559334848</v>
      </c>
      <c r="F519" s="635" t="s">
        <v>2429</v>
      </c>
      <c r="G519" s="637" t="s">
        <v>718</v>
      </c>
      <c r="H519" s="637" t="s">
        <v>99</v>
      </c>
      <c r="I519" s="638">
        <v>630</v>
      </c>
      <c r="J519" s="638">
        <v>0</v>
      </c>
      <c r="K519" s="639">
        <v>6</v>
      </c>
      <c r="L519" s="639">
        <f t="shared" si="278"/>
        <v>105</v>
      </c>
      <c r="M519" s="641">
        <v>46009</v>
      </c>
      <c r="N519" s="641">
        <v>46006</v>
      </c>
      <c r="O519" s="641"/>
      <c r="P519" s="642" t="s">
        <v>100</v>
      </c>
      <c r="Q519" s="643"/>
      <c r="R519" s="642" t="s">
        <v>568</v>
      </c>
      <c r="S519" s="641"/>
      <c r="T519" s="641"/>
      <c r="U519" s="642" t="s">
        <v>2426</v>
      </c>
      <c r="V519" s="642"/>
      <c r="W519" s="645"/>
      <c r="X519" s="647" t="s">
        <v>2427</v>
      </c>
      <c r="Y519" s="646" t="s">
        <v>725</v>
      </c>
      <c r="Z519" s="648">
        <v>1.5775</v>
      </c>
      <c r="AA519" s="650">
        <f t="shared" si="279"/>
        <v>993.825</v>
      </c>
      <c r="AB519" s="649">
        <v>630</v>
      </c>
      <c r="AC519" s="649">
        <f t="shared" si="280"/>
        <v>0</v>
      </c>
      <c r="AD519" s="650"/>
      <c r="AE519" s="637" t="s">
        <v>718</v>
      </c>
      <c r="AF519" s="646" t="s">
        <v>107</v>
      </c>
      <c r="AG519" s="652" t="s">
        <v>43</v>
      </c>
      <c r="AH519" s="646"/>
      <c r="AI519" s="693"/>
      <c r="AJ519" s="693"/>
      <c r="AK519" s="693"/>
      <c r="AL519" s="649">
        <f t="shared" si="288"/>
        <v>630</v>
      </c>
      <c r="AM519" s="649"/>
      <c r="AN519" s="693"/>
      <c r="AO519" s="649"/>
      <c r="AP519" s="649"/>
      <c r="AQ519" s="653"/>
      <c r="AR519" s="693"/>
      <c r="AS519" s="693"/>
      <c r="AT519" s="649">
        <f t="shared" si="289"/>
        <v>630</v>
      </c>
      <c r="AU519" s="649"/>
      <c r="AV519" s="652"/>
      <c r="AW519" s="694"/>
      <c r="AX519" s="652"/>
      <c r="AY519" s="652"/>
      <c r="AZ519" s="694"/>
      <c r="BA519" s="652"/>
      <c r="BB519" s="652"/>
      <c r="BC519" s="694"/>
      <c r="BD519" s="694"/>
      <c r="BE519" s="654"/>
      <c r="BF519" s="694"/>
      <c r="BG519" s="652"/>
      <c r="BH519" s="652"/>
      <c r="BI519" s="694"/>
      <c r="BJ519" s="694"/>
      <c r="BK519" s="652">
        <f t="shared" si="290"/>
        <v>105</v>
      </c>
      <c r="BL519" s="652"/>
      <c r="BM519" s="654"/>
      <c r="BN519" s="654"/>
      <c r="BO519" s="654"/>
      <c r="BP519" s="694"/>
      <c r="BQ519" s="654"/>
      <c r="BR519" s="694"/>
      <c r="BS519" s="654"/>
      <c r="BT519" s="654"/>
      <c r="BU519" s="654"/>
      <c r="BV519" s="654"/>
      <c r="BW519" s="645" t="s">
        <v>109</v>
      </c>
      <c r="BX519" s="658">
        <f t="shared" si="281"/>
        <v>157.5</v>
      </c>
      <c r="BY519" s="658">
        <f t="shared" si="282"/>
        <v>157.5</v>
      </c>
      <c r="BZ519" s="658">
        <f t="shared" si="283"/>
        <v>157.5</v>
      </c>
      <c r="CA519" s="658">
        <f t="shared" si="284"/>
        <v>157.5</v>
      </c>
      <c r="CB519" s="644">
        <f t="shared" si="285"/>
        <v>630</v>
      </c>
      <c r="CC519" s="644"/>
      <c r="CD519" s="644">
        <f t="shared" si="286"/>
        <v>630</v>
      </c>
      <c r="CE519" s="644">
        <f t="shared" si="287"/>
        <v>0</v>
      </c>
    </row>
    <row r="520" s="338" customFormat="1" ht="40" customHeight="1" spans="1:83">
      <c r="A520" s="632">
        <v>45972</v>
      </c>
      <c r="B520" s="633" t="s">
        <v>2110</v>
      </c>
      <c r="C520" s="634" t="s">
        <v>214</v>
      </c>
      <c r="D520" s="635">
        <v>4500185200</v>
      </c>
      <c r="E520" s="659">
        <v>4559335069</v>
      </c>
      <c r="F520" s="635" t="s">
        <v>2430</v>
      </c>
      <c r="G520" s="637" t="s">
        <v>718</v>
      </c>
      <c r="H520" s="637" t="s">
        <v>99</v>
      </c>
      <c r="I520" s="638">
        <v>276</v>
      </c>
      <c r="J520" s="638">
        <v>0</v>
      </c>
      <c r="K520" s="639">
        <v>6</v>
      </c>
      <c r="L520" s="639">
        <f t="shared" si="278"/>
        <v>46</v>
      </c>
      <c r="M520" s="641">
        <v>46009</v>
      </c>
      <c r="N520" s="641">
        <v>46006</v>
      </c>
      <c r="O520" s="641"/>
      <c r="P520" s="642" t="s">
        <v>100</v>
      </c>
      <c r="Q520" s="643"/>
      <c r="R520" s="642" t="s">
        <v>568</v>
      </c>
      <c r="S520" s="641"/>
      <c r="T520" s="641"/>
      <c r="U520" s="642" t="s">
        <v>2426</v>
      </c>
      <c r="V520" s="642"/>
      <c r="W520" s="645"/>
      <c r="X520" s="647" t="s">
        <v>2427</v>
      </c>
      <c r="Y520" s="646" t="s">
        <v>725</v>
      </c>
      <c r="Z520" s="648">
        <v>1.5775</v>
      </c>
      <c r="AA520" s="650">
        <f t="shared" si="279"/>
        <v>435.39</v>
      </c>
      <c r="AB520" s="649">
        <v>276</v>
      </c>
      <c r="AC520" s="649">
        <f t="shared" si="280"/>
        <v>0</v>
      </c>
      <c r="AD520" s="650"/>
      <c r="AE520" s="637" t="s">
        <v>718</v>
      </c>
      <c r="AF520" s="646" t="s">
        <v>107</v>
      </c>
      <c r="AG520" s="652" t="s">
        <v>43</v>
      </c>
      <c r="AH520" s="646"/>
      <c r="AI520" s="693"/>
      <c r="AJ520" s="693"/>
      <c r="AK520" s="693"/>
      <c r="AL520" s="649">
        <f t="shared" si="288"/>
        <v>276</v>
      </c>
      <c r="AM520" s="649"/>
      <c r="AN520" s="693"/>
      <c r="AO520" s="649"/>
      <c r="AP520" s="649"/>
      <c r="AQ520" s="653"/>
      <c r="AR520" s="693"/>
      <c r="AS520" s="693"/>
      <c r="AT520" s="649">
        <f t="shared" si="289"/>
        <v>276</v>
      </c>
      <c r="AU520" s="649"/>
      <c r="AV520" s="652"/>
      <c r="AW520" s="694"/>
      <c r="AX520" s="652"/>
      <c r="AY520" s="652"/>
      <c r="AZ520" s="694"/>
      <c r="BA520" s="652"/>
      <c r="BB520" s="652"/>
      <c r="BC520" s="694"/>
      <c r="BD520" s="694"/>
      <c r="BE520" s="654"/>
      <c r="BF520" s="694"/>
      <c r="BG520" s="652"/>
      <c r="BH520" s="652"/>
      <c r="BI520" s="694"/>
      <c r="BJ520" s="694"/>
      <c r="BK520" s="652">
        <f t="shared" si="290"/>
        <v>46</v>
      </c>
      <c r="BL520" s="652"/>
      <c r="BM520" s="654"/>
      <c r="BN520" s="654"/>
      <c r="BO520" s="654"/>
      <c r="BP520" s="694"/>
      <c r="BQ520" s="654"/>
      <c r="BR520" s="694"/>
      <c r="BS520" s="654"/>
      <c r="BT520" s="654"/>
      <c r="BU520" s="654"/>
      <c r="BV520" s="654"/>
      <c r="BW520" s="645" t="s">
        <v>109</v>
      </c>
      <c r="BX520" s="658">
        <f t="shared" si="281"/>
        <v>69</v>
      </c>
      <c r="BY520" s="658">
        <f t="shared" si="282"/>
        <v>69</v>
      </c>
      <c r="BZ520" s="658">
        <f t="shared" si="283"/>
        <v>69</v>
      </c>
      <c r="CA520" s="658">
        <f t="shared" si="284"/>
        <v>69</v>
      </c>
      <c r="CB520" s="644">
        <f t="shared" si="285"/>
        <v>276</v>
      </c>
      <c r="CC520" s="644"/>
      <c r="CD520" s="644">
        <f t="shared" si="286"/>
        <v>276</v>
      </c>
      <c r="CE520" s="644">
        <f t="shared" si="287"/>
        <v>0</v>
      </c>
    </row>
    <row r="521" s="338" customFormat="1" ht="40" customHeight="1" spans="1:83">
      <c r="A521" s="632">
        <v>45972</v>
      </c>
      <c r="B521" s="633" t="s">
        <v>2110</v>
      </c>
      <c r="C521" s="634" t="s">
        <v>214</v>
      </c>
      <c r="D521" s="635">
        <v>4500185200</v>
      </c>
      <c r="E521" s="659">
        <v>4559334865</v>
      </c>
      <c r="F521" s="635" t="s">
        <v>2431</v>
      </c>
      <c r="G521" s="637" t="s">
        <v>718</v>
      </c>
      <c r="H521" s="637" t="s">
        <v>99</v>
      </c>
      <c r="I521" s="638">
        <v>72</v>
      </c>
      <c r="J521" s="638">
        <v>0</v>
      </c>
      <c r="K521" s="639">
        <v>6</v>
      </c>
      <c r="L521" s="639">
        <f t="shared" si="278"/>
        <v>12</v>
      </c>
      <c r="M521" s="641">
        <v>46009</v>
      </c>
      <c r="N521" s="641">
        <v>46006</v>
      </c>
      <c r="O521" s="641"/>
      <c r="P521" s="642" t="s">
        <v>100</v>
      </c>
      <c r="Q521" s="643"/>
      <c r="R521" s="642" t="s">
        <v>568</v>
      </c>
      <c r="S521" s="641"/>
      <c r="T521" s="641"/>
      <c r="U521" s="642" t="s">
        <v>2426</v>
      </c>
      <c r="V521" s="642"/>
      <c r="W521" s="645"/>
      <c r="X521" s="647" t="s">
        <v>2427</v>
      </c>
      <c r="Y521" s="646" t="s">
        <v>725</v>
      </c>
      <c r="Z521" s="648">
        <v>1.5775</v>
      </c>
      <c r="AA521" s="650">
        <f t="shared" si="279"/>
        <v>113.58</v>
      </c>
      <c r="AB521" s="649">
        <v>72</v>
      </c>
      <c r="AC521" s="649">
        <f t="shared" si="280"/>
        <v>0</v>
      </c>
      <c r="AD521" s="650"/>
      <c r="AE521" s="637" t="s">
        <v>718</v>
      </c>
      <c r="AF521" s="646" t="s">
        <v>107</v>
      </c>
      <c r="AG521" s="652" t="s">
        <v>43</v>
      </c>
      <c r="AH521" s="646"/>
      <c r="AI521" s="693"/>
      <c r="AJ521" s="693"/>
      <c r="AK521" s="693"/>
      <c r="AL521" s="649">
        <f t="shared" si="288"/>
        <v>72</v>
      </c>
      <c r="AM521" s="649"/>
      <c r="AN521" s="693"/>
      <c r="AO521" s="649"/>
      <c r="AP521" s="649"/>
      <c r="AQ521" s="653"/>
      <c r="AR521" s="693"/>
      <c r="AS521" s="693"/>
      <c r="AT521" s="649">
        <f t="shared" si="289"/>
        <v>72</v>
      </c>
      <c r="AU521" s="649"/>
      <c r="AV521" s="652"/>
      <c r="AW521" s="694"/>
      <c r="AX521" s="652"/>
      <c r="AY521" s="652"/>
      <c r="AZ521" s="694"/>
      <c r="BA521" s="652"/>
      <c r="BB521" s="652"/>
      <c r="BC521" s="694"/>
      <c r="BD521" s="694"/>
      <c r="BE521" s="654"/>
      <c r="BF521" s="694"/>
      <c r="BG521" s="652"/>
      <c r="BH521" s="652"/>
      <c r="BI521" s="694"/>
      <c r="BJ521" s="694"/>
      <c r="BK521" s="652">
        <f t="shared" si="290"/>
        <v>12</v>
      </c>
      <c r="BL521" s="652"/>
      <c r="BM521" s="654"/>
      <c r="BN521" s="654"/>
      <c r="BO521" s="654"/>
      <c r="BP521" s="694"/>
      <c r="BQ521" s="654"/>
      <c r="BR521" s="694"/>
      <c r="BS521" s="654"/>
      <c r="BT521" s="654"/>
      <c r="BU521" s="654"/>
      <c r="BV521" s="654"/>
      <c r="BW521" s="645" t="s">
        <v>109</v>
      </c>
      <c r="BX521" s="658">
        <f t="shared" si="281"/>
        <v>18</v>
      </c>
      <c r="BY521" s="658">
        <f t="shared" si="282"/>
        <v>18</v>
      </c>
      <c r="BZ521" s="658">
        <f t="shared" si="283"/>
        <v>18</v>
      </c>
      <c r="CA521" s="658">
        <f t="shared" si="284"/>
        <v>18</v>
      </c>
      <c r="CB521" s="644">
        <f t="shared" si="285"/>
        <v>72</v>
      </c>
      <c r="CC521" s="644"/>
      <c r="CD521" s="644">
        <f t="shared" si="286"/>
        <v>72</v>
      </c>
      <c r="CE521" s="644">
        <f t="shared" si="287"/>
        <v>0</v>
      </c>
    </row>
    <row r="522" s="338" customFormat="1" ht="40" customHeight="1" spans="1:83">
      <c r="A522" s="632">
        <v>45972</v>
      </c>
      <c r="B522" s="633" t="s">
        <v>2110</v>
      </c>
      <c r="C522" s="634" t="s">
        <v>214</v>
      </c>
      <c r="D522" s="635">
        <v>4500185200</v>
      </c>
      <c r="E522" s="659">
        <v>4559335082</v>
      </c>
      <c r="F522" s="635" t="s">
        <v>2432</v>
      </c>
      <c r="G522" s="637" t="s">
        <v>718</v>
      </c>
      <c r="H522" s="637" t="s">
        <v>99</v>
      </c>
      <c r="I522" s="638">
        <v>1134</v>
      </c>
      <c r="J522" s="638">
        <v>0</v>
      </c>
      <c r="K522" s="639">
        <v>6</v>
      </c>
      <c r="L522" s="639">
        <f t="shared" si="278"/>
        <v>189</v>
      </c>
      <c r="M522" s="641">
        <v>46009</v>
      </c>
      <c r="N522" s="641">
        <v>46006</v>
      </c>
      <c r="O522" s="641"/>
      <c r="P522" s="642" t="s">
        <v>100</v>
      </c>
      <c r="Q522" s="643"/>
      <c r="R522" s="642" t="s">
        <v>568</v>
      </c>
      <c r="S522" s="641"/>
      <c r="T522" s="641"/>
      <c r="U522" s="642" t="s">
        <v>2426</v>
      </c>
      <c r="V522" s="642"/>
      <c r="W522" s="645"/>
      <c r="X522" s="647" t="s">
        <v>2427</v>
      </c>
      <c r="Y522" s="646" t="s">
        <v>725</v>
      </c>
      <c r="Z522" s="648">
        <v>1.5692</v>
      </c>
      <c r="AA522" s="650">
        <f t="shared" si="279"/>
        <v>1779.4728</v>
      </c>
      <c r="AB522" s="649">
        <v>1134</v>
      </c>
      <c r="AC522" s="649">
        <f t="shared" si="280"/>
        <v>0</v>
      </c>
      <c r="AD522" s="650"/>
      <c r="AE522" s="637" t="s">
        <v>718</v>
      </c>
      <c r="AF522" s="646" t="s">
        <v>107</v>
      </c>
      <c r="AG522" s="652" t="s">
        <v>43</v>
      </c>
      <c r="AH522" s="646"/>
      <c r="AI522" s="693"/>
      <c r="AJ522" s="693"/>
      <c r="AK522" s="693"/>
      <c r="AL522" s="649">
        <f t="shared" si="288"/>
        <v>1134</v>
      </c>
      <c r="AM522" s="649"/>
      <c r="AN522" s="693"/>
      <c r="AO522" s="649"/>
      <c r="AP522" s="649"/>
      <c r="AQ522" s="653"/>
      <c r="AR522" s="693"/>
      <c r="AS522" s="693"/>
      <c r="AT522" s="649">
        <f t="shared" si="289"/>
        <v>1134</v>
      </c>
      <c r="AU522" s="649"/>
      <c r="AV522" s="652"/>
      <c r="AW522" s="694"/>
      <c r="AX522" s="652"/>
      <c r="AY522" s="652"/>
      <c r="AZ522" s="694"/>
      <c r="BA522" s="652"/>
      <c r="BB522" s="652"/>
      <c r="BC522" s="694"/>
      <c r="BD522" s="694"/>
      <c r="BE522" s="654"/>
      <c r="BF522" s="694"/>
      <c r="BG522" s="652"/>
      <c r="BH522" s="652"/>
      <c r="BI522" s="694"/>
      <c r="BJ522" s="694"/>
      <c r="BK522" s="652">
        <f t="shared" si="290"/>
        <v>189</v>
      </c>
      <c r="BL522" s="652"/>
      <c r="BM522" s="654"/>
      <c r="BN522" s="654"/>
      <c r="BO522" s="654"/>
      <c r="BP522" s="694"/>
      <c r="BQ522" s="654"/>
      <c r="BR522" s="694"/>
      <c r="BS522" s="654"/>
      <c r="BT522" s="654"/>
      <c r="BU522" s="654"/>
      <c r="BV522" s="654"/>
      <c r="BW522" s="645" t="s">
        <v>109</v>
      </c>
      <c r="BX522" s="658">
        <f t="shared" si="281"/>
        <v>283.5</v>
      </c>
      <c r="BY522" s="658">
        <f t="shared" si="282"/>
        <v>283.5</v>
      </c>
      <c r="BZ522" s="658">
        <f t="shared" si="283"/>
        <v>283.5</v>
      </c>
      <c r="CA522" s="658">
        <f t="shared" si="284"/>
        <v>283.5</v>
      </c>
      <c r="CB522" s="644">
        <f t="shared" si="285"/>
        <v>1134</v>
      </c>
      <c r="CC522" s="644"/>
      <c r="CD522" s="644">
        <f t="shared" si="286"/>
        <v>1134</v>
      </c>
      <c r="CE522" s="644">
        <f t="shared" si="287"/>
        <v>0</v>
      </c>
    </row>
    <row r="523" s="338" customFormat="1" ht="40" customHeight="1" spans="1:83">
      <c r="A523" s="632">
        <v>45972</v>
      </c>
      <c r="B523" s="633" t="s">
        <v>2110</v>
      </c>
      <c r="C523" s="634" t="s">
        <v>214</v>
      </c>
      <c r="D523" s="635">
        <v>4500185200</v>
      </c>
      <c r="E523" s="659">
        <v>4559334965</v>
      </c>
      <c r="F523" s="635" t="s">
        <v>2433</v>
      </c>
      <c r="G523" s="637" t="s">
        <v>718</v>
      </c>
      <c r="H523" s="637" t="s">
        <v>99</v>
      </c>
      <c r="I523" s="638">
        <v>444</v>
      </c>
      <c r="J523" s="638">
        <v>0</v>
      </c>
      <c r="K523" s="639">
        <v>6</v>
      </c>
      <c r="L523" s="639">
        <f t="shared" si="278"/>
        <v>74</v>
      </c>
      <c r="M523" s="641">
        <v>46009</v>
      </c>
      <c r="N523" s="641">
        <v>46006</v>
      </c>
      <c r="O523" s="641"/>
      <c r="P523" s="642" t="s">
        <v>100</v>
      </c>
      <c r="Q523" s="643"/>
      <c r="R523" s="642" t="s">
        <v>568</v>
      </c>
      <c r="S523" s="641"/>
      <c r="T523" s="641"/>
      <c r="U523" s="642" t="s">
        <v>2426</v>
      </c>
      <c r="V523" s="642"/>
      <c r="W523" s="645"/>
      <c r="X523" s="647" t="s">
        <v>2427</v>
      </c>
      <c r="Y523" s="646" t="s">
        <v>725</v>
      </c>
      <c r="Z523" s="648">
        <v>1.5775</v>
      </c>
      <c r="AA523" s="650">
        <f t="shared" si="279"/>
        <v>700.41</v>
      </c>
      <c r="AB523" s="649">
        <v>444</v>
      </c>
      <c r="AC523" s="649">
        <f t="shared" si="280"/>
        <v>0</v>
      </c>
      <c r="AD523" s="650"/>
      <c r="AE523" s="637" t="s">
        <v>718</v>
      </c>
      <c r="AF523" s="646" t="s">
        <v>107</v>
      </c>
      <c r="AG523" s="652" t="s">
        <v>43</v>
      </c>
      <c r="AH523" s="646"/>
      <c r="AI523" s="693"/>
      <c r="AJ523" s="693"/>
      <c r="AK523" s="693"/>
      <c r="AL523" s="649">
        <f t="shared" si="288"/>
        <v>444</v>
      </c>
      <c r="AM523" s="649"/>
      <c r="AN523" s="693"/>
      <c r="AO523" s="649"/>
      <c r="AP523" s="649"/>
      <c r="AQ523" s="653"/>
      <c r="AR523" s="693"/>
      <c r="AS523" s="693"/>
      <c r="AT523" s="649">
        <f t="shared" si="289"/>
        <v>444</v>
      </c>
      <c r="AU523" s="649"/>
      <c r="AV523" s="652"/>
      <c r="AW523" s="694"/>
      <c r="AX523" s="652"/>
      <c r="AY523" s="652"/>
      <c r="AZ523" s="694"/>
      <c r="BA523" s="652"/>
      <c r="BB523" s="652"/>
      <c r="BC523" s="694"/>
      <c r="BD523" s="694"/>
      <c r="BE523" s="654"/>
      <c r="BF523" s="694"/>
      <c r="BG523" s="652"/>
      <c r="BH523" s="652"/>
      <c r="BI523" s="694"/>
      <c r="BJ523" s="694"/>
      <c r="BK523" s="652">
        <f t="shared" si="290"/>
        <v>74</v>
      </c>
      <c r="BL523" s="652"/>
      <c r="BM523" s="654"/>
      <c r="BN523" s="654"/>
      <c r="BO523" s="654"/>
      <c r="BP523" s="694"/>
      <c r="BQ523" s="654"/>
      <c r="BR523" s="694"/>
      <c r="BS523" s="654"/>
      <c r="BT523" s="654"/>
      <c r="BU523" s="654"/>
      <c r="BV523" s="654"/>
      <c r="BW523" s="645" t="s">
        <v>109</v>
      </c>
      <c r="BX523" s="658">
        <f t="shared" si="281"/>
        <v>111</v>
      </c>
      <c r="BY523" s="658">
        <f t="shared" si="282"/>
        <v>111</v>
      </c>
      <c r="BZ523" s="658">
        <f t="shared" si="283"/>
        <v>111</v>
      </c>
      <c r="CA523" s="658">
        <f t="shared" si="284"/>
        <v>111</v>
      </c>
      <c r="CB523" s="644">
        <f t="shared" si="285"/>
        <v>444</v>
      </c>
      <c r="CC523" s="644"/>
      <c r="CD523" s="644">
        <f t="shared" si="286"/>
        <v>444</v>
      </c>
      <c r="CE523" s="644">
        <f t="shared" si="287"/>
        <v>0</v>
      </c>
    </row>
    <row r="524" s="338" customFormat="1" ht="40" customHeight="1" spans="1:83">
      <c r="A524" s="632">
        <v>45972</v>
      </c>
      <c r="B524" s="633" t="s">
        <v>2110</v>
      </c>
      <c r="C524" s="634" t="s">
        <v>214</v>
      </c>
      <c r="D524" s="635">
        <v>4500185200</v>
      </c>
      <c r="E524" s="659">
        <v>4559335091</v>
      </c>
      <c r="F524" s="635" t="s">
        <v>2434</v>
      </c>
      <c r="G524" s="637" t="s">
        <v>718</v>
      </c>
      <c r="H524" s="637" t="s">
        <v>99</v>
      </c>
      <c r="I524" s="638">
        <v>822</v>
      </c>
      <c r="J524" s="638">
        <v>0</v>
      </c>
      <c r="K524" s="639">
        <v>6</v>
      </c>
      <c r="L524" s="639">
        <f t="shared" si="278"/>
        <v>137</v>
      </c>
      <c r="M524" s="641">
        <v>46009</v>
      </c>
      <c r="N524" s="641">
        <v>46006</v>
      </c>
      <c r="O524" s="641"/>
      <c r="P524" s="642" t="s">
        <v>100</v>
      </c>
      <c r="Q524" s="643"/>
      <c r="R524" s="642" t="s">
        <v>568</v>
      </c>
      <c r="S524" s="641"/>
      <c r="T524" s="641"/>
      <c r="U524" s="642" t="s">
        <v>2426</v>
      </c>
      <c r="V524" s="642"/>
      <c r="W524" s="645"/>
      <c r="X524" s="647" t="s">
        <v>2427</v>
      </c>
      <c r="Y524" s="646" t="s">
        <v>725</v>
      </c>
      <c r="Z524" s="648">
        <v>1.5775</v>
      </c>
      <c r="AA524" s="650">
        <f t="shared" si="279"/>
        <v>1296.705</v>
      </c>
      <c r="AB524" s="649">
        <v>822</v>
      </c>
      <c r="AC524" s="649">
        <f t="shared" si="280"/>
        <v>0</v>
      </c>
      <c r="AD524" s="650"/>
      <c r="AE524" s="637" t="s">
        <v>718</v>
      </c>
      <c r="AF524" s="646" t="s">
        <v>107</v>
      </c>
      <c r="AG524" s="652" t="s">
        <v>43</v>
      </c>
      <c r="AH524" s="646"/>
      <c r="AI524" s="693"/>
      <c r="AJ524" s="693"/>
      <c r="AK524" s="693"/>
      <c r="AL524" s="649">
        <f t="shared" si="288"/>
        <v>822</v>
      </c>
      <c r="AM524" s="649"/>
      <c r="AN524" s="693"/>
      <c r="AO524" s="649"/>
      <c r="AP524" s="649"/>
      <c r="AQ524" s="653"/>
      <c r="AR524" s="693"/>
      <c r="AS524" s="693"/>
      <c r="AT524" s="649">
        <f t="shared" si="289"/>
        <v>822</v>
      </c>
      <c r="AU524" s="649"/>
      <c r="AV524" s="652"/>
      <c r="AW524" s="694"/>
      <c r="AX524" s="652"/>
      <c r="AY524" s="652"/>
      <c r="AZ524" s="694"/>
      <c r="BA524" s="652"/>
      <c r="BB524" s="652"/>
      <c r="BC524" s="694"/>
      <c r="BD524" s="694"/>
      <c r="BE524" s="654"/>
      <c r="BF524" s="694"/>
      <c r="BG524" s="652"/>
      <c r="BH524" s="652"/>
      <c r="BI524" s="694"/>
      <c r="BJ524" s="694"/>
      <c r="BK524" s="652">
        <f t="shared" si="290"/>
        <v>137</v>
      </c>
      <c r="BL524" s="652"/>
      <c r="BM524" s="654"/>
      <c r="BN524" s="654"/>
      <c r="BO524" s="654"/>
      <c r="BP524" s="694"/>
      <c r="BQ524" s="654"/>
      <c r="BR524" s="694"/>
      <c r="BS524" s="654"/>
      <c r="BT524" s="654"/>
      <c r="BU524" s="654"/>
      <c r="BV524" s="654"/>
      <c r="BW524" s="645" t="s">
        <v>109</v>
      </c>
      <c r="BX524" s="658">
        <f t="shared" si="281"/>
        <v>205.5</v>
      </c>
      <c r="BY524" s="658">
        <f t="shared" si="282"/>
        <v>205.5</v>
      </c>
      <c r="BZ524" s="658">
        <f t="shared" si="283"/>
        <v>205.5</v>
      </c>
      <c r="CA524" s="658">
        <f t="shared" si="284"/>
        <v>205.5</v>
      </c>
      <c r="CB524" s="644">
        <f t="shared" si="285"/>
        <v>822</v>
      </c>
      <c r="CC524" s="644"/>
      <c r="CD524" s="644">
        <f t="shared" si="286"/>
        <v>822</v>
      </c>
      <c r="CE524" s="644">
        <f t="shared" si="287"/>
        <v>0</v>
      </c>
    </row>
    <row r="525" s="338" customFormat="1" ht="40" customHeight="1" spans="1:83">
      <c r="A525" s="632">
        <v>45972</v>
      </c>
      <c r="B525" s="633" t="s">
        <v>2110</v>
      </c>
      <c r="C525" s="634" t="s">
        <v>214</v>
      </c>
      <c r="D525" s="635">
        <v>4500185200</v>
      </c>
      <c r="E525" s="659">
        <v>4559334515</v>
      </c>
      <c r="F525" s="635" t="s">
        <v>2435</v>
      </c>
      <c r="G525" s="637" t="s">
        <v>718</v>
      </c>
      <c r="H525" s="637" t="s">
        <v>99</v>
      </c>
      <c r="I525" s="638">
        <v>858</v>
      </c>
      <c r="J525" s="638">
        <v>0</v>
      </c>
      <c r="K525" s="639">
        <v>6</v>
      </c>
      <c r="L525" s="639">
        <f t="shared" si="278"/>
        <v>143</v>
      </c>
      <c r="M525" s="641">
        <v>46009</v>
      </c>
      <c r="N525" s="641">
        <v>46006</v>
      </c>
      <c r="O525" s="641"/>
      <c r="P525" s="642" t="s">
        <v>100</v>
      </c>
      <c r="Q525" s="643"/>
      <c r="R525" s="642" t="s">
        <v>568</v>
      </c>
      <c r="S525" s="641"/>
      <c r="T525" s="641"/>
      <c r="U525" s="642" t="s">
        <v>2426</v>
      </c>
      <c r="V525" s="642"/>
      <c r="W525" s="645"/>
      <c r="X525" s="647" t="s">
        <v>2427</v>
      </c>
      <c r="Y525" s="646" t="s">
        <v>725</v>
      </c>
      <c r="Z525" s="648">
        <v>1.5775</v>
      </c>
      <c r="AA525" s="650">
        <f t="shared" si="279"/>
        <v>1353.495</v>
      </c>
      <c r="AB525" s="649">
        <v>858</v>
      </c>
      <c r="AC525" s="649">
        <f t="shared" si="280"/>
        <v>0</v>
      </c>
      <c r="AD525" s="650"/>
      <c r="AE525" s="637" t="s">
        <v>718</v>
      </c>
      <c r="AF525" s="646" t="s">
        <v>107</v>
      </c>
      <c r="AG525" s="652" t="s">
        <v>43</v>
      </c>
      <c r="AH525" s="646"/>
      <c r="AI525" s="693"/>
      <c r="AJ525" s="693"/>
      <c r="AK525" s="693"/>
      <c r="AL525" s="649">
        <f t="shared" si="288"/>
        <v>858</v>
      </c>
      <c r="AM525" s="649"/>
      <c r="AN525" s="693"/>
      <c r="AO525" s="649"/>
      <c r="AP525" s="649"/>
      <c r="AQ525" s="653"/>
      <c r="AR525" s="693"/>
      <c r="AS525" s="693"/>
      <c r="AT525" s="649">
        <f t="shared" si="289"/>
        <v>858</v>
      </c>
      <c r="AU525" s="649"/>
      <c r="AV525" s="652"/>
      <c r="AW525" s="694"/>
      <c r="AX525" s="652"/>
      <c r="AY525" s="652"/>
      <c r="AZ525" s="694"/>
      <c r="BA525" s="652"/>
      <c r="BB525" s="652"/>
      <c r="BC525" s="694"/>
      <c r="BD525" s="694"/>
      <c r="BE525" s="654"/>
      <c r="BF525" s="694"/>
      <c r="BG525" s="652"/>
      <c r="BH525" s="652"/>
      <c r="BI525" s="694"/>
      <c r="BJ525" s="694"/>
      <c r="BK525" s="652">
        <f t="shared" si="290"/>
        <v>143</v>
      </c>
      <c r="BL525" s="652"/>
      <c r="BM525" s="654"/>
      <c r="BN525" s="654"/>
      <c r="BO525" s="654"/>
      <c r="BP525" s="694"/>
      <c r="BQ525" s="654"/>
      <c r="BR525" s="694"/>
      <c r="BS525" s="654"/>
      <c r="BT525" s="654"/>
      <c r="BU525" s="654"/>
      <c r="BV525" s="654"/>
      <c r="BW525" s="645" t="s">
        <v>109</v>
      </c>
      <c r="BX525" s="658">
        <f t="shared" si="281"/>
        <v>214.5</v>
      </c>
      <c r="BY525" s="658">
        <f t="shared" si="282"/>
        <v>214.5</v>
      </c>
      <c r="BZ525" s="658">
        <f t="shared" si="283"/>
        <v>214.5</v>
      </c>
      <c r="CA525" s="658">
        <f t="shared" si="284"/>
        <v>214.5</v>
      </c>
      <c r="CB525" s="644">
        <f t="shared" si="285"/>
        <v>858</v>
      </c>
      <c r="CC525" s="644"/>
      <c r="CD525" s="644">
        <f t="shared" si="286"/>
        <v>858</v>
      </c>
      <c r="CE525" s="644">
        <f t="shared" si="287"/>
        <v>0</v>
      </c>
    </row>
    <row r="526" s="338" customFormat="1" ht="40" customHeight="1" spans="1:83">
      <c r="A526" s="632">
        <v>45904</v>
      </c>
      <c r="B526" s="633" t="s">
        <v>2436</v>
      </c>
      <c r="C526" s="634" t="s">
        <v>2437</v>
      </c>
      <c r="D526" s="703">
        <v>4500178856</v>
      </c>
      <c r="E526" s="659"/>
      <c r="F526" s="635" t="s">
        <v>2438</v>
      </c>
      <c r="G526" s="637" t="s">
        <v>111</v>
      </c>
      <c r="H526" s="637" t="s">
        <v>99</v>
      </c>
      <c r="I526" s="638">
        <v>924</v>
      </c>
      <c r="J526" s="638">
        <v>0</v>
      </c>
      <c r="K526" s="639">
        <v>22</v>
      </c>
      <c r="L526" s="639">
        <f t="shared" si="278"/>
        <v>42</v>
      </c>
      <c r="M526" s="641">
        <v>46008</v>
      </c>
      <c r="N526" s="641">
        <v>46004</v>
      </c>
      <c r="O526" s="641"/>
      <c r="P526" s="642" t="s">
        <v>100</v>
      </c>
      <c r="Q526" s="643" t="s">
        <v>2439</v>
      </c>
      <c r="R526" s="642" t="s">
        <v>2396</v>
      </c>
      <c r="S526" s="641"/>
      <c r="T526" s="641"/>
      <c r="U526" s="642" t="s">
        <v>2440</v>
      </c>
      <c r="V526" s="642"/>
      <c r="W526" s="645"/>
      <c r="X526" s="647" t="s">
        <v>2441</v>
      </c>
      <c r="Y526" s="646" t="s">
        <v>2310</v>
      </c>
      <c r="Z526" s="683">
        <v>2.7291</v>
      </c>
      <c r="AA526" s="650">
        <f>I526*Z526</f>
        <v>2521.6884</v>
      </c>
      <c r="AB526" s="649">
        <v>924</v>
      </c>
      <c r="AC526" s="649">
        <f t="shared" si="280"/>
        <v>0</v>
      </c>
      <c r="AD526" s="650" t="s">
        <v>106</v>
      </c>
      <c r="AE526" s="701" t="s">
        <v>230</v>
      </c>
      <c r="AF526" s="646" t="s">
        <v>107</v>
      </c>
      <c r="AG526" s="652" t="s">
        <v>43</v>
      </c>
      <c r="AH526" s="715" t="s">
        <v>2442</v>
      </c>
      <c r="AI526" s="693"/>
      <c r="AJ526" s="693"/>
      <c r="AK526" s="693"/>
      <c r="AL526" s="649"/>
      <c r="AM526" s="649"/>
      <c r="AN526" s="693"/>
      <c r="AO526" s="649"/>
      <c r="AP526" s="738">
        <f t="shared" ref="AP526:AP535" si="291">I526</f>
        <v>924</v>
      </c>
      <c r="AQ526" s="653"/>
      <c r="AR526" s="693"/>
      <c r="AS526" s="693"/>
      <c r="AT526" s="649"/>
      <c r="AU526" s="738">
        <f t="shared" ref="AU526:AU538" si="292">I526</f>
        <v>924</v>
      </c>
      <c r="AV526" s="652"/>
      <c r="AW526" s="694"/>
      <c r="AX526" s="652"/>
      <c r="AY526" s="652"/>
      <c r="AZ526" s="694"/>
      <c r="BA526" s="652"/>
      <c r="BB526" s="739">
        <f>I526/11</f>
        <v>84</v>
      </c>
      <c r="BC526" s="694"/>
      <c r="BD526" s="694"/>
      <c r="BE526" s="654"/>
      <c r="BF526" s="694"/>
      <c r="BG526" s="652"/>
      <c r="BH526" s="652"/>
      <c r="BI526" s="694"/>
      <c r="BJ526" s="694"/>
      <c r="BK526" s="654"/>
      <c r="BL526" s="654"/>
      <c r="BM526" s="654"/>
      <c r="BN526" s="654"/>
      <c r="BO526" s="654"/>
      <c r="BP526" s="694"/>
      <c r="BQ526" s="654"/>
      <c r="BR526" s="694"/>
      <c r="BS526" s="654"/>
      <c r="BT526" s="654"/>
      <c r="BU526" s="654"/>
      <c r="BV526" s="654"/>
      <c r="BW526" s="645" t="s">
        <v>109</v>
      </c>
      <c r="BX526" s="658">
        <f>I526/22*5</f>
        <v>210</v>
      </c>
      <c r="BY526" s="658">
        <f>I526/22*6</f>
        <v>252</v>
      </c>
      <c r="BZ526" s="658">
        <f>I526/22*6</f>
        <v>252</v>
      </c>
      <c r="CA526" s="658">
        <f>I526/22*5</f>
        <v>210</v>
      </c>
      <c r="CB526" s="644">
        <f t="shared" si="285"/>
        <v>924</v>
      </c>
      <c r="CC526" s="658">
        <f>I526/11</f>
        <v>84</v>
      </c>
      <c r="CD526" s="644">
        <f t="shared" si="286"/>
        <v>924</v>
      </c>
      <c r="CE526" s="644">
        <f t="shared" si="287"/>
        <v>0</v>
      </c>
    </row>
    <row r="527" s="338" customFormat="1" ht="40" customHeight="1" spans="1:83">
      <c r="A527" s="632">
        <v>45968</v>
      </c>
      <c r="B527" s="633" t="s">
        <v>1587</v>
      </c>
      <c r="C527" s="634" t="s">
        <v>178</v>
      </c>
      <c r="D527" s="635">
        <v>4500184839</v>
      </c>
      <c r="E527" s="659" t="s">
        <v>2443</v>
      </c>
      <c r="F527" s="635" t="s">
        <v>2444</v>
      </c>
      <c r="G527" s="637" t="s">
        <v>159</v>
      </c>
      <c r="H527" s="637" t="s">
        <v>99</v>
      </c>
      <c r="I527" s="638">
        <v>96</v>
      </c>
      <c r="J527" s="638">
        <v>0</v>
      </c>
      <c r="K527" s="639">
        <v>24</v>
      </c>
      <c r="L527" s="639">
        <f t="shared" si="278"/>
        <v>4</v>
      </c>
      <c r="M527" s="641">
        <v>46009</v>
      </c>
      <c r="N527" s="641">
        <v>46006</v>
      </c>
      <c r="O527" s="641"/>
      <c r="P527" s="642" t="s">
        <v>100</v>
      </c>
      <c r="Q527" s="643" t="s">
        <v>2445</v>
      </c>
      <c r="R527" s="642" t="s">
        <v>2446</v>
      </c>
      <c r="S527" s="641"/>
      <c r="T527" s="641"/>
      <c r="U527" s="642" t="s">
        <v>493</v>
      </c>
      <c r="V527" s="642" t="s">
        <v>2447</v>
      </c>
      <c r="W527" s="645"/>
      <c r="X527" s="647" t="s">
        <v>2448</v>
      </c>
      <c r="Y527" s="646" t="s">
        <v>734</v>
      </c>
      <c r="Z527" s="648">
        <v>2.5661</v>
      </c>
      <c r="AA527" s="650">
        <f>Z527*'9543'!I527</f>
        <v>246.3456</v>
      </c>
      <c r="AB527" s="649">
        <v>96</v>
      </c>
      <c r="AC527" s="649">
        <f t="shared" si="280"/>
        <v>0</v>
      </c>
      <c r="AD527" s="650" t="s">
        <v>106</v>
      </c>
      <c r="AE527" s="661" t="s">
        <v>166</v>
      </c>
      <c r="AF527" s="646" t="s">
        <v>107</v>
      </c>
      <c r="AG527" s="652" t="s">
        <v>43</v>
      </c>
      <c r="AH527" s="646"/>
      <c r="AI527" s="649"/>
      <c r="AJ527" s="649"/>
      <c r="AK527" s="649"/>
      <c r="AL527" s="649"/>
      <c r="AM527" s="649"/>
      <c r="AN527" s="649"/>
      <c r="AO527" s="649"/>
      <c r="AP527" s="649">
        <f t="shared" si="291"/>
        <v>96</v>
      </c>
      <c r="AQ527" s="653"/>
      <c r="AR527" s="649"/>
      <c r="AS527" s="649"/>
      <c r="AT527" s="649"/>
      <c r="AU527" s="649">
        <f t="shared" si="292"/>
        <v>96</v>
      </c>
      <c r="AV527" s="652"/>
      <c r="AW527" s="654"/>
      <c r="AX527" s="652"/>
      <c r="AY527" s="652"/>
      <c r="AZ527" s="654"/>
      <c r="BA527" s="652"/>
      <c r="BB527" s="652"/>
      <c r="BC527" s="654"/>
      <c r="BD527" s="654"/>
      <c r="BE527" s="654"/>
      <c r="BF527" s="654"/>
      <c r="BG527" s="652"/>
      <c r="BH527" s="652"/>
      <c r="BI527" s="654"/>
      <c r="BJ527" s="654"/>
      <c r="BK527" s="654"/>
      <c r="BL527" s="654"/>
      <c r="BM527" s="654"/>
      <c r="BN527" s="654"/>
      <c r="BO527" s="654"/>
      <c r="BP527" s="654"/>
      <c r="BQ527" s="654"/>
      <c r="BR527" s="654"/>
      <c r="BS527" s="654"/>
      <c r="BT527" s="654"/>
      <c r="BU527" s="654"/>
      <c r="BV527" s="654"/>
      <c r="BW527" s="645" t="s">
        <v>109</v>
      </c>
      <c r="BX527" s="658"/>
      <c r="BY527" s="658">
        <f>I527</f>
        <v>96</v>
      </c>
      <c r="BZ527" s="658"/>
      <c r="CA527" s="658"/>
      <c r="CB527" s="644">
        <f t="shared" si="285"/>
        <v>96</v>
      </c>
      <c r="CC527" s="658"/>
      <c r="CD527" s="644">
        <f t="shared" si="286"/>
        <v>96</v>
      </c>
      <c r="CE527" s="644">
        <f t="shared" si="287"/>
        <v>0</v>
      </c>
    </row>
    <row r="528" s="338" customFormat="1" ht="40" customHeight="1" spans="1:83">
      <c r="A528" s="632">
        <v>45968</v>
      </c>
      <c r="B528" s="633" t="s">
        <v>1587</v>
      </c>
      <c r="C528" s="634" t="s">
        <v>178</v>
      </c>
      <c r="D528" s="635">
        <v>4500184839</v>
      </c>
      <c r="E528" s="659" t="s">
        <v>2449</v>
      </c>
      <c r="F528" s="635" t="s">
        <v>2450</v>
      </c>
      <c r="G528" s="637" t="s">
        <v>141</v>
      </c>
      <c r="H528" s="637" t="s">
        <v>99</v>
      </c>
      <c r="I528" s="638">
        <v>24</v>
      </c>
      <c r="J528" s="638">
        <v>0</v>
      </c>
      <c r="K528" s="639">
        <v>24</v>
      </c>
      <c r="L528" s="639">
        <f t="shared" si="278"/>
        <v>1</v>
      </c>
      <c r="M528" s="641">
        <v>46009</v>
      </c>
      <c r="N528" s="641">
        <v>46006</v>
      </c>
      <c r="O528" s="641"/>
      <c r="P528" s="642" t="s">
        <v>100</v>
      </c>
      <c r="Q528" s="643" t="s">
        <v>2445</v>
      </c>
      <c r="R528" s="642" t="s">
        <v>2446</v>
      </c>
      <c r="S528" s="641"/>
      <c r="T528" s="641"/>
      <c r="U528" s="642" t="s">
        <v>493</v>
      </c>
      <c r="V528" s="642" t="s">
        <v>2447</v>
      </c>
      <c r="W528" s="645"/>
      <c r="X528" s="647" t="s">
        <v>2451</v>
      </c>
      <c r="Y528" s="646" t="s">
        <v>734</v>
      </c>
      <c r="Z528" s="648">
        <v>2.5661</v>
      </c>
      <c r="AA528" s="650">
        <f>Z528*'9543'!I528</f>
        <v>61.5864</v>
      </c>
      <c r="AB528" s="649">
        <v>24</v>
      </c>
      <c r="AC528" s="649">
        <f t="shared" si="280"/>
        <v>0</v>
      </c>
      <c r="AD528" s="650" t="s">
        <v>106</v>
      </c>
      <c r="AE528" s="637" t="s">
        <v>153</v>
      </c>
      <c r="AF528" s="646" t="s">
        <v>107</v>
      </c>
      <c r="AG528" s="652" t="s">
        <v>43</v>
      </c>
      <c r="AH528" s="646"/>
      <c r="AI528" s="649"/>
      <c r="AJ528" s="649"/>
      <c r="AK528" s="649"/>
      <c r="AL528" s="649"/>
      <c r="AM528" s="649"/>
      <c r="AN528" s="649"/>
      <c r="AO528" s="649"/>
      <c r="AP528" s="649">
        <f t="shared" si="291"/>
        <v>24</v>
      </c>
      <c r="AQ528" s="653"/>
      <c r="AR528" s="649"/>
      <c r="AS528" s="649"/>
      <c r="AT528" s="649"/>
      <c r="AU528" s="649">
        <f t="shared" si="292"/>
        <v>24</v>
      </c>
      <c r="AV528" s="652"/>
      <c r="AW528" s="654"/>
      <c r="AX528" s="652"/>
      <c r="AY528" s="652"/>
      <c r="AZ528" s="654"/>
      <c r="BA528" s="652"/>
      <c r="BB528" s="652"/>
      <c r="BC528" s="654"/>
      <c r="BD528" s="654"/>
      <c r="BE528" s="654"/>
      <c r="BF528" s="654"/>
      <c r="BG528" s="652"/>
      <c r="BH528" s="652"/>
      <c r="BI528" s="654"/>
      <c r="BJ528" s="654"/>
      <c r="BK528" s="654"/>
      <c r="BL528" s="654"/>
      <c r="BM528" s="654"/>
      <c r="BN528" s="654"/>
      <c r="BO528" s="654"/>
      <c r="BP528" s="654"/>
      <c r="BQ528" s="654"/>
      <c r="BR528" s="654"/>
      <c r="BS528" s="654"/>
      <c r="BT528" s="654"/>
      <c r="BU528" s="654"/>
      <c r="BV528" s="654"/>
      <c r="BW528" s="645" t="s">
        <v>109</v>
      </c>
      <c r="BX528" s="658"/>
      <c r="BY528" s="658"/>
      <c r="BZ528" s="658">
        <f>I528</f>
        <v>24</v>
      </c>
      <c r="CA528" s="658"/>
      <c r="CB528" s="644">
        <f t="shared" si="285"/>
        <v>24</v>
      </c>
      <c r="CC528" s="658"/>
      <c r="CD528" s="644">
        <f t="shared" si="286"/>
        <v>24</v>
      </c>
      <c r="CE528" s="644">
        <f t="shared" si="287"/>
        <v>0</v>
      </c>
    </row>
    <row r="529" s="338" customFormat="1" ht="40" customHeight="1" spans="1:83">
      <c r="A529" s="632">
        <v>45968</v>
      </c>
      <c r="B529" s="633" t="s">
        <v>1587</v>
      </c>
      <c r="C529" s="634" t="s">
        <v>178</v>
      </c>
      <c r="D529" s="635">
        <v>4500184839</v>
      </c>
      <c r="E529" s="659" t="s">
        <v>2452</v>
      </c>
      <c r="F529" s="635" t="s">
        <v>2453</v>
      </c>
      <c r="G529" s="637" t="s">
        <v>141</v>
      </c>
      <c r="H529" s="637" t="s">
        <v>99</v>
      </c>
      <c r="I529" s="638">
        <v>72</v>
      </c>
      <c r="J529" s="638">
        <v>0</v>
      </c>
      <c r="K529" s="639">
        <v>24</v>
      </c>
      <c r="L529" s="639">
        <f t="shared" si="278"/>
        <v>3</v>
      </c>
      <c r="M529" s="641">
        <v>46009</v>
      </c>
      <c r="N529" s="641">
        <v>46006</v>
      </c>
      <c r="O529" s="641"/>
      <c r="P529" s="642" t="s">
        <v>100</v>
      </c>
      <c r="Q529" s="643" t="s">
        <v>2445</v>
      </c>
      <c r="R529" s="642" t="s">
        <v>2446</v>
      </c>
      <c r="S529" s="641"/>
      <c r="T529" s="641"/>
      <c r="U529" s="642" t="s">
        <v>493</v>
      </c>
      <c r="V529" s="642" t="s">
        <v>2447</v>
      </c>
      <c r="W529" s="645"/>
      <c r="X529" s="647" t="s">
        <v>2451</v>
      </c>
      <c r="Y529" s="646" t="s">
        <v>734</v>
      </c>
      <c r="Z529" s="648">
        <v>2.5661</v>
      </c>
      <c r="AA529" s="650">
        <f>Z529*'9543'!I529</f>
        <v>184.7592</v>
      </c>
      <c r="AB529" s="649">
        <v>72</v>
      </c>
      <c r="AC529" s="649">
        <f t="shared" si="280"/>
        <v>0</v>
      </c>
      <c r="AD529" s="650" t="s">
        <v>106</v>
      </c>
      <c r="AE529" s="637" t="s">
        <v>153</v>
      </c>
      <c r="AF529" s="646" t="s">
        <v>107</v>
      </c>
      <c r="AG529" s="652" t="s">
        <v>43</v>
      </c>
      <c r="AH529" s="646"/>
      <c r="AI529" s="649"/>
      <c r="AJ529" s="649"/>
      <c r="AK529" s="649"/>
      <c r="AL529" s="649"/>
      <c r="AM529" s="649"/>
      <c r="AN529" s="649"/>
      <c r="AO529" s="649"/>
      <c r="AP529" s="649">
        <f t="shared" si="291"/>
        <v>72</v>
      </c>
      <c r="AQ529" s="653"/>
      <c r="AR529" s="649"/>
      <c r="AS529" s="649"/>
      <c r="AT529" s="649"/>
      <c r="AU529" s="649">
        <f t="shared" si="292"/>
        <v>72</v>
      </c>
      <c r="AV529" s="652"/>
      <c r="AW529" s="654"/>
      <c r="AX529" s="652"/>
      <c r="AY529" s="652"/>
      <c r="AZ529" s="654"/>
      <c r="BA529" s="652"/>
      <c r="BB529" s="652"/>
      <c r="BC529" s="654"/>
      <c r="BD529" s="654"/>
      <c r="BE529" s="654"/>
      <c r="BF529" s="654"/>
      <c r="BG529" s="652"/>
      <c r="BH529" s="652"/>
      <c r="BI529" s="654"/>
      <c r="BJ529" s="654"/>
      <c r="BK529" s="654"/>
      <c r="BL529" s="654"/>
      <c r="BM529" s="654"/>
      <c r="BN529" s="654"/>
      <c r="BO529" s="654"/>
      <c r="BP529" s="654"/>
      <c r="BQ529" s="654"/>
      <c r="BR529" s="654"/>
      <c r="BS529" s="654"/>
      <c r="BT529" s="654"/>
      <c r="BU529" s="654"/>
      <c r="BV529" s="654"/>
      <c r="BW529" s="645" t="s">
        <v>109</v>
      </c>
      <c r="BX529" s="658"/>
      <c r="BY529" s="658"/>
      <c r="BZ529" s="658">
        <f>I529</f>
        <v>72</v>
      </c>
      <c r="CA529" s="658"/>
      <c r="CB529" s="644">
        <f t="shared" si="285"/>
        <v>72</v>
      </c>
      <c r="CC529" s="658"/>
      <c r="CD529" s="644">
        <f t="shared" si="286"/>
        <v>72</v>
      </c>
      <c r="CE529" s="644">
        <f t="shared" si="287"/>
        <v>0</v>
      </c>
    </row>
    <row r="530" s="338" customFormat="1" ht="40" customHeight="1" spans="1:83">
      <c r="A530" s="632">
        <v>45968</v>
      </c>
      <c r="B530" s="633" t="s">
        <v>1587</v>
      </c>
      <c r="C530" s="634" t="s">
        <v>178</v>
      </c>
      <c r="D530" s="635">
        <v>4500184839</v>
      </c>
      <c r="E530" s="659" t="s">
        <v>2454</v>
      </c>
      <c r="F530" s="635" t="s">
        <v>2455</v>
      </c>
      <c r="G530" s="637" t="s">
        <v>141</v>
      </c>
      <c r="H530" s="637" t="s">
        <v>99</v>
      </c>
      <c r="I530" s="638">
        <v>24</v>
      </c>
      <c r="J530" s="638">
        <v>0</v>
      </c>
      <c r="K530" s="639">
        <v>24</v>
      </c>
      <c r="L530" s="639">
        <f t="shared" si="278"/>
        <v>1</v>
      </c>
      <c r="M530" s="641">
        <v>46009</v>
      </c>
      <c r="N530" s="641">
        <v>46006</v>
      </c>
      <c r="O530" s="641"/>
      <c r="P530" s="642" t="s">
        <v>100</v>
      </c>
      <c r="Q530" s="643" t="s">
        <v>2445</v>
      </c>
      <c r="R530" s="642" t="s">
        <v>2446</v>
      </c>
      <c r="S530" s="641"/>
      <c r="T530" s="641"/>
      <c r="U530" s="642" t="s">
        <v>493</v>
      </c>
      <c r="V530" s="642" t="s">
        <v>2447</v>
      </c>
      <c r="W530" s="645"/>
      <c r="X530" s="647" t="s">
        <v>2451</v>
      </c>
      <c r="Y530" s="646" t="s">
        <v>734</v>
      </c>
      <c r="Z530" s="648">
        <v>2.5661</v>
      </c>
      <c r="AA530" s="650">
        <f>Z530*'9543'!I530</f>
        <v>61.5864</v>
      </c>
      <c r="AB530" s="649">
        <v>24</v>
      </c>
      <c r="AC530" s="649">
        <f t="shared" si="280"/>
        <v>0</v>
      </c>
      <c r="AD530" s="650" t="s">
        <v>106</v>
      </c>
      <c r="AE530" s="637" t="s">
        <v>153</v>
      </c>
      <c r="AF530" s="646" t="s">
        <v>107</v>
      </c>
      <c r="AG530" s="652" t="s">
        <v>43</v>
      </c>
      <c r="AH530" s="646"/>
      <c r="AI530" s="649"/>
      <c r="AJ530" s="649"/>
      <c r="AK530" s="649"/>
      <c r="AL530" s="649"/>
      <c r="AM530" s="649"/>
      <c r="AN530" s="649"/>
      <c r="AO530" s="649"/>
      <c r="AP530" s="649">
        <f t="shared" si="291"/>
        <v>24</v>
      </c>
      <c r="AQ530" s="653"/>
      <c r="AR530" s="649"/>
      <c r="AS530" s="649"/>
      <c r="AT530" s="649"/>
      <c r="AU530" s="649">
        <f t="shared" si="292"/>
        <v>24</v>
      </c>
      <c r="AV530" s="652"/>
      <c r="AW530" s="654"/>
      <c r="AX530" s="652"/>
      <c r="AY530" s="652"/>
      <c r="AZ530" s="654"/>
      <c r="BA530" s="652"/>
      <c r="BB530" s="652"/>
      <c r="BC530" s="654"/>
      <c r="BD530" s="654"/>
      <c r="BE530" s="654"/>
      <c r="BF530" s="654"/>
      <c r="BG530" s="652"/>
      <c r="BH530" s="652"/>
      <c r="BI530" s="654"/>
      <c r="BJ530" s="654"/>
      <c r="BK530" s="654"/>
      <c r="BL530" s="654"/>
      <c r="BM530" s="654"/>
      <c r="BN530" s="654"/>
      <c r="BO530" s="654"/>
      <c r="BP530" s="654"/>
      <c r="BQ530" s="654"/>
      <c r="BR530" s="654"/>
      <c r="BS530" s="654"/>
      <c r="BT530" s="654"/>
      <c r="BU530" s="654"/>
      <c r="BV530" s="654"/>
      <c r="BW530" s="645" t="s">
        <v>109</v>
      </c>
      <c r="BX530" s="658"/>
      <c r="BY530" s="658"/>
      <c r="BZ530" s="658">
        <f>I530</f>
        <v>24</v>
      </c>
      <c r="CA530" s="658"/>
      <c r="CB530" s="644">
        <f t="shared" si="285"/>
        <v>24</v>
      </c>
      <c r="CC530" s="658"/>
      <c r="CD530" s="644">
        <f t="shared" si="286"/>
        <v>24</v>
      </c>
      <c r="CE530" s="644">
        <f t="shared" si="287"/>
        <v>0</v>
      </c>
    </row>
    <row r="531" s="338" customFormat="1" ht="40" customHeight="1" spans="1:83">
      <c r="A531" s="632">
        <v>45979</v>
      </c>
      <c r="B531" s="633" t="s">
        <v>1857</v>
      </c>
      <c r="C531" s="634" t="s">
        <v>144</v>
      </c>
      <c r="D531" s="703">
        <v>4500186101</v>
      </c>
      <c r="E531" s="659">
        <v>4400524413</v>
      </c>
      <c r="F531" s="635" t="s">
        <v>2456</v>
      </c>
      <c r="G531" s="637" t="s">
        <v>111</v>
      </c>
      <c r="H531" s="637" t="s">
        <v>99</v>
      </c>
      <c r="I531" s="638">
        <v>1936</v>
      </c>
      <c r="J531" s="638">
        <v>0</v>
      </c>
      <c r="K531" s="639">
        <v>22</v>
      </c>
      <c r="L531" s="639">
        <f t="shared" si="278"/>
        <v>88</v>
      </c>
      <c r="M531" s="641">
        <v>46007</v>
      </c>
      <c r="N531" s="641">
        <v>46003</v>
      </c>
      <c r="O531" s="641"/>
      <c r="P531" s="642" t="s">
        <v>100</v>
      </c>
      <c r="Q531" s="643" t="s">
        <v>2403</v>
      </c>
      <c r="R531" s="642" t="s">
        <v>208</v>
      </c>
      <c r="S531" s="641"/>
      <c r="T531" s="641"/>
      <c r="U531" s="642" t="s">
        <v>2457</v>
      </c>
      <c r="V531" s="642"/>
      <c r="W531" s="645"/>
      <c r="X531" s="647" t="s">
        <v>2458</v>
      </c>
      <c r="Y531" s="646" t="s">
        <v>1864</v>
      </c>
      <c r="Z531" s="683">
        <v>2.7152</v>
      </c>
      <c r="AA531" s="650">
        <f t="shared" ref="AA531:AA538" si="293">I531*Z531</f>
        <v>5256.6272</v>
      </c>
      <c r="AB531" s="649">
        <v>1936</v>
      </c>
      <c r="AC531" s="649">
        <f t="shared" si="280"/>
        <v>0</v>
      </c>
      <c r="AD531" s="650" t="s">
        <v>106</v>
      </c>
      <c r="AE531" s="701" t="s">
        <v>230</v>
      </c>
      <c r="AF531" s="646" t="s">
        <v>107</v>
      </c>
      <c r="AG531" s="652" t="s">
        <v>43</v>
      </c>
      <c r="AH531" s="646"/>
      <c r="AI531" s="693"/>
      <c r="AJ531" s="693"/>
      <c r="AK531" s="693"/>
      <c r="AL531" s="649"/>
      <c r="AM531" s="649"/>
      <c r="AN531" s="693"/>
      <c r="AO531" s="649"/>
      <c r="AP531" s="649">
        <f t="shared" si="291"/>
        <v>1936</v>
      </c>
      <c r="AQ531" s="653"/>
      <c r="AR531" s="693"/>
      <c r="AS531" s="693"/>
      <c r="AT531" s="649"/>
      <c r="AU531" s="649">
        <f t="shared" si="292"/>
        <v>1936</v>
      </c>
      <c r="AV531" s="652"/>
      <c r="AW531" s="694"/>
      <c r="AX531" s="652"/>
      <c r="AY531" s="652"/>
      <c r="AZ531" s="694"/>
      <c r="BA531" s="652"/>
      <c r="BB531" s="652">
        <f>I531/11</f>
        <v>176</v>
      </c>
      <c r="BC531" s="694"/>
      <c r="BD531" s="694"/>
      <c r="BE531" s="654"/>
      <c r="BF531" s="694"/>
      <c r="BG531" s="652"/>
      <c r="BH531" s="652"/>
      <c r="BI531" s="694"/>
      <c r="BJ531" s="694"/>
      <c r="BK531" s="654"/>
      <c r="BL531" s="654"/>
      <c r="BM531" s="654"/>
      <c r="BN531" s="654"/>
      <c r="BO531" s="654"/>
      <c r="BP531" s="694"/>
      <c r="BQ531" s="654"/>
      <c r="BR531" s="694"/>
      <c r="BS531" s="654"/>
      <c r="BT531" s="654"/>
      <c r="BU531" s="654"/>
      <c r="BV531" s="654"/>
      <c r="BW531" s="645" t="s">
        <v>109</v>
      </c>
      <c r="BX531" s="658">
        <f>I531/22*5</f>
        <v>440</v>
      </c>
      <c r="BY531" s="658">
        <f>I531/22*6</f>
        <v>528</v>
      </c>
      <c r="BZ531" s="658">
        <f>I531/22*6</f>
        <v>528</v>
      </c>
      <c r="CA531" s="658">
        <f>I531/22*5</f>
        <v>440</v>
      </c>
      <c r="CB531" s="644">
        <f t="shared" si="285"/>
        <v>1936</v>
      </c>
      <c r="CC531" s="658">
        <f>I531/11</f>
        <v>176</v>
      </c>
      <c r="CD531" s="644">
        <f t="shared" si="286"/>
        <v>1936</v>
      </c>
      <c r="CE531" s="644">
        <f t="shared" si="287"/>
        <v>0</v>
      </c>
    </row>
    <row r="532" s="338" customFormat="1" ht="40" customHeight="1" spans="1:83">
      <c r="A532" s="632">
        <v>45979</v>
      </c>
      <c r="B532" s="633" t="s">
        <v>1857</v>
      </c>
      <c r="C532" s="634" t="s">
        <v>144</v>
      </c>
      <c r="D532" s="703">
        <v>4500186101</v>
      </c>
      <c r="E532" s="659">
        <v>4400524455</v>
      </c>
      <c r="F532" s="635" t="s">
        <v>2459</v>
      </c>
      <c r="G532" s="637" t="s">
        <v>111</v>
      </c>
      <c r="H532" s="637" t="s">
        <v>99</v>
      </c>
      <c r="I532" s="638">
        <v>1584</v>
      </c>
      <c r="J532" s="638">
        <v>0</v>
      </c>
      <c r="K532" s="639">
        <v>22</v>
      </c>
      <c r="L532" s="639">
        <f t="shared" si="278"/>
        <v>72</v>
      </c>
      <c r="M532" s="641">
        <v>46007</v>
      </c>
      <c r="N532" s="641">
        <v>46003</v>
      </c>
      <c r="O532" s="641"/>
      <c r="P532" s="642" t="s">
        <v>100</v>
      </c>
      <c r="Q532" s="643" t="s">
        <v>2460</v>
      </c>
      <c r="R532" s="642" t="s">
        <v>208</v>
      </c>
      <c r="S532" s="641"/>
      <c r="T532" s="641"/>
      <c r="U532" s="642" t="s">
        <v>2457</v>
      </c>
      <c r="V532" s="642"/>
      <c r="W532" s="645"/>
      <c r="X532" s="647" t="s">
        <v>2458</v>
      </c>
      <c r="Y532" s="646" t="s">
        <v>1864</v>
      </c>
      <c r="Z532" s="683">
        <v>2.7152</v>
      </c>
      <c r="AA532" s="650">
        <f t="shared" si="293"/>
        <v>4300.8768</v>
      </c>
      <c r="AB532" s="710">
        <v>1584</v>
      </c>
      <c r="AC532" s="649">
        <f t="shared" si="280"/>
        <v>0</v>
      </c>
      <c r="AD532" s="650" t="s">
        <v>106</v>
      </c>
      <c r="AE532" s="701" t="s">
        <v>230</v>
      </c>
      <c r="AF532" s="646" t="s">
        <v>107</v>
      </c>
      <c r="AG532" s="652" t="s">
        <v>43</v>
      </c>
      <c r="AH532" s="646"/>
      <c r="AI532" s="693"/>
      <c r="AJ532" s="693"/>
      <c r="AK532" s="693"/>
      <c r="AL532" s="649"/>
      <c r="AM532" s="649"/>
      <c r="AN532" s="693"/>
      <c r="AO532" s="649"/>
      <c r="AP532" s="649">
        <f t="shared" si="291"/>
        <v>1584</v>
      </c>
      <c r="AQ532" s="653"/>
      <c r="AR532" s="693"/>
      <c r="AS532" s="693"/>
      <c r="AT532" s="649"/>
      <c r="AU532" s="649">
        <f t="shared" si="292"/>
        <v>1584</v>
      </c>
      <c r="AV532" s="652"/>
      <c r="AW532" s="694"/>
      <c r="AX532" s="652"/>
      <c r="AY532" s="652"/>
      <c r="AZ532" s="694"/>
      <c r="BA532" s="652"/>
      <c r="BB532" s="652">
        <f>I532/11</f>
        <v>144</v>
      </c>
      <c r="BC532" s="694"/>
      <c r="BD532" s="694"/>
      <c r="BE532" s="654"/>
      <c r="BF532" s="694"/>
      <c r="BG532" s="652"/>
      <c r="BH532" s="652"/>
      <c r="BI532" s="694"/>
      <c r="BJ532" s="694"/>
      <c r="BK532" s="654"/>
      <c r="BL532" s="654"/>
      <c r="BM532" s="654"/>
      <c r="BN532" s="654"/>
      <c r="BO532" s="654"/>
      <c r="BP532" s="694"/>
      <c r="BQ532" s="654"/>
      <c r="BR532" s="694"/>
      <c r="BS532" s="654"/>
      <c r="BT532" s="654"/>
      <c r="BU532" s="654"/>
      <c r="BV532" s="654"/>
      <c r="BW532" s="645" t="s">
        <v>109</v>
      </c>
      <c r="BX532" s="658">
        <f>I532/22*5</f>
        <v>360</v>
      </c>
      <c r="BY532" s="658">
        <f>I532/22*6</f>
        <v>432</v>
      </c>
      <c r="BZ532" s="658">
        <f>I532/22*6</f>
        <v>432</v>
      </c>
      <c r="CA532" s="658">
        <f>I532/22*5</f>
        <v>360</v>
      </c>
      <c r="CB532" s="644">
        <f t="shared" si="285"/>
        <v>1584</v>
      </c>
      <c r="CC532" s="658">
        <f>I532/11</f>
        <v>144</v>
      </c>
      <c r="CD532" s="644">
        <f t="shared" si="286"/>
        <v>1584</v>
      </c>
      <c r="CE532" s="644">
        <f t="shared" si="287"/>
        <v>0</v>
      </c>
    </row>
    <row r="533" s="338" customFormat="1" ht="40" customHeight="1" spans="1:83">
      <c r="A533" s="632">
        <v>45965</v>
      </c>
      <c r="B533" s="633" t="s">
        <v>2461</v>
      </c>
      <c r="C533" s="634" t="s">
        <v>831</v>
      </c>
      <c r="D533" s="635">
        <v>4500184422</v>
      </c>
      <c r="E533" s="659">
        <v>5907187951</v>
      </c>
      <c r="F533" s="635" t="s">
        <v>2462</v>
      </c>
      <c r="G533" s="637" t="s">
        <v>111</v>
      </c>
      <c r="H533" s="637" t="s">
        <v>99</v>
      </c>
      <c r="I533" s="638">
        <v>462</v>
      </c>
      <c r="J533" s="638">
        <v>0</v>
      </c>
      <c r="K533" s="639">
        <v>22</v>
      </c>
      <c r="L533" s="639">
        <f t="shared" si="278"/>
        <v>21</v>
      </c>
      <c r="M533" s="641">
        <v>46009</v>
      </c>
      <c r="N533" s="641">
        <v>46006</v>
      </c>
      <c r="O533" s="740"/>
      <c r="P533" s="642" t="s">
        <v>100</v>
      </c>
      <c r="Q533" s="643" t="s">
        <v>198</v>
      </c>
      <c r="R533" s="642" t="s">
        <v>568</v>
      </c>
      <c r="S533" s="641"/>
      <c r="T533" s="641"/>
      <c r="U533" s="642" t="s">
        <v>2463</v>
      </c>
      <c r="V533" s="642"/>
      <c r="W533" s="645"/>
      <c r="X533" s="647" t="s">
        <v>2464</v>
      </c>
      <c r="Y533" s="646" t="s">
        <v>818</v>
      </c>
      <c r="Z533" s="683">
        <v>2.7291</v>
      </c>
      <c r="AA533" s="650">
        <f t="shared" si="293"/>
        <v>1260.8442</v>
      </c>
      <c r="AB533" s="649">
        <v>462</v>
      </c>
      <c r="AC533" s="649">
        <f t="shared" si="280"/>
        <v>0</v>
      </c>
      <c r="AD533" s="650" t="s">
        <v>106</v>
      </c>
      <c r="AE533" s="701" t="s">
        <v>230</v>
      </c>
      <c r="AF533" s="646" t="s">
        <v>107</v>
      </c>
      <c r="AG533" s="652" t="s">
        <v>43</v>
      </c>
      <c r="AH533" s="646"/>
      <c r="AI533" s="693"/>
      <c r="AJ533" s="693"/>
      <c r="AK533" s="693"/>
      <c r="AL533" s="649"/>
      <c r="AM533" s="649"/>
      <c r="AN533" s="693"/>
      <c r="AO533" s="649"/>
      <c r="AP533" s="738">
        <f t="shared" si="291"/>
        <v>462</v>
      </c>
      <c r="AQ533" s="653"/>
      <c r="AR533" s="693"/>
      <c r="AS533" s="693"/>
      <c r="AT533" s="649"/>
      <c r="AU533" s="738">
        <f t="shared" si="292"/>
        <v>462</v>
      </c>
      <c r="AV533" s="652"/>
      <c r="AW533" s="694"/>
      <c r="AX533" s="652"/>
      <c r="AY533" s="652"/>
      <c r="AZ533" s="694"/>
      <c r="BA533" s="652"/>
      <c r="BB533" s="739">
        <f>I533/11</f>
        <v>42</v>
      </c>
      <c r="BC533" s="694"/>
      <c r="BD533" s="694"/>
      <c r="BE533" s="654"/>
      <c r="BF533" s="694"/>
      <c r="BG533" s="652"/>
      <c r="BH533" s="652"/>
      <c r="BI533" s="694"/>
      <c r="BJ533" s="694"/>
      <c r="BK533" s="654"/>
      <c r="BL533" s="654"/>
      <c r="BM533" s="654"/>
      <c r="BN533" s="654"/>
      <c r="BO533" s="654"/>
      <c r="BP533" s="694"/>
      <c r="BQ533" s="654"/>
      <c r="BR533" s="694"/>
      <c r="BS533" s="654"/>
      <c r="BT533" s="654"/>
      <c r="BU533" s="654"/>
      <c r="BV533" s="654"/>
      <c r="BW533" s="645" t="s">
        <v>109</v>
      </c>
      <c r="BX533" s="658">
        <f>I533/22*5</f>
        <v>105</v>
      </c>
      <c r="BY533" s="658">
        <f>I533/22*6</f>
        <v>126</v>
      </c>
      <c r="BZ533" s="658">
        <f>I533/22*6</f>
        <v>126</v>
      </c>
      <c r="CA533" s="658">
        <f>I533/22*5</f>
        <v>105</v>
      </c>
      <c r="CB533" s="644">
        <f t="shared" si="285"/>
        <v>462</v>
      </c>
      <c r="CC533" s="658">
        <f>I533/11</f>
        <v>42</v>
      </c>
      <c r="CD533" s="644">
        <f t="shared" si="286"/>
        <v>462</v>
      </c>
      <c r="CE533" s="644">
        <f t="shared" si="287"/>
        <v>0</v>
      </c>
    </row>
    <row r="534" s="338" customFormat="1" ht="40" customHeight="1" spans="1:83">
      <c r="A534" s="632">
        <v>45965</v>
      </c>
      <c r="B534" s="633" t="s">
        <v>2465</v>
      </c>
      <c r="C534" s="634" t="s">
        <v>275</v>
      </c>
      <c r="D534" s="635">
        <v>4500184316</v>
      </c>
      <c r="E534" s="659">
        <v>8807187952</v>
      </c>
      <c r="F534" s="635" t="s">
        <v>2466</v>
      </c>
      <c r="G534" s="637" t="s">
        <v>111</v>
      </c>
      <c r="H534" s="637" t="s">
        <v>99</v>
      </c>
      <c r="I534" s="638">
        <v>440</v>
      </c>
      <c r="J534" s="638">
        <v>0</v>
      </c>
      <c r="K534" s="639">
        <v>22</v>
      </c>
      <c r="L534" s="639">
        <f t="shared" si="278"/>
        <v>20</v>
      </c>
      <c r="M534" s="641">
        <v>46009</v>
      </c>
      <c r="N534" s="641">
        <v>46006</v>
      </c>
      <c r="O534" s="740"/>
      <c r="P534" s="642" t="s">
        <v>100</v>
      </c>
      <c r="Q534" s="643" t="s">
        <v>367</v>
      </c>
      <c r="R534" s="642" t="s">
        <v>568</v>
      </c>
      <c r="S534" s="641"/>
      <c r="T534" s="641"/>
      <c r="U534" s="642" t="s">
        <v>2467</v>
      </c>
      <c r="V534" s="642"/>
      <c r="W534" s="645"/>
      <c r="X534" s="647" t="s">
        <v>2468</v>
      </c>
      <c r="Y534" s="646" t="s">
        <v>818</v>
      </c>
      <c r="Z534" s="683">
        <v>2.7291</v>
      </c>
      <c r="AA534" s="650">
        <f t="shared" si="293"/>
        <v>1200.804</v>
      </c>
      <c r="AB534" s="649">
        <f>418+22</f>
        <v>440</v>
      </c>
      <c r="AC534" s="649">
        <f t="shared" si="280"/>
        <v>0</v>
      </c>
      <c r="AD534" s="650" t="s">
        <v>123</v>
      </c>
      <c r="AE534" s="701" t="s">
        <v>230</v>
      </c>
      <c r="AF534" s="646" t="s">
        <v>107</v>
      </c>
      <c r="AG534" s="652" t="s">
        <v>43</v>
      </c>
      <c r="AH534" s="646"/>
      <c r="AI534" s="693"/>
      <c r="AJ534" s="693"/>
      <c r="AK534" s="693"/>
      <c r="AL534" s="649"/>
      <c r="AM534" s="649"/>
      <c r="AN534" s="693"/>
      <c r="AO534" s="649"/>
      <c r="AP534" s="738">
        <f t="shared" si="291"/>
        <v>440</v>
      </c>
      <c r="AQ534" s="653"/>
      <c r="AR534" s="693"/>
      <c r="AS534" s="693"/>
      <c r="AT534" s="649"/>
      <c r="AU534" s="738">
        <f t="shared" si="292"/>
        <v>440</v>
      </c>
      <c r="AV534" s="652"/>
      <c r="AW534" s="694"/>
      <c r="AX534" s="652"/>
      <c r="AY534" s="652"/>
      <c r="AZ534" s="694"/>
      <c r="BA534" s="652"/>
      <c r="BB534" s="739">
        <f>I534/11</f>
        <v>40</v>
      </c>
      <c r="BC534" s="694"/>
      <c r="BD534" s="694"/>
      <c r="BE534" s="654"/>
      <c r="BF534" s="694"/>
      <c r="BG534" s="652"/>
      <c r="BH534" s="652"/>
      <c r="BI534" s="694"/>
      <c r="BJ534" s="694"/>
      <c r="BK534" s="654"/>
      <c r="BL534" s="654"/>
      <c r="BM534" s="654"/>
      <c r="BN534" s="654"/>
      <c r="BO534" s="654"/>
      <c r="BP534" s="694"/>
      <c r="BQ534" s="654"/>
      <c r="BR534" s="694"/>
      <c r="BS534" s="654"/>
      <c r="BT534" s="654"/>
      <c r="BU534" s="654"/>
      <c r="BV534" s="654"/>
      <c r="BW534" s="645" t="s">
        <v>109</v>
      </c>
      <c r="BX534" s="658">
        <f>I534/22*5</f>
        <v>100</v>
      </c>
      <c r="BY534" s="658">
        <f>I534/22*6</f>
        <v>120</v>
      </c>
      <c r="BZ534" s="658">
        <f>I534/22*6</f>
        <v>120</v>
      </c>
      <c r="CA534" s="658">
        <f>I534/22*5</f>
        <v>100</v>
      </c>
      <c r="CB534" s="644">
        <f t="shared" si="285"/>
        <v>440</v>
      </c>
      <c r="CC534" s="658">
        <f>I534/11</f>
        <v>40</v>
      </c>
      <c r="CD534" s="644">
        <f t="shared" si="286"/>
        <v>440</v>
      </c>
      <c r="CE534" s="644">
        <f t="shared" si="287"/>
        <v>0</v>
      </c>
    </row>
    <row r="535" s="338" customFormat="1" ht="40" customHeight="1" spans="1:83">
      <c r="A535" s="632">
        <v>45965</v>
      </c>
      <c r="B535" s="633" t="s">
        <v>2469</v>
      </c>
      <c r="C535" s="634" t="s">
        <v>836</v>
      </c>
      <c r="D535" s="635">
        <v>4500184355</v>
      </c>
      <c r="E535" s="659">
        <v>4407187950</v>
      </c>
      <c r="F535" s="635" t="s">
        <v>2470</v>
      </c>
      <c r="G535" s="637" t="s">
        <v>111</v>
      </c>
      <c r="H535" s="637" t="s">
        <v>99</v>
      </c>
      <c r="I535" s="638">
        <v>418</v>
      </c>
      <c r="J535" s="638">
        <v>0</v>
      </c>
      <c r="K535" s="639">
        <v>22</v>
      </c>
      <c r="L535" s="639">
        <f t="shared" si="278"/>
        <v>19</v>
      </c>
      <c r="M535" s="641">
        <v>46009</v>
      </c>
      <c r="N535" s="641">
        <v>46006</v>
      </c>
      <c r="O535" s="641"/>
      <c r="P535" s="642" t="s">
        <v>100</v>
      </c>
      <c r="Q535" s="643" t="s">
        <v>2471</v>
      </c>
      <c r="R535" s="642" t="s">
        <v>568</v>
      </c>
      <c r="S535" s="641"/>
      <c r="T535" s="641"/>
      <c r="U535" s="642" t="s">
        <v>2463</v>
      </c>
      <c r="V535" s="642"/>
      <c r="W535" s="645"/>
      <c r="X535" s="647" t="s">
        <v>2464</v>
      </c>
      <c r="Y535" s="646" t="s">
        <v>818</v>
      </c>
      <c r="Z535" s="683">
        <v>2.7291</v>
      </c>
      <c r="AA535" s="650">
        <f t="shared" si="293"/>
        <v>1140.7638</v>
      </c>
      <c r="AB535" s="649">
        <v>418</v>
      </c>
      <c r="AC535" s="649">
        <f t="shared" si="280"/>
        <v>0</v>
      </c>
      <c r="AD535" s="650" t="s">
        <v>106</v>
      </c>
      <c r="AE535" s="701" t="s">
        <v>230</v>
      </c>
      <c r="AF535" s="646" t="s">
        <v>107</v>
      </c>
      <c r="AG535" s="652" t="s">
        <v>43</v>
      </c>
      <c r="AH535" s="646"/>
      <c r="AI535" s="693"/>
      <c r="AJ535" s="693"/>
      <c r="AK535" s="693"/>
      <c r="AL535" s="649"/>
      <c r="AM535" s="649"/>
      <c r="AN535" s="693"/>
      <c r="AO535" s="649"/>
      <c r="AP535" s="738">
        <f t="shared" si="291"/>
        <v>418</v>
      </c>
      <c r="AQ535" s="653"/>
      <c r="AR535" s="693"/>
      <c r="AS535" s="693"/>
      <c r="AT535" s="649"/>
      <c r="AU535" s="738">
        <f t="shared" si="292"/>
        <v>418</v>
      </c>
      <c r="AV535" s="652"/>
      <c r="AW535" s="694"/>
      <c r="AX535" s="652"/>
      <c r="AY535" s="652"/>
      <c r="AZ535" s="694"/>
      <c r="BA535" s="652"/>
      <c r="BB535" s="739">
        <f>I535/11</f>
        <v>38</v>
      </c>
      <c r="BC535" s="694"/>
      <c r="BD535" s="694"/>
      <c r="BE535" s="654"/>
      <c r="BF535" s="694"/>
      <c r="BG535" s="652"/>
      <c r="BH535" s="652"/>
      <c r="BI535" s="694"/>
      <c r="BJ535" s="694"/>
      <c r="BK535" s="654"/>
      <c r="BL535" s="654"/>
      <c r="BM535" s="654"/>
      <c r="BN535" s="654"/>
      <c r="BO535" s="654"/>
      <c r="BP535" s="694"/>
      <c r="BQ535" s="654"/>
      <c r="BR535" s="694"/>
      <c r="BS535" s="654"/>
      <c r="BT535" s="654"/>
      <c r="BU535" s="654"/>
      <c r="BV535" s="654"/>
      <c r="BW535" s="645" t="s">
        <v>109</v>
      </c>
      <c r="BX535" s="658">
        <f>I535/22*5</f>
        <v>95</v>
      </c>
      <c r="BY535" s="658">
        <f>I535/22*6</f>
        <v>114</v>
      </c>
      <c r="BZ535" s="658">
        <f>I535/22*6</f>
        <v>114</v>
      </c>
      <c r="CA535" s="658">
        <f>I535/22*5</f>
        <v>95</v>
      </c>
      <c r="CB535" s="644">
        <f t="shared" si="285"/>
        <v>418</v>
      </c>
      <c r="CC535" s="658">
        <f>I535/11</f>
        <v>38</v>
      </c>
      <c r="CD535" s="644">
        <f t="shared" si="286"/>
        <v>418</v>
      </c>
      <c r="CE535" s="644">
        <f t="shared" si="287"/>
        <v>0</v>
      </c>
    </row>
    <row r="536" s="338" customFormat="1" ht="40" customHeight="1" spans="1:83">
      <c r="A536" s="632">
        <v>45971</v>
      </c>
      <c r="B536" s="633" t="s">
        <v>1865</v>
      </c>
      <c r="C536" s="634" t="s">
        <v>214</v>
      </c>
      <c r="D536" s="635">
        <v>4500184811</v>
      </c>
      <c r="E536" s="659" t="s">
        <v>2472</v>
      </c>
      <c r="F536" s="635" t="s">
        <v>2473</v>
      </c>
      <c r="G536" s="637" t="s">
        <v>98</v>
      </c>
      <c r="H536" s="637" t="s">
        <v>99</v>
      </c>
      <c r="I536" s="638">
        <v>6000</v>
      </c>
      <c r="J536" s="638">
        <v>0</v>
      </c>
      <c r="K536" s="639">
        <v>24</v>
      </c>
      <c r="L536" s="639">
        <f t="shared" si="278"/>
        <v>250</v>
      </c>
      <c r="M536" s="641">
        <v>46009</v>
      </c>
      <c r="N536" s="641">
        <v>46006</v>
      </c>
      <c r="O536" s="641"/>
      <c r="P536" s="642" t="s">
        <v>100</v>
      </c>
      <c r="Q536" s="643" t="s">
        <v>207</v>
      </c>
      <c r="R536" s="642" t="s">
        <v>2474</v>
      </c>
      <c r="S536" s="641"/>
      <c r="T536" s="641"/>
      <c r="U536" s="642" t="s">
        <v>2475</v>
      </c>
      <c r="V536" s="642"/>
      <c r="W536" s="645"/>
      <c r="X536" s="647" t="s">
        <v>1870</v>
      </c>
      <c r="Y536" s="646" t="s">
        <v>1871</v>
      </c>
      <c r="Z536" s="648">
        <v>1.4818</v>
      </c>
      <c r="AA536" s="650">
        <f t="shared" si="293"/>
        <v>8890.8</v>
      </c>
      <c r="AB536" s="649">
        <v>6000</v>
      </c>
      <c r="AC536" s="649">
        <f t="shared" si="280"/>
        <v>0</v>
      </c>
      <c r="AD536" s="650" t="s">
        <v>106</v>
      </c>
      <c r="AE536" s="637" t="s">
        <v>98</v>
      </c>
      <c r="AF536" s="646" t="s">
        <v>107</v>
      </c>
      <c r="AG536" s="652" t="s">
        <v>43</v>
      </c>
      <c r="AH536" s="646"/>
      <c r="AI536" s="693"/>
      <c r="AJ536" s="693"/>
      <c r="AK536" s="693"/>
      <c r="AL536" s="649"/>
      <c r="AM536" s="649">
        <f>I536</f>
        <v>6000</v>
      </c>
      <c r="AN536" s="693"/>
      <c r="AO536" s="649"/>
      <c r="AP536" s="649"/>
      <c r="AQ536" s="653"/>
      <c r="AR536" s="693"/>
      <c r="AS536" s="693"/>
      <c r="AT536" s="649"/>
      <c r="AU536" s="649">
        <f t="shared" si="292"/>
        <v>6000</v>
      </c>
      <c r="AV536" s="652"/>
      <c r="AW536" s="694"/>
      <c r="AX536" s="652"/>
      <c r="AY536" s="652"/>
      <c r="AZ536" s="694"/>
      <c r="BA536" s="652"/>
      <c r="BB536" s="652"/>
      <c r="BC536" s="694"/>
      <c r="BD536" s="694"/>
      <c r="BE536" s="654"/>
      <c r="BF536" s="694"/>
      <c r="BG536" s="652"/>
      <c r="BH536" s="652"/>
      <c r="BI536" s="694"/>
      <c r="BJ536" s="694"/>
      <c r="BK536" s="654"/>
      <c r="BL536" s="654"/>
      <c r="BM536" s="654"/>
      <c r="BN536" s="654"/>
      <c r="BO536" s="654"/>
      <c r="BP536" s="694"/>
      <c r="BQ536" s="654"/>
      <c r="BR536" s="694"/>
      <c r="BS536" s="654"/>
      <c r="BT536" s="654"/>
      <c r="BU536" s="654"/>
      <c r="BV536" s="654"/>
      <c r="BW536" s="645" t="s">
        <v>109</v>
      </c>
      <c r="BX536" s="658">
        <f>I536/4</f>
        <v>1500</v>
      </c>
      <c r="BY536" s="658">
        <f>I536/4</f>
        <v>1500</v>
      </c>
      <c r="BZ536" s="658">
        <f>I536/4</f>
        <v>1500</v>
      </c>
      <c r="CA536" s="658">
        <f>I536/4</f>
        <v>1500</v>
      </c>
      <c r="CB536" s="644">
        <f t="shared" si="285"/>
        <v>6000</v>
      </c>
      <c r="CC536" s="644"/>
      <c r="CD536" s="644">
        <f t="shared" si="286"/>
        <v>6000</v>
      </c>
      <c r="CE536" s="644">
        <f t="shared" si="287"/>
        <v>0</v>
      </c>
    </row>
    <row r="537" s="338" customFormat="1" ht="40" customHeight="1" spans="1:83">
      <c r="A537" s="632">
        <v>45975</v>
      </c>
      <c r="B537" s="633" t="s">
        <v>1474</v>
      </c>
      <c r="C537" s="634" t="s">
        <v>129</v>
      </c>
      <c r="D537" s="635">
        <v>4500182713</v>
      </c>
      <c r="E537" s="659">
        <v>5251219085</v>
      </c>
      <c r="F537" s="635" t="s">
        <v>2476</v>
      </c>
      <c r="G537" s="637" t="s">
        <v>111</v>
      </c>
      <c r="H537" s="637" t="s">
        <v>2477</v>
      </c>
      <c r="I537" s="638">
        <v>13200</v>
      </c>
      <c r="J537" s="638">
        <v>0</v>
      </c>
      <c r="K537" s="639">
        <v>22</v>
      </c>
      <c r="L537" s="639">
        <f t="shared" si="278"/>
        <v>600</v>
      </c>
      <c r="M537" s="641">
        <v>46010</v>
      </c>
      <c r="N537" s="641">
        <v>46006</v>
      </c>
      <c r="O537" s="641"/>
      <c r="P537" s="642" t="s">
        <v>100</v>
      </c>
      <c r="Q537" s="643" t="s">
        <v>2478</v>
      </c>
      <c r="R537" s="642" t="s">
        <v>2474</v>
      </c>
      <c r="S537" s="641"/>
      <c r="T537" s="641"/>
      <c r="U537" s="642" t="s">
        <v>2479</v>
      </c>
      <c r="V537" s="642"/>
      <c r="W537" s="645" t="s">
        <v>1480</v>
      </c>
      <c r="X537" s="647" t="s">
        <v>2480</v>
      </c>
      <c r="Y537" s="646" t="s">
        <v>818</v>
      </c>
      <c r="Z537" s="683">
        <v>2.6291</v>
      </c>
      <c r="AA537" s="650">
        <f t="shared" si="293"/>
        <v>34704.12</v>
      </c>
      <c r="AB537" s="649">
        <f>12672+528</f>
        <v>13200</v>
      </c>
      <c r="AC537" s="649">
        <f t="shared" si="280"/>
        <v>0</v>
      </c>
      <c r="AD537" s="650" t="s">
        <v>106</v>
      </c>
      <c r="AE537" s="701" t="s">
        <v>230</v>
      </c>
      <c r="AF537" s="646" t="s">
        <v>107</v>
      </c>
      <c r="AG537" s="652" t="s">
        <v>43</v>
      </c>
      <c r="AH537" s="646"/>
      <c r="AI537" s="693"/>
      <c r="AJ537" s="693"/>
      <c r="AK537" s="693"/>
      <c r="AL537" s="649"/>
      <c r="AM537" s="649"/>
      <c r="AN537" s="693"/>
      <c r="AO537" s="649"/>
      <c r="AP537" s="649">
        <f>I537</f>
        <v>13200</v>
      </c>
      <c r="AQ537" s="653"/>
      <c r="AR537" s="693"/>
      <c r="AS537" s="693"/>
      <c r="AT537" s="649"/>
      <c r="AU537" s="649">
        <f t="shared" si="292"/>
        <v>13200</v>
      </c>
      <c r="AV537" s="652"/>
      <c r="AW537" s="694"/>
      <c r="AX537" s="652"/>
      <c r="AY537" s="652"/>
      <c r="AZ537" s="694"/>
      <c r="BA537" s="652"/>
      <c r="BB537" s="652">
        <f>I537/11</f>
        <v>1200</v>
      </c>
      <c r="BC537" s="694"/>
      <c r="BD537" s="694"/>
      <c r="BE537" s="654"/>
      <c r="BF537" s="694"/>
      <c r="BG537" s="652"/>
      <c r="BH537" s="652"/>
      <c r="BI537" s="694"/>
      <c r="BJ537" s="694"/>
      <c r="BK537" s="654"/>
      <c r="BL537" s="654"/>
      <c r="BM537" s="654"/>
      <c r="BN537" s="654"/>
      <c r="BO537" s="654"/>
      <c r="BP537" s="694"/>
      <c r="BQ537" s="654"/>
      <c r="BR537" s="694"/>
      <c r="BS537" s="654"/>
      <c r="BT537" s="654"/>
      <c r="BU537" s="654"/>
      <c r="BV537" s="654"/>
      <c r="BW537" s="645" t="s">
        <v>109</v>
      </c>
      <c r="BX537" s="658">
        <f t="shared" ref="BX537:BX542" si="294">I537/22*5</f>
        <v>3000</v>
      </c>
      <c r="BY537" s="658">
        <f t="shared" ref="BY537:BY542" si="295">I537/22*6</f>
        <v>3600</v>
      </c>
      <c r="BZ537" s="658">
        <f t="shared" ref="BZ537:BZ542" si="296">I537/22*6</f>
        <v>3600</v>
      </c>
      <c r="CA537" s="658">
        <f t="shared" ref="CA537:CA542" si="297">I537/22*5</f>
        <v>3000</v>
      </c>
      <c r="CB537" s="644">
        <f t="shared" si="285"/>
        <v>13200</v>
      </c>
      <c r="CC537" s="658">
        <f t="shared" ref="CC537:CC542" si="298">I537/11</f>
        <v>1200</v>
      </c>
      <c r="CD537" s="644">
        <f t="shared" si="286"/>
        <v>13200</v>
      </c>
      <c r="CE537" s="644">
        <f t="shared" si="287"/>
        <v>0</v>
      </c>
    </row>
    <row r="538" s="338" customFormat="1" ht="40" customHeight="1" spans="1:83">
      <c r="A538" s="632">
        <v>45978</v>
      </c>
      <c r="B538" s="633" t="s">
        <v>1763</v>
      </c>
      <c r="C538" s="634" t="s">
        <v>617</v>
      </c>
      <c r="D538" s="635">
        <v>4500185877</v>
      </c>
      <c r="E538" s="659">
        <v>4400523884</v>
      </c>
      <c r="F538" s="635" t="s">
        <v>2481</v>
      </c>
      <c r="G538" s="637" t="s">
        <v>111</v>
      </c>
      <c r="H538" s="637" t="s">
        <v>99</v>
      </c>
      <c r="I538" s="638">
        <v>1012</v>
      </c>
      <c r="J538" s="638">
        <v>0</v>
      </c>
      <c r="K538" s="639">
        <v>22</v>
      </c>
      <c r="L538" s="639">
        <f t="shared" si="278"/>
        <v>46</v>
      </c>
      <c r="M538" s="641">
        <v>46016</v>
      </c>
      <c r="N538" s="641">
        <v>46013</v>
      </c>
      <c r="O538" s="641"/>
      <c r="P538" s="642" t="s">
        <v>100</v>
      </c>
      <c r="Q538" s="643" t="s">
        <v>2482</v>
      </c>
      <c r="R538" s="642" t="s">
        <v>208</v>
      </c>
      <c r="S538" s="641"/>
      <c r="T538" s="641"/>
      <c r="U538" s="642" t="s">
        <v>2483</v>
      </c>
      <c r="V538" s="642"/>
      <c r="W538" s="645"/>
      <c r="X538" s="647" t="s">
        <v>2484</v>
      </c>
      <c r="Y538" s="646" t="s">
        <v>1864</v>
      </c>
      <c r="Z538" s="683">
        <v>2.7152</v>
      </c>
      <c r="AA538" s="650">
        <f t="shared" si="293"/>
        <v>2747.7824</v>
      </c>
      <c r="AB538" s="649">
        <v>1012</v>
      </c>
      <c r="AC538" s="649">
        <f t="shared" si="280"/>
        <v>0</v>
      </c>
      <c r="AD538" s="650" t="s">
        <v>113</v>
      </c>
      <c r="AE538" s="701" t="s">
        <v>230</v>
      </c>
      <c r="AF538" s="646" t="s">
        <v>107</v>
      </c>
      <c r="AG538" s="652" t="s">
        <v>43</v>
      </c>
      <c r="AH538" s="646"/>
      <c r="AI538" s="693"/>
      <c r="AJ538" s="693"/>
      <c r="AK538" s="693"/>
      <c r="AL538" s="649"/>
      <c r="AM538" s="649"/>
      <c r="AN538" s="693"/>
      <c r="AO538" s="649"/>
      <c r="AP538" s="649">
        <f>I538</f>
        <v>1012</v>
      </c>
      <c r="AQ538" s="653"/>
      <c r="AR538" s="693"/>
      <c r="AS538" s="693"/>
      <c r="AT538" s="649"/>
      <c r="AU538" s="649">
        <f t="shared" si="292"/>
        <v>1012</v>
      </c>
      <c r="AV538" s="652"/>
      <c r="AW538" s="694"/>
      <c r="AX538" s="652"/>
      <c r="AY538" s="652"/>
      <c r="AZ538" s="694"/>
      <c r="BA538" s="652"/>
      <c r="BB538" s="652">
        <f>I538/11</f>
        <v>92</v>
      </c>
      <c r="BC538" s="694"/>
      <c r="BD538" s="694"/>
      <c r="BE538" s="654"/>
      <c r="BF538" s="694"/>
      <c r="BG538" s="652"/>
      <c r="BH538" s="652"/>
      <c r="BI538" s="694"/>
      <c r="BJ538" s="694"/>
      <c r="BK538" s="654"/>
      <c r="BL538" s="654"/>
      <c r="BM538" s="654"/>
      <c r="BN538" s="654"/>
      <c r="BO538" s="654"/>
      <c r="BP538" s="694"/>
      <c r="BQ538" s="654"/>
      <c r="BR538" s="694"/>
      <c r="BS538" s="654"/>
      <c r="BT538" s="654"/>
      <c r="BU538" s="654"/>
      <c r="BV538" s="654"/>
      <c r="BW538" s="645" t="s">
        <v>109</v>
      </c>
      <c r="BX538" s="658">
        <f t="shared" si="294"/>
        <v>230</v>
      </c>
      <c r="BY538" s="658">
        <f t="shared" si="295"/>
        <v>276</v>
      </c>
      <c r="BZ538" s="658">
        <f t="shared" si="296"/>
        <v>276</v>
      </c>
      <c r="CA538" s="658">
        <f t="shared" si="297"/>
        <v>230</v>
      </c>
      <c r="CB538" s="644">
        <f t="shared" si="285"/>
        <v>1012</v>
      </c>
      <c r="CC538" s="658">
        <f t="shared" si="298"/>
        <v>92</v>
      </c>
      <c r="CD538" s="644">
        <f t="shared" si="286"/>
        <v>1012</v>
      </c>
      <c r="CE538" s="644">
        <f t="shared" si="287"/>
        <v>0</v>
      </c>
    </row>
    <row r="539" s="338" customFormat="1" ht="40" customHeight="1" spans="1:83">
      <c r="A539" s="632">
        <v>45944</v>
      </c>
      <c r="B539" s="633" t="s">
        <v>1009</v>
      </c>
      <c r="C539" s="634" t="s">
        <v>1437</v>
      </c>
      <c r="D539" s="635">
        <v>4500180758</v>
      </c>
      <c r="E539" s="659" t="s">
        <v>1438</v>
      </c>
      <c r="F539" s="635" t="s">
        <v>2485</v>
      </c>
      <c r="G539" s="637" t="s">
        <v>2486</v>
      </c>
      <c r="H539" s="637" t="s">
        <v>99</v>
      </c>
      <c r="I539" s="638">
        <v>290</v>
      </c>
      <c r="J539" s="638">
        <v>0</v>
      </c>
      <c r="K539" s="639">
        <v>29</v>
      </c>
      <c r="L539" s="639">
        <f t="shared" si="278"/>
        <v>10</v>
      </c>
      <c r="M539" s="641">
        <v>46016</v>
      </c>
      <c r="N539" s="641">
        <v>46013</v>
      </c>
      <c r="O539" s="641"/>
      <c r="P539" s="642" t="s">
        <v>100</v>
      </c>
      <c r="Q539" s="643" t="s">
        <v>359</v>
      </c>
      <c r="R539" s="642" t="s">
        <v>182</v>
      </c>
      <c r="S539" s="641"/>
      <c r="T539" s="641"/>
      <c r="U539" s="642" t="s">
        <v>2487</v>
      </c>
      <c r="V539" s="642"/>
      <c r="W539" s="645"/>
      <c r="X539" s="647" t="s">
        <v>2488</v>
      </c>
      <c r="Y539" s="646" t="s">
        <v>2310</v>
      </c>
      <c r="Z539" s="683">
        <v>87.5663</v>
      </c>
      <c r="AA539" s="650">
        <f>L539*Z539</f>
        <v>875.663</v>
      </c>
      <c r="AB539" s="649">
        <v>290</v>
      </c>
      <c r="AC539" s="649">
        <f t="shared" si="280"/>
        <v>0</v>
      </c>
      <c r="AD539" s="650" t="s">
        <v>123</v>
      </c>
      <c r="AE539" s="637" t="s">
        <v>2486</v>
      </c>
      <c r="AF539" s="646" t="s">
        <v>107</v>
      </c>
      <c r="AG539" s="652" t="s">
        <v>43</v>
      </c>
      <c r="AH539" s="741" t="s">
        <v>2489</v>
      </c>
      <c r="AI539" s="693"/>
      <c r="AJ539" s="693"/>
      <c r="AK539" s="693"/>
      <c r="AL539" s="649">
        <f>I539</f>
        <v>290</v>
      </c>
      <c r="AM539" s="649"/>
      <c r="AN539" s="693"/>
      <c r="AO539" s="649"/>
      <c r="AP539" s="649"/>
      <c r="AQ539" s="653"/>
      <c r="AR539" s="693"/>
      <c r="AS539" s="693"/>
      <c r="AT539" s="649">
        <f>I539</f>
        <v>290</v>
      </c>
      <c r="AU539" s="649"/>
      <c r="AV539" s="654"/>
      <c r="AW539" s="694"/>
      <c r="AX539" s="652"/>
      <c r="AY539" s="652"/>
      <c r="AZ539" s="694"/>
      <c r="BA539" s="652"/>
      <c r="BB539" s="652"/>
      <c r="BC539" s="694"/>
      <c r="BD539" s="694"/>
      <c r="BE539" s="654"/>
      <c r="BF539" s="694"/>
      <c r="BG539" s="652"/>
      <c r="BH539" s="652"/>
      <c r="BI539" s="694"/>
      <c r="BJ539" s="694"/>
      <c r="BK539" s="654"/>
      <c r="BL539" s="654"/>
      <c r="BM539" s="654"/>
      <c r="BN539" s="654"/>
      <c r="BO539" s="654"/>
      <c r="BP539" s="694"/>
      <c r="BQ539" s="654"/>
      <c r="BR539" s="694"/>
      <c r="BS539" s="652"/>
      <c r="BT539" s="654"/>
      <c r="BU539" s="654">
        <f>I539/29</f>
        <v>10</v>
      </c>
      <c r="BV539" s="654"/>
      <c r="BW539" s="645" t="s">
        <v>109</v>
      </c>
      <c r="BX539" s="658">
        <f t="shared" si="294"/>
        <v>65.9090909090909</v>
      </c>
      <c r="BY539" s="658">
        <f t="shared" si="295"/>
        <v>79.0909090909091</v>
      </c>
      <c r="BZ539" s="658">
        <f t="shared" si="296"/>
        <v>79.0909090909091</v>
      </c>
      <c r="CA539" s="658">
        <f t="shared" si="297"/>
        <v>65.9090909090909</v>
      </c>
      <c r="CB539" s="644">
        <f t="shared" si="285"/>
        <v>290</v>
      </c>
      <c r="CC539" s="658">
        <f t="shared" si="298"/>
        <v>26.3636363636364</v>
      </c>
      <c r="CD539" s="644">
        <f t="shared" si="286"/>
        <v>290</v>
      </c>
      <c r="CE539" s="644">
        <f t="shared" si="287"/>
        <v>0</v>
      </c>
    </row>
    <row r="540" s="338" customFormat="1" ht="40" customHeight="1" spans="1:83">
      <c r="A540" s="632">
        <v>45944</v>
      </c>
      <c r="B540" s="633" t="s">
        <v>1009</v>
      </c>
      <c r="C540" s="634" t="s">
        <v>1437</v>
      </c>
      <c r="D540" s="635">
        <v>4500180758</v>
      </c>
      <c r="E540" s="659" t="s">
        <v>1438</v>
      </c>
      <c r="F540" s="635" t="s">
        <v>2490</v>
      </c>
      <c r="G540" s="637" t="s">
        <v>111</v>
      </c>
      <c r="H540" s="637" t="s">
        <v>99</v>
      </c>
      <c r="I540" s="638">
        <v>1386</v>
      </c>
      <c r="J540" s="638">
        <v>0</v>
      </c>
      <c r="K540" s="639">
        <v>22</v>
      </c>
      <c r="L540" s="639">
        <f t="shared" si="278"/>
        <v>63</v>
      </c>
      <c r="M540" s="641">
        <v>46016</v>
      </c>
      <c r="N540" s="641">
        <v>46013</v>
      </c>
      <c r="O540" s="641"/>
      <c r="P540" s="642" t="s">
        <v>100</v>
      </c>
      <c r="Q540" s="643" t="s">
        <v>359</v>
      </c>
      <c r="R540" s="642" t="s">
        <v>182</v>
      </c>
      <c r="S540" s="641"/>
      <c r="T540" s="641"/>
      <c r="U540" s="642" t="s">
        <v>2487</v>
      </c>
      <c r="V540" s="642"/>
      <c r="W540" s="645"/>
      <c r="X540" s="647" t="s">
        <v>2491</v>
      </c>
      <c r="Y540" s="646" t="s">
        <v>2310</v>
      </c>
      <c r="Z540" s="683">
        <v>2.6806</v>
      </c>
      <c r="AA540" s="650">
        <f t="shared" ref="AA540:AA554" si="299">I540*Z540</f>
        <v>3715.3116</v>
      </c>
      <c r="AB540" s="649">
        <v>1606</v>
      </c>
      <c r="AC540" s="649">
        <f t="shared" si="280"/>
        <v>220</v>
      </c>
      <c r="AD540" s="650" t="s">
        <v>123</v>
      </c>
      <c r="AE540" s="742" t="s">
        <v>111</v>
      </c>
      <c r="AF540" s="646" t="s">
        <v>107</v>
      </c>
      <c r="AG540" s="652" t="s">
        <v>43</v>
      </c>
      <c r="AH540" s="741" t="s">
        <v>2489</v>
      </c>
      <c r="AI540" s="696"/>
      <c r="AJ540" s="696"/>
      <c r="AK540" s="696"/>
      <c r="AL540" s="649">
        <f>I540</f>
        <v>1386</v>
      </c>
      <c r="AM540" s="649"/>
      <c r="AN540" s="696"/>
      <c r="AO540" s="649"/>
      <c r="AP540" s="649"/>
      <c r="AQ540" s="653"/>
      <c r="AR540" s="696"/>
      <c r="AS540" s="696"/>
      <c r="AT540" s="649">
        <f>I540</f>
        <v>1386</v>
      </c>
      <c r="AU540" s="649"/>
      <c r="AV540" s="654"/>
      <c r="AW540" s="697"/>
      <c r="AX540" s="652">
        <f>I540/11</f>
        <v>126</v>
      </c>
      <c r="AY540" s="652"/>
      <c r="AZ540" s="697"/>
      <c r="BA540" s="652"/>
      <c r="BB540" s="652"/>
      <c r="BC540" s="697"/>
      <c r="BD540" s="697"/>
      <c r="BE540" s="654"/>
      <c r="BF540" s="697"/>
      <c r="BG540" s="652"/>
      <c r="BH540" s="652"/>
      <c r="BI540" s="697"/>
      <c r="BJ540" s="697"/>
      <c r="BK540" s="654"/>
      <c r="BL540" s="654"/>
      <c r="BM540" s="654"/>
      <c r="BN540" s="654"/>
      <c r="BO540" s="654"/>
      <c r="BP540" s="697"/>
      <c r="BQ540" s="654"/>
      <c r="BR540" s="697"/>
      <c r="BS540" s="652"/>
      <c r="BT540" s="654"/>
      <c r="BU540" s="654"/>
      <c r="BV540" s="654"/>
      <c r="BW540" s="645" t="s">
        <v>109</v>
      </c>
      <c r="BX540" s="658">
        <f t="shared" si="294"/>
        <v>315</v>
      </c>
      <c r="BY540" s="658">
        <f t="shared" si="295"/>
        <v>378</v>
      </c>
      <c r="BZ540" s="658">
        <f t="shared" si="296"/>
        <v>378</v>
      </c>
      <c r="CA540" s="658">
        <f t="shared" si="297"/>
        <v>315</v>
      </c>
      <c r="CB540" s="644">
        <f t="shared" si="285"/>
        <v>1386</v>
      </c>
      <c r="CC540" s="658">
        <f t="shared" si="298"/>
        <v>126</v>
      </c>
      <c r="CD540" s="644">
        <f t="shared" si="286"/>
        <v>1386</v>
      </c>
      <c r="CE540" s="644">
        <f t="shared" si="287"/>
        <v>0</v>
      </c>
    </row>
    <row r="541" s="338" customFormat="1" ht="40" customHeight="1" spans="1:83">
      <c r="A541" s="632">
        <v>46013</v>
      </c>
      <c r="B541" s="633" t="s">
        <v>2492</v>
      </c>
      <c r="C541" s="634" t="s">
        <v>2493</v>
      </c>
      <c r="D541" s="635">
        <v>4500189510</v>
      </c>
      <c r="E541" s="659"/>
      <c r="F541" s="635" t="s">
        <v>2494</v>
      </c>
      <c r="G541" s="637" t="s">
        <v>111</v>
      </c>
      <c r="H541" s="637" t="s">
        <v>99</v>
      </c>
      <c r="I541" s="638">
        <v>220</v>
      </c>
      <c r="J541" s="638">
        <v>0</v>
      </c>
      <c r="K541" s="639">
        <v>22</v>
      </c>
      <c r="L541" s="639">
        <f t="shared" si="278"/>
        <v>10</v>
      </c>
      <c r="M541" s="641">
        <v>46006</v>
      </c>
      <c r="N541" s="641">
        <v>46002</v>
      </c>
      <c r="O541" s="641" t="s">
        <v>2495</v>
      </c>
      <c r="P541" s="642" t="s">
        <v>100</v>
      </c>
      <c r="Q541" s="643"/>
      <c r="R541" s="642" t="s">
        <v>182</v>
      </c>
      <c r="S541" s="641"/>
      <c r="T541" s="641"/>
      <c r="U541" s="642" t="s">
        <v>2487</v>
      </c>
      <c r="V541" s="642"/>
      <c r="W541" s="645"/>
      <c r="X541" s="647" t="s">
        <v>2496</v>
      </c>
      <c r="Y541" s="646" t="s">
        <v>2310</v>
      </c>
      <c r="Z541" s="683">
        <v>2.7291</v>
      </c>
      <c r="AA541" s="650">
        <f t="shared" si="299"/>
        <v>600.402</v>
      </c>
      <c r="AB541" s="649"/>
      <c r="AC541" s="649"/>
      <c r="AD541" s="650"/>
      <c r="AE541" s="701" t="s">
        <v>111</v>
      </c>
      <c r="AF541" s="646" t="s">
        <v>107</v>
      </c>
      <c r="AG541" s="652"/>
      <c r="AH541" s="646"/>
      <c r="AI541" s="693"/>
      <c r="AJ541" s="693"/>
      <c r="AK541" s="693"/>
      <c r="AL541" s="649">
        <f>I541</f>
        <v>220</v>
      </c>
      <c r="AM541" s="649"/>
      <c r="AN541" s="693"/>
      <c r="AO541" s="649"/>
      <c r="AP541" s="649"/>
      <c r="AQ541" s="653"/>
      <c r="AR541" s="693"/>
      <c r="AS541" s="693"/>
      <c r="AT541" s="649">
        <f>I541</f>
        <v>220</v>
      </c>
      <c r="AU541" s="649"/>
      <c r="AV541" s="652"/>
      <c r="AW541" s="694"/>
      <c r="AX541" s="652">
        <f>I541</f>
        <v>220</v>
      </c>
      <c r="AY541" s="652"/>
      <c r="AZ541" s="694"/>
      <c r="BA541" s="652"/>
      <c r="BB541" s="652"/>
      <c r="BC541" s="694"/>
      <c r="BD541" s="694"/>
      <c r="BE541" s="654"/>
      <c r="BF541" s="694"/>
      <c r="BG541" s="652"/>
      <c r="BH541" s="652"/>
      <c r="BI541" s="694"/>
      <c r="BJ541" s="694"/>
      <c r="BK541" s="654"/>
      <c r="BL541" s="654"/>
      <c r="BM541" s="654"/>
      <c r="BN541" s="654"/>
      <c r="BO541" s="654"/>
      <c r="BP541" s="694"/>
      <c r="BQ541" s="654"/>
      <c r="BR541" s="694"/>
      <c r="BS541" s="654"/>
      <c r="BT541" s="654"/>
      <c r="BU541" s="654"/>
      <c r="BV541" s="654"/>
      <c r="BW541" s="743" t="s">
        <v>109</v>
      </c>
      <c r="BX541" s="658">
        <f t="shared" si="294"/>
        <v>50</v>
      </c>
      <c r="BY541" s="658">
        <f t="shared" si="295"/>
        <v>60</v>
      </c>
      <c r="BZ541" s="658">
        <f t="shared" si="296"/>
        <v>60</v>
      </c>
      <c r="CA541" s="658">
        <f t="shared" si="297"/>
        <v>50</v>
      </c>
      <c r="CB541" s="644">
        <f t="shared" si="285"/>
        <v>220</v>
      </c>
      <c r="CC541" s="658">
        <f t="shared" si="298"/>
        <v>20</v>
      </c>
      <c r="CD541" s="644">
        <f t="shared" si="286"/>
        <v>220</v>
      </c>
      <c r="CE541" s="644">
        <f t="shared" si="287"/>
        <v>0</v>
      </c>
    </row>
    <row r="542" s="338" customFormat="1" ht="40" customHeight="1" spans="1:83">
      <c r="A542" s="632">
        <v>45961</v>
      </c>
      <c r="B542" s="633" t="s">
        <v>2104</v>
      </c>
      <c r="C542" s="634" t="s">
        <v>466</v>
      </c>
      <c r="D542" s="635">
        <v>4500183736</v>
      </c>
      <c r="E542" s="659"/>
      <c r="F542" s="635" t="s">
        <v>2497</v>
      </c>
      <c r="G542" s="637" t="s">
        <v>111</v>
      </c>
      <c r="H542" s="637" t="s">
        <v>99</v>
      </c>
      <c r="I542" s="638">
        <v>154</v>
      </c>
      <c r="J542" s="638">
        <v>0</v>
      </c>
      <c r="K542" s="639">
        <v>22</v>
      </c>
      <c r="L542" s="639">
        <f t="shared" si="278"/>
        <v>7</v>
      </c>
      <c r="M542" s="641">
        <v>46017</v>
      </c>
      <c r="N542" s="641">
        <v>46013</v>
      </c>
      <c r="O542" s="641"/>
      <c r="P542" s="642" t="s">
        <v>100</v>
      </c>
      <c r="Q542" s="643" t="s">
        <v>2498</v>
      </c>
      <c r="R542" s="642" t="s">
        <v>2499</v>
      </c>
      <c r="S542" s="641"/>
      <c r="T542" s="641"/>
      <c r="U542" s="642" t="s">
        <v>2500</v>
      </c>
      <c r="V542" s="642"/>
      <c r="W542" s="645"/>
      <c r="X542" s="647" t="s">
        <v>2108</v>
      </c>
      <c r="Y542" s="646" t="s">
        <v>2109</v>
      </c>
      <c r="Z542" s="683">
        <v>2.7291</v>
      </c>
      <c r="AA542" s="650">
        <f t="shared" si="299"/>
        <v>420.2814</v>
      </c>
      <c r="AB542" s="649">
        <v>154</v>
      </c>
      <c r="AC542" s="649">
        <f t="shared" ref="AC542:AC582" si="300">AB542-I542</f>
        <v>0</v>
      </c>
      <c r="AD542" s="650" t="s">
        <v>106</v>
      </c>
      <c r="AE542" s="637" t="s">
        <v>111</v>
      </c>
      <c r="AF542" s="646" t="s">
        <v>107</v>
      </c>
      <c r="AG542" s="652" t="s">
        <v>43</v>
      </c>
      <c r="AH542" s="715" t="s">
        <v>2501</v>
      </c>
      <c r="AI542" s="693"/>
      <c r="AJ542" s="693"/>
      <c r="AK542" s="693"/>
      <c r="AL542" s="649">
        <f>I542</f>
        <v>154</v>
      </c>
      <c r="AM542" s="649"/>
      <c r="AN542" s="693"/>
      <c r="AO542" s="649"/>
      <c r="AP542" s="649"/>
      <c r="AQ542" s="653"/>
      <c r="AR542" s="693"/>
      <c r="AS542" s="693"/>
      <c r="AT542" s="699">
        <f>I542</f>
        <v>154</v>
      </c>
      <c r="AU542" s="649"/>
      <c r="AV542" s="652"/>
      <c r="AW542" s="694"/>
      <c r="AX542" s="652">
        <f>I542/11</f>
        <v>14</v>
      </c>
      <c r="AY542" s="652"/>
      <c r="AZ542" s="694"/>
      <c r="BA542" s="652"/>
      <c r="BB542" s="652"/>
      <c r="BC542" s="694"/>
      <c r="BD542" s="694"/>
      <c r="BE542" s="654"/>
      <c r="BF542" s="694"/>
      <c r="BG542" s="652"/>
      <c r="BH542" s="652"/>
      <c r="BI542" s="694"/>
      <c r="BJ542" s="694"/>
      <c r="BK542" s="654"/>
      <c r="BL542" s="654"/>
      <c r="BM542" s="654"/>
      <c r="BN542" s="654"/>
      <c r="BO542" s="654"/>
      <c r="BP542" s="694"/>
      <c r="BQ542" s="654"/>
      <c r="BR542" s="694"/>
      <c r="BS542" s="654"/>
      <c r="BT542" s="654"/>
      <c r="BU542" s="654"/>
      <c r="BV542" s="654"/>
      <c r="BW542" s="645" t="s">
        <v>109</v>
      </c>
      <c r="BX542" s="658">
        <f t="shared" si="294"/>
        <v>35</v>
      </c>
      <c r="BY542" s="658">
        <f t="shared" si="295"/>
        <v>42</v>
      </c>
      <c r="BZ542" s="658">
        <f t="shared" si="296"/>
        <v>42</v>
      </c>
      <c r="CA542" s="658">
        <f t="shared" si="297"/>
        <v>35</v>
      </c>
      <c r="CB542" s="644">
        <f t="shared" si="285"/>
        <v>154</v>
      </c>
      <c r="CC542" s="658">
        <f t="shared" si="298"/>
        <v>14</v>
      </c>
      <c r="CD542" s="644">
        <f t="shared" si="286"/>
        <v>154</v>
      </c>
      <c r="CE542" s="644">
        <f t="shared" si="287"/>
        <v>0</v>
      </c>
    </row>
    <row r="543" s="338" customFormat="1" ht="40" customHeight="1" spans="1:83">
      <c r="A543" s="632">
        <v>45982</v>
      </c>
      <c r="B543" s="633" t="s">
        <v>563</v>
      </c>
      <c r="C543" s="634" t="s">
        <v>2502</v>
      </c>
      <c r="D543" s="635">
        <v>4500186548</v>
      </c>
      <c r="E543" s="659" t="s">
        <v>2503</v>
      </c>
      <c r="F543" s="635" t="s">
        <v>2504</v>
      </c>
      <c r="G543" s="637" t="s">
        <v>567</v>
      </c>
      <c r="H543" s="637" t="s">
        <v>99</v>
      </c>
      <c r="I543" s="638">
        <v>1512</v>
      </c>
      <c r="J543" s="638">
        <v>7</v>
      </c>
      <c r="K543" s="639">
        <v>28</v>
      </c>
      <c r="L543" s="639">
        <f t="shared" si="278"/>
        <v>54</v>
      </c>
      <c r="M543" s="641">
        <v>46017</v>
      </c>
      <c r="N543" s="641">
        <v>46013</v>
      </c>
      <c r="O543" s="641"/>
      <c r="P543" s="642" t="s">
        <v>100</v>
      </c>
      <c r="Q543" s="643" t="s">
        <v>2409</v>
      </c>
      <c r="R543" s="642" t="s">
        <v>250</v>
      </c>
      <c r="S543" s="641"/>
      <c r="T543" s="641"/>
      <c r="U543" s="642" t="s">
        <v>2505</v>
      </c>
      <c r="V543" s="642"/>
      <c r="W543" s="645"/>
      <c r="X543" s="647" t="s">
        <v>2506</v>
      </c>
      <c r="Y543" s="646" t="s">
        <v>2507</v>
      </c>
      <c r="Z543" s="648">
        <v>2.8429</v>
      </c>
      <c r="AA543" s="650">
        <f t="shared" si="299"/>
        <v>4298.4648</v>
      </c>
      <c r="AB543" s="649">
        <v>1512</v>
      </c>
      <c r="AC543" s="649">
        <f t="shared" si="300"/>
        <v>0</v>
      </c>
      <c r="AD543" s="650" t="s">
        <v>106</v>
      </c>
      <c r="AE543" s="637" t="s">
        <v>567</v>
      </c>
      <c r="AF543" s="646" t="s">
        <v>107</v>
      </c>
      <c r="AG543" s="652" t="s">
        <v>43</v>
      </c>
      <c r="AH543" s="715" t="s">
        <v>2508</v>
      </c>
      <c r="AI543" s="693"/>
      <c r="AJ543" s="693"/>
      <c r="AK543" s="693"/>
      <c r="AL543" s="649"/>
      <c r="AM543" s="649">
        <f>I543</f>
        <v>1512</v>
      </c>
      <c r="AN543" s="693"/>
      <c r="AO543" s="649"/>
      <c r="AP543" s="649"/>
      <c r="AQ543" s="653"/>
      <c r="AR543" s="693"/>
      <c r="AS543" s="693"/>
      <c r="AT543" s="649"/>
      <c r="AU543" s="649">
        <f>I543</f>
        <v>1512</v>
      </c>
      <c r="AV543" s="652"/>
      <c r="AW543" s="694"/>
      <c r="AX543" s="652"/>
      <c r="AY543" s="652"/>
      <c r="AZ543" s="694"/>
      <c r="BA543" s="652"/>
      <c r="BB543" s="652"/>
      <c r="BC543" s="694"/>
      <c r="BD543" s="694"/>
      <c r="BE543" s="654"/>
      <c r="BF543" s="694"/>
      <c r="BG543" s="652"/>
      <c r="BH543" s="744">
        <f>I543/7</f>
        <v>216</v>
      </c>
      <c r="BI543" s="694"/>
      <c r="BJ543" s="694"/>
      <c r="BK543" s="654"/>
      <c r="BL543" s="654"/>
      <c r="BM543" s="654"/>
      <c r="BN543" s="654"/>
      <c r="BO543" s="654"/>
      <c r="BP543" s="694"/>
      <c r="BQ543" s="654"/>
      <c r="BR543" s="694"/>
      <c r="BS543" s="654"/>
      <c r="BT543" s="654"/>
      <c r="BU543" s="654"/>
      <c r="BV543" s="654"/>
      <c r="BW543" s="645" t="s">
        <v>109</v>
      </c>
      <c r="BX543" s="658">
        <f>I543/4</f>
        <v>378</v>
      </c>
      <c r="BY543" s="658">
        <f>I543/4</f>
        <v>378</v>
      </c>
      <c r="BZ543" s="658">
        <f>I543/4</f>
        <v>378</v>
      </c>
      <c r="CA543" s="658">
        <f>I543/4</f>
        <v>378</v>
      </c>
      <c r="CB543" s="644">
        <f t="shared" si="285"/>
        <v>1512</v>
      </c>
      <c r="CC543" s="658">
        <f>I543/7</f>
        <v>216</v>
      </c>
      <c r="CD543" s="644">
        <f t="shared" si="286"/>
        <v>1512</v>
      </c>
      <c r="CE543" s="644">
        <f t="shared" si="287"/>
        <v>0</v>
      </c>
    </row>
    <row r="544" s="338" customFormat="1" ht="40" customHeight="1" spans="1:83">
      <c r="A544" s="632">
        <v>45978</v>
      </c>
      <c r="B544" s="633" t="s">
        <v>432</v>
      </c>
      <c r="C544" s="634" t="s">
        <v>380</v>
      </c>
      <c r="D544" s="635">
        <v>4500185851</v>
      </c>
      <c r="E544" s="659">
        <v>195973</v>
      </c>
      <c r="F544" s="635" t="s">
        <v>2509</v>
      </c>
      <c r="G544" s="637" t="s">
        <v>98</v>
      </c>
      <c r="H544" s="637" t="s">
        <v>99</v>
      </c>
      <c r="I544" s="638">
        <v>2016</v>
      </c>
      <c r="J544" s="638">
        <v>0</v>
      </c>
      <c r="K544" s="639">
        <v>24</v>
      </c>
      <c r="L544" s="639">
        <f t="shared" si="278"/>
        <v>84</v>
      </c>
      <c r="M544" s="641">
        <v>46020</v>
      </c>
      <c r="N544" s="641">
        <v>46016</v>
      </c>
      <c r="O544" s="641" t="s">
        <v>2510</v>
      </c>
      <c r="P544" s="642" t="s">
        <v>100</v>
      </c>
      <c r="Q544" s="643" t="s">
        <v>234</v>
      </c>
      <c r="R544" s="642" t="s">
        <v>2511</v>
      </c>
      <c r="S544" s="641"/>
      <c r="T544" s="641"/>
      <c r="U544" s="642" t="s">
        <v>2512</v>
      </c>
      <c r="V544" s="642"/>
      <c r="W544" s="645"/>
      <c r="X544" s="647" t="s">
        <v>2513</v>
      </c>
      <c r="Y544" s="646" t="s">
        <v>298</v>
      </c>
      <c r="Z544" s="648">
        <v>2.4884</v>
      </c>
      <c r="AA544" s="650">
        <f t="shared" si="299"/>
        <v>5016.6144</v>
      </c>
      <c r="AB544" s="649">
        <v>2016</v>
      </c>
      <c r="AC544" s="649">
        <f t="shared" si="300"/>
        <v>0</v>
      </c>
      <c r="AD544" s="650" t="s">
        <v>106</v>
      </c>
      <c r="AE544" s="722" t="s">
        <v>98</v>
      </c>
      <c r="AF544" s="646" t="s">
        <v>107</v>
      </c>
      <c r="AG544" s="652" t="s">
        <v>43</v>
      </c>
      <c r="AH544" s="715" t="s">
        <v>2514</v>
      </c>
      <c r="AI544" s="696"/>
      <c r="AJ544" s="696"/>
      <c r="AK544" s="696"/>
      <c r="AL544" s="649">
        <f>I544</f>
        <v>2016</v>
      </c>
      <c r="AM544" s="649"/>
      <c r="AN544" s="696"/>
      <c r="AO544" s="649"/>
      <c r="AP544" s="649"/>
      <c r="AQ544" s="653"/>
      <c r="AR544" s="696"/>
      <c r="AS544" s="696"/>
      <c r="AT544" s="649">
        <f>I544</f>
        <v>2016</v>
      </c>
      <c r="AU544" s="649"/>
      <c r="AV544" s="652"/>
      <c r="AW544" s="697"/>
      <c r="AX544" s="652"/>
      <c r="AY544" s="652"/>
      <c r="AZ544" s="697"/>
      <c r="BA544" s="652"/>
      <c r="BB544" s="652"/>
      <c r="BC544" s="697"/>
      <c r="BD544" s="697"/>
      <c r="BE544" s="654"/>
      <c r="BF544" s="697"/>
      <c r="BG544" s="652"/>
      <c r="BH544" s="652"/>
      <c r="BI544" s="697"/>
      <c r="BJ544" s="697"/>
      <c r="BK544" s="654"/>
      <c r="BL544" s="654"/>
      <c r="BM544" s="654"/>
      <c r="BN544" s="654"/>
      <c r="BO544" s="654"/>
      <c r="BP544" s="697"/>
      <c r="BQ544" s="654"/>
      <c r="BR544" s="697"/>
      <c r="BS544" s="654"/>
      <c r="BT544" s="654"/>
      <c r="BU544" s="654"/>
      <c r="BV544" s="654"/>
      <c r="BW544" s="645" t="s">
        <v>109</v>
      </c>
      <c r="BX544" s="658">
        <f>I544/4</f>
        <v>504</v>
      </c>
      <c r="BY544" s="658">
        <f>I544/4</f>
        <v>504</v>
      </c>
      <c r="BZ544" s="658">
        <f>I544/4</f>
        <v>504</v>
      </c>
      <c r="CA544" s="658">
        <f>I544/4</f>
        <v>504</v>
      </c>
      <c r="CB544" s="644">
        <f>I544/4</f>
        <v>504</v>
      </c>
      <c r="CC544" s="644"/>
      <c r="CD544" s="644">
        <f t="shared" si="286"/>
        <v>2016</v>
      </c>
      <c r="CE544" s="644">
        <f t="shared" si="287"/>
        <v>0</v>
      </c>
    </row>
    <row r="545" s="338" customFormat="1" ht="40" customHeight="1" spans="1:83">
      <c r="A545" s="632">
        <v>45980</v>
      </c>
      <c r="B545" s="633" t="s">
        <v>2515</v>
      </c>
      <c r="C545" s="634" t="s">
        <v>380</v>
      </c>
      <c r="D545" s="635">
        <v>4500186127</v>
      </c>
      <c r="E545" s="659">
        <v>4500481919</v>
      </c>
      <c r="F545" s="635" t="s">
        <v>2516</v>
      </c>
      <c r="G545" s="637" t="s">
        <v>111</v>
      </c>
      <c r="H545" s="637" t="s">
        <v>99</v>
      </c>
      <c r="I545" s="638">
        <v>704</v>
      </c>
      <c r="J545" s="638">
        <v>0</v>
      </c>
      <c r="K545" s="639">
        <v>22</v>
      </c>
      <c r="L545" s="639">
        <f t="shared" si="278"/>
        <v>32</v>
      </c>
      <c r="M545" s="641">
        <v>46021</v>
      </c>
      <c r="N545" s="641">
        <v>46017</v>
      </c>
      <c r="O545" s="641"/>
      <c r="P545" s="642" t="s">
        <v>100</v>
      </c>
      <c r="Q545" s="643" t="s">
        <v>367</v>
      </c>
      <c r="R545" s="642" t="s">
        <v>353</v>
      </c>
      <c r="S545" s="641"/>
      <c r="T545" s="641"/>
      <c r="U545" s="642" t="s">
        <v>2517</v>
      </c>
      <c r="V545" s="642"/>
      <c r="W545" s="645"/>
      <c r="X545" s="647" t="s">
        <v>2518</v>
      </c>
      <c r="Y545" s="646" t="s">
        <v>1864</v>
      </c>
      <c r="Z545" s="683">
        <v>2.6945</v>
      </c>
      <c r="AA545" s="650">
        <f t="shared" si="299"/>
        <v>1896.928</v>
      </c>
      <c r="AB545" s="649">
        <v>704</v>
      </c>
      <c r="AC545" s="649">
        <f t="shared" si="300"/>
        <v>0</v>
      </c>
      <c r="AD545" s="650" t="s">
        <v>106</v>
      </c>
      <c r="AE545" s="637" t="s">
        <v>111</v>
      </c>
      <c r="AF545" s="646" t="s">
        <v>107</v>
      </c>
      <c r="AG545" s="652" t="s">
        <v>43</v>
      </c>
      <c r="AH545" s="715" t="s">
        <v>2519</v>
      </c>
      <c r="AI545" s="693"/>
      <c r="AJ545" s="693"/>
      <c r="AK545" s="693"/>
      <c r="AL545" s="649">
        <f>I545</f>
        <v>704</v>
      </c>
      <c r="AM545" s="649"/>
      <c r="AN545" s="693"/>
      <c r="AO545" s="649"/>
      <c r="AP545" s="649"/>
      <c r="AQ545" s="653"/>
      <c r="AR545" s="693"/>
      <c r="AS545" s="693"/>
      <c r="AT545" s="649">
        <f>I545</f>
        <v>704</v>
      </c>
      <c r="AU545" s="649"/>
      <c r="AV545" s="652"/>
      <c r="AW545" s="694"/>
      <c r="AX545" s="652">
        <f>I545/11</f>
        <v>64</v>
      </c>
      <c r="AY545" s="652"/>
      <c r="AZ545" s="694"/>
      <c r="BA545" s="652"/>
      <c r="BB545" s="652"/>
      <c r="BC545" s="694"/>
      <c r="BD545" s="694"/>
      <c r="BE545" s="654"/>
      <c r="BF545" s="694"/>
      <c r="BG545" s="652"/>
      <c r="BH545" s="652"/>
      <c r="BI545" s="694"/>
      <c r="BJ545" s="694"/>
      <c r="BK545" s="654"/>
      <c r="BL545" s="654"/>
      <c r="BM545" s="654"/>
      <c r="BN545" s="654"/>
      <c r="BO545" s="654"/>
      <c r="BP545" s="694"/>
      <c r="BQ545" s="654"/>
      <c r="BR545" s="694"/>
      <c r="BS545" s="654"/>
      <c r="BT545" s="654"/>
      <c r="BU545" s="654"/>
      <c r="BV545" s="654"/>
      <c r="BW545" s="645" t="s">
        <v>109</v>
      </c>
      <c r="BX545" s="658">
        <f>I545/22*5</f>
        <v>160</v>
      </c>
      <c r="BY545" s="658">
        <f>I545/22*6</f>
        <v>192</v>
      </c>
      <c r="BZ545" s="658">
        <f>I545/22*6</f>
        <v>192</v>
      </c>
      <c r="CA545" s="658">
        <f>I545/22*5</f>
        <v>160</v>
      </c>
      <c r="CB545" s="644">
        <f>I545</f>
        <v>704</v>
      </c>
      <c r="CC545" s="658">
        <f>I545/11</f>
        <v>64</v>
      </c>
      <c r="CD545" s="644">
        <f t="shared" si="286"/>
        <v>704</v>
      </c>
      <c r="CE545" s="644">
        <f t="shared" si="287"/>
        <v>0</v>
      </c>
    </row>
    <row r="546" s="338" customFormat="1" ht="40" customHeight="1" spans="1:83">
      <c r="A546" s="632">
        <v>45978</v>
      </c>
      <c r="B546" s="633" t="s">
        <v>432</v>
      </c>
      <c r="C546" s="634" t="s">
        <v>380</v>
      </c>
      <c r="D546" s="635">
        <v>4500185851</v>
      </c>
      <c r="E546" s="659">
        <v>267275</v>
      </c>
      <c r="F546" s="1299" t="s">
        <v>2520</v>
      </c>
      <c r="G546" s="637" t="s">
        <v>98</v>
      </c>
      <c r="H546" s="637" t="s">
        <v>99</v>
      </c>
      <c r="I546" s="638">
        <v>2016</v>
      </c>
      <c r="J546" s="638">
        <v>0</v>
      </c>
      <c r="K546" s="639">
        <v>24</v>
      </c>
      <c r="L546" s="639">
        <f t="shared" si="278"/>
        <v>84</v>
      </c>
      <c r="M546" s="641">
        <v>46022</v>
      </c>
      <c r="N546" s="641">
        <v>46018</v>
      </c>
      <c r="O546" s="641"/>
      <c r="P546" s="642" t="s">
        <v>100</v>
      </c>
      <c r="Q546" s="643" t="s">
        <v>234</v>
      </c>
      <c r="R546" s="642" t="s">
        <v>2521</v>
      </c>
      <c r="S546" s="641"/>
      <c r="T546" s="641"/>
      <c r="U546" s="642" t="s">
        <v>2522</v>
      </c>
      <c r="V546" s="642"/>
      <c r="W546" s="645"/>
      <c r="X546" s="647" t="s">
        <v>2513</v>
      </c>
      <c r="Y546" s="646" t="s">
        <v>298</v>
      </c>
      <c r="Z546" s="648">
        <v>2.4868</v>
      </c>
      <c r="AA546" s="650">
        <f t="shared" si="299"/>
        <v>5013.3888</v>
      </c>
      <c r="AB546" s="649">
        <f>1296+720</f>
        <v>2016</v>
      </c>
      <c r="AC546" s="649">
        <f t="shared" si="300"/>
        <v>0</v>
      </c>
      <c r="AD546" s="650" t="s">
        <v>106</v>
      </c>
      <c r="AE546" s="722" t="s">
        <v>98</v>
      </c>
      <c r="AF546" s="646" t="s">
        <v>107</v>
      </c>
      <c r="AG546" s="652" t="s">
        <v>43</v>
      </c>
      <c r="AH546" s="715" t="s">
        <v>2514</v>
      </c>
      <c r="AI546" s="696"/>
      <c r="AJ546" s="696"/>
      <c r="AK546" s="696"/>
      <c r="AL546" s="649"/>
      <c r="AM546" s="649">
        <f>I546</f>
        <v>2016</v>
      </c>
      <c r="AN546" s="696"/>
      <c r="AO546" s="649"/>
      <c r="AP546" s="649"/>
      <c r="AQ546" s="653"/>
      <c r="AR546" s="696"/>
      <c r="AS546" s="696"/>
      <c r="AT546" s="649"/>
      <c r="AU546" s="649">
        <f>I546</f>
        <v>2016</v>
      </c>
      <c r="AV546" s="652"/>
      <c r="AW546" s="697"/>
      <c r="AX546" s="652"/>
      <c r="AY546" s="652"/>
      <c r="AZ546" s="697"/>
      <c r="BA546" s="652"/>
      <c r="BB546" s="652"/>
      <c r="BC546" s="697"/>
      <c r="BD546" s="697"/>
      <c r="BE546" s="654"/>
      <c r="BF546" s="697"/>
      <c r="BG546" s="652"/>
      <c r="BH546" s="652"/>
      <c r="BI546" s="697"/>
      <c r="BJ546" s="697"/>
      <c r="BK546" s="654"/>
      <c r="BL546" s="654"/>
      <c r="BM546" s="654"/>
      <c r="BN546" s="654"/>
      <c r="BO546" s="654"/>
      <c r="BP546" s="697"/>
      <c r="BQ546" s="654"/>
      <c r="BR546" s="697"/>
      <c r="BS546" s="654"/>
      <c r="BT546" s="654"/>
      <c r="BU546" s="654"/>
      <c r="BV546" s="654"/>
      <c r="BW546" s="645" t="s">
        <v>109</v>
      </c>
      <c r="BX546" s="658">
        <f>I546/4</f>
        <v>504</v>
      </c>
      <c r="BY546" s="658">
        <f>I546/4</f>
        <v>504</v>
      </c>
      <c r="BZ546" s="658">
        <f>I546/4</f>
        <v>504</v>
      </c>
      <c r="CA546" s="658">
        <f>I546/4</f>
        <v>504</v>
      </c>
      <c r="CB546" s="644">
        <f>I546/4</f>
        <v>504</v>
      </c>
      <c r="CC546" s="644"/>
      <c r="CD546" s="644">
        <f t="shared" si="286"/>
        <v>2016</v>
      </c>
      <c r="CE546" s="644">
        <f t="shared" si="287"/>
        <v>0</v>
      </c>
    </row>
    <row r="547" s="338" customFormat="1" ht="40" customHeight="1" spans="1:83">
      <c r="A547" s="632">
        <v>45986</v>
      </c>
      <c r="B547" s="633" t="s">
        <v>1888</v>
      </c>
      <c r="C547" s="634" t="s">
        <v>144</v>
      </c>
      <c r="D547" s="635">
        <v>4500189939</v>
      </c>
      <c r="E547" s="659">
        <v>5200008525</v>
      </c>
      <c r="F547" s="635" t="s">
        <v>2523</v>
      </c>
      <c r="G547" s="637" t="s">
        <v>774</v>
      </c>
      <c r="H547" s="637" t="s">
        <v>99</v>
      </c>
      <c r="I547" s="638">
        <v>2607</v>
      </c>
      <c r="J547" s="638">
        <v>0</v>
      </c>
      <c r="K547" s="639">
        <v>11</v>
      </c>
      <c r="L547" s="639">
        <f t="shared" si="278"/>
        <v>237</v>
      </c>
      <c r="M547" s="641">
        <v>46024</v>
      </c>
      <c r="N547" s="641">
        <v>46020</v>
      </c>
      <c r="O547" s="641" t="s">
        <v>2524</v>
      </c>
      <c r="P547" s="635" t="s">
        <v>100</v>
      </c>
      <c r="Q547" s="643"/>
      <c r="R547" s="642" t="s">
        <v>320</v>
      </c>
      <c r="S547" s="641"/>
      <c r="T547" s="641"/>
      <c r="U547" s="642" t="s">
        <v>2525</v>
      </c>
      <c r="V547" s="642"/>
      <c r="W547" s="645"/>
      <c r="X547" s="647" t="s">
        <v>2526</v>
      </c>
      <c r="Y547" s="646" t="s">
        <v>1725</v>
      </c>
      <c r="Z547" s="648">
        <v>2.7028</v>
      </c>
      <c r="AA547" s="650">
        <f t="shared" si="299"/>
        <v>7046.1996</v>
      </c>
      <c r="AB547" s="649">
        <v>2607</v>
      </c>
      <c r="AC547" s="649">
        <f t="shared" si="300"/>
        <v>0</v>
      </c>
      <c r="AD547" s="650" t="s">
        <v>106</v>
      </c>
      <c r="AE547" s="661" t="s">
        <v>597</v>
      </c>
      <c r="AF547" s="646" t="s">
        <v>107</v>
      </c>
      <c r="AG547" s="652" t="s">
        <v>43</v>
      </c>
      <c r="AH547" s="715" t="s">
        <v>2527</v>
      </c>
      <c r="AI547" s="696"/>
      <c r="AJ547" s="696"/>
      <c r="AK547" s="696"/>
      <c r="AL547" s="649"/>
      <c r="AM547" s="649"/>
      <c r="AN547" s="696"/>
      <c r="AO547" s="649"/>
      <c r="AP547" s="649">
        <f>I547</f>
        <v>2607</v>
      </c>
      <c r="AQ547" s="653"/>
      <c r="AR547" s="696"/>
      <c r="AS547" s="696"/>
      <c r="AT547" s="649"/>
      <c r="AU547" s="649">
        <f>I547</f>
        <v>2607</v>
      </c>
      <c r="AV547" s="652"/>
      <c r="AW547" s="697"/>
      <c r="AX547" s="652"/>
      <c r="AY547" s="652"/>
      <c r="AZ547" s="697"/>
      <c r="BA547" s="652"/>
      <c r="BB547" s="652">
        <f>I547/11</f>
        <v>237</v>
      </c>
      <c r="BC547" s="697"/>
      <c r="BD547" s="697"/>
      <c r="BE547" s="654"/>
      <c r="BF547" s="697"/>
      <c r="BG547" s="652"/>
      <c r="BH547" s="652"/>
      <c r="BI547" s="697"/>
      <c r="BJ547" s="697"/>
      <c r="BK547" s="654"/>
      <c r="BL547" s="654"/>
      <c r="BM547" s="654"/>
      <c r="BN547" s="654"/>
      <c r="BO547" s="654"/>
      <c r="BP547" s="697"/>
      <c r="BQ547" s="654"/>
      <c r="BR547" s="697"/>
      <c r="BS547" s="654"/>
      <c r="BT547" s="654"/>
      <c r="BU547" s="654"/>
      <c r="BV547" s="654"/>
      <c r="BW547" s="645" t="s">
        <v>109</v>
      </c>
      <c r="BX547" s="658">
        <f>I547/22*5</f>
        <v>592.5</v>
      </c>
      <c r="BY547" s="658">
        <f>I547/22*6</f>
        <v>711</v>
      </c>
      <c r="BZ547" s="658">
        <f>I547/22*6</f>
        <v>711</v>
      </c>
      <c r="CA547" s="658">
        <f>I547/22*5</f>
        <v>592.5</v>
      </c>
      <c r="CB547" s="644">
        <f>I547</f>
        <v>2607</v>
      </c>
      <c r="CC547" s="658">
        <f>I547/11</f>
        <v>237</v>
      </c>
      <c r="CD547" s="644">
        <f t="shared" si="286"/>
        <v>2607</v>
      </c>
      <c r="CE547" s="644">
        <f t="shared" si="287"/>
        <v>0</v>
      </c>
    </row>
    <row r="548" s="558" customFormat="1" ht="40" customHeight="1" spans="1:83">
      <c r="A548" s="717">
        <v>45973</v>
      </c>
      <c r="B548" s="718" t="s">
        <v>414</v>
      </c>
      <c r="C548" s="719" t="s">
        <v>415</v>
      </c>
      <c r="D548" s="720">
        <v>4500185066</v>
      </c>
      <c r="E548" s="730" t="s">
        <v>2528</v>
      </c>
      <c r="F548" s="720" t="s">
        <v>2529</v>
      </c>
      <c r="G548" s="722" t="s">
        <v>111</v>
      </c>
      <c r="H548" s="722" t="s">
        <v>99</v>
      </c>
      <c r="I548" s="723">
        <v>1518</v>
      </c>
      <c r="J548" s="723">
        <v>0</v>
      </c>
      <c r="K548" s="724">
        <v>22</v>
      </c>
      <c r="L548" s="724">
        <f t="shared" si="278"/>
        <v>69</v>
      </c>
      <c r="M548" s="725">
        <v>46025</v>
      </c>
      <c r="N548" s="725">
        <v>46022</v>
      </c>
      <c r="O548" s="725"/>
      <c r="P548" s="720" t="s">
        <v>100</v>
      </c>
      <c r="Q548" s="727" t="s">
        <v>2530</v>
      </c>
      <c r="R548" s="726" t="s">
        <v>182</v>
      </c>
      <c r="S548" s="725"/>
      <c r="T548" s="725"/>
      <c r="U548" s="726" t="s">
        <v>2531</v>
      </c>
      <c r="V548" s="726"/>
      <c r="W548" s="728"/>
      <c r="X548" s="729" t="s">
        <v>2532</v>
      </c>
      <c r="Y548" s="745" t="s">
        <v>422</v>
      </c>
      <c r="Z548" s="731">
        <v>2.7889</v>
      </c>
      <c r="AA548" s="732">
        <f t="shared" si="299"/>
        <v>4233.5502</v>
      </c>
      <c r="AB548" s="712">
        <v>1518</v>
      </c>
      <c r="AC548" s="712">
        <f t="shared" si="300"/>
        <v>0</v>
      </c>
      <c r="AD548" s="732" t="s">
        <v>123</v>
      </c>
      <c r="AE548" s="722" t="s">
        <v>111</v>
      </c>
      <c r="AF548" s="730" t="s">
        <v>107</v>
      </c>
      <c r="AG548" s="734" t="s">
        <v>43</v>
      </c>
      <c r="AH548" s="746" t="s">
        <v>2533</v>
      </c>
      <c r="AI548" s="705"/>
      <c r="AJ548" s="705"/>
      <c r="AK548" s="705"/>
      <c r="AL548" s="712">
        <f>I548</f>
        <v>1518</v>
      </c>
      <c r="AM548" s="712"/>
      <c r="AN548" s="705"/>
      <c r="AO548" s="712"/>
      <c r="AP548" s="712"/>
      <c r="AQ548" s="735"/>
      <c r="AR548" s="705"/>
      <c r="AS548" s="705"/>
      <c r="AT548" s="712">
        <f>I548</f>
        <v>1518</v>
      </c>
      <c r="AU548" s="712"/>
      <c r="AV548" s="713"/>
      <c r="AW548" s="706"/>
      <c r="AX548" s="734">
        <f>I548/11</f>
        <v>138</v>
      </c>
      <c r="AY548" s="734"/>
      <c r="AZ548" s="706"/>
      <c r="BA548" s="734"/>
      <c r="BB548" s="734"/>
      <c r="BC548" s="706"/>
      <c r="BD548" s="706"/>
      <c r="BE548" s="713"/>
      <c r="BF548" s="706"/>
      <c r="BG548" s="734"/>
      <c r="BH548" s="734"/>
      <c r="BI548" s="706"/>
      <c r="BJ548" s="706"/>
      <c r="BK548" s="713"/>
      <c r="BL548" s="713"/>
      <c r="BM548" s="713"/>
      <c r="BN548" s="713"/>
      <c r="BO548" s="713"/>
      <c r="BP548" s="706"/>
      <c r="BQ548" s="713"/>
      <c r="BR548" s="706"/>
      <c r="BS548" s="734"/>
      <c r="BT548" s="713"/>
      <c r="BU548" s="713"/>
      <c r="BV548" s="713"/>
      <c r="BW548" s="728" t="s">
        <v>109</v>
      </c>
      <c r="BX548" s="736">
        <f>I548/22*5</f>
        <v>345</v>
      </c>
      <c r="BY548" s="736">
        <f>I548/22*6</f>
        <v>414</v>
      </c>
      <c r="BZ548" s="736">
        <f>I548/22*6</f>
        <v>414</v>
      </c>
      <c r="CA548" s="736">
        <f>I548/22*5</f>
        <v>345</v>
      </c>
      <c r="CB548" s="737">
        <f>I548</f>
        <v>1518</v>
      </c>
      <c r="CC548" s="736">
        <f>I548/11</f>
        <v>138</v>
      </c>
      <c r="CD548" s="737">
        <f t="shared" si="286"/>
        <v>1518</v>
      </c>
      <c r="CE548" s="737">
        <f t="shared" si="287"/>
        <v>0</v>
      </c>
    </row>
    <row r="549" s="338" customFormat="1" ht="38" customHeight="1" spans="1:83">
      <c r="A549" s="632">
        <v>45944</v>
      </c>
      <c r="B549" s="633" t="s">
        <v>2534</v>
      </c>
      <c r="C549" s="634" t="s">
        <v>214</v>
      </c>
      <c r="D549" s="635">
        <v>4500181546</v>
      </c>
      <c r="E549" s="646">
        <v>84006702</v>
      </c>
      <c r="F549" s="635" t="s">
        <v>2535</v>
      </c>
      <c r="G549" s="637" t="s">
        <v>241</v>
      </c>
      <c r="H549" s="637" t="s">
        <v>99</v>
      </c>
      <c r="I549" s="638">
        <v>1507</v>
      </c>
      <c r="J549" s="638">
        <v>0</v>
      </c>
      <c r="K549" s="639">
        <v>11</v>
      </c>
      <c r="L549" s="639">
        <f t="shared" si="278"/>
        <v>137</v>
      </c>
      <c r="M549" s="641">
        <v>46027</v>
      </c>
      <c r="N549" s="641">
        <v>46023</v>
      </c>
      <c r="O549" s="641"/>
      <c r="P549" s="642" t="s">
        <v>100</v>
      </c>
      <c r="Q549" s="643"/>
      <c r="R549" s="642" t="s">
        <v>2536</v>
      </c>
      <c r="S549" s="641"/>
      <c r="T549" s="641"/>
      <c r="U549" s="642" t="s">
        <v>113</v>
      </c>
      <c r="V549" s="642"/>
      <c r="W549" s="645"/>
      <c r="X549" s="647" t="s">
        <v>1412</v>
      </c>
      <c r="Y549" s="747" t="s">
        <v>377</v>
      </c>
      <c r="Z549" s="683">
        <v>1.6261</v>
      </c>
      <c r="AA549" s="650">
        <f t="shared" si="299"/>
        <v>2450.5327</v>
      </c>
      <c r="AB549" s="649">
        <v>1507</v>
      </c>
      <c r="AC549" s="649">
        <f t="shared" si="300"/>
        <v>0</v>
      </c>
      <c r="AD549" s="650" t="s">
        <v>113</v>
      </c>
      <c r="AE549" s="637" t="s">
        <v>241</v>
      </c>
      <c r="AF549" s="646" t="s">
        <v>107</v>
      </c>
      <c r="AG549" s="652" t="s">
        <v>43</v>
      </c>
      <c r="AH549" s="646"/>
      <c r="AI549" s="693"/>
      <c r="AJ549" s="693"/>
      <c r="AK549" s="693"/>
      <c r="AL549" s="649">
        <f>I549</f>
        <v>1507</v>
      </c>
      <c r="AM549" s="649"/>
      <c r="AN549" s="693"/>
      <c r="AO549" s="649"/>
      <c r="AP549" s="649"/>
      <c r="AQ549" s="653"/>
      <c r="AR549" s="693"/>
      <c r="AS549" s="693"/>
      <c r="AT549" s="649">
        <f>I549</f>
        <v>1507</v>
      </c>
      <c r="AU549" s="649"/>
      <c r="AV549" s="654"/>
      <c r="AW549" s="694"/>
      <c r="AX549" s="652">
        <f>I549/11</f>
        <v>137</v>
      </c>
      <c r="AY549" s="652"/>
      <c r="AZ549" s="694"/>
      <c r="BA549" s="652"/>
      <c r="BB549" s="652"/>
      <c r="BC549" s="694"/>
      <c r="BD549" s="694"/>
      <c r="BE549" s="654"/>
      <c r="BF549" s="694"/>
      <c r="BG549" s="652"/>
      <c r="BH549" s="652"/>
      <c r="BI549" s="694"/>
      <c r="BJ549" s="694"/>
      <c r="BK549" s="654"/>
      <c r="BL549" s="654"/>
      <c r="BM549" s="654"/>
      <c r="BN549" s="654"/>
      <c r="BO549" s="654"/>
      <c r="BP549" s="694"/>
      <c r="BQ549" s="654"/>
      <c r="BR549" s="694"/>
      <c r="BS549" s="652"/>
      <c r="BT549" s="654"/>
      <c r="BU549" s="654"/>
      <c r="BV549" s="654"/>
      <c r="BW549" s="645" t="s">
        <v>109</v>
      </c>
      <c r="BX549" s="658">
        <f>I549/22*5</f>
        <v>342.5</v>
      </c>
      <c r="BY549" s="658">
        <f>I549/22*6</f>
        <v>411</v>
      </c>
      <c r="BZ549" s="658">
        <f>I549/22*6</f>
        <v>411</v>
      </c>
      <c r="CA549" s="658">
        <f>I549/22*5</f>
        <v>342.5</v>
      </c>
      <c r="CB549" s="644">
        <f>I549</f>
        <v>1507</v>
      </c>
      <c r="CC549" s="658">
        <f>I549/11</f>
        <v>137</v>
      </c>
      <c r="CD549" s="644">
        <f t="shared" si="286"/>
        <v>1507</v>
      </c>
      <c r="CE549" s="644">
        <f t="shared" si="287"/>
        <v>0</v>
      </c>
    </row>
    <row r="550" s="338" customFormat="1" ht="40" customHeight="1" spans="1:83">
      <c r="A550" s="632">
        <v>45994</v>
      </c>
      <c r="B550" s="633" t="s">
        <v>625</v>
      </c>
      <c r="C550" s="634" t="s">
        <v>626</v>
      </c>
      <c r="D550" s="635">
        <v>4500187915</v>
      </c>
      <c r="E550" s="646" t="s">
        <v>2537</v>
      </c>
      <c r="F550" s="635" t="s">
        <v>2538</v>
      </c>
      <c r="G550" s="637" t="s">
        <v>98</v>
      </c>
      <c r="H550" s="637" t="s">
        <v>99</v>
      </c>
      <c r="I550" s="638">
        <v>504</v>
      </c>
      <c r="J550" s="638">
        <v>0</v>
      </c>
      <c r="K550" s="639">
        <v>24</v>
      </c>
      <c r="L550" s="639">
        <f t="shared" si="278"/>
        <v>21</v>
      </c>
      <c r="M550" s="641">
        <v>46027</v>
      </c>
      <c r="N550" s="641">
        <v>46023</v>
      </c>
      <c r="O550" s="641"/>
      <c r="P550" s="642" t="s">
        <v>100</v>
      </c>
      <c r="Q550" s="643" t="s">
        <v>2409</v>
      </c>
      <c r="R550" s="642" t="s">
        <v>353</v>
      </c>
      <c r="S550" s="641"/>
      <c r="T550" s="641"/>
      <c r="U550" s="642" t="s">
        <v>1719</v>
      </c>
      <c r="V550" s="642"/>
      <c r="W550" s="645"/>
      <c r="X550" s="647" t="s">
        <v>2539</v>
      </c>
      <c r="Y550" s="747" t="s">
        <v>632</v>
      </c>
      <c r="Z550" s="648">
        <v>2.5115</v>
      </c>
      <c r="AA550" s="650">
        <f t="shared" si="299"/>
        <v>1265.796</v>
      </c>
      <c r="AB550" s="649">
        <v>504</v>
      </c>
      <c r="AC550" s="649">
        <f t="shared" si="300"/>
        <v>0</v>
      </c>
      <c r="AD550" s="650" t="s">
        <v>106</v>
      </c>
      <c r="AE550" s="637" t="s">
        <v>98</v>
      </c>
      <c r="AF550" s="646" t="s">
        <v>107</v>
      </c>
      <c r="AG550" s="652" t="s">
        <v>43</v>
      </c>
      <c r="AH550" s="715" t="s">
        <v>2540</v>
      </c>
      <c r="AI550" s="693"/>
      <c r="AJ550" s="693"/>
      <c r="AK550" s="693"/>
      <c r="AL550" s="649"/>
      <c r="AM550" s="649">
        <f>I550</f>
        <v>504</v>
      </c>
      <c r="AN550" s="693"/>
      <c r="AO550" s="649"/>
      <c r="AP550" s="649"/>
      <c r="AQ550" s="653"/>
      <c r="AR550" s="693"/>
      <c r="AS550" s="693"/>
      <c r="AT550" s="649"/>
      <c r="AU550" s="649">
        <f>I550</f>
        <v>504</v>
      </c>
      <c r="AV550" s="654"/>
      <c r="AW550" s="694"/>
      <c r="AX550" s="652"/>
      <c r="AY550" s="652"/>
      <c r="AZ550" s="694"/>
      <c r="BA550" s="652"/>
      <c r="BB550" s="652"/>
      <c r="BC550" s="694"/>
      <c r="BD550" s="694"/>
      <c r="BE550" s="654"/>
      <c r="BF550" s="694"/>
      <c r="BG550" s="652"/>
      <c r="BH550" s="652"/>
      <c r="BI550" s="694"/>
      <c r="BJ550" s="694"/>
      <c r="BK550" s="654"/>
      <c r="BL550" s="654"/>
      <c r="BM550" s="654"/>
      <c r="BN550" s="654"/>
      <c r="BO550" s="654"/>
      <c r="BP550" s="694"/>
      <c r="BQ550" s="654"/>
      <c r="BR550" s="694"/>
      <c r="BS550" s="652"/>
      <c r="BT550" s="654"/>
      <c r="BU550" s="654"/>
      <c r="BV550" s="654"/>
      <c r="BW550" s="645" t="s">
        <v>109</v>
      </c>
      <c r="BX550" s="658">
        <f>I550/4</f>
        <v>126</v>
      </c>
      <c r="BY550" s="658">
        <f>I550/4</f>
        <v>126</v>
      </c>
      <c r="BZ550" s="658">
        <f>I550/4</f>
        <v>126</v>
      </c>
      <c r="CA550" s="658">
        <f>I550/4</f>
        <v>126</v>
      </c>
      <c r="CB550" s="644">
        <f>I550/4</f>
        <v>126</v>
      </c>
      <c r="CC550" s="644"/>
      <c r="CD550" s="644">
        <f t="shared" si="286"/>
        <v>504</v>
      </c>
      <c r="CE550" s="644">
        <f t="shared" si="287"/>
        <v>0</v>
      </c>
    </row>
    <row r="551" s="558" customFormat="1" ht="40" customHeight="1" spans="1:83">
      <c r="A551" s="717">
        <v>45986</v>
      </c>
      <c r="B551" s="718" t="s">
        <v>364</v>
      </c>
      <c r="C551" s="719" t="s">
        <v>365</v>
      </c>
      <c r="D551" s="720">
        <v>4500186877</v>
      </c>
      <c r="E551" s="730"/>
      <c r="F551" s="720" t="s">
        <v>2541</v>
      </c>
      <c r="G551" s="722" t="s">
        <v>111</v>
      </c>
      <c r="H551" s="722" t="s">
        <v>99</v>
      </c>
      <c r="I551" s="723">
        <v>1034</v>
      </c>
      <c r="J551" s="723">
        <v>0</v>
      </c>
      <c r="K551" s="724">
        <v>22</v>
      </c>
      <c r="L551" s="724">
        <f t="shared" si="278"/>
        <v>47</v>
      </c>
      <c r="M551" s="725">
        <v>46028</v>
      </c>
      <c r="N551" s="725">
        <v>46024</v>
      </c>
      <c r="O551" s="725" t="s">
        <v>2542</v>
      </c>
      <c r="P551" s="726" t="s">
        <v>100</v>
      </c>
      <c r="Q551" s="727"/>
      <c r="R551" s="726" t="s">
        <v>250</v>
      </c>
      <c r="S551" s="725"/>
      <c r="T551" s="725"/>
      <c r="U551" s="726" t="s">
        <v>2543</v>
      </c>
      <c r="V551" s="726"/>
      <c r="W551" s="728"/>
      <c r="X551" s="729" t="s">
        <v>2544</v>
      </c>
      <c r="Y551" s="745" t="s">
        <v>906</v>
      </c>
      <c r="Z551" s="731">
        <v>2.6806</v>
      </c>
      <c r="AA551" s="732">
        <f t="shared" si="299"/>
        <v>2771.7404</v>
      </c>
      <c r="AB551" s="712">
        <v>1034</v>
      </c>
      <c r="AC551" s="712">
        <f t="shared" si="300"/>
        <v>0</v>
      </c>
      <c r="AD551" s="732" t="s">
        <v>106</v>
      </c>
      <c r="AE551" s="306" t="s">
        <v>2545</v>
      </c>
      <c r="AF551" s="746" t="s">
        <v>2545</v>
      </c>
      <c r="AG551" s="734" t="s">
        <v>43</v>
      </c>
      <c r="AH551" s="746" t="s">
        <v>2546</v>
      </c>
      <c r="AI551" s="705"/>
      <c r="AJ551" s="705"/>
      <c r="AK551" s="705"/>
      <c r="AL551" s="712">
        <f>I551</f>
        <v>1034</v>
      </c>
      <c r="AM551" s="712"/>
      <c r="AN551" s="705"/>
      <c r="AO551" s="712"/>
      <c r="AP551" s="712"/>
      <c r="AQ551" s="735"/>
      <c r="AR551" s="705"/>
      <c r="AS551" s="705"/>
      <c r="AT551" s="712"/>
      <c r="AU551" s="712"/>
      <c r="AV551" s="652">
        <f>I551</f>
        <v>1034</v>
      </c>
      <c r="AW551" s="706"/>
      <c r="AX551" s="734">
        <f>I551/11</f>
        <v>94</v>
      </c>
      <c r="AY551" s="734"/>
      <c r="AZ551" s="706"/>
      <c r="BA551" s="734"/>
      <c r="BB551" s="734"/>
      <c r="BC551" s="706"/>
      <c r="BD551" s="706"/>
      <c r="BE551" s="713"/>
      <c r="BF551" s="706"/>
      <c r="BG551" s="734"/>
      <c r="BH551" s="734"/>
      <c r="BI551" s="706"/>
      <c r="BJ551" s="706"/>
      <c r="BK551" s="713"/>
      <c r="BL551" s="713"/>
      <c r="BM551" s="713"/>
      <c r="BN551" s="713"/>
      <c r="BO551" s="713"/>
      <c r="BP551" s="706"/>
      <c r="BQ551" s="713"/>
      <c r="BR551" s="706"/>
      <c r="BS551" s="734"/>
      <c r="BT551" s="713"/>
      <c r="BU551" s="713"/>
      <c r="BV551" s="713"/>
      <c r="BW551" s="728" t="s">
        <v>109</v>
      </c>
      <c r="BX551" s="736">
        <f>I551/22*5</f>
        <v>235</v>
      </c>
      <c r="BY551" s="736">
        <f>I551/22*6</f>
        <v>282</v>
      </c>
      <c r="BZ551" s="736">
        <f>I551/22*6</f>
        <v>282</v>
      </c>
      <c r="CA551" s="736">
        <f>I551/22*5</f>
        <v>235</v>
      </c>
      <c r="CB551" s="737">
        <f>I551</f>
        <v>1034</v>
      </c>
      <c r="CC551" s="736">
        <f>I551/11</f>
        <v>94</v>
      </c>
      <c r="CD551" s="737">
        <f t="shared" si="286"/>
        <v>1034</v>
      </c>
      <c r="CE551" s="737">
        <f t="shared" si="287"/>
        <v>0</v>
      </c>
    </row>
    <row r="552" s="338" customFormat="1" ht="40" customHeight="1" spans="1:83">
      <c r="A552" s="632">
        <v>45990</v>
      </c>
      <c r="B552" s="633" t="s">
        <v>1789</v>
      </c>
      <c r="C552" s="634" t="s">
        <v>380</v>
      </c>
      <c r="D552" s="635">
        <v>4500187426</v>
      </c>
      <c r="E552" s="646">
        <v>4400523888</v>
      </c>
      <c r="F552" s="635" t="s">
        <v>2547</v>
      </c>
      <c r="G552" s="637" t="s">
        <v>111</v>
      </c>
      <c r="H552" s="637" t="s">
        <v>99</v>
      </c>
      <c r="I552" s="638">
        <v>1804</v>
      </c>
      <c r="J552" s="638">
        <v>0</v>
      </c>
      <c r="K552" s="639">
        <v>22</v>
      </c>
      <c r="L552" s="639">
        <f t="shared" si="278"/>
        <v>82</v>
      </c>
      <c r="M552" s="641">
        <v>46030</v>
      </c>
      <c r="N552" s="641">
        <v>46027</v>
      </c>
      <c r="O552" s="641"/>
      <c r="P552" s="642" t="s">
        <v>100</v>
      </c>
      <c r="Q552" s="643" t="s">
        <v>359</v>
      </c>
      <c r="R552" s="642" t="s">
        <v>242</v>
      </c>
      <c r="S552" s="641"/>
      <c r="T552" s="641"/>
      <c r="U552" s="642" t="s">
        <v>2483</v>
      </c>
      <c r="V552" s="642"/>
      <c r="W552" s="645"/>
      <c r="X552" s="647" t="s">
        <v>2548</v>
      </c>
      <c r="Y552" s="747" t="s">
        <v>1864</v>
      </c>
      <c r="Z552" s="683">
        <v>2.6806</v>
      </c>
      <c r="AA552" s="650">
        <f t="shared" si="299"/>
        <v>4835.8024</v>
      </c>
      <c r="AB552" s="649">
        <v>1804</v>
      </c>
      <c r="AC552" s="649">
        <f t="shared" si="300"/>
        <v>0</v>
      </c>
      <c r="AD552" s="650" t="s">
        <v>113</v>
      </c>
      <c r="AE552" s="701" t="s">
        <v>230</v>
      </c>
      <c r="AF552" s="646" t="s">
        <v>107</v>
      </c>
      <c r="AG552" s="652" t="s">
        <v>43</v>
      </c>
      <c r="AH552" s="715" t="s">
        <v>2549</v>
      </c>
      <c r="AI552" s="696"/>
      <c r="AJ552" s="696"/>
      <c r="AK552" s="696"/>
      <c r="AL552" s="649"/>
      <c r="AM552" s="649"/>
      <c r="AN552" s="696"/>
      <c r="AO552" s="649"/>
      <c r="AP552" s="649">
        <f>I552</f>
        <v>1804</v>
      </c>
      <c r="AQ552" s="653"/>
      <c r="AR552" s="696"/>
      <c r="AS552" s="696"/>
      <c r="AT552" s="649"/>
      <c r="AU552" s="649">
        <f>I552</f>
        <v>1804</v>
      </c>
      <c r="AV552" s="654"/>
      <c r="AW552" s="697"/>
      <c r="AX552" s="652"/>
      <c r="AY552" s="652"/>
      <c r="AZ552" s="697"/>
      <c r="BA552" s="652"/>
      <c r="BB552" s="652">
        <f>I552/11</f>
        <v>164</v>
      </c>
      <c r="BC552" s="697"/>
      <c r="BD552" s="697"/>
      <c r="BE552" s="654"/>
      <c r="BF552" s="697"/>
      <c r="BG552" s="652"/>
      <c r="BH552" s="652"/>
      <c r="BI552" s="697"/>
      <c r="BJ552" s="697"/>
      <c r="BK552" s="654"/>
      <c r="BL552" s="654"/>
      <c r="BM552" s="654"/>
      <c r="BN552" s="654"/>
      <c r="BO552" s="654"/>
      <c r="BP552" s="697"/>
      <c r="BQ552" s="654"/>
      <c r="BR552" s="697"/>
      <c r="BS552" s="652"/>
      <c r="BT552" s="654"/>
      <c r="BU552" s="654"/>
      <c r="BV552" s="654"/>
      <c r="BW552" s="645" t="s">
        <v>109</v>
      </c>
      <c r="BX552" s="658">
        <f>I552/22*5</f>
        <v>410</v>
      </c>
      <c r="BY552" s="658">
        <f>I552/22*6</f>
        <v>492</v>
      </c>
      <c r="BZ552" s="658">
        <f>I552/22*6</f>
        <v>492</v>
      </c>
      <c r="CA552" s="658">
        <f>I552/22*5</f>
        <v>410</v>
      </c>
      <c r="CB552" s="644">
        <f t="shared" ref="CB550:CB567" si="301">I552</f>
        <v>1804</v>
      </c>
      <c r="CC552" s="658">
        <f>I552/11</f>
        <v>164</v>
      </c>
      <c r="CD552" s="644">
        <f t="shared" si="286"/>
        <v>1804</v>
      </c>
      <c r="CE552" s="644">
        <f t="shared" si="287"/>
        <v>0</v>
      </c>
    </row>
    <row r="553" s="338" customFormat="1" ht="40" customHeight="1" spans="1:83">
      <c r="A553" s="632">
        <v>45968</v>
      </c>
      <c r="B553" s="633" t="s">
        <v>274</v>
      </c>
      <c r="C553" s="634" t="s">
        <v>275</v>
      </c>
      <c r="D553" s="635">
        <v>4500183616</v>
      </c>
      <c r="E553" s="646" t="s">
        <v>2550</v>
      </c>
      <c r="F553" s="635" t="s">
        <v>2551</v>
      </c>
      <c r="G553" s="637" t="s">
        <v>111</v>
      </c>
      <c r="H553" s="637" t="s">
        <v>99</v>
      </c>
      <c r="I553" s="638">
        <v>660</v>
      </c>
      <c r="J553" s="638">
        <v>0</v>
      </c>
      <c r="K553" s="639">
        <v>22</v>
      </c>
      <c r="L553" s="639">
        <f t="shared" si="278"/>
        <v>30</v>
      </c>
      <c r="M553" s="641">
        <v>46031</v>
      </c>
      <c r="N553" s="641">
        <v>46027</v>
      </c>
      <c r="O553" s="641"/>
      <c r="P553" s="642" t="s">
        <v>100</v>
      </c>
      <c r="Q553" s="643" t="s">
        <v>359</v>
      </c>
      <c r="R553" s="642" t="s">
        <v>226</v>
      </c>
      <c r="S553" s="641"/>
      <c r="T553" s="641"/>
      <c r="U553" s="642" t="s">
        <v>2552</v>
      </c>
      <c r="V553" s="642"/>
      <c r="W553" s="645"/>
      <c r="X553" s="647" t="s">
        <v>2553</v>
      </c>
      <c r="Y553" s="747" t="s">
        <v>281</v>
      </c>
      <c r="Z553" s="683">
        <v>2.7291</v>
      </c>
      <c r="AA553" s="650">
        <f t="shared" si="299"/>
        <v>1801.206</v>
      </c>
      <c r="AB553" s="649">
        <v>660</v>
      </c>
      <c r="AC553" s="649">
        <f t="shared" si="300"/>
        <v>0</v>
      </c>
      <c r="AD553" s="650" t="s">
        <v>106</v>
      </c>
      <c r="AE553" s="701" t="s">
        <v>230</v>
      </c>
      <c r="AF553" s="646" t="s">
        <v>107</v>
      </c>
      <c r="AG553" s="652" t="s">
        <v>43</v>
      </c>
      <c r="AH553" s="652" t="s">
        <v>2554</v>
      </c>
      <c r="AI553" s="696"/>
      <c r="AJ553" s="696"/>
      <c r="AK553" s="696"/>
      <c r="AL553" s="649"/>
      <c r="AM553" s="649"/>
      <c r="AN553" s="696"/>
      <c r="AO553" s="649"/>
      <c r="AP553" s="649">
        <f>I553</f>
        <v>660</v>
      </c>
      <c r="AQ553" s="653"/>
      <c r="AR553" s="696"/>
      <c r="AS553" s="696"/>
      <c r="AT553" s="649"/>
      <c r="AU553" s="649">
        <f t="shared" ref="AU553:AU558" si="302">I553</f>
        <v>660</v>
      </c>
      <c r="AV553" s="654"/>
      <c r="AW553" s="697"/>
      <c r="AX553" s="652"/>
      <c r="AY553" s="652"/>
      <c r="AZ553" s="697"/>
      <c r="BA553" s="652"/>
      <c r="BB553" s="652">
        <f>I553/11</f>
        <v>60</v>
      </c>
      <c r="BC553" s="697"/>
      <c r="BD553" s="697"/>
      <c r="BE553" s="654"/>
      <c r="BF553" s="697"/>
      <c r="BG553" s="652"/>
      <c r="BH553" s="652"/>
      <c r="BI553" s="697"/>
      <c r="BJ553" s="697"/>
      <c r="BK553" s="654"/>
      <c r="BL553" s="654"/>
      <c r="BM553" s="654"/>
      <c r="BN553" s="654"/>
      <c r="BO553" s="654"/>
      <c r="BP553" s="697"/>
      <c r="BQ553" s="654"/>
      <c r="BR553" s="697"/>
      <c r="BS553" s="652"/>
      <c r="BT553" s="654"/>
      <c r="BU553" s="654"/>
      <c r="BV553" s="654"/>
      <c r="BW553" s="645" t="s">
        <v>109</v>
      </c>
      <c r="BX553" s="658">
        <f>I553/22*5</f>
        <v>150</v>
      </c>
      <c r="BY553" s="658">
        <f>I553/22*6</f>
        <v>180</v>
      </c>
      <c r="BZ553" s="658">
        <f>I553/22*6</f>
        <v>180</v>
      </c>
      <c r="CA553" s="658">
        <f>I553/22*5</f>
        <v>150</v>
      </c>
      <c r="CB553" s="644">
        <f t="shared" si="301"/>
        <v>660</v>
      </c>
      <c r="CC553" s="658">
        <f>I553/11</f>
        <v>60</v>
      </c>
      <c r="CD553" s="644">
        <f t="shared" si="286"/>
        <v>660</v>
      </c>
      <c r="CE553" s="644">
        <f t="shared" si="287"/>
        <v>0</v>
      </c>
    </row>
    <row r="554" s="338" customFormat="1" ht="40" customHeight="1" spans="1:83">
      <c r="A554" s="632">
        <v>45982</v>
      </c>
      <c r="B554" s="633" t="s">
        <v>1587</v>
      </c>
      <c r="C554" s="634" t="s">
        <v>178</v>
      </c>
      <c r="D554" s="635">
        <v>4500186530</v>
      </c>
      <c r="E554" s="646" t="s">
        <v>2555</v>
      </c>
      <c r="F554" s="635" t="s">
        <v>2556</v>
      </c>
      <c r="G554" s="637" t="s">
        <v>141</v>
      </c>
      <c r="H554" s="637" t="s">
        <v>99</v>
      </c>
      <c r="I554" s="638">
        <v>24</v>
      </c>
      <c r="J554" s="638">
        <v>0</v>
      </c>
      <c r="K554" s="639">
        <v>24</v>
      </c>
      <c r="L554" s="639">
        <f t="shared" si="278"/>
        <v>1</v>
      </c>
      <c r="M554" s="641">
        <v>46031</v>
      </c>
      <c r="N554" s="641">
        <v>46027</v>
      </c>
      <c r="O554" s="641"/>
      <c r="P554" s="642" t="s">
        <v>100</v>
      </c>
      <c r="Q554" s="643" t="s">
        <v>2557</v>
      </c>
      <c r="R554" s="642" t="s">
        <v>226</v>
      </c>
      <c r="S554" s="641"/>
      <c r="T554" s="641"/>
      <c r="U554" s="642" t="s">
        <v>2558</v>
      </c>
      <c r="V554" s="642" t="s">
        <v>2559</v>
      </c>
      <c r="W554" s="645"/>
      <c r="X554" s="647" t="s">
        <v>2560</v>
      </c>
      <c r="Y554" s="747" t="s">
        <v>734</v>
      </c>
      <c r="Z554" s="648">
        <v>2.5661</v>
      </c>
      <c r="AA554" s="650">
        <f>Z554*'9543'!I554</f>
        <v>61.5864</v>
      </c>
      <c r="AB554" s="649">
        <v>24</v>
      </c>
      <c r="AC554" s="649">
        <f t="shared" si="300"/>
        <v>0</v>
      </c>
      <c r="AD554" s="650" t="s">
        <v>106</v>
      </c>
      <c r="AE554" s="637" t="s">
        <v>153</v>
      </c>
      <c r="AF554" s="646" t="s">
        <v>107</v>
      </c>
      <c r="AG554" s="652" t="s">
        <v>43</v>
      </c>
      <c r="AH554" s="646"/>
      <c r="AI554" s="696"/>
      <c r="AJ554" s="696"/>
      <c r="AK554" s="696"/>
      <c r="AL554" s="649"/>
      <c r="AM554" s="649"/>
      <c r="AN554" s="696"/>
      <c r="AO554" s="649"/>
      <c r="AP554" s="649">
        <f>I554</f>
        <v>24</v>
      </c>
      <c r="AQ554" s="653"/>
      <c r="AR554" s="696"/>
      <c r="AS554" s="696"/>
      <c r="AT554" s="649"/>
      <c r="AU554" s="649">
        <f t="shared" si="302"/>
        <v>24</v>
      </c>
      <c r="AV554" s="654"/>
      <c r="AW554" s="697"/>
      <c r="AX554" s="652"/>
      <c r="AY554" s="652"/>
      <c r="AZ554" s="697"/>
      <c r="BA554" s="652"/>
      <c r="BB554" s="652"/>
      <c r="BC554" s="697"/>
      <c r="BD554" s="697"/>
      <c r="BE554" s="654"/>
      <c r="BF554" s="697"/>
      <c r="BG554" s="652"/>
      <c r="BH554" s="652"/>
      <c r="BI554" s="697"/>
      <c r="BJ554" s="697"/>
      <c r="BK554" s="654"/>
      <c r="BL554" s="654"/>
      <c r="BM554" s="654"/>
      <c r="BN554" s="654"/>
      <c r="BO554" s="654"/>
      <c r="BP554" s="697"/>
      <c r="BQ554" s="654"/>
      <c r="BR554" s="697"/>
      <c r="BS554" s="652"/>
      <c r="BT554" s="654"/>
      <c r="BU554" s="654"/>
      <c r="BV554" s="654"/>
      <c r="BW554" s="645" t="s">
        <v>109</v>
      </c>
      <c r="BX554" s="658"/>
      <c r="BY554" s="658"/>
      <c r="BZ554" s="658">
        <f>I554</f>
        <v>24</v>
      </c>
      <c r="CA554" s="658"/>
      <c r="CB554" s="644">
        <f t="shared" si="301"/>
        <v>24</v>
      </c>
      <c r="CC554" s="658"/>
      <c r="CD554" s="644">
        <f t="shared" si="286"/>
        <v>24</v>
      </c>
      <c r="CE554" s="644">
        <f t="shared" si="287"/>
        <v>0</v>
      </c>
    </row>
    <row r="555" s="338" customFormat="1" ht="40" customHeight="1" spans="1:83">
      <c r="A555" s="632">
        <v>45982</v>
      </c>
      <c r="B555" s="633" t="s">
        <v>1587</v>
      </c>
      <c r="C555" s="634" t="s">
        <v>178</v>
      </c>
      <c r="D555" s="635">
        <v>4500186530</v>
      </c>
      <c r="E555" s="646" t="s">
        <v>2561</v>
      </c>
      <c r="F555" s="635" t="s">
        <v>2562</v>
      </c>
      <c r="G555" s="637" t="s">
        <v>141</v>
      </c>
      <c r="H555" s="637" t="s">
        <v>99</v>
      </c>
      <c r="I555" s="638">
        <v>24</v>
      </c>
      <c r="J555" s="638">
        <v>0</v>
      </c>
      <c r="K555" s="639">
        <v>24</v>
      </c>
      <c r="L555" s="639">
        <f t="shared" si="278"/>
        <v>1</v>
      </c>
      <c r="M555" s="641">
        <v>46031</v>
      </c>
      <c r="N555" s="641">
        <v>46027</v>
      </c>
      <c r="O555" s="641"/>
      <c r="P555" s="642" t="s">
        <v>100</v>
      </c>
      <c r="Q555" s="643" t="s">
        <v>2557</v>
      </c>
      <c r="R555" s="642" t="s">
        <v>226</v>
      </c>
      <c r="S555" s="641"/>
      <c r="T555" s="641"/>
      <c r="U555" s="642" t="s">
        <v>2558</v>
      </c>
      <c r="V555" s="642" t="s">
        <v>2559</v>
      </c>
      <c r="W555" s="645"/>
      <c r="X555" s="647" t="s">
        <v>2560</v>
      </c>
      <c r="Y555" s="747" t="s">
        <v>734</v>
      </c>
      <c r="Z555" s="648">
        <v>2.5661</v>
      </c>
      <c r="AA555" s="650">
        <f>Z555*'9543'!I555</f>
        <v>61.5864</v>
      </c>
      <c r="AB555" s="649">
        <v>24</v>
      </c>
      <c r="AC555" s="649">
        <f t="shared" si="300"/>
        <v>0</v>
      </c>
      <c r="AD555" s="650" t="s">
        <v>106</v>
      </c>
      <c r="AE555" s="637" t="s">
        <v>153</v>
      </c>
      <c r="AF555" s="646" t="s">
        <v>107</v>
      </c>
      <c r="AG555" s="652" t="s">
        <v>43</v>
      </c>
      <c r="AH555" s="646"/>
      <c r="AI555" s="696"/>
      <c r="AJ555" s="696"/>
      <c r="AK555" s="696"/>
      <c r="AL555" s="649"/>
      <c r="AM555" s="649"/>
      <c r="AN555" s="696"/>
      <c r="AO555" s="649"/>
      <c r="AP555" s="649">
        <f>I555</f>
        <v>24</v>
      </c>
      <c r="AQ555" s="653"/>
      <c r="AR555" s="696"/>
      <c r="AS555" s="696"/>
      <c r="AT555" s="649"/>
      <c r="AU555" s="649">
        <f t="shared" si="302"/>
        <v>24</v>
      </c>
      <c r="AV555" s="654"/>
      <c r="AW555" s="697"/>
      <c r="AX555" s="652"/>
      <c r="AY555" s="652"/>
      <c r="AZ555" s="697"/>
      <c r="BA555" s="652"/>
      <c r="BB555" s="652"/>
      <c r="BC555" s="697"/>
      <c r="BD555" s="697"/>
      <c r="BE555" s="654"/>
      <c r="BF555" s="697"/>
      <c r="BG555" s="652"/>
      <c r="BH555" s="652"/>
      <c r="BI555" s="697"/>
      <c r="BJ555" s="697"/>
      <c r="BK555" s="654"/>
      <c r="BL555" s="654"/>
      <c r="BM555" s="654"/>
      <c r="BN555" s="654"/>
      <c r="BO555" s="654"/>
      <c r="BP555" s="697"/>
      <c r="BQ555" s="654"/>
      <c r="BR555" s="697"/>
      <c r="BS555" s="652"/>
      <c r="BT555" s="654"/>
      <c r="BU555" s="654"/>
      <c r="BV555" s="654"/>
      <c r="BW555" s="645" t="s">
        <v>109</v>
      </c>
      <c r="BX555" s="658"/>
      <c r="BY555" s="658"/>
      <c r="BZ555" s="658">
        <f>I555</f>
        <v>24</v>
      </c>
      <c r="CA555" s="658"/>
      <c r="CB555" s="644">
        <f t="shared" si="301"/>
        <v>24</v>
      </c>
      <c r="CC555" s="658"/>
      <c r="CD555" s="644">
        <f t="shared" si="286"/>
        <v>24</v>
      </c>
      <c r="CE555" s="644">
        <f t="shared" si="287"/>
        <v>0</v>
      </c>
    </row>
    <row r="556" s="338" customFormat="1" ht="40" customHeight="1" spans="1:83">
      <c r="A556" s="632">
        <v>45999</v>
      </c>
      <c r="B556" s="633" t="s">
        <v>2563</v>
      </c>
      <c r="C556" s="634" t="s">
        <v>247</v>
      </c>
      <c r="D556" s="635">
        <v>4500188305</v>
      </c>
      <c r="E556" s="646">
        <v>1038617</v>
      </c>
      <c r="F556" s="635" t="s">
        <v>2564</v>
      </c>
      <c r="G556" s="637" t="s">
        <v>111</v>
      </c>
      <c r="H556" s="637" t="s">
        <v>99</v>
      </c>
      <c r="I556" s="638">
        <v>374</v>
      </c>
      <c r="J556" s="638">
        <v>0</v>
      </c>
      <c r="K556" s="639">
        <v>22</v>
      </c>
      <c r="L556" s="639">
        <f t="shared" si="278"/>
        <v>17</v>
      </c>
      <c r="M556" s="641">
        <v>46034</v>
      </c>
      <c r="N556" s="641">
        <v>46030</v>
      </c>
      <c r="O556" s="641"/>
      <c r="P556" s="642" t="s">
        <v>100</v>
      </c>
      <c r="Q556" s="643" t="s">
        <v>2565</v>
      </c>
      <c r="R556" s="642" t="s">
        <v>360</v>
      </c>
      <c r="S556" s="641"/>
      <c r="T556" s="641"/>
      <c r="U556" s="642" t="s">
        <v>113</v>
      </c>
      <c r="V556" s="642"/>
      <c r="W556" s="645"/>
      <c r="X556" s="647" t="s">
        <v>2566</v>
      </c>
      <c r="Y556" s="747" t="s">
        <v>253</v>
      </c>
      <c r="Z556" s="648">
        <v>2.6806</v>
      </c>
      <c r="AA556" s="650">
        <f>I556*Z556</f>
        <v>1002.5444</v>
      </c>
      <c r="AB556" s="649">
        <v>374</v>
      </c>
      <c r="AC556" s="649">
        <f t="shared" si="300"/>
        <v>0</v>
      </c>
      <c r="AD556" s="650" t="s">
        <v>113</v>
      </c>
      <c r="AE556" s="637" t="s">
        <v>111</v>
      </c>
      <c r="AF556" s="646" t="s">
        <v>107</v>
      </c>
      <c r="AG556" s="652" t="s">
        <v>43</v>
      </c>
      <c r="AH556" s="646"/>
      <c r="AI556" s="696"/>
      <c r="AJ556" s="696"/>
      <c r="AK556" s="696"/>
      <c r="AL556" s="649">
        <f t="shared" ref="AL556:AL558" si="303">I556</f>
        <v>374</v>
      </c>
      <c r="AM556" s="649"/>
      <c r="AN556" s="696"/>
      <c r="AO556" s="649"/>
      <c r="AP556" s="649"/>
      <c r="AQ556" s="653"/>
      <c r="AR556" s="696"/>
      <c r="AS556" s="696"/>
      <c r="AT556" s="649">
        <f>I556</f>
        <v>374</v>
      </c>
      <c r="AU556" s="649"/>
      <c r="AV556" s="654"/>
      <c r="AW556" s="697"/>
      <c r="AX556" s="652">
        <f>I556/11</f>
        <v>34</v>
      </c>
      <c r="AY556" s="652"/>
      <c r="AZ556" s="697"/>
      <c r="BA556" s="652"/>
      <c r="BB556" s="652"/>
      <c r="BC556" s="697"/>
      <c r="BD556" s="697"/>
      <c r="BE556" s="654"/>
      <c r="BF556" s="697"/>
      <c r="BG556" s="652"/>
      <c r="BH556" s="652"/>
      <c r="BI556" s="697"/>
      <c r="BJ556" s="697"/>
      <c r="BK556" s="654"/>
      <c r="BL556" s="654"/>
      <c r="BM556" s="654"/>
      <c r="BN556" s="654"/>
      <c r="BO556" s="654"/>
      <c r="BP556" s="697"/>
      <c r="BQ556" s="654"/>
      <c r="BR556" s="697"/>
      <c r="BS556" s="652"/>
      <c r="BT556" s="654"/>
      <c r="BU556" s="654"/>
      <c r="BV556" s="654"/>
      <c r="BW556" s="645" t="s">
        <v>109</v>
      </c>
      <c r="BX556" s="658">
        <f>I556/22*5</f>
        <v>85</v>
      </c>
      <c r="BY556" s="658">
        <f>I556/22*6</f>
        <v>102</v>
      </c>
      <c r="BZ556" s="658">
        <f>I556/22*6</f>
        <v>102</v>
      </c>
      <c r="CA556" s="658">
        <f>I556/22*5</f>
        <v>85</v>
      </c>
      <c r="CB556" s="644">
        <f t="shared" si="301"/>
        <v>374</v>
      </c>
      <c r="CC556" s="658">
        <f>I556/11</f>
        <v>34</v>
      </c>
      <c r="CD556" s="644">
        <f t="shared" si="286"/>
        <v>374</v>
      </c>
      <c r="CE556" s="644">
        <f t="shared" si="287"/>
        <v>0</v>
      </c>
    </row>
    <row r="557" s="338" customFormat="1" ht="40" customHeight="1" spans="1:83">
      <c r="A557" s="632">
        <v>45999</v>
      </c>
      <c r="B557" s="633" t="s">
        <v>2563</v>
      </c>
      <c r="C557" s="634" t="s">
        <v>247</v>
      </c>
      <c r="D557" s="635">
        <v>4500188305</v>
      </c>
      <c r="E557" s="646">
        <v>1038624</v>
      </c>
      <c r="F557" s="635" t="s">
        <v>2567</v>
      </c>
      <c r="G557" s="637" t="s">
        <v>111</v>
      </c>
      <c r="H557" s="637" t="s">
        <v>99</v>
      </c>
      <c r="I557" s="638">
        <v>374</v>
      </c>
      <c r="J557" s="638">
        <v>0</v>
      </c>
      <c r="K557" s="639">
        <v>22</v>
      </c>
      <c r="L557" s="639">
        <f t="shared" si="278"/>
        <v>17</v>
      </c>
      <c r="M557" s="641">
        <v>46034</v>
      </c>
      <c r="N557" s="641">
        <v>46030</v>
      </c>
      <c r="O557" s="641"/>
      <c r="P557" s="642" t="s">
        <v>100</v>
      </c>
      <c r="Q557" s="643" t="s">
        <v>2565</v>
      </c>
      <c r="R557" s="642" t="s">
        <v>360</v>
      </c>
      <c r="S557" s="641"/>
      <c r="T557" s="641"/>
      <c r="U557" s="642" t="s">
        <v>113</v>
      </c>
      <c r="V557" s="642"/>
      <c r="W557" s="645"/>
      <c r="X557" s="647" t="s">
        <v>2566</v>
      </c>
      <c r="Y557" s="747" t="s">
        <v>253</v>
      </c>
      <c r="Z557" s="648">
        <v>2.7152</v>
      </c>
      <c r="AA557" s="650">
        <f>I557*Z557</f>
        <v>1015.4848</v>
      </c>
      <c r="AB557" s="649">
        <v>374</v>
      </c>
      <c r="AC557" s="649">
        <f t="shared" si="300"/>
        <v>0</v>
      </c>
      <c r="AD557" s="650" t="s">
        <v>113</v>
      </c>
      <c r="AE557" s="637" t="s">
        <v>111</v>
      </c>
      <c r="AF557" s="646" t="s">
        <v>107</v>
      </c>
      <c r="AG557" s="652" t="s">
        <v>43</v>
      </c>
      <c r="AH557" s="646"/>
      <c r="AI557" s="696"/>
      <c r="AJ557" s="696"/>
      <c r="AK557" s="696"/>
      <c r="AL557" s="649">
        <f t="shared" si="303"/>
        <v>374</v>
      </c>
      <c r="AM557" s="649"/>
      <c r="AN557" s="696"/>
      <c r="AO557" s="649"/>
      <c r="AP557" s="649"/>
      <c r="AQ557" s="653"/>
      <c r="AR557" s="696"/>
      <c r="AS557" s="696"/>
      <c r="AT557" s="649">
        <f>I557</f>
        <v>374</v>
      </c>
      <c r="AU557" s="649"/>
      <c r="AV557" s="654"/>
      <c r="AW557" s="697"/>
      <c r="AX557" s="652">
        <f>I557/11</f>
        <v>34</v>
      </c>
      <c r="AY557" s="652"/>
      <c r="AZ557" s="697"/>
      <c r="BA557" s="652"/>
      <c r="BB557" s="652"/>
      <c r="BC557" s="697"/>
      <c r="BD557" s="697"/>
      <c r="BE557" s="654"/>
      <c r="BF557" s="697"/>
      <c r="BG557" s="652"/>
      <c r="BH557" s="652"/>
      <c r="BI557" s="697"/>
      <c r="BJ557" s="697"/>
      <c r="BK557" s="654"/>
      <c r="BL557" s="654"/>
      <c r="BM557" s="654"/>
      <c r="BN557" s="654"/>
      <c r="BO557" s="654"/>
      <c r="BP557" s="697"/>
      <c r="BQ557" s="654"/>
      <c r="BR557" s="697"/>
      <c r="BS557" s="652"/>
      <c r="BT557" s="654"/>
      <c r="BU557" s="654"/>
      <c r="BV557" s="654"/>
      <c r="BW557" s="645" t="s">
        <v>109</v>
      </c>
      <c r="BX557" s="658">
        <f>I557/22*5</f>
        <v>85</v>
      </c>
      <c r="BY557" s="658">
        <f>I557/22*6</f>
        <v>102</v>
      </c>
      <c r="BZ557" s="658">
        <f>I557/22*6</f>
        <v>102</v>
      </c>
      <c r="CA557" s="658">
        <f>I557/22*5</f>
        <v>85</v>
      </c>
      <c r="CB557" s="644">
        <f t="shared" si="301"/>
        <v>374</v>
      </c>
      <c r="CC557" s="658">
        <f>I557/11</f>
        <v>34</v>
      </c>
      <c r="CD557" s="644">
        <f t="shared" si="286"/>
        <v>374</v>
      </c>
      <c r="CE557" s="644">
        <f t="shared" si="287"/>
        <v>0</v>
      </c>
    </row>
    <row r="558" s="338" customFormat="1" ht="42" customHeight="1" spans="1:83">
      <c r="A558" s="632">
        <v>45999</v>
      </c>
      <c r="B558" s="633" t="s">
        <v>2563</v>
      </c>
      <c r="C558" s="634" t="s">
        <v>247</v>
      </c>
      <c r="D558" s="635">
        <v>4500188305</v>
      </c>
      <c r="E558" s="646">
        <v>1038634</v>
      </c>
      <c r="F558" s="635" t="s">
        <v>2568</v>
      </c>
      <c r="G558" s="637" t="s">
        <v>111</v>
      </c>
      <c r="H558" s="637" t="s">
        <v>99</v>
      </c>
      <c r="I558" s="638">
        <v>374</v>
      </c>
      <c r="J558" s="638">
        <v>0</v>
      </c>
      <c r="K558" s="639">
        <v>22</v>
      </c>
      <c r="L558" s="639">
        <f t="shared" si="278"/>
        <v>17</v>
      </c>
      <c r="M558" s="641">
        <v>46034</v>
      </c>
      <c r="N558" s="641">
        <v>46030</v>
      </c>
      <c r="O558" s="641"/>
      <c r="P558" s="642" t="s">
        <v>100</v>
      </c>
      <c r="Q558" s="643" t="s">
        <v>2565</v>
      </c>
      <c r="R558" s="642" t="s">
        <v>360</v>
      </c>
      <c r="S558" s="641"/>
      <c r="T558" s="641"/>
      <c r="U558" s="642" t="s">
        <v>113</v>
      </c>
      <c r="V558" s="642"/>
      <c r="W558" s="645"/>
      <c r="X558" s="647" t="s">
        <v>2566</v>
      </c>
      <c r="Y558" s="747" t="s">
        <v>253</v>
      </c>
      <c r="Z558" s="648">
        <v>2.7152</v>
      </c>
      <c r="AA558" s="650">
        <f>I558*Z558</f>
        <v>1015.4848</v>
      </c>
      <c r="AB558" s="649">
        <v>374</v>
      </c>
      <c r="AC558" s="649">
        <f t="shared" si="300"/>
        <v>0</v>
      </c>
      <c r="AD558" s="650" t="s">
        <v>113</v>
      </c>
      <c r="AE558" s="637" t="s">
        <v>111</v>
      </c>
      <c r="AF558" s="646" t="s">
        <v>107</v>
      </c>
      <c r="AG558" s="652" t="s">
        <v>43</v>
      </c>
      <c r="AH558" s="646"/>
      <c r="AI558" s="696"/>
      <c r="AJ558" s="696"/>
      <c r="AK558" s="696"/>
      <c r="AL558" s="649">
        <f t="shared" si="303"/>
        <v>374</v>
      </c>
      <c r="AM558" s="649"/>
      <c r="AN558" s="696"/>
      <c r="AO558" s="649"/>
      <c r="AP558" s="649"/>
      <c r="AQ558" s="653"/>
      <c r="AR558" s="696"/>
      <c r="AS558" s="696"/>
      <c r="AT558" s="649">
        <f>I558</f>
        <v>374</v>
      </c>
      <c r="AU558" s="649"/>
      <c r="AV558" s="654"/>
      <c r="AW558" s="697"/>
      <c r="AX558" s="652">
        <f>I558/11</f>
        <v>34</v>
      </c>
      <c r="AY558" s="652"/>
      <c r="AZ558" s="697"/>
      <c r="BA558" s="652"/>
      <c r="BB558" s="652"/>
      <c r="BC558" s="697"/>
      <c r="BD558" s="697"/>
      <c r="BE558" s="654"/>
      <c r="BF558" s="697"/>
      <c r="BG558" s="652"/>
      <c r="BH558" s="652"/>
      <c r="BI558" s="697"/>
      <c r="BJ558" s="697"/>
      <c r="BK558" s="654"/>
      <c r="BL558" s="654"/>
      <c r="BM558" s="654"/>
      <c r="BN558" s="654"/>
      <c r="BO558" s="654"/>
      <c r="BP558" s="697"/>
      <c r="BQ558" s="654"/>
      <c r="BR558" s="697"/>
      <c r="BS558" s="652"/>
      <c r="BT558" s="654"/>
      <c r="BU558" s="654"/>
      <c r="BV558" s="654"/>
      <c r="BW558" s="645" t="s">
        <v>109</v>
      </c>
      <c r="BX558" s="658">
        <f>I558/22*5</f>
        <v>85</v>
      </c>
      <c r="BY558" s="658">
        <f>I558/22*6</f>
        <v>102</v>
      </c>
      <c r="BZ558" s="658">
        <f>I558/22*6</f>
        <v>102</v>
      </c>
      <c r="CA558" s="658">
        <f>I558/22*5</f>
        <v>85</v>
      </c>
      <c r="CB558" s="644">
        <f t="shared" si="301"/>
        <v>374</v>
      </c>
      <c r="CC558" s="658">
        <f>I558/11</f>
        <v>34</v>
      </c>
      <c r="CD558" s="644">
        <f t="shared" si="286"/>
        <v>374</v>
      </c>
      <c r="CE558" s="644">
        <f t="shared" si="287"/>
        <v>0</v>
      </c>
    </row>
    <row r="559" s="558" customFormat="1" ht="40" customHeight="1" spans="1:83">
      <c r="A559" s="717">
        <v>45971</v>
      </c>
      <c r="B559" s="718" t="s">
        <v>1707</v>
      </c>
      <c r="C559" s="719" t="s">
        <v>214</v>
      </c>
      <c r="D559" s="720">
        <v>4500184679</v>
      </c>
      <c r="E559" s="721" t="s">
        <v>2569</v>
      </c>
      <c r="F559" s="720" t="s">
        <v>2570</v>
      </c>
      <c r="G559" s="722" t="s">
        <v>141</v>
      </c>
      <c r="H559" s="722" t="s">
        <v>99</v>
      </c>
      <c r="I559" s="723">
        <v>336</v>
      </c>
      <c r="J559" s="723">
        <v>0</v>
      </c>
      <c r="K559" s="724">
        <v>24</v>
      </c>
      <c r="L559" s="724">
        <f t="shared" si="278"/>
        <v>14</v>
      </c>
      <c r="M559" s="725">
        <v>46036</v>
      </c>
      <c r="N559" s="725">
        <v>46032</v>
      </c>
      <c r="O559" s="725"/>
      <c r="P559" s="726" t="s">
        <v>100</v>
      </c>
      <c r="Q559" s="727" t="s">
        <v>2439</v>
      </c>
      <c r="R559" s="726" t="s">
        <v>2571</v>
      </c>
      <c r="S559" s="725"/>
      <c r="T559" s="725"/>
      <c r="U559" s="726" t="s">
        <v>2572</v>
      </c>
      <c r="V559" s="726" t="s">
        <v>2573</v>
      </c>
      <c r="W559" s="728"/>
      <c r="X559" s="729" t="s">
        <v>2574</v>
      </c>
      <c r="Y559" s="730" t="s">
        <v>809</v>
      </c>
      <c r="Z559" s="748">
        <v>1.5069</v>
      </c>
      <c r="AA559" s="732">
        <f>Z559*'9543'!I559</f>
        <v>506.3184</v>
      </c>
      <c r="AB559" s="712">
        <v>336</v>
      </c>
      <c r="AC559" s="712">
        <f t="shared" si="300"/>
        <v>0</v>
      </c>
      <c r="AD559" s="732" t="s">
        <v>106</v>
      </c>
      <c r="AE559" s="749" t="s">
        <v>142</v>
      </c>
      <c r="AF559" s="730" t="s">
        <v>107</v>
      </c>
      <c r="AG559" s="734" t="s">
        <v>43</v>
      </c>
      <c r="AH559" s="730"/>
      <c r="AI559" s="712"/>
      <c r="AJ559" s="712"/>
      <c r="AK559" s="712"/>
      <c r="AL559" s="712"/>
      <c r="AM559" s="712">
        <f>I559</f>
        <v>336</v>
      </c>
      <c r="AN559" s="712"/>
      <c r="AO559" s="712"/>
      <c r="AP559" s="712"/>
      <c r="AQ559" s="735"/>
      <c r="AR559" s="712"/>
      <c r="AS559" s="712"/>
      <c r="AT559" s="712"/>
      <c r="AU559" s="712">
        <f>I559</f>
        <v>336</v>
      </c>
      <c r="AV559" s="734"/>
      <c r="AW559" s="713"/>
      <c r="AX559" s="734"/>
      <c r="AY559" s="734"/>
      <c r="AZ559" s="713"/>
      <c r="BA559" s="734"/>
      <c r="BB559" s="734"/>
      <c r="BC559" s="713"/>
      <c r="BD559" s="713"/>
      <c r="BE559" s="713"/>
      <c r="BF559" s="713"/>
      <c r="BG559" s="734"/>
      <c r="BH559" s="734"/>
      <c r="BI559" s="713"/>
      <c r="BJ559" s="713"/>
      <c r="BK559" s="713"/>
      <c r="BL559" s="713"/>
      <c r="BM559" s="713"/>
      <c r="BN559" s="713"/>
      <c r="BO559" s="713"/>
      <c r="BP559" s="713"/>
      <c r="BQ559" s="713"/>
      <c r="BR559" s="713"/>
      <c r="BS559" s="713"/>
      <c r="BT559" s="713"/>
      <c r="BU559" s="713"/>
      <c r="BV559" s="713"/>
      <c r="BW559" s="728" t="s">
        <v>109</v>
      </c>
      <c r="BX559" s="736"/>
      <c r="BY559" s="736"/>
      <c r="BZ559" s="736">
        <f>I559</f>
        <v>336</v>
      </c>
      <c r="CA559" s="736"/>
      <c r="CB559" s="737">
        <f t="shared" si="301"/>
        <v>336</v>
      </c>
      <c r="CC559" s="736"/>
      <c r="CD559" s="737">
        <f t="shared" si="286"/>
        <v>336</v>
      </c>
      <c r="CE559" s="737">
        <f t="shared" si="287"/>
        <v>0</v>
      </c>
    </row>
    <row r="560" s="558" customFormat="1" ht="40" customHeight="1" spans="1:83">
      <c r="A560" s="717">
        <v>45971</v>
      </c>
      <c r="B560" s="718" t="s">
        <v>1707</v>
      </c>
      <c r="C560" s="719" t="s">
        <v>214</v>
      </c>
      <c r="D560" s="720">
        <v>4500184640</v>
      </c>
      <c r="E560" s="721" t="s">
        <v>2575</v>
      </c>
      <c r="F560" s="720" t="s">
        <v>2576</v>
      </c>
      <c r="G560" s="722" t="s">
        <v>141</v>
      </c>
      <c r="H560" s="722" t="s">
        <v>99</v>
      </c>
      <c r="I560" s="723">
        <v>96</v>
      </c>
      <c r="J560" s="723">
        <v>0</v>
      </c>
      <c r="K560" s="724">
        <v>24</v>
      </c>
      <c r="L560" s="724">
        <f t="shared" si="278"/>
        <v>4</v>
      </c>
      <c r="M560" s="725">
        <v>46036</v>
      </c>
      <c r="N560" s="725">
        <v>46034</v>
      </c>
      <c r="O560" s="725"/>
      <c r="P560" s="726" t="s">
        <v>100</v>
      </c>
      <c r="Q560" s="727" t="s">
        <v>2439</v>
      </c>
      <c r="R560" s="726" t="s">
        <v>2571</v>
      </c>
      <c r="S560" s="725"/>
      <c r="T560" s="725"/>
      <c r="U560" s="726" t="s">
        <v>2572</v>
      </c>
      <c r="V560" s="726" t="s">
        <v>2573</v>
      </c>
      <c r="W560" s="728"/>
      <c r="X560" s="729" t="s">
        <v>2577</v>
      </c>
      <c r="Y560" s="730" t="s">
        <v>809</v>
      </c>
      <c r="Z560" s="748">
        <v>1.5069</v>
      </c>
      <c r="AA560" s="732">
        <f>Z560*'9543'!I560</f>
        <v>144.6624</v>
      </c>
      <c r="AB560" s="712">
        <v>96</v>
      </c>
      <c r="AC560" s="712">
        <f t="shared" si="300"/>
        <v>0</v>
      </c>
      <c r="AD560" s="732" t="s">
        <v>106</v>
      </c>
      <c r="AE560" s="749" t="s">
        <v>142</v>
      </c>
      <c r="AF560" s="730" t="s">
        <v>107</v>
      </c>
      <c r="AG560" s="734" t="s">
        <v>43</v>
      </c>
      <c r="AH560" s="730"/>
      <c r="AI560" s="712"/>
      <c r="AJ560" s="712"/>
      <c r="AK560" s="712"/>
      <c r="AL560" s="712"/>
      <c r="AM560" s="712">
        <f>I560</f>
        <v>96</v>
      </c>
      <c r="AN560" s="712"/>
      <c r="AO560" s="712"/>
      <c r="AP560" s="712"/>
      <c r="AQ560" s="735"/>
      <c r="AR560" s="712"/>
      <c r="AS560" s="712"/>
      <c r="AT560" s="712"/>
      <c r="AU560" s="712">
        <f>I560</f>
        <v>96</v>
      </c>
      <c r="AV560" s="734"/>
      <c r="AW560" s="713"/>
      <c r="AX560" s="734"/>
      <c r="AY560" s="734"/>
      <c r="AZ560" s="713"/>
      <c r="BA560" s="734"/>
      <c r="BB560" s="734"/>
      <c r="BC560" s="713"/>
      <c r="BD560" s="713"/>
      <c r="BE560" s="713"/>
      <c r="BF560" s="713"/>
      <c r="BG560" s="734"/>
      <c r="BH560" s="734"/>
      <c r="BI560" s="713"/>
      <c r="BJ560" s="713"/>
      <c r="BK560" s="713"/>
      <c r="BL560" s="713"/>
      <c r="BM560" s="713"/>
      <c r="BN560" s="713"/>
      <c r="BO560" s="713"/>
      <c r="BP560" s="713"/>
      <c r="BQ560" s="713"/>
      <c r="BR560" s="713"/>
      <c r="BS560" s="713"/>
      <c r="BT560" s="713"/>
      <c r="BU560" s="713"/>
      <c r="BV560" s="713"/>
      <c r="BW560" s="728" t="s">
        <v>109</v>
      </c>
      <c r="BX560" s="736"/>
      <c r="BY560" s="736"/>
      <c r="BZ560" s="736">
        <f>I560</f>
        <v>96</v>
      </c>
      <c r="CA560" s="736"/>
      <c r="CB560" s="737">
        <f t="shared" si="301"/>
        <v>96</v>
      </c>
      <c r="CC560" s="736"/>
      <c r="CD560" s="737">
        <f t="shared" si="286"/>
        <v>96</v>
      </c>
      <c r="CE560" s="737">
        <f t="shared" si="287"/>
        <v>0</v>
      </c>
    </row>
    <row r="561" s="558" customFormat="1" ht="40" customHeight="1" spans="1:83">
      <c r="A561" s="717">
        <v>45971</v>
      </c>
      <c r="B561" s="718" t="s">
        <v>1707</v>
      </c>
      <c r="C561" s="719" t="s">
        <v>214</v>
      </c>
      <c r="D561" s="720">
        <v>4500184640</v>
      </c>
      <c r="E561" s="721" t="s">
        <v>2578</v>
      </c>
      <c r="F561" s="720" t="s">
        <v>2579</v>
      </c>
      <c r="G561" s="722" t="s">
        <v>141</v>
      </c>
      <c r="H561" s="722" t="s">
        <v>99</v>
      </c>
      <c r="I561" s="723">
        <v>120</v>
      </c>
      <c r="J561" s="723">
        <v>0</v>
      </c>
      <c r="K561" s="724">
        <v>24</v>
      </c>
      <c r="L561" s="724">
        <f t="shared" si="278"/>
        <v>5</v>
      </c>
      <c r="M561" s="725">
        <v>46036</v>
      </c>
      <c r="N561" s="725">
        <v>46034</v>
      </c>
      <c r="O561" s="725"/>
      <c r="P561" s="726" t="s">
        <v>100</v>
      </c>
      <c r="Q561" s="727" t="s">
        <v>2439</v>
      </c>
      <c r="R561" s="726" t="s">
        <v>2571</v>
      </c>
      <c r="S561" s="725"/>
      <c r="T561" s="725"/>
      <c r="U561" s="726" t="s">
        <v>2572</v>
      </c>
      <c r="V561" s="726" t="s">
        <v>2573</v>
      </c>
      <c r="W561" s="728"/>
      <c r="X561" s="729" t="s">
        <v>2577</v>
      </c>
      <c r="Y561" s="730" t="s">
        <v>809</v>
      </c>
      <c r="Z561" s="748">
        <v>1.5069</v>
      </c>
      <c r="AA561" s="732">
        <f>Z561*'9543'!I561</f>
        <v>180.828</v>
      </c>
      <c r="AB561" s="712">
        <v>120</v>
      </c>
      <c r="AC561" s="712">
        <f t="shared" si="300"/>
        <v>0</v>
      </c>
      <c r="AD561" s="732" t="s">
        <v>106</v>
      </c>
      <c r="AE561" s="749" t="s">
        <v>142</v>
      </c>
      <c r="AF561" s="730" t="s">
        <v>107</v>
      </c>
      <c r="AG561" s="734" t="s">
        <v>43</v>
      </c>
      <c r="AH561" s="730"/>
      <c r="AI561" s="712"/>
      <c r="AJ561" s="712"/>
      <c r="AK561" s="712"/>
      <c r="AL561" s="712"/>
      <c r="AM561" s="712">
        <f>I561</f>
        <v>120</v>
      </c>
      <c r="AN561" s="712"/>
      <c r="AO561" s="712"/>
      <c r="AP561" s="712"/>
      <c r="AQ561" s="735"/>
      <c r="AR561" s="712"/>
      <c r="AS561" s="712"/>
      <c r="AT561" s="712"/>
      <c r="AU561" s="712">
        <f>I561</f>
        <v>120</v>
      </c>
      <c r="AV561" s="734"/>
      <c r="AW561" s="713"/>
      <c r="AX561" s="734"/>
      <c r="AY561" s="734"/>
      <c r="AZ561" s="713"/>
      <c r="BA561" s="734"/>
      <c r="BB561" s="734"/>
      <c r="BC561" s="713"/>
      <c r="BD561" s="713"/>
      <c r="BE561" s="713"/>
      <c r="BF561" s="713"/>
      <c r="BG561" s="734"/>
      <c r="BH561" s="734"/>
      <c r="BI561" s="713"/>
      <c r="BJ561" s="713"/>
      <c r="BK561" s="713"/>
      <c r="BL561" s="713"/>
      <c r="BM561" s="713"/>
      <c r="BN561" s="713"/>
      <c r="BO561" s="713"/>
      <c r="BP561" s="713"/>
      <c r="BQ561" s="713"/>
      <c r="BR561" s="713"/>
      <c r="BS561" s="713"/>
      <c r="BT561" s="713"/>
      <c r="BU561" s="713"/>
      <c r="BV561" s="713"/>
      <c r="BW561" s="728" t="s">
        <v>109</v>
      </c>
      <c r="BX561" s="736"/>
      <c r="BY561" s="736"/>
      <c r="BZ561" s="736">
        <f>I561</f>
        <v>120</v>
      </c>
      <c r="CA561" s="736"/>
      <c r="CB561" s="737">
        <f t="shared" si="301"/>
        <v>120</v>
      </c>
      <c r="CC561" s="736"/>
      <c r="CD561" s="737">
        <f t="shared" si="286"/>
        <v>120</v>
      </c>
      <c r="CE561" s="737">
        <f t="shared" si="287"/>
        <v>0</v>
      </c>
    </row>
    <row r="562" s="338" customFormat="1" ht="40" customHeight="1" spans="1:83">
      <c r="A562" s="632">
        <v>45993</v>
      </c>
      <c r="B562" s="633" t="s">
        <v>1014</v>
      </c>
      <c r="C562" s="634" t="s">
        <v>836</v>
      </c>
      <c r="D562" s="635">
        <v>4500187623</v>
      </c>
      <c r="E562" s="646">
        <v>4504562690</v>
      </c>
      <c r="F562" s="635" t="s">
        <v>2580</v>
      </c>
      <c r="G562" s="637" t="s">
        <v>111</v>
      </c>
      <c r="H562" s="637" t="s">
        <v>99</v>
      </c>
      <c r="I562" s="638">
        <v>594</v>
      </c>
      <c r="J562" s="638">
        <v>0</v>
      </c>
      <c r="K562" s="639">
        <v>22</v>
      </c>
      <c r="L562" s="639">
        <f t="shared" si="278"/>
        <v>27</v>
      </c>
      <c r="M562" s="641">
        <v>46037</v>
      </c>
      <c r="N562" s="641">
        <v>46034</v>
      </c>
      <c r="O562" s="641"/>
      <c r="P562" s="642" t="s">
        <v>100</v>
      </c>
      <c r="Q562" s="643" t="s">
        <v>2439</v>
      </c>
      <c r="R562" s="642" t="s">
        <v>2581</v>
      </c>
      <c r="S562" s="641"/>
      <c r="T562" s="641"/>
      <c r="U562" s="642" t="s">
        <v>2582</v>
      </c>
      <c r="V562" s="642"/>
      <c r="W562" s="645"/>
      <c r="X562" s="647" t="s">
        <v>2583</v>
      </c>
      <c r="Y562" s="747" t="s">
        <v>281</v>
      </c>
      <c r="Z562" s="648">
        <v>2.7291</v>
      </c>
      <c r="AA562" s="650">
        <f t="shared" ref="AA562:AA572" si="304">I562*Z562</f>
        <v>1621.0854</v>
      </c>
      <c r="AB562" s="649">
        <v>594</v>
      </c>
      <c r="AC562" s="649">
        <f t="shared" si="300"/>
        <v>0</v>
      </c>
      <c r="AD562" s="650" t="s">
        <v>106</v>
      </c>
      <c r="AE562" s="701" t="s">
        <v>230</v>
      </c>
      <c r="AF562" s="646" t="s">
        <v>107</v>
      </c>
      <c r="AG562" s="652" t="s">
        <v>43</v>
      </c>
      <c r="AH562" s="646"/>
      <c r="AI562" s="696"/>
      <c r="AJ562" s="696"/>
      <c r="AK562" s="696"/>
      <c r="AL562" s="649"/>
      <c r="AM562" s="649"/>
      <c r="AN562" s="696"/>
      <c r="AO562" s="649"/>
      <c r="AP562" s="649">
        <f>I562</f>
        <v>594</v>
      </c>
      <c r="AQ562" s="653"/>
      <c r="AR562" s="696"/>
      <c r="AS562" s="696"/>
      <c r="AT562" s="649"/>
      <c r="AU562" s="649">
        <f>I562</f>
        <v>594</v>
      </c>
      <c r="AV562" s="654"/>
      <c r="AW562" s="697"/>
      <c r="AX562" s="652"/>
      <c r="AY562" s="652"/>
      <c r="AZ562" s="697"/>
      <c r="BA562" s="652"/>
      <c r="BB562" s="652">
        <f>I562/11</f>
        <v>54</v>
      </c>
      <c r="BC562" s="697"/>
      <c r="BD562" s="697"/>
      <c r="BE562" s="654"/>
      <c r="BF562" s="697"/>
      <c r="BG562" s="652"/>
      <c r="BH562" s="652"/>
      <c r="BI562" s="697"/>
      <c r="BJ562" s="697"/>
      <c r="BK562" s="654"/>
      <c r="BL562" s="654"/>
      <c r="BM562" s="654"/>
      <c r="BN562" s="654"/>
      <c r="BO562" s="654"/>
      <c r="BP562" s="697"/>
      <c r="BQ562" s="654"/>
      <c r="BR562" s="697"/>
      <c r="BS562" s="652"/>
      <c r="BT562" s="654"/>
      <c r="BU562" s="654"/>
      <c r="BV562" s="654"/>
      <c r="BW562" s="645" t="s">
        <v>109</v>
      </c>
      <c r="BX562" s="658">
        <f>I562/22*5</f>
        <v>135</v>
      </c>
      <c r="BY562" s="658">
        <f>I562/22*6</f>
        <v>162</v>
      </c>
      <c r="BZ562" s="658">
        <f>I562/22*6</f>
        <v>162</v>
      </c>
      <c r="CA562" s="658">
        <f>I562/22*5</f>
        <v>135</v>
      </c>
      <c r="CB562" s="644">
        <f t="shared" si="301"/>
        <v>594</v>
      </c>
      <c r="CC562" s="658">
        <f>I562/11</f>
        <v>54</v>
      </c>
      <c r="CD562" s="644">
        <f t="shared" si="286"/>
        <v>594</v>
      </c>
      <c r="CE562" s="644">
        <f t="shared" si="287"/>
        <v>0</v>
      </c>
    </row>
    <row r="563" s="338" customFormat="1" ht="40" customHeight="1" spans="1:83">
      <c r="A563" s="632">
        <v>45985</v>
      </c>
      <c r="B563" s="633" t="s">
        <v>1884</v>
      </c>
      <c r="C563" s="634" t="s">
        <v>214</v>
      </c>
      <c r="D563" s="635">
        <v>4500186566</v>
      </c>
      <c r="E563" s="646">
        <v>70079715</v>
      </c>
      <c r="F563" s="635" t="s">
        <v>2584</v>
      </c>
      <c r="G563" s="637" t="s">
        <v>111</v>
      </c>
      <c r="H563" s="637" t="s">
        <v>99</v>
      </c>
      <c r="I563" s="638">
        <v>308</v>
      </c>
      <c r="J563" s="638">
        <v>0</v>
      </c>
      <c r="K563" s="639">
        <v>22</v>
      </c>
      <c r="L563" s="639">
        <f t="shared" si="278"/>
        <v>14</v>
      </c>
      <c r="M563" s="641">
        <v>46038</v>
      </c>
      <c r="N563" s="641">
        <v>46034</v>
      </c>
      <c r="O563" s="641"/>
      <c r="P563" s="642" t="s">
        <v>100</v>
      </c>
      <c r="Q563" s="643" t="s">
        <v>2585</v>
      </c>
      <c r="R563" s="642" t="s">
        <v>2586</v>
      </c>
      <c r="S563" s="641"/>
      <c r="T563" s="641"/>
      <c r="U563" s="642" t="s">
        <v>113</v>
      </c>
      <c r="V563" s="642" t="s">
        <v>2587</v>
      </c>
      <c r="W563" s="645"/>
      <c r="X563" s="647" t="s">
        <v>2588</v>
      </c>
      <c r="Y563" s="747" t="s">
        <v>2589</v>
      </c>
      <c r="Z563" s="683">
        <v>1.6375</v>
      </c>
      <c r="AA563" s="650">
        <f t="shared" si="304"/>
        <v>504.35</v>
      </c>
      <c r="AB563" s="649">
        <v>308</v>
      </c>
      <c r="AC563" s="649">
        <f t="shared" si="300"/>
        <v>0</v>
      </c>
      <c r="AD563" s="750" t="s">
        <v>106</v>
      </c>
      <c r="AE563" s="637" t="s">
        <v>111</v>
      </c>
      <c r="AF563" s="646" t="s">
        <v>107</v>
      </c>
      <c r="AG563" s="652" t="s">
        <v>43</v>
      </c>
      <c r="AH563" s="646"/>
      <c r="AI563" s="696"/>
      <c r="AJ563" s="696"/>
      <c r="AK563" s="696"/>
      <c r="AL563" s="649">
        <f>I563</f>
        <v>308</v>
      </c>
      <c r="AM563" s="649"/>
      <c r="AN563" s="696"/>
      <c r="AO563" s="649"/>
      <c r="AP563" s="649"/>
      <c r="AQ563" s="653"/>
      <c r="AR563" s="696"/>
      <c r="AS563" s="696"/>
      <c r="AT563" s="649">
        <f>I563</f>
        <v>308</v>
      </c>
      <c r="AU563" s="649"/>
      <c r="AV563" s="654"/>
      <c r="AW563" s="697"/>
      <c r="AX563" s="652">
        <f>I563/11</f>
        <v>28</v>
      </c>
      <c r="AY563" s="652"/>
      <c r="AZ563" s="697"/>
      <c r="BA563" s="652"/>
      <c r="BB563" s="652"/>
      <c r="BC563" s="697"/>
      <c r="BD563" s="697"/>
      <c r="BE563" s="654"/>
      <c r="BF563" s="697"/>
      <c r="BG563" s="652"/>
      <c r="BH563" s="652"/>
      <c r="BI563" s="697"/>
      <c r="BJ563" s="697"/>
      <c r="BK563" s="654"/>
      <c r="BL563" s="654"/>
      <c r="BM563" s="654"/>
      <c r="BN563" s="654"/>
      <c r="BO563" s="654"/>
      <c r="BP563" s="697"/>
      <c r="BQ563" s="654"/>
      <c r="BR563" s="697"/>
      <c r="BS563" s="652"/>
      <c r="BT563" s="654"/>
      <c r="BU563" s="654"/>
      <c r="BV563" s="654"/>
      <c r="BW563" s="645" t="s">
        <v>109</v>
      </c>
      <c r="BX563" s="658">
        <f>I563/22*5</f>
        <v>70</v>
      </c>
      <c r="BY563" s="658">
        <f>I563/22*6</f>
        <v>84</v>
      </c>
      <c r="BZ563" s="658">
        <f>I563/22*6</f>
        <v>84</v>
      </c>
      <c r="CA563" s="658">
        <f>I563/22*5</f>
        <v>70</v>
      </c>
      <c r="CB563" s="644">
        <f t="shared" si="301"/>
        <v>308</v>
      </c>
      <c r="CC563" s="658">
        <f>I563/11</f>
        <v>28</v>
      </c>
      <c r="CD563" s="644">
        <f t="shared" si="286"/>
        <v>308</v>
      </c>
      <c r="CE563" s="644">
        <f t="shared" si="287"/>
        <v>0</v>
      </c>
    </row>
    <row r="564" s="338" customFormat="1" ht="40" customHeight="1" spans="1:83">
      <c r="A564" s="632">
        <v>45989</v>
      </c>
      <c r="B564" s="633" t="s">
        <v>1587</v>
      </c>
      <c r="C564" s="634" t="s">
        <v>178</v>
      </c>
      <c r="D564" s="635">
        <v>4500187446</v>
      </c>
      <c r="E564" s="646" t="s">
        <v>2590</v>
      </c>
      <c r="F564" s="635" t="s">
        <v>2591</v>
      </c>
      <c r="G564" s="637" t="s">
        <v>159</v>
      </c>
      <c r="H564" s="637" t="s">
        <v>99</v>
      </c>
      <c r="I564" s="638">
        <v>24</v>
      </c>
      <c r="J564" s="638">
        <v>0</v>
      </c>
      <c r="K564" s="639">
        <v>24</v>
      </c>
      <c r="L564" s="639">
        <f t="shared" si="278"/>
        <v>1</v>
      </c>
      <c r="M564" s="641">
        <v>46038</v>
      </c>
      <c r="N564" s="641">
        <v>46034</v>
      </c>
      <c r="O564" s="641"/>
      <c r="P564" s="642" t="s">
        <v>100</v>
      </c>
      <c r="Q564" s="643" t="s">
        <v>2557</v>
      </c>
      <c r="R564" s="642" t="s">
        <v>250</v>
      </c>
      <c r="S564" s="641"/>
      <c r="T564" s="641"/>
      <c r="U564" s="642" t="s">
        <v>2558</v>
      </c>
      <c r="V564" s="642" t="s">
        <v>2559</v>
      </c>
      <c r="W564" s="645"/>
      <c r="X564" s="647" t="s">
        <v>2560</v>
      </c>
      <c r="Y564" s="747" t="s">
        <v>734</v>
      </c>
      <c r="Z564" s="683">
        <v>2.5661</v>
      </c>
      <c r="AA564" s="650">
        <f t="shared" si="304"/>
        <v>61.5864</v>
      </c>
      <c r="AB564" s="649">
        <v>24</v>
      </c>
      <c r="AC564" s="649">
        <f t="shared" si="300"/>
        <v>0</v>
      </c>
      <c r="AD564" s="650" t="s">
        <v>106</v>
      </c>
      <c r="AE564" s="661" t="s">
        <v>166</v>
      </c>
      <c r="AF564" s="646" t="s">
        <v>107</v>
      </c>
      <c r="AG564" s="652" t="s">
        <v>43</v>
      </c>
      <c r="AH564" s="646"/>
      <c r="AI564" s="696"/>
      <c r="AJ564" s="696"/>
      <c r="AK564" s="696"/>
      <c r="AL564" s="649"/>
      <c r="AM564" s="649"/>
      <c r="AN564" s="696"/>
      <c r="AO564" s="649"/>
      <c r="AP564" s="649">
        <f>I564</f>
        <v>24</v>
      </c>
      <c r="AQ564" s="653"/>
      <c r="AR564" s="696"/>
      <c r="AS564" s="696"/>
      <c r="AT564" s="649"/>
      <c r="AU564" s="649">
        <f>I564</f>
        <v>24</v>
      </c>
      <c r="AV564" s="654"/>
      <c r="AW564" s="697"/>
      <c r="AX564" s="652"/>
      <c r="AY564" s="652"/>
      <c r="AZ564" s="697"/>
      <c r="BA564" s="652"/>
      <c r="BB564" s="652"/>
      <c r="BC564" s="697"/>
      <c r="BD564" s="697"/>
      <c r="BE564" s="654"/>
      <c r="BF564" s="697"/>
      <c r="BG564" s="652"/>
      <c r="BH564" s="652"/>
      <c r="BI564" s="697"/>
      <c r="BJ564" s="697"/>
      <c r="BK564" s="654"/>
      <c r="BL564" s="654"/>
      <c r="BM564" s="654"/>
      <c r="BN564" s="654"/>
      <c r="BO564" s="654"/>
      <c r="BP564" s="697"/>
      <c r="BQ564" s="654"/>
      <c r="BR564" s="697"/>
      <c r="BS564" s="652"/>
      <c r="BT564" s="654"/>
      <c r="BU564" s="654"/>
      <c r="BV564" s="654"/>
      <c r="BW564" s="645" t="s">
        <v>109</v>
      </c>
      <c r="BX564" s="658"/>
      <c r="BY564" s="658">
        <f>I564</f>
        <v>24</v>
      </c>
      <c r="BZ564" s="658"/>
      <c r="CA564" s="658"/>
      <c r="CB564" s="644">
        <f t="shared" si="301"/>
        <v>24</v>
      </c>
      <c r="CC564" s="658"/>
      <c r="CD564" s="644">
        <f t="shared" si="286"/>
        <v>24</v>
      </c>
      <c r="CE564" s="644">
        <f t="shared" si="287"/>
        <v>0</v>
      </c>
    </row>
    <row r="565" s="338" customFormat="1" ht="40" customHeight="1" spans="1:83">
      <c r="A565" s="632">
        <v>45989</v>
      </c>
      <c r="B565" s="633" t="s">
        <v>1587</v>
      </c>
      <c r="C565" s="634" t="s">
        <v>178</v>
      </c>
      <c r="D565" s="635">
        <v>4500187446</v>
      </c>
      <c r="E565" s="646" t="s">
        <v>2592</v>
      </c>
      <c r="F565" s="635" t="s">
        <v>2593</v>
      </c>
      <c r="G565" s="637" t="s">
        <v>141</v>
      </c>
      <c r="H565" s="637" t="s">
        <v>99</v>
      </c>
      <c r="I565" s="638">
        <v>48</v>
      </c>
      <c r="J565" s="638">
        <v>0</v>
      </c>
      <c r="K565" s="639">
        <v>24</v>
      </c>
      <c r="L565" s="639">
        <f t="shared" si="278"/>
        <v>2</v>
      </c>
      <c r="M565" s="641">
        <v>46038</v>
      </c>
      <c r="N565" s="641">
        <v>46034</v>
      </c>
      <c r="O565" s="641"/>
      <c r="P565" s="642" t="s">
        <v>100</v>
      </c>
      <c r="Q565" s="643" t="s">
        <v>2557</v>
      </c>
      <c r="R565" s="642" t="s">
        <v>250</v>
      </c>
      <c r="S565" s="641"/>
      <c r="T565" s="641"/>
      <c r="U565" s="642" t="s">
        <v>2558</v>
      </c>
      <c r="V565" s="642" t="s">
        <v>2559</v>
      </c>
      <c r="W565" s="645"/>
      <c r="X565" s="647" t="s">
        <v>2560</v>
      </c>
      <c r="Y565" s="747" t="s">
        <v>734</v>
      </c>
      <c r="Z565" s="683">
        <v>2.5661</v>
      </c>
      <c r="AA565" s="650">
        <f t="shared" si="304"/>
        <v>123.1728</v>
      </c>
      <c r="AB565" s="649">
        <v>48</v>
      </c>
      <c r="AC565" s="649">
        <f t="shared" si="300"/>
        <v>0</v>
      </c>
      <c r="AD565" s="650" t="s">
        <v>106</v>
      </c>
      <c r="AE565" s="637" t="s">
        <v>153</v>
      </c>
      <c r="AF565" s="646" t="s">
        <v>107</v>
      </c>
      <c r="AG565" s="652" t="s">
        <v>43</v>
      </c>
      <c r="AH565" s="646"/>
      <c r="AI565" s="696"/>
      <c r="AJ565" s="696"/>
      <c r="AK565" s="696"/>
      <c r="AL565" s="649"/>
      <c r="AM565" s="649"/>
      <c r="AN565" s="696"/>
      <c r="AO565" s="649"/>
      <c r="AP565" s="649">
        <f>I565</f>
        <v>48</v>
      </c>
      <c r="AQ565" s="653"/>
      <c r="AR565" s="696"/>
      <c r="AS565" s="696"/>
      <c r="AT565" s="649"/>
      <c r="AU565" s="649">
        <f>I565</f>
        <v>48</v>
      </c>
      <c r="AV565" s="654"/>
      <c r="AW565" s="697"/>
      <c r="AX565" s="652"/>
      <c r="AY565" s="652"/>
      <c r="AZ565" s="697"/>
      <c r="BA565" s="652"/>
      <c r="BB565" s="652"/>
      <c r="BC565" s="697"/>
      <c r="BD565" s="697"/>
      <c r="BE565" s="654"/>
      <c r="BF565" s="697"/>
      <c r="BG565" s="652"/>
      <c r="BH565" s="652"/>
      <c r="BI565" s="697"/>
      <c r="BJ565" s="697"/>
      <c r="BK565" s="654"/>
      <c r="BL565" s="654"/>
      <c r="BM565" s="654"/>
      <c r="BN565" s="654"/>
      <c r="BO565" s="654"/>
      <c r="BP565" s="697"/>
      <c r="BQ565" s="654"/>
      <c r="BR565" s="697"/>
      <c r="BS565" s="652"/>
      <c r="BT565" s="654"/>
      <c r="BU565" s="654"/>
      <c r="BV565" s="654"/>
      <c r="BW565" s="645" t="s">
        <v>109</v>
      </c>
      <c r="BX565" s="658"/>
      <c r="BY565" s="658"/>
      <c r="BZ565" s="658">
        <f>I565</f>
        <v>48</v>
      </c>
      <c r="CA565" s="658"/>
      <c r="CB565" s="644">
        <f t="shared" si="301"/>
        <v>48</v>
      </c>
      <c r="CC565" s="658"/>
      <c r="CD565" s="644">
        <f t="shared" si="286"/>
        <v>48</v>
      </c>
      <c r="CE565" s="644">
        <f t="shared" si="287"/>
        <v>0</v>
      </c>
    </row>
    <row r="566" s="338" customFormat="1" ht="40" customHeight="1" spans="1:83">
      <c r="A566" s="632">
        <v>45995</v>
      </c>
      <c r="B566" s="633" t="s">
        <v>2594</v>
      </c>
      <c r="C566" s="634" t="s">
        <v>2595</v>
      </c>
      <c r="D566" s="635">
        <v>4500187921</v>
      </c>
      <c r="E566" s="646"/>
      <c r="F566" s="635" t="s">
        <v>2596</v>
      </c>
      <c r="G566" s="637" t="s">
        <v>111</v>
      </c>
      <c r="H566" s="637" t="s">
        <v>99</v>
      </c>
      <c r="I566" s="638">
        <v>484</v>
      </c>
      <c r="J566" s="638">
        <v>0</v>
      </c>
      <c r="K566" s="639">
        <v>22</v>
      </c>
      <c r="L566" s="639">
        <f t="shared" si="278"/>
        <v>22</v>
      </c>
      <c r="M566" s="641">
        <v>46038</v>
      </c>
      <c r="N566" s="641">
        <v>46034</v>
      </c>
      <c r="O566" s="641"/>
      <c r="P566" s="642" t="s">
        <v>100</v>
      </c>
      <c r="Q566" s="643" t="s">
        <v>374</v>
      </c>
      <c r="R566" s="642" t="s">
        <v>2597</v>
      </c>
      <c r="S566" s="641"/>
      <c r="T566" s="641"/>
      <c r="U566" s="642" t="s">
        <v>2598</v>
      </c>
      <c r="V566" s="642"/>
      <c r="W566" s="645"/>
      <c r="X566" s="647" t="s">
        <v>2599</v>
      </c>
      <c r="Y566" s="747" t="s">
        <v>2600</v>
      </c>
      <c r="Z566" s="683">
        <v>2.6945</v>
      </c>
      <c r="AA566" s="650">
        <f t="shared" si="304"/>
        <v>1304.138</v>
      </c>
      <c r="AB566" s="649">
        <v>484</v>
      </c>
      <c r="AC566" s="649">
        <f t="shared" si="300"/>
        <v>0</v>
      </c>
      <c r="AD566" s="650" t="s">
        <v>113</v>
      </c>
      <c r="AE566" s="701" t="s">
        <v>230</v>
      </c>
      <c r="AF566" s="646" t="s">
        <v>107</v>
      </c>
      <c r="AG566" s="652" t="s">
        <v>43</v>
      </c>
      <c r="AH566" s="715" t="s">
        <v>2601</v>
      </c>
      <c r="AI566" s="696"/>
      <c r="AJ566" s="696"/>
      <c r="AK566" s="696"/>
      <c r="AL566" s="649"/>
      <c r="AM566" s="649"/>
      <c r="AN566" s="696"/>
      <c r="AO566" s="649"/>
      <c r="AP566" s="649">
        <f>I566</f>
        <v>484</v>
      </c>
      <c r="AQ566" s="653"/>
      <c r="AR566" s="696"/>
      <c r="AS566" s="696"/>
      <c r="AT566" s="649"/>
      <c r="AU566" s="649">
        <f>I566</f>
        <v>484</v>
      </c>
      <c r="AV566" s="654"/>
      <c r="AW566" s="697"/>
      <c r="AX566" s="652"/>
      <c r="AY566" s="652"/>
      <c r="AZ566" s="697"/>
      <c r="BA566" s="652"/>
      <c r="BB566" s="652">
        <f>I566/11</f>
        <v>44</v>
      </c>
      <c r="BC566" s="697"/>
      <c r="BD566" s="697"/>
      <c r="BE566" s="654"/>
      <c r="BF566" s="697"/>
      <c r="BG566" s="652"/>
      <c r="BH566" s="652"/>
      <c r="BI566" s="697"/>
      <c r="BJ566" s="697"/>
      <c r="BK566" s="654"/>
      <c r="BL566" s="654"/>
      <c r="BM566" s="654"/>
      <c r="BN566" s="654"/>
      <c r="BO566" s="654"/>
      <c r="BP566" s="697"/>
      <c r="BQ566" s="654"/>
      <c r="BR566" s="697"/>
      <c r="BS566" s="652"/>
      <c r="BT566" s="654"/>
      <c r="BU566" s="654"/>
      <c r="BV566" s="654"/>
      <c r="BW566" s="645" t="s">
        <v>109</v>
      </c>
      <c r="BX566" s="658">
        <f>I566/22*5</f>
        <v>110</v>
      </c>
      <c r="BY566" s="658">
        <f>I566/22*6</f>
        <v>132</v>
      </c>
      <c r="BZ566" s="658">
        <f>I566/22*6</f>
        <v>132</v>
      </c>
      <c r="CA566" s="658">
        <f>I566/22*5</f>
        <v>110</v>
      </c>
      <c r="CB566" s="644">
        <f t="shared" si="301"/>
        <v>484</v>
      </c>
      <c r="CC566" s="658">
        <f>I566/11</f>
        <v>44</v>
      </c>
      <c r="CD566" s="644">
        <f t="shared" si="286"/>
        <v>484</v>
      </c>
      <c r="CE566" s="644">
        <f t="shared" si="287"/>
        <v>0</v>
      </c>
    </row>
    <row r="567" s="558" customFormat="1" ht="40" customHeight="1" spans="1:83">
      <c r="A567" s="717">
        <v>46003</v>
      </c>
      <c r="B567" s="718" t="s">
        <v>2602</v>
      </c>
      <c r="C567" s="719" t="s">
        <v>2603</v>
      </c>
      <c r="D567" s="720">
        <v>4500188846</v>
      </c>
      <c r="E567" s="730"/>
      <c r="F567" s="720" t="s">
        <v>2604</v>
      </c>
      <c r="G567" s="722" t="s">
        <v>111</v>
      </c>
      <c r="H567" s="722" t="s">
        <v>99</v>
      </c>
      <c r="I567" s="723">
        <v>2002</v>
      </c>
      <c r="J567" s="723">
        <v>0</v>
      </c>
      <c r="K567" s="724">
        <v>22</v>
      </c>
      <c r="L567" s="724">
        <f t="shared" ref="L565:L572" si="305">I567/K567</f>
        <v>91</v>
      </c>
      <c r="M567" s="725">
        <v>46038</v>
      </c>
      <c r="N567" s="725">
        <v>46034</v>
      </c>
      <c r="O567" s="725"/>
      <c r="P567" s="726" t="s">
        <v>100</v>
      </c>
      <c r="Q567" s="727" t="s">
        <v>311</v>
      </c>
      <c r="R567" s="726" t="s">
        <v>2605</v>
      </c>
      <c r="S567" s="725"/>
      <c r="T567" s="725"/>
      <c r="U567" s="726" t="s">
        <v>2606</v>
      </c>
      <c r="V567" s="726"/>
      <c r="W567" s="728"/>
      <c r="X567" s="729" t="s">
        <v>2607</v>
      </c>
      <c r="Y567" s="745" t="s">
        <v>632</v>
      </c>
      <c r="Z567" s="731">
        <v>2.706</v>
      </c>
      <c r="AA567" s="732">
        <f t="shared" si="304"/>
        <v>5417.412</v>
      </c>
      <c r="AB567" s="712">
        <v>2002</v>
      </c>
      <c r="AC567" s="712">
        <f t="shared" si="300"/>
        <v>0</v>
      </c>
      <c r="AD567" s="732" t="s">
        <v>106</v>
      </c>
      <c r="AE567" s="722" t="s">
        <v>111</v>
      </c>
      <c r="AF567" s="730" t="s">
        <v>107</v>
      </c>
      <c r="AG567" s="734" t="s">
        <v>43</v>
      </c>
      <c r="AH567" s="751" t="s">
        <v>2608</v>
      </c>
      <c r="AI567" s="705"/>
      <c r="AJ567" s="705"/>
      <c r="AK567" s="705"/>
      <c r="AL567" s="712">
        <f>I567</f>
        <v>2002</v>
      </c>
      <c r="AM567" s="712"/>
      <c r="AN567" s="705"/>
      <c r="AO567" s="712"/>
      <c r="AP567" s="712"/>
      <c r="AQ567" s="735"/>
      <c r="AR567" s="705"/>
      <c r="AS567" s="705"/>
      <c r="AT567" s="712">
        <f>I567</f>
        <v>2002</v>
      </c>
      <c r="AU567" s="712"/>
      <c r="AV567" s="713"/>
      <c r="AW567" s="706"/>
      <c r="AX567" s="734">
        <f>I567/11</f>
        <v>182</v>
      </c>
      <c r="AY567" s="734"/>
      <c r="AZ567" s="706"/>
      <c r="BA567" s="734"/>
      <c r="BB567" s="734"/>
      <c r="BC567" s="706"/>
      <c r="BD567" s="706"/>
      <c r="BE567" s="713"/>
      <c r="BF567" s="706"/>
      <c r="BG567" s="734"/>
      <c r="BH567" s="734"/>
      <c r="BI567" s="706"/>
      <c r="BJ567" s="706"/>
      <c r="BK567" s="713"/>
      <c r="BL567" s="713"/>
      <c r="BM567" s="713"/>
      <c r="BN567" s="713"/>
      <c r="BO567" s="713"/>
      <c r="BP567" s="706"/>
      <c r="BQ567" s="713"/>
      <c r="BR567" s="706"/>
      <c r="BS567" s="734"/>
      <c r="BT567" s="713"/>
      <c r="BU567" s="713"/>
      <c r="BV567" s="713"/>
      <c r="BW567" s="728" t="s">
        <v>109</v>
      </c>
      <c r="BX567" s="736">
        <f>I567/22*5</f>
        <v>455</v>
      </c>
      <c r="BY567" s="736">
        <f>I567/22*6</f>
        <v>546</v>
      </c>
      <c r="BZ567" s="736">
        <f>I567/22*6</f>
        <v>546</v>
      </c>
      <c r="CA567" s="736">
        <f>I567/22*5</f>
        <v>455</v>
      </c>
      <c r="CB567" s="737">
        <f t="shared" si="301"/>
        <v>2002</v>
      </c>
      <c r="CC567" s="736">
        <f>I567/11</f>
        <v>182</v>
      </c>
      <c r="CD567" s="737">
        <f t="shared" ref="CD562:CD572" si="306">SUM(BX567:CA567)</f>
        <v>2002</v>
      </c>
      <c r="CE567" s="737">
        <f t="shared" ref="CE566:CE572" si="307">I567-CD567</f>
        <v>0</v>
      </c>
    </row>
    <row r="568" s="558" customFormat="1" ht="40" customHeight="1" spans="1:83">
      <c r="A568" s="717">
        <v>45988</v>
      </c>
      <c r="B568" s="718" t="s">
        <v>379</v>
      </c>
      <c r="C568" s="719" t="s">
        <v>380</v>
      </c>
      <c r="D568" s="720">
        <v>4500187205</v>
      </c>
      <c r="E568" s="721" t="s">
        <v>2609</v>
      </c>
      <c r="F568" s="720" t="s">
        <v>2610</v>
      </c>
      <c r="G568" s="722" t="s">
        <v>2611</v>
      </c>
      <c r="H568" s="722" t="s">
        <v>2612</v>
      </c>
      <c r="I568" s="723">
        <v>504</v>
      </c>
      <c r="J568" s="723">
        <v>0</v>
      </c>
      <c r="K568" s="724">
        <v>24</v>
      </c>
      <c r="L568" s="724">
        <f t="shared" si="305"/>
        <v>21</v>
      </c>
      <c r="M568" s="725">
        <v>46041</v>
      </c>
      <c r="N568" s="725">
        <v>46037</v>
      </c>
      <c r="O568" s="725" t="s">
        <v>2352</v>
      </c>
      <c r="P568" s="726" t="s">
        <v>100</v>
      </c>
      <c r="Q568" s="727" t="s">
        <v>2613</v>
      </c>
      <c r="R568" s="726" t="s">
        <v>2614</v>
      </c>
      <c r="S568" s="725"/>
      <c r="T568" s="725"/>
      <c r="U568" s="726" t="s">
        <v>2615</v>
      </c>
      <c r="V568" s="726" t="s">
        <v>2616</v>
      </c>
      <c r="W568" s="728"/>
      <c r="X568" s="729" t="s">
        <v>2617</v>
      </c>
      <c r="Y568" s="730" t="s">
        <v>175</v>
      </c>
      <c r="Z568" s="731">
        <v>2.6493</v>
      </c>
      <c r="AA568" s="732">
        <f t="shared" si="304"/>
        <v>1335.2472</v>
      </c>
      <c r="AB568" s="712">
        <v>504</v>
      </c>
      <c r="AC568" s="712">
        <f t="shared" si="300"/>
        <v>0</v>
      </c>
      <c r="AD568" s="732" t="s">
        <v>106</v>
      </c>
      <c r="AE568" s="722" t="s">
        <v>2611</v>
      </c>
      <c r="AF568" s="730" t="s">
        <v>107</v>
      </c>
      <c r="AG568" s="734" t="s">
        <v>43</v>
      </c>
      <c r="AH568" s="730"/>
      <c r="AI568" s="705"/>
      <c r="AJ568" s="705"/>
      <c r="AK568" s="705"/>
      <c r="AL568" s="712"/>
      <c r="AM568" s="712"/>
      <c r="AN568" s="705"/>
      <c r="AO568" s="712"/>
      <c r="AP568" s="712">
        <f t="shared" ref="AP568:AP573" si="308">I568</f>
        <v>504</v>
      </c>
      <c r="AQ568" s="735"/>
      <c r="AR568" s="705"/>
      <c r="AS568" s="705"/>
      <c r="AT568" s="712"/>
      <c r="AU568" s="712">
        <f t="shared" ref="AU568:AU574" si="309">I568</f>
        <v>504</v>
      </c>
      <c r="AV568" s="734"/>
      <c r="AW568" s="706"/>
      <c r="AX568" s="734"/>
      <c r="AY568" s="734"/>
      <c r="AZ568" s="706"/>
      <c r="BA568" s="734"/>
      <c r="BB568" s="734"/>
      <c r="BC568" s="706"/>
      <c r="BD568" s="706"/>
      <c r="BE568" s="713"/>
      <c r="BF568" s="706"/>
      <c r="BG568" s="734"/>
      <c r="BH568" s="734"/>
      <c r="BI568" s="706"/>
      <c r="BJ568" s="706"/>
      <c r="BK568" s="713"/>
      <c r="BL568" s="713"/>
      <c r="BM568" s="713"/>
      <c r="BN568" s="713"/>
      <c r="BO568" s="713"/>
      <c r="BP568" s="706"/>
      <c r="BQ568" s="713"/>
      <c r="BR568" s="706"/>
      <c r="BS568" s="713"/>
      <c r="BT568" s="713"/>
      <c r="BU568" s="713"/>
      <c r="BV568" s="713"/>
      <c r="BW568" s="728" t="s">
        <v>109</v>
      </c>
      <c r="BX568" s="736"/>
      <c r="BY568" s="736"/>
      <c r="BZ568" s="736">
        <f>I568</f>
        <v>504</v>
      </c>
      <c r="CA568" s="736"/>
      <c r="CB568" s="737"/>
      <c r="CC568" s="737"/>
      <c r="CD568" s="737">
        <f t="shared" si="306"/>
        <v>504</v>
      </c>
      <c r="CE568" s="737">
        <f t="shared" si="307"/>
        <v>0</v>
      </c>
    </row>
    <row r="569" s="558" customFormat="1" ht="40" customHeight="1" spans="1:83">
      <c r="A569" s="717">
        <v>45988</v>
      </c>
      <c r="B569" s="718" t="s">
        <v>379</v>
      </c>
      <c r="C569" s="719" t="s">
        <v>380</v>
      </c>
      <c r="D569" s="720">
        <v>4500187205</v>
      </c>
      <c r="E569" s="721" t="s">
        <v>2609</v>
      </c>
      <c r="F569" s="720" t="s">
        <v>2618</v>
      </c>
      <c r="G569" s="722" t="s">
        <v>1968</v>
      </c>
      <c r="H569" s="722" t="s">
        <v>1969</v>
      </c>
      <c r="I569" s="723">
        <v>504</v>
      </c>
      <c r="J569" s="723">
        <v>0</v>
      </c>
      <c r="K569" s="724">
        <v>24</v>
      </c>
      <c r="L569" s="724">
        <f t="shared" si="305"/>
        <v>21</v>
      </c>
      <c r="M569" s="725">
        <v>46041</v>
      </c>
      <c r="N569" s="725">
        <v>46037</v>
      </c>
      <c r="O569" s="725" t="s">
        <v>2352</v>
      </c>
      <c r="P569" s="726" t="s">
        <v>100</v>
      </c>
      <c r="Q569" s="727" t="s">
        <v>2613</v>
      </c>
      <c r="R569" s="726" t="s">
        <v>2614</v>
      </c>
      <c r="S569" s="725"/>
      <c r="T569" s="725"/>
      <c r="U569" s="726" t="s">
        <v>2619</v>
      </c>
      <c r="V569" s="726" t="s">
        <v>2616</v>
      </c>
      <c r="W569" s="728"/>
      <c r="X569" s="729" t="s">
        <v>2620</v>
      </c>
      <c r="Y569" s="730" t="s">
        <v>175</v>
      </c>
      <c r="Z569" s="731">
        <v>2.6493</v>
      </c>
      <c r="AA569" s="732">
        <f t="shared" si="304"/>
        <v>1335.2472</v>
      </c>
      <c r="AB569" s="712">
        <v>504</v>
      </c>
      <c r="AC569" s="712">
        <f t="shared" si="300"/>
        <v>0</v>
      </c>
      <c r="AD569" s="732" t="s">
        <v>106</v>
      </c>
      <c r="AE569" s="722" t="s">
        <v>1968</v>
      </c>
      <c r="AF569" s="730" t="s">
        <v>107</v>
      </c>
      <c r="AG569" s="734" t="s">
        <v>43</v>
      </c>
      <c r="AH569" s="730"/>
      <c r="AI569" s="705"/>
      <c r="AJ569" s="705"/>
      <c r="AK569" s="705"/>
      <c r="AL569" s="712"/>
      <c r="AM569" s="712"/>
      <c r="AN569" s="705"/>
      <c r="AO569" s="712"/>
      <c r="AP569" s="712">
        <f t="shared" si="308"/>
        <v>504</v>
      </c>
      <c r="AQ569" s="735"/>
      <c r="AR569" s="705"/>
      <c r="AS569" s="705"/>
      <c r="AT569" s="712"/>
      <c r="AU569" s="712">
        <f t="shared" si="309"/>
        <v>504</v>
      </c>
      <c r="AV569" s="734"/>
      <c r="AW569" s="706"/>
      <c r="AX569" s="734"/>
      <c r="AY569" s="734"/>
      <c r="AZ569" s="706"/>
      <c r="BA569" s="734"/>
      <c r="BB569" s="734"/>
      <c r="BC569" s="706"/>
      <c r="BD569" s="706"/>
      <c r="BE569" s="713"/>
      <c r="BF569" s="706"/>
      <c r="BG569" s="734"/>
      <c r="BH569" s="734"/>
      <c r="BI569" s="706"/>
      <c r="BJ569" s="706"/>
      <c r="BK569" s="713"/>
      <c r="BL569" s="713"/>
      <c r="BM569" s="713"/>
      <c r="BN569" s="713"/>
      <c r="BO569" s="713"/>
      <c r="BP569" s="706"/>
      <c r="BQ569" s="713"/>
      <c r="BR569" s="706"/>
      <c r="BS569" s="713"/>
      <c r="BT569" s="713"/>
      <c r="BU569" s="713"/>
      <c r="BV569" s="713"/>
      <c r="BW569" s="728" t="s">
        <v>109</v>
      </c>
      <c r="BX569" s="736"/>
      <c r="BY569" s="736">
        <f>I569</f>
        <v>504</v>
      </c>
      <c r="BZ569" s="736"/>
      <c r="CA569" s="736"/>
      <c r="CB569" s="737"/>
      <c r="CC569" s="737"/>
      <c r="CD569" s="737">
        <f t="shared" si="306"/>
        <v>504</v>
      </c>
      <c r="CE569" s="737">
        <f t="shared" si="307"/>
        <v>0</v>
      </c>
    </row>
    <row r="570" s="558" customFormat="1" ht="40" customHeight="1" spans="1:83">
      <c r="A570" s="717">
        <v>45988</v>
      </c>
      <c r="B570" s="718" t="s">
        <v>379</v>
      </c>
      <c r="C570" s="719" t="s">
        <v>169</v>
      </c>
      <c r="D570" s="720">
        <v>4500187205</v>
      </c>
      <c r="E570" s="721" t="s">
        <v>2621</v>
      </c>
      <c r="F570" s="720" t="s">
        <v>2622</v>
      </c>
      <c r="G570" s="722" t="s">
        <v>2611</v>
      </c>
      <c r="H570" s="722" t="s">
        <v>2612</v>
      </c>
      <c r="I570" s="723">
        <v>504</v>
      </c>
      <c r="J570" s="723">
        <v>0</v>
      </c>
      <c r="K570" s="724">
        <v>24</v>
      </c>
      <c r="L570" s="724">
        <f t="shared" si="305"/>
        <v>21</v>
      </c>
      <c r="M570" s="725">
        <v>46041</v>
      </c>
      <c r="N570" s="725">
        <v>46037</v>
      </c>
      <c r="O570" s="725" t="s">
        <v>2352</v>
      </c>
      <c r="P570" s="726" t="s">
        <v>100</v>
      </c>
      <c r="Q570" s="727" t="s">
        <v>2613</v>
      </c>
      <c r="R570" s="726" t="s">
        <v>2614</v>
      </c>
      <c r="S570" s="725"/>
      <c r="T570" s="725"/>
      <c r="U570" s="726" t="s">
        <v>2619</v>
      </c>
      <c r="V570" s="726" t="s">
        <v>2616</v>
      </c>
      <c r="W570" s="728"/>
      <c r="X570" s="729" t="s">
        <v>2623</v>
      </c>
      <c r="Y570" s="730" t="s">
        <v>175</v>
      </c>
      <c r="Z570" s="731">
        <v>2.6493</v>
      </c>
      <c r="AA570" s="732">
        <f t="shared" si="304"/>
        <v>1335.2472</v>
      </c>
      <c r="AB570" s="712">
        <v>504</v>
      </c>
      <c r="AC570" s="712">
        <f t="shared" si="300"/>
        <v>0</v>
      </c>
      <c r="AD570" s="732" t="s">
        <v>106</v>
      </c>
      <c r="AE570" s="722" t="s">
        <v>2611</v>
      </c>
      <c r="AF570" s="730" t="s">
        <v>107</v>
      </c>
      <c r="AG570" s="734" t="s">
        <v>43</v>
      </c>
      <c r="AH570" s="730"/>
      <c r="AI570" s="705"/>
      <c r="AJ570" s="705"/>
      <c r="AK570" s="705"/>
      <c r="AL570" s="712"/>
      <c r="AM570" s="712"/>
      <c r="AN570" s="705"/>
      <c r="AO570" s="712"/>
      <c r="AP570" s="712">
        <f t="shared" si="308"/>
        <v>504</v>
      </c>
      <c r="AQ570" s="735"/>
      <c r="AR570" s="705"/>
      <c r="AS570" s="705"/>
      <c r="AT570" s="712"/>
      <c r="AU570" s="712">
        <f t="shared" si="309"/>
        <v>504</v>
      </c>
      <c r="AV570" s="734"/>
      <c r="AW570" s="706"/>
      <c r="AX570" s="734"/>
      <c r="AY570" s="734"/>
      <c r="AZ570" s="706"/>
      <c r="BA570" s="734"/>
      <c r="BB570" s="734"/>
      <c r="BC570" s="706"/>
      <c r="BD570" s="706"/>
      <c r="BE570" s="713"/>
      <c r="BF570" s="706"/>
      <c r="BG570" s="734"/>
      <c r="BH570" s="734"/>
      <c r="BI570" s="706"/>
      <c r="BJ570" s="706"/>
      <c r="BK570" s="713"/>
      <c r="BL570" s="713"/>
      <c r="BM570" s="713"/>
      <c r="BN570" s="713"/>
      <c r="BO570" s="713"/>
      <c r="BP570" s="706"/>
      <c r="BQ570" s="713"/>
      <c r="BR570" s="706"/>
      <c r="BS570" s="713"/>
      <c r="BT570" s="713"/>
      <c r="BU570" s="713"/>
      <c r="BV570" s="713"/>
      <c r="BW570" s="728" t="s">
        <v>109</v>
      </c>
      <c r="BX570" s="736"/>
      <c r="BY570" s="736"/>
      <c r="BZ570" s="736">
        <f>I570</f>
        <v>504</v>
      </c>
      <c r="CA570" s="736"/>
      <c r="CB570" s="737"/>
      <c r="CC570" s="737"/>
      <c r="CD570" s="737">
        <f t="shared" si="306"/>
        <v>504</v>
      </c>
      <c r="CE570" s="737">
        <f t="shared" si="307"/>
        <v>0</v>
      </c>
    </row>
    <row r="571" s="558" customFormat="1" ht="40" customHeight="1" spans="1:83">
      <c r="A571" s="717">
        <v>45988</v>
      </c>
      <c r="B571" s="718" t="s">
        <v>379</v>
      </c>
      <c r="C571" s="719" t="s">
        <v>144</v>
      </c>
      <c r="D571" s="720">
        <v>4500187205</v>
      </c>
      <c r="E571" s="721" t="s">
        <v>2624</v>
      </c>
      <c r="F571" s="720" t="s">
        <v>2625</v>
      </c>
      <c r="G571" s="722" t="s">
        <v>1968</v>
      </c>
      <c r="H571" s="722" t="s">
        <v>1969</v>
      </c>
      <c r="I571" s="723">
        <v>504</v>
      </c>
      <c r="J571" s="723">
        <v>0</v>
      </c>
      <c r="K571" s="724">
        <v>24</v>
      </c>
      <c r="L571" s="724">
        <f t="shared" si="305"/>
        <v>21</v>
      </c>
      <c r="M571" s="725">
        <v>46041</v>
      </c>
      <c r="N571" s="725">
        <v>46037</v>
      </c>
      <c r="O571" s="725" t="s">
        <v>2352</v>
      </c>
      <c r="P571" s="726" t="s">
        <v>100</v>
      </c>
      <c r="Q571" s="727" t="s">
        <v>2626</v>
      </c>
      <c r="R571" s="726" t="s">
        <v>2614</v>
      </c>
      <c r="S571" s="725"/>
      <c r="T571" s="725"/>
      <c r="U571" s="726" t="s">
        <v>2619</v>
      </c>
      <c r="V571" s="726" t="s">
        <v>2616</v>
      </c>
      <c r="W571" s="728"/>
      <c r="X571" s="729" t="s">
        <v>2627</v>
      </c>
      <c r="Y571" s="730" t="s">
        <v>175</v>
      </c>
      <c r="Z571" s="731">
        <v>2.6493</v>
      </c>
      <c r="AA571" s="732">
        <f t="shared" si="304"/>
        <v>1335.2472</v>
      </c>
      <c r="AB571" s="712">
        <v>504</v>
      </c>
      <c r="AC571" s="712">
        <f t="shared" si="300"/>
        <v>0</v>
      </c>
      <c r="AD571" s="732" t="s">
        <v>106</v>
      </c>
      <c r="AE571" s="722" t="s">
        <v>1968</v>
      </c>
      <c r="AF571" s="730" t="s">
        <v>107</v>
      </c>
      <c r="AG571" s="734" t="s">
        <v>43</v>
      </c>
      <c r="AH571" s="730"/>
      <c r="AI571" s="705"/>
      <c r="AJ571" s="705"/>
      <c r="AK571" s="705"/>
      <c r="AL571" s="712"/>
      <c r="AM571" s="712"/>
      <c r="AN571" s="705"/>
      <c r="AO571" s="712"/>
      <c r="AP571" s="712">
        <f t="shared" si="308"/>
        <v>504</v>
      </c>
      <c r="AQ571" s="735"/>
      <c r="AR571" s="705"/>
      <c r="AS571" s="705"/>
      <c r="AT571" s="712"/>
      <c r="AU571" s="712">
        <f t="shared" si="309"/>
        <v>504</v>
      </c>
      <c r="AV571" s="734"/>
      <c r="AW571" s="706"/>
      <c r="AX571" s="734"/>
      <c r="AY571" s="734"/>
      <c r="AZ571" s="706"/>
      <c r="BA571" s="734"/>
      <c r="BB571" s="734"/>
      <c r="BC571" s="706"/>
      <c r="BD571" s="706"/>
      <c r="BE571" s="713"/>
      <c r="BF571" s="706"/>
      <c r="BG571" s="734"/>
      <c r="BH571" s="734"/>
      <c r="BI571" s="706"/>
      <c r="BJ571" s="706"/>
      <c r="BK571" s="713"/>
      <c r="BL571" s="713"/>
      <c r="BM571" s="713"/>
      <c r="BN571" s="713"/>
      <c r="BO571" s="713"/>
      <c r="BP571" s="706"/>
      <c r="BQ571" s="713"/>
      <c r="BR571" s="706"/>
      <c r="BS571" s="713"/>
      <c r="BT571" s="713"/>
      <c r="BU571" s="713"/>
      <c r="BV571" s="713"/>
      <c r="BW571" s="728" t="s">
        <v>109</v>
      </c>
      <c r="BX571" s="736"/>
      <c r="BY571" s="736">
        <f>I571</f>
        <v>504</v>
      </c>
      <c r="BZ571" s="736"/>
      <c r="CA571" s="736"/>
      <c r="CB571" s="737"/>
      <c r="CC571" s="737"/>
      <c r="CD571" s="737">
        <f t="shared" si="306"/>
        <v>504</v>
      </c>
      <c r="CE571" s="737">
        <f t="shared" si="307"/>
        <v>0</v>
      </c>
    </row>
    <row r="572" s="558" customFormat="1" ht="40" customHeight="1" spans="1:83">
      <c r="A572" s="717">
        <v>45988</v>
      </c>
      <c r="B572" s="718" t="s">
        <v>379</v>
      </c>
      <c r="C572" s="719" t="s">
        <v>1965</v>
      </c>
      <c r="D572" s="720">
        <v>4500187205</v>
      </c>
      <c r="E572" s="721" t="s">
        <v>2628</v>
      </c>
      <c r="F572" s="720" t="s">
        <v>2629</v>
      </c>
      <c r="G572" s="722" t="s">
        <v>2611</v>
      </c>
      <c r="H572" s="722" t="s">
        <v>2612</v>
      </c>
      <c r="I572" s="723">
        <v>504</v>
      </c>
      <c r="J572" s="723">
        <v>0</v>
      </c>
      <c r="K572" s="724">
        <v>24</v>
      </c>
      <c r="L572" s="724">
        <f t="shared" si="305"/>
        <v>21</v>
      </c>
      <c r="M572" s="725">
        <v>46041</v>
      </c>
      <c r="N572" s="725">
        <v>46037</v>
      </c>
      <c r="O572" s="725" t="s">
        <v>2352</v>
      </c>
      <c r="P572" s="726" t="s">
        <v>100</v>
      </c>
      <c r="Q572" s="727" t="s">
        <v>2630</v>
      </c>
      <c r="R572" s="726" t="s">
        <v>2614</v>
      </c>
      <c r="S572" s="725"/>
      <c r="T572" s="725"/>
      <c r="U572" s="726" t="s">
        <v>2619</v>
      </c>
      <c r="V572" s="726" t="s">
        <v>2616</v>
      </c>
      <c r="W572" s="728"/>
      <c r="X572" s="729" t="s">
        <v>2631</v>
      </c>
      <c r="Y572" s="730" t="s">
        <v>175</v>
      </c>
      <c r="Z572" s="731">
        <v>2.6493</v>
      </c>
      <c r="AA572" s="732">
        <f t="shared" si="304"/>
        <v>1335.2472</v>
      </c>
      <c r="AB572" s="712">
        <v>504</v>
      </c>
      <c r="AC572" s="712">
        <f t="shared" si="300"/>
        <v>0</v>
      </c>
      <c r="AD572" s="732" t="s">
        <v>106</v>
      </c>
      <c r="AE572" s="722" t="s">
        <v>2611</v>
      </c>
      <c r="AF572" s="730" t="s">
        <v>107</v>
      </c>
      <c r="AG572" s="734" t="s">
        <v>43</v>
      </c>
      <c r="AH572" s="730"/>
      <c r="AI572" s="705"/>
      <c r="AJ572" s="705"/>
      <c r="AK572" s="705"/>
      <c r="AL572" s="712"/>
      <c r="AM572" s="712"/>
      <c r="AN572" s="705"/>
      <c r="AO572" s="712"/>
      <c r="AP572" s="712">
        <f t="shared" si="308"/>
        <v>504</v>
      </c>
      <c r="AQ572" s="735"/>
      <c r="AR572" s="705"/>
      <c r="AS572" s="705"/>
      <c r="AT572" s="712"/>
      <c r="AU572" s="712">
        <f t="shared" si="309"/>
        <v>504</v>
      </c>
      <c r="AV572" s="734"/>
      <c r="AW572" s="706"/>
      <c r="AX572" s="734"/>
      <c r="AY572" s="734"/>
      <c r="AZ572" s="706"/>
      <c r="BA572" s="734"/>
      <c r="BB572" s="734"/>
      <c r="BC572" s="706"/>
      <c r="BD572" s="706"/>
      <c r="BE572" s="713"/>
      <c r="BF572" s="706"/>
      <c r="BG572" s="734"/>
      <c r="BH572" s="734"/>
      <c r="BI572" s="706"/>
      <c r="BJ572" s="706"/>
      <c r="BK572" s="713"/>
      <c r="BL572" s="713"/>
      <c r="BM572" s="713"/>
      <c r="BN572" s="713"/>
      <c r="BO572" s="713"/>
      <c r="BP572" s="706"/>
      <c r="BQ572" s="713"/>
      <c r="BR572" s="706"/>
      <c r="BS572" s="713"/>
      <c r="BT572" s="713"/>
      <c r="BU572" s="713"/>
      <c r="BV572" s="713"/>
      <c r="BW572" s="728" t="s">
        <v>109</v>
      </c>
      <c r="BX572" s="736"/>
      <c r="BY572" s="736"/>
      <c r="BZ572" s="736">
        <f>I572</f>
        <v>504</v>
      </c>
      <c r="CA572" s="736"/>
      <c r="CB572" s="737"/>
      <c r="CC572" s="737"/>
      <c r="CD572" s="737">
        <f t="shared" si="306"/>
        <v>504</v>
      </c>
      <c r="CE572" s="737">
        <f t="shared" si="307"/>
        <v>0</v>
      </c>
    </row>
    <row r="573" s="558" customFormat="1" ht="40" customHeight="1" spans="1:83">
      <c r="A573" s="717">
        <v>45993</v>
      </c>
      <c r="B573" s="718" t="s">
        <v>1367</v>
      </c>
      <c r="C573" s="719" t="s">
        <v>1368</v>
      </c>
      <c r="D573" s="720">
        <v>4500187640</v>
      </c>
      <c r="E573" s="730" t="s">
        <v>2632</v>
      </c>
      <c r="F573" s="720" t="s">
        <v>2633</v>
      </c>
      <c r="G573" s="722" t="s">
        <v>111</v>
      </c>
      <c r="H573" s="722" t="s">
        <v>99</v>
      </c>
      <c r="I573" s="723">
        <v>1518</v>
      </c>
      <c r="J573" s="723">
        <v>0</v>
      </c>
      <c r="K573" s="724">
        <v>22</v>
      </c>
      <c r="L573" s="724">
        <f t="shared" ref="L565:L588" si="310">I573/K573</f>
        <v>69</v>
      </c>
      <c r="M573" s="725">
        <v>46042</v>
      </c>
      <c r="N573" s="725">
        <v>46038</v>
      </c>
      <c r="O573" s="725"/>
      <c r="P573" s="726" t="s">
        <v>100</v>
      </c>
      <c r="Q573" s="727" t="s">
        <v>2585</v>
      </c>
      <c r="R573" s="726" t="s">
        <v>2581</v>
      </c>
      <c r="S573" s="725"/>
      <c r="T573" s="725"/>
      <c r="U573" s="726" t="s">
        <v>2634</v>
      </c>
      <c r="V573" s="726"/>
      <c r="W573" s="728" t="s">
        <v>2635</v>
      </c>
      <c r="X573" s="729" t="s">
        <v>2636</v>
      </c>
      <c r="Y573" s="745" t="s">
        <v>281</v>
      </c>
      <c r="Z573" s="731">
        <v>2.7152</v>
      </c>
      <c r="AA573" s="732">
        <f t="shared" ref="AA567:AA588" si="311">I573*Z573</f>
        <v>4121.6736</v>
      </c>
      <c r="AB573" s="712">
        <v>1518</v>
      </c>
      <c r="AC573" s="712">
        <f t="shared" si="300"/>
        <v>0</v>
      </c>
      <c r="AD573" s="732" t="s">
        <v>106</v>
      </c>
      <c r="AE573" s="733" t="s">
        <v>230</v>
      </c>
      <c r="AF573" s="730" t="s">
        <v>107</v>
      </c>
      <c r="AG573" s="734" t="s">
        <v>43</v>
      </c>
      <c r="AH573" s="730"/>
      <c r="AI573" s="696"/>
      <c r="AJ573" s="696"/>
      <c r="AK573" s="696"/>
      <c r="AL573" s="712"/>
      <c r="AM573" s="712"/>
      <c r="AN573" s="696"/>
      <c r="AO573" s="651"/>
      <c r="AP573" s="712">
        <f t="shared" si="308"/>
        <v>1518</v>
      </c>
      <c r="AQ573" s="735"/>
      <c r="AR573" s="696"/>
      <c r="AS573" s="696"/>
      <c r="AT573" s="712"/>
      <c r="AU573" s="712">
        <f t="shared" si="309"/>
        <v>1518</v>
      </c>
      <c r="AV573" s="713"/>
      <c r="AW573" s="697"/>
      <c r="AX573" s="734"/>
      <c r="AY573" s="734"/>
      <c r="AZ573" s="697"/>
      <c r="BA573" s="734"/>
      <c r="BB573" s="734">
        <f>I573/11</f>
        <v>138</v>
      </c>
      <c r="BC573" s="697"/>
      <c r="BD573" s="697"/>
      <c r="BE573" s="713"/>
      <c r="BF573" s="697"/>
      <c r="BG573" s="734"/>
      <c r="BH573" s="734"/>
      <c r="BI573" s="697"/>
      <c r="BJ573" s="697"/>
      <c r="BK573" s="713"/>
      <c r="BL573" s="713"/>
      <c r="BM573" s="713"/>
      <c r="BN573" s="713"/>
      <c r="BO573" s="713"/>
      <c r="BP573" s="697"/>
      <c r="BQ573" s="713"/>
      <c r="BR573" s="697"/>
      <c r="BS573" s="734"/>
      <c r="BT573" s="713"/>
      <c r="BU573" s="713"/>
      <c r="BV573" s="713"/>
      <c r="BW573" s="728" t="s">
        <v>109</v>
      </c>
      <c r="BX573" s="736">
        <f>I573/22*5</f>
        <v>345</v>
      </c>
      <c r="BY573" s="736">
        <f>I573/22*6</f>
        <v>414</v>
      </c>
      <c r="BZ573" s="736">
        <f>I573/22*6</f>
        <v>414</v>
      </c>
      <c r="CA573" s="736">
        <f>I573/22*5</f>
        <v>345</v>
      </c>
      <c r="CB573" s="737">
        <f>I573</f>
        <v>1518</v>
      </c>
      <c r="CC573" s="736">
        <f>I573/11</f>
        <v>138</v>
      </c>
      <c r="CD573" s="737">
        <f t="shared" ref="CD562:CD588" si="312">SUM(BX573:CA573)</f>
        <v>1518</v>
      </c>
      <c r="CE573" s="737">
        <f t="shared" ref="CE566:CE588" si="313">I573-CD573</f>
        <v>0</v>
      </c>
    </row>
    <row r="574" s="559" customFormat="1" ht="40" customHeight="1" spans="1:83">
      <c r="A574" s="717">
        <v>46008</v>
      </c>
      <c r="B574" s="718" t="s">
        <v>1865</v>
      </c>
      <c r="C574" s="719" t="s">
        <v>214</v>
      </c>
      <c r="D574" s="720">
        <v>4500188454</v>
      </c>
      <c r="E574" s="730" t="s">
        <v>2637</v>
      </c>
      <c r="F574" s="720" t="s">
        <v>2638</v>
      </c>
      <c r="G574" s="722" t="s">
        <v>98</v>
      </c>
      <c r="H574" s="722" t="s">
        <v>99</v>
      </c>
      <c r="I574" s="723">
        <v>3000</v>
      </c>
      <c r="J574" s="723">
        <v>0</v>
      </c>
      <c r="K574" s="724">
        <v>24</v>
      </c>
      <c r="L574" s="724">
        <f t="shared" si="310"/>
        <v>125</v>
      </c>
      <c r="M574" s="725">
        <v>46045</v>
      </c>
      <c r="N574" s="725">
        <v>46041</v>
      </c>
      <c r="O574" s="725"/>
      <c r="P574" s="726" t="s">
        <v>100</v>
      </c>
      <c r="Q574" s="727" t="s">
        <v>2639</v>
      </c>
      <c r="R574" s="726" t="s">
        <v>2640</v>
      </c>
      <c r="S574" s="725"/>
      <c r="T574" s="725"/>
      <c r="U574" s="726" t="s">
        <v>2641</v>
      </c>
      <c r="V574" s="726"/>
      <c r="W574" s="728"/>
      <c r="X574" s="729" t="s">
        <v>1870</v>
      </c>
      <c r="Y574" s="745" t="s">
        <v>943</v>
      </c>
      <c r="Z574" s="748">
        <v>1.4921</v>
      </c>
      <c r="AA574" s="732">
        <f t="shared" si="311"/>
        <v>4476.3</v>
      </c>
      <c r="AB574" s="712">
        <v>3000</v>
      </c>
      <c r="AC574" s="712">
        <f t="shared" si="300"/>
        <v>0</v>
      </c>
      <c r="AD574" s="732" t="s">
        <v>106</v>
      </c>
      <c r="AE574" s="722" t="s">
        <v>98</v>
      </c>
      <c r="AF574" s="730" t="s">
        <v>107</v>
      </c>
      <c r="AG574" s="734" t="s">
        <v>43</v>
      </c>
      <c r="AH574" s="730"/>
      <c r="AI574" s="696"/>
      <c r="AJ574" s="696"/>
      <c r="AK574" s="696"/>
      <c r="AL574" s="712"/>
      <c r="AM574" s="712">
        <f>I574</f>
        <v>3000</v>
      </c>
      <c r="AN574" s="696"/>
      <c r="AO574" s="651"/>
      <c r="AP574" s="712"/>
      <c r="AQ574" s="735"/>
      <c r="AR574" s="696"/>
      <c r="AS574" s="696"/>
      <c r="AT574" s="712"/>
      <c r="AU574" s="712">
        <f t="shared" si="309"/>
        <v>3000</v>
      </c>
      <c r="AV574" s="713"/>
      <c r="AW574" s="697"/>
      <c r="AX574" s="734"/>
      <c r="AY574" s="734"/>
      <c r="AZ574" s="697"/>
      <c r="BA574" s="734"/>
      <c r="BB574" s="734"/>
      <c r="BC574" s="697"/>
      <c r="BD574" s="697"/>
      <c r="BE574" s="713"/>
      <c r="BF574" s="697"/>
      <c r="BG574" s="734"/>
      <c r="BH574" s="734"/>
      <c r="BI574" s="697"/>
      <c r="BJ574" s="697"/>
      <c r="BK574" s="713"/>
      <c r="BL574" s="713"/>
      <c r="BM574" s="713"/>
      <c r="BN574" s="713"/>
      <c r="BO574" s="713"/>
      <c r="BP574" s="697"/>
      <c r="BQ574" s="713"/>
      <c r="BR574" s="697"/>
      <c r="BS574" s="734"/>
      <c r="BT574" s="713"/>
      <c r="BU574" s="713"/>
      <c r="BV574" s="713"/>
      <c r="BW574" s="728" t="s">
        <v>109</v>
      </c>
      <c r="BX574" s="736">
        <f>I574/4</f>
        <v>750</v>
      </c>
      <c r="BY574" s="736">
        <f>I574/4</f>
        <v>750</v>
      </c>
      <c r="BZ574" s="736">
        <f>I574/4</f>
        <v>750</v>
      </c>
      <c r="CA574" s="736">
        <f>I574/4</f>
        <v>750</v>
      </c>
      <c r="CB574" s="737">
        <f>I574/4</f>
        <v>750</v>
      </c>
      <c r="CC574" s="737"/>
      <c r="CD574" s="737">
        <f t="shared" si="312"/>
        <v>3000</v>
      </c>
      <c r="CE574" s="737">
        <f t="shared" si="313"/>
        <v>0</v>
      </c>
    </row>
    <row r="575" s="558" customFormat="1" ht="40" customHeight="1" spans="1:83">
      <c r="A575" s="717">
        <v>46008</v>
      </c>
      <c r="B575" s="718" t="s">
        <v>1501</v>
      </c>
      <c r="C575" s="719" t="s">
        <v>1502</v>
      </c>
      <c r="D575" s="720">
        <v>4500189190</v>
      </c>
      <c r="E575" s="730"/>
      <c r="F575" s="720" t="s">
        <v>2642</v>
      </c>
      <c r="G575" s="722" t="s">
        <v>111</v>
      </c>
      <c r="H575" s="722" t="s">
        <v>99</v>
      </c>
      <c r="I575" s="723">
        <v>1210</v>
      </c>
      <c r="J575" s="723">
        <v>0</v>
      </c>
      <c r="K575" s="724">
        <v>22</v>
      </c>
      <c r="L575" s="724">
        <f t="shared" si="310"/>
        <v>55</v>
      </c>
      <c r="M575" s="725">
        <v>46046</v>
      </c>
      <c r="N575" s="725">
        <v>46042</v>
      </c>
      <c r="O575" s="725"/>
      <c r="P575" s="726" t="s">
        <v>100</v>
      </c>
      <c r="Q575" s="727" t="s">
        <v>2643</v>
      </c>
      <c r="R575" s="726" t="s">
        <v>444</v>
      </c>
      <c r="S575" s="725"/>
      <c r="T575" s="725"/>
      <c r="U575" s="726" t="s">
        <v>2644</v>
      </c>
      <c r="V575" s="726"/>
      <c r="W575" s="728"/>
      <c r="X575" s="729" t="s">
        <v>2645</v>
      </c>
      <c r="Y575" s="745" t="s">
        <v>906</v>
      </c>
      <c r="Z575" s="731">
        <v>2.6806</v>
      </c>
      <c r="AA575" s="732">
        <f t="shared" si="311"/>
        <v>3243.526</v>
      </c>
      <c r="AB575" s="712">
        <v>1210</v>
      </c>
      <c r="AC575" s="712">
        <f t="shared" si="300"/>
        <v>0</v>
      </c>
      <c r="AD575" s="732" t="s">
        <v>106</v>
      </c>
      <c r="AE575" s="722" t="s">
        <v>111</v>
      </c>
      <c r="AF575" s="730" t="s">
        <v>107</v>
      </c>
      <c r="AG575" s="734" t="s">
        <v>43</v>
      </c>
      <c r="AH575" s="730"/>
      <c r="AI575" s="705"/>
      <c r="AJ575" s="705"/>
      <c r="AK575" s="705"/>
      <c r="AL575" s="712">
        <f>I575</f>
        <v>1210</v>
      </c>
      <c r="AM575" s="712"/>
      <c r="AN575" s="705"/>
      <c r="AO575" s="712"/>
      <c r="AP575" s="712"/>
      <c r="AQ575" s="735"/>
      <c r="AR575" s="705"/>
      <c r="AS575" s="705"/>
      <c r="AT575" s="712">
        <f>I575</f>
        <v>1210</v>
      </c>
      <c r="AU575" s="712"/>
      <c r="AV575" s="713"/>
      <c r="AW575" s="706"/>
      <c r="AX575" s="734">
        <f>I575/11</f>
        <v>110</v>
      </c>
      <c r="AY575" s="734"/>
      <c r="AZ575" s="706"/>
      <c r="BA575" s="734"/>
      <c r="BB575" s="734"/>
      <c r="BC575" s="706"/>
      <c r="BD575" s="706"/>
      <c r="BE575" s="713"/>
      <c r="BF575" s="706"/>
      <c r="BG575" s="734"/>
      <c r="BH575" s="734"/>
      <c r="BI575" s="706"/>
      <c r="BJ575" s="706"/>
      <c r="BK575" s="713"/>
      <c r="BL575" s="713"/>
      <c r="BM575" s="713"/>
      <c r="BN575" s="713"/>
      <c r="BO575" s="713"/>
      <c r="BP575" s="706"/>
      <c r="BQ575" s="713"/>
      <c r="BR575" s="706"/>
      <c r="BS575" s="734"/>
      <c r="BT575" s="713"/>
      <c r="BU575" s="713"/>
      <c r="BV575" s="713"/>
      <c r="BW575" s="728" t="s">
        <v>109</v>
      </c>
      <c r="BX575" s="736">
        <f>I575/22*5</f>
        <v>275</v>
      </c>
      <c r="BY575" s="736">
        <f>I575/22*6</f>
        <v>330</v>
      </c>
      <c r="BZ575" s="736">
        <f>I575/22*6</f>
        <v>330</v>
      </c>
      <c r="CA575" s="736">
        <f>I575/22*5</f>
        <v>275</v>
      </c>
      <c r="CB575" s="737">
        <f t="shared" ref="CB575:CB582" si="314">I575</f>
        <v>1210</v>
      </c>
      <c r="CC575" s="736">
        <f>I575/11</f>
        <v>110</v>
      </c>
      <c r="CD575" s="737">
        <f t="shared" si="312"/>
        <v>1210</v>
      </c>
      <c r="CE575" s="737">
        <f t="shared" si="313"/>
        <v>0</v>
      </c>
    </row>
    <row r="576" s="558" customFormat="1" ht="40" customHeight="1" spans="1:83">
      <c r="A576" s="717">
        <v>46015</v>
      </c>
      <c r="B576" s="718" t="s">
        <v>2646</v>
      </c>
      <c r="C576" s="719" t="s">
        <v>144</v>
      </c>
      <c r="D576" s="720">
        <v>4500189626</v>
      </c>
      <c r="E576" s="730" t="s">
        <v>2647</v>
      </c>
      <c r="F576" s="720" t="s">
        <v>2648</v>
      </c>
      <c r="G576" s="722" t="s">
        <v>111</v>
      </c>
      <c r="H576" s="722" t="s">
        <v>99</v>
      </c>
      <c r="I576" s="752">
        <v>1320</v>
      </c>
      <c r="J576" s="723">
        <v>0</v>
      </c>
      <c r="K576" s="724">
        <v>22</v>
      </c>
      <c r="L576" s="724">
        <f t="shared" si="310"/>
        <v>60</v>
      </c>
      <c r="M576" s="725">
        <v>46048</v>
      </c>
      <c r="N576" s="725">
        <v>46044</v>
      </c>
      <c r="O576" s="725"/>
      <c r="P576" s="726" t="s">
        <v>100</v>
      </c>
      <c r="Q576" s="727" t="s">
        <v>2649</v>
      </c>
      <c r="R576" s="726" t="s">
        <v>559</v>
      </c>
      <c r="S576" s="725"/>
      <c r="T576" s="725"/>
      <c r="U576" s="726" t="s">
        <v>2598</v>
      </c>
      <c r="V576" s="726" t="s">
        <v>2650</v>
      </c>
      <c r="W576" s="728"/>
      <c r="X576" s="729" t="s">
        <v>2651</v>
      </c>
      <c r="Y576" s="745" t="s">
        <v>2600</v>
      </c>
      <c r="Z576" s="731">
        <v>2.7152</v>
      </c>
      <c r="AA576" s="732">
        <f t="shared" si="311"/>
        <v>3584.064</v>
      </c>
      <c r="AB576" s="712">
        <v>1320</v>
      </c>
      <c r="AC576" s="712">
        <f t="shared" si="300"/>
        <v>0</v>
      </c>
      <c r="AD576" s="732" t="s">
        <v>106</v>
      </c>
      <c r="AE576" s="733" t="s">
        <v>230</v>
      </c>
      <c r="AF576" s="730" t="s">
        <v>107</v>
      </c>
      <c r="AG576" s="734" t="s">
        <v>43</v>
      </c>
      <c r="AH576" s="730"/>
      <c r="AI576" s="753"/>
      <c r="AJ576" s="753"/>
      <c r="AK576" s="753"/>
      <c r="AL576" s="712"/>
      <c r="AM576" s="712"/>
      <c r="AN576" s="753"/>
      <c r="AO576" s="712"/>
      <c r="AP576" s="712">
        <f>I576</f>
        <v>1320</v>
      </c>
      <c r="AQ576" s="735"/>
      <c r="AR576" s="753"/>
      <c r="AS576" s="753"/>
      <c r="AT576" s="712"/>
      <c r="AU576" s="712">
        <f>I576</f>
        <v>1320</v>
      </c>
      <c r="AV576" s="713"/>
      <c r="AW576" s="754"/>
      <c r="AX576" s="734"/>
      <c r="AY576" s="734"/>
      <c r="AZ576" s="754"/>
      <c r="BA576" s="734"/>
      <c r="BB576" s="734">
        <f>I576/11</f>
        <v>120</v>
      </c>
      <c r="BC576" s="754"/>
      <c r="BD576" s="754"/>
      <c r="BE576" s="713"/>
      <c r="BF576" s="754"/>
      <c r="BG576" s="734"/>
      <c r="BH576" s="734"/>
      <c r="BI576" s="754"/>
      <c r="BJ576" s="754"/>
      <c r="BK576" s="713"/>
      <c r="BL576" s="713"/>
      <c r="BM576" s="713"/>
      <c r="BN576" s="713"/>
      <c r="BO576" s="713"/>
      <c r="BP576" s="754"/>
      <c r="BQ576" s="713"/>
      <c r="BR576" s="754"/>
      <c r="BS576" s="734"/>
      <c r="BT576" s="713"/>
      <c r="BU576" s="713"/>
      <c r="BV576" s="713"/>
      <c r="BW576" s="728" t="s">
        <v>109</v>
      </c>
      <c r="BX576" s="736">
        <f>I576/22*5</f>
        <v>300</v>
      </c>
      <c r="BY576" s="736">
        <f>I576/22*6</f>
        <v>360</v>
      </c>
      <c r="BZ576" s="736">
        <f>I576/22*6</f>
        <v>360</v>
      </c>
      <c r="CA576" s="736">
        <f>I576/22*5</f>
        <v>300</v>
      </c>
      <c r="CB576" s="737">
        <f t="shared" si="314"/>
        <v>1320</v>
      </c>
      <c r="CC576" s="736">
        <f>I576/11</f>
        <v>120</v>
      </c>
      <c r="CD576" s="737">
        <f t="shared" si="312"/>
        <v>1320</v>
      </c>
      <c r="CE576" s="737">
        <f t="shared" si="313"/>
        <v>0</v>
      </c>
    </row>
    <row r="577" s="558" customFormat="1" ht="40" customHeight="1" spans="1:83">
      <c r="A577" s="717">
        <v>45995</v>
      </c>
      <c r="B577" s="718" t="s">
        <v>973</v>
      </c>
      <c r="C577" s="719" t="s">
        <v>214</v>
      </c>
      <c r="D577" s="720">
        <v>4500187736</v>
      </c>
      <c r="E577" s="730">
        <v>60263865</v>
      </c>
      <c r="F577" s="720" t="s">
        <v>2652</v>
      </c>
      <c r="G577" s="722" t="s">
        <v>1830</v>
      </c>
      <c r="H577" s="722" t="s">
        <v>1831</v>
      </c>
      <c r="I577" s="723">
        <v>1200</v>
      </c>
      <c r="J577" s="723">
        <v>0</v>
      </c>
      <c r="K577" s="724">
        <v>16</v>
      </c>
      <c r="L577" s="724">
        <f t="shared" si="310"/>
        <v>75</v>
      </c>
      <c r="M577" s="725">
        <v>46049</v>
      </c>
      <c r="N577" s="725">
        <v>46045</v>
      </c>
      <c r="O577" s="725"/>
      <c r="P577" s="726" t="s">
        <v>100</v>
      </c>
      <c r="Q577" s="727"/>
      <c r="R577" s="726" t="s">
        <v>2653</v>
      </c>
      <c r="S577" s="725"/>
      <c r="T577" s="725"/>
      <c r="U577" s="726" t="s">
        <v>113</v>
      </c>
      <c r="V577" s="726" t="s">
        <v>2587</v>
      </c>
      <c r="W577" s="728"/>
      <c r="X577" s="729" t="s">
        <v>2654</v>
      </c>
      <c r="Y577" s="745" t="s">
        <v>2589</v>
      </c>
      <c r="Z577" s="731">
        <v>3.123</v>
      </c>
      <c r="AA577" s="732">
        <f t="shared" si="311"/>
        <v>3747.6</v>
      </c>
      <c r="AB577" s="712">
        <v>1200</v>
      </c>
      <c r="AC577" s="712">
        <f t="shared" si="300"/>
        <v>0</v>
      </c>
      <c r="AD577" s="755" t="s">
        <v>106</v>
      </c>
      <c r="AE577" s="742" t="s">
        <v>1830</v>
      </c>
      <c r="AF577" s="730" t="s">
        <v>107</v>
      </c>
      <c r="AG577" s="734" t="s">
        <v>43</v>
      </c>
      <c r="AH577" s="730"/>
      <c r="AI577" s="705"/>
      <c r="AJ577" s="705"/>
      <c r="AK577" s="705"/>
      <c r="AL577" s="712"/>
      <c r="AM577" s="712">
        <f>I577*2</f>
        <v>2400</v>
      </c>
      <c r="AN577" s="705"/>
      <c r="AO577" s="712"/>
      <c r="AP577" s="712"/>
      <c r="AQ577" s="735"/>
      <c r="AR577" s="705"/>
      <c r="AS577" s="705"/>
      <c r="AT577" s="712"/>
      <c r="AU577" s="745">
        <f>I577*2</f>
        <v>2400</v>
      </c>
      <c r="AV577" s="713"/>
      <c r="AW577" s="706"/>
      <c r="AX577" s="734"/>
      <c r="AY577" s="734"/>
      <c r="AZ577" s="706"/>
      <c r="BA577" s="734"/>
      <c r="BB577" s="734"/>
      <c r="BC577" s="706"/>
      <c r="BD577" s="706"/>
      <c r="BE577" s="713"/>
      <c r="BF577" s="706"/>
      <c r="BG577" s="734"/>
      <c r="BH577" s="734"/>
      <c r="BI577" s="706"/>
      <c r="BJ577" s="706"/>
      <c r="BK577" s="713"/>
      <c r="BL577" s="713"/>
      <c r="BM577" s="713"/>
      <c r="BN577" s="713"/>
      <c r="BO577" s="713"/>
      <c r="BP577" s="706"/>
      <c r="BQ577" s="713"/>
      <c r="BR577" s="706"/>
      <c r="BS577" s="734"/>
      <c r="BT577" s="713"/>
      <c r="BU577" s="713"/>
      <c r="BV577" s="713"/>
      <c r="BW577" s="728" t="s">
        <v>109</v>
      </c>
      <c r="BX577" s="736">
        <f>I577/4*2</f>
        <v>600</v>
      </c>
      <c r="BY577" s="736">
        <f>I577/4*2</f>
        <v>600</v>
      </c>
      <c r="BZ577" s="736">
        <f>I577/4*2</f>
        <v>600</v>
      </c>
      <c r="CA577" s="736">
        <f>I577/4*2</f>
        <v>600</v>
      </c>
      <c r="CB577" s="737">
        <f t="shared" si="314"/>
        <v>1200</v>
      </c>
      <c r="CC577" s="736"/>
      <c r="CD577" s="737">
        <f t="shared" si="312"/>
        <v>2400</v>
      </c>
      <c r="CE577" s="737">
        <f t="shared" si="313"/>
        <v>-1200</v>
      </c>
    </row>
    <row r="578" s="558" customFormat="1" ht="40" customHeight="1" spans="1:83">
      <c r="A578" s="717">
        <v>46014</v>
      </c>
      <c r="B578" s="718" t="s">
        <v>1795</v>
      </c>
      <c r="C578" s="719" t="s">
        <v>1796</v>
      </c>
      <c r="D578" s="720">
        <v>4500188307</v>
      </c>
      <c r="E578" s="721"/>
      <c r="F578" s="720" t="s">
        <v>2655</v>
      </c>
      <c r="G578" s="722" t="s">
        <v>111</v>
      </c>
      <c r="H578" s="722" t="s">
        <v>99</v>
      </c>
      <c r="I578" s="723">
        <v>220</v>
      </c>
      <c r="J578" s="723">
        <v>0</v>
      </c>
      <c r="K578" s="724">
        <v>22</v>
      </c>
      <c r="L578" s="724">
        <f t="shared" si="310"/>
        <v>10</v>
      </c>
      <c r="M578" s="725">
        <v>46052</v>
      </c>
      <c r="N578" s="725">
        <v>46048</v>
      </c>
      <c r="O578" s="725"/>
      <c r="P578" s="726" t="s">
        <v>100</v>
      </c>
      <c r="Q578" s="727" t="s">
        <v>2639</v>
      </c>
      <c r="R578" s="726" t="s">
        <v>545</v>
      </c>
      <c r="S578" s="725"/>
      <c r="T578" s="725"/>
      <c r="U578" s="726" t="s">
        <v>113</v>
      </c>
      <c r="V578" s="726"/>
      <c r="W578" s="728"/>
      <c r="X578" s="729" t="s">
        <v>2656</v>
      </c>
      <c r="Y578" s="730" t="s">
        <v>1472</v>
      </c>
      <c r="Z578" s="731">
        <v>2.7291</v>
      </c>
      <c r="AA578" s="732">
        <f t="shared" si="311"/>
        <v>600.402</v>
      </c>
      <c r="AB578" s="712">
        <v>220</v>
      </c>
      <c r="AC578" s="712">
        <f t="shared" si="300"/>
        <v>0</v>
      </c>
      <c r="AD578" s="732" t="s">
        <v>106</v>
      </c>
      <c r="AE578" s="722" t="s">
        <v>111</v>
      </c>
      <c r="AF578" s="730" t="s">
        <v>107</v>
      </c>
      <c r="AG578" s="734" t="s">
        <v>43</v>
      </c>
      <c r="AH578" s="730"/>
      <c r="AI578" s="696"/>
      <c r="AJ578" s="696"/>
      <c r="AK578" s="696"/>
      <c r="AL578" s="712"/>
      <c r="AM578" s="712"/>
      <c r="AN578" s="696"/>
      <c r="AO578" s="651"/>
      <c r="AP578" s="712">
        <f>I578</f>
        <v>220</v>
      </c>
      <c r="AQ578" s="735"/>
      <c r="AR578" s="696"/>
      <c r="AS578" s="696"/>
      <c r="AT578" s="712"/>
      <c r="AU578" s="712">
        <f>I578</f>
        <v>220</v>
      </c>
      <c r="AV578" s="734"/>
      <c r="AW578" s="697"/>
      <c r="AX578" s="734"/>
      <c r="AY578" s="734">
        <f>I578/11</f>
        <v>20</v>
      </c>
      <c r="AZ578" s="697"/>
      <c r="BA578" s="734"/>
      <c r="BB578" s="734"/>
      <c r="BC578" s="697"/>
      <c r="BD578" s="697"/>
      <c r="BE578" s="713"/>
      <c r="BF578" s="697"/>
      <c r="BG578" s="734"/>
      <c r="BH578" s="734"/>
      <c r="BI578" s="697"/>
      <c r="BJ578" s="697"/>
      <c r="BK578" s="713"/>
      <c r="BL578" s="713"/>
      <c r="BM578" s="713"/>
      <c r="BN578" s="713"/>
      <c r="BO578" s="713"/>
      <c r="BP578" s="697"/>
      <c r="BQ578" s="713"/>
      <c r="BR578" s="697"/>
      <c r="BS578" s="713"/>
      <c r="BT578" s="713"/>
      <c r="BU578" s="713"/>
      <c r="BV578" s="713"/>
      <c r="BW578" s="728" t="s">
        <v>109</v>
      </c>
      <c r="BX578" s="736">
        <f>I578/22*5</f>
        <v>50</v>
      </c>
      <c r="BY578" s="736">
        <f>I578/22*6</f>
        <v>60</v>
      </c>
      <c r="BZ578" s="736">
        <f>I578/22*6</f>
        <v>60</v>
      </c>
      <c r="CA578" s="736">
        <f>I578/22*5</f>
        <v>50</v>
      </c>
      <c r="CB578" s="737">
        <f t="shared" si="314"/>
        <v>220</v>
      </c>
      <c r="CC578" s="736">
        <f>I578/11</f>
        <v>20</v>
      </c>
      <c r="CD578" s="737">
        <f t="shared" si="312"/>
        <v>220</v>
      </c>
      <c r="CE578" s="737">
        <f t="shared" si="313"/>
        <v>0</v>
      </c>
    </row>
    <row r="579" s="558" customFormat="1" ht="40" customHeight="1" spans="1:83">
      <c r="A579" s="717">
        <v>46021</v>
      </c>
      <c r="B579" s="718" t="s">
        <v>1795</v>
      </c>
      <c r="C579" s="719" t="s">
        <v>1796</v>
      </c>
      <c r="D579" s="720">
        <v>4500190234</v>
      </c>
      <c r="E579" s="730"/>
      <c r="F579" s="720" t="s">
        <v>2657</v>
      </c>
      <c r="G579" s="722" t="s">
        <v>111</v>
      </c>
      <c r="H579" s="722" t="s">
        <v>99</v>
      </c>
      <c r="I579" s="752">
        <v>506</v>
      </c>
      <c r="J579" s="723">
        <v>0</v>
      </c>
      <c r="K579" s="724">
        <v>22</v>
      </c>
      <c r="L579" s="724">
        <f t="shared" si="310"/>
        <v>23</v>
      </c>
      <c r="M579" s="725">
        <v>46052</v>
      </c>
      <c r="N579" s="725">
        <v>46048</v>
      </c>
      <c r="O579" s="725"/>
      <c r="P579" s="726" t="s">
        <v>100</v>
      </c>
      <c r="Q579" s="727" t="s">
        <v>2639</v>
      </c>
      <c r="R579" s="726" t="s">
        <v>545</v>
      </c>
      <c r="S579" s="725"/>
      <c r="T579" s="725"/>
      <c r="U579" s="726" t="s">
        <v>113</v>
      </c>
      <c r="V579" s="726"/>
      <c r="W579" s="728"/>
      <c r="X579" s="729" t="s">
        <v>2658</v>
      </c>
      <c r="Y579" s="745" t="s">
        <v>1472</v>
      </c>
      <c r="Z579" s="731">
        <v>2.6945</v>
      </c>
      <c r="AA579" s="732">
        <f t="shared" si="311"/>
        <v>1363.417</v>
      </c>
      <c r="AB579" s="712">
        <v>506</v>
      </c>
      <c r="AC579" s="712">
        <f t="shared" si="300"/>
        <v>0</v>
      </c>
      <c r="AD579" s="732" t="s">
        <v>106</v>
      </c>
      <c r="AE579" s="756" t="s">
        <v>230</v>
      </c>
      <c r="AF579" s="730" t="s">
        <v>107</v>
      </c>
      <c r="AG579" s="734" t="s">
        <v>43</v>
      </c>
      <c r="AH579" s="730"/>
      <c r="AI579" s="696"/>
      <c r="AJ579" s="696"/>
      <c r="AK579" s="696"/>
      <c r="AL579" s="712"/>
      <c r="AM579" s="712"/>
      <c r="AN579" s="696"/>
      <c r="AO579" s="651"/>
      <c r="AP579" s="712">
        <f>I579</f>
        <v>506</v>
      </c>
      <c r="AQ579" s="735"/>
      <c r="AR579" s="696"/>
      <c r="AS579" s="696"/>
      <c r="AT579" s="712"/>
      <c r="AU579" s="712">
        <f>I579</f>
        <v>506</v>
      </c>
      <c r="AV579" s="713"/>
      <c r="AW579" s="697"/>
      <c r="AX579" s="734"/>
      <c r="AY579" s="734"/>
      <c r="AZ579" s="697"/>
      <c r="BA579" s="734"/>
      <c r="BB579" s="734">
        <f>I579/11</f>
        <v>46</v>
      </c>
      <c r="BC579" s="697"/>
      <c r="BD579" s="697"/>
      <c r="BE579" s="713"/>
      <c r="BF579" s="697"/>
      <c r="BG579" s="734"/>
      <c r="BH579" s="734"/>
      <c r="BI579" s="697"/>
      <c r="BJ579" s="697"/>
      <c r="BK579" s="713"/>
      <c r="BL579" s="713"/>
      <c r="BM579" s="713"/>
      <c r="BN579" s="713"/>
      <c r="BO579" s="713"/>
      <c r="BP579" s="697"/>
      <c r="BQ579" s="713"/>
      <c r="BR579" s="697"/>
      <c r="BS579" s="734"/>
      <c r="BT579" s="713"/>
      <c r="BU579" s="713"/>
      <c r="BV579" s="713"/>
      <c r="BW579" s="728" t="s">
        <v>109</v>
      </c>
      <c r="BX579" s="736">
        <f>I579/22*5</f>
        <v>115</v>
      </c>
      <c r="BY579" s="736">
        <f>I579/22*6</f>
        <v>138</v>
      </c>
      <c r="BZ579" s="736">
        <f>I579/22*6</f>
        <v>138</v>
      </c>
      <c r="CA579" s="736">
        <f>I579/22*5</f>
        <v>115</v>
      </c>
      <c r="CB579" s="737">
        <f t="shared" si="314"/>
        <v>506</v>
      </c>
      <c r="CC579" s="736">
        <f>I579/11</f>
        <v>46</v>
      </c>
      <c r="CD579" s="737">
        <f t="shared" si="312"/>
        <v>506</v>
      </c>
      <c r="CE579" s="737">
        <f t="shared" si="313"/>
        <v>0</v>
      </c>
    </row>
    <row r="580" s="559" customFormat="1" ht="40" customHeight="1" spans="1:83">
      <c r="A580" s="717">
        <v>46007</v>
      </c>
      <c r="B580" s="718" t="s">
        <v>1888</v>
      </c>
      <c r="C580" s="719" t="s">
        <v>144</v>
      </c>
      <c r="D580" s="720">
        <v>4500189126</v>
      </c>
      <c r="E580" s="730">
        <v>5200008443</v>
      </c>
      <c r="F580" s="720" t="s">
        <v>2659</v>
      </c>
      <c r="G580" s="722" t="s">
        <v>774</v>
      </c>
      <c r="H580" s="722" t="s">
        <v>99</v>
      </c>
      <c r="I580" s="724">
        <f>3190+2508</f>
        <v>5698</v>
      </c>
      <c r="J580" s="723">
        <v>0</v>
      </c>
      <c r="K580" s="724">
        <v>11</v>
      </c>
      <c r="L580" s="724">
        <f t="shared" si="310"/>
        <v>518</v>
      </c>
      <c r="M580" s="725">
        <v>46051</v>
      </c>
      <c r="N580" s="725">
        <v>46048</v>
      </c>
      <c r="O580" s="725"/>
      <c r="P580" s="726" t="s">
        <v>100</v>
      </c>
      <c r="Q580" s="727" t="s">
        <v>2660</v>
      </c>
      <c r="R580" s="726" t="s">
        <v>2605</v>
      </c>
      <c r="S580" s="725"/>
      <c r="T580" s="725"/>
      <c r="U580" s="726" t="s">
        <v>2661</v>
      </c>
      <c r="V580" s="726"/>
      <c r="W580" s="728"/>
      <c r="X580" s="729" t="s">
        <v>2662</v>
      </c>
      <c r="Y580" s="745" t="s">
        <v>1725</v>
      </c>
      <c r="Z580" s="748">
        <v>2.7013</v>
      </c>
      <c r="AA580" s="732">
        <f t="shared" si="311"/>
        <v>15392.0074</v>
      </c>
      <c r="AB580" s="712">
        <v>5698</v>
      </c>
      <c r="AC580" s="712">
        <f t="shared" si="300"/>
        <v>0</v>
      </c>
      <c r="AD580" s="755" t="s">
        <v>106</v>
      </c>
      <c r="AE580" s="757" t="s">
        <v>597</v>
      </c>
      <c r="AF580" s="730" t="s">
        <v>107</v>
      </c>
      <c r="AG580" s="734" t="s">
        <v>43</v>
      </c>
      <c r="AH580" s="730"/>
      <c r="AI580" s="696"/>
      <c r="AJ580" s="696"/>
      <c r="AK580" s="696"/>
      <c r="AL580" s="712"/>
      <c r="AM580" s="712"/>
      <c r="AN580" s="696"/>
      <c r="AO580" s="651"/>
      <c r="AP580" s="712">
        <f>I580</f>
        <v>5698</v>
      </c>
      <c r="AQ580" s="735"/>
      <c r="AR580" s="696"/>
      <c r="AS580" s="696"/>
      <c r="AT580" s="712"/>
      <c r="AU580" s="712">
        <f>I580</f>
        <v>5698</v>
      </c>
      <c r="AV580" s="713"/>
      <c r="AW580" s="697"/>
      <c r="AX580" s="734"/>
      <c r="AY580" s="734"/>
      <c r="AZ580" s="697"/>
      <c r="BA580" s="734"/>
      <c r="BB580" s="734">
        <f>I580/11</f>
        <v>518</v>
      </c>
      <c r="BC580" s="697"/>
      <c r="BD580" s="697"/>
      <c r="BE580" s="713"/>
      <c r="BF580" s="697"/>
      <c r="BG580" s="734"/>
      <c r="BH580" s="734"/>
      <c r="BI580" s="697"/>
      <c r="BJ580" s="697"/>
      <c r="BK580" s="713"/>
      <c r="BL580" s="713"/>
      <c r="BM580" s="713"/>
      <c r="BN580" s="713"/>
      <c r="BO580" s="713"/>
      <c r="BP580" s="697"/>
      <c r="BQ580" s="713"/>
      <c r="BR580" s="697"/>
      <c r="BS580" s="734"/>
      <c r="BT580" s="713"/>
      <c r="BU580" s="713"/>
      <c r="BV580" s="713"/>
      <c r="BW580" s="728" t="s">
        <v>109</v>
      </c>
      <c r="BX580" s="736">
        <f>I580/22*5</f>
        <v>1295</v>
      </c>
      <c r="BY580" s="736">
        <f>I580/22*6</f>
        <v>1554</v>
      </c>
      <c r="BZ580" s="736">
        <f>I580/22*6</f>
        <v>1554</v>
      </c>
      <c r="CA580" s="736">
        <f>I580/22*5</f>
        <v>1295</v>
      </c>
      <c r="CB580" s="737">
        <f t="shared" si="314"/>
        <v>5698</v>
      </c>
      <c r="CC580" s="736">
        <f>I580/11</f>
        <v>518</v>
      </c>
      <c r="CD580" s="737">
        <f t="shared" si="312"/>
        <v>5698</v>
      </c>
      <c r="CE580" s="737">
        <f t="shared" si="313"/>
        <v>0</v>
      </c>
    </row>
    <row r="581" s="558" customFormat="1" ht="40" customHeight="1" spans="1:83">
      <c r="A581" s="717">
        <v>46010</v>
      </c>
      <c r="B581" s="718" t="s">
        <v>1182</v>
      </c>
      <c r="C581" s="719" t="s">
        <v>205</v>
      </c>
      <c r="D581" s="720">
        <v>4500189430</v>
      </c>
      <c r="E581" s="730"/>
      <c r="F581" s="720" t="s">
        <v>2663</v>
      </c>
      <c r="G581" s="722" t="s">
        <v>111</v>
      </c>
      <c r="H581" s="722" t="s">
        <v>99</v>
      </c>
      <c r="I581" s="723">
        <v>814</v>
      </c>
      <c r="J581" s="723">
        <v>0</v>
      </c>
      <c r="K581" s="724">
        <v>22</v>
      </c>
      <c r="L581" s="724">
        <f t="shared" si="310"/>
        <v>37</v>
      </c>
      <c r="M581" s="725">
        <v>46055</v>
      </c>
      <c r="N581" s="725">
        <v>46051</v>
      </c>
      <c r="O581" s="725"/>
      <c r="P581" s="726" t="s">
        <v>100</v>
      </c>
      <c r="Q581" s="727" t="s">
        <v>2664</v>
      </c>
      <c r="R581" s="726" t="s">
        <v>2665</v>
      </c>
      <c r="S581" s="725"/>
      <c r="T581" s="725"/>
      <c r="U581" s="726" t="s">
        <v>2666</v>
      </c>
      <c r="V581" s="726"/>
      <c r="W581" s="728"/>
      <c r="X581" s="729" t="s">
        <v>2667</v>
      </c>
      <c r="Y581" s="745" t="s">
        <v>972</v>
      </c>
      <c r="Z581" s="731">
        <v>2.6945</v>
      </c>
      <c r="AA581" s="732">
        <f t="shared" si="311"/>
        <v>2193.323</v>
      </c>
      <c r="AB581" s="712">
        <v>814</v>
      </c>
      <c r="AC581" s="712">
        <f t="shared" si="300"/>
        <v>0</v>
      </c>
      <c r="AD581" s="755" t="s">
        <v>106</v>
      </c>
      <c r="AE581" s="722" t="s">
        <v>111</v>
      </c>
      <c r="AF581" s="730" t="s">
        <v>107</v>
      </c>
      <c r="AG581" s="734" t="s">
        <v>43</v>
      </c>
      <c r="AH581" s="730"/>
      <c r="AI581" s="708"/>
      <c r="AJ581" s="708"/>
      <c r="AK581" s="708"/>
      <c r="AL581" s="712">
        <f>I581</f>
        <v>814</v>
      </c>
      <c r="AM581" s="712"/>
      <c r="AN581" s="708"/>
      <c r="AO581" s="712"/>
      <c r="AP581" s="712"/>
      <c r="AQ581" s="735"/>
      <c r="AR581" s="708"/>
      <c r="AS581" s="708"/>
      <c r="AT581" s="712">
        <f>I581</f>
        <v>814</v>
      </c>
      <c r="AU581" s="712"/>
      <c r="AV581" s="713"/>
      <c r="AW581" s="709"/>
      <c r="AX581" s="734">
        <f>I581/11</f>
        <v>74</v>
      </c>
      <c r="AY581" s="734"/>
      <c r="AZ581" s="709"/>
      <c r="BA581" s="734"/>
      <c r="BB581" s="734"/>
      <c r="BC581" s="709"/>
      <c r="BD581" s="709"/>
      <c r="BE581" s="713"/>
      <c r="BF581" s="709"/>
      <c r="BG581" s="734"/>
      <c r="BH581" s="734"/>
      <c r="BI581" s="709"/>
      <c r="BJ581" s="709"/>
      <c r="BK581" s="713"/>
      <c r="BL581" s="713"/>
      <c r="BM581" s="713"/>
      <c r="BN581" s="713"/>
      <c r="BO581" s="713"/>
      <c r="BP581" s="709"/>
      <c r="BQ581" s="713"/>
      <c r="BR581" s="709"/>
      <c r="BS581" s="734"/>
      <c r="BT581" s="713"/>
      <c r="BU581" s="713"/>
      <c r="BV581" s="713"/>
      <c r="BW581" s="728" t="s">
        <v>109</v>
      </c>
      <c r="BX581" s="736">
        <f>I581/22*5</f>
        <v>185</v>
      </c>
      <c r="BY581" s="736">
        <f>I581/22*6</f>
        <v>222</v>
      </c>
      <c r="BZ581" s="736">
        <f>I581/22*6</f>
        <v>222</v>
      </c>
      <c r="CA581" s="736">
        <f>I581/22*5</f>
        <v>185</v>
      </c>
      <c r="CB581" s="737">
        <f t="shared" si="314"/>
        <v>814</v>
      </c>
      <c r="CC581" s="736">
        <f>I581/11</f>
        <v>74</v>
      </c>
      <c r="CD581" s="737">
        <f t="shared" si="312"/>
        <v>814</v>
      </c>
      <c r="CE581" s="737">
        <f t="shared" si="313"/>
        <v>0</v>
      </c>
    </row>
    <row r="582" s="558" customFormat="1" ht="40" customHeight="1" spans="1:83">
      <c r="A582" s="717">
        <v>46015</v>
      </c>
      <c r="B582" s="718" t="s">
        <v>2668</v>
      </c>
      <c r="C582" s="719" t="s">
        <v>301</v>
      </c>
      <c r="D582" s="720">
        <v>4500189773</v>
      </c>
      <c r="E582" s="730" t="s">
        <v>2669</v>
      </c>
      <c r="F582" s="720" t="s">
        <v>2670</v>
      </c>
      <c r="G582" s="722" t="s">
        <v>111</v>
      </c>
      <c r="H582" s="722" t="s">
        <v>99</v>
      </c>
      <c r="I582" s="752">
        <v>3256</v>
      </c>
      <c r="J582" s="723">
        <v>0</v>
      </c>
      <c r="K582" s="724">
        <v>22</v>
      </c>
      <c r="L582" s="724">
        <f t="shared" si="310"/>
        <v>148</v>
      </c>
      <c r="M582" s="725">
        <v>46055</v>
      </c>
      <c r="N582" s="725">
        <v>46051</v>
      </c>
      <c r="O582" s="725"/>
      <c r="P582" s="726" t="s">
        <v>100</v>
      </c>
      <c r="Q582" s="727" t="s">
        <v>2671</v>
      </c>
      <c r="R582" s="726" t="s">
        <v>2672</v>
      </c>
      <c r="S582" s="725"/>
      <c r="T582" s="725"/>
      <c r="U582" s="726" t="s">
        <v>2673</v>
      </c>
      <c r="V582" s="726"/>
      <c r="W582" s="728"/>
      <c r="X582" s="729" t="s">
        <v>2674</v>
      </c>
      <c r="Y582" s="745" t="s">
        <v>281</v>
      </c>
      <c r="Z582" s="731">
        <v>2.7044</v>
      </c>
      <c r="AA582" s="732">
        <f t="shared" si="311"/>
        <v>8805.5264</v>
      </c>
      <c r="AB582" s="712">
        <f>924+2332</f>
        <v>3256</v>
      </c>
      <c r="AC582" s="712">
        <f t="shared" si="300"/>
        <v>0</v>
      </c>
      <c r="AD582" s="732" t="s">
        <v>106</v>
      </c>
      <c r="AE582" s="733" t="s">
        <v>230</v>
      </c>
      <c r="AF582" s="730" t="s">
        <v>107</v>
      </c>
      <c r="AG582" s="734" t="s">
        <v>43</v>
      </c>
      <c r="AH582" s="730"/>
      <c r="AI582" s="753"/>
      <c r="AJ582" s="753"/>
      <c r="AK582" s="753"/>
      <c r="AL582" s="712"/>
      <c r="AM582" s="712"/>
      <c r="AN582" s="753"/>
      <c r="AO582" s="712"/>
      <c r="AP582" s="712">
        <f t="shared" ref="AP582:AP587" si="315">I582</f>
        <v>3256</v>
      </c>
      <c r="AQ582" s="735"/>
      <c r="AR582" s="753"/>
      <c r="AS582" s="753"/>
      <c r="AT582" s="712"/>
      <c r="AU582" s="712">
        <f t="shared" ref="AU582:AU587" si="316">I582</f>
        <v>3256</v>
      </c>
      <c r="AV582" s="713"/>
      <c r="AW582" s="754"/>
      <c r="AX582" s="734"/>
      <c r="AY582" s="734"/>
      <c r="AZ582" s="754"/>
      <c r="BA582" s="734"/>
      <c r="BB582" s="734">
        <f>I582/11</f>
        <v>296</v>
      </c>
      <c r="BC582" s="754"/>
      <c r="BD582" s="754"/>
      <c r="BE582" s="713"/>
      <c r="BF582" s="754"/>
      <c r="BG582" s="734"/>
      <c r="BH582" s="734"/>
      <c r="BI582" s="754"/>
      <c r="BJ582" s="754"/>
      <c r="BK582" s="713"/>
      <c r="BL582" s="713"/>
      <c r="BM582" s="713"/>
      <c r="BN582" s="713"/>
      <c r="BO582" s="713"/>
      <c r="BP582" s="754"/>
      <c r="BQ582" s="713"/>
      <c r="BR582" s="754"/>
      <c r="BS582" s="734"/>
      <c r="BT582" s="713"/>
      <c r="BU582" s="713"/>
      <c r="BV582" s="713"/>
      <c r="BW582" s="728" t="s">
        <v>109</v>
      </c>
      <c r="BX582" s="736">
        <f>I582/22*5</f>
        <v>740</v>
      </c>
      <c r="BY582" s="736">
        <f>I582/22*6</f>
        <v>888</v>
      </c>
      <c r="BZ582" s="736">
        <f>I582/22*6</f>
        <v>888</v>
      </c>
      <c r="CA582" s="736">
        <f>I582/22*5</f>
        <v>740</v>
      </c>
      <c r="CB582" s="737">
        <f t="shared" si="314"/>
        <v>3256</v>
      </c>
      <c r="CC582" s="736">
        <f>I582/11</f>
        <v>296</v>
      </c>
      <c r="CD582" s="737">
        <f t="shared" si="312"/>
        <v>3256</v>
      </c>
      <c r="CE582" s="737">
        <f t="shared" si="313"/>
        <v>0</v>
      </c>
    </row>
    <row r="583" s="558" customFormat="1" ht="40" customHeight="1" spans="1:83">
      <c r="A583" s="717">
        <v>46020</v>
      </c>
      <c r="B583" s="718" t="s">
        <v>2228</v>
      </c>
      <c r="C583" s="719" t="s">
        <v>144</v>
      </c>
      <c r="D583" s="720">
        <v>4500190188</v>
      </c>
      <c r="E583" s="730" t="s">
        <v>2675</v>
      </c>
      <c r="F583" s="720" t="s">
        <v>2676</v>
      </c>
      <c r="G583" s="722" t="s">
        <v>1968</v>
      </c>
      <c r="H583" s="722" t="s">
        <v>1969</v>
      </c>
      <c r="I583" s="752">
        <v>240</v>
      </c>
      <c r="J583" s="723">
        <v>0</v>
      </c>
      <c r="K583" s="724">
        <v>24</v>
      </c>
      <c r="L583" s="724">
        <f t="shared" si="310"/>
        <v>10</v>
      </c>
      <c r="M583" s="725">
        <v>46055</v>
      </c>
      <c r="N583" s="725">
        <v>46051</v>
      </c>
      <c r="O583" s="725" t="s">
        <v>2677</v>
      </c>
      <c r="P583" s="726" t="s">
        <v>100</v>
      </c>
      <c r="Q583" s="727" t="s">
        <v>2664</v>
      </c>
      <c r="R583" s="726" t="s">
        <v>545</v>
      </c>
      <c r="S583" s="725"/>
      <c r="T583" s="725"/>
      <c r="U583" s="726" t="s">
        <v>2678</v>
      </c>
      <c r="V583" s="726"/>
      <c r="W583" s="728"/>
      <c r="X583" s="729" t="s">
        <v>2679</v>
      </c>
      <c r="Y583" s="745" t="s">
        <v>1279</v>
      </c>
      <c r="Z583" s="731">
        <v>2.6774</v>
      </c>
      <c r="AA583" s="732">
        <f t="shared" si="311"/>
        <v>642.576</v>
      </c>
      <c r="AB583" s="712">
        <v>240</v>
      </c>
      <c r="AC583" s="712">
        <f t="shared" ref="AC583:AC588" si="317">AB583-I583</f>
        <v>0</v>
      </c>
      <c r="AD583" s="732" t="s">
        <v>123</v>
      </c>
      <c r="AE583" s="722" t="s">
        <v>1968</v>
      </c>
      <c r="AF583" s="730" t="s">
        <v>107</v>
      </c>
      <c r="AG583" s="734" t="s">
        <v>43</v>
      </c>
      <c r="AH583" s="730"/>
      <c r="AI583" s="705"/>
      <c r="AJ583" s="705"/>
      <c r="AK583" s="705"/>
      <c r="AL583" s="712"/>
      <c r="AM583" s="712"/>
      <c r="AN583" s="705"/>
      <c r="AO583" s="712"/>
      <c r="AP583" s="712">
        <f t="shared" si="315"/>
        <v>240</v>
      </c>
      <c r="AQ583" s="735"/>
      <c r="AR583" s="705"/>
      <c r="AS583" s="705"/>
      <c r="AT583" s="712"/>
      <c r="AU583" s="712">
        <f t="shared" si="316"/>
        <v>240</v>
      </c>
      <c r="AV583" s="713"/>
      <c r="AW583" s="706"/>
      <c r="AX583" s="734"/>
      <c r="AY583" s="734"/>
      <c r="AZ583" s="706"/>
      <c r="BA583" s="734"/>
      <c r="BB583" s="734"/>
      <c r="BC583" s="706"/>
      <c r="BD583" s="706"/>
      <c r="BE583" s="713"/>
      <c r="BF583" s="706"/>
      <c r="BG583" s="734"/>
      <c r="BH583" s="734"/>
      <c r="BI583" s="706"/>
      <c r="BJ583" s="706"/>
      <c r="BK583" s="713"/>
      <c r="BL583" s="713"/>
      <c r="BM583" s="713"/>
      <c r="BN583" s="713"/>
      <c r="BO583" s="713"/>
      <c r="BP583" s="706"/>
      <c r="BQ583" s="713"/>
      <c r="BR583" s="706"/>
      <c r="BS583" s="734"/>
      <c r="BT583" s="713"/>
      <c r="BU583" s="713"/>
      <c r="BV583" s="713"/>
      <c r="BW583" s="728" t="s">
        <v>109</v>
      </c>
      <c r="BX583" s="736"/>
      <c r="BY583" s="736">
        <f>I583</f>
        <v>240</v>
      </c>
      <c r="BZ583" s="736"/>
      <c r="CA583" s="736"/>
      <c r="CB583" s="737"/>
      <c r="CC583" s="736"/>
      <c r="CD583" s="737">
        <f t="shared" si="312"/>
        <v>240</v>
      </c>
      <c r="CE583" s="737">
        <f t="shared" si="313"/>
        <v>0</v>
      </c>
    </row>
    <row r="584" s="558" customFormat="1" ht="40" customHeight="1" spans="1:83">
      <c r="A584" s="717">
        <v>46020</v>
      </c>
      <c r="B584" s="718" t="s">
        <v>2228</v>
      </c>
      <c r="C584" s="719" t="s">
        <v>144</v>
      </c>
      <c r="D584" s="720">
        <v>4500190188</v>
      </c>
      <c r="E584" s="730" t="s">
        <v>2675</v>
      </c>
      <c r="F584" s="720" t="s">
        <v>2680</v>
      </c>
      <c r="G584" s="722" t="s">
        <v>2611</v>
      </c>
      <c r="H584" s="722" t="s">
        <v>2612</v>
      </c>
      <c r="I584" s="752">
        <v>240</v>
      </c>
      <c r="J584" s="723">
        <v>0</v>
      </c>
      <c r="K584" s="724">
        <v>24</v>
      </c>
      <c r="L584" s="724">
        <f t="shared" si="310"/>
        <v>10</v>
      </c>
      <c r="M584" s="725">
        <v>46055</v>
      </c>
      <c r="N584" s="725">
        <v>46051</v>
      </c>
      <c r="O584" s="725" t="s">
        <v>2677</v>
      </c>
      <c r="P584" s="726" t="s">
        <v>100</v>
      </c>
      <c r="Q584" s="727" t="s">
        <v>2664</v>
      </c>
      <c r="R584" s="726" t="s">
        <v>545</v>
      </c>
      <c r="S584" s="725"/>
      <c r="T584" s="725"/>
      <c r="U584" s="726" t="s">
        <v>2678</v>
      </c>
      <c r="V584" s="726"/>
      <c r="W584" s="728"/>
      <c r="X584" s="729" t="s">
        <v>2679</v>
      </c>
      <c r="Y584" s="745" t="s">
        <v>1279</v>
      </c>
      <c r="Z584" s="731">
        <v>2.6774</v>
      </c>
      <c r="AA584" s="732">
        <f t="shared" si="311"/>
        <v>642.576</v>
      </c>
      <c r="AB584" s="712">
        <v>240</v>
      </c>
      <c r="AC584" s="712">
        <f t="shared" si="317"/>
        <v>0</v>
      </c>
      <c r="AD584" s="732" t="s">
        <v>123</v>
      </c>
      <c r="AE584" s="722" t="s">
        <v>2611</v>
      </c>
      <c r="AF584" s="730" t="s">
        <v>107</v>
      </c>
      <c r="AG584" s="734" t="s">
        <v>43</v>
      </c>
      <c r="AH584" s="730"/>
      <c r="AI584" s="705"/>
      <c r="AJ584" s="705"/>
      <c r="AK584" s="705"/>
      <c r="AL584" s="712"/>
      <c r="AM584" s="712"/>
      <c r="AN584" s="705"/>
      <c r="AO584" s="712"/>
      <c r="AP584" s="712">
        <f t="shared" si="315"/>
        <v>240</v>
      </c>
      <c r="AQ584" s="735"/>
      <c r="AR584" s="705"/>
      <c r="AS584" s="705"/>
      <c r="AT584" s="712"/>
      <c r="AU584" s="712">
        <f t="shared" si="316"/>
        <v>240</v>
      </c>
      <c r="AV584" s="713"/>
      <c r="AW584" s="706"/>
      <c r="AX584" s="734"/>
      <c r="AY584" s="734"/>
      <c r="AZ584" s="706"/>
      <c r="BA584" s="734"/>
      <c r="BB584" s="734"/>
      <c r="BC584" s="706"/>
      <c r="BD584" s="706"/>
      <c r="BE584" s="713"/>
      <c r="BF584" s="706"/>
      <c r="BG584" s="734"/>
      <c r="BH584" s="734"/>
      <c r="BI584" s="706"/>
      <c r="BJ584" s="706"/>
      <c r="BK584" s="713"/>
      <c r="BL584" s="713"/>
      <c r="BM584" s="713"/>
      <c r="BN584" s="713"/>
      <c r="BO584" s="713"/>
      <c r="BP584" s="706"/>
      <c r="BQ584" s="713"/>
      <c r="BR584" s="706"/>
      <c r="BS584" s="734"/>
      <c r="BT584" s="713"/>
      <c r="BU584" s="713"/>
      <c r="BV584" s="713"/>
      <c r="BW584" s="728" t="s">
        <v>109</v>
      </c>
      <c r="BX584" s="736"/>
      <c r="BY584" s="736"/>
      <c r="BZ584" s="736">
        <f>I584</f>
        <v>240</v>
      </c>
      <c r="CA584" s="736"/>
      <c r="CB584" s="737"/>
      <c r="CC584" s="736"/>
      <c r="CD584" s="737">
        <f t="shared" si="312"/>
        <v>240</v>
      </c>
      <c r="CE584" s="737">
        <f t="shared" si="313"/>
        <v>0</v>
      </c>
    </row>
    <row r="585" s="558" customFormat="1" ht="40" customHeight="1" spans="1:83">
      <c r="A585" s="717">
        <v>46020</v>
      </c>
      <c r="B585" s="718" t="s">
        <v>2228</v>
      </c>
      <c r="C585" s="719" t="s">
        <v>144</v>
      </c>
      <c r="D585" s="720">
        <v>4500190188</v>
      </c>
      <c r="E585" s="730" t="s">
        <v>2675</v>
      </c>
      <c r="F585" s="720" t="s">
        <v>2681</v>
      </c>
      <c r="G585" s="722" t="s">
        <v>1992</v>
      </c>
      <c r="H585" s="722" t="s">
        <v>1993</v>
      </c>
      <c r="I585" s="752">
        <v>504</v>
      </c>
      <c r="J585" s="723">
        <v>0</v>
      </c>
      <c r="K585" s="724">
        <v>24</v>
      </c>
      <c r="L585" s="724">
        <f t="shared" si="310"/>
        <v>21</v>
      </c>
      <c r="M585" s="725">
        <v>46055</v>
      </c>
      <c r="N585" s="725">
        <v>46051</v>
      </c>
      <c r="O585" s="725" t="s">
        <v>2677</v>
      </c>
      <c r="P585" s="726" t="s">
        <v>100</v>
      </c>
      <c r="Q585" s="727" t="s">
        <v>2664</v>
      </c>
      <c r="R585" s="726" t="s">
        <v>545</v>
      </c>
      <c r="S585" s="725"/>
      <c r="T585" s="725"/>
      <c r="U585" s="726" t="s">
        <v>2678</v>
      </c>
      <c r="V585" s="726"/>
      <c r="W585" s="728"/>
      <c r="X585" s="729" t="s">
        <v>2679</v>
      </c>
      <c r="Y585" s="745" t="s">
        <v>1279</v>
      </c>
      <c r="Z585" s="731">
        <v>2.6774</v>
      </c>
      <c r="AA585" s="732">
        <f t="shared" si="311"/>
        <v>1349.4096</v>
      </c>
      <c r="AB585" s="712">
        <v>504</v>
      </c>
      <c r="AC585" s="712">
        <f t="shared" si="317"/>
        <v>0</v>
      </c>
      <c r="AD585" s="732" t="s">
        <v>123</v>
      </c>
      <c r="AE585" s="722" t="s">
        <v>1992</v>
      </c>
      <c r="AF585" s="730" t="s">
        <v>107</v>
      </c>
      <c r="AG585" s="734" t="s">
        <v>43</v>
      </c>
      <c r="AH585" s="730"/>
      <c r="AI585" s="705"/>
      <c r="AJ585" s="705"/>
      <c r="AK585" s="705"/>
      <c r="AL585" s="712"/>
      <c r="AM585" s="712"/>
      <c r="AN585" s="705"/>
      <c r="AO585" s="712"/>
      <c r="AP585" s="712">
        <f t="shared" si="315"/>
        <v>504</v>
      </c>
      <c r="AQ585" s="735"/>
      <c r="AR585" s="705"/>
      <c r="AS585" s="705"/>
      <c r="AT585" s="712"/>
      <c r="AU585" s="712">
        <f t="shared" si="316"/>
        <v>504</v>
      </c>
      <c r="AV585" s="713"/>
      <c r="AW585" s="706"/>
      <c r="AX585" s="734"/>
      <c r="AY585" s="734"/>
      <c r="AZ585" s="706"/>
      <c r="BA585" s="734"/>
      <c r="BB585" s="734"/>
      <c r="BC585" s="706"/>
      <c r="BD585" s="706"/>
      <c r="BE585" s="713"/>
      <c r="BF585" s="706"/>
      <c r="BG585" s="734"/>
      <c r="BH585" s="734"/>
      <c r="BI585" s="706"/>
      <c r="BJ585" s="706"/>
      <c r="BK585" s="713"/>
      <c r="BL585" s="713"/>
      <c r="BM585" s="713"/>
      <c r="BN585" s="713"/>
      <c r="BO585" s="713"/>
      <c r="BP585" s="706"/>
      <c r="BQ585" s="713"/>
      <c r="BR585" s="706"/>
      <c r="BS585" s="734"/>
      <c r="BT585" s="713"/>
      <c r="BU585" s="713"/>
      <c r="BV585" s="713"/>
      <c r="BW585" s="728" t="s">
        <v>109</v>
      </c>
      <c r="BX585" s="736"/>
      <c r="BY585" s="736"/>
      <c r="BZ585" s="736"/>
      <c r="CA585" s="736">
        <f>I585</f>
        <v>504</v>
      </c>
      <c r="CB585" s="737"/>
      <c r="CC585" s="736"/>
      <c r="CD585" s="737">
        <f t="shared" si="312"/>
        <v>504</v>
      </c>
      <c r="CE585" s="737">
        <f t="shared" si="313"/>
        <v>0</v>
      </c>
    </row>
    <row r="586" s="558" customFormat="1" ht="40" customHeight="1" spans="1:83">
      <c r="A586" s="717">
        <v>45994</v>
      </c>
      <c r="B586" s="718" t="s">
        <v>2368</v>
      </c>
      <c r="C586" s="719" t="s">
        <v>380</v>
      </c>
      <c r="D586" s="720">
        <v>4500187897</v>
      </c>
      <c r="E586" s="730">
        <v>50762022</v>
      </c>
      <c r="F586" s="720" t="s">
        <v>2682</v>
      </c>
      <c r="G586" s="722" t="s">
        <v>2371</v>
      </c>
      <c r="H586" s="722" t="s">
        <v>99</v>
      </c>
      <c r="I586" s="723">
        <v>2400</v>
      </c>
      <c r="J586" s="723">
        <v>0</v>
      </c>
      <c r="K586" s="724">
        <v>24</v>
      </c>
      <c r="L586" s="724">
        <f t="shared" si="310"/>
        <v>100</v>
      </c>
      <c r="M586" s="725">
        <v>46057</v>
      </c>
      <c r="N586" s="725">
        <f>M586-4</f>
        <v>46053</v>
      </c>
      <c r="O586" s="725"/>
      <c r="P586" s="726" t="s">
        <v>100</v>
      </c>
      <c r="Q586" s="727" t="s">
        <v>2664</v>
      </c>
      <c r="R586" s="726" t="s">
        <v>353</v>
      </c>
      <c r="S586" s="725"/>
      <c r="T586" s="725"/>
      <c r="U586" s="726" t="s">
        <v>2683</v>
      </c>
      <c r="V586" s="726"/>
      <c r="W586" s="728"/>
      <c r="X586" s="729" t="s">
        <v>2684</v>
      </c>
      <c r="Y586" s="745" t="s">
        <v>2685</v>
      </c>
      <c r="Z586" s="731">
        <v>2.5794</v>
      </c>
      <c r="AA586" s="732">
        <f t="shared" si="311"/>
        <v>6190.56</v>
      </c>
      <c r="AB586" s="712">
        <v>2400</v>
      </c>
      <c r="AC586" s="712">
        <f t="shared" si="317"/>
        <v>0</v>
      </c>
      <c r="AD586" s="732" t="s">
        <v>106</v>
      </c>
      <c r="AE586" s="722" t="s">
        <v>2377</v>
      </c>
      <c r="AF586" s="730" t="s">
        <v>107</v>
      </c>
      <c r="AG586" s="734" t="s">
        <v>43</v>
      </c>
      <c r="AH586" s="730"/>
      <c r="AI586" s="705"/>
      <c r="AJ586" s="705"/>
      <c r="AK586" s="705"/>
      <c r="AL586" s="712"/>
      <c r="AM586" s="712"/>
      <c r="AN586" s="705"/>
      <c r="AO586" s="712"/>
      <c r="AP586" s="712">
        <f t="shared" si="315"/>
        <v>2400</v>
      </c>
      <c r="AQ586" s="735"/>
      <c r="AR586" s="705"/>
      <c r="AS586" s="705"/>
      <c r="AT586" s="712"/>
      <c r="AU586" s="730">
        <f t="shared" si="316"/>
        <v>2400</v>
      </c>
      <c r="AV586" s="713"/>
      <c r="AW586" s="706"/>
      <c r="AX586" s="734"/>
      <c r="AY586" s="734"/>
      <c r="AZ586" s="706"/>
      <c r="BA586" s="734"/>
      <c r="BB586" s="734"/>
      <c r="BC586" s="706"/>
      <c r="BD586" s="706"/>
      <c r="BE586" s="713"/>
      <c r="BF586" s="706"/>
      <c r="BG586" s="734"/>
      <c r="BH586" s="734"/>
      <c r="BI586" s="706"/>
      <c r="BJ586" s="706"/>
      <c r="BK586" s="713"/>
      <c r="BL586" s="713"/>
      <c r="BM586" s="713"/>
      <c r="BN586" s="713"/>
      <c r="BO586" s="713">
        <f>I586/3</f>
        <v>800</v>
      </c>
      <c r="BP586" s="706"/>
      <c r="BQ586" s="713"/>
      <c r="BR586" s="706"/>
      <c r="BS586" s="734"/>
      <c r="BT586" s="713"/>
      <c r="BU586" s="713"/>
      <c r="BV586" s="713"/>
      <c r="BW586" s="728" t="s">
        <v>109</v>
      </c>
      <c r="BX586" s="736">
        <f>I586/4</f>
        <v>600</v>
      </c>
      <c r="BY586" s="736">
        <f>I586/4</f>
        <v>600</v>
      </c>
      <c r="BZ586" s="736">
        <f>I586/4</f>
        <v>600</v>
      </c>
      <c r="CA586" s="736">
        <f>I586/4</f>
        <v>600</v>
      </c>
      <c r="CB586" s="737">
        <f>I586</f>
        <v>2400</v>
      </c>
      <c r="CC586" s="736"/>
      <c r="CD586" s="737">
        <f t="shared" si="312"/>
        <v>2400</v>
      </c>
      <c r="CE586" s="737">
        <f t="shared" si="313"/>
        <v>0</v>
      </c>
    </row>
    <row r="587" s="558" customFormat="1" ht="40" customHeight="1" spans="1:83">
      <c r="A587" s="717">
        <v>45994</v>
      </c>
      <c r="B587" s="718" t="s">
        <v>2379</v>
      </c>
      <c r="C587" s="719" t="s">
        <v>144</v>
      </c>
      <c r="D587" s="720">
        <v>4500187795</v>
      </c>
      <c r="E587" s="730">
        <v>55762252</v>
      </c>
      <c r="F587" s="720" t="s">
        <v>2686</v>
      </c>
      <c r="G587" s="722" t="s">
        <v>2371</v>
      </c>
      <c r="H587" s="722" t="s">
        <v>99</v>
      </c>
      <c r="I587" s="723">
        <v>1560</v>
      </c>
      <c r="J587" s="723">
        <v>0</v>
      </c>
      <c r="K587" s="724">
        <v>24</v>
      </c>
      <c r="L587" s="724">
        <f t="shared" si="310"/>
        <v>65</v>
      </c>
      <c r="M587" s="725">
        <v>46057</v>
      </c>
      <c r="N587" s="725">
        <f>M587-4</f>
        <v>46053</v>
      </c>
      <c r="O587" s="725"/>
      <c r="P587" s="726" t="s">
        <v>100</v>
      </c>
      <c r="Q587" s="727" t="s">
        <v>2660</v>
      </c>
      <c r="R587" s="726" t="s">
        <v>353</v>
      </c>
      <c r="S587" s="725"/>
      <c r="T587" s="725"/>
      <c r="U587" s="726" t="s">
        <v>2683</v>
      </c>
      <c r="V587" s="726"/>
      <c r="W587" s="728"/>
      <c r="X587" s="729" t="s">
        <v>2687</v>
      </c>
      <c r="Y587" s="745" t="s">
        <v>2685</v>
      </c>
      <c r="Z587" s="731">
        <v>2.5887</v>
      </c>
      <c r="AA587" s="732">
        <f t="shared" si="311"/>
        <v>4038.372</v>
      </c>
      <c r="AB587" s="712">
        <v>1560</v>
      </c>
      <c r="AC587" s="712">
        <f t="shared" si="317"/>
        <v>0</v>
      </c>
      <c r="AD587" s="732" t="s">
        <v>106</v>
      </c>
      <c r="AE587" s="722" t="s">
        <v>2377</v>
      </c>
      <c r="AF587" s="730" t="s">
        <v>107</v>
      </c>
      <c r="AG587" s="734" t="s">
        <v>43</v>
      </c>
      <c r="AH587" s="730"/>
      <c r="AI587" s="705"/>
      <c r="AJ587" s="705"/>
      <c r="AK587" s="705"/>
      <c r="AL587" s="712"/>
      <c r="AM587" s="712"/>
      <c r="AN587" s="705"/>
      <c r="AO587" s="712"/>
      <c r="AP587" s="712">
        <f t="shared" si="315"/>
        <v>1560</v>
      </c>
      <c r="AQ587" s="735"/>
      <c r="AR587" s="705"/>
      <c r="AS587" s="705"/>
      <c r="AT587" s="712"/>
      <c r="AU587" s="730">
        <f t="shared" si="316"/>
        <v>1560</v>
      </c>
      <c r="AV587" s="713"/>
      <c r="AW587" s="706"/>
      <c r="AX587" s="734"/>
      <c r="AY587" s="734"/>
      <c r="AZ587" s="706"/>
      <c r="BA587" s="734"/>
      <c r="BB587" s="734"/>
      <c r="BC587" s="706"/>
      <c r="BD587" s="706"/>
      <c r="BE587" s="713"/>
      <c r="BF587" s="706"/>
      <c r="BG587" s="734"/>
      <c r="BH587" s="734"/>
      <c r="BI587" s="706"/>
      <c r="BJ587" s="706"/>
      <c r="BK587" s="713"/>
      <c r="BL587" s="713"/>
      <c r="BM587" s="713"/>
      <c r="BN587" s="713"/>
      <c r="BO587" s="713">
        <f>I587/3</f>
        <v>520</v>
      </c>
      <c r="BP587" s="706"/>
      <c r="BQ587" s="713"/>
      <c r="BR587" s="706"/>
      <c r="BS587" s="734"/>
      <c r="BT587" s="713"/>
      <c r="BU587" s="713"/>
      <c r="BV587" s="713"/>
      <c r="BW587" s="728" t="s">
        <v>109</v>
      </c>
      <c r="BX587" s="736">
        <f>I587/4</f>
        <v>390</v>
      </c>
      <c r="BY587" s="736">
        <f>I587/4</f>
        <v>390</v>
      </c>
      <c r="BZ587" s="736">
        <f>I587/4</f>
        <v>390</v>
      </c>
      <c r="CA587" s="736">
        <f>I587/4</f>
        <v>390</v>
      </c>
      <c r="CB587" s="737">
        <f>I587</f>
        <v>1560</v>
      </c>
      <c r="CC587" s="736"/>
      <c r="CD587" s="737">
        <f t="shared" si="312"/>
        <v>1560</v>
      </c>
      <c r="CE587" s="737">
        <f t="shared" si="313"/>
        <v>0</v>
      </c>
    </row>
    <row r="588" s="558" customFormat="1" ht="40" customHeight="1" spans="1:83">
      <c r="A588" s="717">
        <v>46021</v>
      </c>
      <c r="B588" s="718" t="s">
        <v>599</v>
      </c>
      <c r="C588" s="719" t="s">
        <v>600</v>
      </c>
      <c r="D588" s="720">
        <v>4500190407</v>
      </c>
      <c r="E588" s="730" t="s">
        <v>2688</v>
      </c>
      <c r="F588" s="720" t="s">
        <v>2689</v>
      </c>
      <c r="G588" s="722" t="s">
        <v>241</v>
      </c>
      <c r="H588" s="722" t="s">
        <v>99</v>
      </c>
      <c r="I588" s="752">
        <v>2200</v>
      </c>
      <c r="J588" s="723">
        <v>0</v>
      </c>
      <c r="K588" s="724">
        <v>11</v>
      </c>
      <c r="L588" s="724">
        <f t="shared" si="310"/>
        <v>200</v>
      </c>
      <c r="M588" s="725">
        <v>46057</v>
      </c>
      <c r="N588" s="725">
        <f>M588-4</f>
        <v>46053</v>
      </c>
      <c r="O588" s="725" t="s">
        <v>2690</v>
      </c>
      <c r="P588" s="726" t="s">
        <v>100</v>
      </c>
      <c r="Q588" s="727" t="s">
        <v>367</v>
      </c>
      <c r="R588" s="726" t="s">
        <v>2691</v>
      </c>
      <c r="S588" s="725"/>
      <c r="T588" s="725"/>
      <c r="U588" s="726" t="s">
        <v>2692</v>
      </c>
      <c r="V588" s="726"/>
      <c r="W588" s="728"/>
      <c r="X588" s="729" t="s">
        <v>2693</v>
      </c>
      <c r="Y588" s="745" t="s">
        <v>2070</v>
      </c>
      <c r="Z588" s="731">
        <v>2.7008</v>
      </c>
      <c r="AA588" s="732">
        <f t="shared" si="311"/>
        <v>5941.76</v>
      </c>
      <c r="AB588" s="712">
        <v>2200</v>
      </c>
      <c r="AC588" s="712">
        <f t="shared" si="317"/>
        <v>0</v>
      </c>
      <c r="AD588" s="732" t="s">
        <v>106</v>
      </c>
      <c r="AE588" s="722" t="s">
        <v>608</v>
      </c>
      <c r="AF588" s="730" t="s">
        <v>107</v>
      </c>
      <c r="AG588" s="734" t="s">
        <v>43</v>
      </c>
      <c r="AH588" s="730"/>
      <c r="AI588" s="705"/>
      <c r="AJ588" s="705"/>
      <c r="AK588" s="705"/>
      <c r="AL588" s="712"/>
      <c r="AM588" s="712">
        <f>I588</f>
        <v>2200</v>
      </c>
      <c r="AN588" s="705"/>
      <c r="AO588" s="712"/>
      <c r="AP588" s="712"/>
      <c r="AQ588" s="735"/>
      <c r="AR588" s="705"/>
      <c r="AS588" s="705"/>
      <c r="AT588" s="712"/>
      <c r="AU588" s="730"/>
      <c r="AV588" s="734">
        <f>I588</f>
        <v>2200</v>
      </c>
      <c r="AW588" s="706"/>
      <c r="AX588" s="734"/>
      <c r="AY588" s="734">
        <f>I588/11</f>
        <v>200</v>
      </c>
      <c r="AZ588" s="706"/>
      <c r="BA588" s="734"/>
      <c r="BB588" s="734"/>
      <c r="BC588" s="706"/>
      <c r="BD588" s="706"/>
      <c r="BE588" s="713"/>
      <c r="BF588" s="706"/>
      <c r="BG588" s="734"/>
      <c r="BH588" s="734"/>
      <c r="BI588" s="706"/>
      <c r="BJ588" s="706"/>
      <c r="BK588" s="713"/>
      <c r="BL588" s="713"/>
      <c r="BM588" s="713"/>
      <c r="BN588" s="713"/>
      <c r="BO588" s="713"/>
      <c r="BP588" s="706"/>
      <c r="BQ588" s="713"/>
      <c r="BR588" s="706"/>
      <c r="BS588" s="734"/>
      <c r="BT588" s="713"/>
      <c r="BU588" s="713"/>
      <c r="BV588" s="713"/>
      <c r="BW588" s="728" t="s">
        <v>109</v>
      </c>
      <c r="BX588" s="736">
        <f>I588/22*5</f>
        <v>500</v>
      </c>
      <c r="BY588" s="736">
        <f>I588/22*6</f>
        <v>600</v>
      </c>
      <c r="BZ588" s="736">
        <f>I588/22*6</f>
        <v>600</v>
      </c>
      <c r="CA588" s="736">
        <f>I588/22*5</f>
        <v>500</v>
      </c>
      <c r="CB588" s="737">
        <f>I588</f>
        <v>2200</v>
      </c>
      <c r="CC588" s="736">
        <f>I588/11</f>
        <v>200</v>
      </c>
      <c r="CD588" s="737">
        <f t="shared" si="312"/>
        <v>2200</v>
      </c>
      <c r="CE588" s="737">
        <f t="shared" si="313"/>
        <v>0</v>
      </c>
    </row>
    <row r="589" s="558" customFormat="1" ht="40" customHeight="1" spans="1:83">
      <c r="A589" s="717">
        <v>46016</v>
      </c>
      <c r="B589" s="718" t="s">
        <v>1587</v>
      </c>
      <c r="C589" s="719" t="s">
        <v>178</v>
      </c>
      <c r="D589" s="720">
        <v>4500190063</v>
      </c>
      <c r="E589" s="730" t="s">
        <v>2694</v>
      </c>
      <c r="F589" s="720" t="s">
        <v>2695</v>
      </c>
      <c r="G589" s="722" t="s">
        <v>132</v>
      </c>
      <c r="H589" s="722" t="s">
        <v>99</v>
      </c>
      <c r="I589" s="752">
        <v>24</v>
      </c>
      <c r="J589" s="723">
        <v>0</v>
      </c>
      <c r="K589" s="724">
        <v>24</v>
      </c>
      <c r="L589" s="724">
        <f t="shared" ref="L589:L619" si="318">I589/K589</f>
        <v>1</v>
      </c>
      <c r="M589" s="725">
        <v>46059</v>
      </c>
      <c r="N589" s="725">
        <v>46055</v>
      </c>
      <c r="O589" s="725"/>
      <c r="P589" s="726" t="s">
        <v>100</v>
      </c>
      <c r="Q589" s="727" t="s">
        <v>2696</v>
      </c>
      <c r="R589" s="726" t="s">
        <v>559</v>
      </c>
      <c r="S589" s="725"/>
      <c r="T589" s="725"/>
      <c r="U589" s="726" t="s">
        <v>493</v>
      </c>
      <c r="V589" s="726" t="s">
        <v>2697</v>
      </c>
      <c r="W589" s="728"/>
      <c r="X589" s="729" t="s">
        <v>2698</v>
      </c>
      <c r="Y589" s="745" t="s">
        <v>734</v>
      </c>
      <c r="Z589" s="731">
        <v>2.5661</v>
      </c>
      <c r="AA589" s="732">
        <f t="shared" ref="AA589:AA605" si="319">I589*Z589</f>
        <v>61.5864</v>
      </c>
      <c r="AB589" s="712">
        <v>24</v>
      </c>
      <c r="AC589" s="712">
        <f t="shared" ref="AC589:AC612" si="320">AB589-I589</f>
        <v>0</v>
      </c>
      <c r="AD589" s="732" t="s">
        <v>106</v>
      </c>
      <c r="AE589" s="637" t="s">
        <v>193</v>
      </c>
      <c r="AF589" s="730" t="s">
        <v>107</v>
      </c>
      <c r="AG589" s="734" t="s">
        <v>43</v>
      </c>
      <c r="AH589" s="730"/>
      <c r="AI589" s="758"/>
      <c r="AJ589" s="758"/>
      <c r="AK589" s="758"/>
      <c r="AL589" s="712"/>
      <c r="AM589" s="712"/>
      <c r="AN589" s="758"/>
      <c r="AO589" s="651"/>
      <c r="AP589" s="712">
        <f>I589</f>
        <v>24</v>
      </c>
      <c r="AQ589" s="735"/>
      <c r="AR589" s="758"/>
      <c r="AS589" s="758"/>
      <c r="AT589" s="712"/>
      <c r="AU589" s="712">
        <f>I589</f>
        <v>24</v>
      </c>
      <c r="AV589" s="713"/>
      <c r="AW589" s="759"/>
      <c r="AX589" s="734"/>
      <c r="AY589" s="734"/>
      <c r="AZ589" s="759"/>
      <c r="BA589" s="734"/>
      <c r="BB589" s="734"/>
      <c r="BC589" s="759"/>
      <c r="BD589" s="759"/>
      <c r="BE589" s="713"/>
      <c r="BF589" s="759"/>
      <c r="BG589" s="734"/>
      <c r="BH589" s="734"/>
      <c r="BI589" s="759"/>
      <c r="BJ589" s="759"/>
      <c r="BK589" s="713"/>
      <c r="BL589" s="713"/>
      <c r="BM589" s="713"/>
      <c r="BN589" s="713"/>
      <c r="BO589" s="713"/>
      <c r="BP589" s="759"/>
      <c r="BQ589" s="713"/>
      <c r="BR589" s="759"/>
      <c r="BS589" s="734"/>
      <c r="BT589" s="713"/>
      <c r="BU589" s="713"/>
      <c r="BV589" s="713"/>
      <c r="BW589" s="728" t="s">
        <v>109</v>
      </c>
      <c r="BX589" s="736">
        <f>I589</f>
        <v>24</v>
      </c>
      <c r="BY589" s="736"/>
      <c r="BZ589" s="736"/>
      <c r="CA589" s="736"/>
      <c r="CB589" s="737">
        <f t="shared" ref="CB589:CB601" si="321">I589</f>
        <v>24</v>
      </c>
      <c r="CC589" s="736"/>
      <c r="CD589" s="737">
        <f t="shared" ref="CD589:CD619" si="322">SUM(BX589:CA589)</f>
        <v>24</v>
      </c>
      <c r="CE589" s="737">
        <f t="shared" ref="CE589:CE619" si="323">I589-CD589</f>
        <v>0</v>
      </c>
    </row>
    <row r="590" s="558" customFormat="1" ht="40" customHeight="1" spans="1:83">
      <c r="A590" s="717">
        <v>46016</v>
      </c>
      <c r="B590" s="718" t="s">
        <v>1587</v>
      </c>
      <c r="C590" s="719" t="s">
        <v>178</v>
      </c>
      <c r="D590" s="720">
        <v>4500190063</v>
      </c>
      <c r="E590" s="730" t="s">
        <v>2699</v>
      </c>
      <c r="F590" s="720" t="s">
        <v>2700</v>
      </c>
      <c r="G590" s="722" t="s">
        <v>159</v>
      </c>
      <c r="H590" s="722" t="s">
        <v>99</v>
      </c>
      <c r="I590" s="752">
        <v>24</v>
      </c>
      <c r="J590" s="723">
        <v>0</v>
      </c>
      <c r="K590" s="724">
        <v>24</v>
      </c>
      <c r="L590" s="724">
        <f t="shared" si="318"/>
        <v>1</v>
      </c>
      <c r="M590" s="725">
        <v>46059</v>
      </c>
      <c r="N590" s="725">
        <v>46055</v>
      </c>
      <c r="O590" s="725"/>
      <c r="P590" s="726" t="s">
        <v>100</v>
      </c>
      <c r="Q590" s="727" t="s">
        <v>2696</v>
      </c>
      <c r="R590" s="726" t="s">
        <v>559</v>
      </c>
      <c r="S590" s="725"/>
      <c r="T590" s="725"/>
      <c r="U590" s="726" t="s">
        <v>493</v>
      </c>
      <c r="V590" s="726" t="s">
        <v>2697</v>
      </c>
      <c r="W590" s="728"/>
      <c r="X590" s="729" t="s">
        <v>2698</v>
      </c>
      <c r="Y590" s="745" t="s">
        <v>734</v>
      </c>
      <c r="Z590" s="731">
        <v>2.5661</v>
      </c>
      <c r="AA590" s="732">
        <f t="shared" si="319"/>
        <v>61.5864</v>
      </c>
      <c r="AB590" s="712">
        <v>24</v>
      </c>
      <c r="AC590" s="712">
        <f t="shared" si="320"/>
        <v>0</v>
      </c>
      <c r="AD590" s="732" t="s">
        <v>106</v>
      </c>
      <c r="AE590" s="749" t="s">
        <v>166</v>
      </c>
      <c r="AF590" s="730" t="s">
        <v>107</v>
      </c>
      <c r="AG590" s="734" t="s">
        <v>43</v>
      </c>
      <c r="AH590" s="730"/>
      <c r="AI590" s="758"/>
      <c r="AJ590" s="758"/>
      <c r="AK590" s="758"/>
      <c r="AL590" s="712"/>
      <c r="AM590" s="712"/>
      <c r="AN590" s="758"/>
      <c r="AO590" s="651"/>
      <c r="AP590" s="712">
        <f t="shared" ref="AP590:AP597" si="324">I590</f>
        <v>24</v>
      </c>
      <c r="AQ590" s="735"/>
      <c r="AR590" s="758"/>
      <c r="AS590" s="758"/>
      <c r="AT590" s="712"/>
      <c r="AU590" s="712">
        <f t="shared" ref="AU590:AU597" si="325">I590</f>
        <v>24</v>
      </c>
      <c r="AV590" s="713"/>
      <c r="AW590" s="759"/>
      <c r="AX590" s="734"/>
      <c r="AY590" s="734"/>
      <c r="AZ590" s="759"/>
      <c r="BA590" s="734"/>
      <c r="BB590" s="734"/>
      <c r="BC590" s="759"/>
      <c r="BD590" s="759"/>
      <c r="BE590" s="713"/>
      <c r="BF590" s="759"/>
      <c r="BG590" s="734"/>
      <c r="BH590" s="734"/>
      <c r="BI590" s="759"/>
      <c r="BJ590" s="759"/>
      <c r="BK590" s="713"/>
      <c r="BL590" s="713"/>
      <c r="BM590" s="713"/>
      <c r="BN590" s="713"/>
      <c r="BO590" s="713"/>
      <c r="BP590" s="759"/>
      <c r="BQ590" s="713"/>
      <c r="BR590" s="759"/>
      <c r="BS590" s="734"/>
      <c r="BT590" s="713"/>
      <c r="BU590" s="713"/>
      <c r="BV590" s="713"/>
      <c r="BW590" s="728" t="s">
        <v>109</v>
      </c>
      <c r="BX590" s="736"/>
      <c r="BY590" s="736">
        <f>I590</f>
        <v>24</v>
      </c>
      <c r="BZ590" s="736"/>
      <c r="CA590" s="736"/>
      <c r="CB590" s="737">
        <f t="shared" si="321"/>
        <v>24</v>
      </c>
      <c r="CC590" s="736"/>
      <c r="CD590" s="737">
        <f t="shared" si="322"/>
        <v>24</v>
      </c>
      <c r="CE590" s="737">
        <f t="shared" si="323"/>
        <v>0</v>
      </c>
    </row>
    <row r="591" s="558" customFormat="1" ht="40" customHeight="1" spans="1:83">
      <c r="A591" s="717">
        <v>46016</v>
      </c>
      <c r="B591" s="718" t="s">
        <v>1587</v>
      </c>
      <c r="C591" s="719" t="s">
        <v>178</v>
      </c>
      <c r="D591" s="720">
        <v>4500190063</v>
      </c>
      <c r="E591" s="730" t="s">
        <v>2701</v>
      </c>
      <c r="F591" s="720" t="s">
        <v>2702</v>
      </c>
      <c r="G591" s="722" t="s">
        <v>141</v>
      </c>
      <c r="H591" s="722" t="s">
        <v>99</v>
      </c>
      <c r="I591" s="752">
        <v>24</v>
      </c>
      <c r="J591" s="723">
        <v>0</v>
      </c>
      <c r="K591" s="724">
        <v>24</v>
      </c>
      <c r="L591" s="724">
        <f t="shared" si="318"/>
        <v>1</v>
      </c>
      <c r="M591" s="725">
        <v>46059</v>
      </c>
      <c r="N591" s="725">
        <v>46055</v>
      </c>
      <c r="O591" s="725"/>
      <c r="P591" s="726" t="s">
        <v>100</v>
      </c>
      <c r="Q591" s="727" t="s">
        <v>2696</v>
      </c>
      <c r="R591" s="726" t="s">
        <v>559</v>
      </c>
      <c r="S591" s="725"/>
      <c r="T591" s="725"/>
      <c r="U591" s="726" t="s">
        <v>493</v>
      </c>
      <c r="V591" s="726" t="s">
        <v>2697</v>
      </c>
      <c r="W591" s="728"/>
      <c r="X591" s="729" t="s">
        <v>2698</v>
      </c>
      <c r="Y591" s="745" t="s">
        <v>734</v>
      </c>
      <c r="Z591" s="731">
        <v>2.5661</v>
      </c>
      <c r="AA591" s="732">
        <f t="shared" si="319"/>
        <v>61.5864</v>
      </c>
      <c r="AB591" s="712">
        <v>24</v>
      </c>
      <c r="AC591" s="712">
        <f t="shared" si="320"/>
        <v>0</v>
      </c>
      <c r="AD591" s="732" t="s">
        <v>106</v>
      </c>
      <c r="AE591" s="637" t="s">
        <v>153</v>
      </c>
      <c r="AF591" s="730" t="s">
        <v>107</v>
      </c>
      <c r="AG591" s="734" t="s">
        <v>43</v>
      </c>
      <c r="AH591" s="730"/>
      <c r="AI591" s="758"/>
      <c r="AJ591" s="758"/>
      <c r="AK591" s="758"/>
      <c r="AL591" s="712"/>
      <c r="AM591" s="712"/>
      <c r="AN591" s="758"/>
      <c r="AO591" s="651"/>
      <c r="AP591" s="712">
        <f t="shared" si="324"/>
        <v>24</v>
      </c>
      <c r="AQ591" s="735"/>
      <c r="AR591" s="758"/>
      <c r="AS591" s="758"/>
      <c r="AT591" s="712"/>
      <c r="AU591" s="712">
        <f t="shared" si="325"/>
        <v>24</v>
      </c>
      <c r="AV591" s="713"/>
      <c r="AW591" s="759"/>
      <c r="AX591" s="734"/>
      <c r="AY591" s="734"/>
      <c r="AZ591" s="759"/>
      <c r="BA591" s="734"/>
      <c r="BB591" s="734"/>
      <c r="BC591" s="759"/>
      <c r="BD591" s="759"/>
      <c r="BE591" s="713"/>
      <c r="BF591" s="759"/>
      <c r="BG591" s="734"/>
      <c r="BH591" s="734"/>
      <c r="BI591" s="759"/>
      <c r="BJ591" s="759"/>
      <c r="BK591" s="713"/>
      <c r="BL591" s="713"/>
      <c r="BM591" s="713"/>
      <c r="BN591" s="713"/>
      <c r="BO591" s="713"/>
      <c r="BP591" s="759"/>
      <c r="BQ591" s="713"/>
      <c r="BR591" s="759"/>
      <c r="BS591" s="734"/>
      <c r="BT591" s="713"/>
      <c r="BU591" s="713"/>
      <c r="BV591" s="713"/>
      <c r="BW591" s="728" t="s">
        <v>109</v>
      </c>
      <c r="BX591" s="736"/>
      <c r="BY591" s="736"/>
      <c r="BZ591" s="736">
        <f>I591</f>
        <v>24</v>
      </c>
      <c r="CA591" s="736"/>
      <c r="CB591" s="737">
        <f t="shared" si="321"/>
        <v>24</v>
      </c>
      <c r="CC591" s="736"/>
      <c r="CD591" s="737">
        <f t="shared" si="322"/>
        <v>24</v>
      </c>
      <c r="CE591" s="737">
        <f t="shared" si="323"/>
        <v>0</v>
      </c>
    </row>
    <row r="592" s="558" customFormat="1" ht="40" customHeight="1" spans="1:83">
      <c r="A592" s="717">
        <v>46016</v>
      </c>
      <c r="B592" s="718" t="s">
        <v>1587</v>
      </c>
      <c r="C592" s="719" t="s">
        <v>178</v>
      </c>
      <c r="D592" s="720">
        <v>4500190063</v>
      </c>
      <c r="E592" s="730" t="s">
        <v>2703</v>
      </c>
      <c r="F592" s="720" t="s">
        <v>2704</v>
      </c>
      <c r="G592" s="722" t="s">
        <v>141</v>
      </c>
      <c r="H592" s="722" t="s">
        <v>99</v>
      </c>
      <c r="I592" s="752">
        <v>72</v>
      </c>
      <c r="J592" s="723">
        <v>0</v>
      </c>
      <c r="K592" s="724">
        <v>24</v>
      </c>
      <c r="L592" s="724">
        <f t="shared" si="318"/>
        <v>3</v>
      </c>
      <c r="M592" s="725">
        <v>46059</v>
      </c>
      <c r="N592" s="725">
        <v>46055</v>
      </c>
      <c r="O592" s="725"/>
      <c r="P592" s="726" t="s">
        <v>100</v>
      </c>
      <c r="Q592" s="727" t="s">
        <v>2696</v>
      </c>
      <c r="R592" s="726" t="s">
        <v>559</v>
      </c>
      <c r="S592" s="725"/>
      <c r="T592" s="725"/>
      <c r="U592" s="726" t="s">
        <v>493</v>
      </c>
      <c r="V592" s="726" t="s">
        <v>2697</v>
      </c>
      <c r="W592" s="728"/>
      <c r="X592" s="729" t="s">
        <v>2698</v>
      </c>
      <c r="Y592" s="745" t="s">
        <v>734</v>
      </c>
      <c r="Z592" s="731">
        <v>2.5661</v>
      </c>
      <c r="AA592" s="732">
        <f t="shared" si="319"/>
        <v>184.7592</v>
      </c>
      <c r="AB592" s="712">
        <v>72</v>
      </c>
      <c r="AC592" s="712">
        <f t="shared" si="320"/>
        <v>0</v>
      </c>
      <c r="AD592" s="732" t="s">
        <v>106</v>
      </c>
      <c r="AE592" s="637" t="s">
        <v>153</v>
      </c>
      <c r="AF592" s="730" t="s">
        <v>107</v>
      </c>
      <c r="AG592" s="734" t="s">
        <v>43</v>
      </c>
      <c r="AH592" s="730"/>
      <c r="AI592" s="758"/>
      <c r="AJ592" s="758"/>
      <c r="AK592" s="758"/>
      <c r="AL592" s="712"/>
      <c r="AM592" s="712"/>
      <c r="AN592" s="758"/>
      <c r="AO592" s="651"/>
      <c r="AP592" s="712">
        <f t="shared" si="324"/>
        <v>72</v>
      </c>
      <c r="AQ592" s="735"/>
      <c r="AR592" s="758"/>
      <c r="AS592" s="758"/>
      <c r="AT592" s="712"/>
      <c r="AU592" s="712">
        <f t="shared" si="325"/>
        <v>72</v>
      </c>
      <c r="AV592" s="713"/>
      <c r="AW592" s="759"/>
      <c r="AX592" s="734"/>
      <c r="AY592" s="734"/>
      <c r="AZ592" s="759"/>
      <c r="BA592" s="734"/>
      <c r="BB592" s="734"/>
      <c r="BC592" s="759"/>
      <c r="BD592" s="759"/>
      <c r="BE592" s="713"/>
      <c r="BF592" s="759"/>
      <c r="BG592" s="734"/>
      <c r="BH592" s="734"/>
      <c r="BI592" s="759"/>
      <c r="BJ592" s="759"/>
      <c r="BK592" s="713"/>
      <c r="BL592" s="713"/>
      <c r="BM592" s="713"/>
      <c r="BN592" s="713"/>
      <c r="BO592" s="713"/>
      <c r="BP592" s="759"/>
      <c r="BQ592" s="713"/>
      <c r="BR592" s="759"/>
      <c r="BS592" s="734"/>
      <c r="BT592" s="713"/>
      <c r="BU592" s="713"/>
      <c r="BV592" s="713"/>
      <c r="BW592" s="728" t="s">
        <v>109</v>
      </c>
      <c r="BX592" s="736"/>
      <c r="BY592" s="736"/>
      <c r="BZ592" s="736">
        <f>I592</f>
        <v>72</v>
      </c>
      <c r="CA592" s="736"/>
      <c r="CB592" s="737">
        <f t="shared" si="321"/>
        <v>72</v>
      </c>
      <c r="CC592" s="736"/>
      <c r="CD592" s="737">
        <f t="shared" si="322"/>
        <v>72</v>
      </c>
      <c r="CE592" s="737">
        <f t="shared" si="323"/>
        <v>0</v>
      </c>
    </row>
    <row r="593" s="558" customFormat="1" ht="40" customHeight="1" spans="1:83">
      <c r="A593" s="717">
        <v>46016</v>
      </c>
      <c r="B593" s="718" t="s">
        <v>1587</v>
      </c>
      <c r="C593" s="719" t="s">
        <v>178</v>
      </c>
      <c r="D593" s="720">
        <v>4500190063</v>
      </c>
      <c r="E593" s="730" t="s">
        <v>2705</v>
      </c>
      <c r="F593" s="720" t="s">
        <v>2706</v>
      </c>
      <c r="G593" s="722" t="s">
        <v>141</v>
      </c>
      <c r="H593" s="722" t="s">
        <v>99</v>
      </c>
      <c r="I593" s="752">
        <v>24</v>
      </c>
      <c r="J593" s="723">
        <v>0</v>
      </c>
      <c r="K593" s="724">
        <v>24</v>
      </c>
      <c r="L593" s="724">
        <f t="shared" si="318"/>
        <v>1</v>
      </c>
      <c r="M593" s="725">
        <v>46059</v>
      </c>
      <c r="N593" s="725">
        <v>46055</v>
      </c>
      <c r="O593" s="725"/>
      <c r="P593" s="726" t="s">
        <v>100</v>
      </c>
      <c r="Q593" s="727" t="s">
        <v>2696</v>
      </c>
      <c r="R593" s="726" t="s">
        <v>559</v>
      </c>
      <c r="S593" s="725"/>
      <c r="T593" s="725"/>
      <c r="U593" s="726" t="s">
        <v>493</v>
      </c>
      <c r="V593" s="726" t="s">
        <v>2697</v>
      </c>
      <c r="W593" s="728"/>
      <c r="X593" s="729" t="s">
        <v>2698</v>
      </c>
      <c r="Y593" s="745" t="s">
        <v>734</v>
      </c>
      <c r="Z593" s="731">
        <v>2.5661</v>
      </c>
      <c r="AA593" s="732">
        <f t="shared" si="319"/>
        <v>61.5864</v>
      </c>
      <c r="AB593" s="712">
        <v>24</v>
      </c>
      <c r="AC593" s="712">
        <f t="shared" si="320"/>
        <v>0</v>
      </c>
      <c r="AD593" s="732" t="s">
        <v>106</v>
      </c>
      <c r="AE593" s="637" t="s">
        <v>153</v>
      </c>
      <c r="AF593" s="730" t="s">
        <v>107</v>
      </c>
      <c r="AG593" s="734" t="s">
        <v>43</v>
      </c>
      <c r="AH593" s="730"/>
      <c r="AI593" s="758"/>
      <c r="AJ593" s="758"/>
      <c r="AK593" s="758"/>
      <c r="AL593" s="712"/>
      <c r="AM593" s="712"/>
      <c r="AN593" s="758"/>
      <c r="AO593" s="651"/>
      <c r="AP593" s="712">
        <f t="shared" si="324"/>
        <v>24</v>
      </c>
      <c r="AQ593" s="735"/>
      <c r="AR593" s="758"/>
      <c r="AS593" s="758"/>
      <c r="AT593" s="712"/>
      <c r="AU593" s="712">
        <f t="shared" si="325"/>
        <v>24</v>
      </c>
      <c r="AV593" s="713"/>
      <c r="AW593" s="759"/>
      <c r="AX593" s="734"/>
      <c r="AY593" s="734"/>
      <c r="AZ593" s="759"/>
      <c r="BA593" s="734"/>
      <c r="BB593" s="734"/>
      <c r="BC593" s="759"/>
      <c r="BD593" s="759"/>
      <c r="BE593" s="713"/>
      <c r="BF593" s="759"/>
      <c r="BG593" s="734"/>
      <c r="BH593" s="734"/>
      <c r="BI593" s="759"/>
      <c r="BJ593" s="759"/>
      <c r="BK593" s="713"/>
      <c r="BL593" s="713"/>
      <c r="BM593" s="713"/>
      <c r="BN593" s="713"/>
      <c r="BO593" s="713"/>
      <c r="BP593" s="759"/>
      <c r="BQ593" s="713"/>
      <c r="BR593" s="759"/>
      <c r="BS593" s="734"/>
      <c r="BT593" s="713"/>
      <c r="BU593" s="713"/>
      <c r="BV593" s="713"/>
      <c r="BW593" s="728" t="s">
        <v>109</v>
      </c>
      <c r="BX593" s="736"/>
      <c r="BY593" s="736"/>
      <c r="BZ593" s="736">
        <f>I593</f>
        <v>24</v>
      </c>
      <c r="CA593" s="736"/>
      <c r="CB593" s="737">
        <f t="shared" si="321"/>
        <v>24</v>
      </c>
      <c r="CC593" s="736"/>
      <c r="CD593" s="737">
        <f t="shared" si="322"/>
        <v>24</v>
      </c>
      <c r="CE593" s="737">
        <f t="shared" si="323"/>
        <v>0</v>
      </c>
    </row>
    <row r="594" s="558" customFormat="1" ht="40" customHeight="1" spans="1:83">
      <c r="A594" s="717">
        <v>46016</v>
      </c>
      <c r="B594" s="718" t="s">
        <v>1587</v>
      </c>
      <c r="C594" s="719" t="s">
        <v>178</v>
      </c>
      <c r="D594" s="720">
        <v>4500190063</v>
      </c>
      <c r="E594" s="730" t="s">
        <v>2707</v>
      </c>
      <c r="F594" s="720" t="s">
        <v>2708</v>
      </c>
      <c r="G594" s="722" t="s">
        <v>141</v>
      </c>
      <c r="H594" s="722" t="s">
        <v>99</v>
      </c>
      <c r="I594" s="752">
        <v>24</v>
      </c>
      <c r="J594" s="723">
        <v>0</v>
      </c>
      <c r="K594" s="724">
        <v>24</v>
      </c>
      <c r="L594" s="724">
        <f t="shared" si="318"/>
        <v>1</v>
      </c>
      <c r="M594" s="725">
        <v>46059</v>
      </c>
      <c r="N594" s="725">
        <v>46055</v>
      </c>
      <c r="O594" s="725"/>
      <c r="P594" s="726" t="s">
        <v>100</v>
      </c>
      <c r="Q594" s="727" t="s">
        <v>2696</v>
      </c>
      <c r="R594" s="726" t="s">
        <v>559</v>
      </c>
      <c r="S594" s="725"/>
      <c r="T594" s="725"/>
      <c r="U594" s="726" t="s">
        <v>493</v>
      </c>
      <c r="V594" s="726" t="s">
        <v>2697</v>
      </c>
      <c r="W594" s="728"/>
      <c r="X594" s="729" t="s">
        <v>2698</v>
      </c>
      <c r="Y594" s="745" t="s">
        <v>734</v>
      </c>
      <c r="Z594" s="731">
        <v>2.5661</v>
      </c>
      <c r="AA594" s="732">
        <f t="shared" si="319"/>
        <v>61.5864</v>
      </c>
      <c r="AB594" s="712">
        <v>24</v>
      </c>
      <c r="AC594" s="712">
        <f t="shared" si="320"/>
        <v>0</v>
      </c>
      <c r="AD594" s="732" t="s">
        <v>106</v>
      </c>
      <c r="AE594" s="637" t="s">
        <v>153</v>
      </c>
      <c r="AF594" s="730" t="s">
        <v>107</v>
      </c>
      <c r="AG594" s="734" t="s">
        <v>43</v>
      </c>
      <c r="AH594" s="730"/>
      <c r="AI594" s="758"/>
      <c r="AJ594" s="758"/>
      <c r="AK594" s="758"/>
      <c r="AL594" s="712"/>
      <c r="AM594" s="712"/>
      <c r="AN594" s="758"/>
      <c r="AO594" s="651"/>
      <c r="AP594" s="712">
        <f t="shared" si="324"/>
        <v>24</v>
      </c>
      <c r="AQ594" s="735"/>
      <c r="AR594" s="758"/>
      <c r="AS594" s="758"/>
      <c r="AT594" s="712"/>
      <c r="AU594" s="712">
        <f t="shared" si="325"/>
        <v>24</v>
      </c>
      <c r="AV594" s="713"/>
      <c r="AW594" s="759"/>
      <c r="AX594" s="734"/>
      <c r="AY594" s="734"/>
      <c r="AZ594" s="759"/>
      <c r="BA594" s="734"/>
      <c r="BB594" s="734"/>
      <c r="BC594" s="759"/>
      <c r="BD594" s="759"/>
      <c r="BE594" s="713"/>
      <c r="BF594" s="759"/>
      <c r="BG594" s="734"/>
      <c r="BH594" s="734"/>
      <c r="BI594" s="759"/>
      <c r="BJ594" s="759"/>
      <c r="BK594" s="713"/>
      <c r="BL594" s="713"/>
      <c r="BM594" s="713"/>
      <c r="BN594" s="713"/>
      <c r="BO594" s="713"/>
      <c r="BP594" s="759"/>
      <c r="BQ594" s="713"/>
      <c r="BR594" s="759"/>
      <c r="BS594" s="734"/>
      <c r="BT594" s="713"/>
      <c r="BU594" s="713"/>
      <c r="BV594" s="713"/>
      <c r="BW594" s="728" t="s">
        <v>109</v>
      </c>
      <c r="BX594" s="736"/>
      <c r="BY594" s="736"/>
      <c r="BZ594" s="736">
        <f>I594</f>
        <v>24</v>
      </c>
      <c r="CA594" s="736"/>
      <c r="CB594" s="737">
        <f t="shared" si="321"/>
        <v>24</v>
      </c>
      <c r="CC594" s="736"/>
      <c r="CD594" s="737">
        <f t="shared" si="322"/>
        <v>24</v>
      </c>
      <c r="CE594" s="737">
        <f t="shared" si="323"/>
        <v>0</v>
      </c>
    </row>
    <row r="595" s="558" customFormat="1" ht="40" customHeight="1" spans="1:83">
      <c r="A595" s="717">
        <v>46016</v>
      </c>
      <c r="B595" s="718" t="s">
        <v>1587</v>
      </c>
      <c r="C595" s="719" t="s">
        <v>178</v>
      </c>
      <c r="D595" s="720">
        <v>4500190063</v>
      </c>
      <c r="E595" s="730" t="s">
        <v>2709</v>
      </c>
      <c r="F595" s="720" t="s">
        <v>2710</v>
      </c>
      <c r="G595" s="722" t="s">
        <v>141</v>
      </c>
      <c r="H595" s="722" t="s">
        <v>99</v>
      </c>
      <c r="I595" s="752">
        <v>24</v>
      </c>
      <c r="J595" s="723">
        <v>0</v>
      </c>
      <c r="K595" s="724">
        <v>24</v>
      </c>
      <c r="L595" s="724">
        <f t="shared" si="318"/>
        <v>1</v>
      </c>
      <c r="M595" s="725">
        <v>46059</v>
      </c>
      <c r="N595" s="725">
        <v>46055</v>
      </c>
      <c r="O595" s="725"/>
      <c r="P595" s="726" t="s">
        <v>100</v>
      </c>
      <c r="Q595" s="727" t="s">
        <v>2696</v>
      </c>
      <c r="R595" s="726" t="s">
        <v>559</v>
      </c>
      <c r="S595" s="725"/>
      <c r="T595" s="725"/>
      <c r="U595" s="726" t="s">
        <v>493</v>
      </c>
      <c r="V595" s="726" t="s">
        <v>2697</v>
      </c>
      <c r="W595" s="728"/>
      <c r="X595" s="729" t="s">
        <v>2698</v>
      </c>
      <c r="Y595" s="745" t="s">
        <v>734</v>
      </c>
      <c r="Z595" s="731">
        <v>2.5661</v>
      </c>
      <c r="AA595" s="732">
        <f t="shared" si="319"/>
        <v>61.5864</v>
      </c>
      <c r="AB595" s="712">
        <v>24</v>
      </c>
      <c r="AC595" s="712">
        <f t="shared" si="320"/>
        <v>0</v>
      </c>
      <c r="AD595" s="732" t="s">
        <v>106</v>
      </c>
      <c r="AE595" s="637" t="s">
        <v>153</v>
      </c>
      <c r="AF595" s="730" t="s">
        <v>107</v>
      </c>
      <c r="AG595" s="734" t="s">
        <v>43</v>
      </c>
      <c r="AH595" s="730"/>
      <c r="AI595" s="758"/>
      <c r="AJ595" s="758"/>
      <c r="AK595" s="758"/>
      <c r="AL595" s="712"/>
      <c r="AM595" s="712"/>
      <c r="AN595" s="758"/>
      <c r="AO595" s="651"/>
      <c r="AP595" s="712">
        <f t="shared" si="324"/>
        <v>24</v>
      </c>
      <c r="AQ595" s="735"/>
      <c r="AR595" s="758"/>
      <c r="AS595" s="758"/>
      <c r="AT595" s="712"/>
      <c r="AU595" s="712">
        <f t="shared" si="325"/>
        <v>24</v>
      </c>
      <c r="AV595" s="713"/>
      <c r="AW595" s="759"/>
      <c r="AX595" s="734"/>
      <c r="AY595" s="734"/>
      <c r="AZ595" s="759"/>
      <c r="BA595" s="734"/>
      <c r="BB595" s="734"/>
      <c r="BC595" s="759"/>
      <c r="BD595" s="759"/>
      <c r="BE595" s="713"/>
      <c r="BF595" s="759"/>
      <c r="BG595" s="734"/>
      <c r="BH595" s="734"/>
      <c r="BI595" s="759"/>
      <c r="BJ595" s="759"/>
      <c r="BK595" s="713"/>
      <c r="BL595" s="713"/>
      <c r="BM595" s="713"/>
      <c r="BN595" s="713"/>
      <c r="BO595" s="713"/>
      <c r="BP595" s="759"/>
      <c r="BQ595" s="713"/>
      <c r="BR595" s="759"/>
      <c r="BS595" s="734"/>
      <c r="BT595" s="713"/>
      <c r="BU595" s="713"/>
      <c r="BV595" s="713"/>
      <c r="BW595" s="728" t="s">
        <v>109</v>
      </c>
      <c r="BX595" s="736"/>
      <c r="BY595" s="736"/>
      <c r="BZ595" s="736">
        <f>I595</f>
        <v>24</v>
      </c>
      <c r="CA595" s="736"/>
      <c r="CB595" s="737">
        <f t="shared" si="321"/>
        <v>24</v>
      </c>
      <c r="CC595" s="736"/>
      <c r="CD595" s="737">
        <f t="shared" si="322"/>
        <v>24</v>
      </c>
      <c r="CE595" s="737">
        <f t="shared" si="323"/>
        <v>0</v>
      </c>
    </row>
    <row r="596" s="558" customFormat="1" ht="40" customHeight="1" spans="1:83">
      <c r="A596" s="717">
        <v>46016</v>
      </c>
      <c r="B596" s="718" t="s">
        <v>1587</v>
      </c>
      <c r="C596" s="719" t="s">
        <v>178</v>
      </c>
      <c r="D596" s="720">
        <v>4500190063</v>
      </c>
      <c r="E596" s="730" t="s">
        <v>2711</v>
      </c>
      <c r="F596" s="720" t="s">
        <v>2712</v>
      </c>
      <c r="G596" s="722" t="s">
        <v>189</v>
      </c>
      <c r="H596" s="722" t="s">
        <v>99</v>
      </c>
      <c r="I596" s="752">
        <v>24</v>
      </c>
      <c r="J596" s="723">
        <v>0</v>
      </c>
      <c r="K596" s="724">
        <v>24</v>
      </c>
      <c r="L596" s="724">
        <f t="shared" si="318"/>
        <v>1</v>
      </c>
      <c r="M596" s="725">
        <v>46059</v>
      </c>
      <c r="N596" s="725">
        <v>46055</v>
      </c>
      <c r="O596" s="725"/>
      <c r="P596" s="726" t="s">
        <v>100</v>
      </c>
      <c r="Q596" s="727" t="s">
        <v>2696</v>
      </c>
      <c r="R596" s="726" t="s">
        <v>559</v>
      </c>
      <c r="S596" s="725"/>
      <c r="T596" s="725"/>
      <c r="U596" s="726" t="s">
        <v>493</v>
      </c>
      <c r="V596" s="726" t="s">
        <v>2697</v>
      </c>
      <c r="W596" s="728"/>
      <c r="X596" s="729" t="s">
        <v>2698</v>
      </c>
      <c r="Y596" s="745" t="s">
        <v>734</v>
      </c>
      <c r="Z596" s="731">
        <v>2.5661</v>
      </c>
      <c r="AA596" s="732">
        <f t="shared" si="319"/>
        <v>61.5864</v>
      </c>
      <c r="AB596" s="712">
        <v>24</v>
      </c>
      <c r="AC596" s="712">
        <f t="shared" si="320"/>
        <v>0</v>
      </c>
      <c r="AD596" s="732" t="s">
        <v>106</v>
      </c>
      <c r="AE596" s="637" t="s">
        <v>190</v>
      </c>
      <c r="AF596" s="730" t="s">
        <v>107</v>
      </c>
      <c r="AG596" s="734" t="s">
        <v>43</v>
      </c>
      <c r="AH596" s="730"/>
      <c r="AI596" s="758"/>
      <c r="AJ596" s="758"/>
      <c r="AK596" s="758"/>
      <c r="AL596" s="712"/>
      <c r="AM596" s="712"/>
      <c r="AN596" s="758"/>
      <c r="AO596" s="651"/>
      <c r="AP596" s="712">
        <f t="shared" si="324"/>
        <v>24</v>
      </c>
      <c r="AQ596" s="735"/>
      <c r="AR596" s="758"/>
      <c r="AS596" s="758"/>
      <c r="AT596" s="712"/>
      <c r="AU596" s="712">
        <f t="shared" si="325"/>
        <v>24</v>
      </c>
      <c r="AV596" s="713"/>
      <c r="AW596" s="759"/>
      <c r="AX596" s="734"/>
      <c r="AY596" s="734"/>
      <c r="AZ596" s="759"/>
      <c r="BA596" s="734"/>
      <c r="BB596" s="734"/>
      <c r="BC596" s="759"/>
      <c r="BD596" s="759"/>
      <c r="BE596" s="713"/>
      <c r="BF596" s="759"/>
      <c r="BG596" s="734"/>
      <c r="BH596" s="734"/>
      <c r="BI596" s="759"/>
      <c r="BJ596" s="759"/>
      <c r="BK596" s="713"/>
      <c r="BL596" s="713"/>
      <c r="BM596" s="713"/>
      <c r="BN596" s="713"/>
      <c r="BO596" s="713"/>
      <c r="BP596" s="759"/>
      <c r="BQ596" s="713"/>
      <c r="BR596" s="759"/>
      <c r="BS596" s="734"/>
      <c r="BT596" s="713"/>
      <c r="BU596" s="713"/>
      <c r="BV596" s="713"/>
      <c r="BW596" s="728" t="s">
        <v>109</v>
      </c>
      <c r="BX596" s="736"/>
      <c r="BY596" s="736"/>
      <c r="BZ596" s="736"/>
      <c r="CA596" s="736">
        <f>I596</f>
        <v>24</v>
      </c>
      <c r="CB596" s="737">
        <f t="shared" si="321"/>
        <v>24</v>
      </c>
      <c r="CC596" s="736"/>
      <c r="CD596" s="737">
        <f t="shared" si="322"/>
        <v>24</v>
      </c>
      <c r="CE596" s="737">
        <f t="shared" si="323"/>
        <v>0</v>
      </c>
    </row>
    <row r="597" s="558" customFormat="1" ht="40" customHeight="1" spans="1:83">
      <c r="A597" s="717">
        <v>46016</v>
      </c>
      <c r="B597" s="718" t="s">
        <v>1587</v>
      </c>
      <c r="C597" s="719" t="s">
        <v>178</v>
      </c>
      <c r="D597" s="720">
        <v>4500190063</v>
      </c>
      <c r="E597" s="730" t="s">
        <v>2713</v>
      </c>
      <c r="F597" s="720" t="s">
        <v>2714</v>
      </c>
      <c r="G597" s="722" t="s">
        <v>189</v>
      </c>
      <c r="H597" s="722" t="s">
        <v>99</v>
      </c>
      <c r="I597" s="752">
        <v>24</v>
      </c>
      <c r="J597" s="723">
        <v>0</v>
      </c>
      <c r="K597" s="724">
        <v>24</v>
      </c>
      <c r="L597" s="724">
        <f t="shared" si="318"/>
        <v>1</v>
      </c>
      <c r="M597" s="725">
        <v>46059</v>
      </c>
      <c r="N597" s="725">
        <v>46055</v>
      </c>
      <c r="O597" s="725"/>
      <c r="P597" s="726" t="s">
        <v>100</v>
      </c>
      <c r="Q597" s="727" t="s">
        <v>2696</v>
      </c>
      <c r="R597" s="726" t="s">
        <v>559</v>
      </c>
      <c r="S597" s="725"/>
      <c r="T597" s="725"/>
      <c r="U597" s="726" t="s">
        <v>493</v>
      </c>
      <c r="V597" s="726" t="s">
        <v>2697</v>
      </c>
      <c r="W597" s="728"/>
      <c r="X597" s="729" t="s">
        <v>2698</v>
      </c>
      <c r="Y597" s="745" t="s">
        <v>734</v>
      </c>
      <c r="Z597" s="731">
        <v>2.5661</v>
      </c>
      <c r="AA597" s="732">
        <f t="shared" si="319"/>
        <v>61.5864</v>
      </c>
      <c r="AB597" s="712">
        <v>24</v>
      </c>
      <c r="AC597" s="712">
        <f t="shared" si="320"/>
        <v>0</v>
      </c>
      <c r="AD597" s="732" t="s">
        <v>106</v>
      </c>
      <c r="AE597" s="637" t="s">
        <v>190</v>
      </c>
      <c r="AF597" s="730" t="s">
        <v>107</v>
      </c>
      <c r="AG597" s="734" t="s">
        <v>43</v>
      </c>
      <c r="AH597" s="730"/>
      <c r="AI597" s="758"/>
      <c r="AJ597" s="758"/>
      <c r="AK597" s="758"/>
      <c r="AL597" s="712"/>
      <c r="AM597" s="712"/>
      <c r="AN597" s="758"/>
      <c r="AO597" s="651"/>
      <c r="AP597" s="712">
        <f t="shared" si="324"/>
        <v>24</v>
      </c>
      <c r="AQ597" s="735"/>
      <c r="AR597" s="758"/>
      <c r="AS597" s="758"/>
      <c r="AT597" s="712"/>
      <c r="AU597" s="712">
        <f t="shared" si="325"/>
        <v>24</v>
      </c>
      <c r="AV597" s="713"/>
      <c r="AW597" s="759"/>
      <c r="AX597" s="734"/>
      <c r="AY597" s="734"/>
      <c r="AZ597" s="759"/>
      <c r="BA597" s="734"/>
      <c r="BB597" s="734"/>
      <c r="BC597" s="759"/>
      <c r="BD597" s="759"/>
      <c r="BE597" s="713"/>
      <c r="BF597" s="759"/>
      <c r="BG597" s="734"/>
      <c r="BH597" s="734"/>
      <c r="BI597" s="759"/>
      <c r="BJ597" s="759"/>
      <c r="BK597" s="713"/>
      <c r="BL597" s="713"/>
      <c r="BM597" s="713"/>
      <c r="BN597" s="713"/>
      <c r="BO597" s="713"/>
      <c r="BP597" s="759"/>
      <c r="BQ597" s="713"/>
      <c r="BR597" s="759"/>
      <c r="BS597" s="734"/>
      <c r="BT597" s="713"/>
      <c r="BU597" s="713"/>
      <c r="BV597" s="713"/>
      <c r="BW597" s="728" t="s">
        <v>109</v>
      </c>
      <c r="BX597" s="736"/>
      <c r="BY597" s="736"/>
      <c r="BZ597" s="736"/>
      <c r="CA597" s="736">
        <f>I597</f>
        <v>24</v>
      </c>
      <c r="CB597" s="737">
        <f t="shared" si="321"/>
        <v>24</v>
      </c>
      <c r="CC597" s="736"/>
      <c r="CD597" s="737">
        <f t="shared" si="322"/>
        <v>24</v>
      </c>
      <c r="CE597" s="737">
        <f t="shared" si="323"/>
        <v>0</v>
      </c>
    </row>
    <row r="598" s="558" customFormat="1" ht="40" customHeight="1" spans="1:83">
      <c r="A598" s="717">
        <v>45985</v>
      </c>
      <c r="B598" s="718" t="s">
        <v>1884</v>
      </c>
      <c r="C598" s="719" t="s">
        <v>214</v>
      </c>
      <c r="D598" s="720">
        <v>4500186630</v>
      </c>
      <c r="E598" s="730">
        <v>70079751</v>
      </c>
      <c r="F598" s="720" t="s">
        <v>2715</v>
      </c>
      <c r="G598" s="722" t="s">
        <v>111</v>
      </c>
      <c r="H598" s="722" t="s">
        <v>99</v>
      </c>
      <c r="I598" s="723">
        <v>308</v>
      </c>
      <c r="J598" s="723">
        <v>0</v>
      </c>
      <c r="K598" s="724">
        <v>22</v>
      </c>
      <c r="L598" s="724">
        <f t="shared" si="318"/>
        <v>14</v>
      </c>
      <c r="M598" s="725">
        <v>46078</v>
      </c>
      <c r="N598" s="725">
        <v>46074</v>
      </c>
      <c r="O598" s="725"/>
      <c r="P598" s="726" t="s">
        <v>100</v>
      </c>
      <c r="Q598" s="727" t="s">
        <v>2671</v>
      </c>
      <c r="R598" s="726" t="s">
        <v>2586</v>
      </c>
      <c r="S598" s="725"/>
      <c r="T598" s="725"/>
      <c r="U598" s="726" t="s">
        <v>113</v>
      </c>
      <c r="V598" s="726" t="s">
        <v>2716</v>
      </c>
      <c r="W598" s="728"/>
      <c r="X598" s="729" t="s">
        <v>2588</v>
      </c>
      <c r="Y598" s="745" t="s">
        <v>2717</v>
      </c>
      <c r="Z598" s="731">
        <v>1.6375</v>
      </c>
      <c r="AA598" s="732">
        <f t="shared" si="319"/>
        <v>504.35</v>
      </c>
      <c r="AB598" s="712">
        <v>308</v>
      </c>
      <c r="AC598" s="712">
        <f t="shared" si="320"/>
        <v>0</v>
      </c>
      <c r="AD598" s="732" t="s">
        <v>106</v>
      </c>
      <c r="AE598" s="722" t="s">
        <v>111</v>
      </c>
      <c r="AF598" s="730" t="s">
        <v>107</v>
      </c>
      <c r="AG598" s="734" t="s">
        <v>43</v>
      </c>
      <c r="AH598" s="730"/>
      <c r="AI598" s="705"/>
      <c r="AJ598" s="705"/>
      <c r="AK598" s="705"/>
      <c r="AL598" s="712">
        <f>I598</f>
        <v>308</v>
      </c>
      <c r="AM598" s="712"/>
      <c r="AN598" s="705"/>
      <c r="AO598" s="712"/>
      <c r="AP598" s="712"/>
      <c r="AQ598" s="735"/>
      <c r="AR598" s="705"/>
      <c r="AS598" s="705"/>
      <c r="AT598" s="712">
        <f>I598</f>
        <v>308</v>
      </c>
      <c r="AU598" s="712"/>
      <c r="AV598" s="713"/>
      <c r="AW598" s="706"/>
      <c r="AX598" s="734">
        <f>I598/11</f>
        <v>28</v>
      </c>
      <c r="AY598" s="734"/>
      <c r="AZ598" s="706"/>
      <c r="BA598" s="734"/>
      <c r="BB598" s="734"/>
      <c r="BC598" s="706"/>
      <c r="BD598" s="706"/>
      <c r="BE598" s="713"/>
      <c r="BF598" s="706"/>
      <c r="BG598" s="734"/>
      <c r="BH598" s="734"/>
      <c r="BI598" s="706"/>
      <c r="BJ598" s="706"/>
      <c r="BK598" s="713"/>
      <c r="BL598" s="713"/>
      <c r="BM598" s="713"/>
      <c r="BN598" s="713"/>
      <c r="BO598" s="713"/>
      <c r="BP598" s="706"/>
      <c r="BQ598" s="713"/>
      <c r="BR598" s="706"/>
      <c r="BS598" s="734"/>
      <c r="BT598" s="713"/>
      <c r="BU598" s="713"/>
      <c r="BV598" s="713"/>
      <c r="BW598" s="728" t="s">
        <v>109</v>
      </c>
      <c r="BX598" s="736">
        <f>I598/22*5</f>
        <v>70</v>
      </c>
      <c r="BY598" s="736">
        <f>I598/22*6</f>
        <v>84</v>
      </c>
      <c r="BZ598" s="736">
        <f>I598/22*6</f>
        <v>84</v>
      </c>
      <c r="CA598" s="736">
        <f>I598/22*5</f>
        <v>70</v>
      </c>
      <c r="CB598" s="737">
        <f t="shared" si="321"/>
        <v>308</v>
      </c>
      <c r="CC598" s="736">
        <f>I598/11</f>
        <v>28</v>
      </c>
      <c r="CD598" s="737">
        <f t="shared" si="322"/>
        <v>308</v>
      </c>
      <c r="CE598" s="737">
        <f t="shared" si="323"/>
        <v>0</v>
      </c>
    </row>
    <row r="599" s="558" customFormat="1" ht="40" customHeight="1" spans="1:83">
      <c r="A599" s="717">
        <v>46016</v>
      </c>
      <c r="B599" s="718" t="s">
        <v>2718</v>
      </c>
      <c r="C599" s="719" t="s">
        <v>144</v>
      </c>
      <c r="D599" s="720">
        <v>4500190053</v>
      </c>
      <c r="E599" s="721" t="s">
        <v>2719</v>
      </c>
      <c r="F599" s="720" t="s">
        <v>2720</v>
      </c>
      <c r="G599" s="722" t="s">
        <v>1968</v>
      </c>
      <c r="H599" s="721" t="s">
        <v>1969</v>
      </c>
      <c r="I599" s="723">
        <v>960</v>
      </c>
      <c r="J599" s="724">
        <v>0</v>
      </c>
      <c r="K599" s="724">
        <v>24</v>
      </c>
      <c r="L599" s="724">
        <f t="shared" si="318"/>
        <v>40</v>
      </c>
      <c r="M599" s="725">
        <v>46079</v>
      </c>
      <c r="N599" s="725">
        <v>46076</v>
      </c>
      <c r="O599" s="726" t="s">
        <v>2721</v>
      </c>
      <c r="P599" s="726" t="s">
        <v>100</v>
      </c>
      <c r="Q599" s="727" t="s">
        <v>583</v>
      </c>
      <c r="R599" s="725" t="s">
        <v>2722</v>
      </c>
      <c r="S599" s="726"/>
      <c r="T599" s="726"/>
      <c r="U599" s="726" t="s">
        <v>2723</v>
      </c>
      <c r="V599" s="726" t="s">
        <v>2724</v>
      </c>
      <c r="W599" s="760"/>
      <c r="X599" s="729" t="s">
        <v>2725</v>
      </c>
      <c r="Y599" s="731" t="s">
        <v>596</v>
      </c>
      <c r="Z599" s="731">
        <v>2.6134</v>
      </c>
      <c r="AA599" s="712">
        <f t="shared" si="319"/>
        <v>2508.864</v>
      </c>
      <c r="AB599" s="712">
        <v>960</v>
      </c>
      <c r="AC599" s="712">
        <f t="shared" si="320"/>
        <v>0</v>
      </c>
      <c r="AD599" s="730" t="s">
        <v>106</v>
      </c>
      <c r="AE599" s="722" t="s">
        <v>1968</v>
      </c>
      <c r="AF599" s="734" t="s">
        <v>107</v>
      </c>
      <c r="AG599" s="734" t="s">
        <v>43</v>
      </c>
      <c r="AH599" s="712"/>
      <c r="AI599" s="712"/>
      <c r="AJ599" s="712"/>
      <c r="AK599" s="712"/>
      <c r="AL599" s="735"/>
      <c r="AM599" s="712"/>
      <c r="AN599" s="712"/>
      <c r="AO599" s="734"/>
      <c r="AP599" s="734">
        <f>I599</f>
        <v>960</v>
      </c>
      <c r="AQ599" s="734"/>
      <c r="AR599" s="734"/>
      <c r="AS599" s="734"/>
      <c r="AT599" s="713"/>
      <c r="AU599" s="734">
        <f t="shared" ref="AU599:AU606" si="326">I599</f>
        <v>960</v>
      </c>
      <c r="AV599" s="734"/>
      <c r="AW599" s="713"/>
      <c r="AX599" s="713"/>
      <c r="AY599" s="713"/>
      <c r="AZ599" s="713"/>
      <c r="BA599" s="713"/>
      <c r="BB599" s="713"/>
      <c r="BC599" s="713"/>
      <c r="BD599" s="713"/>
      <c r="BE599" s="713"/>
      <c r="BF599" s="713"/>
      <c r="BG599" s="728"/>
      <c r="BH599" s="736"/>
      <c r="BI599" s="736"/>
      <c r="BJ599" s="736"/>
      <c r="BK599" s="736"/>
      <c r="BL599" s="737"/>
      <c r="BM599" s="737"/>
      <c r="BN599" s="737"/>
      <c r="BO599" s="737"/>
      <c r="BP599" s="761"/>
      <c r="BQ599" s="713"/>
      <c r="BR599" s="761"/>
      <c r="BS599" s="734"/>
      <c r="BT599" s="713"/>
      <c r="BU599" s="713"/>
      <c r="BV599" s="713"/>
      <c r="BW599" s="728" t="s">
        <v>109</v>
      </c>
      <c r="BX599" s="736"/>
      <c r="BY599" s="730">
        <f>I599</f>
        <v>960</v>
      </c>
      <c r="BZ599" s="745"/>
      <c r="CA599" s="745"/>
      <c r="CB599" s="745"/>
      <c r="CC599" s="745"/>
      <c r="CD599" s="730">
        <f t="shared" si="322"/>
        <v>960</v>
      </c>
      <c r="CE599" s="730">
        <f t="shared" si="323"/>
        <v>0</v>
      </c>
    </row>
    <row r="600" s="558" customFormat="1" ht="40" customHeight="1" spans="1:83">
      <c r="A600" s="717">
        <v>46016</v>
      </c>
      <c r="B600" s="718" t="s">
        <v>2718</v>
      </c>
      <c r="C600" s="719" t="s">
        <v>156</v>
      </c>
      <c r="D600" s="720">
        <v>4500190053</v>
      </c>
      <c r="E600" s="721" t="s">
        <v>2726</v>
      </c>
      <c r="F600" s="720" t="s">
        <v>2727</v>
      </c>
      <c r="G600" s="722" t="s">
        <v>1968</v>
      </c>
      <c r="H600" s="721" t="s">
        <v>1969</v>
      </c>
      <c r="I600" s="723">
        <v>504</v>
      </c>
      <c r="J600" s="724">
        <v>0</v>
      </c>
      <c r="K600" s="724">
        <v>24</v>
      </c>
      <c r="L600" s="724">
        <f t="shared" si="318"/>
        <v>21</v>
      </c>
      <c r="M600" s="725">
        <v>46079</v>
      </c>
      <c r="N600" s="725">
        <v>46076</v>
      </c>
      <c r="O600" s="726" t="s">
        <v>2721</v>
      </c>
      <c r="P600" s="726" t="s">
        <v>100</v>
      </c>
      <c r="Q600" s="727" t="s">
        <v>583</v>
      </c>
      <c r="R600" s="725" t="s">
        <v>2722</v>
      </c>
      <c r="S600" s="726"/>
      <c r="T600" s="726"/>
      <c r="U600" s="726" t="s">
        <v>2728</v>
      </c>
      <c r="V600" s="726" t="s">
        <v>2724</v>
      </c>
      <c r="W600" s="760"/>
      <c r="X600" s="729" t="s">
        <v>2729</v>
      </c>
      <c r="Y600" s="731" t="s">
        <v>596</v>
      </c>
      <c r="Z600" s="731">
        <v>2.6134</v>
      </c>
      <c r="AA600" s="712">
        <f t="shared" si="319"/>
        <v>1317.1536</v>
      </c>
      <c r="AB600" s="712">
        <v>504</v>
      </c>
      <c r="AC600" s="712">
        <f t="shared" si="320"/>
        <v>0</v>
      </c>
      <c r="AD600" s="730" t="s">
        <v>106</v>
      </c>
      <c r="AE600" s="722" t="s">
        <v>1968</v>
      </c>
      <c r="AF600" s="734" t="s">
        <v>107</v>
      </c>
      <c r="AG600" s="734" t="s">
        <v>43</v>
      </c>
      <c r="AH600" s="712"/>
      <c r="AI600" s="712"/>
      <c r="AJ600" s="712"/>
      <c r="AK600" s="712"/>
      <c r="AL600" s="735"/>
      <c r="AM600" s="712"/>
      <c r="AN600" s="712"/>
      <c r="AO600" s="734"/>
      <c r="AP600" s="734">
        <f>I600</f>
        <v>504</v>
      </c>
      <c r="AQ600" s="734"/>
      <c r="AR600" s="734"/>
      <c r="AS600" s="734"/>
      <c r="AT600" s="713"/>
      <c r="AU600" s="734">
        <f t="shared" si="326"/>
        <v>504</v>
      </c>
      <c r="AV600" s="734"/>
      <c r="AW600" s="713"/>
      <c r="AX600" s="713"/>
      <c r="AY600" s="713"/>
      <c r="AZ600" s="713"/>
      <c r="BA600" s="713"/>
      <c r="BB600" s="713"/>
      <c r="BC600" s="713"/>
      <c r="BD600" s="713"/>
      <c r="BE600" s="713"/>
      <c r="BF600" s="713"/>
      <c r="BG600" s="728"/>
      <c r="BH600" s="736"/>
      <c r="BI600" s="736"/>
      <c r="BJ600" s="736"/>
      <c r="BK600" s="736"/>
      <c r="BL600" s="737"/>
      <c r="BM600" s="737"/>
      <c r="BN600" s="737"/>
      <c r="BO600" s="737"/>
      <c r="BP600" s="761"/>
      <c r="BQ600" s="713"/>
      <c r="BR600" s="761"/>
      <c r="BS600" s="734"/>
      <c r="BT600" s="713"/>
      <c r="BU600" s="713"/>
      <c r="BV600" s="713"/>
      <c r="BW600" s="728" t="s">
        <v>109</v>
      </c>
      <c r="BX600" s="736"/>
      <c r="BY600" s="730">
        <f>I600</f>
        <v>504</v>
      </c>
      <c r="BZ600" s="745"/>
      <c r="CA600" s="745"/>
      <c r="CB600" s="745"/>
      <c r="CC600" s="745"/>
      <c r="CD600" s="730">
        <f t="shared" si="322"/>
        <v>504</v>
      </c>
      <c r="CE600" s="730">
        <f t="shared" si="323"/>
        <v>0</v>
      </c>
    </row>
    <row r="601" s="558" customFormat="1" ht="40" customHeight="1" spans="1:83">
      <c r="A601" s="717">
        <v>46016</v>
      </c>
      <c r="B601" s="718" t="s">
        <v>2718</v>
      </c>
      <c r="C601" s="719" t="s">
        <v>380</v>
      </c>
      <c r="D601" s="720">
        <v>4500190053</v>
      </c>
      <c r="E601" s="721" t="s">
        <v>2730</v>
      </c>
      <c r="F601" s="720" t="s">
        <v>2731</v>
      </c>
      <c r="G601" s="722" t="s">
        <v>1968</v>
      </c>
      <c r="H601" s="721" t="s">
        <v>1969</v>
      </c>
      <c r="I601" s="723">
        <v>504</v>
      </c>
      <c r="J601" s="724">
        <v>0</v>
      </c>
      <c r="K601" s="724">
        <v>24</v>
      </c>
      <c r="L601" s="724">
        <f t="shared" si="318"/>
        <v>21</v>
      </c>
      <c r="M601" s="725">
        <v>46079</v>
      </c>
      <c r="N601" s="725">
        <v>46076</v>
      </c>
      <c r="O601" s="726" t="s">
        <v>2721</v>
      </c>
      <c r="P601" s="726" t="s">
        <v>100</v>
      </c>
      <c r="Q601" s="727" t="s">
        <v>2732</v>
      </c>
      <c r="R601" s="725" t="s">
        <v>2722</v>
      </c>
      <c r="S601" s="726"/>
      <c r="T601" s="726"/>
      <c r="U601" s="726" t="s">
        <v>2723</v>
      </c>
      <c r="V601" s="726" t="s">
        <v>2724</v>
      </c>
      <c r="W601" s="760"/>
      <c r="X601" s="729" t="s">
        <v>2733</v>
      </c>
      <c r="Y601" s="731" t="s">
        <v>596</v>
      </c>
      <c r="Z601" s="731">
        <v>2.6134</v>
      </c>
      <c r="AA601" s="712">
        <f t="shared" si="319"/>
        <v>1317.1536</v>
      </c>
      <c r="AB601" s="712">
        <v>504</v>
      </c>
      <c r="AC601" s="712">
        <f t="shared" si="320"/>
        <v>0</v>
      </c>
      <c r="AD601" s="730" t="s">
        <v>106</v>
      </c>
      <c r="AE601" s="722" t="s">
        <v>1968</v>
      </c>
      <c r="AF601" s="734" t="s">
        <v>107</v>
      </c>
      <c r="AG601" s="734" t="s">
        <v>43</v>
      </c>
      <c r="AH601" s="712"/>
      <c r="AI601" s="712"/>
      <c r="AJ601" s="712"/>
      <c r="AK601" s="712"/>
      <c r="AL601" s="735"/>
      <c r="AM601" s="712"/>
      <c r="AN601" s="712"/>
      <c r="AO601" s="734"/>
      <c r="AP601" s="734">
        <f>I601</f>
        <v>504</v>
      </c>
      <c r="AQ601" s="734"/>
      <c r="AR601" s="734"/>
      <c r="AS601" s="734"/>
      <c r="AT601" s="713"/>
      <c r="AU601" s="734">
        <f t="shared" si="326"/>
        <v>504</v>
      </c>
      <c r="AV601" s="734"/>
      <c r="AW601" s="713"/>
      <c r="AX601" s="713"/>
      <c r="AY601" s="713"/>
      <c r="AZ601" s="713"/>
      <c r="BA601" s="713"/>
      <c r="BB601" s="713"/>
      <c r="BC601" s="713"/>
      <c r="BD601" s="713"/>
      <c r="BE601" s="713"/>
      <c r="BF601" s="713"/>
      <c r="BG601" s="728"/>
      <c r="BH601" s="736"/>
      <c r="BI601" s="736"/>
      <c r="BJ601" s="736"/>
      <c r="BK601" s="736"/>
      <c r="BL601" s="737"/>
      <c r="BM601" s="737"/>
      <c r="BN601" s="737"/>
      <c r="BO601" s="737"/>
      <c r="BP601" s="761"/>
      <c r="BQ601" s="713"/>
      <c r="BR601" s="761"/>
      <c r="BS601" s="734"/>
      <c r="BT601" s="713"/>
      <c r="BU601" s="713"/>
      <c r="BV601" s="713"/>
      <c r="BW601" s="728" t="s">
        <v>109</v>
      </c>
      <c r="BX601" s="736"/>
      <c r="BY601" s="730">
        <f>I601</f>
        <v>504</v>
      </c>
      <c r="BZ601" s="745"/>
      <c r="CA601" s="745"/>
      <c r="CB601" s="745"/>
      <c r="CC601" s="745"/>
      <c r="CD601" s="730">
        <f t="shared" si="322"/>
        <v>504</v>
      </c>
      <c r="CE601" s="730">
        <f t="shared" si="323"/>
        <v>0</v>
      </c>
    </row>
    <row r="602" s="558" customFormat="1" ht="40" customHeight="1" spans="1:83">
      <c r="A602" s="717">
        <v>46016</v>
      </c>
      <c r="B602" s="718" t="s">
        <v>2718</v>
      </c>
      <c r="C602" s="719" t="s">
        <v>1965</v>
      </c>
      <c r="D602" s="720">
        <v>4500190053</v>
      </c>
      <c r="E602" s="721" t="s">
        <v>2734</v>
      </c>
      <c r="F602" s="720" t="s">
        <v>2735</v>
      </c>
      <c r="G602" s="722" t="s">
        <v>1968</v>
      </c>
      <c r="H602" s="721" t="s">
        <v>1969</v>
      </c>
      <c r="I602" s="723">
        <v>504</v>
      </c>
      <c r="J602" s="724">
        <v>0</v>
      </c>
      <c r="K602" s="724">
        <v>24</v>
      </c>
      <c r="L602" s="724">
        <f t="shared" si="318"/>
        <v>21</v>
      </c>
      <c r="M602" s="725">
        <v>46079</v>
      </c>
      <c r="N602" s="725">
        <v>46076</v>
      </c>
      <c r="O602" s="726" t="s">
        <v>2721</v>
      </c>
      <c r="P602" s="726" t="s">
        <v>100</v>
      </c>
      <c r="Q602" s="727" t="s">
        <v>2732</v>
      </c>
      <c r="R602" s="725" t="s">
        <v>2722</v>
      </c>
      <c r="S602" s="726"/>
      <c r="T602" s="726"/>
      <c r="U602" s="726" t="s">
        <v>2723</v>
      </c>
      <c r="V602" s="726" t="s">
        <v>2724</v>
      </c>
      <c r="W602" s="760"/>
      <c r="X602" s="729" t="s">
        <v>2736</v>
      </c>
      <c r="Y602" s="731" t="s">
        <v>596</v>
      </c>
      <c r="Z602" s="731">
        <v>2.6134</v>
      </c>
      <c r="AA602" s="712">
        <f t="shared" si="319"/>
        <v>1317.1536</v>
      </c>
      <c r="AB602" s="712">
        <v>504</v>
      </c>
      <c r="AC602" s="712">
        <f t="shared" si="320"/>
        <v>0</v>
      </c>
      <c r="AD602" s="730" t="s">
        <v>106</v>
      </c>
      <c r="AE602" s="722" t="s">
        <v>1968</v>
      </c>
      <c r="AF602" s="734" t="s">
        <v>107</v>
      </c>
      <c r="AG602" s="734" t="s">
        <v>43</v>
      </c>
      <c r="AH602" s="712"/>
      <c r="AI602" s="712"/>
      <c r="AJ602" s="712"/>
      <c r="AK602" s="712"/>
      <c r="AL602" s="735"/>
      <c r="AM602" s="712"/>
      <c r="AN602" s="712"/>
      <c r="AO602" s="734"/>
      <c r="AP602" s="734">
        <f>I602</f>
        <v>504</v>
      </c>
      <c r="AQ602" s="734"/>
      <c r="AR602" s="734"/>
      <c r="AS602" s="734"/>
      <c r="AT602" s="713"/>
      <c r="AU602" s="734">
        <f t="shared" si="326"/>
        <v>504</v>
      </c>
      <c r="AV602" s="734"/>
      <c r="AW602" s="713"/>
      <c r="AX602" s="713"/>
      <c r="AY602" s="713"/>
      <c r="AZ602" s="713"/>
      <c r="BA602" s="713"/>
      <c r="BB602" s="713"/>
      <c r="BC602" s="713"/>
      <c r="BD602" s="713"/>
      <c r="BE602" s="713"/>
      <c r="BF602" s="713"/>
      <c r="BG602" s="728"/>
      <c r="BH602" s="736"/>
      <c r="BI602" s="736"/>
      <c r="BJ602" s="736"/>
      <c r="BK602" s="736"/>
      <c r="BL602" s="737"/>
      <c r="BM602" s="737"/>
      <c r="BN602" s="737"/>
      <c r="BO602" s="737"/>
      <c r="BP602" s="761"/>
      <c r="BQ602" s="713"/>
      <c r="BR602" s="761"/>
      <c r="BS602" s="734"/>
      <c r="BT602" s="713"/>
      <c r="BU602" s="713"/>
      <c r="BV602" s="713"/>
      <c r="BW602" s="728" t="s">
        <v>109</v>
      </c>
      <c r="BX602" s="736"/>
      <c r="BY602" s="730">
        <f>I602</f>
        <v>504</v>
      </c>
      <c r="BZ602" s="745"/>
      <c r="CA602" s="745"/>
      <c r="CB602" s="745"/>
      <c r="CC602" s="745"/>
      <c r="CD602" s="730">
        <f t="shared" si="322"/>
        <v>504</v>
      </c>
      <c r="CE602" s="730">
        <f t="shared" si="323"/>
        <v>0</v>
      </c>
    </row>
    <row r="603" s="558" customFormat="1" ht="40" customHeight="1" spans="1:83">
      <c r="A603" s="717">
        <v>46016</v>
      </c>
      <c r="B603" s="718" t="s">
        <v>2718</v>
      </c>
      <c r="C603" s="719" t="s">
        <v>169</v>
      </c>
      <c r="D603" s="720">
        <v>4500190053</v>
      </c>
      <c r="E603" s="721" t="s">
        <v>2737</v>
      </c>
      <c r="F603" s="720" t="s">
        <v>2738</v>
      </c>
      <c r="G603" s="722" t="s">
        <v>1968</v>
      </c>
      <c r="H603" s="721" t="s">
        <v>1969</v>
      </c>
      <c r="I603" s="723">
        <v>504</v>
      </c>
      <c r="J603" s="724">
        <v>0</v>
      </c>
      <c r="K603" s="724">
        <v>24</v>
      </c>
      <c r="L603" s="724">
        <f t="shared" si="318"/>
        <v>21</v>
      </c>
      <c r="M603" s="725">
        <v>46079</v>
      </c>
      <c r="N603" s="725">
        <v>46076</v>
      </c>
      <c r="O603" s="726" t="s">
        <v>2721</v>
      </c>
      <c r="P603" s="726" t="s">
        <v>100</v>
      </c>
      <c r="Q603" s="727" t="s">
        <v>2739</v>
      </c>
      <c r="R603" s="725" t="s">
        <v>2722</v>
      </c>
      <c r="S603" s="726"/>
      <c r="T603" s="726"/>
      <c r="U603" s="726" t="s">
        <v>2723</v>
      </c>
      <c r="V603" s="726" t="s">
        <v>2724</v>
      </c>
      <c r="W603" s="760"/>
      <c r="X603" s="729" t="s">
        <v>2740</v>
      </c>
      <c r="Y603" s="731" t="s">
        <v>596</v>
      </c>
      <c r="Z603" s="731">
        <v>2.6134</v>
      </c>
      <c r="AA603" s="712">
        <f t="shared" si="319"/>
        <v>1317.1536</v>
      </c>
      <c r="AB603" s="712">
        <v>504</v>
      </c>
      <c r="AC603" s="712">
        <f t="shared" si="320"/>
        <v>0</v>
      </c>
      <c r="AD603" s="730" t="s">
        <v>106</v>
      </c>
      <c r="AE603" s="722" t="s">
        <v>1968</v>
      </c>
      <c r="AF603" s="734" t="s">
        <v>107</v>
      </c>
      <c r="AG603" s="734" t="s">
        <v>43</v>
      </c>
      <c r="AH603" s="712"/>
      <c r="AI603" s="712"/>
      <c r="AJ603" s="712"/>
      <c r="AK603" s="712"/>
      <c r="AL603" s="735"/>
      <c r="AM603" s="712"/>
      <c r="AN603" s="712"/>
      <c r="AO603" s="734"/>
      <c r="AP603" s="734">
        <f>I603</f>
        <v>504</v>
      </c>
      <c r="AQ603" s="734"/>
      <c r="AR603" s="734"/>
      <c r="AS603" s="734"/>
      <c r="AT603" s="713"/>
      <c r="AU603" s="734">
        <f t="shared" si="326"/>
        <v>504</v>
      </c>
      <c r="AV603" s="734"/>
      <c r="AW603" s="713"/>
      <c r="AX603" s="713"/>
      <c r="AY603" s="713"/>
      <c r="AZ603" s="713"/>
      <c r="BA603" s="713"/>
      <c r="BB603" s="713"/>
      <c r="BC603" s="713"/>
      <c r="BD603" s="713"/>
      <c r="BE603" s="713"/>
      <c r="BF603" s="713"/>
      <c r="BG603" s="728"/>
      <c r="BH603" s="736"/>
      <c r="BI603" s="736"/>
      <c r="BJ603" s="736"/>
      <c r="BK603" s="736"/>
      <c r="BL603" s="737"/>
      <c r="BM603" s="737"/>
      <c r="BN603" s="737"/>
      <c r="BO603" s="737"/>
      <c r="BP603" s="761"/>
      <c r="BQ603" s="713"/>
      <c r="BR603" s="761"/>
      <c r="BS603" s="734"/>
      <c r="BT603" s="713"/>
      <c r="BU603" s="713"/>
      <c r="BV603" s="713"/>
      <c r="BW603" s="728" t="s">
        <v>109</v>
      </c>
      <c r="BX603" s="736"/>
      <c r="BY603" s="730">
        <f>I603</f>
        <v>504</v>
      </c>
      <c r="BZ603" s="745"/>
      <c r="CA603" s="745"/>
      <c r="CB603" s="745"/>
      <c r="CC603" s="745"/>
      <c r="CD603" s="730">
        <f t="shared" si="322"/>
        <v>504</v>
      </c>
      <c r="CE603" s="730">
        <f t="shared" si="323"/>
        <v>0</v>
      </c>
    </row>
    <row r="604" s="558" customFormat="1" ht="40" customHeight="1" spans="1:83">
      <c r="A604" s="717">
        <v>45968</v>
      </c>
      <c r="B604" s="718" t="s">
        <v>2359</v>
      </c>
      <c r="C604" s="719" t="s">
        <v>144</v>
      </c>
      <c r="D604" s="720">
        <v>4500184740</v>
      </c>
      <c r="E604" s="721" t="s">
        <v>2360</v>
      </c>
      <c r="F604" s="720" t="s">
        <v>2741</v>
      </c>
      <c r="G604" s="722" t="s">
        <v>1431</v>
      </c>
      <c r="H604" s="722" t="s">
        <v>1432</v>
      </c>
      <c r="I604" s="723">
        <v>2496</v>
      </c>
      <c r="J604" s="723">
        <v>0</v>
      </c>
      <c r="K604" s="724">
        <v>24</v>
      </c>
      <c r="L604" s="724">
        <f t="shared" si="318"/>
        <v>104</v>
      </c>
      <c r="M604" s="725">
        <v>46080</v>
      </c>
      <c r="N604" s="725">
        <v>46076</v>
      </c>
      <c r="O604" s="725" t="s">
        <v>2742</v>
      </c>
      <c r="P604" s="726" t="s">
        <v>100</v>
      </c>
      <c r="Q604" s="727" t="s">
        <v>2743</v>
      </c>
      <c r="R604" s="726" t="s">
        <v>2744</v>
      </c>
      <c r="S604" s="725"/>
      <c r="T604" s="725"/>
      <c r="U604" s="726" t="s">
        <v>2745</v>
      </c>
      <c r="V604" s="726"/>
      <c r="W604" s="728"/>
      <c r="X604" s="729" t="s">
        <v>2746</v>
      </c>
      <c r="Y604" s="730" t="s">
        <v>202</v>
      </c>
      <c r="Z604" s="731">
        <v>2.4904</v>
      </c>
      <c r="AA604" s="732">
        <f t="shared" si="319"/>
        <v>6216.0384</v>
      </c>
      <c r="AB604" s="712">
        <f>1296+1200</f>
        <v>2496</v>
      </c>
      <c r="AC604" s="712">
        <f t="shared" si="320"/>
        <v>0</v>
      </c>
      <c r="AD604" s="732" t="s">
        <v>106</v>
      </c>
      <c r="AE604" s="722" t="s">
        <v>1431</v>
      </c>
      <c r="AF604" s="730" t="s">
        <v>107</v>
      </c>
      <c r="AG604" s="734" t="s">
        <v>43</v>
      </c>
      <c r="AH604" s="730"/>
      <c r="AI604" s="705"/>
      <c r="AJ604" s="705"/>
      <c r="AK604" s="705"/>
      <c r="AL604" s="712"/>
      <c r="AM604" s="712">
        <f>I604</f>
        <v>2496</v>
      </c>
      <c r="AN604" s="705"/>
      <c r="AO604" s="712"/>
      <c r="AP604" s="712"/>
      <c r="AQ604" s="735"/>
      <c r="AR604" s="705"/>
      <c r="AS604" s="705"/>
      <c r="AT604" s="712"/>
      <c r="AU604" s="712">
        <f t="shared" si="326"/>
        <v>2496</v>
      </c>
      <c r="AV604" s="734"/>
      <c r="AW604" s="706"/>
      <c r="AX604" s="734"/>
      <c r="AY604" s="734"/>
      <c r="AZ604" s="706"/>
      <c r="BA604" s="734"/>
      <c r="BB604" s="734"/>
      <c r="BC604" s="706"/>
      <c r="BD604" s="706"/>
      <c r="BE604" s="713"/>
      <c r="BF604" s="706"/>
      <c r="BG604" s="734"/>
      <c r="BH604" s="734"/>
      <c r="BI604" s="706"/>
      <c r="BJ604" s="706"/>
      <c r="BK604" s="713"/>
      <c r="BL604" s="713"/>
      <c r="BM604" s="713"/>
      <c r="BN604" s="713"/>
      <c r="BO604" s="713"/>
      <c r="BP604" s="706"/>
      <c r="BQ604" s="713"/>
      <c r="BR604" s="706"/>
      <c r="BS604" s="713"/>
      <c r="BT604" s="713"/>
      <c r="BU604" s="713"/>
      <c r="BV604" s="713"/>
      <c r="BW604" s="728" t="s">
        <v>109</v>
      </c>
      <c r="BX604" s="736">
        <f>I604/4</f>
        <v>624</v>
      </c>
      <c r="BY604" s="736">
        <f>I604/4</f>
        <v>624</v>
      </c>
      <c r="BZ604" s="736">
        <f>I604/4</f>
        <v>624</v>
      </c>
      <c r="CA604" s="736">
        <f>I604/4</f>
        <v>624</v>
      </c>
      <c r="CB604" s="737">
        <f>I604</f>
        <v>2496</v>
      </c>
      <c r="CC604" s="737"/>
      <c r="CD604" s="737">
        <f t="shared" si="322"/>
        <v>2496</v>
      </c>
      <c r="CE604" s="737">
        <f t="shared" si="323"/>
        <v>0</v>
      </c>
    </row>
    <row r="605" s="558" customFormat="1" ht="40" customHeight="1" spans="1:83">
      <c r="A605" s="717">
        <v>46015</v>
      </c>
      <c r="B605" s="718" t="s">
        <v>563</v>
      </c>
      <c r="C605" s="719" t="s">
        <v>2502</v>
      </c>
      <c r="D605" s="720">
        <v>4500189742</v>
      </c>
      <c r="E605" s="721" t="s">
        <v>2747</v>
      </c>
      <c r="F605" s="720" t="s">
        <v>2748</v>
      </c>
      <c r="G605" s="722" t="s">
        <v>567</v>
      </c>
      <c r="H605" s="722" t="s">
        <v>99</v>
      </c>
      <c r="I605" s="724">
        <f>1512-700</f>
        <v>812</v>
      </c>
      <c r="J605" s="723">
        <v>7</v>
      </c>
      <c r="K605" s="724">
        <v>28</v>
      </c>
      <c r="L605" s="724">
        <f t="shared" si="318"/>
        <v>29</v>
      </c>
      <c r="M605" s="725">
        <v>46080</v>
      </c>
      <c r="N605" s="725">
        <v>46076</v>
      </c>
      <c r="O605" s="762" t="s">
        <v>2749</v>
      </c>
      <c r="P605" s="726" t="s">
        <v>100</v>
      </c>
      <c r="Q605" s="727" t="s">
        <v>2750</v>
      </c>
      <c r="R605" s="726" t="s">
        <v>2751</v>
      </c>
      <c r="S605" s="725"/>
      <c r="T605" s="725"/>
      <c r="U605" s="726" t="s">
        <v>2752</v>
      </c>
      <c r="V605" s="726"/>
      <c r="W605" s="728"/>
      <c r="X605" s="729" t="s">
        <v>2753</v>
      </c>
      <c r="Y605" s="730" t="s">
        <v>2507</v>
      </c>
      <c r="Z605" s="748">
        <v>2.8029</v>
      </c>
      <c r="AA605" s="732">
        <f t="shared" si="319"/>
        <v>2275.9548</v>
      </c>
      <c r="AB605" s="712">
        <f>784+28</f>
        <v>812</v>
      </c>
      <c r="AC605" s="712">
        <f t="shared" si="320"/>
        <v>0</v>
      </c>
      <c r="AD605" s="732" t="s">
        <v>106</v>
      </c>
      <c r="AE605" s="722" t="s">
        <v>567</v>
      </c>
      <c r="AF605" s="730" t="s">
        <v>107</v>
      </c>
      <c r="AG605" s="734" t="s">
        <v>43</v>
      </c>
      <c r="AH605" s="730"/>
      <c r="AI605" s="705"/>
      <c r="AJ605" s="705"/>
      <c r="AK605" s="705"/>
      <c r="AL605" s="712"/>
      <c r="AM605" s="712">
        <f>I605</f>
        <v>812</v>
      </c>
      <c r="AN605" s="705"/>
      <c r="AO605" s="712"/>
      <c r="AP605" s="712"/>
      <c r="AQ605" s="735"/>
      <c r="AR605" s="705"/>
      <c r="AS605" s="705"/>
      <c r="AT605" s="712"/>
      <c r="AU605" s="712">
        <f t="shared" si="326"/>
        <v>812</v>
      </c>
      <c r="AV605" s="734"/>
      <c r="AW605" s="706"/>
      <c r="AX605" s="734"/>
      <c r="AY605" s="734"/>
      <c r="AZ605" s="706"/>
      <c r="BA605" s="734"/>
      <c r="BB605" s="734"/>
      <c r="BC605" s="706"/>
      <c r="BD605" s="706"/>
      <c r="BE605" s="713"/>
      <c r="BF605" s="706"/>
      <c r="BG605" s="734"/>
      <c r="BH605" s="734">
        <f>I605/7</f>
        <v>116</v>
      </c>
      <c r="BI605" s="706"/>
      <c r="BJ605" s="706"/>
      <c r="BK605" s="713"/>
      <c r="BL605" s="713"/>
      <c r="BM605" s="713"/>
      <c r="BN605" s="713"/>
      <c r="BO605" s="713"/>
      <c r="BP605" s="706"/>
      <c r="BQ605" s="713"/>
      <c r="BR605" s="706"/>
      <c r="BS605" s="713"/>
      <c r="BT605" s="713"/>
      <c r="BU605" s="713"/>
      <c r="BV605" s="713"/>
      <c r="BW605" s="728" t="s">
        <v>109</v>
      </c>
      <c r="BX605" s="736">
        <f>I605/4</f>
        <v>203</v>
      </c>
      <c r="BY605" s="736">
        <f>I605/4</f>
        <v>203</v>
      </c>
      <c r="BZ605" s="736">
        <f>I605/4</f>
        <v>203</v>
      </c>
      <c r="CA605" s="736">
        <f>I605/4</f>
        <v>203</v>
      </c>
      <c r="CB605" s="737">
        <f>I605</f>
        <v>812</v>
      </c>
      <c r="CC605" s="736">
        <f>I605/7</f>
        <v>116</v>
      </c>
      <c r="CD605" s="737">
        <f t="shared" si="322"/>
        <v>812</v>
      </c>
      <c r="CE605" s="737">
        <f t="shared" si="323"/>
        <v>0</v>
      </c>
    </row>
    <row r="606" s="558" customFormat="1" ht="40" customHeight="1" spans="1:83">
      <c r="A606" s="717">
        <v>45971</v>
      </c>
      <c r="B606" s="718" t="s">
        <v>1707</v>
      </c>
      <c r="C606" s="719" t="s">
        <v>214</v>
      </c>
      <c r="D606" s="720">
        <v>4500184806</v>
      </c>
      <c r="E606" s="721" t="s">
        <v>2754</v>
      </c>
      <c r="F606" s="720" t="s">
        <v>2755</v>
      </c>
      <c r="G606" s="722" t="s">
        <v>141</v>
      </c>
      <c r="H606" s="722" t="s">
        <v>99</v>
      </c>
      <c r="I606" s="723">
        <v>288</v>
      </c>
      <c r="J606" s="723">
        <v>0</v>
      </c>
      <c r="K606" s="724">
        <v>24</v>
      </c>
      <c r="L606" s="724">
        <f t="shared" si="318"/>
        <v>12</v>
      </c>
      <c r="M606" s="725">
        <v>46077</v>
      </c>
      <c r="N606" s="725">
        <v>46073</v>
      </c>
      <c r="O606" s="725"/>
      <c r="P606" s="726" t="s">
        <v>100</v>
      </c>
      <c r="Q606" s="727" t="s">
        <v>500</v>
      </c>
      <c r="R606" s="726" t="s">
        <v>2571</v>
      </c>
      <c r="S606" s="725"/>
      <c r="T606" s="725"/>
      <c r="U606" s="726" t="s">
        <v>2572</v>
      </c>
      <c r="V606" s="726" t="s">
        <v>2697</v>
      </c>
      <c r="W606" s="728"/>
      <c r="X606" s="729" t="s">
        <v>2756</v>
      </c>
      <c r="Y606" s="730" t="s">
        <v>809</v>
      </c>
      <c r="Z606" s="748">
        <v>1.5069</v>
      </c>
      <c r="AA606" s="732">
        <f>Z606*'9543'!I606</f>
        <v>433.9872</v>
      </c>
      <c r="AB606" s="712">
        <v>288</v>
      </c>
      <c r="AC606" s="712">
        <f t="shared" si="320"/>
        <v>0</v>
      </c>
      <c r="AD606" s="732" t="s">
        <v>106</v>
      </c>
      <c r="AE606" s="749" t="s">
        <v>142</v>
      </c>
      <c r="AF606" s="730" t="s">
        <v>107</v>
      </c>
      <c r="AG606" s="734" t="s">
        <v>43</v>
      </c>
      <c r="AH606" s="730"/>
      <c r="AI606" s="705"/>
      <c r="AJ606" s="705"/>
      <c r="AK606" s="705"/>
      <c r="AL606" s="712"/>
      <c r="AM606" s="712">
        <f>I606</f>
        <v>288</v>
      </c>
      <c r="AN606" s="705"/>
      <c r="AO606" s="712"/>
      <c r="AP606" s="712"/>
      <c r="AQ606" s="735"/>
      <c r="AR606" s="705"/>
      <c r="AS606" s="705"/>
      <c r="AT606" s="712"/>
      <c r="AU606" s="712">
        <f t="shared" si="326"/>
        <v>288</v>
      </c>
      <c r="AV606" s="734"/>
      <c r="AW606" s="706"/>
      <c r="AX606" s="734"/>
      <c r="AY606" s="734"/>
      <c r="AZ606" s="706"/>
      <c r="BA606" s="734"/>
      <c r="BB606" s="734"/>
      <c r="BC606" s="706"/>
      <c r="BD606" s="706"/>
      <c r="BE606" s="713"/>
      <c r="BF606" s="706"/>
      <c r="BG606" s="734"/>
      <c r="BH606" s="734"/>
      <c r="BI606" s="706"/>
      <c r="BJ606" s="706"/>
      <c r="BK606" s="713"/>
      <c r="BL606" s="713"/>
      <c r="BM606" s="713"/>
      <c r="BN606" s="713"/>
      <c r="BO606" s="713"/>
      <c r="BP606" s="706"/>
      <c r="BQ606" s="713"/>
      <c r="BR606" s="706"/>
      <c r="BS606" s="713"/>
      <c r="BT606" s="713"/>
      <c r="BU606" s="713"/>
      <c r="BV606" s="713"/>
      <c r="BW606" s="728" t="s">
        <v>109</v>
      </c>
      <c r="BX606" s="736"/>
      <c r="BY606" s="736"/>
      <c r="BZ606" s="736">
        <f>I606</f>
        <v>288</v>
      </c>
      <c r="CA606" s="736"/>
      <c r="CB606" s="737">
        <f>I606</f>
        <v>288</v>
      </c>
      <c r="CC606" s="736"/>
      <c r="CD606" s="737">
        <f t="shared" si="322"/>
        <v>288</v>
      </c>
      <c r="CE606" s="737">
        <f t="shared" si="323"/>
        <v>0</v>
      </c>
    </row>
    <row r="607" s="558" customFormat="1" ht="40" customHeight="1" spans="1:83">
      <c r="A607" s="717">
        <v>46009</v>
      </c>
      <c r="B607" s="718" t="s">
        <v>2718</v>
      </c>
      <c r="C607" s="719" t="s">
        <v>144</v>
      </c>
      <c r="D607" s="720">
        <v>4500189251</v>
      </c>
      <c r="E607" s="721" t="s">
        <v>2757</v>
      </c>
      <c r="F607" s="720" t="s">
        <v>2758</v>
      </c>
      <c r="G607" s="722" t="s">
        <v>2611</v>
      </c>
      <c r="H607" s="722" t="s">
        <v>2612</v>
      </c>
      <c r="I607" s="723">
        <v>552</v>
      </c>
      <c r="J607" s="723">
        <v>0</v>
      </c>
      <c r="K607" s="724">
        <v>24</v>
      </c>
      <c r="L607" s="724">
        <f t="shared" si="318"/>
        <v>23</v>
      </c>
      <c r="M607" s="725">
        <v>46086</v>
      </c>
      <c r="N607" s="725">
        <v>46083</v>
      </c>
      <c r="O607" s="725" t="s">
        <v>2759</v>
      </c>
      <c r="P607" s="726" t="s">
        <v>100</v>
      </c>
      <c r="Q607" s="727" t="s">
        <v>2760</v>
      </c>
      <c r="R607" s="726" t="s">
        <v>993</v>
      </c>
      <c r="S607" s="725"/>
      <c r="T607" s="725"/>
      <c r="U607" s="726" t="s">
        <v>2258</v>
      </c>
      <c r="V607" s="726"/>
      <c r="W607" s="728"/>
      <c r="X607" s="729" t="s">
        <v>2761</v>
      </c>
      <c r="Y607" s="730" t="s">
        <v>596</v>
      </c>
      <c r="Z607" s="731">
        <v>2.6493</v>
      </c>
      <c r="AA607" s="732">
        <f>I607*Z607</f>
        <v>1462.4136</v>
      </c>
      <c r="AB607" s="712">
        <v>552</v>
      </c>
      <c r="AC607" s="712">
        <f t="shared" si="320"/>
        <v>0</v>
      </c>
      <c r="AD607" s="732" t="s">
        <v>123</v>
      </c>
      <c r="AE607" s="722" t="s">
        <v>2611</v>
      </c>
      <c r="AF607" s="730" t="s">
        <v>107</v>
      </c>
      <c r="AG607" s="763" t="s">
        <v>43</v>
      </c>
      <c r="AH607" s="730"/>
      <c r="AI607" s="705"/>
      <c r="AJ607" s="705"/>
      <c r="AK607" s="705"/>
      <c r="AL607" s="712"/>
      <c r="AM607" s="712"/>
      <c r="AN607" s="705"/>
      <c r="AO607" s="712"/>
      <c r="AP607" s="712">
        <f>I607</f>
        <v>552</v>
      </c>
      <c r="AQ607" s="735"/>
      <c r="AR607" s="705"/>
      <c r="AS607" s="705"/>
      <c r="AT607" s="712"/>
      <c r="AU607" s="712">
        <f t="shared" ref="AU607:AU612" si="327">I607</f>
        <v>552</v>
      </c>
      <c r="AV607" s="734"/>
      <c r="AW607" s="706"/>
      <c r="AX607" s="734"/>
      <c r="AY607" s="734"/>
      <c r="AZ607" s="706"/>
      <c r="BA607" s="734"/>
      <c r="BB607" s="734"/>
      <c r="BC607" s="706"/>
      <c r="BD607" s="706"/>
      <c r="BE607" s="713"/>
      <c r="BF607" s="706"/>
      <c r="BG607" s="734"/>
      <c r="BH607" s="734"/>
      <c r="BI607" s="706"/>
      <c r="BJ607" s="706"/>
      <c r="BK607" s="713"/>
      <c r="BL607" s="713"/>
      <c r="BM607" s="713"/>
      <c r="BN607" s="713"/>
      <c r="BO607" s="713"/>
      <c r="BP607" s="706"/>
      <c r="BQ607" s="713"/>
      <c r="BR607" s="706"/>
      <c r="BS607" s="713"/>
      <c r="BT607" s="713"/>
      <c r="BU607" s="713"/>
      <c r="BV607" s="713"/>
      <c r="BW607" s="728" t="s">
        <v>109</v>
      </c>
      <c r="BX607" s="736"/>
      <c r="BY607" s="736"/>
      <c r="BZ607" s="736">
        <f>I607</f>
        <v>552</v>
      </c>
      <c r="CA607" s="736"/>
      <c r="CB607" s="737"/>
      <c r="CC607" s="736"/>
      <c r="CD607" s="737">
        <f t="shared" si="322"/>
        <v>552</v>
      </c>
      <c r="CE607" s="737">
        <f t="shared" si="323"/>
        <v>0</v>
      </c>
    </row>
    <row r="608" s="558" customFormat="1" ht="40" customHeight="1" spans="1:83">
      <c r="A608" s="717">
        <v>45971</v>
      </c>
      <c r="B608" s="718" t="s">
        <v>1707</v>
      </c>
      <c r="C608" s="719" t="s">
        <v>214</v>
      </c>
      <c r="D608" s="720">
        <v>4500184897</v>
      </c>
      <c r="E608" s="721" t="s">
        <v>2762</v>
      </c>
      <c r="F608" s="720" t="s">
        <v>2763</v>
      </c>
      <c r="G608" s="722" t="s">
        <v>141</v>
      </c>
      <c r="H608" s="722" t="s">
        <v>99</v>
      </c>
      <c r="I608" s="723">
        <v>240</v>
      </c>
      <c r="J608" s="723">
        <v>0</v>
      </c>
      <c r="K608" s="724">
        <v>24</v>
      </c>
      <c r="L608" s="724">
        <f t="shared" si="318"/>
        <v>10</v>
      </c>
      <c r="M608" s="725">
        <v>46087</v>
      </c>
      <c r="N608" s="725">
        <v>46083</v>
      </c>
      <c r="O608" s="725"/>
      <c r="P608" s="726" t="s">
        <v>100</v>
      </c>
      <c r="Q608" s="727" t="s">
        <v>2764</v>
      </c>
      <c r="R608" s="726" t="s">
        <v>2571</v>
      </c>
      <c r="S608" s="725"/>
      <c r="T608" s="725"/>
      <c r="U608" s="726" t="s">
        <v>2572</v>
      </c>
      <c r="V608" s="726" t="s">
        <v>2765</v>
      </c>
      <c r="W608" s="728"/>
      <c r="X608" s="729" t="s">
        <v>2756</v>
      </c>
      <c r="Y608" s="730" t="s">
        <v>809</v>
      </c>
      <c r="Z608" s="748">
        <v>1.5069</v>
      </c>
      <c r="AA608" s="732">
        <f>Z608*'9543'!I608</f>
        <v>361.656</v>
      </c>
      <c r="AB608" s="712">
        <v>240</v>
      </c>
      <c r="AC608" s="712">
        <f t="shared" si="320"/>
        <v>0</v>
      </c>
      <c r="AD608" s="732" t="s">
        <v>106</v>
      </c>
      <c r="AE608" s="749" t="s">
        <v>142</v>
      </c>
      <c r="AF608" s="730" t="s">
        <v>107</v>
      </c>
      <c r="AG608" s="763" t="s">
        <v>43</v>
      </c>
      <c r="AH608" s="730"/>
      <c r="AI608" s="705"/>
      <c r="AJ608" s="705"/>
      <c r="AK608" s="705"/>
      <c r="AL608" s="712"/>
      <c r="AM608" s="712">
        <f>I608</f>
        <v>240</v>
      </c>
      <c r="AN608" s="705"/>
      <c r="AO608" s="712"/>
      <c r="AP608" s="712"/>
      <c r="AQ608" s="735"/>
      <c r="AR608" s="705"/>
      <c r="AS608" s="705"/>
      <c r="AT608" s="712"/>
      <c r="AU608" s="712">
        <f t="shared" si="327"/>
        <v>240</v>
      </c>
      <c r="AV608" s="734"/>
      <c r="AW608" s="706"/>
      <c r="AX608" s="734"/>
      <c r="AY608" s="734"/>
      <c r="AZ608" s="706"/>
      <c r="BA608" s="734"/>
      <c r="BB608" s="734"/>
      <c r="BC608" s="706"/>
      <c r="BD608" s="706"/>
      <c r="BE608" s="713"/>
      <c r="BF608" s="706"/>
      <c r="BG608" s="734"/>
      <c r="BH608" s="734"/>
      <c r="BI608" s="706"/>
      <c r="BJ608" s="706"/>
      <c r="BK608" s="713"/>
      <c r="BL608" s="713"/>
      <c r="BM608" s="713"/>
      <c r="BN608" s="713"/>
      <c r="BO608" s="713"/>
      <c r="BP608" s="706"/>
      <c r="BQ608" s="713"/>
      <c r="BR608" s="706"/>
      <c r="BS608" s="713"/>
      <c r="BT608" s="713"/>
      <c r="BU608" s="713"/>
      <c r="BV608" s="713"/>
      <c r="BW608" s="728" t="s">
        <v>109</v>
      </c>
      <c r="BX608" s="736"/>
      <c r="BY608" s="736"/>
      <c r="BZ608" s="736">
        <f>I608</f>
        <v>240</v>
      </c>
      <c r="CA608" s="736"/>
      <c r="CB608" s="737">
        <f>I608</f>
        <v>240</v>
      </c>
      <c r="CC608" s="736"/>
      <c r="CD608" s="737">
        <f t="shared" si="322"/>
        <v>240</v>
      </c>
      <c r="CE608" s="737">
        <f t="shared" si="323"/>
        <v>0</v>
      </c>
    </row>
    <row r="609" s="558" customFormat="1" ht="40" customHeight="1" spans="1:83">
      <c r="A609" s="717">
        <v>45971</v>
      </c>
      <c r="B609" s="718" t="s">
        <v>1707</v>
      </c>
      <c r="C609" s="719" t="s">
        <v>214</v>
      </c>
      <c r="D609" s="720">
        <v>4500184902</v>
      </c>
      <c r="E609" s="721" t="s">
        <v>2766</v>
      </c>
      <c r="F609" s="720" t="s">
        <v>2767</v>
      </c>
      <c r="G609" s="722" t="s">
        <v>141</v>
      </c>
      <c r="H609" s="722" t="s">
        <v>99</v>
      </c>
      <c r="I609" s="723">
        <v>312</v>
      </c>
      <c r="J609" s="723">
        <v>0</v>
      </c>
      <c r="K609" s="724">
        <v>24</v>
      </c>
      <c r="L609" s="724">
        <f t="shared" si="318"/>
        <v>13</v>
      </c>
      <c r="M609" s="725">
        <v>46087</v>
      </c>
      <c r="N609" s="725">
        <v>46083</v>
      </c>
      <c r="O609" s="725"/>
      <c r="P609" s="726" t="s">
        <v>100</v>
      </c>
      <c r="Q609" s="727"/>
      <c r="R609" s="726" t="s">
        <v>2571</v>
      </c>
      <c r="S609" s="725"/>
      <c r="T609" s="725"/>
      <c r="U609" s="726" t="s">
        <v>2572</v>
      </c>
      <c r="V609" s="726" t="s">
        <v>2765</v>
      </c>
      <c r="W609" s="728"/>
      <c r="X609" s="729" t="s">
        <v>2577</v>
      </c>
      <c r="Y609" s="730" t="s">
        <v>809</v>
      </c>
      <c r="Z609" s="748">
        <v>1.5069</v>
      </c>
      <c r="AA609" s="732">
        <f>Z609*'9543'!I609</f>
        <v>470.1528</v>
      </c>
      <c r="AB609" s="712">
        <v>312</v>
      </c>
      <c r="AC609" s="712">
        <f t="shared" si="320"/>
        <v>0</v>
      </c>
      <c r="AD609" s="732" t="s">
        <v>106</v>
      </c>
      <c r="AE609" s="749" t="s">
        <v>142</v>
      </c>
      <c r="AF609" s="730" t="s">
        <v>107</v>
      </c>
      <c r="AG609" s="763" t="s">
        <v>43</v>
      </c>
      <c r="AH609" s="730"/>
      <c r="AI609" s="705"/>
      <c r="AJ609" s="705"/>
      <c r="AK609" s="705"/>
      <c r="AL609" s="712"/>
      <c r="AM609" s="712">
        <f>I609</f>
        <v>312</v>
      </c>
      <c r="AN609" s="705"/>
      <c r="AO609" s="712"/>
      <c r="AP609" s="712"/>
      <c r="AQ609" s="735"/>
      <c r="AR609" s="705"/>
      <c r="AS609" s="705"/>
      <c r="AT609" s="712"/>
      <c r="AU609" s="712">
        <f t="shared" si="327"/>
        <v>312</v>
      </c>
      <c r="AV609" s="734"/>
      <c r="AW609" s="706"/>
      <c r="AX609" s="734"/>
      <c r="AY609" s="734"/>
      <c r="AZ609" s="706"/>
      <c r="BA609" s="734"/>
      <c r="BB609" s="734"/>
      <c r="BC609" s="706"/>
      <c r="BD609" s="706"/>
      <c r="BE609" s="713"/>
      <c r="BF609" s="706"/>
      <c r="BG609" s="734"/>
      <c r="BH609" s="734"/>
      <c r="BI609" s="706"/>
      <c r="BJ609" s="706"/>
      <c r="BK609" s="713"/>
      <c r="BL609" s="713"/>
      <c r="BM609" s="713"/>
      <c r="BN609" s="713"/>
      <c r="BO609" s="713"/>
      <c r="BP609" s="706"/>
      <c r="BQ609" s="713"/>
      <c r="BR609" s="706"/>
      <c r="BS609" s="713"/>
      <c r="BT609" s="713"/>
      <c r="BU609" s="713"/>
      <c r="BV609" s="713"/>
      <c r="BW609" s="728" t="s">
        <v>109</v>
      </c>
      <c r="BX609" s="736"/>
      <c r="BY609" s="736"/>
      <c r="BZ609" s="736">
        <f>I609</f>
        <v>312</v>
      </c>
      <c r="CA609" s="736"/>
      <c r="CB609" s="737">
        <f>I609</f>
        <v>312</v>
      </c>
      <c r="CC609" s="736"/>
      <c r="CD609" s="737">
        <f t="shared" si="322"/>
        <v>312</v>
      </c>
      <c r="CE609" s="737">
        <f t="shared" si="323"/>
        <v>0</v>
      </c>
    </row>
    <row r="610" s="558" customFormat="1" ht="40" customHeight="1" spans="1:83">
      <c r="A610" s="717">
        <v>46013</v>
      </c>
      <c r="B610" s="718" t="s">
        <v>2286</v>
      </c>
      <c r="C610" s="719" t="s">
        <v>1024</v>
      </c>
      <c r="D610" s="720">
        <v>4500189585</v>
      </c>
      <c r="E610" s="721">
        <v>20148</v>
      </c>
      <c r="F610" s="720" t="s">
        <v>2768</v>
      </c>
      <c r="G610" s="722" t="s">
        <v>241</v>
      </c>
      <c r="H610" s="722" t="s">
        <v>99</v>
      </c>
      <c r="I610" s="723">
        <v>330</v>
      </c>
      <c r="J610" s="723">
        <v>0</v>
      </c>
      <c r="K610" s="724">
        <v>11</v>
      </c>
      <c r="L610" s="724">
        <f t="shared" si="318"/>
        <v>30</v>
      </c>
      <c r="M610" s="725">
        <v>46087</v>
      </c>
      <c r="N610" s="725">
        <v>46083</v>
      </c>
      <c r="O610" s="725"/>
      <c r="P610" s="726" t="s">
        <v>100</v>
      </c>
      <c r="Q610" s="727" t="s">
        <v>2764</v>
      </c>
      <c r="R610" s="726" t="s">
        <v>2605</v>
      </c>
      <c r="S610" s="725"/>
      <c r="T610" s="725"/>
      <c r="U610" s="726" t="s">
        <v>2769</v>
      </c>
      <c r="V610" s="726"/>
      <c r="W610" s="728"/>
      <c r="X610" s="729" t="s">
        <v>2770</v>
      </c>
      <c r="Y610" s="730" t="s">
        <v>1054</v>
      </c>
      <c r="Z610" s="731">
        <v>2.724</v>
      </c>
      <c r="AA610" s="732">
        <f>I610*Z610</f>
        <v>898.92</v>
      </c>
      <c r="AB610" s="712">
        <v>330</v>
      </c>
      <c r="AC610" s="712">
        <f t="shared" si="320"/>
        <v>0</v>
      </c>
      <c r="AD610" s="732" t="s">
        <v>106</v>
      </c>
      <c r="AE610" s="764" t="s">
        <v>597</v>
      </c>
      <c r="AF610" s="746" t="s">
        <v>107</v>
      </c>
      <c r="AG610" s="763" t="s">
        <v>43</v>
      </c>
      <c r="AH610" s="730"/>
      <c r="AI610" s="705"/>
      <c r="AJ610" s="705"/>
      <c r="AK610" s="705"/>
      <c r="AL610" s="712"/>
      <c r="AM610" s="712"/>
      <c r="AN610" s="705"/>
      <c r="AO610" s="712"/>
      <c r="AP610" s="712">
        <f>I610</f>
        <v>330</v>
      </c>
      <c r="AQ610" s="735"/>
      <c r="AR610" s="705"/>
      <c r="AS610" s="705"/>
      <c r="AT610" s="712"/>
      <c r="AU610" s="712">
        <f t="shared" si="327"/>
        <v>330</v>
      </c>
      <c r="AV610" s="734"/>
      <c r="AW610" s="706"/>
      <c r="AX610" s="734"/>
      <c r="AY610" s="734"/>
      <c r="AZ610" s="706"/>
      <c r="BA610" s="734"/>
      <c r="BB610" s="734"/>
      <c r="BC610" s="706"/>
      <c r="BD610" s="706"/>
      <c r="BE610" s="713"/>
      <c r="BF610" s="706"/>
      <c r="BG610" s="734"/>
      <c r="BH610" s="734">
        <f>I610/7</f>
        <v>47.1428571428571</v>
      </c>
      <c r="BI610" s="706"/>
      <c r="BJ610" s="706"/>
      <c r="BK610" s="713"/>
      <c r="BL610" s="713"/>
      <c r="BM610" s="713"/>
      <c r="BN610" s="713"/>
      <c r="BO610" s="713"/>
      <c r="BP610" s="706"/>
      <c r="BQ610" s="713"/>
      <c r="BR610" s="706"/>
      <c r="BS610" s="713"/>
      <c r="BT610" s="713"/>
      <c r="BU610" s="713"/>
      <c r="BV610" s="713"/>
      <c r="BW610" s="728" t="s">
        <v>109</v>
      </c>
      <c r="BX610" s="736">
        <f>I610/22*5</f>
        <v>75</v>
      </c>
      <c r="BY610" s="736">
        <f>I610/22*6</f>
        <v>90</v>
      </c>
      <c r="BZ610" s="736">
        <f>I610/22*6</f>
        <v>90</v>
      </c>
      <c r="CA610" s="736">
        <f>I610/22*5</f>
        <v>75</v>
      </c>
      <c r="CB610" s="737">
        <f>I610</f>
        <v>330</v>
      </c>
      <c r="CC610" s="736">
        <f>I610/11</f>
        <v>30</v>
      </c>
      <c r="CD610" s="737">
        <f t="shared" si="322"/>
        <v>330</v>
      </c>
      <c r="CE610" s="737">
        <f t="shared" si="323"/>
        <v>0</v>
      </c>
    </row>
    <row r="611" s="558" customFormat="1" ht="40" customHeight="1" spans="1:83">
      <c r="A611" s="717">
        <v>46026</v>
      </c>
      <c r="B611" s="718" t="s">
        <v>1865</v>
      </c>
      <c r="C611" s="719" t="s">
        <v>214</v>
      </c>
      <c r="D611" s="720">
        <v>4500190546</v>
      </c>
      <c r="E611" s="721" t="s">
        <v>2771</v>
      </c>
      <c r="F611" s="720" t="s">
        <v>2772</v>
      </c>
      <c r="G611" s="722" t="s">
        <v>98</v>
      </c>
      <c r="H611" s="722" t="s">
        <v>99</v>
      </c>
      <c r="I611" s="752">
        <v>1200</v>
      </c>
      <c r="J611" s="723">
        <v>0</v>
      </c>
      <c r="K611" s="724">
        <v>24</v>
      </c>
      <c r="L611" s="724">
        <f t="shared" si="318"/>
        <v>50</v>
      </c>
      <c r="M611" s="725">
        <v>46087</v>
      </c>
      <c r="N611" s="725">
        <v>46083</v>
      </c>
      <c r="O611" s="725"/>
      <c r="P611" s="726" t="s">
        <v>100</v>
      </c>
      <c r="Q611" s="727" t="s">
        <v>2764</v>
      </c>
      <c r="R611" s="726" t="s">
        <v>2691</v>
      </c>
      <c r="S611" s="725"/>
      <c r="T611" s="725"/>
      <c r="U611" s="726" t="s">
        <v>2773</v>
      </c>
      <c r="V611" s="726"/>
      <c r="W611" s="728"/>
      <c r="X611" s="729" t="s">
        <v>2774</v>
      </c>
      <c r="Y611" s="730" t="s">
        <v>943</v>
      </c>
      <c r="Z611" s="748">
        <v>1.4986</v>
      </c>
      <c r="AA611" s="732">
        <f>I611*Z611</f>
        <v>1798.32</v>
      </c>
      <c r="AB611" s="712">
        <v>1200</v>
      </c>
      <c r="AC611" s="712">
        <f t="shared" si="320"/>
        <v>0</v>
      </c>
      <c r="AD611" s="732" t="s">
        <v>123</v>
      </c>
      <c r="AE611" s="722" t="s">
        <v>98</v>
      </c>
      <c r="AF611" s="730" t="s">
        <v>107</v>
      </c>
      <c r="AG611" s="763" t="s">
        <v>43</v>
      </c>
      <c r="AH611" s="730"/>
      <c r="AI611" s="708"/>
      <c r="AJ611" s="708"/>
      <c r="AK611" s="708"/>
      <c r="AL611" s="712"/>
      <c r="AM611" s="712">
        <f>I611</f>
        <v>1200</v>
      </c>
      <c r="AN611" s="708"/>
      <c r="AO611" s="708"/>
      <c r="AP611" s="712"/>
      <c r="AQ611" s="735"/>
      <c r="AR611" s="708"/>
      <c r="AS611" s="708"/>
      <c r="AT611" s="712"/>
      <c r="AU611" s="712">
        <f t="shared" si="327"/>
        <v>1200</v>
      </c>
      <c r="AV611" s="734"/>
      <c r="AW611" s="709"/>
      <c r="AX611" s="734"/>
      <c r="AY611" s="734"/>
      <c r="AZ611" s="709"/>
      <c r="BA611" s="734"/>
      <c r="BB611" s="734"/>
      <c r="BC611" s="709"/>
      <c r="BD611" s="709"/>
      <c r="BE611" s="713"/>
      <c r="BF611" s="709"/>
      <c r="BG611" s="734"/>
      <c r="BH611" s="734"/>
      <c r="BI611" s="709"/>
      <c r="BJ611" s="709"/>
      <c r="BK611" s="713"/>
      <c r="BL611" s="713"/>
      <c r="BM611" s="713"/>
      <c r="BN611" s="713"/>
      <c r="BO611" s="713"/>
      <c r="BP611" s="709"/>
      <c r="BQ611" s="713"/>
      <c r="BR611" s="709"/>
      <c r="BS611" s="713"/>
      <c r="BT611" s="713"/>
      <c r="BU611" s="713"/>
      <c r="BV611" s="713"/>
      <c r="BW611" s="728" t="s">
        <v>109</v>
      </c>
      <c r="BX611" s="736">
        <f>I611/4</f>
        <v>300</v>
      </c>
      <c r="BY611" s="736">
        <f>I611/4</f>
        <v>300</v>
      </c>
      <c r="BZ611" s="736">
        <f>I611/4</f>
        <v>300</v>
      </c>
      <c r="CA611" s="736">
        <f>I611/4</f>
        <v>300</v>
      </c>
      <c r="CB611" s="737">
        <f>I611/4</f>
        <v>300</v>
      </c>
      <c r="CC611" s="737"/>
      <c r="CD611" s="737">
        <f t="shared" si="322"/>
        <v>1200</v>
      </c>
      <c r="CE611" s="737">
        <f t="shared" si="323"/>
        <v>0</v>
      </c>
    </row>
    <row r="612" s="558" customFormat="1" ht="40" customHeight="1" spans="1:83">
      <c r="A612" s="717">
        <v>46035</v>
      </c>
      <c r="B612" s="718" t="s">
        <v>1587</v>
      </c>
      <c r="C612" s="719" t="s">
        <v>178</v>
      </c>
      <c r="D612" s="720">
        <v>4500191206</v>
      </c>
      <c r="E612" s="721" t="s">
        <v>2775</v>
      </c>
      <c r="F612" s="720" t="s">
        <v>2776</v>
      </c>
      <c r="G612" s="722" t="s">
        <v>159</v>
      </c>
      <c r="H612" s="722" t="s">
        <v>99</v>
      </c>
      <c r="I612" s="765">
        <v>24</v>
      </c>
      <c r="J612" s="723">
        <v>0</v>
      </c>
      <c r="K612" s="724">
        <v>24</v>
      </c>
      <c r="L612" s="724">
        <f t="shared" si="318"/>
        <v>1</v>
      </c>
      <c r="M612" s="725">
        <v>46092</v>
      </c>
      <c r="N612" s="725">
        <v>46088</v>
      </c>
      <c r="O612" s="725"/>
      <c r="P612" s="726" t="s">
        <v>100</v>
      </c>
      <c r="Q612" s="727" t="s">
        <v>2777</v>
      </c>
      <c r="R612" s="726" t="s">
        <v>2778</v>
      </c>
      <c r="S612" s="725"/>
      <c r="T612" s="725"/>
      <c r="U612" s="726" t="s">
        <v>493</v>
      </c>
      <c r="V612" s="726" t="s">
        <v>2765</v>
      </c>
      <c r="W612" s="728"/>
      <c r="X612" s="729" t="s">
        <v>2779</v>
      </c>
      <c r="Y612" s="730" t="s">
        <v>734</v>
      </c>
      <c r="Z612" s="731">
        <v>2.5661</v>
      </c>
      <c r="AA612" s="732">
        <f>I612*Z612</f>
        <v>61.5864</v>
      </c>
      <c r="AB612" s="712">
        <v>24</v>
      </c>
      <c r="AC612" s="712">
        <f t="shared" ref="AC612:AC631" si="328">AB612-I612</f>
        <v>0</v>
      </c>
      <c r="AD612" s="732" t="s">
        <v>123</v>
      </c>
      <c r="AE612" s="749" t="s">
        <v>166</v>
      </c>
      <c r="AF612" s="730" t="s">
        <v>107</v>
      </c>
      <c r="AG612" s="763" t="s">
        <v>43</v>
      </c>
      <c r="AH612" s="730"/>
      <c r="AI612" s="753"/>
      <c r="AJ612" s="753"/>
      <c r="AK612" s="753"/>
      <c r="AL612" s="712"/>
      <c r="AM612" s="712"/>
      <c r="AN612" s="753"/>
      <c r="AO612" s="708"/>
      <c r="AP612" s="712">
        <f>I612</f>
        <v>24</v>
      </c>
      <c r="AQ612" s="735"/>
      <c r="AR612" s="753"/>
      <c r="AS612" s="753"/>
      <c r="AT612" s="712"/>
      <c r="AU612" s="712">
        <f t="shared" si="327"/>
        <v>24</v>
      </c>
      <c r="AV612" s="734"/>
      <c r="AW612" s="754"/>
      <c r="AX612" s="734"/>
      <c r="AY612" s="734"/>
      <c r="AZ612" s="754"/>
      <c r="BA612" s="734"/>
      <c r="BB612" s="734"/>
      <c r="BC612" s="754"/>
      <c r="BD612" s="754"/>
      <c r="BE612" s="713"/>
      <c r="BF612" s="754"/>
      <c r="BG612" s="734"/>
      <c r="BH612" s="734"/>
      <c r="BI612" s="754"/>
      <c r="BJ612" s="754"/>
      <c r="BK612" s="713"/>
      <c r="BL612" s="734"/>
      <c r="BM612" s="713"/>
      <c r="BN612" s="713"/>
      <c r="BO612" s="713"/>
      <c r="BP612" s="754"/>
      <c r="BQ612" s="713"/>
      <c r="BR612" s="754"/>
      <c r="BS612" s="713"/>
      <c r="BT612" s="713"/>
      <c r="BU612" s="713"/>
      <c r="BV612" s="713"/>
      <c r="BW612" s="728" t="s">
        <v>109</v>
      </c>
      <c r="BX612" s="736"/>
      <c r="BY612" s="736">
        <f>I612</f>
        <v>24</v>
      </c>
      <c r="BZ612" s="736"/>
      <c r="CA612" s="736"/>
      <c r="CB612" s="737">
        <f t="shared" ref="CB612:CB618" si="329">I612</f>
        <v>24</v>
      </c>
      <c r="CC612" s="737"/>
      <c r="CD612" s="737">
        <f t="shared" si="322"/>
        <v>24</v>
      </c>
      <c r="CE612" s="737">
        <f t="shared" si="323"/>
        <v>0</v>
      </c>
    </row>
    <row r="613" s="558" customFormat="1" ht="40" customHeight="1" spans="1:83">
      <c r="A613" s="717">
        <v>46035</v>
      </c>
      <c r="B613" s="718" t="s">
        <v>1587</v>
      </c>
      <c r="C613" s="719" t="s">
        <v>178</v>
      </c>
      <c r="D613" s="720">
        <v>4500191206</v>
      </c>
      <c r="E613" s="721" t="s">
        <v>2780</v>
      </c>
      <c r="F613" s="720" t="s">
        <v>2781</v>
      </c>
      <c r="G613" s="722" t="s">
        <v>159</v>
      </c>
      <c r="H613" s="722" t="s">
        <v>99</v>
      </c>
      <c r="I613" s="765">
        <v>24</v>
      </c>
      <c r="J613" s="723">
        <v>0</v>
      </c>
      <c r="K613" s="724">
        <v>24</v>
      </c>
      <c r="L613" s="724">
        <f t="shared" si="318"/>
        <v>1</v>
      </c>
      <c r="M613" s="725">
        <v>46092</v>
      </c>
      <c r="N613" s="725">
        <v>46088</v>
      </c>
      <c r="O613" s="725"/>
      <c r="P613" s="726" t="s">
        <v>100</v>
      </c>
      <c r="Q613" s="727" t="s">
        <v>2777</v>
      </c>
      <c r="R613" s="726" t="s">
        <v>2778</v>
      </c>
      <c r="S613" s="725"/>
      <c r="T613" s="725"/>
      <c r="U613" s="726" t="s">
        <v>493</v>
      </c>
      <c r="V613" s="726" t="s">
        <v>2765</v>
      </c>
      <c r="W613" s="728"/>
      <c r="X613" s="729" t="s">
        <v>2779</v>
      </c>
      <c r="Y613" s="730" t="s">
        <v>734</v>
      </c>
      <c r="Z613" s="731">
        <v>2.5661</v>
      </c>
      <c r="AA613" s="732">
        <f>I613*Z613</f>
        <v>61.5864</v>
      </c>
      <c r="AB613" s="712">
        <v>24</v>
      </c>
      <c r="AC613" s="712">
        <f t="shared" si="328"/>
        <v>0</v>
      </c>
      <c r="AD613" s="732" t="s">
        <v>106</v>
      </c>
      <c r="AE613" s="749" t="s">
        <v>166</v>
      </c>
      <c r="AF613" s="730" t="s">
        <v>107</v>
      </c>
      <c r="AG613" s="763" t="s">
        <v>43</v>
      </c>
      <c r="AH613" s="730"/>
      <c r="AI613" s="753"/>
      <c r="AJ613" s="753"/>
      <c r="AK613" s="753"/>
      <c r="AL613" s="712"/>
      <c r="AM613" s="712"/>
      <c r="AN613" s="753"/>
      <c r="AO613" s="708"/>
      <c r="AP613" s="712">
        <f t="shared" ref="AP613:AP626" si="330">I613</f>
        <v>24</v>
      </c>
      <c r="AQ613" s="735"/>
      <c r="AR613" s="753"/>
      <c r="AS613" s="753"/>
      <c r="AT613" s="712"/>
      <c r="AU613" s="712">
        <f t="shared" ref="AU613:AU626" si="331">I613</f>
        <v>24</v>
      </c>
      <c r="AV613" s="734"/>
      <c r="AW613" s="754"/>
      <c r="AX613" s="734"/>
      <c r="AY613" s="734"/>
      <c r="AZ613" s="754"/>
      <c r="BA613" s="734"/>
      <c r="BB613" s="734"/>
      <c r="BC613" s="754"/>
      <c r="BD613" s="754"/>
      <c r="BE613" s="713"/>
      <c r="BF613" s="754"/>
      <c r="BG613" s="734"/>
      <c r="BH613" s="734"/>
      <c r="BI613" s="754"/>
      <c r="BJ613" s="754"/>
      <c r="BK613" s="713"/>
      <c r="BL613" s="734"/>
      <c r="BM613" s="713"/>
      <c r="BN613" s="713"/>
      <c r="BO613" s="713"/>
      <c r="BP613" s="754"/>
      <c r="BQ613" s="713"/>
      <c r="BR613" s="754"/>
      <c r="BS613" s="713"/>
      <c r="BT613" s="713"/>
      <c r="BU613" s="713"/>
      <c r="BV613" s="713"/>
      <c r="BW613" s="728" t="s">
        <v>109</v>
      </c>
      <c r="BX613" s="736"/>
      <c r="BY613" s="736">
        <f>I613</f>
        <v>24</v>
      </c>
      <c r="BZ613" s="736"/>
      <c r="CA613" s="736"/>
      <c r="CB613" s="737">
        <f t="shared" si="329"/>
        <v>24</v>
      </c>
      <c r="CC613" s="737"/>
      <c r="CD613" s="737">
        <f t="shared" si="322"/>
        <v>24</v>
      </c>
      <c r="CE613" s="737">
        <f t="shared" si="323"/>
        <v>0</v>
      </c>
    </row>
    <row r="614" s="558" customFormat="1" ht="40" customHeight="1" spans="1:83">
      <c r="A614" s="717">
        <v>46035</v>
      </c>
      <c r="B614" s="718" t="s">
        <v>1587</v>
      </c>
      <c r="C614" s="719" t="s">
        <v>178</v>
      </c>
      <c r="D614" s="720">
        <v>4500191206</v>
      </c>
      <c r="E614" s="721" t="s">
        <v>2782</v>
      </c>
      <c r="F614" s="720" t="s">
        <v>2783</v>
      </c>
      <c r="G614" s="722" t="s">
        <v>141</v>
      </c>
      <c r="H614" s="722" t="s">
        <v>99</v>
      </c>
      <c r="I614" s="765">
        <v>24</v>
      </c>
      <c r="J614" s="723">
        <v>0</v>
      </c>
      <c r="K614" s="724">
        <v>24</v>
      </c>
      <c r="L614" s="724">
        <f t="shared" si="318"/>
        <v>1</v>
      </c>
      <c r="M614" s="725">
        <v>46092</v>
      </c>
      <c r="N614" s="725">
        <v>46088</v>
      </c>
      <c r="O614" s="725"/>
      <c r="P614" s="726" t="s">
        <v>100</v>
      </c>
      <c r="Q614" s="727" t="s">
        <v>2777</v>
      </c>
      <c r="R614" s="726" t="s">
        <v>2778</v>
      </c>
      <c r="S614" s="725"/>
      <c r="T614" s="725"/>
      <c r="U614" s="726" t="s">
        <v>493</v>
      </c>
      <c r="V614" s="726" t="s">
        <v>2765</v>
      </c>
      <c r="W614" s="728"/>
      <c r="X614" s="729" t="s">
        <v>2779</v>
      </c>
      <c r="Y614" s="730" t="s">
        <v>734</v>
      </c>
      <c r="Z614" s="731">
        <v>2.5661</v>
      </c>
      <c r="AA614" s="732">
        <f>Z614*'9543'!I614</f>
        <v>61.5864</v>
      </c>
      <c r="AB614" s="712">
        <v>24</v>
      </c>
      <c r="AC614" s="712">
        <f t="shared" si="328"/>
        <v>0</v>
      </c>
      <c r="AD614" s="732" t="s">
        <v>106</v>
      </c>
      <c r="AE614" s="722" t="s">
        <v>153</v>
      </c>
      <c r="AF614" s="730" t="s">
        <v>107</v>
      </c>
      <c r="AG614" s="763" t="s">
        <v>43</v>
      </c>
      <c r="AH614" s="730"/>
      <c r="AI614" s="753"/>
      <c r="AJ614" s="753"/>
      <c r="AK614" s="753"/>
      <c r="AL614" s="712"/>
      <c r="AM614" s="712"/>
      <c r="AN614" s="753"/>
      <c r="AO614" s="708"/>
      <c r="AP614" s="712">
        <f t="shared" si="330"/>
        <v>24</v>
      </c>
      <c r="AQ614" s="735"/>
      <c r="AR614" s="753"/>
      <c r="AS614" s="753"/>
      <c r="AT614" s="712"/>
      <c r="AU614" s="712">
        <f t="shared" si="331"/>
        <v>24</v>
      </c>
      <c r="AV614" s="734"/>
      <c r="AW614" s="754"/>
      <c r="AX614" s="734"/>
      <c r="AY614" s="734"/>
      <c r="AZ614" s="754"/>
      <c r="BA614" s="734"/>
      <c r="BB614" s="734"/>
      <c r="BC614" s="754"/>
      <c r="BD614" s="754"/>
      <c r="BE614" s="713"/>
      <c r="BF614" s="754"/>
      <c r="BG614" s="734"/>
      <c r="BH614" s="734"/>
      <c r="BI614" s="754"/>
      <c r="BJ614" s="754"/>
      <c r="BK614" s="713"/>
      <c r="BL614" s="734"/>
      <c r="BM614" s="713"/>
      <c r="BN614" s="713"/>
      <c r="BO614" s="713"/>
      <c r="BP614" s="754"/>
      <c r="BQ614" s="713"/>
      <c r="BR614" s="754"/>
      <c r="BS614" s="713"/>
      <c r="BT614" s="713"/>
      <c r="BU614" s="713"/>
      <c r="BV614" s="713"/>
      <c r="BW614" s="728" t="s">
        <v>109</v>
      </c>
      <c r="BX614" s="736"/>
      <c r="BY614" s="736"/>
      <c r="BZ614" s="736">
        <f>I614</f>
        <v>24</v>
      </c>
      <c r="CA614" s="736"/>
      <c r="CB614" s="737">
        <f t="shared" si="329"/>
        <v>24</v>
      </c>
      <c r="CC614" s="737"/>
      <c r="CD614" s="737">
        <f t="shared" si="322"/>
        <v>24</v>
      </c>
      <c r="CE614" s="737">
        <f t="shared" si="323"/>
        <v>0</v>
      </c>
    </row>
    <row r="615" s="558" customFormat="1" ht="40" customHeight="1" spans="1:83">
      <c r="A615" s="717">
        <v>46035</v>
      </c>
      <c r="B615" s="718" t="s">
        <v>1587</v>
      </c>
      <c r="C615" s="719" t="s">
        <v>178</v>
      </c>
      <c r="D615" s="720">
        <v>4500191206</v>
      </c>
      <c r="E615" s="721" t="s">
        <v>2784</v>
      </c>
      <c r="F615" s="720" t="s">
        <v>2785</v>
      </c>
      <c r="G615" s="722" t="s">
        <v>141</v>
      </c>
      <c r="H615" s="722" t="s">
        <v>99</v>
      </c>
      <c r="I615" s="765">
        <v>24</v>
      </c>
      <c r="J615" s="723">
        <v>0</v>
      </c>
      <c r="K615" s="724">
        <v>24</v>
      </c>
      <c r="L615" s="724">
        <f t="shared" si="318"/>
        <v>1</v>
      </c>
      <c r="M615" s="725">
        <v>46092</v>
      </c>
      <c r="N615" s="725">
        <v>46088</v>
      </c>
      <c r="O615" s="725"/>
      <c r="P615" s="726" t="s">
        <v>100</v>
      </c>
      <c r="Q615" s="727" t="s">
        <v>2777</v>
      </c>
      <c r="R615" s="726" t="s">
        <v>2778</v>
      </c>
      <c r="S615" s="725"/>
      <c r="T615" s="725"/>
      <c r="U615" s="726" t="s">
        <v>493</v>
      </c>
      <c r="V615" s="726" t="s">
        <v>2765</v>
      </c>
      <c r="W615" s="728"/>
      <c r="X615" s="729" t="s">
        <v>2779</v>
      </c>
      <c r="Y615" s="730" t="s">
        <v>734</v>
      </c>
      <c r="Z615" s="731">
        <v>2.5661</v>
      </c>
      <c r="AA615" s="732">
        <f>Z615*'9543'!I615</f>
        <v>61.5864</v>
      </c>
      <c r="AB615" s="712">
        <v>24</v>
      </c>
      <c r="AC615" s="712">
        <f t="shared" si="328"/>
        <v>0</v>
      </c>
      <c r="AD615" s="732" t="s">
        <v>106</v>
      </c>
      <c r="AE615" s="722" t="s">
        <v>153</v>
      </c>
      <c r="AF615" s="730" t="s">
        <v>107</v>
      </c>
      <c r="AG615" s="763" t="s">
        <v>43</v>
      </c>
      <c r="AH615" s="730"/>
      <c r="AI615" s="753"/>
      <c r="AJ615" s="753"/>
      <c r="AK615" s="753"/>
      <c r="AL615" s="712"/>
      <c r="AM615" s="712"/>
      <c r="AN615" s="753"/>
      <c r="AO615" s="708"/>
      <c r="AP615" s="712">
        <f t="shared" si="330"/>
        <v>24</v>
      </c>
      <c r="AQ615" s="735"/>
      <c r="AR615" s="753"/>
      <c r="AS615" s="753"/>
      <c r="AT615" s="712"/>
      <c r="AU615" s="712">
        <f t="shared" si="331"/>
        <v>24</v>
      </c>
      <c r="AV615" s="734"/>
      <c r="AW615" s="754"/>
      <c r="AX615" s="734"/>
      <c r="AY615" s="734"/>
      <c r="AZ615" s="754"/>
      <c r="BA615" s="734"/>
      <c r="BB615" s="734"/>
      <c r="BC615" s="754"/>
      <c r="BD615" s="754"/>
      <c r="BE615" s="713"/>
      <c r="BF615" s="754"/>
      <c r="BG615" s="734"/>
      <c r="BH615" s="734"/>
      <c r="BI615" s="754"/>
      <c r="BJ615" s="754"/>
      <c r="BK615" s="713"/>
      <c r="BL615" s="734"/>
      <c r="BM615" s="713"/>
      <c r="BN615" s="713"/>
      <c r="BO615" s="713"/>
      <c r="BP615" s="754"/>
      <c r="BQ615" s="713"/>
      <c r="BR615" s="754"/>
      <c r="BS615" s="713"/>
      <c r="BT615" s="713"/>
      <c r="BU615" s="713"/>
      <c r="BV615" s="713"/>
      <c r="BW615" s="728" t="s">
        <v>109</v>
      </c>
      <c r="BX615" s="736"/>
      <c r="BY615" s="736"/>
      <c r="BZ615" s="736">
        <f>I615</f>
        <v>24</v>
      </c>
      <c r="CA615" s="736"/>
      <c r="CB615" s="737">
        <f t="shared" si="329"/>
        <v>24</v>
      </c>
      <c r="CC615" s="737"/>
      <c r="CD615" s="737">
        <f t="shared" si="322"/>
        <v>24</v>
      </c>
      <c r="CE615" s="737">
        <f t="shared" si="323"/>
        <v>0</v>
      </c>
    </row>
    <row r="616" s="558" customFormat="1" ht="40" customHeight="1" spans="1:83">
      <c r="A616" s="717">
        <v>46035</v>
      </c>
      <c r="B616" s="718" t="s">
        <v>1587</v>
      </c>
      <c r="C616" s="719" t="s">
        <v>178</v>
      </c>
      <c r="D616" s="720">
        <v>4500191206</v>
      </c>
      <c r="E616" s="721" t="s">
        <v>2786</v>
      </c>
      <c r="F616" s="720" t="s">
        <v>2787</v>
      </c>
      <c r="G616" s="722" t="s">
        <v>141</v>
      </c>
      <c r="H616" s="722" t="s">
        <v>99</v>
      </c>
      <c r="I616" s="765">
        <v>24</v>
      </c>
      <c r="J616" s="723">
        <v>0</v>
      </c>
      <c r="K616" s="724">
        <v>24</v>
      </c>
      <c r="L616" s="724">
        <f t="shared" si="318"/>
        <v>1</v>
      </c>
      <c r="M616" s="725">
        <v>46092</v>
      </c>
      <c r="N616" s="725">
        <v>46088</v>
      </c>
      <c r="O616" s="725"/>
      <c r="P616" s="726" t="s">
        <v>100</v>
      </c>
      <c r="Q616" s="727" t="s">
        <v>2777</v>
      </c>
      <c r="R616" s="726" t="s">
        <v>2778</v>
      </c>
      <c r="S616" s="725"/>
      <c r="T616" s="725"/>
      <c r="U616" s="726" t="s">
        <v>493</v>
      </c>
      <c r="V616" s="726" t="s">
        <v>2765</v>
      </c>
      <c r="W616" s="728"/>
      <c r="X616" s="729" t="s">
        <v>2779</v>
      </c>
      <c r="Y616" s="730" t="s">
        <v>734</v>
      </c>
      <c r="Z616" s="731">
        <v>2.5661</v>
      </c>
      <c r="AA616" s="732">
        <f>Z616*'9543'!I616</f>
        <v>61.5864</v>
      </c>
      <c r="AB616" s="712">
        <v>24</v>
      </c>
      <c r="AC616" s="712">
        <f t="shared" si="328"/>
        <v>0</v>
      </c>
      <c r="AD616" s="732" t="s">
        <v>106</v>
      </c>
      <c r="AE616" s="722" t="s">
        <v>153</v>
      </c>
      <c r="AF616" s="730" t="s">
        <v>107</v>
      </c>
      <c r="AG616" s="763" t="s">
        <v>43</v>
      </c>
      <c r="AH616" s="730"/>
      <c r="AI616" s="753"/>
      <c r="AJ616" s="753"/>
      <c r="AK616" s="753"/>
      <c r="AL616" s="712"/>
      <c r="AM616" s="712"/>
      <c r="AN616" s="753"/>
      <c r="AO616" s="708"/>
      <c r="AP616" s="712">
        <f t="shared" si="330"/>
        <v>24</v>
      </c>
      <c r="AQ616" s="735"/>
      <c r="AR616" s="753"/>
      <c r="AS616" s="753"/>
      <c r="AT616" s="712"/>
      <c r="AU616" s="712">
        <f t="shared" si="331"/>
        <v>24</v>
      </c>
      <c r="AV616" s="734"/>
      <c r="AW616" s="754"/>
      <c r="AX616" s="734"/>
      <c r="AY616" s="734"/>
      <c r="AZ616" s="754"/>
      <c r="BA616" s="734"/>
      <c r="BB616" s="734"/>
      <c r="BC616" s="754"/>
      <c r="BD616" s="754"/>
      <c r="BE616" s="713"/>
      <c r="BF616" s="754"/>
      <c r="BG616" s="734"/>
      <c r="BH616" s="734"/>
      <c r="BI616" s="754"/>
      <c r="BJ616" s="754"/>
      <c r="BK616" s="713"/>
      <c r="BL616" s="734"/>
      <c r="BM616" s="713"/>
      <c r="BN616" s="713"/>
      <c r="BO616" s="713"/>
      <c r="BP616" s="754"/>
      <c r="BQ616" s="713"/>
      <c r="BR616" s="754"/>
      <c r="BS616" s="713"/>
      <c r="BT616" s="713"/>
      <c r="BU616" s="713"/>
      <c r="BV616" s="713"/>
      <c r="BW616" s="728" t="s">
        <v>109</v>
      </c>
      <c r="BX616" s="736"/>
      <c r="BY616" s="736"/>
      <c r="BZ616" s="736">
        <f>I616</f>
        <v>24</v>
      </c>
      <c r="CA616" s="736"/>
      <c r="CB616" s="737">
        <f t="shared" si="329"/>
        <v>24</v>
      </c>
      <c r="CC616" s="737"/>
      <c r="CD616" s="737">
        <f t="shared" si="322"/>
        <v>24</v>
      </c>
      <c r="CE616" s="737">
        <f t="shared" si="323"/>
        <v>0</v>
      </c>
    </row>
    <row r="617" s="558" customFormat="1" ht="40" customHeight="1" spans="1:83">
      <c r="A617" s="717">
        <v>46035</v>
      </c>
      <c r="B617" s="718" t="s">
        <v>1587</v>
      </c>
      <c r="C617" s="719" t="s">
        <v>178</v>
      </c>
      <c r="D617" s="720">
        <v>4500191206</v>
      </c>
      <c r="E617" s="721" t="s">
        <v>2788</v>
      </c>
      <c r="F617" s="720" t="s">
        <v>2789</v>
      </c>
      <c r="G617" s="722" t="s">
        <v>141</v>
      </c>
      <c r="H617" s="722" t="s">
        <v>99</v>
      </c>
      <c r="I617" s="765">
        <v>24</v>
      </c>
      <c r="J617" s="723">
        <v>0</v>
      </c>
      <c r="K617" s="724">
        <v>24</v>
      </c>
      <c r="L617" s="724">
        <f t="shared" si="318"/>
        <v>1</v>
      </c>
      <c r="M617" s="725">
        <v>46092</v>
      </c>
      <c r="N617" s="725">
        <v>46088</v>
      </c>
      <c r="O617" s="725"/>
      <c r="P617" s="726" t="s">
        <v>100</v>
      </c>
      <c r="Q617" s="727" t="s">
        <v>2777</v>
      </c>
      <c r="R617" s="726" t="s">
        <v>2778</v>
      </c>
      <c r="S617" s="725"/>
      <c r="T617" s="725"/>
      <c r="U617" s="726" t="s">
        <v>493</v>
      </c>
      <c r="V617" s="726" t="s">
        <v>2765</v>
      </c>
      <c r="W617" s="728"/>
      <c r="X617" s="729" t="s">
        <v>2779</v>
      </c>
      <c r="Y617" s="730" t="s">
        <v>734</v>
      </c>
      <c r="Z617" s="731">
        <v>2.5661</v>
      </c>
      <c r="AA617" s="732">
        <f>Z617*'9543'!I617</f>
        <v>61.5864</v>
      </c>
      <c r="AB617" s="712">
        <v>24</v>
      </c>
      <c r="AC617" s="712">
        <f t="shared" si="328"/>
        <v>0</v>
      </c>
      <c r="AD617" s="732" t="s">
        <v>106</v>
      </c>
      <c r="AE617" s="722" t="s">
        <v>153</v>
      </c>
      <c r="AF617" s="730" t="s">
        <v>107</v>
      </c>
      <c r="AG617" s="763" t="s">
        <v>43</v>
      </c>
      <c r="AH617" s="730"/>
      <c r="AI617" s="753"/>
      <c r="AJ617" s="753"/>
      <c r="AK617" s="753"/>
      <c r="AL617" s="712"/>
      <c r="AM617" s="712"/>
      <c r="AN617" s="753"/>
      <c r="AO617" s="708"/>
      <c r="AP617" s="712">
        <f t="shared" si="330"/>
        <v>24</v>
      </c>
      <c r="AQ617" s="735"/>
      <c r="AR617" s="753"/>
      <c r="AS617" s="753"/>
      <c r="AT617" s="712"/>
      <c r="AU617" s="712">
        <f t="shared" si="331"/>
        <v>24</v>
      </c>
      <c r="AV617" s="734"/>
      <c r="AW617" s="754"/>
      <c r="AX617" s="734"/>
      <c r="AY617" s="734"/>
      <c r="AZ617" s="754"/>
      <c r="BA617" s="734"/>
      <c r="BB617" s="734"/>
      <c r="BC617" s="754"/>
      <c r="BD617" s="754"/>
      <c r="BE617" s="713"/>
      <c r="BF617" s="754"/>
      <c r="BG617" s="734"/>
      <c r="BH617" s="734"/>
      <c r="BI617" s="754"/>
      <c r="BJ617" s="754"/>
      <c r="BK617" s="713"/>
      <c r="BL617" s="734"/>
      <c r="BM617" s="713"/>
      <c r="BN617" s="713"/>
      <c r="BO617" s="713"/>
      <c r="BP617" s="754"/>
      <c r="BQ617" s="713"/>
      <c r="BR617" s="754"/>
      <c r="BS617" s="713"/>
      <c r="BT617" s="713"/>
      <c r="BU617" s="713"/>
      <c r="BV617" s="713"/>
      <c r="BW617" s="728" t="s">
        <v>109</v>
      </c>
      <c r="BX617" s="736"/>
      <c r="BY617" s="736"/>
      <c r="BZ617" s="736">
        <f>I617</f>
        <v>24</v>
      </c>
      <c r="CA617" s="736"/>
      <c r="CB617" s="737">
        <f t="shared" si="329"/>
        <v>24</v>
      </c>
      <c r="CC617" s="737"/>
      <c r="CD617" s="737">
        <f t="shared" si="322"/>
        <v>24</v>
      </c>
      <c r="CE617" s="737">
        <f t="shared" si="323"/>
        <v>0</v>
      </c>
    </row>
    <row r="618" s="558" customFormat="1" ht="40" customHeight="1" spans="1:83">
      <c r="A618" s="717">
        <v>46035</v>
      </c>
      <c r="B618" s="718" t="s">
        <v>1587</v>
      </c>
      <c r="C618" s="719" t="s">
        <v>178</v>
      </c>
      <c r="D618" s="720">
        <v>4500191206</v>
      </c>
      <c r="E618" s="721" t="s">
        <v>2790</v>
      </c>
      <c r="F618" s="720" t="s">
        <v>2791</v>
      </c>
      <c r="G618" s="722" t="s">
        <v>141</v>
      </c>
      <c r="H618" s="722" t="s">
        <v>99</v>
      </c>
      <c r="I618" s="765">
        <v>24</v>
      </c>
      <c r="J618" s="723">
        <v>0</v>
      </c>
      <c r="K618" s="724">
        <v>24</v>
      </c>
      <c r="L618" s="724">
        <f t="shared" si="318"/>
        <v>1</v>
      </c>
      <c r="M618" s="725">
        <v>46092</v>
      </c>
      <c r="N618" s="725">
        <v>46088</v>
      </c>
      <c r="O618" s="725"/>
      <c r="P618" s="726" t="s">
        <v>100</v>
      </c>
      <c r="Q618" s="727" t="s">
        <v>2777</v>
      </c>
      <c r="R618" s="726" t="s">
        <v>2778</v>
      </c>
      <c r="S618" s="725"/>
      <c r="T618" s="725"/>
      <c r="U618" s="726" t="s">
        <v>493</v>
      </c>
      <c r="V618" s="726" t="s">
        <v>2765</v>
      </c>
      <c r="W618" s="728"/>
      <c r="X618" s="729" t="s">
        <v>2779</v>
      </c>
      <c r="Y618" s="730" t="s">
        <v>734</v>
      </c>
      <c r="Z618" s="731">
        <v>2.5661</v>
      </c>
      <c r="AA618" s="732">
        <f>Z618*'9543'!I618</f>
        <v>61.5864</v>
      </c>
      <c r="AB618" s="712">
        <v>24</v>
      </c>
      <c r="AC618" s="712">
        <f t="shared" si="328"/>
        <v>0</v>
      </c>
      <c r="AD618" s="732" t="s">
        <v>106</v>
      </c>
      <c r="AE618" s="722" t="s">
        <v>153</v>
      </c>
      <c r="AF618" s="730" t="s">
        <v>107</v>
      </c>
      <c r="AG618" s="763" t="s">
        <v>43</v>
      </c>
      <c r="AH618" s="730"/>
      <c r="AI618" s="753"/>
      <c r="AJ618" s="753"/>
      <c r="AK618" s="753"/>
      <c r="AL618" s="712"/>
      <c r="AM618" s="712"/>
      <c r="AN618" s="753"/>
      <c r="AO618" s="708"/>
      <c r="AP618" s="712">
        <f t="shared" si="330"/>
        <v>24</v>
      </c>
      <c r="AQ618" s="735"/>
      <c r="AR618" s="753"/>
      <c r="AS618" s="753"/>
      <c r="AT618" s="712"/>
      <c r="AU618" s="712">
        <f t="shared" si="331"/>
        <v>24</v>
      </c>
      <c r="AV618" s="734"/>
      <c r="AW618" s="754"/>
      <c r="AX618" s="734"/>
      <c r="AY618" s="734"/>
      <c r="AZ618" s="754"/>
      <c r="BA618" s="734"/>
      <c r="BB618" s="734"/>
      <c r="BC618" s="754"/>
      <c r="BD618" s="754"/>
      <c r="BE618" s="713"/>
      <c r="BF618" s="754"/>
      <c r="BG618" s="734"/>
      <c r="BH618" s="734"/>
      <c r="BI618" s="754"/>
      <c r="BJ618" s="754"/>
      <c r="BK618" s="713"/>
      <c r="BL618" s="734"/>
      <c r="BM618" s="713"/>
      <c r="BN618" s="713"/>
      <c r="BO618" s="713"/>
      <c r="BP618" s="754"/>
      <c r="BQ618" s="713"/>
      <c r="BR618" s="754"/>
      <c r="BS618" s="713"/>
      <c r="BT618" s="713"/>
      <c r="BU618" s="713"/>
      <c r="BV618" s="713"/>
      <c r="BW618" s="728" t="s">
        <v>109</v>
      </c>
      <c r="BX618" s="736"/>
      <c r="BY618" s="736"/>
      <c r="BZ618" s="736">
        <f>I618</f>
        <v>24</v>
      </c>
      <c r="CA618" s="736"/>
      <c r="CB618" s="737">
        <f t="shared" si="329"/>
        <v>24</v>
      </c>
      <c r="CC618" s="737"/>
      <c r="CD618" s="737">
        <f t="shared" si="322"/>
        <v>24</v>
      </c>
      <c r="CE618" s="737">
        <f t="shared" si="323"/>
        <v>0</v>
      </c>
    </row>
    <row r="619" s="558" customFormat="1" ht="40" customHeight="1" spans="1:83">
      <c r="A619" s="717">
        <v>46035</v>
      </c>
      <c r="B619" s="718" t="s">
        <v>1587</v>
      </c>
      <c r="C619" s="719" t="s">
        <v>178</v>
      </c>
      <c r="D619" s="720">
        <v>4500191206</v>
      </c>
      <c r="E619" s="721" t="s">
        <v>2792</v>
      </c>
      <c r="F619" s="720" t="s">
        <v>2793</v>
      </c>
      <c r="G619" s="722" t="s">
        <v>189</v>
      </c>
      <c r="H619" s="722" t="s">
        <v>99</v>
      </c>
      <c r="I619" s="765">
        <v>24</v>
      </c>
      <c r="J619" s="723">
        <v>0</v>
      </c>
      <c r="K619" s="724">
        <v>24</v>
      </c>
      <c r="L619" s="724">
        <f t="shared" ref="L619:L682" si="332">I619/K619</f>
        <v>1</v>
      </c>
      <c r="M619" s="725">
        <v>46092</v>
      </c>
      <c r="N619" s="725">
        <v>46088</v>
      </c>
      <c r="O619" s="725"/>
      <c r="P619" s="726" t="s">
        <v>100</v>
      </c>
      <c r="Q619" s="727" t="s">
        <v>2777</v>
      </c>
      <c r="R619" s="726" t="s">
        <v>2778</v>
      </c>
      <c r="S619" s="725"/>
      <c r="T619" s="725"/>
      <c r="U619" s="726" t="s">
        <v>493</v>
      </c>
      <c r="V619" s="726" t="s">
        <v>2765</v>
      </c>
      <c r="W619" s="728"/>
      <c r="X619" s="729" t="s">
        <v>2779</v>
      </c>
      <c r="Y619" s="730" t="s">
        <v>734</v>
      </c>
      <c r="Z619" s="731">
        <v>2.5661</v>
      </c>
      <c r="AA619" s="732">
        <f t="shared" ref="AA619:AA682" si="333">I619*Z619</f>
        <v>61.5864</v>
      </c>
      <c r="AB619" s="712">
        <v>24</v>
      </c>
      <c r="AC619" s="712">
        <f t="shared" si="328"/>
        <v>0</v>
      </c>
      <c r="AD619" s="732" t="s">
        <v>106</v>
      </c>
      <c r="AE619" s="722" t="s">
        <v>190</v>
      </c>
      <c r="AF619" s="730" t="s">
        <v>107</v>
      </c>
      <c r="AG619" s="763" t="s">
        <v>43</v>
      </c>
      <c r="AH619" s="730"/>
      <c r="AI619" s="753"/>
      <c r="AJ619" s="753"/>
      <c r="AK619" s="753"/>
      <c r="AL619" s="712"/>
      <c r="AM619" s="712"/>
      <c r="AN619" s="753"/>
      <c r="AO619" s="708"/>
      <c r="AP619" s="712">
        <f t="shared" si="330"/>
        <v>24</v>
      </c>
      <c r="AQ619" s="735"/>
      <c r="AR619" s="753"/>
      <c r="AS619" s="753"/>
      <c r="AT619" s="712"/>
      <c r="AU619" s="712">
        <f t="shared" si="331"/>
        <v>24</v>
      </c>
      <c r="AV619" s="734"/>
      <c r="AW619" s="754"/>
      <c r="AX619" s="734"/>
      <c r="AY619" s="734"/>
      <c r="AZ619" s="754"/>
      <c r="BA619" s="734"/>
      <c r="BB619" s="734"/>
      <c r="BC619" s="754"/>
      <c r="BD619" s="754"/>
      <c r="BE619" s="713"/>
      <c r="BF619" s="754"/>
      <c r="BG619" s="734"/>
      <c r="BH619" s="734"/>
      <c r="BI619" s="754"/>
      <c r="BJ619" s="754"/>
      <c r="BK619" s="713"/>
      <c r="BL619" s="734"/>
      <c r="BM619" s="713"/>
      <c r="BN619" s="713"/>
      <c r="BO619" s="713"/>
      <c r="BP619" s="754"/>
      <c r="BQ619" s="713"/>
      <c r="BR619" s="754"/>
      <c r="BS619" s="713"/>
      <c r="BT619" s="713"/>
      <c r="BU619" s="713"/>
      <c r="BV619" s="713"/>
      <c r="BW619" s="728" t="s">
        <v>109</v>
      </c>
      <c r="BX619" s="736"/>
      <c r="BY619" s="736"/>
      <c r="BZ619" s="736"/>
      <c r="CA619" s="736">
        <f t="shared" ref="CA619:CA624" si="334">I619</f>
        <v>24</v>
      </c>
      <c r="CB619" s="737">
        <f t="shared" ref="CB619:CB626" si="335">I619</f>
        <v>24</v>
      </c>
      <c r="CC619" s="737"/>
      <c r="CD619" s="737">
        <f t="shared" ref="CD619:CD626" si="336">SUM(BX619:CA619)</f>
        <v>24</v>
      </c>
      <c r="CE619" s="737">
        <f t="shared" ref="CE619:CE626" si="337">I619-CD619</f>
        <v>0</v>
      </c>
    </row>
    <row r="620" s="558" customFormat="1" ht="40" customHeight="1" spans="1:83">
      <c r="A620" s="717">
        <v>46035</v>
      </c>
      <c r="B620" s="718" t="s">
        <v>1587</v>
      </c>
      <c r="C620" s="719" t="s">
        <v>178</v>
      </c>
      <c r="D620" s="720">
        <v>4500191206</v>
      </c>
      <c r="E620" s="721" t="s">
        <v>2794</v>
      </c>
      <c r="F620" s="720" t="s">
        <v>2795</v>
      </c>
      <c r="G620" s="722" t="s">
        <v>189</v>
      </c>
      <c r="H620" s="722" t="s">
        <v>99</v>
      </c>
      <c r="I620" s="765">
        <v>24</v>
      </c>
      <c r="J620" s="723">
        <v>0</v>
      </c>
      <c r="K620" s="724">
        <v>24</v>
      </c>
      <c r="L620" s="724">
        <f t="shared" si="332"/>
        <v>1</v>
      </c>
      <c r="M620" s="725">
        <v>46092</v>
      </c>
      <c r="N620" s="725">
        <v>46088</v>
      </c>
      <c r="O620" s="725"/>
      <c r="P620" s="726" t="s">
        <v>100</v>
      </c>
      <c r="Q620" s="727" t="s">
        <v>2777</v>
      </c>
      <c r="R620" s="726" t="s">
        <v>2778</v>
      </c>
      <c r="S620" s="725"/>
      <c r="T620" s="725"/>
      <c r="U620" s="726" t="s">
        <v>493</v>
      </c>
      <c r="V620" s="726" t="s">
        <v>2765</v>
      </c>
      <c r="W620" s="728"/>
      <c r="X620" s="729" t="s">
        <v>2779</v>
      </c>
      <c r="Y620" s="730" t="s">
        <v>734</v>
      </c>
      <c r="Z620" s="731">
        <v>2.5661</v>
      </c>
      <c r="AA620" s="732">
        <f t="shared" si="333"/>
        <v>61.5864</v>
      </c>
      <c r="AB620" s="712">
        <v>24</v>
      </c>
      <c r="AC620" s="712">
        <f t="shared" si="328"/>
        <v>0</v>
      </c>
      <c r="AD620" s="732" t="s">
        <v>106</v>
      </c>
      <c r="AE620" s="722" t="s">
        <v>190</v>
      </c>
      <c r="AF620" s="730" t="s">
        <v>107</v>
      </c>
      <c r="AG620" s="763" t="s">
        <v>43</v>
      </c>
      <c r="AH620" s="730"/>
      <c r="AI620" s="753"/>
      <c r="AJ620" s="753"/>
      <c r="AK620" s="753"/>
      <c r="AL620" s="712"/>
      <c r="AM620" s="712"/>
      <c r="AN620" s="753"/>
      <c r="AO620" s="708"/>
      <c r="AP620" s="712">
        <f t="shared" si="330"/>
        <v>24</v>
      </c>
      <c r="AQ620" s="735"/>
      <c r="AR620" s="753"/>
      <c r="AS620" s="753"/>
      <c r="AT620" s="712"/>
      <c r="AU620" s="712">
        <f t="shared" si="331"/>
        <v>24</v>
      </c>
      <c r="AV620" s="734"/>
      <c r="AW620" s="754"/>
      <c r="AX620" s="734"/>
      <c r="AY620" s="734"/>
      <c r="AZ620" s="754"/>
      <c r="BA620" s="734"/>
      <c r="BB620" s="734"/>
      <c r="BC620" s="754"/>
      <c r="BD620" s="754"/>
      <c r="BE620" s="713"/>
      <c r="BF620" s="754"/>
      <c r="BG620" s="734"/>
      <c r="BH620" s="734"/>
      <c r="BI620" s="754"/>
      <c r="BJ620" s="754"/>
      <c r="BK620" s="713"/>
      <c r="BL620" s="734"/>
      <c r="BM620" s="713"/>
      <c r="BN620" s="713"/>
      <c r="BO620" s="713"/>
      <c r="BP620" s="754"/>
      <c r="BQ620" s="713"/>
      <c r="BR620" s="754"/>
      <c r="BS620" s="713"/>
      <c r="BT620" s="713"/>
      <c r="BU620" s="713"/>
      <c r="BV620" s="713"/>
      <c r="BW620" s="728" t="s">
        <v>109</v>
      </c>
      <c r="BX620" s="736"/>
      <c r="BY620" s="736"/>
      <c r="BZ620" s="736"/>
      <c r="CA620" s="736">
        <f t="shared" si="334"/>
        <v>24</v>
      </c>
      <c r="CB620" s="737">
        <f t="shared" si="335"/>
        <v>24</v>
      </c>
      <c r="CC620" s="737"/>
      <c r="CD620" s="737">
        <f t="shared" si="336"/>
        <v>24</v>
      </c>
      <c r="CE620" s="737">
        <f t="shared" si="337"/>
        <v>0</v>
      </c>
    </row>
    <row r="621" s="558" customFormat="1" ht="40" customHeight="1" spans="1:83">
      <c r="A621" s="717">
        <v>46035</v>
      </c>
      <c r="B621" s="718" t="s">
        <v>1587</v>
      </c>
      <c r="C621" s="719" t="s">
        <v>178</v>
      </c>
      <c r="D621" s="720">
        <v>4500191206</v>
      </c>
      <c r="E621" s="721" t="s">
        <v>2796</v>
      </c>
      <c r="F621" s="720" t="s">
        <v>2797</v>
      </c>
      <c r="G621" s="722" t="s">
        <v>189</v>
      </c>
      <c r="H621" s="722" t="s">
        <v>99</v>
      </c>
      <c r="I621" s="765">
        <v>24</v>
      </c>
      <c r="J621" s="723">
        <v>0</v>
      </c>
      <c r="K621" s="724">
        <v>24</v>
      </c>
      <c r="L621" s="724">
        <f t="shared" si="332"/>
        <v>1</v>
      </c>
      <c r="M621" s="725">
        <v>46092</v>
      </c>
      <c r="N621" s="725">
        <v>46088</v>
      </c>
      <c r="O621" s="725"/>
      <c r="P621" s="726" t="s">
        <v>100</v>
      </c>
      <c r="Q621" s="727" t="s">
        <v>2777</v>
      </c>
      <c r="R621" s="726" t="s">
        <v>2778</v>
      </c>
      <c r="S621" s="725"/>
      <c r="T621" s="725"/>
      <c r="U621" s="726" t="s">
        <v>493</v>
      </c>
      <c r="V621" s="726" t="s">
        <v>2765</v>
      </c>
      <c r="W621" s="728"/>
      <c r="X621" s="729" t="s">
        <v>2779</v>
      </c>
      <c r="Y621" s="730" t="s">
        <v>734</v>
      </c>
      <c r="Z621" s="731">
        <v>2.5661</v>
      </c>
      <c r="AA621" s="732">
        <f t="shared" si="333"/>
        <v>61.5864</v>
      </c>
      <c r="AB621" s="712">
        <v>24</v>
      </c>
      <c r="AC621" s="712">
        <f t="shared" si="328"/>
        <v>0</v>
      </c>
      <c r="AD621" s="732" t="s">
        <v>106</v>
      </c>
      <c r="AE621" s="722" t="s">
        <v>190</v>
      </c>
      <c r="AF621" s="730" t="s">
        <v>107</v>
      </c>
      <c r="AG621" s="763" t="s">
        <v>43</v>
      </c>
      <c r="AH621" s="730"/>
      <c r="AI621" s="753"/>
      <c r="AJ621" s="753"/>
      <c r="AK621" s="753"/>
      <c r="AL621" s="712"/>
      <c r="AM621" s="712"/>
      <c r="AN621" s="753"/>
      <c r="AO621" s="708"/>
      <c r="AP621" s="712">
        <f t="shared" si="330"/>
        <v>24</v>
      </c>
      <c r="AQ621" s="735"/>
      <c r="AR621" s="753"/>
      <c r="AS621" s="753"/>
      <c r="AT621" s="712"/>
      <c r="AU621" s="712">
        <f t="shared" si="331"/>
        <v>24</v>
      </c>
      <c r="AV621" s="734"/>
      <c r="AW621" s="754"/>
      <c r="AX621" s="734"/>
      <c r="AY621" s="734"/>
      <c r="AZ621" s="754"/>
      <c r="BA621" s="734"/>
      <c r="BB621" s="734"/>
      <c r="BC621" s="754"/>
      <c r="BD621" s="754"/>
      <c r="BE621" s="713"/>
      <c r="BF621" s="754"/>
      <c r="BG621" s="734"/>
      <c r="BH621" s="734"/>
      <c r="BI621" s="754"/>
      <c r="BJ621" s="754"/>
      <c r="BK621" s="713"/>
      <c r="BL621" s="734"/>
      <c r="BM621" s="713"/>
      <c r="BN621" s="713"/>
      <c r="BO621" s="713"/>
      <c r="BP621" s="754"/>
      <c r="BQ621" s="713"/>
      <c r="BR621" s="754"/>
      <c r="BS621" s="713"/>
      <c r="BT621" s="713"/>
      <c r="BU621" s="713"/>
      <c r="BV621" s="713"/>
      <c r="BW621" s="728" t="s">
        <v>109</v>
      </c>
      <c r="BX621" s="736"/>
      <c r="BY621" s="736"/>
      <c r="BZ621" s="736"/>
      <c r="CA621" s="736">
        <f t="shared" si="334"/>
        <v>24</v>
      </c>
      <c r="CB621" s="737">
        <f t="shared" si="335"/>
        <v>24</v>
      </c>
      <c r="CC621" s="737"/>
      <c r="CD621" s="737">
        <f t="shared" si="336"/>
        <v>24</v>
      </c>
      <c r="CE621" s="737">
        <f t="shared" si="337"/>
        <v>0</v>
      </c>
    </row>
    <row r="622" s="558" customFormat="1" ht="40" customHeight="1" spans="1:83">
      <c r="A622" s="717">
        <v>46035</v>
      </c>
      <c r="B622" s="718" t="s">
        <v>1587</v>
      </c>
      <c r="C622" s="719" t="s">
        <v>178</v>
      </c>
      <c r="D622" s="720">
        <v>4500191206</v>
      </c>
      <c r="E622" s="721" t="s">
        <v>2798</v>
      </c>
      <c r="F622" s="720" t="s">
        <v>2799</v>
      </c>
      <c r="G622" s="722" t="s">
        <v>189</v>
      </c>
      <c r="H622" s="722" t="s">
        <v>99</v>
      </c>
      <c r="I622" s="765">
        <v>24</v>
      </c>
      <c r="J622" s="723">
        <v>0</v>
      </c>
      <c r="K622" s="724">
        <v>24</v>
      </c>
      <c r="L622" s="724">
        <f t="shared" si="332"/>
        <v>1</v>
      </c>
      <c r="M622" s="725">
        <v>46092</v>
      </c>
      <c r="N622" s="725">
        <v>46088</v>
      </c>
      <c r="O622" s="725"/>
      <c r="P622" s="726" t="s">
        <v>100</v>
      </c>
      <c r="Q622" s="727" t="s">
        <v>2777</v>
      </c>
      <c r="R622" s="726" t="s">
        <v>2778</v>
      </c>
      <c r="S622" s="725"/>
      <c r="T622" s="725"/>
      <c r="U622" s="726" t="s">
        <v>493</v>
      </c>
      <c r="V622" s="726" t="s">
        <v>2765</v>
      </c>
      <c r="W622" s="728"/>
      <c r="X622" s="729" t="s">
        <v>2779</v>
      </c>
      <c r="Y622" s="730" t="s">
        <v>734</v>
      </c>
      <c r="Z622" s="731">
        <v>2.5661</v>
      </c>
      <c r="AA622" s="732">
        <f t="shared" si="333"/>
        <v>61.5864</v>
      </c>
      <c r="AB622" s="712">
        <v>24</v>
      </c>
      <c r="AC622" s="712">
        <f t="shared" si="328"/>
        <v>0</v>
      </c>
      <c r="AD622" s="732" t="s">
        <v>106</v>
      </c>
      <c r="AE622" s="722" t="s">
        <v>190</v>
      </c>
      <c r="AF622" s="730" t="s">
        <v>107</v>
      </c>
      <c r="AG622" s="763" t="s">
        <v>43</v>
      </c>
      <c r="AH622" s="730"/>
      <c r="AI622" s="753"/>
      <c r="AJ622" s="753"/>
      <c r="AK622" s="753"/>
      <c r="AL622" s="712"/>
      <c r="AM622" s="712"/>
      <c r="AN622" s="753"/>
      <c r="AO622" s="708"/>
      <c r="AP622" s="712">
        <f t="shared" si="330"/>
        <v>24</v>
      </c>
      <c r="AQ622" s="735"/>
      <c r="AR622" s="753"/>
      <c r="AS622" s="753"/>
      <c r="AT622" s="712"/>
      <c r="AU622" s="712">
        <f t="shared" si="331"/>
        <v>24</v>
      </c>
      <c r="AV622" s="734"/>
      <c r="AW622" s="754"/>
      <c r="AX622" s="734"/>
      <c r="AY622" s="734"/>
      <c r="AZ622" s="754"/>
      <c r="BA622" s="734"/>
      <c r="BB622" s="734"/>
      <c r="BC622" s="754"/>
      <c r="BD622" s="754"/>
      <c r="BE622" s="713"/>
      <c r="BF622" s="754"/>
      <c r="BG622" s="734"/>
      <c r="BH622" s="734"/>
      <c r="BI622" s="754"/>
      <c r="BJ622" s="754"/>
      <c r="BK622" s="713"/>
      <c r="BL622" s="734"/>
      <c r="BM622" s="713"/>
      <c r="BN622" s="713"/>
      <c r="BO622" s="713"/>
      <c r="BP622" s="754"/>
      <c r="BQ622" s="713"/>
      <c r="BR622" s="754"/>
      <c r="BS622" s="713"/>
      <c r="BT622" s="713"/>
      <c r="BU622" s="713"/>
      <c r="BV622" s="713"/>
      <c r="BW622" s="728" t="s">
        <v>109</v>
      </c>
      <c r="BX622" s="736"/>
      <c r="BY622" s="736"/>
      <c r="BZ622" s="736"/>
      <c r="CA622" s="736">
        <f t="shared" si="334"/>
        <v>24</v>
      </c>
      <c r="CB622" s="737">
        <f t="shared" si="335"/>
        <v>24</v>
      </c>
      <c r="CC622" s="737"/>
      <c r="CD622" s="737">
        <f t="shared" si="336"/>
        <v>24</v>
      </c>
      <c r="CE622" s="737">
        <f t="shared" si="337"/>
        <v>0</v>
      </c>
    </row>
    <row r="623" s="558" customFormat="1" ht="40" customHeight="1" spans="1:83">
      <c r="A623" s="717">
        <v>46035</v>
      </c>
      <c r="B623" s="718" t="s">
        <v>1587</v>
      </c>
      <c r="C623" s="719" t="s">
        <v>178</v>
      </c>
      <c r="D623" s="720">
        <v>4500191206</v>
      </c>
      <c r="E623" s="721" t="s">
        <v>2800</v>
      </c>
      <c r="F623" s="720" t="s">
        <v>2801</v>
      </c>
      <c r="G623" s="722" t="s">
        <v>189</v>
      </c>
      <c r="H623" s="722" t="s">
        <v>99</v>
      </c>
      <c r="I623" s="765">
        <v>24</v>
      </c>
      <c r="J623" s="723">
        <v>0</v>
      </c>
      <c r="K623" s="724">
        <v>24</v>
      </c>
      <c r="L623" s="724">
        <f t="shared" si="332"/>
        <v>1</v>
      </c>
      <c r="M623" s="725">
        <v>46092</v>
      </c>
      <c r="N623" s="725">
        <v>46088</v>
      </c>
      <c r="O623" s="725"/>
      <c r="P623" s="726" t="s">
        <v>100</v>
      </c>
      <c r="Q623" s="727" t="s">
        <v>2777</v>
      </c>
      <c r="R623" s="726" t="s">
        <v>2778</v>
      </c>
      <c r="S623" s="725"/>
      <c r="T623" s="725"/>
      <c r="U623" s="726" t="s">
        <v>493</v>
      </c>
      <c r="V623" s="726" t="s">
        <v>2765</v>
      </c>
      <c r="W623" s="728"/>
      <c r="X623" s="729" t="s">
        <v>2779</v>
      </c>
      <c r="Y623" s="730" t="s">
        <v>734</v>
      </c>
      <c r="Z623" s="731">
        <v>2.5661</v>
      </c>
      <c r="AA623" s="732">
        <f t="shared" si="333"/>
        <v>61.5864</v>
      </c>
      <c r="AB623" s="712">
        <v>24</v>
      </c>
      <c r="AC623" s="712">
        <f t="shared" si="328"/>
        <v>0</v>
      </c>
      <c r="AD623" s="732" t="s">
        <v>106</v>
      </c>
      <c r="AE623" s="722" t="s">
        <v>190</v>
      </c>
      <c r="AF623" s="730" t="s">
        <v>107</v>
      </c>
      <c r="AG623" s="763" t="s">
        <v>43</v>
      </c>
      <c r="AH623" s="730"/>
      <c r="AI623" s="753"/>
      <c r="AJ623" s="753"/>
      <c r="AK623" s="753"/>
      <c r="AL623" s="712"/>
      <c r="AM623" s="712"/>
      <c r="AN623" s="753"/>
      <c r="AO623" s="708"/>
      <c r="AP623" s="712">
        <f t="shared" si="330"/>
        <v>24</v>
      </c>
      <c r="AQ623" s="735"/>
      <c r="AR623" s="753"/>
      <c r="AS623" s="753"/>
      <c r="AT623" s="712"/>
      <c r="AU623" s="712">
        <f t="shared" si="331"/>
        <v>24</v>
      </c>
      <c r="AV623" s="734"/>
      <c r="AW623" s="754"/>
      <c r="AX623" s="734"/>
      <c r="AY623" s="734"/>
      <c r="AZ623" s="754"/>
      <c r="BA623" s="734"/>
      <c r="BB623" s="734"/>
      <c r="BC623" s="754"/>
      <c r="BD623" s="754"/>
      <c r="BE623" s="713"/>
      <c r="BF623" s="754"/>
      <c r="BG623" s="734"/>
      <c r="BH623" s="734"/>
      <c r="BI623" s="754"/>
      <c r="BJ623" s="754"/>
      <c r="BK623" s="713"/>
      <c r="BL623" s="734"/>
      <c r="BM623" s="713"/>
      <c r="BN623" s="713"/>
      <c r="BO623" s="713"/>
      <c r="BP623" s="754"/>
      <c r="BQ623" s="713"/>
      <c r="BR623" s="754"/>
      <c r="BS623" s="713"/>
      <c r="BT623" s="713"/>
      <c r="BU623" s="713"/>
      <c r="BV623" s="713"/>
      <c r="BW623" s="728" t="s">
        <v>109</v>
      </c>
      <c r="BX623" s="736"/>
      <c r="BY623" s="736"/>
      <c r="BZ623" s="736"/>
      <c r="CA623" s="736">
        <f t="shared" si="334"/>
        <v>24</v>
      </c>
      <c r="CB623" s="737">
        <f t="shared" si="335"/>
        <v>24</v>
      </c>
      <c r="CC623" s="737"/>
      <c r="CD623" s="737">
        <f t="shared" si="336"/>
        <v>24</v>
      </c>
      <c r="CE623" s="737">
        <f t="shared" si="337"/>
        <v>0</v>
      </c>
    </row>
    <row r="624" s="558" customFormat="1" ht="40" customHeight="1" spans="1:83">
      <c r="A624" s="717">
        <v>46035</v>
      </c>
      <c r="B624" s="718" t="s">
        <v>1587</v>
      </c>
      <c r="C624" s="719" t="s">
        <v>178</v>
      </c>
      <c r="D624" s="720">
        <v>4500191206</v>
      </c>
      <c r="E624" s="721" t="s">
        <v>2802</v>
      </c>
      <c r="F624" s="720" t="s">
        <v>2803</v>
      </c>
      <c r="G624" s="722" t="s">
        <v>189</v>
      </c>
      <c r="H624" s="722" t="s">
        <v>99</v>
      </c>
      <c r="I624" s="765">
        <v>24</v>
      </c>
      <c r="J624" s="723">
        <v>0</v>
      </c>
      <c r="K624" s="724">
        <v>24</v>
      </c>
      <c r="L624" s="724">
        <f t="shared" si="332"/>
        <v>1</v>
      </c>
      <c r="M624" s="725">
        <v>46092</v>
      </c>
      <c r="N624" s="725">
        <v>46088</v>
      </c>
      <c r="O624" s="725"/>
      <c r="P624" s="726" t="s">
        <v>100</v>
      </c>
      <c r="Q624" s="727" t="s">
        <v>2777</v>
      </c>
      <c r="R624" s="726" t="s">
        <v>2778</v>
      </c>
      <c r="S624" s="725"/>
      <c r="T624" s="725"/>
      <c r="U624" s="726" t="s">
        <v>493</v>
      </c>
      <c r="V624" s="726" t="s">
        <v>2765</v>
      </c>
      <c r="W624" s="728"/>
      <c r="X624" s="729" t="s">
        <v>2779</v>
      </c>
      <c r="Y624" s="730" t="s">
        <v>734</v>
      </c>
      <c r="Z624" s="731">
        <v>2.5661</v>
      </c>
      <c r="AA624" s="732">
        <f t="shared" si="333"/>
        <v>61.5864</v>
      </c>
      <c r="AB624" s="712">
        <v>24</v>
      </c>
      <c r="AC624" s="712">
        <f t="shared" si="328"/>
        <v>0</v>
      </c>
      <c r="AD624" s="732" t="s">
        <v>106</v>
      </c>
      <c r="AE624" s="722" t="s">
        <v>190</v>
      </c>
      <c r="AF624" s="730" t="s">
        <v>107</v>
      </c>
      <c r="AG624" s="763" t="s">
        <v>43</v>
      </c>
      <c r="AH624" s="730"/>
      <c r="AI624" s="753"/>
      <c r="AJ624" s="753"/>
      <c r="AK624" s="753"/>
      <c r="AL624" s="712"/>
      <c r="AM624" s="712"/>
      <c r="AN624" s="753"/>
      <c r="AO624" s="708"/>
      <c r="AP624" s="712">
        <f t="shared" si="330"/>
        <v>24</v>
      </c>
      <c r="AQ624" s="735"/>
      <c r="AR624" s="753"/>
      <c r="AS624" s="753"/>
      <c r="AT624" s="712"/>
      <c r="AU624" s="712">
        <f t="shared" si="331"/>
        <v>24</v>
      </c>
      <c r="AV624" s="734"/>
      <c r="AW624" s="754"/>
      <c r="AX624" s="734"/>
      <c r="AY624" s="734"/>
      <c r="AZ624" s="754"/>
      <c r="BA624" s="734"/>
      <c r="BB624" s="734"/>
      <c r="BC624" s="754"/>
      <c r="BD624" s="754"/>
      <c r="BE624" s="713"/>
      <c r="BF624" s="754"/>
      <c r="BG624" s="734"/>
      <c r="BH624" s="734"/>
      <c r="BI624" s="754"/>
      <c r="BJ624" s="754"/>
      <c r="BK624" s="713"/>
      <c r="BL624" s="734"/>
      <c r="BM624" s="713"/>
      <c r="BN624" s="713"/>
      <c r="BO624" s="713"/>
      <c r="BP624" s="754"/>
      <c r="BQ624" s="713"/>
      <c r="BR624" s="754"/>
      <c r="BS624" s="713"/>
      <c r="BT624" s="713"/>
      <c r="BU624" s="713"/>
      <c r="BV624" s="713"/>
      <c r="BW624" s="728" t="s">
        <v>109</v>
      </c>
      <c r="BX624" s="736"/>
      <c r="BY624" s="736"/>
      <c r="BZ624" s="736"/>
      <c r="CA624" s="736">
        <f t="shared" si="334"/>
        <v>24</v>
      </c>
      <c r="CB624" s="737">
        <f t="shared" si="335"/>
        <v>24</v>
      </c>
      <c r="CC624" s="737"/>
      <c r="CD624" s="737">
        <f t="shared" si="336"/>
        <v>24</v>
      </c>
      <c r="CE624" s="737">
        <f t="shared" si="337"/>
        <v>0</v>
      </c>
    </row>
    <row r="625" s="558" customFormat="1" ht="40" customHeight="1" spans="1:83 16368:16384">
      <c r="A625" s="717">
        <v>46036</v>
      </c>
      <c r="B625" s="730" t="s">
        <v>2804</v>
      </c>
      <c r="C625" s="719" t="s">
        <v>129</v>
      </c>
      <c r="D625" s="720">
        <v>4500191234</v>
      </c>
      <c r="E625" s="721"/>
      <c r="F625" s="720" t="s">
        <v>2805</v>
      </c>
      <c r="G625" s="722" t="s">
        <v>159</v>
      </c>
      <c r="H625" s="722" t="s">
        <v>99</v>
      </c>
      <c r="I625" s="765">
        <v>120</v>
      </c>
      <c r="J625" s="723">
        <v>0</v>
      </c>
      <c r="K625" s="724">
        <v>24</v>
      </c>
      <c r="L625" s="724">
        <f t="shared" si="332"/>
        <v>5</v>
      </c>
      <c r="M625" s="725">
        <v>46097</v>
      </c>
      <c r="N625" s="725">
        <v>46093</v>
      </c>
      <c r="O625" s="725"/>
      <c r="P625" s="726" t="s">
        <v>100</v>
      </c>
      <c r="Q625" s="727" t="s">
        <v>711</v>
      </c>
      <c r="R625" s="726" t="s">
        <v>612</v>
      </c>
      <c r="S625" s="725"/>
      <c r="T625" s="725"/>
      <c r="U625" s="726" t="s">
        <v>2806</v>
      </c>
      <c r="V625" s="726"/>
      <c r="W625" s="728"/>
      <c r="X625" s="729" t="s">
        <v>2807</v>
      </c>
      <c r="Y625" s="730" t="s">
        <v>818</v>
      </c>
      <c r="Z625" s="731">
        <v>2.5115</v>
      </c>
      <c r="AA625" s="732">
        <f t="shared" si="333"/>
        <v>301.38</v>
      </c>
      <c r="AB625" s="712">
        <v>120</v>
      </c>
      <c r="AC625" s="712">
        <f t="shared" si="328"/>
        <v>0</v>
      </c>
      <c r="AD625" s="732" t="s">
        <v>123</v>
      </c>
      <c r="AE625" s="749" t="s">
        <v>166</v>
      </c>
      <c r="AF625" s="730" t="s">
        <v>107</v>
      </c>
      <c r="AG625" s="763" t="s">
        <v>43</v>
      </c>
      <c r="AH625" s="730"/>
      <c r="AI625" s="705"/>
      <c r="AJ625" s="705"/>
      <c r="AK625" s="705"/>
      <c r="AL625" s="712"/>
      <c r="AM625" s="712"/>
      <c r="AN625" s="705"/>
      <c r="AO625" s="708"/>
      <c r="AP625" s="712">
        <f t="shared" si="330"/>
        <v>120</v>
      </c>
      <c r="AQ625" s="735"/>
      <c r="AR625" s="705"/>
      <c r="AS625" s="705"/>
      <c r="AT625" s="712"/>
      <c r="AU625" s="712">
        <f t="shared" si="331"/>
        <v>120</v>
      </c>
      <c r="AV625" s="734"/>
      <c r="AW625" s="706"/>
      <c r="AX625" s="734"/>
      <c r="AY625" s="734"/>
      <c r="AZ625" s="706"/>
      <c r="BA625" s="734"/>
      <c r="BB625" s="734"/>
      <c r="BC625" s="706"/>
      <c r="BD625" s="706"/>
      <c r="BE625" s="713"/>
      <c r="BF625" s="706"/>
      <c r="BG625" s="734"/>
      <c r="BH625" s="734"/>
      <c r="BI625" s="706"/>
      <c r="BJ625" s="706"/>
      <c r="BK625" s="713"/>
      <c r="BL625" s="734"/>
      <c r="BM625" s="713"/>
      <c r="BN625" s="713"/>
      <c r="BO625" s="713"/>
      <c r="BP625" s="706"/>
      <c r="BQ625" s="713"/>
      <c r="BR625" s="706"/>
      <c r="BS625" s="713"/>
      <c r="BT625" s="713"/>
      <c r="BU625" s="713"/>
      <c r="BV625" s="713"/>
      <c r="BW625" s="728" t="s">
        <v>109</v>
      </c>
      <c r="BX625" s="736"/>
      <c r="BY625" s="736">
        <f>I625</f>
        <v>120</v>
      </c>
      <c r="BZ625" s="736"/>
      <c r="CA625" s="736"/>
      <c r="CB625" s="737">
        <f t="shared" si="335"/>
        <v>120</v>
      </c>
      <c r="CC625" s="737"/>
      <c r="CD625" s="737">
        <f t="shared" si="336"/>
        <v>120</v>
      </c>
      <c r="CE625" s="737">
        <f t="shared" si="337"/>
        <v>0</v>
      </c>
    </row>
    <row r="626" s="558" customFormat="1" ht="40" customHeight="1" spans="1:83 16368:16384">
      <c r="A626" s="717">
        <v>46036</v>
      </c>
      <c r="B626" s="730" t="s">
        <v>2804</v>
      </c>
      <c r="C626" s="719" t="s">
        <v>129</v>
      </c>
      <c r="D626" s="720">
        <v>4500191234</v>
      </c>
      <c r="E626" s="721"/>
      <c r="F626" s="720" t="s">
        <v>2808</v>
      </c>
      <c r="G626" s="722" t="s">
        <v>189</v>
      </c>
      <c r="H626" s="722" t="s">
        <v>99</v>
      </c>
      <c r="I626" s="765">
        <v>120</v>
      </c>
      <c r="J626" s="723">
        <v>0</v>
      </c>
      <c r="K626" s="724">
        <v>24</v>
      </c>
      <c r="L626" s="724">
        <f t="shared" si="332"/>
        <v>5</v>
      </c>
      <c r="M626" s="725">
        <v>46097</v>
      </c>
      <c r="N626" s="725">
        <v>46093</v>
      </c>
      <c r="O626" s="725"/>
      <c r="P626" s="726" t="s">
        <v>100</v>
      </c>
      <c r="Q626" s="727" t="s">
        <v>711</v>
      </c>
      <c r="R626" s="726" t="s">
        <v>612</v>
      </c>
      <c r="S626" s="725"/>
      <c r="T626" s="725"/>
      <c r="U626" s="726" t="s">
        <v>2806</v>
      </c>
      <c r="V626" s="726"/>
      <c r="W626" s="728"/>
      <c r="X626" s="729" t="s">
        <v>2809</v>
      </c>
      <c r="Y626" s="730" t="s">
        <v>818</v>
      </c>
      <c r="Z626" s="731">
        <v>2.5115</v>
      </c>
      <c r="AA626" s="732">
        <f t="shared" si="333"/>
        <v>301.38</v>
      </c>
      <c r="AB626" s="712">
        <v>120</v>
      </c>
      <c r="AC626" s="712">
        <f t="shared" si="328"/>
        <v>0</v>
      </c>
      <c r="AD626" s="732" t="s">
        <v>123</v>
      </c>
      <c r="AE626" s="722" t="s">
        <v>190</v>
      </c>
      <c r="AF626" s="730" t="s">
        <v>107</v>
      </c>
      <c r="AG626" s="763" t="s">
        <v>43</v>
      </c>
      <c r="AH626" s="730"/>
      <c r="AI626" s="753"/>
      <c r="AJ626" s="753"/>
      <c r="AK626" s="753"/>
      <c r="AL626" s="712"/>
      <c r="AM626" s="712"/>
      <c r="AN626" s="753"/>
      <c r="AO626" s="708"/>
      <c r="AP626" s="712">
        <f t="shared" si="330"/>
        <v>120</v>
      </c>
      <c r="AQ626" s="735"/>
      <c r="AR626" s="753"/>
      <c r="AS626" s="753"/>
      <c r="AT626" s="712"/>
      <c r="AU626" s="712">
        <f t="shared" si="331"/>
        <v>120</v>
      </c>
      <c r="AV626" s="734"/>
      <c r="AW626" s="754"/>
      <c r="AX626" s="734"/>
      <c r="AY626" s="734"/>
      <c r="AZ626" s="754"/>
      <c r="BA626" s="734"/>
      <c r="BB626" s="734"/>
      <c r="BC626" s="754"/>
      <c r="BD626" s="754"/>
      <c r="BE626" s="713"/>
      <c r="BF626" s="754"/>
      <c r="BG626" s="734"/>
      <c r="BH626" s="734"/>
      <c r="BI626" s="754"/>
      <c r="BJ626" s="754"/>
      <c r="BK626" s="713"/>
      <c r="BL626" s="734"/>
      <c r="BM626" s="713"/>
      <c r="BN626" s="713"/>
      <c r="BO626" s="713"/>
      <c r="BP626" s="754"/>
      <c r="BQ626" s="713"/>
      <c r="BR626" s="754"/>
      <c r="BS626" s="713"/>
      <c r="BT626" s="713"/>
      <c r="BU626" s="713"/>
      <c r="BV626" s="713"/>
      <c r="BW626" s="728" t="s">
        <v>109</v>
      </c>
      <c r="BX626" s="736"/>
      <c r="BY626" s="736"/>
      <c r="BZ626" s="736"/>
      <c r="CA626" s="736">
        <f>I626</f>
        <v>120</v>
      </c>
      <c r="CB626" s="737">
        <f t="shared" si="335"/>
        <v>120</v>
      </c>
      <c r="CC626" s="737"/>
      <c r="CD626" s="737">
        <f t="shared" si="336"/>
        <v>120</v>
      </c>
      <c r="CE626" s="737">
        <f t="shared" si="337"/>
        <v>0</v>
      </c>
    </row>
    <row r="627" s="558" customFormat="1" ht="40" customHeight="1" spans="1:83 16368:16384">
      <c r="A627" s="717">
        <v>46029</v>
      </c>
      <c r="B627" s="718" t="s">
        <v>2110</v>
      </c>
      <c r="C627" s="719" t="s">
        <v>214</v>
      </c>
      <c r="D627" s="720">
        <v>4500190821</v>
      </c>
      <c r="E627" s="721">
        <v>4560812961</v>
      </c>
      <c r="F627" s="720" t="s">
        <v>2810</v>
      </c>
      <c r="G627" s="722" t="s">
        <v>718</v>
      </c>
      <c r="H627" s="722" t="s">
        <v>99</v>
      </c>
      <c r="I627" s="765">
        <v>1386</v>
      </c>
      <c r="J627" s="723">
        <v>0</v>
      </c>
      <c r="K627" s="724">
        <v>6</v>
      </c>
      <c r="L627" s="724">
        <f t="shared" si="332"/>
        <v>231</v>
      </c>
      <c r="M627" s="725">
        <v>46098</v>
      </c>
      <c r="N627" s="725">
        <v>46094</v>
      </c>
      <c r="O627" s="725"/>
      <c r="P627" s="726" t="s">
        <v>100</v>
      </c>
      <c r="Q627" s="766" t="s">
        <v>681</v>
      </c>
      <c r="R627" s="726" t="s">
        <v>2751</v>
      </c>
      <c r="S627" s="725"/>
      <c r="T627" s="725"/>
      <c r="U627" s="726" t="s">
        <v>2811</v>
      </c>
      <c r="V627" s="726"/>
      <c r="W627" s="728"/>
      <c r="X627" s="729" t="s">
        <v>2812</v>
      </c>
      <c r="Y627" s="730" t="s">
        <v>725</v>
      </c>
      <c r="Z627" s="731">
        <v>1.5692</v>
      </c>
      <c r="AA627" s="732">
        <f t="shared" si="333"/>
        <v>2174.9112</v>
      </c>
      <c r="AB627" s="712">
        <v>1386</v>
      </c>
      <c r="AC627" s="712">
        <f t="shared" ref="AC627:AC658" si="338">AB627-I627</f>
        <v>0</v>
      </c>
      <c r="AD627" s="732" t="s">
        <v>106</v>
      </c>
      <c r="AE627" s="742" t="s">
        <v>718</v>
      </c>
      <c r="AF627" s="730" t="s">
        <v>107</v>
      </c>
      <c r="AG627" s="763" t="s">
        <v>43</v>
      </c>
      <c r="AH627" s="730"/>
      <c r="AI627" s="696"/>
      <c r="AJ627" s="696"/>
      <c r="AK627" s="696"/>
      <c r="AL627" s="712"/>
      <c r="AM627" s="712">
        <f>I627</f>
        <v>1386</v>
      </c>
      <c r="AN627" s="696"/>
      <c r="AO627" s="651"/>
      <c r="AP627" s="712"/>
      <c r="AQ627" s="735"/>
      <c r="AR627" s="696"/>
      <c r="AS627" s="696"/>
      <c r="AT627" s="712"/>
      <c r="AU627" s="712">
        <f t="shared" ref="AU627:AU633" si="339">I627</f>
        <v>1386</v>
      </c>
      <c r="AV627" s="734"/>
      <c r="AW627" s="697"/>
      <c r="AX627" s="734"/>
      <c r="AY627" s="734"/>
      <c r="AZ627" s="697"/>
      <c r="BA627" s="734"/>
      <c r="BB627" s="734"/>
      <c r="BC627" s="697"/>
      <c r="BD627" s="697"/>
      <c r="BE627" s="713"/>
      <c r="BF627" s="697"/>
      <c r="BG627" s="734"/>
      <c r="BH627" s="734"/>
      <c r="BI627" s="697"/>
      <c r="BJ627" s="697"/>
      <c r="BK627" s="713"/>
      <c r="BL627" s="734">
        <f>I627/6</f>
        <v>231</v>
      </c>
      <c r="BM627" s="713"/>
      <c r="BN627" s="713"/>
      <c r="BO627" s="713"/>
      <c r="BP627" s="697"/>
      <c r="BQ627" s="713"/>
      <c r="BR627" s="697"/>
      <c r="BS627" s="713"/>
      <c r="BT627" s="713"/>
      <c r="BU627" s="713"/>
      <c r="BV627" s="713"/>
      <c r="BW627" s="728" t="s">
        <v>109</v>
      </c>
      <c r="BX627" s="736">
        <f t="shared" ref="BX627:BX633" si="340">I627/4</f>
        <v>346.5</v>
      </c>
      <c r="BY627" s="736">
        <f t="shared" ref="BY627:BY633" si="341">I627/4</f>
        <v>346.5</v>
      </c>
      <c r="BZ627" s="736">
        <f t="shared" ref="BZ627:BZ633" si="342">I627/4</f>
        <v>346.5</v>
      </c>
      <c r="CA627" s="736">
        <f t="shared" ref="CA627:CA633" si="343">I627/4</f>
        <v>346.5</v>
      </c>
      <c r="CB627" s="737">
        <f t="shared" ref="CB627:CB636" si="344">I627</f>
        <v>1386</v>
      </c>
      <c r="CC627" s="737"/>
      <c r="CD627" s="737">
        <f t="shared" ref="CD627:CD636" si="345">SUM(BX627:CA627)</f>
        <v>1386</v>
      </c>
      <c r="CE627" s="737">
        <f t="shared" ref="CE627:CE636" si="346">I627-CD627</f>
        <v>0</v>
      </c>
    </row>
    <row r="628" s="558" customFormat="1" ht="40" customHeight="1" spans="1:83 16368:16384">
      <c r="A628" s="717">
        <v>46029</v>
      </c>
      <c r="B628" s="718" t="s">
        <v>2110</v>
      </c>
      <c r="C628" s="719" t="s">
        <v>214</v>
      </c>
      <c r="D628" s="720">
        <v>4500190821</v>
      </c>
      <c r="E628" s="721">
        <v>4560812666</v>
      </c>
      <c r="F628" s="720" t="s">
        <v>2813</v>
      </c>
      <c r="G628" s="722" t="s">
        <v>718</v>
      </c>
      <c r="H628" s="722" t="s">
        <v>99</v>
      </c>
      <c r="I628" s="765">
        <v>1236</v>
      </c>
      <c r="J628" s="723">
        <v>0</v>
      </c>
      <c r="K628" s="724">
        <v>6</v>
      </c>
      <c r="L628" s="724">
        <f t="shared" si="332"/>
        <v>206</v>
      </c>
      <c r="M628" s="725">
        <v>46098</v>
      </c>
      <c r="N628" s="725">
        <v>46094</v>
      </c>
      <c r="O628" s="725"/>
      <c r="P628" s="726" t="s">
        <v>100</v>
      </c>
      <c r="Q628" s="766" t="s">
        <v>681</v>
      </c>
      <c r="R628" s="726" t="s">
        <v>2751</v>
      </c>
      <c r="S628" s="725"/>
      <c r="T628" s="725"/>
      <c r="U628" s="726" t="s">
        <v>2811</v>
      </c>
      <c r="V628" s="726"/>
      <c r="W628" s="728"/>
      <c r="X628" s="729" t="s">
        <v>2812</v>
      </c>
      <c r="Y628" s="730" t="s">
        <v>725</v>
      </c>
      <c r="Z628" s="731">
        <v>1.5692</v>
      </c>
      <c r="AA628" s="732">
        <f t="shared" si="333"/>
        <v>1939.5312</v>
      </c>
      <c r="AB628" s="712">
        <v>1236</v>
      </c>
      <c r="AC628" s="712">
        <f t="shared" si="338"/>
        <v>0</v>
      </c>
      <c r="AD628" s="732" t="s">
        <v>106</v>
      </c>
      <c r="AE628" s="742" t="s">
        <v>718</v>
      </c>
      <c r="AF628" s="730" t="s">
        <v>107</v>
      </c>
      <c r="AG628" s="763" t="s">
        <v>43</v>
      </c>
      <c r="AH628" s="730"/>
      <c r="AI628" s="696"/>
      <c r="AJ628" s="696"/>
      <c r="AK628" s="696"/>
      <c r="AL628" s="712"/>
      <c r="AM628" s="712">
        <f t="shared" ref="AM628:AM633" si="347">I628</f>
        <v>1236</v>
      </c>
      <c r="AN628" s="696"/>
      <c r="AO628" s="651"/>
      <c r="AP628" s="712"/>
      <c r="AQ628" s="735"/>
      <c r="AR628" s="696"/>
      <c r="AS628" s="696"/>
      <c r="AT628" s="712"/>
      <c r="AU628" s="712">
        <f t="shared" si="339"/>
        <v>1236</v>
      </c>
      <c r="AV628" s="734"/>
      <c r="AW628" s="697"/>
      <c r="AX628" s="734"/>
      <c r="AY628" s="734"/>
      <c r="AZ628" s="697"/>
      <c r="BA628" s="734"/>
      <c r="BB628" s="734"/>
      <c r="BC628" s="697"/>
      <c r="BD628" s="697"/>
      <c r="BE628" s="713"/>
      <c r="BF628" s="697"/>
      <c r="BG628" s="734"/>
      <c r="BH628" s="734"/>
      <c r="BI628" s="697"/>
      <c r="BJ628" s="697"/>
      <c r="BK628" s="713"/>
      <c r="BL628" s="734">
        <f t="shared" ref="BL628:BL633" si="348">I628/6</f>
        <v>206</v>
      </c>
      <c r="BM628" s="713"/>
      <c r="BN628" s="713"/>
      <c r="BO628" s="713"/>
      <c r="BP628" s="697"/>
      <c r="BQ628" s="713"/>
      <c r="BR628" s="697"/>
      <c r="BS628" s="713"/>
      <c r="BT628" s="713"/>
      <c r="BU628" s="713"/>
      <c r="BV628" s="713"/>
      <c r="BW628" s="728" t="s">
        <v>109</v>
      </c>
      <c r="BX628" s="736">
        <f t="shared" si="340"/>
        <v>309</v>
      </c>
      <c r="BY628" s="736">
        <f t="shared" si="341"/>
        <v>309</v>
      </c>
      <c r="BZ628" s="736">
        <f t="shared" si="342"/>
        <v>309</v>
      </c>
      <c r="CA628" s="736">
        <f t="shared" si="343"/>
        <v>309</v>
      </c>
      <c r="CB628" s="737">
        <f t="shared" si="344"/>
        <v>1236</v>
      </c>
      <c r="CC628" s="737"/>
      <c r="CD628" s="737">
        <f t="shared" si="345"/>
        <v>1236</v>
      </c>
      <c r="CE628" s="737">
        <f t="shared" si="346"/>
        <v>0</v>
      </c>
    </row>
    <row r="629" s="558" customFormat="1" ht="40" customHeight="1" spans="1:83 16368:16384">
      <c r="A629" s="717">
        <v>46029</v>
      </c>
      <c r="B629" s="718" t="s">
        <v>2110</v>
      </c>
      <c r="C629" s="719" t="s">
        <v>214</v>
      </c>
      <c r="D629" s="720">
        <v>4500190821</v>
      </c>
      <c r="E629" s="721">
        <v>4560812550</v>
      </c>
      <c r="F629" s="720" t="s">
        <v>2814</v>
      </c>
      <c r="G629" s="722" t="s">
        <v>718</v>
      </c>
      <c r="H629" s="722" t="s">
        <v>99</v>
      </c>
      <c r="I629" s="765">
        <v>1926</v>
      </c>
      <c r="J629" s="723">
        <v>0</v>
      </c>
      <c r="K629" s="724">
        <v>6</v>
      </c>
      <c r="L629" s="724">
        <f t="shared" si="332"/>
        <v>321</v>
      </c>
      <c r="M629" s="725">
        <v>46098</v>
      </c>
      <c r="N629" s="725">
        <v>46094</v>
      </c>
      <c r="O629" s="725"/>
      <c r="P629" s="726" t="s">
        <v>100</v>
      </c>
      <c r="Q629" s="766" t="s">
        <v>681</v>
      </c>
      <c r="R629" s="726" t="s">
        <v>2751</v>
      </c>
      <c r="S629" s="725"/>
      <c r="T629" s="725"/>
      <c r="U629" s="726" t="s">
        <v>2811</v>
      </c>
      <c r="V629" s="726"/>
      <c r="W629" s="728"/>
      <c r="X629" s="729" t="s">
        <v>2812</v>
      </c>
      <c r="Y629" s="730" t="s">
        <v>725</v>
      </c>
      <c r="Z629" s="731">
        <v>1.5692</v>
      </c>
      <c r="AA629" s="732">
        <f t="shared" si="333"/>
        <v>3022.2792</v>
      </c>
      <c r="AB629" s="712">
        <f>780+1146</f>
        <v>1926</v>
      </c>
      <c r="AC629" s="712">
        <f t="shared" si="338"/>
        <v>0</v>
      </c>
      <c r="AD629" s="732" t="s">
        <v>106</v>
      </c>
      <c r="AE629" s="742" t="s">
        <v>718</v>
      </c>
      <c r="AF629" s="730" t="s">
        <v>107</v>
      </c>
      <c r="AG629" s="763" t="s">
        <v>43</v>
      </c>
      <c r="AH629" s="730"/>
      <c r="AI629" s="696"/>
      <c r="AJ629" s="696"/>
      <c r="AK629" s="696"/>
      <c r="AL629" s="712"/>
      <c r="AM629" s="712">
        <f t="shared" si="347"/>
        <v>1926</v>
      </c>
      <c r="AN629" s="696"/>
      <c r="AO629" s="651"/>
      <c r="AP629" s="712"/>
      <c r="AQ629" s="735"/>
      <c r="AR629" s="696"/>
      <c r="AS629" s="696"/>
      <c r="AT629" s="712"/>
      <c r="AU629" s="712">
        <f t="shared" si="339"/>
        <v>1926</v>
      </c>
      <c r="AV629" s="734"/>
      <c r="AW629" s="697"/>
      <c r="AX629" s="734"/>
      <c r="AY629" s="734"/>
      <c r="AZ629" s="697"/>
      <c r="BA629" s="734"/>
      <c r="BB629" s="734"/>
      <c r="BC629" s="697"/>
      <c r="BD629" s="697"/>
      <c r="BE629" s="713"/>
      <c r="BF629" s="697"/>
      <c r="BG629" s="734"/>
      <c r="BH629" s="734"/>
      <c r="BI629" s="697"/>
      <c r="BJ629" s="697"/>
      <c r="BK629" s="713"/>
      <c r="BL629" s="734">
        <f t="shared" si="348"/>
        <v>321</v>
      </c>
      <c r="BM629" s="713"/>
      <c r="BN629" s="713"/>
      <c r="BO629" s="713"/>
      <c r="BP629" s="697"/>
      <c r="BQ629" s="713"/>
      <c r="BR629" s="697"/>
      <c r="BS629" s="713"/>
      <c r="BT629" s="713"/>
      <c r="BU629" s="713"/>
      <c r="BV629" s="713"/>
      <c r="BW629" s="728" t="s">
        <v>109</v>
      </c>
      <c r="BX629" s="736">
        <f t="shared" si="340"/>
        <v>481.5</v>
      </c>
      <c r="BY629" s="736">
        <f t="shared" si="341"/>
        <v>481.5</v>
      </c>
      <c r="BZ629" s="736">
        <f t="shared" si="342"/>
        <v>481.5</v>
      </c>
      <c r="CA629" s="736">
        <f t="shared" si="343"/>
        <v>481.5</v>
      </c>
      <c r="CB629" s="737">
        <f t="shared" si="344"/>
        <v>1926</v>
      </c>
      <c r="CC629" s="737"/>
      <c r="CD629" s="737">
        <f t="shared" si="345"/>
        <v>1926</v>
      </c>
      <c r="CE629" s="737">
        <f t="shared" si="346"/>
        <v>0</v>
      </c>
    </row>
    <row r="630" s="558" customFormat="1" ht="40" customHeight="1" spans="1:83 16368:16384">
      <c r="A630" s="717">
        <v>46029</v>
      </c>
      <c r="B630" s="718" t="s">
        <v>2110</v>
      </c>
      <c r="C630" s="719" t="s">
        <v>214</v>
      </c>
      <c r="D630" s="720">
        <v>4500190821</v>
      </c>
      <c r="E630" s="721">
        <v>4560812578</v>
      </c>
      <c r="F630" s="720" t="s">
        <v>2815</v>
      </c>
      <c r="G630" s="722" t="s">
        <v>718</v>
      </c>
      <c r="H630" s="722" t="s">
        <v>99</v>
      </c>
      <c r="I630" s="765">
        <v>1638</v>
      </c>
      <c r="J630" s="723">
        <v>0</v>
      </c>
      <c r="K630" s="724">
        <v>6</v>
      </c>
      <c r="L630" s="724">
        <f t="shared" si="332"/>
        <v>273</v>
      </c>
      <c r="M630" s="725">
        <v>46098</v>
      </c>
      <c r="N630" s="725">
        <v>46094</v>
      </c>
      <c r="O630" s="725"/>
      <c r="P630" s="726" t="s">
        <v>100</v>
      </c>
      <c r="Q630" s="766" t="s">
        <v>681</v>
      </c>
      <c r="R630" s="726" t="s">
        <v>2751</v>
      </c>
      <c r="S630" s="725"/>
      <c r="T630" s="725"/>
      <c r="U630" s="726" t="s">
        <v>2811</v>
      </c>
      <c r="V630" s="726"/>
      <c r="W630" s="728"/>
      <c r="X630" s="729" t="s">
        <v>2812</v>
      </c>
      <c r="Y630" s="730" t="s">
        <v>725</v>
      </c>
      <c r="Z630" s="731">
        <v>1.5692</v>
      </c>
      <c r="AA630" s="732">
        <f t="shared" si="333"/>
        <v>2570.3496</v>
      </c>
      <c r="AB630" s="712">
        <v>1638</v>
      </c>
      <c r="AC630" s="712">
        <f t="shared" si="338"/>
        <v>0</v>
      </c>
      <c r="AD630" s="732" t="s">
        <v>106</v>
      </c>
      <c r="AE630" s="742" t="s">
        <v>718</v>
      </c>
      <c r="AF630" s="730" t="s">
        <v>107</v>
      </c>
      <c r="AG630" s="763" t="s">
        <v>43</v>
      </c>
      <c r="AH630" s="730"/>
      <c r="AI630" s="696"/>
      <c r="AJ630" s="696"/>
      <c r="AK630" s="696"/>
      <c r="AL630" s="712"/>
      <c r="AM630" s="712">
        <f t="shared" si="347"/>
        <v>1638</v>
      </c>
      <c r="AN630" s="696"/>
      <c r="AO630" s="651"/>
      <c r="AP630" s="712"/>
      <c r="AQ630" s="735"/>
      <c r="AR630" s="696"/>
      <c r="AS630" s="696"/>
      <c r="AT630" s="712"/>
      <c r="AU630" s="712">
        <f t="shared" si="339"/>
        <v>1638</v>
      </c>
      <c r="AV630" s="734"/>
      <c r="AW630" s="697"/>
      <c r="AX630" s="734"/>
      <c r="AY630" s="734"/>
      <c r="AZ630" s="697"/>
      <c r="BA630" s="734"/>
      <c r="BB630" s="734"/>
      <c r="BC630" s="697"/>
      <c r="BD630" s="697"/>
      <c r="BE630" s="713"/>
      <c r="BF630" s="697"/>
      <c r="BG630" s="734"/>
      <c r="BH630" s="734"/>
      <c r="BI630" s="697"/>
      <c r="BJ630" s="697"/>
      <c r="BK630" s="713"/>
      <c r="BL630" s="734">
        <f t="shared" si="348"/>
        <v>273</v>
      </c>
      <c r="BM630" s="713"/>
      <c r="BN630" s="713"/>
      <c r="BO630" s="713"/>
      <c r="BP630" s="697"/>
      <c r="BQ630" s="713"/>
      <c r="BR630" s="697"/>
      <c r="BS630" s="713"/>
      <c r="BT630" s="713"/>
      <c r="BU630" s="713"/>
      <c r="BV630" s="713"/>
      <c r="BW630" s="728" t="s">
        <v>109</v>
      </c>
      <c r="BX630" s="736">
        <f t="shared" si="340"/>
        <v>409.5</v>
      </c>
      <c r="BY630" s="736">
        <f t="shared" si="341"/>
        <v>409.5</v>
      </c>
      <c r="BZ630" s="736">
        <f t="shared" si="342"/>
        <v>409.5</v>
      </c>
      <c r="CA630" s="736">
        <f t="shared" si="343"/>
        <v>409.5</v>
      </c>
      <c r="CB630" s="737">
        <f t="shared" si="344"/>
        <v>1638</v>
      </c>
      <c r="CC630" s="737"/>
      <c r="CD630" s="737">
        <f t="shared" si="345"/>
        <v>1638</v>
      </c>
      <c r="CE630" s="737">
        <f t="shared" si="346"/>
        <v>0</v>
      </c>
    </row>
    <row r="631" s="558" customFormat="1" ht="40" customHeight="1" spans="1:83 16368:16384">
      <c r="A631" s="717">
        <v>46029</v>
      </c>
      <c r="B631" s="718" t="s">
        <v>2110</v>
      </c>
      <c r="C631" s="719" t="s">
        <v>214</v>
      </c>
      <c r="D631" s="720">
        <v>4500190821</v>
      </c>
      <c r="E631" s="721">
        <v>4560812588</v>
      </c>
      <c r="F631" s="720" t="s">
        <v>2816</v>
      </c>
      <c r="G631" s="722" t="s">
        <v>718</v>
      </c>
      <c r="H631" s="722" t="s">
        <v>99</v>
      </c>
      <c r="I631" s="765">
        <v>1638</v>
      </c>
      <c r="J631" s="723">
        <v>0</v>
      </c>
      <c r="K631" s="724">
        <v>6</v>
      </c>
      <c r="L631" s="724">
        <f t="shared" si="332"/>
        <v>273</v>
      </c>
      <c r="M631" s="725">
        <v>46098</v>
      </c>
      <c r="N631" s="725">
        <v>46094</v>
      </c>
      <c r="O631" s="725"/>
      <c r="P631" s="726" t="s">
        <v>100</v>
      </c>
      <c r="Q631" s="766" t="s">
        <v>681</v>
      </c>
      <c r="R631" s="726" t="s">
        <v>2751</v>
      </c>
      <c r="S631" s="725"/>
      <c r="T631" s="725"/>
      <c r="U631" s="726" t="s">
        <v>2811</v>
      </c>
      <c r="V631" s="726"/>
      <c r="W631" s="728"/>
      <c r="X631" s="729" t="s">
        <v>2812</v>
      </c>
      <c r="Y631" s="730" t="s">
        <v>725</v>
      </c>
      <c r="Z631" s="731">
        <v>1.5692</v>
      </c>
      <c r="AA631" s="732">
        <f t="shared" si="333"/>
        <v>2570.3496</v>
      </c>
      <c r="AB631" s="712">
        <v>1638</v>
      </c>
      <c r="AC631" s="712">
        <f t="shared" si="338"/>
        <v>0</v>
      </c>
      <c r="AD631" s="732" t="s">
        <v>106</v>
      </c>
      <c r="AE631" s="742" t="s">
        <v>718</v>
      </c>
      <c r="AF631" s="730" t="s">
        <v>107</v>
      </c>
      <c r="AG631" s="763" t="s">
        <v>43</v>
      </c>
      <c r="AH631" s="730"/>
      <c r="AI631" s="696"/>
      <c r="AJ631" s="696"/>
      <c r="AK631" s="696"/>
      <c r="AL631" s="712"/>
      <c r="AM631" s="712">
        <f t="shared" si="347"/>
        <v>1638</v>
      </c>
      <c r="AN631" s="696"/>
      <c r="AO631" s="651"/>
      <c r="AP631" s="712"/>
      <c r="AQ631" s="735"/>
      <c r="AR631" s="696"/>
      <c r="AS631" s="696"/>
      <c r="AT631" s="712"/>
      <c r="AU631" s="712">
        <f t="shared" si="339"/>
        <v>1638</v>
      </c>
      <c r="AV631" s="734"/>
      <c r="AW631" s="697"/>
      <c r="AX631" s="734"/>
      <c r="AY631" s="734"/>
      <c r="AZ631" s="697"/>
      <c r="BA631" s="734"/>
      <c r="BB631" s="734"/>
      <c r="BC631" s="697"/>
      <c r="BD631" s="697"/>
      <c r="BE631" s="713"/>
      <c r="BF631" s="697"/>
      <c r="BG631" s="734"/>
      <c r="BH631" s="734"/>
      <c r="BI631" s="697"/>
      <c r="BJ631" s="697"/>
      <c r="BK631" s="713"/>
      <c r="BL631" s="734">
        <f t="shared" si="348"/>
        <v>273</v>
      </c>
      <c r="BM631" s="713"/>
      <c r="BN631" s="713"/>
      <c r="BO631" s="713"/>
      <c r="BP631" s="697"/>
      <c r="BQ631" s="713"/>
      <c r="BR631" s="697"/>
      <c r="BS631" s="713"/>
      <c r="BT631" s="713"/>
      <c r="BU631" s="713"/>
      <c r="BV631" s="713"/>
      <c r="BW631" s="728" t="s">
        <v>109</v>
      </c>
      <c r="BX631" s="736">
        <f t="shared" si="340"/>
        <v>409.5</v>
      </c>
      <c r="BY631" s="736">
        <f t="shared" si="341"/>
        <v>409.5</v>
      </c>
      <c r="BZ631" s="736">
        <f t="shared" si="342"/>
        <v>409.5</v>
      </c>
      <c r="CA631" s="736">
        <f t="shared" si="343"/>
        <v>409.5</v>
      </c>
      <c r="CB631" s="737">
        <f t="shared" si="344"/>
        <v>1638</v>
      </c>
      <c r="CC631" s="737"/>
      <c r="CD631" s="737">
        <f t="shared" si="345"/>
        <v>1638</v>
      </c>
      <c r="CE631" s="737">
        <f t="shared" si="346"/>
        <v>0</v>
      </c>
    </row>
    <row r="632" s="558" customFormat="1" ht="40" customHeight="1" spans="1:83 16368:16384">
      <c r="A632" s="717">
        <v>46029</v>
      </c>
      <c r="B632" s="718" t="s">
        <v>2110</v>
      </c>
      <c r="C632" s="719" t="s">
        <v>214</v>
      </c>
      <c r="D632" s="720">
        <v>4500190821</v>
      </c>
      <c r="E632" s="721">
        <v>4560813029</v>
      </c>
      <c r="F632" s="720" t="s">
        <v>2817</v>
      </c>
      <c r="G632" s="722" t="s">
        <v>718</v>
      </c>
      <c r="H632" s="722" t="s">
        <v>99</v>
      </c>
      <c r="I632" s="765">
        <v>1638</v>
      </c>
      <c r="J632" s="723">
        <v>0</v>
      </c>
      <c r="K632" s="724">
        <v>6</v>
      </c>
      <c r="L632" s="724">
        <f t="shared" si="332"/>
        <v>273</v>
      </c>
      <c r="M632" s="725">
        <v>46098</v>
      </c>
      <c r="N632" s="725">
        <v>46094</v>
      </c>
      <c r="O632" s="725"/>
      <c r="P632" s="726" t="s">
        <v>100</v>
      </c>
      <c r="Q632" s="766" t="s">
        <v>681</v>
      </c>
      <c r="R632" s="726" t="s">
        <v>2751</v>
      </c>
      <c r="S632" s="725"/>
      <c r="T632" s="725"/>
      <c r="U632" s="726" t="s">
        <v>2811</v>
      </c>
      <c r="V632" s="726"/>
      <c r="W632" s="728"/>
      <c r="X632" s="729" t="s">
        <v>2812</v>
      </c>
      <c r="Y632" s="730" t="s">
        <v>725</v>
      </c>
      <c r="Z632" s="731">
        <v>1.5692</v>
      </c>
      <c r="AA632" s="732">
        <f t="shared" si="333"/>
        <v>2570.3496</v>
      </c>
      <c r="AB632" s="712">
        <v>1638</v>
      </c>
      <c r="AC632" s="712">
        <f t="shared" si="338"/>
        <v>0</v>
      </c>
      <c r="AD632" s="732" t="s">
        <v>106</v>
      </c>
      <c r="AE632" s="742" t="s">
        <v>718</v>
      </c>
      <c r="AF632" s="730" t="s">
        <v>107</v>
      </c>
      <c r="AG632" s="763" t="s">
        <v>43</v>
      </c>
      <c r="AH632" s="730"/>
      <c r="AI632" s="696"/>
      <c r="AJ632" s="696"/>
      <c r="AK632" s="696"/>
      <c r="AL632" s="712"/>
      <c r="AM632" s="712">
        <f t="shared" si="347"/>
        <v>1638</v>
      </c>
      <c r="AN632" s="696"/>
      <c r="AO632" s="651"/>
      <c r="AP632" s="712"/>
      <c r="AQ632" s="735"/>
      <c r="AR632" s="696"/>
      <c r="AS632" s="696"/>
      <c r="AT632" s="712"/>
      <c r="AU632" s="712">
        <f t="shared" si="339"/>
        <v>1638</v>
      </c>
      <c r="AV632" s="734"/>
      <c r="AW632" s="697"/>
      <c r="AX632" s="734"/>
      <c r="AY632" s="734"/>
      <c r="AZ632" s="697"/>
      <c r="BA632" s="734"/>
      <c r="BB632" s="734"/>
      <c r="BC632" s="697"/>
      <c r="BD632" s="697"/>
      <c r="BE632" s="713"/>
      <c r="BF632" s="697"/>
      <c r="BG632" s="734"/>
      <c r="BH632" s="734"/>
      <c r="BI632" s="697"/>
      <c r="BJ632" s="697"/>
      <c r="BK632" s="713"/>
      <c r="BL632" s="734">
        <f t="shared" si="348"/>
        <v>273</v>
      </c>
      <c r="BM632" s="713"/>
      <c r="BN632" s="713"/>
      <c r="BO632" s="713"/>
      <c r="BP632" s="697"/>
      <c r="BQ632" s="713"/>
      <c r="BR632" s="697"/>
      <c r="BS632" s="713"/>
      <c r="BT632" s="713"/>
      <c r="BU632" s="713"/>
      <c r="BV632" s="713"/>
      <c r="BW632" s="728" t="s">
        <v>109</v>
      </c>
      <c r="BX632" s="736">
        <f t="shared" si="340"/>
        <v>409.5</v>
      </c>
      <c r="BY632" s="736">
        <f t="shared" si="341"/>
        <v>409.5</v>
      </c>
      <c r="BZ632" s="736">
        <f t="shared" si="342"/>
        <v>409.5</v>
      </c>
      <c r="CA632" s="736">
        <f t="shared" si="343"/>
        <v>409.5</v>
      </c>
      <c r="CB632" s="737">
        <f t="shared" si="344"/>
        <v>1638</v>
      </c>
      <c r="CC632" s="737"/>
      <c r="CD632" s="737">
        <f t="shared" si="345"/>
        <v>1638</v>
      </c>
      <c r="CE632" s="737">
        <f t="shared" si="346"/>
        <v>0</v>
      </c>
    </row>
    <row r="633" s="558" customFormat="1" ht="40" customHeight="1" spans="1:83 16368:16384">
      <c r="A633" s="717">
        <v>46029</v>
      </c>
      <c r="B633" s="718" t="s">
        <v>2110</v>
      </c>
      <c r="C633" s="719" t="s">
        <v>214</v>
      </c>
      <c r="D633" s="720">
        <v>4500190821</v>
      </c>
      <c r="E633" s="721">
        <v>4560813057</v>
      </c>
      <c r="F633" s="720" t="s">
        <v>2818</v>
      </c>
      <c r="G633" s="722" t="s">
        <v>718</v>
      </c>
      <c r="H633" s="722" t="s">
        <v>99</v>
      </c>
      <c r="I633" s="765">
        <v>930</v>
      </c>
      <c r="J633" s="723">
        <v>0</v>
      </c>
      <c r="K633" s="724">
        <v>6</v>
      </c>
      <c r="L633" s="724">
        <f t="shared" si="332"/>
        <v>155</v>
      </c>
      <c r="M633" s="725">
        <v>46098</v>
      </c>
      <c r="N633" s="725">
        <v>46094</v>
      </c>
      <c r="O633" s="725"/>
      <c r="P633" s="726" t="s">
        <v>100</v>
      </c>
      <c r="Q633" s="766" t="s">
        <v>681</v>
      </c>
      <c r="R633" s="726" t="s">
        <v>2751</v>
      </c>
      <c r="S633" s="725"/>
      <c r="T633" s="725"/>
      <c r="U633" s="726" t="s">
        <v>2811</v>
      </c>
      <c r="V633" s="726"/>
      <c r="W633" s="728"/>
      <c r="X633" s="729" t="s">
        <v>2812</v>
      </c>
      <c r="Y633" s="730" t="s">
        <v>725</v>
      </c>
      <c r="Z633" s="731">
        <v>2.724</v>
      </c>
      <c r="AA633" s="732">
        <f t="shared" si="333"/>
        <v>2533.32</v>
      </c>
      <c r="AB633" s="712">
        <v>930</v>
      </c>
      <c r="AC633" s="712">
        <f t="shared" si="338"/>
        <v>0</v>
      </c>
      <c r="AD633" s="732" t="s">
        <v>106</v>
      </c>
      <c r="AE633" s="742" t="s">
        <v>718</v>
      </c>
      <c r="AF633" s="730" t="s">
        <v>107</v>
      </c>
      <c r="AG633" s="734" t="s">
        <v>43</v>
      </c>
      <c r="AH633" s="730"/>
      <c r="AI633" s="651"/>
      <c r="AJ633" s="651"/>
      <c r="AK633" s="651"/>
      <c r="AL633" s="712"/>
      <c r="AM633" s="712">
        <f t="shared" si="347"/>
        <v>930</v>
      </c>
      <c r="AN633" s="651"/>
      <c r="AO633" s="651"/>
      <c r="AP633" s="712"/>
      <c r="AQ633" s="735"/>
      <c r="AR633" s="651"/>
      <c r="AS633" s="651"/>
      <c r="AT633" s="712"/>
      <c r="AU633" s="712">
        <f t="shared" si="339"/>
        <v>930</v>
      </c>
      <c r="AV633" s="734"/>
      <c r="AW633" s="656"/>
      <c r="AX633" s="734"/>
      <c r="AY633" s="734"/>
      <c r="AZ633" s="656"/>
      <c r="BA633" s="734"/>
      <c r="BB633" s="734"/>
      <c r="BC633" s="656"/>
      <c r="BD633" s="656"/>
      <c r="BE633" s="713"/>
      <c r="BF633" s="656"/>
      <c r="BG633" s="734"/>
      <c r="BH633" s="734"/>
      <c r="BI633" s="656"/>
      <c r="BJ633" s="656"/>
      <c r="BK633" s="713"/>
      <c r="BL633" s="734">
        <f t="shared" si="348"/>
        <v>155</v>
      </c>
      <c r="BM633" s="713"/>
      <c r="BN633" s="713"/>
      <c r="BO633" s="713"/>
      <c r="BP633" s="656"/>
      <c r="BQ633" s="713"/>
      <c r="BR633" s="656"/>
      <c r="BS633" s="713"/>
      <c r="BT633" s="713"/>
      <c r="BU633" s="713"/>
      <c r="BV633" s="713"/>
      <c r="BW633" s="728" t="s">
        <v>109</v>
      </c>
      <c r="BX633" s="736">
        <f t="shared" si="340"/>
        <v>232.5</v>
      </c>
      <c r="BY633" s="736">
        <f t="shared" si="341"/>
        <v>232.5</v>
      </c>
      <c r="BZ633" s="736">
        <f t="shared" si="342"/>
        <v>232.5</v>
      </c>
      <c r="CA633" s="736">
        <f t="shared" si="343"/>
        <v>232.5</v>
      </c>
      <c r="CB633" s="737">
        <f t="shared" si="344"/>
        <v>930</v>
      </c>
      <c r="CC633" s="737"/>
      <c r="CD633" s="737">
        <f t="shared" si="345"/>
        <v>930</v>
      </c>
      <c r="CE633" s="737">
        <f t="shared" si="346"/>
        <v>0</v>
      </c>
    </row>
    <row r="634" s="558" customFormat="1" ht="40" customHeight="1" spans="1:83 16368:16384">
      <c r="A634" s="717">
        <v>46041</v>
      </c>
      <c r="B634" s="718" t="s">
        <v>2819</v>
      </c>
      <c r="C634" s="719" t="s">
        <v>2820</v>
      </c>
      <c r="D634" s="720">
        <v>4500191714</v>
      </c>
      <c r="E634" s="721"/>
      <c r="F634" s="720" t="s">
        <v>2821</v>
      </c>
      <c r="G634" s="722" t="s">
        <v>241</v>
      </c>
      <c r="H634" s="722" t="s">
        <v>99</v>
      </c>
      <c r="I634" s="723">
        <v>1441</v>
      </c>
      <c r="J634" s="723">
        <v>0</v>
      </c>
      <c r="K634" s="724">
        <v>11</v>
      </c>
      <c r="L634" s="724">
        <f t="shared" si="332"/>
        <v>131</v>
      </c>
      <c r="M634" s="725">
        <v>46103</v>
      </c>
      <c r="N634" s="725">
        <v>46099</v>
      </c>
      <c r="O634" s="725"/>
      <c r="P634" s="726" t="s">
        <v>100</v>
      </c>
      <c r="Q634" s="727"/>
      <c r="R634" s="726" t="s">
        <v>731</v>
      </c>
      <c r="S634" s="725"/>
      <c r="T634" s="725"/>
      <c r="U634" s="726" t="s">
        <v>2822</v>
      </c>
      <c r="V634" s="726"/>
      <c r="W634" s="728"/>
      <c r="X634" s="729" t="s">
        <v>2823</v>
      </c>
      <c r="Y634" s="730" t="s">
        <v>791</v>
      </c>
      <c r="Z634" s="731">
        <v>2.6785</v>
      </c>
      <c r="AA634" s="732">
        <f t="shared" si="333"/>
        <v>3859.7185</v>
      </c>
      <c r="AB634" s="712">
        <v>1441</v>
      </c>
      <c r="AC634" s="712">
        <f t="shared" si="338"/>
        <v>0</v>
      </c>
      <c r="AD634" s="732" t="s">
        <v>123</v>
      </c>
      <c r="AE634" s="722" t="s">
        <v>241</v>
      </c>
      <c r="AF634" s="730" t="s">
        <v>107</v>
      </c>
      <c r="AG634" s="734" t="s">
        <v>43</v>
      </c>
      <c r="AH634" s="730"/>
      <c r="AI634" s="712"/>
      <c r="AJ634" s="712"/>
      <c r="AK634" s="712"/>
      <c r="AL634" s="733">
        <f>I634</f>
        <v>1441</v>
      </c>
      <c r="AM634" s="712"/>
      <c r="AN634" s="712"/>
      <c r="AO634" s="734"/>
      <c r="AP634" s="734"/>
      <c r="AQ634" s="734"/>
      <c r="AR634" s="734"/>
      <c r="AS634" s="734"/>
      <c r="AT634" s="734">
        <f>I634</f>
        <v>1441</v>
      </c>
      <c r="AU634" s="734"/>
      <c r="AV634" s="734"/>
      <c r="AW634" s="734"/>
      <c r="AX634" s="734">
        <f>I634/11</f>
        <v>131</v>
      </c>
      <c r="AY634" s="713"/>
      <c r="AZ634" s="713"/>
      <c r="BA634" s="713"/>
      <c r="BB634" s="713"/>
      <c r="BC634" s="713"/>
      <c r="BD634" s="713"/>
      <c r="BE634" s="713"/>
      <c r="BF634" s="713"/>
      <c r="BG634" s="728"/>
      <c r="BH634" s="736"/>
      <c r="BI634" s="736"/>
      <c r="BJ634" s="736"/>
      <c r="BK634" s="736"/>
      <c r="BL634" s="737"/>
      <c r="BM634" s="736"/>
      <c r="BN634" s="737"/>
      <c r="BO634" s="737"/>
      <c r="BP634" s="767"/>
      <c r="BQ634" s="713"/>
      <c r="BR634" s="713"/>
      <c r="BS634" s="713"/>
      <c r="BT634" s="713"/>
      <c r="BU634" s="713"/>
      <c r="BV634" s="713"/>
      <c r="BW634" s="728" t="s">
        <v>109</v>
      </c>
      <c r="BX634" s="736">
        <f>I634/22*5</f>
        <v>327.5</v>
      </c>
      <c r="BY634" s="736">
        <f>I634/22*6</f>
        <v>393</v>
      </c>
      <c r="BZ634" s="736">
        <f>I634/22*6</f>
        <v>393</v>
      </c>
      <c r="CA634" s="736">
        <f>I634/22*5</f>
        <v>327.5</v>
      </c>
      <c r="CB634" s="737">
        <f t="shared" si="344"/>
        <v>1441</v>
      </c>
      <c r="CC634" s="736">
        <f>I634/11</f>
        <v>131</v>
      </c>
      <c r="CD634" s="737">
        <f t="shared" si="345"/>
        <v>1441</v>
      </c>
      <c r="CE634" s="737">
        <f t="shared" si="346"/>
        <v>0</v>
      </c>
    </row>
    <row r="635" s="558" customFormat="1" ht="40" customHeight="1" spans="1:83 16368:16384">
      <c r="A635" s="717">
        <v>46038</v>
      </c>
      <c r="B635" s="718" t="s">
        <v>2819</v>
      </c>
      <c r="C635" s="719" t="s">
        <v>2820</v>
      </c>
      <c r="D635" s="720">
        <v>4500191674</v>
      </c>
      <c r="E635" s="721" t="s">
        <v>2824</v>
      </c>
      <c r="F635" s="720" t="s">
        <v>2825</v>
      </c>
      <c r="G635" s="722" t="s">
        <v>241</v>
      </c>
      <c r="H635" s="722" t="s">
        <v>99</v>
      </c>
      <c r="I635" s="723">
        <v>1210</v>
      </c>
      <c r="J635" s="723">
        <v>0</v>
      </c>
      <c r="K635" s="724">
        <v>11</v>
      </c>
      <c r="L635" s="724">
        <f t="shared" si="332"/>
        <v>110</v>
      </c>
      <c r="M635" s="725">
        <v>46103</v>
      </c>
      <c r="N635" s="725">
        <v>46099</v>
      </c>
      <c r="O635" s="725"/>
      <c r="P635" s="726" t="s">
        <v>100</v>
      </c>
      <c r="Q635" s="727"/>
      <c r="R635" s="726" t="s">
        <v>2826</v>
      </c>
      <c r="S635" s="725"/>
      <c r="T635" s="725"/>
      <c r="U635" s="726" t="s">
        <v>2827</v>
      </c>
      <c r="V635" s="726"/>
      <c r="W635" s="728"/>
      <c r="X635" s="729" t="s">
        <v>2828</v>
      </c>
      <c r="Y635" s="730" t="s">
        <v>791</v>
      </c>
      <c r="Z635" s="731">
        <v>2.7101</v>
      </c>
      <c r="AA635" s="732">
        <f t="shared" si="333"/>
        <v>3279.221</v>
      </c>
      <c r="AB635" s="712">
        <v>1210</v>
      </c>
      <c r="AC635" s="712">
        <f t="shared" si="338"/>
        <v>0</v>
      </c>
      <c r="AD635" s="732" t="s">
        <v>106</v>
      </c>
      <c r="AE635" s="722" t="s">
        <v>241</v>
      </c>
      <c r="AF635" s="730" t="s">
        <v>107</v>
      </c>
      <c r="AG635" s="734" t="s">
        <v>43</v>
      </c>
      <c r="AH635" s="730"/>
      <c r="AI635" s="712"/>
      <c r="AJ635" s="712"/>
      <c r="AK635" s="712"/>
      <c r="AL635" s="733">
        <f>I635</f>
        <v>1210</v>
      </c>
      <c r="AM635" s="712"/>
      <c r="AN635" s="712"/>
      <c r="AO635" s="734"/>
      <c r="AP635" s="734"/>
      <c r="AQ635" s="734"/>
      <c r="AR635" s="734"/>
      <c r="AS635" s="734"/>
      <c r="AT635" s="734">
        <f>I635</f>
        <v>1210</v>
      </c>
      <c r="AU635" s="734"/>
      <c r="AV635" s="734"/>
      <c r="AW635" s="734"/>
      <c r="AX635" s="734">
        <f>I635/11</f>
        <v>110</v>
      </c>
      <c r="AY635" s="713"/>
      <c r="AZ635" s="713"/>
      <c r="BA635" s="713"/>
      <c r="BB635" s="713"/>
      <c r="BC635" s="713"/>
      <c r="BD635" s="713"/>
      <c r="BE635" s="713"/>
      <c r="BF635" s="713"/>
      <c r="BG635" s="728"/>
      <c r="BH635" s="736"/>
      <c r="BI635" s="736"/>
      <c r="BJ635" s="736"/>
      <c r="BK635" s="736"/>
      <c r="BL635" s="737"/>
      <c r="BM635" s="736"/>
      <c r="BN635" s="737"/>
      <c r="BO635" s="737"/>
      <c r="BP635" s="767"/>
      <c r="BQ635" s="713"/>
      <c r="BR635" s="713"/>
      <c r="BS635" s="713"/>
      <c r="BT635" s="713"/>
      <c r="BU635" s="713"/>
      <c r="BV635" s="713"/>
      <c r="BW635" s="728" t="s">
        <v>109</v>
      </c>
      <c r="BX635" s="736">
        <f>I635/22*5</f>
        <v>275</v>
      </c>
      <c r="BY635" s="736">
        <f>I635/22*6</f>
        <v>330</v>
      </c>
      <c r="BZ635" s="736">
        <f>I635/22*6</f>
        <v>330</v>
      </c>
      <c r="CA635" s="736">
        <f>I635/22*5</f>
        <v>275</v>
      </c>
      <c r="CB635" s="737">
        <f t="shared" si="344"/>
        <v>1210</v>
      </c>
      <c r="CC635" s="736">
        <f>I635/11</f>
        <v>110</v>
      </c>
      <c r="CD635" s="737">
        <f t="shared" si="345"/>
        <v>1210</v>
      </c>
      <c r="CE635" s="737">
        <f t="shared" si="346"/>
        <v>0</v>
      </c>
    </row>
    <row r="636" s="558" customFormat="1" ht="40" customHeight="1" spans="1:83 16368:16384">
      <c r="A636" s="717">
        <v>46059</v>
      </c>
      <c r="B636" s="718" t="s">
        <v>1707</v>
      </c>
      <c r="C636" s="719" t="s">
        <v>214</v>
      </c>
      <c r="D636" s="720">
        <v>4500193346</v>
      </c>
      <c r="E636" s="721" t="s">
        <v>2829</v>
      </c>
      <c r="F636" s="720" t="s">
        <v>2830</v>
      </c>
      <c r="G636" s="722" t="s">
        <v>189</v>
      </c>
      <c r="H636" s="722" t="s">
        <v>99</v>
      </c>
      <c r="I636" s="752">
        <v>1992</v>
      </c>
      <c r="J636" s="723">
        <v>0</v>
      </c>
      <c r="K636" s="724">
        <v>24</v>
      </c>
      <c r="L636" s="724">
        <f t="shared" si="332"/>
        <v>83</v>
      </c>
      <c r="M636" s="725">
        <v>46111</v>
      </c>
      <c r="N636" s="725">
        <v>46107</v>
      </c>
      <c r="O636" s="725"/>
      <c r="P636" s="726" t="s">
        <v>100</v>
      </c>
      <c r="Q636" s="727" t="s">
        <v>794</v>
      </c>
      <c r="R636" s="726" t="s">
        <v>620</v>
      </c>
      <c r="S636" s="725"/>
      <c r="T636" s="725"/>
      <c r="U636" s="726" t="s">
        <v>493</v>
      </c>
      <c r="V636" s="726"/>
      <c r="W636" s="728"/>
      <c r="X636" s="729" t="s">
        <v>2831</v>
      </c>
      <c r="Y636" s="730" t="s">
        <v>809</v>
      </c>
      <c r="Z636" s="731">
        <v>1.4832</v>
      </c>
      <c r="AA636" s="732">
        <f t="shared" si="333"/>
        <v>2954.5344</v>
      </c>
      <c r="AB636" s="712">
        <v>1992</v>
      </c>
      <c r="AC636" s="712">
        <f t="shared" si="338"/>
        <v>0</v>
      </c>
      <c r="AD636" s="732" t="s">
        <v>106</v>
      </c>
      <c r="AE636" s="722" t="s">
        <v>456</v>
      </c>
      <c r="AF636" s="730" t="s">
        <v>107</v>
      </c>
      <c r="AG636" s="734" t="s">
        <v>43</v>
      </c>
      <c r="AH636" s="730"/>
      <c r="AI636" s="708"/>
      <c r="AJ636" s="708"/>
      <c r="AK636" s="708"/>
      <c r="AL636" s="733"/>
      <c r="AM636" s="712">
        <f>I636</f>
        <v>1992</v>
      </c>
      <c r="AN636" s="708"/>
      <c r="AO636" s="768"/>
      <c r="AP636" s="734"/>
      <c r="AQ636" s="734"/>
      <c r="AR636" s="768"/>
      <c r="AS636" s="768"/>
      <c r="AT636" s="734"/>
      <c r="AU636" s="734">
        <f>I636</f>
        <v>1992</v>
      </c>
      <c r="AV636" s="734"/>
      <c r="AW636" s="768"/>
      <c r="AX636" s="734"/>
      <c r="AY636" s="713"/>
      <c r="AZ636" s="709"/>
      <c r="BA636" s="713"/>
      <c r="BB636" s="713"/>
      <c r="BC636" s="709"/>
      <c r="BD636" s="709"/>
      <c r="BE636" s="713"/>
      <c r="BF636" s="709"/>
      <c r="BG636" s="728"/>
      <c r="BH636" s="736"/>
      <c r="BI636" s="769"/>
      <c r="BJ636" s="769"/>
      <c r="BK636" s="736"/>
      <c r="BL636" s="737"/>
      <c r="BM636" s="736"/>
      <c r="BN636" s="737"/>
      <c r="BO636" s="737"/>
      <c r="BP636" s="770"/>
      <c r="BQ636" s="713"/>
      <c r="BR636" s="709"/>
      <c r="BS636" s="713"/>
      <c r="BT636" s="713"/>
      <c r="BU636" s="713"/>
      <c r="BV636" s="713"/>
      <c r="BW636" s="728" t="s">
        <v>109</v>
      </c>
      <c r="BX636" s="736"/>
      <c r="BY636" s="736"/>
      <c r="BZ636" s="736"/>
      <c r="CA636" s="736">
        <f>I636</f>
        <v>1992</v>
      </c>
      <c r="CB636" s="737">
        <f t="shared" si="344"/>
        <v>1992</v>
      </c>
      <c r="CC636" s="737"/>
      <c r="CD636" s="737">
        <f t="shared" si="345"/>
        <v>1992</v>
      </c>
      <c r="CE636" s="737">
        <f t="shared" si="346"/>
        <v>0</v>
      </c>
      <c r="XEN636" s="771"/>
      <c r="XEO636" s="771"/>
      <c r="XEP636" s="771"/>
      <c r="XEQ636" s="771"/>
      <c r="XER636" s="771"/>
      <c r="XES636" s="771"/>
      <c r="XET636" s="771"/>
      <c r="XEU636" s="771"/>
      <c r="XEV636" s="771"/>
      <c r="XEW636" s="771"/>
      <c r="XEX636" s="771"/>
      <c r="XEY636" s="771"/>
      <c r="XEZ636" s="771"/>
      <c r="XFA636" s="771"/>
      <c r="XFB636" s="771"/>
      <c r="XFC636" s="771"/>
      <c r="XFD636" s="771"/>
    </row>
    <row r="637" s="558" customFormat="1" ht="40" customHeight="1" spans="1:83 16368:16384">
      <c r="A637" s="717">
        <v>46059</v>
      </c>
      <c r="B637" s="718" t="s">
        <v>1707</v>
      </c>
      <c r="C637" s="719" t="s">
        <v>214</v>
      </c>
      <c r="D637" s="720">
        <v>4500193346</v>
      </c>
      <c r="E637" s="721" t="s">
        <v>2832</v>
      </c>
      <c r="F637" s="720" t="s">
        <v>2833</v>
      </c>
      <c r="G637" s="722" t="s">
        <v>159</v>
      </c>
      <c r="H637" s="722" t="s">
        <v>99</v>
      </c>
      <c r="I637" s="752">
        <v>1656</v>
      </c>
      <c r="J637" s="723">
        <v>0</v>
      </c>
      <c r="K637" s="724">
        <v>24</v>
      </c>
      <c r="L637" s="724">
        <f t="shared" si="332"/>
        <v>69</v>
      </c>
      <c r="M637" s="725">
        <v>46111</v>
      </c>
      <c r="N637" s="725">
        <v>46107</v>
      </c>
      <c r="O637" s="725"/>
      <c r="P637" s="726" t="s">
        <v>100</v>
      </c>
      <c r="Q637" s="727" t="s">
        <v>794</v>
      </c>
      <c r="R637" s="726" t="s">
        <v>620</v>
      </c>
      <c r="S637" s="725"/>
      <c r="T637" s="725"/>
      <c r="U637" s="726" t="s">
        <v>493</v>
      </c>
      <c r="V637" s="726"/>
      <c r="W637" s="728"/>
      <c r="X637" s="729" t="s">
        <v>2831</v>
      </c>
      <c r="Y637" s="730" t="s">
        <v>809</v>
      </c>
      <c r="Z637" s="731">
        <v>1.4986</v>
      </c>
      <c r="AA637" s="732">
        <f t="shared" si="333"/>
        <v>2481.6816</v>
      </c>
      <c r="AB637" s="712">
        <v>1656</v>
      </c>
      <c r="AC637" s="712">
        <f t="shared" si="338"/>
        <v>0</v>
      </c>
      <c r="AD637" s="732" t="s">
        <v>106</v>
      </c>
      <c r="AE637" s="722" t="s">
        <v>451</v>
      </c>
      <c r="AF637" s="730" t="s">
        <v>107</v>
      </c>
      <c r="AG637" s="734" t="s">
        <v>43</v>
      </c>
      <c r="AH637" s="730"/>
      <c r="AI637" s="708"/>
      <c r="AJ637" s="708"/>
      <c r="AK637" s="708"/>
      <c r="AL637" s="733"/>
      <c r="AM637" s="712">
        <f>I637</f>
        <v>1656</v>
      </c>
      <c r="AN637" s="708"/>
      <c r="AO637" s="768"/>
      <c r="AP637" s="734"/>
      <c r="AQ637" s="734"/>
      <c r="AR637" s="768"/>
      <c r="AS637" s="768"/>
      <c r="AT637" s="734"/>
      <c r="AU637" s="734">
        <f>I637</f>
        <v>1656</v>
      </c>
      <c r="AV637" s="734"/>
      <c r="AW637" s="768"/>
      <c r="AX637" s="734"/>
      <c r="AY637" s="713"/>
      <c r="AZ637" s="709"/>
      <c r="BA637" s="713"/>
      <c r="BB637" s="713"/>
      <c r="BC637" s="709"/>
      <c r="BD637" s="709"/>
      <c r="BE637" s="713"/>
      <c r="BF637" s="709"/>
      <c r="BG637" s="728"/>
      <c r="BH637" s="736"/>
      <c r="BI637" s="769"/>
      <c r="BJ637" s="769"/>
      <c r="BK637" s="736"/>
      <c r="BL637" s="737"/>
      <c r="BM637" s="736"/>
      <c r="BN637" s="737"/>
      <c r="BO637" s="737"/>
      <c r="BP637" s="770"/>
      <c r="BQ637" s="713"/>
      <c r="BR637" s="709"/>
      <c r="BS637" s="713"/>
      <c r="BT637" s="713"/>
      <c r="BU637" s="713"/>
      <c r="BV637" s="713"/>
      <c r="BW637" s="728" t="s">
        <v>109</v>
      </c>
      <c r="BX637" s="736"/>
      <c r="BY637" s="736">
        <v>1656</v>
      </c>
      <c r="BZ637" s="736"/>
      <c r="CA637" s="736"/>
      <c r="CB637" s="737">
        <v>1656</v>
      </c>
      <c r="CC637" s="737"/>
      <c r="CD637" s="737">
        <v>1656</v>
      </c>
      <c r="CE637" s="737">
        <v>0</v>
      </c>
      <c r="XEN637" s="771"/>
      <c r="XEO637" s="771"/>
      <c r="XEP637" s="771"/>
      <c r="XEQ637" s="771"/>
      <c r="XER637" s="771"/>
      <c r="XES637" s="771"/>
      <c r="XET637" s="771"/>
      <c r="XEU637" s="771"/>
      <c r="XEV637" s="771"/>
      <c r="XEW637" s="771"/>
      <c r="XEX637" s="771"/>
      <c r="XEY637" s="771"/>
      <c r="XEZ637" s="771"/>
      <c r="XFA637" s="771"/>
      <c r="XFB637" s="771"/>
      <c r="XFC637" s="771"/>
      <c r="XFD637" s="771"/>
    </row>
    <row r="638" s="558" customFormat="1" ht="40" customHeight="1" spans="1:83 16368:16384">
      <c r="A638" s="717">
        <v>46052</v>
      </c>
      <c r="B638" s="718" t="s">
        <v>2401</v>
      </c>
      <c r="C638" s="719" t="s">
        <v>1117</v>
      </c>
      <c r="D638" s="720">
        <v>4500192711</v>
      </c>
      <c r="E638" s="772">
        <v>160646</v>
      </c>
      <c r="F638" s="720" t="s">
        <v>2834</v>
      </c>
      <c r="G638" s="722" t="s">
        <v>241</v>
      </c>
      <c r="H638" s="722" t="s">
        <v>99</v>
      </c>
      <c r="I638" s="723">
        <v>308</v>
      </c>
      <c r="J638" s="723">
        <v>0</v>
      </c>
      <c r="K638" s="724">
        <v>11</v>
      </c>
      <c r="L638" s="724">
        <f t="shared" si="332"/>
        <v>28</v>
      </c>
      <c r="M638" s="725">
        <v>46118</v>
      </c>
      <c r="N638" s="725">
        <v>46114</v>
      </c>
      <c r="O638" s="725" t="s">
        <v>2835</v>
      </c>
      <c r="P638" s="726" t="s">
        <v>100</v>
      </c>
      <c r="Q638" s="727" t="s">
        <v>2836</v>
      </c>
      <c r="R638" s="726" t="s">
        <v>620</v>
      </c>
      <c r="S638" s="725"/>
      <c r="T638" s="725"/>
      <c r="U638" s="726" t="s">
        <v>2837</v>
      </c>
      <c r="V638" s="726"/>
      <c r="W638" s="728"/>
      <c r="X638" s="729" t="s">
        <v>2838</v>
      </c>
      <c r="Y638" s="730" t="s">
        <v>1029</v>
      </c>
      <c r="Z638" s="731">
        <v>2.6924</v>
      </c>
      <c r="AA638" s="732">
        <f t="shared" si="333"/>
        <v>829.2592</v>
      </c>
      <c r="AB638" s="712">
        <v>308</v>
      </c>
      <c r="AC638" s="712">
        <f t="shared" si="338"/>
        <v>0</v>
      </c>
      <c r="AD638" s="732" t="s">
        <v>106</v>
      </c>
      <c r="AE638" s="722" t="s">
        <v>1264</v>
      </c>
      <c r="AF638" s="730" t="s">
        <v>107</v>
      </c>
      <c r="AG638" s="734" t="s">
        <v>43</v>
      </c>
      <c r="AH638" s="730"/>
      <c r="AI638" s="712"/>
      <c r="AJ638" s="712"/>
      <c r="AK638" s="712"/>
      <c r="AL638" s="733"/>
      <c r="AM638" s="712"/>
      <c r="AN638" s="712"/>
      <c r="AO638" s="734"/>
      <c r="AP638" s="734">
        <f>I638</f>
        <v>308</v>
      </c>
      <c r="AQ638" s="734"/>
      <c r="AR638" s="734"/>
      <c r="AS638" s="734"/>
      <c r="AT638" s="734"/>
      <c r="AU638" s="734"/>
      <c r="AV638" s="734">
        <f>I638</f>
        <v>308</v>
      </c>
      <c r="AW638" s="734"/>
      <c r="AX638" s="734"/>
      <c r="AY638" s="713"/>
      <c r="AZ638" s="713"/>
      <c r="BA638" s="713"/>
      <c r="BB638" s="713">
        <f>I638/11</f>
        <v>28</v>
      </c>
      <c r="BC638" s="713"/>
      <c r="BD638" s="713"/>
      <c r="BE638" s="713"/>
      <c r="BF638" s="713"/>
      <c r="BG638" s="728"/>
      <c r="BH638" s="736"/>
      <c r="BI638" s="736"/>
      <c r="BJ638" s="736"/>
      <c r="BK638" s="736"/>
      <c r="BL638" s="737"/>
      <c r="BM638" s="736"/>
      <c r="BN638" s="737"/>
      <c r="BO638" s="737"/>
      <c r="BP638" s="767"/>
      <c r="BQ638" s="713"/>
      <c r="BR638" s="713"/>
      <c r="BS638" s="713"/>
      <c r="BT638" s="713"/>
      <c r="BU638" s="713"/>
      <c r="BV638" s="713"/>
      <c r="BW638" s="728" t="s">
        <v>109</v>
      </c>
      <c r="BX638" s="736">
        <f>I638/22*5</f>
        <v>70</v>
      </c>
      <c r="BY638" s="736">
        <f>I638/22*6</f>
        <v>84</v>
      </c>
      <c r="BZ638" s="736">
        <f>I638/22*6</f>
        <v>84</v>
      </c>
      <c r="CA638" s="736">
        <f>I638/22*5</f>
        <v>70</v>
      </c>
      <c r="CB638" s="737">
        <f>I638</f>
        <v>308</v>
      </c>
      <c r="CC638" s="736">
        <f>I638/11</f>
        <v>28</v>
      </c>
      <c r="CD638" s="737">
        <f>SUM(BX638:CA638)</f>
        <v>308</v>
      </c>
      <c r="CE638" s="737">
        <f>I638-CD638</f>
        <v>0</v>
      </c>
      <c r="XEN638" s="771"/>
      <c r="XEO638" s="771"/>
      <c r="XEP638" s="771"/>
      <c r="XEQ638" s="771"/>
      <c r="XER638" s="771"/>
      <c r="XES638" s="771"/>
      <c r="XET638" s="771"/>
      <c r="XEU638" s="771"/>
      <c r="XEV638" s="771"/>
      <c r="XEW638" s="771"/>
      <c r="XEX638" s="771"/>
      <c r="XEY638" s="771"/>
      <c r="XEZ638" s="771"/>
      <c r="XFA638" s="771"/>
      <c r="XFB638" s="771"/>
      <c r="XFC638" s="771"/>
      <c r="XFD638" s="771"/>
    </row>
    <row r="639" s="558" customFormat="1" ht="40" customHeight="1" spans="1:83 16368:16384">
      <c r="A639" s="717">
        <v>46094</v>
      </c>
      <c r="B639" s="718" t="s">
        <v>2492</v>
      </c>
      <c r="C639" s="719" t="s">
        <v>2493</v>
      </c>
      <c r="D639" s="720">
        <v>4500193317</v>
      </c>
      <c r="E639" s="721"/>
      <c r="F639" s="720" t="s">
        <v>2839</v>
      </c>
      <c r="G639" s="722" t="s">
        <v>111</v>
      </c>
      <c r="H639" s="722" t="s">
        <v>99</v>
      </c>
      <c r="I639" s="752">
        <v>220</v>
      </c>
      <c r="J639" s="723">
        <v>0</v>
      </c>
      <c r="K639" s="724">
        <v>22</v>
      </c>
      <c r="L639" s="724">
        <f t="shared" si="332"/>
        <v>10</v>
      </c>
      <c r="M639" s="725">
        <v>46113</v>
      </c>
      <c r="N639" s="725">
        <v>46109</v>
      </c>
      <c r="O639" s="725" t="s">
        <v>2840</v>
      </c>
      <c r="P639" s="726" t="s">
        <v>100</v>
      </c>
      <c r="Q639" s="727" t="s">
        <v>2841</v>
      </c>
      <c r="R639" s="726" t="s">
        <v>2842</v>
      </c>
      <c r="S639" s="725"/>
      <c r="T639" s="725"/>
      <c r="U639" s="726" t="s">
        <v>2843</v>
      </c>
      <c r="V639" s="726"/>
      <c r="W639" s="728"/>
      <c r="X639" s="729" t="s">
        <v>2844</v>
      </c>
      <c r="Y639" s="730" t="s">
        <v>2310</v>
      </c>
      <c r="Z639" s="731">
        <v>2.7291</v>
      </c>
      <c r="AA639" s="732">
        <f t="shared" si="333"/>
        <v>600.402</v>
      </c>
      <c r="AB639" s="712">
        <f>60+60+50+50</f>
        <v>220</v>
      </c>
      <c r="AC639" s="712">
        <f t="shared" si="338"/>
        <v>0</v>
      </c>
      <c r="AD639" s="732" t="s">
        <v>106</v>
      </c>
      <c r="AE639" s="722" t="s">
        <v>111</v>
      </c>
      <c r="AF639" s="730" t="s">
        <v>107</v>
      </c>
      <c r="AG639" s="734" t="s">
        <v>43</v>
      </c>
      <c r="AH639" s="730"/>
      <c r="AI639" s="705"/>
      <c r="AJ639" s="705"/>
      <c r="AK639" s="705"/>
      <c r="AL639" s="733">
        <f>I639</f>
        <v>220</v>
      </c>
      <c r="AM639" s="712"/>
      <c r="AN639" s="705"/>
      <c r="AO639" s="773"/>
      <c r="AP639" s="734"/>
      <c r="AQ639" s="734"/>
      <c r="AR639" s="773"/>
      <c r="AS639" s="773"/>
      <c r="AT639" s="734">
        <f>I639</f>
        <v>220</v>
      </c>
      <c r="AU639" s="734"/>
      <c r="AV639" s="734"/>
      <c r="AW639" s="773"/>
      <c r="AX639" s="734">
        <f>I639/11</f>
        <v>20</v>
      </c>
      <c r="AY639" s="713"/>
      <c r="AZ639" s="706"/>
      <c r="BA639" s="713"/>
      <c r="BB639" s="713"/>
      <c r="BC639" s="706"/>
      <c r="BD639" s="706"/>
      <c r="BE639" s="713"/>
      <c r="BF639" s="706"/>
      <c r="BG639" s="728"/>
      <c r="BH639" s="736"/>
      <c r="BI639" s="774"/>
      <c r="BJ639" s="774"/>
      <c r="BK639" s="736"/>
      <c r="BL639" s="737"/>
      <c r="BM639" s="736"/>
      <c r="BN639" s="737"/>
      <c r="BO639" s="737"/>
      <c r="BP639" s="775"/>
      <c r="BQ639" s="713"/>
      <c r="BR639" s="706"/>
      <c r="BS639" s="713"/>
      <c r="BT639" s="713"/>
      <c r="BU639" s="713"/>
      <c r="BV639" s="713"/>
      <c r="BW639" s="728" t="s">
        <v>109</v>
      </c>
      <c r="BX639" s="736">
        <f>I639/22*5</f>
        <v>50</v>
      </c>
      <c r="BY639" s="736">
        <f>I639/22*6</f>
        <v>60</v>
      </c>
      <c r="BZ639" s="736">
        <f>I639/22*6</f>
        <v>60</v>
      </c>
      <c r="CA639" s="736">
        <f>I639/22*5</f>
        <v>50</v>
      </c>
      <c r="CB639" s="737">
        <f>I639</f>
        <v>220</v>
      </c>
      <c r="CC639" s="736">
        <f>I639/11</f>
        <v>20</v>
      </c>
      <c r="CD639" s="737">
        <f>SUM(BX639:CA639)</f>
        <v>220</v>
      </c>
      <c r="CE639" s="737">
        <f>I639-CD639</f>
        <v>0</v>
      </c>
      <c r="XEN639" s="771"/>
      <c r="XEO639" s="771"/>
      <c r="XEP639" s="771"/>
      <c r="XEQ639" s="771"/>
      <c r="XER639" s="771"/>
      <c r="XES639" s="771"/>
      <c r="XET639" s="771"/>
      <c r="XEU639" s="771"/>
      <c r="XEV639" s="771"/>
      <c r="XEW639" s="771"/>
      <c r="XEX639" s="771"/>
      <c r="XEY639" s="771"/>
      <c r="XEZ639" s="771"/>
      <c r="XFA639" s="771"/>
      <c r="XFB639" s="771"/>
      <c r="XFC639" s="771"/>
      <c r="XFD639" s="771"/>
    </row>
    <row r="640" s="558" customFormat="1" ht="40" customHeight="1" spans="1:83 16368:16384">
      <c r="A640" s="717">
        <v>46058</v>
      </c>
      <c r="B640" s="718" t="s">
        <v>2110</v>
      </c>
      <c r="C640" s="719" t="s">
        <v>214</v>
      </c>
      <c r="D640" s="720">
        <v>4500193110</v>
      </c>
      <c r="E640" s="721">
        <v>4561394538</v>
      </c>
      <c r="F640" s="720" t="s">
        <v>2845</v>
      </c>
      <c r="G640" s="722" t="s">
        <v>718</v>
      </c>
      <c r="H640" s="722" t="s">
        <v>99</v>
      </c>
      <c r="I640" s="765">
        <v>1548</v>
      </c>
      <c r="J640" s="723">
        <v>0</v>
      </c>
      <c r="K640" s="724">
        <v>6</v>
      </c>
      <c r="L640" s="724">
        <f t="shared" si="332"/>
        <v>258</v>
      </c>
      <c r="M640" s="725">
        <v>46119</v>
      </c>
      <c r="N640" s="725">
        <v>46115</v>
      </c>
      <c r="O640" s="725"/>
      <c r="P640" s="726" t="s">
        <v>100</v>
      </c>
      <c r="Q640" s="727" t="s">
        <v>756</v>
      </c>
      <c r="R640" s="726" t="s">
        <v>2846</v>
      </c>
      <c r="S640" s="725"/>
      <c r="T640" s="725"/>
      <c r="U640" s="726" t="s">
        <v>2847</v>
      </c>
      <c r="V640" s="726"/>
      <c r="W640" s="728"/>
      <c r="X640" s="729" t="s">
        <v>2848</v>
      </c>
      <c r="Y640" s="730" t="s">
        <v>725</v>
      </c>
      <c r="Z640" s="731">
        <v>1.5692</v>
      </c>
      <c r="AA640" s="732">
        <f t="shared" si="333"/>
        <v>2429.1216</v>
      </c>
      <c r="AB640" s="712">
        <v>1548</v>
      </c>
      <c r="AC640" s="712">
        <f t="shared" si="338"/>
        <v>0</v>
      </c>
      <c r="AD640" s="732" t="s">
        <v>106</v>
      </c>
      <c r="AE640" s="722" t="s">
        <v>718</v>
      </c>
      <c r="AF640" s="730" t="s">
        <v>107</v>
      </c>
      <c r="AG640" s="734" t="s">
        <v>43</v>
      </c>
      <c r="AH640" s="730"/>
      <c r="AI640" s="712"/>
      <c r="AJ640" s="712"/>
      <c r="AK640" s="712"/>
      <c r="AL640" s="733"/>
      <c r="AM640" s="712">
        <f t="shared" ref="AM640:AM649" si="349">I640</f>
        <v>1548</v>
      </c>
      <c r="AN640" s="712"/>
      <c r="AO640" s="734"/>
      <c r="AP640" s="734"/>
      <c r="AQ640" s="734"/>
      <c r="AR640" s="734"/>
      <c r="AS640" s="734"/>
      <c r="AT640" s="734"/>
      <c r="AU640" s="734">
        <f t="shared" ref="AU640:AU649" si="350">I640</f>
        <v>1548</v>
      </c>
      <c r="AV640" s="734"/>
      <c r="AW640" s="734"/>
      <c r="AX640" s="734"/>
      <c r="AY640" s="713"/>
      <c r="AZ640" s="713"/>
      <c r="BA640" s="713"/>
      <c r="BB640" s="713"/>
      <c r="BC640" s="713"/>
      <c r="BD640" s="713"/>
      <c r="BE640" s="713"/>
      <c r="BF640" s="713"/>
      <c r="BG640" s="728"/>
      <c r="BH640" s="736"/>
      <c r="BI640" s="736"/>
      <c r="BJ640" s="736"/>
      <c r="BK640" s="736"/>
      <c r="BL640" s="737">
        <f t="shared" ref="BL640:BL648" si="351">I640/6</f>
        <v>258</v>
      </c>
      <c r="BM640" s="736"/>
      <c r="BN640" s="737"/>
      <c r="BO640" s="737"/>
      <c r="BP640" s="767"/>
      <c r="BQ640" s="713"/>
      <c r="BR640" s="713"/>
      <c r="BS640" s="713"/>
      <c r="BT640" s="713"/>
      <c r="BU640" s="713"/>
      <c r="BV640" s="713"/>
      <c r="BW640" s="728" t="s">
        <v>109</v>
      </c>
      <c r="BX640" s="736">
        <f t="shared" ref="BX640:BX649" si="352">I640/4</f>
        <v>387</v>
      </c>
      <c r="BY640" s="736">
        <f t="shared" ref="BY640:BY649" si="353">I640/4</f>
        <v>387</v>
      </c>
      <c r="BZ640" s="736">
        <f t="shared" ref="BZ640:BZ649" si="354">I640/4</f>
        <v>387</v>
      </c>
      <c r="CA640" s="736">
        <f t="shared" ref="CA640:CA649" si="355">I640/4</f>
        <v>387</v>
      </c>
      <c r="CB640" s="737">
        <f t="shared" ref="CB638:CB648" si="356">I640</f>
        <v>1548</v>
      </c>
      <c r="CC640" s="737"/>
      <c r="CD640" s="737">
        <f t="shared" ref="CD638:CD666" si="357">SUM(BX640:CA640)</f>
        <v>1548</v>
      </c>
      <c r="CE640" s="737">
        <f t="shared" ref="CE638:CE651" si="358">I640-CD640</f>
        <v>0</v>
      </c>
      <c r="XEN640" s="771"/>
      <c r="XEO640" s="771"/>
      <c r="XEP640" s="771"/>
      <c r="XEQ640" s="771"/>
      <c r="XER640" s="771"/>
      <c r="XES640" s="771"/>
      <c r="XET640" s="771"/>
      <c r="XEU640" s="771"/>
      <c r="XEV640" s="771"/>
      <c r="XEW640" s="771"/>
      <c r="XEX640" s="771"/>
      <c r="XEY640" s="771"/>
      <c r="XEZ640" s="771"/>
      <c r="XFA640" s="771"/>
      <c r="XFB640" s="771"/>
      <c r="XFC640" s="771"/>
      <c r="XFD640" s="771"/>
    </row>
    <row r="641" s="558" customFormat="1" ht="40" customHeight="1" spans="1:83 16368:16384">
      <c r="A641" s="717">
        <v>46058</v>
      </c>
      <c r="B641" s="718" t="s">
        <v>2110</v>
      </c>
      <c r="C641" s="719" t="s">
        <v>214</v>
      </c>
      <c r="D641" s="720">
        <v>4500193110</v>
      </c>
      <c r="E641" s="721">
        <v>4561394965</v>
      </c>
      <c r="F641" s="720" t="s">
        <v>2849</v>
      </c>
      <c r="G641" s="722" t="s">
        <v>718</v>
      </c>
      <c r="H641" s="722" t="s">
        <v>99</v>
      </c>
      <c r="I641" s="765">
        <v>1890</v>
      </c>
      <c r="J641" s="723">
        <v>0</v>
      </c>
      <c r="K641" s="724">
        <v>6</v>
      </c>
      <c r="L641" s="724">
        <f t="shared" si="332"/>
        <v>315</v>
      </c>
      <c r="M641" s="725">
        <v>46119</v>
      </c>
      <c r="N641" s="725">
        <v>46115</v>
      </c>
      <c r="O641" s="725"/>
      <c r="P641" s="726" t="s">
        <v>100</v>
      </c>
      <c r="Q641" s="727" t="s">
        <v>756</v>
      </c>
      <c r="R641" s="726" t="s">
        <v>2846</v>
      </c>
      <c r="S641" s="725"/>
      <c r="T641" s="725"/>
      <c r="U641" s="726" t="s">
        <v>2847</v>
      </c>
      <c r="V641" s="726"/>
      <c r="W641" s="728"/>
      <c r="X641" s="729" t="s">
        <v>2848</v>
      </c>
      <c r="Y641" s="730" t="s">
        <v>725</v>
      </c>
      <c r="Z641" s="731">
        <v>1.5692</v>
      </c>
      <c r="AA641" s="732">
        <f t="shared" si="333"/>
        <v>2965.788</v>
      </c>
      <c r="AB641" s="712">
        <v>1890</v>
      </c>
      <c r="AC641" s="712">
        <f t="shared" si="338"/>
        <v>0</v>
      </c>
      <c r="AD641" s="732"/>
      <c r="AE641" s="722" t="s">
        <v>718</v>
      </c>
      <c r="AF641" s="730" t="s">
        <v>107</v>
      </c>
      <c r="AG641" s="734" t="s">
        <v>43</v>
      </c>
      <c r="AH641" s="730"/>
      <c r="AI641" s="712"/>
      <c r="AJ641" s="712"/>
      <c r="AK641" s="712"/>
      <c r="AL641" s="733"/>
      <c r="AM641" s="712">
        <f t="shared" si="349"/>
        <v>1890</v>
      </c>
      <c r="AN641" s="712"/>
      <c r="AO641" s="734"/>
      <c r="AP641" s="734"/>
      <c r="AQ641" s="734"/>
      <c r="AR641" s="734"/>
      <c r="AS641" s="734"/>
      <c r="AT641" s="734"/>
      <c r="AU641" s="734">
        <f t="shared" si="350"/>
        <v>1890</v>
      </c>
      <c r="AV641" s="734"/>
      <c r="AW641" s="734"/>
      <c r="AX641" s="734"/>
      <c r="AY641" s="713"/>
      <c r="AZ641" s="713"/>
      <c r="BA641" s="713"/>
      <c r="BB641" s="713"/>
      <c r="BC641" s="713"/>
      <c r="BD641" s="713"/>
      <c r="BE641" s="713"/>
      <c r="BF641" s="713"/>
      <c r="BG641" s="728"/>
      <c r="BH641" s="736"/>
      <c r="BI641" s="736"/>
      <c r="BJ641" s="736"/>
      <c r="BK641" s="736"/>
      <c r="BL641" s="737">
        <f t="shared" si="351"/>
        <v>315</v>
      </c>
      <c r="BM641" s="736"/>
      <c r="BN641" s="737"/>
      <c r="BO641" s="737"/>
      <c r="BP641" s="767"/>
      <c r="BQ641" s="713"/>
      <c r="BR641" s="713"/>
      <c r="BS641" s="713"/>
      <c r="BT641" s="713"/>
      <c r="BU641" s="713"/>
      <c r="BV641" s="713"/>
      <c r="BW641" s="728" t="s">
        <v>109</v>
      </c>
      <c r="BX641" s="736">
        <f t="shared" si="352"/>
        <v>472.5</v>
      </c>
      <c r="BY641" s="736">
        <f t="shared" si="353"/>
        <v>472.5</v>
      </c>
      <c r="BZ641" s="736">
        <f t="shared" si="354"/>
        <v>472.5</v>
      </c>
      <c r="CA641" s="736">
        <f t="shared" si="355"/>
        <v>472.5</v>
      </c>
      <c r="CB641" s="737">
        <f t="shared" si="356"/>
        <v>1890</v>
      </c>
      <c r="CC641" s="737"/>
      <c r="CD641" s="737">
        <f t="shared" si="357"/>
        <v>1890</v>
      </c>
      <c r="CE641" s="737">
        <f t="shared" si="358"/>
        <v>0</v>
      </c>
      <c r="XEN641" s="771"/>
      <c r="XEO641" s="771"/>
      <c r="XEP641" s="771"/>
      <c r="XEQ641" s="771"/>
      <c r="XER641" s="771"/>
      <c r="XES641" s="771"/>
      <c r="XET641" s="771"/>
      <c r="XEU641" s="771"/>
      <c r="XEV641" s="771"/>
      <c r="XEW641" s="771"/>
      <c r="XEX641" s="771"/>
      <c r="XEY641" s="771"/>
      <c r="XEZ641" s="771"/>
      <c r="XFA641" s="771"/>
      <c r="XFB641" s="771"/>
      <c r="XFC641" s="771"/>
      <c r="XFD641" s="771"/>
    </row>
    <row r="642" s="558" customFormat="1" ht="40" customHeight="1" spans="1:83 16368:16384">
      <c r="A642" s="717">
        <v>46058</v>
      </c>
      <c r="B642" s="718" t="s">
        <v>2110</v>
      </c>
      <c r="C642" s="719" t="s">
        <v>214</v>
      </c>
      <c r="D642" s="720">
        <v>4500193110</v>
      </c>
      <c r="E642" s="721">
        <v>4561394955</v>
      </c>
      <c r="F642" s="720" t="s">
        <v>2850</v>
      </c>
      <c r="G642" s="722" t="s">
        <v>718</v>
      </c>
      <c r="H642" s="722" t="s">
        <v>99</v>
      </c>
      <c r="I642" s="765">
        <v>126</v>
      </c>
      <c r="J642" s="723">
        <v>0</v>
      </c>
      <c r="K642" s="724">
        <v>6</v>
      </c>
      <c r="L642" s="724">
        <f t="shared" si="332"/>
        <v>21</v>
      </c>
      <c r="M642" s="725">
        <v>46119</v>
      </c>
      <c r="N642" s="725">
        <v>46115</v>
      </c>
      <c r="O642" s="725"/>
      <c r="P642" s="726" t="s">
        <v>100</v>
      </c>
      <c r="Q642" s="727" t="s">
        <v>756</v>
      </c>
      <c r="R642" s="726" t="s">
        <v>2846</v>
      </c>
      <c r="S642" s="725"/>
      <c r="T642" s="725"/>
      <c r="U642" s="726" t="s">
        <v>2847</v>
      </c>
      <c r="V642" s="726"/>
      <c r="W642" s="728"/>
      <c r="X642" s="729" t="s">
        <v>2848</v>
      </c>
      <c r="Y642" s="730" t="s">
        <v>725</v>
      </c>
      <c r="Z642" s="731">
        <v>1.5775</v>
      </c>
      <c r="AA642" s="732">
        <f t="shared" si="333"/>
        <v>198.765</v>
      </c>
      <c r="AB642" s="712">
        <v>126</v>
      </c>
      <c r="AC642" s="712">
        <f t="shared" si="338"/>
        <v>0</v>
      </c>
      <c r="AD642" s="732"/>
      <c r="AE642" s="722" t="s">
        <v>718</v>
      </c>
      <c r="AF642" s="730" t="s">
        <v>107</v>
      </c>
      <c r="AG642" s="734" t="s">
        <v>43</v>
      </c>
      <c r="AH642" s="730"/>
      <c r="AI642" s="712"/>
      <c r="AJ642" s="712"/>
      <c r="AK642" s="712"/>
      <c r="AL642" s="733"/>
      <c r="AM642" s="712">
        <f t="shared" si="349"/>
        <v>126</v>
      </c>
      <c r="AN642" s="712"/>
      <c r="AO642" s="734"/>
      <c r="AP642" s="734"/>
      <c r="AQ642" s="734"/>
      <c r="AR642" s="734"/>
      <c r="AS642" s="734"/>
      <c r="AT642" s="734"/>
      <c r="AU642" s="734">
        <f t="shared" si="350"/>
        <v>126</v>
      </c>
      <c r="AV642" s="734"/>
      <c r="AW642" s="734"/>
      <c r="AX642" s="734"/>
      <c r="AY642" s="713"/>
      <c r="AZ642" s="713"/>
      <c r="BA642" s="713"/>
      <c r="BB642" s="713"/>
      <c r="BC642" s="713"/>
      <c r="BD642" s="713"/>
      <c r="BE642" s="713"/>
      <c r="BF642" s="713"/>
      <c r="BG642" s="728"/>
      <c r="BH642" s="736"/>
      <c r="BI642" s="736"/>
      <c r="BJ642" s="736"/>
      <c r="BK642" s="736"/>
      <c r="BL642" s="737">
        <f t="shared" si="351"/>
        <v>21</v>
      </c>
      <c r="BM642" s="736"/>
      <c r="BN642" s="737"/>
      <c r="BO642" s="737"/>
      <c r="BP642" s="767"/>
      <c r="BQ642" s="713"/>
      <c r="BR642" s="713"/>
      <c r="BS642" s="713"/>
      <c r="BT642" s="713"/>
      <c r="BU642" s="713"/>
      <c r="BV642" s="713"/>
      <c r="BW642" s="728" t="s">
        <v>109</v>
      </c>
      <c r="BX642" s="736">
        <f t="shared" si="352"/>
        <v>31.5</v>
      </c>
      <c r="BY642" s="736">
        <f t="shared" si="353"/>
        <v>31.5</v>
      </c>
      <c r="BZ642" s="736">
        <f t="shared" si="354"/>
        <v>31.5</v>
      </c>
      <c r="CA642" s="736">
        <f t="shared" si="355"/>
        <v>31.5</v>
      </c>
      <c r="CB642" s="737">
        <f t="shared" si="356"/>
        <v>126</v>
      </c>
      <c r="CC642" s="737"/>
      <c r="CD642" s="737">
        <f t="shared" si="357"/>
        <v>126</v>
      </c>
      <c r="CE642" s="737">
        <f t="shared" si="358"/>
        <v>0</v>
      </c>
      <c r="XEN642" s="771"/>
      <c r="XEO642" s="771"/>
      <c r="XEP642" s="771"/>
      <c r="XEQ642" s="771"/>
      <c r="XER642" s="771"/>
      <c r="XES642" s="771"/>
      <c r="XET642" s="771"/>
      <c r="XEU642" s="771"/>
      <c r="XEV642" s="771"/>
      <c r="XEW642" s="771"/>
      <c r="XEX642" s="771"/>
      <c r="XEY642" s="771"/>
      <c r="XEZ642" s="771"/>
      <c r="XFA642" s="771"/>
      <c r="XFB642" s="771"/>
      <c r="XFC642" s="771"/>
      <c r="XFD642" s="771"/>
    </row>
    <row r="643" s="558" customFormat="1" ht="40" customHeight="1" spans="1:83 16368:16384">
      <c r="A643" s="717">
        <v>46058</v>
      </c>
      <c r="B643" s="718" t="s">
        <v>2110</v>
      </c>
      <c r="C643" s="719" t="s">
        <v>214</v>
      </c>
      <c r="D643" s="720">
        <v>4500193110</v>
      </c>
      <c r="E643" s="721">
        <v>4561394540</v>
      </c>
      <c r="F643" s="720" t="s">
        <v>2851</v>
      </c>
      <c r="G643" s="722" t="s">
        <v>718</v>
      </c>
      <c r="H643" s="722" t="s">
        <v>99</v>
      </c>
      <c r="I643" s="765">
        <v>1638</v>
      </c>
      <c r="J643" s="723">
        <v>0</v>
      </c>
      <c r="K643" s="724">
        <v>6</v>
      </c>
      <c r="L643" s="724">
        <f t="shared" si="332"/>
        <v>273</v>
      </c>
      <c r="M643" s="725">
        <v>46119</v>
      </c>
      <c r="N643" s="725">
        <v>46115</v>
      </c>
      <c r="O643" s="725"/>
      <c r="P643" s="726" t="s">
        <v>100</v>
      </c>
      <c r="Q643" s="727" t="s">
        <v>756</v>
      </c>
      <c r="R643" s="726" t="s">
        <v>2846</v>
      </c>
      <c r="S643" s="725"/>
      <c r="T643" s="725"/>
      <c r="U643" s="726" t="s">
        <v>2847</v>
      </c>
      <c r="V643" s="726"/>
      <c r="W643" s="728"/>
      <c r="X643" s="729" t="s">
        <v>2848</v>
      </c>
      <c r="Y643" s="730" t="s">
        <v>725</v>
      </c>
      <c r="Z643" s="731">
        <v>1.5692</v>
      </c>
      <c r="AA643" s="732">
        <f t="shared" si="333"/>
        <v>2570.3496</v>
      </c>
      <c r="AB643" s="712">
        <v>1638</v>
      </c>
      <c r="AC643" s="712">
        <f t="shared" si="338"/>
        <v>0</v>
      </c>
      <c r="AD643" s="732"/>
      <c r="AE643" s="722" t="s">
        <v>718</v>
      </c>
      <c r="AF643" s="730" t="s">
        <v>107</v>
      </c>
      <c r="AG643" s="734" t="s">
        <v>43</v>
      </c>
      <c r="AH643" s="730"/>
      <c r="AI643" s="712"/>
      <c r="AJ643" s="712"/>
      <c r="AK643" s="712"/>
      <c r="AL643" s="733"/>
      <c r="AM643" s="712">
        <f t="shared" si="349"/>
        <v>1638</v>
      </c>
      <c r="AN643" s="712"/>
      <c r="AO643" s="734"/>
      <c r="AP643" s="734"/>
      <c r="AQ643" s="734"/>
      <c r="AR643" s="734"/>
      <c r="AS643" s="734"/>
      <c r="AT643" s="734"/>
      <c r="AU643" s="734">
        <f t="shared" si="350"/>
        <v>1638</v>
      </c>
      <c r="AV643" s="734"/>
      <c r="AW643" s="734"/>
      <c r="AX643" s="734"/>
      <c r="AY643" s="713"/>
      <c r="AZ643" s="713"/>
      <c r="BA643" s="713"/>
      <c r="BB643" s="713"/>
      <c r="BC643" s="713"/>
      <c r="BD643" s="713"/>
      <c r="BE643" s="713"/>
      <c r="BF643" s="713"/>
      <c r="BG643" s="728"/>
      <c r="BH643" s="736"/>
      <c r="BI643" s="736"/>
      <c r="BJ643" s="736"/>
      <c r="BK643" s="736"/>
      <c r="BL643" s="737">
        <f t="shared" si="351"/>
        <v>273</v>
      </c>
      <c r="BM643" s="736"/>
      <c r="BN643" s="737"/>
      <c r="BO643" s="737"/>
      <c r="BP643" s="767"/>
      <c r="BQ643" s="713"/>
      <c r="BR643" s="713"/>
      <c r="BS643" s="713"/>
      <c r="BT643" s="713"/>
      <c r="BU643" s="713"/>
      <c r="BV643" s="713"/>
      <c r="BW643" s="728" t="s">
        <v>109</v>
      </c>
      <c r="BX643" s="736">
        <f t="shared" si="352"/>
        <v>409.5</v>
      </c>
      <c r="BY643" s="736">
        <f t="shared" si="353"/>
        <v>409.5</v>
      </c>
      <c r="BZ643" s="736">
        <f t="shared" si="354"/>
        <v>409.5</v>
      </c>
      <c r="CA643" s="736">
        <f t="shared" si="355"/>
        <v>409.5</v>
      </c>
      <c r="CB643" s="737">
        <f t="shared" si="356"/>
        <v>1638</v>
      </c>
      <c r="CC643" s="737"/>
      <c r="CD643" s="737">
        <f t="shared" si="357"/>
        <v>1638</v>
      </c>
      <c r="CE643" s="737">
        <f t="shared" si="358"/>
        <v>0</v>
      </c>
      <c r="XEN643" s="771"/>
      <c r="XEO643" s="771"/>
      <c r="XEP643" s="771"/>
      <c r="XEQ643" s="771"/>
      <c r="XER643" s="771"/>
      <c r="XES643" s="771"/>
      <c r="XET643" s="771"/>
      <c r="XEU643" s="771"/>
      <c r="XEV643" s="771"/>
      <c r="XEW643" s="771"/>
      <c r="XEX643" s="771"/>
      <c r="XEY643" s="771"/>
      <c r="XEZ643" s="771"/>
      <c r="XFA643" s="771"/>
      <c r="XFB643" s="771"/>
      <c r="XFC643" s="771"/>
      <c r="XFD643" s="771"/>
    </row>
    <row r="644" s="558" customFormat="1" ht="40" customHeight="1" spans="1:83 16368:16384">
      <c r="A644" s="717">
        <v>46058</v>
      </c>
      <c r="B644" s="718" t="s">
        <v>2110</v>
      </c>
      <c r="C644" s="719" t="s">
        <v>214</v>
      </c>
      <c r="D644" s="720">
        <v>4500193110</v>
      </c>
      <c r="E644" s="721">
        <v>4561394645</v>
      </c>
      <c r="F644" s="720" t="s">
        <v>2852</v>
      </c>
      <c r="G644" s="722" t="s">
        <v>718</v>
      </c>
      <c r="H644" s="722" t="s">
        <v>99</v>
      </c>
      <c r="I644" s="765">
        <v>888</v>
      </c>
      <c r="J644" s="723">
        <v>0</v>
      </c>
      <c r="K644" s="724">
        <v>6</v>
      </c>
      <c r="L644" s="724">
        <f t="shared" si="332"/>
        <v>148</v>
      </c>
      <c r="M644" s="725">
        <v>46119</v>
      </c>
      <c r="N644" s="725">
        <v>46115</v>
      </c>
      <c r="O644" s="725"/>
      <c r="P644" s="726" t="s">
        <v>100</v>
      </c>
      <c r="Q644" s="727" t="s">
        <v>756</v>
      </c>
      <c r="R644" s="726" t="s">
        <v>2846</v>
      </c>
      <c r="S644" s="725"/>
      <c r="T644" s="725"/>
      <c r="U644" s="726" t="s">
        <v>2847</v>
      </c>
      <c r="V644" s="726"/>
      <c r="W644" s="728"/>
      <c r="X644" s="729" t="s">
        <v>2848</v>
      </c>
      <c r="Y644" s="730" t="s">
        <v>725</v>
      </c>
      <c r="Z644" s="731">
        <v>1.5775</v>
      </c>
      <c r="AA644" s="732">
        <f t="shared" si="333"/>
        <v>1400.82</v>
      </c>
      <c r="AB644" s="712">
        <v>888</v>
      </c>
      <c r="AC644" s="712">
        <f t="shared" si="338"/>
        <v>0</v>
      </c>
      <c r="AD644" s="732"/>
      <c r="AE644" s="722" t="s">
        <v>718</v>
      </c>
      <c r="AF644" s="730" t="s">
        <v>107</v>
      </c>
      <c r="AG644" s="734" t="s">
        <v>43</v>
      </c>
      <c r="AH644" s="730"/>
      <c r="AI644" s="712"/>
      <c r="AJ644" s="712"/>
      <c r="AK644" s="712"/>
      <c r="AL644" s="733"/>
      <c r="AM644" s="712">
        <f t="shared" si="349"/>
        <v>888</v>
      </c>
      <c r="AN644" s="712"/>
      <c r="AO644" s="734"/>
      <c r="AP644" s="734"/>
      <c r="AQ644" s="734"/>
      <c r="AR644" s="734"/>
      <c r="AS644" s="734"/>
      <c r="AT644" s="734"/>
      <c r="AU644" s="734">
        <f t="shared" si="350"/>
        <v>888</v>
      </c>
      <c r="AV644" s="734"/>
      <c r="AW644" s="734"/>
      <c r="AX644" s="734"/>
      <c r="AY644" s="713"/>
      <c r="AZ644" s="713"/>
      <c r="BA644" s="713"/>
      <c r="BB644" s="713"/>
      <c r="BC644" s="713"/>
      <c r="BD644" s="713"/>
      <c r="BE644" s="713"/>
      <c r="BF644" s="713"/>
      <c r="BG644" s="728"/>
      <c r="BH644" s="736"/>
      <c r="BI644" s="736"/>
      <c r="BJ644" s="736"/>
      <c r="BK644" s="736"/>
      <c r="BL644" s="737">
        <f t="shared" si="351"/>
        <v>148</v>
      </c>
      <c r="BM644" s="736"/>
      <c r="BN644" s="737"/>
      <c r="BO644" s="737"/>
      <c r="BP644" s="767"/>
      <c r="BQ644" s="713"/>
      <c r="BR644" s="713"/>
      <c r="BS644" s="713"/>
      <c r="BT644" s="713"/>
      <c r="BU644" s="713"/>
      <c r="BV644" s="713"/>
      <c r="BW644" s="728" t="s">
        <v>109</v>
      </c>
      <c r="BX644" s="736">
        <f t="shared" si="352"/>
        <v>222</v>
      </c>
      <c r="BY644" s="736">
        <f t="shared" si="353"/>
        <v>222</v>
      </c>
      <c r="BZ644" s="736">
        <f t="shared" si="354"/>
        <v>222</v>
      </c>
      <c r="CA644" s="736">
        <f t="shared" si="355"/>
        <v>222</v>
      </c>
      <c r="CB644" s="737">
        <f t="shared" si="356"/>
        <v>888</v>
      </c>
      <c r="CC644" s="737"/>
      <c r="CD644" s="737">
        <f t="shared" si="357"/>
        <v>888</v>
      </c>
      <c r="CE644" s="737">
        <f t="shared" si="358"/>
        <v>0</v>
      </c>
      <c r="XEN644" s="771"/>
      <c r="XEO644" s="771"/>
      <c r="XEP644" s="771"/>
      <c r="XEQ644" s="771"/>
      <c r="XER644" s="771"/>
      <c r="XES644" s="771"/>
      <c r="XET644" s="771"/>
      <c r="XEU644" s="771"/>
      <c r="XEV644" s="771"/>
      <c r="XEW644" s="771"/>
      <c r="XEX644" s="771"/>
      <c r="XEY644" s="771"/>
      <c r="XEZ644" s="771"/>
      <c r="XFA644" s="771"/>
      <c r="XFB644" s="771"/>
      <c r="XFC644" s="771"/>
      <c r="XFD644" s="771"/>
    </row>
    <row r="645" s="558" customFormat="1" ht="40" customHeight="1" spans="1:83 16368:16384">
      <c r="A645" s="717">
        <v>46058</v>
      </c>
      <c r="B645" s="718" t="s">
        <v>2110</v>
      </c>
      <c r="C645" s="719" t="s">
        <v>214</v>
      </c>
      <c r="D645" s="720">
        <v>4500193110</v>
      </c>
      <c r="E645" s="721">
        <v>4561394488</v>
      </c>
      <c r="F645" s="720" t="s">
        <v>2853</v>
      </c>
      <c r="G645" s="722" t="s">
        <v>718</v>
      </c>
      <c r="H645" s="722" t="s">
        <v>99</v>
      </c>
      <c r="I645" s="765">
        <v>1944</v>
      </c>
      <c r="J645" s="723">
        <v>0</v>
      </c>
      <c r="K645" s="724">
        <v>6</v>
      </c>
      <c r="L645" s="724">
        <f t="shared" si="332"/>
        <v>324</v>
      </c>
      <c r="M645" s="725">
        <v>46119</v>
      </c>
      <c r="N645" s="725">
        <v>46115</v>
      </c>
      <c r="O645" s="725"/>
      <c r="P645" s="726" t="s">
        <v>100</v>
      </c>
      <c r="Q645" s="727" t="s">
        <v>756</v>
      </c>
      <c r="R645" s="726" t="s">
        <v>2846</v>
      </c>
      <c r="S645" s="725"/>
      <c r="T645" s="725"/>
      <c r="U645" s="726" t="s">
        <v>2847</v>
      </c>
      <c r="V645" s="726"/>
      <c r="W645" s="728"/>
      <c r="X645" s="729" t="s">
        <v>2848</v>
      </c>
      <c r="Y645" s="730" t="s">
        <v>725</v>
      </c>
      <c r="Z645" s="731">
        <v>1.5692</v>
      </c>
      <c r="AA645" s="732">
        <f t="shared" si="333"/>
        <v>3050.5248</v>
      </c>
      <c r="AB645" s="712">
        <v>1944</v>
      </c>
      <c r="AC645" s="712">
        <f t="shared" si="338"/>
        <v>0</v>
      </c>
      <c r="AD645" s="732"/>
      <c r="AE645" s="722" t="s">
        <v>718</v>
      </c>
      <c r="AF645" s="730" t="s">
        <v>107</v>
      </c>
      <c r="AG645" s="734" t="s">
        <v>43</v>
      </c>
      <c r="AH645" s="730"/>
      <c r="AI645" s="712"/>
      <c r="AJ645" s="712"/>
      <c r="AK645" s="712"/>
      <c r="AL645" s="733"/>
      <c r="AM645" s="712">
        <f t="shared" si="349"/>
        <v>1944</v>
      </c>
      <c r="AN645" s="712"/>
      <c r="AO645" s="734"/>
      <c r="AP645" s="734"/>
      <c r="AQ645" s="734"/>
      <c r="AR645" s="734"/>
      <c r="AS645" s="734"/>
      <c r="AT645" s="734"/>
      <c r="AU645" s="734">
        <f t="shared" si="350"/>
        <v>1944</v>
      </c>
      <c r="AV645" s="734"/>
      <c r="AW645" s="734"/>
      <c r="AX645" s="734"/>
      <c r="AY645" s="713"/>
      <c r="AZ645" s="713"/>
      <c r="BA645" s="713"/>
      <c r="BB645" s="713"/>
      <c r="BC645" s="713"/>
      <c r="BD645" s="713"/>
      <c r="BE645" s="713"/>
      <c r="BF645" s="713"/>
      <c r="BG645" s="728"/>
      <c r="BH645" s="736"/>
      <c r="BI645" s="736"/>
      <c r="BJ645" s="736"/>
      <c r="BK645" s="736"/>
      <c r="BL645" s="737">
        <f t="shared" si="351"/>
        <v>324</v>
      </c>
      <c r="BM645" s="736"/>
      <c r="BN645" s="737"/>
      <c r="BO645" s="737"/>
      <c r="BP645" s="767"/>
      <c r="BQ645" s="713"/>
      <c r="BR645" s="713"/>
      <c r="BS645" s="713"/>
      <c r="BT645" s="713"/>
      <c r="BU645" s="713"/>
      <c r="BV645" s="713"/>
      <c r="BW645" s="728" t="s">
        <v>109</v>
      </c>
      <c r="BX645" s="736">
        <f t="shared" si="352"/>
        <v>486</v>
      </c>
      <c r="BY645" s="736">
        <f t="shared" si="353"/>
        <v>486</v>
      </c>
      <c r="BZ645" s="736">
        <f t="shared" si="354"/>
        <v>486</v>
      </c>
      <c r="CA645" s="736">
        <f t="shared" si="355"/>
        <v>486</v>
      </c>
      <c r="CB645" s="737">
        <f t="shared" si="356"/>
        <v>1944</v>
      </c>
      <c r="CC645" s="737"/>
      <c r="CD645" s="737">
        <f t="shared" si="357"/>
        <v>1944</v>
      </c>
      <c r="CE645" s="737">
        <f t="shared" si="358"/>
        <v>0</v>
      </c>
      <c r="XEN645" s="771"/>
      <c r="XEO645" s="771"/>
      <c r="XEP645" s="771"/>
      <c r="XEQ645" s="771"/>
      <c r="XER645" s="771"/>
      <c r="XES645" s="771"/>
      <c r="XET645" s="771"/>
      <c r="XEU645" s="771"/>
      <c r="XEV645" s="771"/>
      <c r="XEW645" s="771"/>
      <c r="XEX645" s="771"/>
      <c r="XEY645" s="771"/>
      <c r="XEZ645" s="771"/>
      <c r="XFA645" s="771"/>
      <c r="XFB645" s="771"/>
      <c r="XFC645" s="771"/>
      <c r="XFD645" s="771"/>
    </row>
    <row r="646" s="558" customFormat="1" ht="40" customHeight="1" spans="1:83 16368:16384">
      <c r="A646" s="717">
        <v>46058</v>
      </c>
      <c r="B646" s="718" t="s">
        <v>2110</v>
      </c>
      <c r="C646" s="719" t="s">
        <v>214</v>
      </c>
      <c r="D646" s="720">
        <v>4500193110</v>
      </c>
      <c r="E646" s="721">
        <v>4561394486</v>
      </c>
      <c r="F646" s="720" t="s">
        <v>2854</v>
      </c>
      <c r="G646" s="722" t="s">
        <v>718</v>
      </c>
      <c r="H646" s="722" t="s">
        <v>99</v>
      </c>
      <c r="I646" s="765">
        <v>378</v>
      </c>
      <c r="J646" s="723">
        <v>0</v>
      </c>
      <c r="K646" s="724">
        <v>6</v>
      </c>
      <c r="L646" s="724">
        <f t="shared" si="332"/>
        <v>63</v>
      </c>
      <c r="M646" s="725">
        <v>46119</v>
      </c>
      <c r="N646" s="725">
        <v>46115</v>
      </c>
      <c r="O646" s="725"/>
      <c r="P646" s="726" t="s">
        <v>100</v>
      </c>
      <c r="Q646" s="727" t="s">
        <v>756</v>
      </c>
      <c r="R646" s="726" t="s">
        <v>2846</v>
      </c>
      <c r="S646" s="725"/>
      <c r="T646" s="725"/>
      <c r="U646" s="726" t="s">
        <v>2847</v>
      </c>
      <c r="V646" s="726"/>
      <c r="W646" s="728"/>
      <c r="X646" s="729" t="s">
        <v>2848</v>
      </c>
      <c r="Y646" s="730" t="s">
        <v>725</v>
      </c>
      <c r="Z646" s="731">
        <v>1.5775</v>
      </c>
      <c r="AA646" s="732">
        <f t="shared" si="333"/>
        <v>596.295</v>
      </c>
      <c r="AB646" s="712">
        <v>378</v>
      </c>
      <c r="AC646" s="712">
        <f t="shared" si="338"/>
        <v>0</v>
      </c>
      <c r="AD646" s="732"/>
      <c r="AE646" s="722" t="s">
        <v>718</v>
      </c>
      <c r="AF646" s="730" t="s">
        <v>107</v>
      </c>
      <c r="AG646" s="734" t="s">
        <v>43</v>
      </c>
      <c r="AH646" s="730"/>
      <c r="AI646" s="712"/>
      <c r="AJ646" s="712"/>
      <c r="AK646" s="712"/>
      <c r="AL646" s="733"/>
      <c r="AM646" s="712">
        <f t="shared" si="349"/>
        <v>378</v>
      </c>
      <c r="AN646" s="712"/>
      <c r="AO646" s="734"/>
      <c r="AP646" s="734"/>
      <c r="AQ646" s="734"/>
      <c r="AR646" s="734"/>
      <c r="AS646" s="734"/>
      <c r="AT646" s="734"/>
      <c r="AU646" s="734">
        <f t="shared" si="350"/>
        <v>378</v>
      </c>
      <c r="AV646" s="734"/>
      <c r="AW646" s="734"/>
      <c r="AX646" s="734"/>
      <c r="AY646" s="713"/>
      <c r="AZ646" s="713"/>
      <c r="BA646" s="713"/>
      <c r="BB646" s="713"/>
      <c r="BC646" s="713"/>
      <c r="BD646" s="713"/>
      <c r="BE646" s="713"/>
      <c r="BF646" s="713"/>
      <c r="BG646" s="728"/>
      <c r="BH646" s="736"/>
      <c r="BI646" s="736"/>
      <c r="BJ646" s="736"/>
      <c r="BK646" s="736"/>
      <c r="BL646" s="737">
        <f t="shared" si="351"/>
        <v>63</v>
      </c>
      <c r="BM646" s="736"/>
      <c r="BN646" s="737"/>
      <c r="BO646" s="737"/>
      <c r="BP646" s="767"/>
      <c r="BQ646" s="713"/>
      <c r="BR646" s="713"/>
      <c r="BS646" s="713"/>
      <c r="BT646" s="713"/>
      <c r="BU646" s="713"/>
      <c r="BV646" s="713"/>
      <c r="BW646" s="728" t="s">
        <v>109</v>
      </c>
      <c r="BX646" s="736">
        <f t="shared" si="352"/>
        <v>94.5</v>
      </c>
      <c r="BY646" s="736">
        <f t="shared" si="353"/>
        <v>94.5</v>
      </c>
      <c r="BZ646" s="736">
        <f t="shared" si="354"/>
        <v>94.5</v>
      </c>
      <c r="CA646" s="736">
        <f t="shared" si="355"/>
        <v>94.5</v>
      </c>
      <c r="CB646" s="737">
        <f t="shared" si="356"/>
        <v>378</v>
      </c>
      <c r="CC646" s="737"/>
      <c r="CD646" s="737">
        <f t="shared" si="357"/>
        <v>378</v>
      </c>
      <c r="CE646" s="737">
        <f t="shared" si="358"/>
        <v>0</v>
      </c>
      <c r="XEN646" s="771"/>
      <c r="XEO646" s="771"/>
      <c r="XEP646" s="771"/>
      <c r="XEQ646" s="771"/>
      <c r="XER646" s="771"/>
      <c r="XES646" s="771"/>
      <c r="XET646" s="771"/>
      <c r="XEU646" s="771"/>
      <c r="XEV646" s="771"/>
      <c r="XEW646" s="771"/>
      <c r="XEX646" s="771"/>
      <c r="XEY646" s="771"/>
      <c r="XEZ646" s="771"/>
      <c r="XFA646" s="771"/>
      <c r="XFB646" s="771"/>
      <c r="XFC646" s="771"/>
      <c r="XFD646" s="771"/>
    </row>
    <row r="647" s="558" customFormat="1" ht="40" customHeight="1" spans="1:83 16368:16384">
      <c r="A647" s="717">
        <v>46058</v>
      </c>
      <c r="B647" s="718" t="s">
        <v>2110</v>
      </c>
      <c r="C647" s="719" t="s">
        <v>214</v>
      </c>
      <c r="D647" s="720">
        <v>4500193110</v>
      </c>
      <c r="E647" s="721">
        <v>4561394954</v>
      </c>
      <c r="F647" s="720" t="s">
        <v>2855</v>
      </c>
      <c r="G647" s="722" t="s">
        <v>718</v>
      </c>
      <c r="H647" s="722" t="s">
        <v>99</v>
      </c>
      <c r="I647" s="765">
        <v>372</v>
      </c>
      <c r="J647" s="723">
        <v>0</v>
      </c>
      <c r="K647" s="724">
        <v>6</v>
      </c>
      <c r="L647" s="724">
        <f t="shared" si="332"/>
        <v>62</v>
      </c>
      <c r="M647" s="725">
        <v>46119</v>
      </c>
      <c r="N647" s="725">
        <v>46115</v>
      </c>
      <c r="O647" s="725"/>
      <c r="P647" s="726" t="s">
        <v>100</v>
      </c>
      <c r="Q647" s="727" t="s">
        <v>756</v>
      </c>
      <c r="R647" s="726" t="s">
        <v>2846</v>
      </c>
      <c r="S647" s="725"/>
      <c r="T647" s="725"/>
      <c r="U647" s="726" t="s">
        <v>2847</v>
      </c>
      <c r="V647" s="726"/>
      <c r="W647" s="728"/>
      <c r="X647" s="729" t="s">
        <v>2848</v>
      </c>
      <c r="Y647" s="730" t="s">
        <v>725</v>
      </c>
      <c r="Z647" s="731">
        <v>1.5775</v>
      </c>
      <c r="AA647" s="732">
        <f t="shared" si="333"/>
        <v>586.83</v>
      </c>
      <c r="AB647" s="712">
        <v>372</v>
      </c>
      <c r="AC647" s="712">
        <f t="shared" si="338"/>
        <v>0</v>
      </c>
      <c r="AD647" s="732"/>
      <c r="AE647" s="722" t="s">
        <v>718</v>
      </c>
      <c r="AF647" s="730" t="s">
        <v>107</v>
      </c>
      <c r="AG647" s="734" t="s">
        <v>43</v>
      </c>
      <c r="AH647" s="730"/>
      <c r="AI647" s="712"/>
      <c r="AJ647" s="712"/>
      <c r="AK647" s="712"/>
      <c r="AL647" s="733"/>
      <c r="AM647" s="712">
        <f t="shared" si="349"/>
        <v>372</v>
      </c>
      <c r="AN647" s="712"/>
      <c r="AO647" s="734"/>
      <c r="AP647" s="734"/>
      <c r="AQ647" s="734"/>
      <c r="AR647" s="734"/>
      <c r="AS647" s="734"/>
      <c r="AT647" s="734"/>
      <c r="AU647" s="734">
        <f t="shared" si="350"/>
        <v>372</v>
      </c>
      <c r="AV647" s="734"/>
      <c r="AW647" s="734"/>
      <c r="AX647" s="734"/>
      <c r="AY647" s="713"/>
      <c r="AZ647" s="713"/>
      <c r="BA647" s="713"/>
      <c r="BB647" s="713"/>
      <c r="BC647" s="713"/>
      <c r="BD647" s="713"/>
      <c r="BE647" s="713"/>
      <c r="BF647" s="713"/>
      <c r="BG647" s="728"/>
      <c r="BH647" s="736"/>
      <c r="BI647" s="736"/>
      <c r="BJ647" s="736"/>
      <c r="BK647" s="736"/>
      <c r="BL647" s="737">
        <f t="shared" si="351"/>
        <v>62</v>
      </c>
      <c r="BM647" s="736"/>
      <c r="BN647" s="737"/>
      <c r="BO647" s="737"/>
      <c r="BP647" s="767"/>
      <c r="BQ647" s="713"/>
      <c r="BR647" s="713"/>
      <c r="BS647" s="713"/>
      <c r="BT647" s="713"/>
      <c r="BU647" s="713"/>
      <c r="BV647" s="713"/>
      <c r="BW647" s="728" t="s">
        <v>109</v>
      </c>
      <c r="BX647" s="736">
        <f t="shared" si="352"/>
        <v>93</v>
      </c>
      <c r="BY647" s="736">
        <f t="shared" si="353"/>
        <v>93</v>
      </c>
      <c r="BZ647" s="736">
        <f t="shared" si="354"/>
        <v>93</v>
      </c>
      <c r="CA647" s="736">
        <f t="shared" si="355"/>
        <v>93</v>
      </c>
      <c r="CB647" s="737">
        <f t="shared" si="356"/>
        <v>372</v>
      </c>
      <c r="CC647" s="737"/>
      <c r="CD647" s="737">
        <f t="shared" si="357"/>
        <v>372</v>
      </c>
      <c r="CE647" s="737">
        <f t="shared" si="358"/>
        <v>0</v>
      </c>
      <c r="XEN647" s="771"/>
      <c r="XEO647" s="771"/>
      <c r="XEP647" s="771"/>
      <c r="XEQ647" s="771"/>
      <c r="XER647" s="771"/>
      <c r="XES647" s="771"/>
      <c r="XET647" s="771"/>
      <c r="XEU647" s="771"/>
      <c r="XEV647" s="771"/>
      <c r="XEW647" s="771"/>
      <c r="XEX647" s="771"/>
      <c r="XEY647" s="771"/>
      <c r="XEZ647" s="771"/>
      <c r="XFA647" s="771"/>
      <c r="XFB647" s="771"/>
      <c r="XFC647" s="771"/>
      <c r="XFD647" s="771"/>
    </row>
    <row r="648" s="558" customFormat="1" ht="40" customHeight="1" spans="1:83 16368:16384">
      <c r="A648" s="717">
        <v>46058</v>
      </c>
      <c r="B648" s="718" t="s">
        <v>2110</v>
      </c>
      <c r="C648" s="719" t="s">
        <v>214</v>
      </c>
      <c r="D648" s="720">
        <v>4500193110</v>
      </c>
      <c r="E648" s="721">
        <v>4561394993</v>
      </c>
      <c r="F648" s="720" t="s">
        <v>2856</v>
      </c>
      <c r="G648" s="722" t="s">
        <v>718</v>
      </c>
      <c r="H648" s="722" t="s">
        <v>99</v>
      </c>
      <c r="I648" s="765">
        <v>2964</v>
      </c>
      <c r="J648" s="723">
        <v>0</v>
      </c>
      <c r="K648" s="724">
        <v>6</v>
      </c>
      <c r="L648" s="724">
        <f t="shared" si="332"/>
        <v>494</v>
      </c>
      <c r="M648" s="725">
        <v>46119</v>
      </c>
      <c r="N648" s="725">
        <v>46115</v>
      </c>
      <c r="O648" s="725"/>
      <c r="P648" s="726" t="s">
        <v>100</v>
      </c>
      <c r="Q648" s="727" t="s">
        <v>756</v>
      </c>
      <c r="R648" s="726" t="s">
        <v>2846</v>
      </c>
      <c r="S648" s="725"/>
      <c r="T648" s="725"/>
      <c r="U648" s="726" t="s">
        <v>2847</v>
      </c>
      <c r="V648" s="726"/>
      <c r="W648" s="728"/>
      <c r="X648" s="729" t="s">
        <v>2848</v>
      </c>
      <c r="Y648" s="730" t="s">
        <v>725</v>
      </c>
      <c r="Z648" s="731">
        <v>1.5637</v>
      </c>
      <c r="AA648" s="732">
        <f t="shared" si="333"/>
        <v>4634.8068</v>
      </c>
      <c r="AB648" s="712">
        <f>2358+606</f>
        <v>2964</v>
      </c>
      <c r="AC648" s="712">
        <f t="shared" si="338"/>
        <v>0</v>
      </c>
      <c r="AD648" s="732"/>
      <c r="AE648" s="722" t="s">
        <v>718</v>
      </c>
      <c r="AF648" s="730" t="s">
        <v>107</v>
      </c>
      <c r="AG648" s="734" t="s">
        <v>43</v>
      </c>
      <c r="AH648" s="730"/>
      <c r="AI648" s="712"/>
      <c r="AJ648" s="712"/>
      <c r="AK648" s="712"/>
      <c r="AL648" s="733"/>
      <c r="AM648" s="712">
        <f t="shared" si="349"/>
        <v>2964</v>
      </c>
      <c r="AN648" s="712"/>
      <c r="AO648" s="734"/>
      <c r="AP648" s="734"/>
      <c r="AQ648" s="734"/>
      <c r="AR648" s="734"/>
      <c r="AS648" s="734"/>
      <c r="AT648" s="734"/>
      <c r="AU648" s="734">
        <f t="shared" si="350"/>
        <v>2964</v>
      </c>
      <c r="AV648" s="734"/>
      <c r="AW648" s="734"/>
      <c r="AX648" s="734"/>
      <c r="AY648" s="713"/>
      <c r="AZ648" s="713"/>
      <c r="BA648" s="713"/>
      <c r="BB648" s="713"/>
      <c r="BC648" s="713"/>
      <c r="BD648" s="713"/>
      <c r="BE648" s="713"/>
      <c r="BF648" s="713"/>
      <c r="BG648" s="728"/>
      <c r="BH648" s="736"/>
      <c r="BI648" s="736"/>
      <c r="BJ648" s="736"/>
      <c r="BK648" s="736"/>
      <c r="BL648" s="737">
        <f t="shared" si="351"/>
        <v>494</v>
      </c>
      <c r="BM648" s="736"/>
      <c r="BN648" s="737"/>
      <c r="BO648" s="737"/>
      <c r="BP648" s="767"/>
      <c r="BQ648" s="713"/>
      <c r="BR648" s="713"/>
      <c r="BS648" s="713"/>
      <c r="BT648" s="713"/>
      <c r="BU648" s="713"/>
      <c r="BV648" s="713"/>
      <c r="BW648" s="728" t="s">
        <v>109</v>
      </c>
      <c r="BX648" s="736">
        <f t="shared" si="352"/>
        <v>741</v>
      </c>
      <c r="BY648" s="736">
        <f t="shared" si="353"/>
        <v>741</v>
      </c>
      <c r="BZ648" s="736">
        <f t="shared" si="354"/>
        <v>741</v>
      </c>
      <c r="CA648" s="736">
        <f t="shared" si="355"/>
        <v>741</v>
      </c>
      <c r="CB648" s="737">
        <f t="shared" si="356"/>
        <v>2964</v>
      </c>
      <c r="CC648" s="737"/>
      <c r="CD648" s="737">
        <f t="shared" si="357"/>
        <v>2964</v>
      </c>
      <c r="CE648" s="737">
        <f t="shared" si="358"/>
        <v>0</v>
      </c>
      <c r="XEN648" s="771"/>
      <c r="XEO648" s="771"/>
      <c r="XEP648" s="771"/>
      <c r="XEQ648" s="771"/>
      <c r="XER648" s="771"/>
      <c r="XES648" s="771"/>
      <c r="XET648" s="771"/>
      <c r="XEU648" s="771"/>
      <c r="XEV648" s="771"/>
      <c r="XEW648" s="771"/>
      <c r="XEX648" s="771"/>
      <c r="XEY648" s="771"/>
      <c r="XEZ648" s="771"/>
      <c r="XFA648" s="771"/>
      <c r="XFB648" s="771"/>
      <c r="XFC648" s="771"/>
      <c r="XFD648" s="771"/>
    </row>
    <row r="649" s="558" customFormat="1" ht="40" customHeight="1" spans="1:83 16368:16384">
      <c r="A649" s="717">
        <v>46079</v>
      </c>
      <c r="B649" s="718" t="s">
        <v>1182</v>
      </c>
      <c r="C649" s="719" t="s">
        <v>205</v>
      </c>
      <c r="D649" s="720">
        <v>4500194251</v>
      </c>
      <c r="E649" s="721"/>
      <c r="F649" s="720" t="s">
        <v>2857</v>
      </c>
      <c r="G649" s="722" t="s">
        <v>98</v>
      </c>
      <c r="H649" s="722" t="s">
        <v>99</v>
      </c>
      <c r="I649" s="752">
        <v>696</v>
      </c>
      <c r="J649" s="723">
        <v>0</v>
      </c>
      <c r="K649" s="724">
        <v>24</v>
      </c>
      <c r="L649" s="724">
        <f t="shared" si="332"/>
        <v>29</v>
      </c>
      <c r="M649" s="725">
        <v>46119</v>
      </c>
      <c r="N649" s="725">
        <v>46115</v>
      </c>
      <c r="O649" s="725"/>
      <c r="P649" s="726" t="s">
        <v>100</v>
      </c>
      <c r="Q649" s="727" t="s">
        <v>775</v>
      </c>
      <c r="R649" s="726" t="s">
        <v>2858</v>
      </c>
      <c r="S649" s="725"/>
      <c r="T649" s="725"/>
      <c r="U649" s="726" t="s">
        <v>2859</v>
      </c>
      <c r="V649" s="726"/>
      <c r="W649" s="728"/>
      <c r="X649" s="729" t="s">
        <v>2860</v>
      </c>
      <c r="Y649" s="730" t="s">
        <v>972</v>
      </c>
      <c r="Z649" s="748">
        <v>2.5115</v>
      </c>
      <c r="AA649" s="732">
        <f t="shared" si="333"/>
        <v>1748.004</v>
      </c>
      <c r="AB649" s="712">
        <v>696</v>
      </c>
      <c r="AC649" s="712">
        <f t="shared" si="338"/>
        <v>0</v>
      </c>
      <c r="AD649" s="732" t="s">
        <v>106</v>
      </c>
      <c r="AE649" s="722" t="s">
        <v>98</v>
      </c>
      <c r="AF649" s="730" t="s">
        <v>107</v>
      </c>
      <c r="AG649" s="734" t="s">
        <v>43</v>
      </c>
      <c r="AH649" s="730"/>
      <c r="AI649" s="708"/>
      <c r="AJ649" s="708"/>
      <c r="AK649" s="708"/>
      <c r="AL649" s="733"/>
      <c r="AM649" s="712">
        <f t="shared" si="349"/>
        <v>696</v>
      </c>
      <c r="AN649" s="708"/>
      <c r="AO649" s="768"/>
      <c r="AP649" s="734"/>
      <c r="AQ649" s="734"/>
      <c r="AR649" s="768"/>
      <c r="AS649" s="768"/>
      <c r="AT649" s="734"/>
      <c r="AU649" s="734">
        <f t="shared" si="350"/>
        <v>696</v>
      </c>
      <c r="AV649" s="734"/>
      <c r="AW649" s="768"/>
      <c r="AX649" s="734"/>
      <c r="AY649" s="713"/>
      <c r="AZ649" s="709"/>
      <c r="BA649" s="713"/>
      <c r="BB649" s="713"/>
      <c r="BC649" s="709"/>
      <c r="BD649" s="709"/>
      <c r="BE649" s="713"/>
      <c r="BF649" s="709"/>
      <c r="BG649" s="728"/>
      <c r="BH649" s="736"/>
      <c r="BI649" s="769"/>
      <c r="BJ649" s="769"/>
      <c r="BK649" s="736"/>
      <c r="BL649" s="737"/>
      <c r="BM649" s="736"/>
      <c r="BN649" s="737"/>
      <c r="BO649" s="737"/>
      <c r="BP649" s="770"/>
      <c r="BQ649" s="713"/>
      <c r="BR649" s="709"/>
      <c r="BS649" s="713"/>
      <c r="BT649" s="713"/>
      <c r="BU649" s="713"/>
      <c r="BV649" s="713"/>
      <c r="BW649" s="728" t="s">
        <v>109</v>
      </c>
      <c r="BX649" s="736">
        <f t="shared" si="352"/>
        <v>174</v>
      </c>
      <c r="BY649" s="736">
        <f t="shared" si="353"/>
        <v>174</v>
      </c>
      <c r="BZ649" s="736">
        <f t="shared" si="354"/>
        <v>174</v>
      </c>
      <c r="CA649" s="736">
        <f t="shared" si="355"/>
        <v>174</v>
      </c>
      <c r="CB649" s="737">
        <f>I649/4</f>
        <v>174</v>
      </c>
      <c r="CC649" s="737"/>
      <c r="CD649" s="737">
        <f t="shared" si="357"/>
        <v>696</v>
      </c>
      <c r="CE649" s="737">
        <f t="shared" si="358"/>
        <v>0</v>
      </c>
      <c r="XEN649" s="771"/>
      <c r="XEO649" s="771"/>
      <c r="XEP649" s="771"/>
      <c r="XEQ649" s="771"/>
      <c r="XER649" s="771"/>
      <c r="XES649" s="771"/>
      <c r="XET649" s="771"/>
      <c r="XEU649" s="771"/>
      <c r="XEV649" s="771"/>
      <c r="XEW649" s="771"/>
      <c r="XEX649" s="771"/>
      <c r="XEY649" s="771"/>
      <c r="XEZ649" s="771"/>
      <c r="XFA649" s="771"/>
      <c r="XFB649" s="771"/>
      <c r="XFC649" s="771"/>
      <c r="XFD649" s="771"/>
    </row>
    <row r="650" s="558" customFormat="1" ht="40" customHeight="1" spans="1:83 16368:16384">
      <c r="A650" s="717">
        <v>46087</v>
      </c>
      <c r="B650" s="718" t="s">
        <v>2602</v>
      </c>
      <c r="C650" s="719" t="s">
        <v>2603</v>
      </c>
      <c r="D650" s="720">
        <v>4500195521</v>
      </c>
      <c r="E650" s="721"/>
      <c r="F650" s="720" t="s">
        <v>2861</v>
      </c>
      <c r="G650" s="722" t="s">
        <v>111</v>
      </c>
      <c r="H650" s="722" t="s">
        <v>99</v>
      </c>
      <c r="I650" s="752">
        <v>1012</v>
      </c>
      <c r="J650" s="723">
        <v>0</v>
      </c>
      <c r="K650" s="724">
        <v>22</v>
      </c>
      <c r="L650" s="724">
        <f t="shared" si="332"/>
        <v>46</v>
      </c>
      <c r="M650" s="725">
        <v>46121</v>
      </c>
      <c r="N650" s="725">
        <v>46118</v>
      </c>
      <c r="O650" s="725"/>
      <c r="P650" s="726" t="s">
        <v>100</v>
      </c>
      <c r="Q650" s="727" t="s">
        <v>2862</v>
      </c>
      <c r="R650" s="726" t="s">
        <v>2863</v>
      </c>
      <c r="S650" s="725"/>
      <c r="T650" s="725"/>
      <c r="U650" s="726" t="s">
        <v>2864</v>
      </c>
      <c r="V650" s="726"/>
      <c r="W650" s="728"/>
      <c r="X650" s="729" t="s">
        <v>2865</v>
      </c>
      <c r="Y650" s="730" t="s">
        <v>632</v>
      </c>
      <c r="Z650" s="731">
        <v>2.7804</v>
      </c>
      <c r="AA650" s="732">
        <f t="shared" si="333"/>
        <v>2813.7648</v>
      </c>
      <c r="AB650" s="712">
        <v>1012</v>
      </c>
      <c r="AC650" s="712">
        <f t="shared" si="338"/>
        <v>0</v>
      </c>
      <c r="AD650" s="732" t="s">
        <v>106</v>
      </c>
      <c r="AE650" s="722" t="s">
        <v>111</v>
      </c>
      <c r="AF650" s="730" t="s">
        <v>107</v>
      </c>
      <c r="AG650" s="734" t="s">
        <v>43</v>
      </c>
      <c r="AH650" s="730"/>
      <c r="AI650" s="705"/>
      <c r="AJ650" s="705"/>
      <c r="AK650" s="705"/>
      <c r="AL650" s="733">
        <f>I650</f>
        <v>1012</v>
      </c>
      <c r="AM650" s="712"/>
      <c r="AN650" s="705"/>
      <c r="AO650" s="773"/>
      <c r="AP650" s="734"/>
      <c r="AQ650" s="734"/>
      <c r="AR650" s="773"/>
      <c r="AS650" s="773"/>
      <c r="AT650" s="734">
        <f>I650</f>
        <v>1012</v>
      </c>
      <c r="AU650" s="734"/>
      <c r="AV650" s="734"/>
      <c r="AW650" s="773"/>
      <c r="AX650" s="734">
        <f>I650/11</f>
        <v>92</v>
      </c>
      <c r="AY650" s="713"/>
      <c r="AZ650" s="706"/>
      <c r="BA650" s="713"/>
      <c r="BB650" s="713"/>
      <c r="BC650" s="706"/>
      <c r="BD650" s="706"/>
      <c r="BE650" s="713"/>
      <c r="BF650" s="706"/>
      <c r="BG650" s="728"/>
      <c r="BH650" s="736"/>
      <c r="BI650" s="774"/>
      <c r="BJ650" s="774"/>
      <c r="BK650" s="736"/>
      <c r="BL650" s="737"/>
      <c r="BM650" s="736"/>
      <c r="BN650" s="737"/>
      <c r="BO650" s="737"/>
      <c r="BP650" s="775"/>
      <c r="BQ650" s="713"/>
      <c r="BR650" s="706"/>
      <c r="BS650" s="713"/>
      <c r="BT650" s="713"/>
      <c r="BU650" s="713"/>
      <c r="BV650" s="713"/>
      <c r="BW650" s="728" t="s">
        <v>109</v>
      </c>
      <c r="BX650" s="736">
        <f>I650/22*5</f>
        <v>230</v>
      </c>
      <c r="BY650" s="736">
        <f>I650/22*6</f>
        <v>276</v>
      </c>
      <c r="BZ650" s="736">
        <f>I650/22*6</f>
        <v>276</v>
      </c>
      <c r="CA650" s="736">
        <f>I650/22*5</f>
        <v>230</v>
      </c>
      <c r="CB650" s="737">
        <f>I650</f>
        <v>1012</v>
      </c>
      <c r="CC650" s="736">
        <f>I650/11</f>
        <v>92</v>
      </c>
      <c r="CD650" s="737">
        <f t="shared" si="357"/>
        <v>1012</v>
      </c>
      <c r="CE650" s="737">
        <f t="shared" si="358"/>
        <v>0</v>
      </c>
      <c r="XEN650" s="771"/>
      <c r="XEO650" s="771"/>
      <c r="XEP650" s="771"/>
      <c r="XEQ650" s="771"/>
      <c r="XER650" s="771"/>
      <c r="XES650" s="771"/>
      <c r="XET650" s="771"/>
      <c r="XEU650" s="771"/>
      <c r="XEV650" s="771"/>
      <c r="XEW650" s="771"/>
      <c r="XEX650" s="771"/>
      <c r="XEY650" s="771"/>
      <c r="XEZ650" s="771"/>
      <c r="XFA650" s="771"/>
      <c r="XFB650" s="771"/>
      <c r="XFC650" s="771"/>
      <c r="XFD650" s="771"/>
    </row>
    <row r="651" s="558" customFormat="1" ht="40" customHeight="1" spans="1:83 16368:16384">
      <c r="A651" s="717">
        <v>46078</v>
      </c>
      <c r="B651" s="718" t="s">
        <v>2866</v>
      </c>
      <c r="C651" s="719" t="s">
        <v>826</v>
      </c>
      <c r="D651" s="720">
        <v>4500194168</v>
      </c>
      <c r="E651" s="721"/>
      <c r="F651" s="720" t="s">
        <v>2867</v>
      </c>
      <c r="G651" s="722" t="s">
        <v>111</v>
      </c>
      <c r="H651" s="722" t="s">
        <v>99</v>
      </c>
      <c r="I651" s="752">
        <v>220</v>
      </c>
      <c r="J651" s="723">
        <v>0</v>
      </c>
      <c r="K651" s="724">
        <v>22</v>
      </c>
      <c r="L651" s="724">
        <f t="shared" si="332"/>
        <v>10</v>
      </c>
      <c r="M651" s="725">
        <v>46122</v>
      </c>
      <c r="N651" s="725">
        <v>46118</v>
      </c>
      <c r="O651" s="725"/>
      <c r="P651" s="726" t="s">
        <v>100</v>
      </c>
      <c r="Q651" s="727" t="s">
        <v>2868</v>
      </c>
      <c r="R651" s="726" t="s">
        <v>746</v>
      </c>
      <c r="S651" s="725"/>
      <c r="T651" s="725"/>
      <c r="U651" s="726" t="s">
        <v>2869</v>
      </c>
      <c r="V651" s="726"/>
      <c r="W651" s="728"/>
      <c r="X651" s="729" t="s">
        <v>2870</v>
      </c>
      <c r="Y651" s="730" t="s">
        <v>281</v>
      </c>
      <c r="Z651" s="731">
        <v>2.7291</v>
      </c>
      <c r="AA651" s="732">
        <f t="shared" si="333"/>
        <v>600.402</v>
      </c>
      <c r="AB651" s="712">
        <v>220</v>
      </c>
      <c r="AC651" s="712">
        <f t="shared" si="338"/>
        <v>0</v>
      </c>
      <c r="AD651" s="732" t="s">
        <v>106</v>
      </c>
      <c r="AE651" s="733" t="s">
        <v>230</v>
      </c>
      <c r="AF651" s="730" t="s">
        <v>107</v>
      </c>
      <c r="AG651" s="734" t="s">
        <v>43</v>
      </c>
      <c r="AH651" s="730"/>
      <c r="AI651" s="708"/>
      <c r="AJ651" s="708"/>
      <c r="AK651" s="708"/>
      <c r="AL651" s="733"/>
      <c r="AM651" s="712"/>
      <c r="AN651" s="708"/>
      <c r="AO651" s="768"/>
      <c r="AP651" s="734">
        <f>I651</f>
        <v>220</v>
      </c>
      <c r="AQ651" s="734"/>
      <c r="AR651" s="768"/>
      <c r="AS651" s="768"/>
      <c r="AT651" s="734"/>
      <c r="AU651" s="734">
        <f>I651</f>
        <v>220</v>
      </c>
      <c r="AV651" s="734"/>
      <c r="AW651" s="768"/>
      <c r="AX651" s="734"/>
      <c r="AY651" s="713"/>
      <c r="AZ651" s="709"/>
      <c r="BA651" s="713"/>
      <c r="BB651" s="713">
        <f>I651/11</f>
        <v>20</v>
      </c>
      <c r="BC651" s="709"/>
      <c r="BD651" s="709"/>
      <c r="BE651" s="713"/>
      <c r="BF651" s="709"/>
      <c r="BG651" s="728"/>
      <c r="BH651" s="736"/>
      <c r="BI651" s="769"/>
      <c r="BJ651" s="769"/>
      <c r="BK651" s="736"/>
      <c r="BL651" s="737"/>
      <c r="BM651" s="736"/>
      <c r="BN651" s="737"/>
      <c r="BO651" s="737"/>
      <c r="BP651" s="770"/>
      <c r="BQ651" s="713"/>
      <c r="BR651" s="709"/>
      <c r="BS651" s="713"/>
      <c r="BT651" s="713"/>
      <c r="BU651" s="713"/>
      <c r="BV651" s="713"/>
      <c r="BW651" s="728" t="s">
        <v>109</v>
      </c>
      <c r="BX651" s="736">
        <f>I651/22*5</f>
        <v>50</v>
      </c>
      <c r="BY651" s="736">
        <f>I651/22*6</f>
        <v>60</v>
      </c>
      <c r="BZ651" s="736">
        <f>I651/22*6</f>
        <v>60</v>
      </c>
      <c r="CA651" s="736">
        <f>I651/22*5</f>
        <v>50</v>
      </c>
      <c r="CB651" s="737">
        <f>I651</f>
        <v>220</v>
      </c>
      <c r="CC651" s="736">
        <f>I651/11</f>
        <v>20</v>
      </c>
      <c r="CD651" s="737">
        <f t="shared" si="357"/>
        <v>220</v>
      </c>
      <c r="CE651" s="737">
        <f t="shared" si="358"/>
        <v>0</v>
      </c>
      <c r="XEN651" s="771"/>
      <c r="XEO651" s="771"/>
      <c r="XEP651" s="771"/>
      <c r="XEQ651" s="771"/>
      <c r="XER651" s="771"/>
      <c r="XES651" s="771"/>
      <c r="XET651" s="771"/>
      <c r="XEU651" s="771"/>
      <c r="XEV651" s="771"/>
      <c r="XEW651" s="771"/>
      <c r="XEX651" s="771"/>
      <c r="XEY651" s="771"/>
      <c r="XEZ651" s="771"/>
      <c r="XFA651" s="771"/>
      <c r="XFB651" s="771"/>
      <c r="XFC651" s="771"/>
      <c r="XFD651" s="771"/>
    </row>
    <row r="652" s="558" customFormat="1" ht="40" customHeight="1" spans="1:83 16368:16384">
      <c r="A652" s="717">
        <v>46083</v>
      </c>
      <c r="B652" s="718" t="s">
        <v>1587</v>
      </c>
      <c r="C652" s="719" t="s">
        <v>178</v>
      </c>
      <c r="D652" s="776">
        <v>4500194885</v>
      </c>
      <c r="E652" s="721" t="s">
        <v>2871</v>
      </c>
      <c r="F652" s="720" t="s">
        <v>2872</v>
      </c>
      <c r="G652" s="722" t="s">
        <v>159</v>
      </c>
      <c r="H652" s="722" t="s">
        <v>99</v>
      </c>
      <c r="I652" s="752">
        <v>24</v>
      </c>
      <c r="J652" s="723">
        <v>0</v>
      </c>
      <c r="K652" s="752">
        <v>24</v>
      </c>
      <c r="L652" s="724">
        <f t="shared" si="332"/>
        <v>1</v>
      </c>
      <c r="M652" s="725">
        <v>46122</v>
      </c>
      <c r="N652" s="725">
        <v>46118</v>
      </c>
      <c r="O652" s="725"/>
      <c r="P652" s="726" t="s">
        <v>100</v>
      </c>
      <c r="Q652" s="727" t="s">
        <v>2873</v>
      </c>
      <c r="R652" s="726" t="s">
        <v>2874</v>
      </c>
      <c r="S652" s="725"/>
      <c r="T652" s="725"/>
      <c r="U652" s="726" t="s">
        <v>493</v>
      </c>
      <c r="V652" s="726"/>
      <c r="W652" s="728"/>
      <c r="X652" s="729" t="s">
        <v>2875</v>
      </c>
      <c r="Y652" s="730" t="s">
        <v>734</v>
      </c>
      <c r="Z652" s="731">
        <v>2.5115</v>
      </c>
      <c r="AA652" s="732">
        <f t="shared" si="333"/>
        <v>60.276</v>
      </c>
      <c r="AB652" s="712">
        <v>24</v>
      </c>
      <c r="AC652" s="712">
        <f t="shared" si="338"/>
        <v>0</v>
      </c>
      <c r="AD652" s="732" t="s">
        <v>106</v>
      </c>
      <c r="AE652" s="749" t="s">
        <v>166</v>
      </c>
      <c r="AF652" s="730" t="s">
        <v>107</v>
      </c>
      <c r="AG652" s="734" t="s">
        <v>43</v>
      </c>
      <c r="AH652" s="730"/>
      <c r="AI652" s="705"/>
      <c r="AJ652" s="705"/>
      <c r="AK652" s="705"/>
      <c r="AL652" s="733"/>
      <c r="AM652" s="712"/>
      <c r="AN652" s="705"/>
      <c r="AO652" s="773"/>
      <c r="AP652" s="734">
        <f>I652</f>
        <v>24</v>
      </c>
      <c r="AQ652" s="734"/>
      <c r="AR652" s="773"/>
      <c r="AS652" s="773"/>
      <c r="AT652" s="734"/>
      <c r="AU652" s="734">
        <f>I652</f>
        <v>24</v>
      </c>
      <c r="AV652" s="734"/>
      <c r="AW652" s="773"/>
      <c r="AX652" s="734"/>
      <c r="AY652" s="713"/>
      <c r="AZ652" s="706"/>
      <c r="BA652" s="713"/>
      <c r="BB652" s="713"/>
      <c r="BC652" s="706"/>
      <c r="BD652" s="706"/>
      <c r="BE652" s="713"/>
      <c r="BF652" s="706"/>
      <c r="BG652" s="728"/>
      <c r="BH652" s="736"/>
      <c r="BI652" s="774"/>
      <c r="BJ652" s="774"/>
      <c r="BK652" s="736"/>
      <c r="BL652" s="737"/>
      <c r="BM652" s="736"/>
      <c r="BN652" s="737"/>
      <c r="BO652" s="737"/>
      <c r="BP652" s="775"/>
      <c r="BQ652" s="713"/>
      <c r="BR652" s="706"/>
      <c r="BS652" s="713"/>
      <c r="BT652" s="713"/>
      <c r="BU652" s="713"/>
      <c r="BV652" s="713"/>
      <c r="BW652" s="728" t="s">
        <v>109</v>
      </c>
      <c r="BX652" s="736"/>
      <c r="BY652" s="736">
        <f>I652</f>
        <v>24</v>
      </c>
      <c r="BZ652" s="736"/>
      <c r="CA652" s="736"/>
      <c r="CB652" s="737">
        <f>I652</f>
        <v>24</v>
      </c>
      <c r="CC652" s="737"/>
      <c r="CD652" s="737">
        <f t="shared" si="357"/>
        <v>24</v>
      </c>
      <c r="CE652" s="737">
        <v>0</v>
      </c>
      <c r="XEN652" s="771"/>
      <c r="XEO652" s="771"/>
      <c r="XEP652" s="771"/>
      <c r="XEQ652" s="771"/>
      <c r="XER652" s="771"/>
      <c r="XES652" s="771"/>
      <c r="XET652" s="771"/>
      <c r="XEU652" s="771"/>
      <c r="XEV652" s="771"/>
      <c r="XEW652" s="771"/>
      <c r="XEX652" s="771"/>
      <c r="XEY652" s="771"/>
      <c r="XEZ652" s="771"/>
      <c r="XFA652" s="771"/>
      <c r="XFB652" s="771"/>
      <c r="XFC652" s="771"/>
      <c r="XFD652" s="771"/>
    </row>
    <row r="653" s="558" customFormat="1" ht="40" customHeight="1" spans="1:83 16368:16384">
      <c r="A653" s="717">
        <v>46064</v>
      </c>
      <c r="B653" s="718" t="s">
        <v>2091</v>
      </c>
      <c r="C653" s="719" t="s">
        <v>214</v>
      </c>
      <c r="D653" s="720">
        <v>4500193668</v>
      </c>
      <c r="E653" s="721">
        <v>36363</v>
      </c>
      <c r="F653" s="720" t="s">
        <v>2876</v>
      </c>
      <c r="G653" s="722" t="s">
        <v>111</v>
      </c>
      <c r="H653" s="722" t="s">
        <v>99</v>
      </c>
      <c r="I653" s="752">
        <v>1716</v>
      </c>
      <c r="J653" s="723">
        <v>0</v>
      </c>
      <c r="K653" s="724">
        <v>22</v>
      </c>
      <c r="L653" s="724">
        <f t="shared" si="332"/>
        <v>78</v>
      </c>
      <c r="M653" s="725">
        <v>46125</v>
      </c>
      <c r="N653" s="725">
        <v>46121</v>
      </c>
      <c r="O653" s="725"/>
      <c r="P653" s="726" t="s">
        <v>100</v>
      </c>
      <c r="Q653" s="727" t="s">
        <v>756</v>
      </c>
      <c r="R653" s="726" t="s">
        <v>2877</v>
      </c>
      <c r="S653" s="725"/>
      <c r="T653" s="725"/>
      <c r="U653" s="726" t="s">
        <v>113</v>
      </c>
      <c r="V653" s="726"/>
      <c r="W653" s="728"/>
      <c r="X653" s="729" t="s">
        <v>2095</v>
      </c>
      <c r="Y653" s="730" t="s">
        <v>2096</v>
      </c>
      <c r="Z653" s="731">
        <v>1.6291</v>
      </c>
      <c r="AA653" s="732">
        <f t="shared" si="333"/>
        <v>2795.5356</v>
      </c>
      <c r="AB653" s="712">
        <f>1694+22</f>
        <v>1716</v>
      </c>
      <c r="AC653" s="712">
        <f t="shared" si="338"/>
        <v>0</v>
      </c>
      <c r="AD653" s="732" t="s">
        <v>113</v>
      </c>
      <c r="AE653" s="722" t="s">
        <v>111</v>
      </c>
      <c r="AF653" s="730" t="s">
        <v>107</v>
      </c>
      <c r="AG653" s="734" t="s">
        <v>43</v>
      </c>
      <c r="AH653" s="730"/>
      <c r="AI653" s="708"/>
      <c r="AJ653" s="708"/>
      <c r="AK653" s="708"/>
      <c r="AL653" s="733">
        <f>I653</f>
        <v>1716</v>
      </c>
      <c r="AM653" s="712"/>
      <c r="AN653" s="708"/>
      <c r="AO653" s="768"/>
      <c r="AP653" s="734"/>
      <c r="AQ653" s="734"/>
      <c r="AR653" s="768"/>
      <c r="AS653" s="768"/>
      <c r="AT653" s="734">
        <f>I653</f>
        <v>1716</v>
      </c>
      <c r="AU653" s="734"/>
      <c r="AV653" s="734"/>
      <c r="AW653" s="768"/>
      <c r="AX653" s="734">
        <f>I653/11</f>
        <v>156</v>
      </c>
      <c r="AY653" s="713"/>
      <c r="AZ653" s="709"/>
      <c r="BA653" s="713"/>
      <c r="BB653" s="713"/>
      <c r="BC653" s="709"/>
      <c r="BD653" s="709"/>
      <c r="BE653" s="713"/>
      <c r="BF653" s="709"/>
      <c r="BG653" s="728"/>
      <c r="BH653" s="736"/>
      <c r="BI653" s="769"/>
      <c r="BJ653" s="769"/>
      <c r="BK653" s="736"/>
      <c r="BL653" s="737"/>
      <c r="BM653" s="736"/>
      <c r="BN653" s="737"/>
      <c r="BO653" s="737"/>
      <c r="BP653" s="770"/>
      <c r="BQ653" s="713"/>
      <c r="BR653" s="709"/>
      <c r="BS653" s="713"/>
      <c r="BT653" s="713"/>
      <c r="BU653" s="713"/>
      <c r="BV653" s="713"/>
      <c r="BW653" s="728" t="s">
        <v>109</v>
      </c>
      <c r="BX653" s="736">
        <f>I653/22*5</f>
        <v>390</v>
      </c>
      <c r="BY653" s="736">
        <f>I653/22*6</f>
        <v>468</v>
      </c>
      <c r="BZ653" s="736">
        <f>I653/22*6</f>
        <v>468</v>
      </c>
      <c r="CA653" s="736">
        <f>I653/22*5</f>
        <v>390</v>
      </c>
      <c r="CB653" s="737">
        <f t="shared" ref="CB653:CB659" si="359">I653</f>
        <v>1716</v>
      </c>
      <c r="CC653" s="736">
        <f>I653/11</f>
        <v>156</v>
      </c>
      <c r="CD653" s="737">
        <f t="shared" si="357"/>
        <v>1716</v>
      </c>
      <c r="CE653" s="737">
        <f>I653-CD653</f>
        <v>0</v>
      </c>
      <c r="XEN653" s="771"/>
      <c r="XEO653" s="771"/>
      <c r="XEP653" s="771"/>
      <c r="XEQ653" s="771"/>
      <c r="XER653" s="771"/>
      <c r="XES653" s="771"/>
      <c r="XET653" s="771"/>
      <c r="XEU653" s="771"/>
      <c r="XEV653" s="771"/>
      <c r="XEW653" s="771"/>
      <c r="XEX653" s="771"/>
      <c r="XEY653" s="771"/>
      <c r="XEZ653" s="771"/>
      <c r="XFA653" s="771"/>
      <c r="XFB653" s="771"/>
      <c r="XFC653" s="771"/>
      <c r="XFD653" s="771"/>
    </row>
    <row r="654" s="558" customFormat="1" ht="40" customHeight="1" spans="1:83 16368:16384">
      <c r="A654" s="717">
        <v>46085</v>
      </c>
      <c r="B654" s="718" t="s">
        <v>1587</v>
      </c>
      <c r="C654" s="719" t="s">
        <v>178</v>
      </c>
      <c r="D654" s="776">
        <v>4500195135</v>
      </c>
      <c r="E654" s="721" t="s">
        <v>2878</v>
      </c>
      <c r="F654" s="720" t="s">
        <v>2879</v>
      </c>
      <c r="G654" s="722" t="s">
        <v>159</v>
      </c>
      <c r="H654" s="722" t="s">
        <v>99</v>
      </c>
      <c r="I654" s="752">
        <v>24</v>
      </c>
      <c r="J654" s="723">
        <v>0</v>
      </c>
      <c r="K654" s="724">
        <v>24</v>
      </c>
      <c r="L654" s="724">
        <f t="shared" si="332"/>
        <v>1</v>
      </c>
      <c r="M654" s="725">
        <v>46127</v>
      </c>
      <c r="N654" s="725">
        <v>46123</v>
      </c>
      <c r="O654" s="725"/>
      <c r="P654" s="726" t="s">
        <v>100</v>
      </c>
      <c r="Q654" s="727" t="s">
        <v>2873</v>
      </c>
      <c r="R654" s="726" t="s">
        <v>806</v>
      </c>
      <c r="S654" s="725"/>
      <c r="T654" s="725"/>
      <c r="U654" s="726" t="s">
        <v>493</v>
      </c>
      <c r="V654" s="726" t="s">
        <v>2880</v>
      </c>
      <c r="W654" s="728"/>
      <c r="X654" s="729" t="s">
        <v>2779</v>
      </c>
      <c r="Y654" s="730" t="s">
        <v>734</v>
      </c>
      <c r="Z654" s="731">
        <v>2.5718</v>
      </c>
      <c r="AA654" s="732">
        <f t="shared" si="333"/>
        <v>61.7232</v>
      </c>
      <c r="AB654" s="712">
        <v>24</v>
      </c>
      <c r="AC654" s="712">
        <f t="shared" si="338"/>
        <v>0</v>
      </c>
      <c r="AD654" s="732" t="s">
        <v>106</v>
      </c>
      <c r="AE654" s="749" t="s">
        <v>166</v>
      </c>
      <c r="AF654" s="730" t="s">
        <v>107</v>
      </c>
      <c r="AG654" s="734" t="s">
        <v>43</v>
      </c>
      <c r="AH654" s="730"/>
      <c r="AI654" s="696"/>
      <c r="AJ654" s="696"/>
      <c r="AK654" s="696"/>
      <c r="AL654" s="733"/>
      <c r="AM654" s="712"/>
      <c r="AN654" s="696"/>
      <c r="AO654" s="777"/>
      <c r="AP654" s="734">
        <f t="shared" ref="AP654:AP659" si="360">I654</f>
        <v>24</v>
      </c>
      <c r="AQ654" s="734"/>
      <c r="AR654" s="777"/>
      <c r="AS654" s="777"/>
      <c r="AT654" s="734"/>
      <c r="AU654" s="734">
        <f t="shared" ref="AU654:AU660" si="361">I654</f>
        <v>24</v>
      </c>
      <c r="AV654" s="734"/>
      <c r="AW654" s="777"/>
      <c r="AX654" s="734"/>
      <c r="AY654" s="713"/>
      <c r="AZ654" s="697"/>
      <c r="BA654" s="713"/>
      <c r="BB654" s="713"/>
      <c r="BC654" s="697"/>
      <c r="BD654" s="697"/>
      <c r="BE654" s="713"/>
      <c r="BF654" s="697"/>
      <c r="BG654" s="728"/>
      <c r="BH654" s="736"/>
      <c r="BI654" s="778"/>
      <c r="BJ654" s="778"/>
      <c r="BK654" s="736"/>
      <c r="BL654" s="737"/>
      <c r="BM654" s="736"/>
      <c r="BN654" s="737"/>
      <c r="BO654" s="737"/>
      <c r="BP654" s="779"/>
      <c r="BQ654" s="713"/>
      <c r="BR654" s="697"/>
      <c r="BS654" s="713"/>
      <c r="BT654" s="713"/>
      <c r="BU654" s="713"/>
      <c r="BV654" s="713"/>
      <c r="BW654" s="728" t="s">
        <v>109</v>
      </c>
      <c r="BX654" s="736"/>
      <c r="BY654" s="736">
        <f>I654</f>
        <v>24</v>
      </c>
      <c r="BZ654" s="736"/>
      <c r="CA654" s="736"/>
      <c r="CB654" s="737">
        <f t="shared" si="359"/>
        <v>24</v>
      </c>
      <c r="CC654" s="737"/>
      <c r="CD654" s="737">
        <f t="shared" si="357"/>
        <v>24</v>
      </c>
      <c r="CE654" s="737">
        <v>0</v>
      </c>
    </row>
    <row r="655" s="558" customFormat="1" ht="40" customHeight="1" spans="1:83 16368:16384">
      <c r="A655" s="717">
        <v>46085</v>
      </c>
      <c r="B655" s="718" t="s">
        <v>1587</v>
      </c>
      <c r="C655" s="719" t="s">
        <v>178</v>
      </c>
      <c r="D655" s="776">
        <v>4500195135</v>
      </c>
      <c r="E655" s="721" t="s">
        <v>2881</v>
      </c>
      <c r="F655" s="720" t="s">
        <v>2882</v>
      </c>
      <c r="G655" s="722" t="s">
        <v>159</v>
      </c>
      <c r="H655" s="722" t="s">
        <v>99</v>
      </c>
      <c r="I655" s="752">
        <v>48</v>
      </c>
      <c r="J655" s="723">
        <v>0</v>
      </c>
      <c r="K655" s="724">
        <v>24</v>
      </c>
      <c r="L655" s="724">
        <f t="shared" si="332"/>
        <v>2</v>
      </c>
      <c r="M655" s="725">
        <v>46127</v>
      </c>
      <c r="N655" s="725">
        <v>46123</v>
      </c>
      <c r="O655" s="725"/>
      <c r="P655" s="726" t="s">
        <v>100</v>
      </c>
      <c r="Q655" s="727" t="s">
        <v>2873</v>
      </c>
      <c r="R655" s="726" t="s">
        <v>806</v>
      </c>
      <c r="S655" s="725"/>
      <c r="T655" s="725"/>
      <c r="U655" s="726" t="s">
        <v>493</v>
      </c>
      <c r="V655" s="726" t="s">
        <v>2880</v>
      </c>
      <c r="W655" s="728"/>
      <c r="X655" s="729" t="s">
        <v>2779</v>
      </c>
      <c r="Y655" s="730" t="s">
        <v>734</v>
      </c>
      <c r="Z655" s="731">
        <v>2.5718</v>
      </c>
      <c r="AA655" s="732">
        <f t="shared" si="333"/>
        <v>123.4464</v>
      </c>
      <c r="AB655" s="712">
        <v>48</v>
      </c>
      <c r="AC655" s="712">
        <f t="shared" si="338"/>
        <v>0</v>
      </c>
      <c r="AD655" s="732" t="s">
        <v>106</v>
      </c>
      <c r="AE655" s="749" t="s">
        <v>166</v>
      </c>
      <c r="AF655" s="730" t="s">
        <v>107</v>
      </c>
      <c r="AG655" s="734" t="s">
        <v>43</v>
      </c>
      <c r="AH655" s="730"/>
      <c r="AI655" s="696"/>
      <c r="AJ655" s="696"/>
      <c r="AK655" s="696"/>
      <c r="AL655" s="733"/>
      <c r="AM655" s="712"/>
      <c r="AN655" s="696"/>
      <c r="AO655" s="777"/>
      <c r="AP655" s="734">
        <f t="shared" si="360"/>
        <v>48</v>
      </c>
      <c r="AQ655" s="734"/>
      <c r="AR655" s="777"/>
      <c r="AS655" s="777"/>
      <c r="AT655" s="734"/>
      <c r="AU655" s="734">
        <f t="shared" si="361"/>
        <v>48</v>
      </c>
      <c r="AV655" s="734"/>
      <c r="AW655" s="777"/>
      <c r="AX655" s="734"/>
      <c r="AY655" s="713"/>
      <c r="AZ655" s="697"/>
      <c r="BA655" s="713"/>
      <c r="BB655" s="713"/>
      <c r="BC655" s="697"/>
      <c r="BD655" s="697"/>
      <c r="BE655" s="713"/>
      <c r="BF655" s="697"/>
      <c r="BG655" s="728"/>
      <c r="BH655" s="736"/>
      <c r="BI655" s="778"/>
      <c r="BJ655" s="778"/>
      <c r="BK655" s="736"/>
      <c r="BL655" s="737"/>
      <c r="BM655" s="736"/>
      <c r="BN655" s="737"/>
      <c r="BO655" s="737"/>
      <c r="BP655" s="779"/>
      <c r="BQ655" s="713"/>
      <c r="BR655" s="697"/>
      <c r="BS655" s="713"/>
      <c r="BT655" s="713"/>
      <c r="BU655" s="713"/>
      <c r="BV655" s="713"/>
      <c r="BW655" s="728" t="s">
        <v>109</v>
      </c>
      <c r="BX655" s="736"/>
      <c r="BY655" s="736">
        <f>I655</f>
        <v>48</v>
      </c>
      <c r="BZ655" s="736"/>
      <c r="CA655" s="736"/>
      <c r="CB655" s="737">
        <f t="shared" si="359"/>
        <v>48</v>
      </c>
      <c r="CC655" s="737"/>
      <c r="CD655" s="737">
        <f t="shared" si="357"/>
        <v>48</v>
      </c>
      <c r="CE655" s="737">
        <v>0</v>
      </c>
    </row>
    <row r="656" s="558" customFormat="1" ht="40" customHeight="1" spans="1:83 16368:16384">
      <c r="A656" s="717">
        <v>46085</v>
      </c>
      <c r="B656" s="718" t="s">
        <v>1587</v>
      </c>
      <c r="C656" s="719" t="s">
        <v>178</v>
      </c>
      <c r="D656" s="776">
        <v>4500195135</v>
      </c>
      <c r="E656" s="721" t="s">
        <v>2883</v>
      </c>
      <c r="F656" s="720" t="s">
        <v>2884</v>
      </c>
      <c r="G656" s="722" t="s">
        <v>159</v>
      </c>
      <c r="H656" s="722" t="s">
        <v>99</v>
      </c>
      <c r="I656" s="752">
        <v>24</v>
      </c>
      <c r="J656" s="723">
        <v>0</v>
      </c>
      <c r="K656" s="724">
        <v>24</v>
      </c>
      <c r="L656" s="724">
        <f t="shared" si="332"/>
        <v>1</v>
      </c>
      <c r="M656" s="725">
        <v>46127</v>
      </c>
      <c r="N656" s="725">
        <v>46123</v>
      </c>
      <c r="O656" s="725"/>
      <c r="P656" s="726" t="s">
        <v>100</v>
      </c>
      <c r="Q656" s="727" t="s">
        <v>2873</v>
      </c>
      <c r="R656" s="726" t="s">
        <v>806</v>
      </c>
      <c r="S656" s="725"/>
      <c r="T656" s="725"/>
      <c r="U656" s="726" t="s">
        <v>493</v>
      </c>
      <c r="V656" s="726" t="s">
        <v>2880</v>
      </c>
      <c r="W656" s="728"/>
      <c r="X656" s="729" t="s">
        <v>2779</v>
      </c>
      <c r="Y656" s="730" t="s">
        <v>734</v>
      </c>
      <c r="Z656" s="731">
        <v>2.5718</v>
      </c>
      <c r="AA656" s="732">
        <f t="shared" si="333"/>
        <v>61.7232</v>
      </c>
      <c r="AB656" s="712">
        <v>24</v>
      </c>
      <c r="AC656" s="712">
        <f t="shared" si="338"/>
        <v>0</v>
      </c>
      <c r="AD656" s="732" t="s">
        <v>106</v>
      </c>
      <c r="AE656" s="749" t="s">
        <v>166</v>
      </c>
      <c r="AF656" s="730" t="s">
        <v>107</v>
      </c>
      <c r="AG656" s="734" t="s">
        <v>43</v>
      </c>
      <c r="AH656" s="730"/>
      <c r="AI656" s="696"/>
      <c r="AJ656" s="696"/>
      <c r="AK656" s="696"/>
      <c r="AL656" s="733"/>
      <c r="AM656" s="712"/>
      <c r="AN656" s="696"/>
      <c r="AO656" s="777"/>
      <c r="AP656" s="734">
        <f t="shared" si="360"/>
        <v>24</v>
      </c>
      <c r="AQ656" s="734"/>
      <c r="AR656" s="777"/>
      <c r="AS656" s="777"/>
      <c r="AT656" s="734"/>
      <c r="AU656" s="734">
        <f t="shared" si="361"/>
        <v>24</v>
      </c>
      <c r="AV656" s="734"/>
      <c r="AW656" s="777"/>
      <c r="AX656" s="734"/>
      <c r="AY656" s="713"/>
      <c r="AZ656" s="697"/>
      <c r="BA656" s="713"/>
      <c r="BB656" s="713"/>
      <c r="BC656" s="697"/>
      <c r="BD656" s="697"/>
      <c r="BE656" s="713"/>
      <c r="BF656" s="697"/>
      <c r="BG656" s="728"/>
      <c r="BH656" s="736"/>
      <c r="BI656" s="778"/>
      <c r="BJ656" s="778"/>
      <c r="BK656" s="736"/>
      <c r="BL656" s="737"/>
      <c r="BM656" s="736"/>
      <c r="BN656" s="737"/>
      <c r="BO656" s="737"/>
      <c r="BP656" s="779"/>
      <c r="BQ656" s="713"/>
      <c r="BR656" s="697"/>
      <c r="BS656" s="713"/>
      <c r="BT656" s="713"/>
      <c r="BU656" s="713"/>
      <c r="BV656" s="713"/>
      <c r="BW656" s="728" t="s">
        <v>109</v>
      </c>
      <c r="BX656" s="736"/>
      <c r="BY656" s="736">
        <f>I656</f>
        <v>24</v>
      </c>
      <c r="BZ656" s="736"/>
      <c r="CA656" s="736"/>
      <c r="CB656" s="737">
        <f t="shared" si="359"/>
        <v>24</v>
      </c>
      <c r="CC656" s="737"/>
      <c r="CD656" s="737">
        <f t="shared" si="357"/>
        <v>24</v>
      </c>
      <c r="CE656" s="737">
        <v>0</v>
      </c>
    </row>
    <row r="657" s="558" customFormat="1" ht="40" customHeight="1" spans="1:83 16368:16384">
      <c r="A657" s="717">
        <v>46085</v>
      </c>
      <c r="B657" s="718" t="s">
        <v>1587</v>
      </c>
      <c r="C657" s="719" t="s">
        <v>178</v>
      </c>
      <c r="D657" s="776">
        <v>4500195135</v>
      </c>
      <c r="E657" s="721" t="s">
        <v>2885</v>
      </c>
      <c r="F657" s="720" t="s">
        <v>2886</v>
      </c>
      <c r="G657" s="722" t="s">
        <v>159</v>
      </c>
      <c r="H657" s="722" t="s">
        <v>99</v>
      </c>
      <c r="I657" s="752">
        <v>96</v>
      </c>
      <c r="J657" s="723">
        <v>0</v>
      </c>
      <c r="K657" s="724">
        <v>24</v>
      </c>
      <c r="L657" s="724">
        <f t="shared" si="332"/>
        <v>4</v>
      </c>
      <c r="M657" s="725">
        <v>46127</v>
      </c>
      <c r="N657" s="725">
        <v>46123</v>
      </c>
      <c r="O657" s="725"/>
      <c r="P657" s="726" t="s">
        <v>100</v>
      </c>
      <c r="Q657" s="727" t="s">
        <v>2873</v>
      </c>
      <c r="R657" s="726" t="s">
        <v>806</v>
      </c>
      <c r="S657" s="725"/>
      <c r="T657" s="725"/>
      <c r="U657" s="726" t="s">
        <v>493</v>
      </c>
      <c r="V657" s="726" t="s">
        <v>2880</v>
      </c>
      <c r="W657" s="728"/>
      <c r="X657" s="729" t="s">
        <v>2779</v>
      </c>
      <c r="Y657" s="730" t="s">
        <v>734</v>
      </c>
      <c r="Z657" s="731">
        <v>2.5718</v>
      </c>
      <c r="AA657" s="732">
        <f t="shared" si="333"/>
        <v>246.8928</v>
      </c>
      <c r="AB657" s="712">
        <v>96</v>
      </c>
      <c r="AC657" s="712">
        <f t="shared" si="338"/>
        <v>0</v>
      </c>
      <c r="AD657" s="732" t="s">
        <v>106</v>
      </c>
      <c r="AE657" s="749" t="s">
        <v>166</v>
      </c>
      <c r="AF657" s="730" t="s">
        <v>107</v>
      </c>
      <c r="AG657" s="734" t="s">
        <v>43</v>
      </c>
      <c r="AH657" s="730"/>
      <c r="AI657" s="696"/>
      <c r="AJ657" s="696"/>
      <c r="AK657" s="696"/>
      <c r="AL657" s="733"/>
      <c r="AM657" s="712"/>
      <c r="AN657" s="696"/>
      <c r="AO657" s="777"/>
      <c r="AP657" s="734">
        <f t="shared" si="360"/>
        <v>96</v>
      </c>
      <c r="AQ657" s="734"/>
      <c r="AR657" s="777"/>
      <c r="AS657" s="777"/>
      <c r="AT657" s="734"/>
      <c r="AU657" s="734">
        <f t="shared" si="361"/>
        <v>96</v>
      </c>
      <c r="AV657" s="734"/>
      <c r="AW657" s="777"/>
      <c r="AX657" s="734"/>
      <c r="AY657" s="713"/>
      <c r="AZ657" s="697"/>
      <c r="BA657" s="713"/>
      <c r="BB657" s="713"/>
      <c r="BC657" s="697"/>
      <c r="BD657" s="697"/>
      <c r="BE657" s="713"/>
      <c r="BF657" s="697"/>
      <c r="BG657" s="728"/>
      <c r="BH657" s="736"/>
      <c r="BI657" s="778"/>
      <c r="BJ657" s="778"/>
      <c r="BK657" s="736"/>
      <c r="BL657" s="737"/>
      <c r="BM657" s="736"/>
      <c r="BN657" s="737"/>
      <c r="BO657" s="737"/>
      <c r="BP657" s="779"/>
      <c r="BQ657" s="713"/>
      <c r="BR657" s="697"/>
      <c r="BS657" s="713"/>
      <c r="BT657" s="713"/>
      <c r="BU657" s="713"/>
      <c r="BV657" s="713"/>
      <c r="BW657" s="728" t="s">
        <v>109</v>
      </c>
      <c r="BX657" s="736"/>
      <c r="BY657" s="736">
        <f>I657</f>
        <v>96</v>
      </c>
      <c r="BZ657" s="736"/>
      <c r="CA657" s="736"/>
      <c r="CB657" s="737">
        <f t="shared" si="359"/>
        <v>96</v>
      </c>
      <c r="CC657" s="737"/>
      <c r="CD657" s="737">
        <f t="shared" si="357"/>
        <v>96</v>
      </c>
      <c r="CE657" s="737">
        <v>0</v>
      </c>
    </row>
    <row r="658" s="558" customFormat="1" ht="40" customHeight="1" spans="1:83 16368:16384">
      <c r="A658" s="717">
        <v>46085</v>
      </c>
      <c r="B658" s="718" t="s">
        <v>1587</v>
      </c>
      <c r="C658" s="719" t="s">
        <v>178</v>
      </c>
      <c r="D658" s="776">
        <v>4500195135</v>
      </c>
      <c r="E658" s="721" t="s">
        <v>2887</v>
      </c>
      <c r="F658" s="720" t="s">
        <v>2888</v>
      </c>
      <c r="G658" s="722" t="s">
        <v>159</v>
      </c>
      <c r="H658" s="722" t="s">
        <v>99</v>
      </c>
      <c r="I658" s="752">
        <v>72</v>
      </c>
      <c r="J658" s="723">
        <v>0</v>
      </c>
      <c r="K658" s="724">
        <v>24</v>
      </c>
      <c r="L658" s="724">
        <f t="shared" si="332"/>
        <v>3</v>
      </c>
      <c r="M658" s="725">
        <v>46127</v>
      </c>
      <c r="N658" s="725">
        <v>46123</v>
      </c>
      <c r="O658" s="725"/>
      <c r="P658" s="726" t="s">
        <v>100</v>
      </c>
      <c r="Q658" s="727" t="s">
        <v>2873</v>
      </c>
      <c r="R658" s="726" t="s">
        <v>806</v>
      </c>
      <c r="S658" s="725"/>
      <c r="T658" s="725"/>
      <c r="U658" s="726" t="s">
        <v>493</v>
      </c>
      <c r="V658" s="726" t="s">
        <v>2880</v>
      </c>
      <c r="W658" s="728"/>
      <c r="X658" s="729" t="s">
        <v>2779</v>
      </c>
      <c r="Y658" s="730" t="s">
        <v>734</v>
      </c>
      <c r="Z658" s="731">
        <v>2.5718</v>
      </c>
      <c r="AA658" s="732">
        <f t="shared" si="333"/>
        <v>185.1696</v>
      </c>
      <c r="AB658" s="712">
        <v>72</v>
      </c>
      <c r="AC658" s="712">
        <f t="shared" si="338"/>
        <v>0</v>
      </c>
      <c r="AD658" s="732" t="s">
        <v>106</v>
      </c>
      <c r="AE658" s="749" t="s">
        <v>166</v>
      </c>
      <c r="AF658" s="730" t="s">
        <v>107</v>
      </c>
      <c r="AG658" s="734" t="s">
        <v>43</v>
      </c>
      <c r="AH658" s="730"/>
      <c r="AI658" s="696"/>
      <c r="AJ658" s="696"/>
      <c r="AK658" s="696"/>
      <c r="AL658" s="733"/>
      <c r="AM658" s="712"/>
      <c r="AN658" s="696"/>
      <c r="AO658" s="777"/>
      <c r="AP658" s="734">
        <f t="shared" si="360"/>
        <v>72</v>
      </c>
      <c r="AQ658" s="734"/>
      <c r="AR658" s="777"/>
      <c r="AS658" s="777"/>
      <c r="AT658" s="734"/>
      <c r="AU658" s="734">
        <f t="shared" si="361"/>
        <v>72</v>
      </c>
      <c r="AV658" s="734"/>
      <c r="AW658" s="777"/>
      <c r="AX658" s="734"/>
      <c r="AY658" s="713"/>
      <c r="AZ658" s="697"/>
      <c r="BA658" s="713"/>
      <c r="BB658" s="713"/>
      <c r="BC658" s="697"/>
      <c r="BD658" s="697"/>
      <c r="BE658" s="713"/>
      <c r="BF658" s="697"/>
      <c r="BG658" s="728"/>
      <c r="BH658" s="736"/>
      <c r="BI658" s="778"/>
      <c r="BJ658" s="778"/>
      <c r="BK658" s="736"/>
      <c r="BL658" s="737"/>
      <c r="BM658" s="736"/>
      <c r="BN658" s="737"/>
      <c r="BO658" s="737"/>
      <c r="BP658" s="779"/>
      <c r="BQ658" s="713"/>
      <c r="BR658" s="697"/>
      <c r="BS658" s="713"/>
      <c r="BT658" s="713"/>
      <c r="BU658" s="713"/>
      <c r="BV658" s="713"/>
      <c r="BW658" s="728" t="s">
        <v>109</v>
      </c>
      <c r="BX658" s="736"/>
      <c r="BY658" s="736">
        <f>I658</f>
        <v>72</v>
      </c>
      <c r="BZ658" s="736"/>
      <c r="CA658" s="736"/>
      <c r="CB658" s="737">
        <f t="shared" si="359"/>
        <v>72</v>
      </c>
      <c r="CC658" s="737"/>
      <c r="CD658" s="737">
        <f t="shared" si="357"/>
        <v>72</v>
      </c>
      <c r="CE658" s="737">
        <v>0</v>
      </c>
    </row>
    <row r="659" s="558" customFormat="1" ht="40" customHeight="1" spans="1:83 16368:16384">
      <c r="A659" s="717">
        <v>46092</v>
      </c>
      <c r="B659" s="718" t="s">
        <v>1763</v>
      </c>
      <c r="C659" s="719" t="s">
        <v>617</v>
      </c>
      <c r="D659" s="720">
        <v>4500195833</v>
      </c>
      <c r="E659" s="721">
        <v>4400546701</v>
      </c>
      <c r="F659" s="720" t="s">
        <v>2889</v>
      </c>
      <c r="G659" s="722" t="s">
        <v>111</v>
      </c>
      <c r="H659" s="722" t="s">
        <v>99</v>
      </c>
      <c r="I659" s="752">
        <v>2508</v>
      </c>
      <c r="J659" s="723">
        <v>0</v>
      </c>
      <c r="K659" s="724">
        <v>22</v>
      </c>
      <c r="L659" s="724">
        <f t="shared" si="332"/>
        <v>114</v>
      </c>
      <c r="M659" s="725">
        <v>46127</v>
      </c>
      <c r="N659" s="725">
        <v>46123</v>
      </c>
      <c r="O659" s="725"/>
      <c r="P659" s="726" t="s">
        <v>100</v>
      </c>
      <c r="Q659" s="727" t="s">
        <v>2890</v>
      </c>
      <c r="R659" s="726" t="s">
        <v>2891</v>
      </c>
      <c r="S659" s="725"/>
      <c r="T659" s="725"/>
      <c r="U659" s="726" t="s">
        <v>2892</v>
      </c>
      <c r="V659" s="726"/>
      <c r="W659" s="728"/>
      <c r="X659" s="729" t="s">
        <v>2893</v>
      </c>
      <c r="Y659" s="730" t="s">
        <v>1864</v>
      </c>
      <c r="Z659" s="731">
        <v>2.771</v>
      </c>
      <c r="AA659" s="732">
        <f t="shared" si="333"/>
        <v>6949.668</v>
      </c>
      <c r="AB659" s="712">
        <v>2508</v>
      </c>
      <c r="AC659" s="712">
        <f t="shared" ref="AC659:AC687" si="362">AB659-I659</f>
        <v>0</v>
      </c>
      <c r="AD659" s="732" t="s">
        <v>106</v>
      </c>
      <c r="AE659" s="733" t="s">
        <v>230</v>
      </c>
      <c r="AF659" s="730" t="s">
        <v>107</v>
      </c>
      <c r="AG659" s="734" t="s">
        <v>43</v>
      </c>
      <c r="AH659" s="730"/>
      <c r="AI659" s="705"/>
      <c r="AJ659" s="705"/>
      <c r="AK659" s="705"/>
      <c r="AL659" s="733"/>
      <c r="AM659" s="712"/>
      <c r="AN659" s="705"/>
      <c r="AO659" s="773"/>
      <c r="AP659" s="734">
        <f t="shared" si="360"/>
        <v>2508</v>
      </c>
      <c r="AQ659" s="734"/>
      <c r="AR659" s="773"/>
      <c r="AS659" s="773"/>
      <c r="AT659" s="734"/>
      <c r="AU659" s="734">
        <f t="shared" si="361"/>
        <v>2508</v>
      </c>
      <c r="AV659" s="734"/>
      <c r="AW659" s="773"/>
      <c r="AX659" s="734"/>
      <c r="AY659" s="713"/>
      <c r="AZ659" s="706"/>
      <c r="BA659" s="713"/>
      <c r="BB659" s="734">
        <f>I659/11</f>
        <v>228</v>
      </c>
      <c r="BC659" s="706"/>
      <c r="BD659" s="706"/>
      <c r="BE659" s="713"/>
      <c r="BF659" s="706"/>
      <c r="BG659" s="728"/>
      <c r="BH659" s="736"/>
      <c r="BI659" s="774"/>
      <c r="BJ659" s="774"/>
      <c r="BK659" s="736"/>
      <c r="BL659" s="737"/>
      <c r="BM659" s="736"/>
      <c r="BN659" s="737"/>
      <c r="BO659" s="737"/>
      <c r="BP659" s="775"/>
      <c r="BQ659" s="713"/>
      <c r="BR659" s="706"/>
      <c r="BS659" s="713"/>
      <c r="BT659" s="713"/>
      <c r="BU659" s="713"/>
      <c r="BV659" s="713"/>
      <c r="BW659" s="728" t="s">
        <v>109</v>
      </c>
      <c r="BX659" s="736">
        <f>I659/22*5</f>
        <v>570</v>
      </c>
      <c r="BY659" s="736">
        <f>I659/22*6</f>
        <v>684</v>
      </c>
      <c r="BZ659" s="736">
        <f>I659/22*6</f>
        <v>684</v>
      </c>
      <c r="CA659" s="736">
        <f>I659/22*5</f>
        <v>570</v>
      </c>
      <c r="CB659" s="737">
        <f t="shared" si="359"/>
        <v>2508</v>
      </c>
      <c r="CC659" s="736">
        <f>I659/11</f>
        <v>228</v>
      </c>
      <c r="CD659" s="737">
        <f t="shared" si="357"/>
        <v>2508</v>
      </c>
      <c r="CE659" s="737">
        <f t="shared" ref="CE659:CE666" si="363">I659-CD659</f>
        <v>0</v>
      </c>
      <c r="XEN659" s="771"/>
      <c r="XEO659" s="771"/>
      <c r="XEP659" s="771"/>
      <c r="XEQ659" s="771"/>
      <c r="XER659" s="771"/>
      <c r="XES659" s="771"/>
      <c r="XET659" s="771"/>
      <c r="XEU659" s="771"/>
      <c r="XEV659" s="771"/>
      <c r="XEW659" s="771"/>
      <c r="XEX659" s="771"/>
      <c r="XEY659" s="771"/>
      <c r="XEZ659" s="771"/>
      <c r="XFA659" s="771"/>
      <c r="XFB659" s="771"/>
      <c r="XFC659" s="771"/>
      <c r="XFD659" s="771"/>
    </row>
    <row r="660" s="558" customFormat="1" ht="40" customHeight="1" spans="1:83 16368:16384">
      <c r="A660" s="717">
        <v>46090</v>
      </c>
      <c r="B660" s="718" t="s">
        <v>1865</v>
      </c>
      <c r="C660" s="719" t="s">
        <v>214</v>
      </c>
      <c r="D660" s="720">
        <v>4500194714</v>
      </c>
      <c r="E660" s="721" t="s">
        <v>2894</v>
      </c>
      <c r="F660" s="720" t="s">
        <v>2895</v>
      </c>
      <c r="G660" s="722" t="s">
        <v>98</v>
      </c>
      <c r="H660" s="722" t="s">
        <v>99</v>
      </c>
      <c r="I660" s="752">
        <v>1200</v>
      </c>
      <c r="J660" s="723">
        <v>0</v>
      </c>
      <c r="K660" s="724">
        <v>24</v>
      </c>
      <c r="L660" s="724">
        <f t="shared" si="332"/>
        <v>50</v>
      </c>
      <c r="M660" s="725">
        <v>46132</v>
      </c>
      <c r="N660" s="725">
        <v>46128</v>
      </c>
      <c r="O660" s="725"/>
      <c r="P660" s="726" t="s">
        <v>100</v>
      </c>
      <c r="Q660" s="727" t="s">
        <v>822</v>
      </c>
      <c r="R660" s="726" t="s">
        <v>2896</v>
      </c>
      <c r="S660" s="725"/>
      <c r="T660" s="725"/>
      <c r="U660" s="726" t="s">
        <v>2897</v>
      </c>
      <c r="V660" s="726"/>
      <c r="W660" s="728"/>
      <c r="X660" s="729" t="s">
        <v>2898</v>
      </c>
      <c r="Y660" s="730" t="s">
        <v>943</v>
      </c>
      <c r="Z660" s="731">
        <v>1.5346</v>
      </c>
      <c r="AA660" s="732">
        <f t="shared" si="333"/>
        <v>1841.52</v>
      </c>
      <c r="AB660" s="712">
        <v>1200</v>
      </c>
      <c r="AC660" s="712">
        <f t="shared" si="362"/>
        <v>0</v>
      </c>
      <c r="AD660" s="732" t="s">
        <v>106</v>
      </c>
      <c r="AE660" s="722" t="s">
        <v>98</v>
      </c>
      <c r="AF660" s="730" t="s">
        <v>107</v>
      </c>
      <c r="AG660" s="734" t="s">
        <v>43</v>
      </c>
      <c r="AH660" s="730"/>
      <c r="AI660" s="705"/>
      <c r="AJ660" s="705"/>
      <c r="AK660" s="705"/>
      <c r="AL660" s="733"/>
      <c r="AM660" s="712">
        <f>I660</f>
        <v>1200</v>
      </c>
      <c r="AN660" s="705"/>
      <c r="AO660" s="773"/>
      <c r="AP660" s="734"/>
      <c r="AQ660" s="734"/>
      <c r="AR660" s="773"/>
      <c r="AS660" s="773"/>
      <c r="AT660" s="734"/>
      <c r="AU660" s="734">
        <f t="shared" si="361"/>
        <v>1200</v>
      </c>
      <c r="AV660" s="734"/>
      <c r="AW660" s="773"/>
      <c r="AX660" s="734"/>
      <c r="AY660" s="713"/>
      <c r="AZ660" s="706"/>
      <c r="BA660" s="713"/>
      <c r="BB660" s="734"/>
      <c r="BC660" s="706"/>
      <c r="BD660" s="706"/>
      <c r="BE660" s="713"/>
      <c r="BF660" s="706"/>
      <c r="BG660" s="728"/>
      <c r="BH660" s="736"/>
      <c r="BI660" s="774"/>
      <c r="BJ660" s="774"/>
      <c r="BK660" s="736"/>
      <c r="BL660" s="737"/>
      <c r="BM660" s="736"/>
      <c r="BN660" s="737"/>
      <c r="BO660" s="737"/>
      <c r="BP660" s="775"/>
      <c r="BQ660" s="713"/>
      <c r="BR660" s="706"/>
      <c r="BS660" s="713"/>
      <c r="BT660" s="713"/>
      <c r="BU660" s="713"/>
      <c r="BV660" s="713"/>
      <c r="BW660" s="728" t="s">
        <v>109</v>
      </c>
      <c r="BX660" s="736">
        <f>I660/4</f>
        <v>300</v>
      </c>
      <c r="BY660" s="736">
        <f>I660/4</f>
        <v>300</v>
      </c>
      <c r="BZ660" s="736">
        <f>I660/4</f>
        <v>300</v>
      </c>
      <c r="CA660" s="736">
        <f>I660/4</f>
        <v>300</v>
      </c>
      <c r="CB660" s="737">
        <f>I660/4</f>
        <v>300</v>
      </c>
      <c r="CC660" s="737"/>
      <c r="CD660" s="737">
        <f t="shared" si="357"/>
        <v>1200</v>
      </c>
      <c r="CE660" s="737">
        <f t="shared" si="363"/>
        <v>0</v>
      </c>
      <c r="XEN660" s="771"/>
      <c r="XEO660" s="771"/>
      <c r="XEP660" s="771"/>
      <c r="XEQ660" s="771"/>
      <c r="XER660" s="771"/>
      <c r="XES660" s="771"/>
      <c r="XET660" s="771"/>
      <c r="XEU660" s="771"/>
      <c r="XEV660" s="771"/>
      <c r="XEW660" s="771"/>
      <c r="XEX660" s="771"/>
      <c r="XEY660" s="771"/>
      <c r="XEZ660" s="771"/>
      <c r="XFA660" s="771"/>
      <c r="XFB660" s="771"/>
      <c r="XFC660" s="771"/>
      <c r="XFD660" s="771"/>
    </row>
    <row r="661" s="558" customFormat="1" ht="40" customHeight="1" spans="1:83 16368:16384">
      <c r="A661" s="717">
        <v>46091</v>
      </c>
      <c r="B661" s="718" t="s">
        <v>2401</v>
      </c>
      <c r="C661" s="719" t="s">
        <v>1117</v>
      </c>
      <c r="D661" s="720">
        <v>4500195859</v>
      </c>
      <c r="E661" s="721"/>
      <c r="F661" s="720" t="s">
        <v>2899</v>
      </c>
      <c r="G661" s="722" t="s">
        <v>241</v>
      </c>
      <c r="H661" s="722" t="s">
        <v>99</v>
      </c>
      <c r="I661" s="723">
        <v>506</v>
      </c>
      <c r="J661" s="723">
        <v>0</v>
      </c>
      <c r="K661" s="724">
        <v>11</v>
      </c>
      <c r="L661" s="724">
        <f t="shared" si="332"/>
        <v>46</v>
      </c>
      <c r="M661" s="725">
        <v>46132</v>
      </c>
      <c r="N661" s="725">
        <v>46128</v>
      </c>
      <c r="O661" s="725" t="s">
        <v>2900</v>
      </c>
      <c r="P661" s="726" t="s">
        <v>100</v>
      </c>
      <c r="Q661" s="727"/>
      <c r="R661" s="726" t="s">
        <v>868</v>
      </c>
      <c r="S661" s="725"/>
      <c r="T661" s="725"/>
      <c r="U661" s="726" t="s">
        <v>2901</v>
      </c>
      <c r="V661" s="726"/>
      <c r="W661" s="728"/>
      <c r="X661" s="729" t="s">
        <v>2902</v>
      </c>
      <c r="Y661" s="730" t="s">
        <v>1029</v>
      </c>
      <c r="Z661" s="731">
        <v>2.724</v>
      </c>
      <c r="AA661" s="732">
        <f t="shared" si="333"/>
        <v>1378.344</v>
      </c>
      <c r="AB661" s="712">
        <v>506</v>
      </c>
      <c r="AC661" s="712">
        <f t="shared" si="362"/>
        <v>0</v>
      </c>
      <c r="AD661" s="732" t="s">
        <v>106</v>
      </c>
      <c r="AE661" s="722" t="s">
        <v>1264</v>
      </c>
      <c r="AF661" s="730" t="s">
        <v>107</v>
      </c>
      <c r="AG661" s="734" t="s">
        <v>43</v>
      </c>
      <c r="AH661" s="730"/>
      <c r="AI661" s="705"/>
      <c r="AJ661" s="705"/>
      <c r="AK661" s="705"/>
      <c r="AL661" s="733"/>
      <c r="AM661" s="712"/>
      <c r="AN661" s="705"/>
      <c r="AO661" s="773"/>
      <c r="AP661" s="734">
        <f t="shared" ref="AP661:AP666" si="364">I661</f>
        <v>506</v>
      </c>
      <c r="AQ661" s="734"/>
      <c r="AR661" s="773"/>
      <c r="AS661" s="773"/>
      <c r="AT661" s="734"/>
      <c r="AU661" s="734"/>
      <c r="AV661" s="734">
        <f>I661</f>
        <v>506</v>
      </c>
      <c r="AW661" s="773"/>
      <c r="AX661" s="734"/>
      <c r="AY661" s="713"/>
      <c r="AZ661" s="706"/>
      <c r="BA661" s="713"/>
      <c r="BB661" s="734">
        <f t="shared" ref="BB661:BB666" si="365">I661/11</f>
        <v>46</v>
      </c>
      <c r="BC661" s="706"/>
      <c r="BD661" s="706"/>
      <c r="BE661" s="713"/>
      <c r="BF661" s="706"/>
      <c r="BG661" s="728"/>
      <c r="BH661" s="736"/>
      <c r="BI661" s="774"/>
      <c r="BJ661" s="774"/>
      <c r="BK661" s="736"/>
      <c r="BL661" s="737"/>
      <c r="BM661" s="736"/>
      <c r="BN661" s="737"/>
      <c r="BO661" s="737"/>
      <c r="BP661" s="775"/>
      <c r="BQ661" s="713"/>
      <c r="BR661" s="706"/>
      <c r="BS661" s="713"/>
      <c r="BT661" s="713"/>
      <c r="BU661" s="713"/>
      <c r="BV661" s="713"/>
      <c r="BW661" s="728" t="s">
        <v>109</v>
      </c>
      <c r="BX661" s="736">
        <f t="shared" ref="BX661:BX666" si="366">I661/22*5</f>
        <v>115</v>
      </c>
      <c r="BY661" s="736">
        <f t="shared" ref="BY661:BY666" si="367">I661/22*6</f>
        <v>138</v>
      </c>
      <c r="BZ661" s="736">
        <f t="shared" ref="BZ661:BZ666" si="368">I661/22*6</f>
        <v>138</v>
      </c>
      <c r="CA661" s="736">
        <f t="shared" ref="CA661:CA666" si="369">I661/22*5</f>
        <v>115</v>
      </c>
      <c r="CB661" s="737">
        <f t="shared" ref="CB661:CB667" si="370">I661</f>
        <v>506</v>
      </c>
      <c r="CC661" s="736">
        <f t="shared" ref="CC661:CC666" si="371">I661/11</f>
        <v>46</v>
      </c>
      <c r="CD661" s="737">
        <f t="shared" si="357"/>
        <v>506</v>
      </c>
      <c r="CE661" s="737">
        <f t="shared" si="363"/>
        <v>0</v>
      </c>
      <c r="XEN661" s="771"/>
      <c r="XEO661" s="771"/>
      <c r="XEP661" s="771"/>
      <c r="XEQ661" s="771"/>
      <c r="XER661" s="771"/>
      <c r="XES661" s="771"/>
      <c r="XET661" s="771"/>
      <c r="XEU661" s="771"/>
      <c r="XEV661" s="771"/>
      <c r="XEW661" s="771"/>
      <c r="XEX661" s="771"/>
      <c r="XEY661" s="771"/>
      <c r="XEZ661" s="771"/>
      <c r="XFA661" s="771"/>
      <c r="XFB661" s="771"/>
      <c r="XFC661" s="771"/>
      <c r="XFD661" s="771"/>
    </row>
    <row r="662" s="558" customFormat="1" ht="40" customHeight="1" spans="1:83 16368:16384">
      <c r="A662" s="717">
        <v>46092</v>
      </c>
      <c r="B662" s="718" t="s">
        <v>919</v>
      </c>
      <c r="C662" s="719" t="s">
        <v>920</v>
      </c>
      <c r="D662" s="776">
        <v>4500195950</v>
      </c>
      <c r="E662" s="721" t="s">
        <v>2903</v>
      </c>
      <c r="F662" s="720" t="s">
        <v>2904</v>
      </c>
      <c r="G662" s="722" t="s">
        <v>111</v>
      </c>
      <c r="H662" s="722" t="s">
        <v>99</v>
      </c>
      <c r="I662" s="752">
        <v>880</v>
      </c>
      <c r="J662" s="723">
        <v>0</v>
      </c>
      <c r="K662" s="724">
        <v>22</v>
      </c>
      <c r="L662" s="724">
        <f t="shared" si="332"/>
        <v>40</v>
      </c>
      <c r="M662" s="725">
        <v>46132</v>
      </c>
      <c r="N662" s="725">
        <v>46128</v>
      </c>
      <c r="O662" s="725"/>
      <c r="P662" s="726" t="s">
        <v>100</v>
      </c>
      <c r="Q662" s="780" t="s">
        <v>2905</v>
      </c>
      <c r="R662" s="726" t="s">
        <v>2906</v>
      </c>
      <c r="S662" s="725"/>
      <c r="T662" s="725"/>
      <c r="U662" s="726" t="s">
        <v>2907</v>
      </c>
      <c r="V662" s="726"/>
      <c r="W662" s="728"/>
      <c r="X662" s="729" t="s">
        <v>2908</v>
      </c>
      <c r="Y662" s="730" t="s">
        <v>2909</v>
      </c>
      <c r="Z662" s="731">
        <v>2.7947</v>
      </c>
      <c r="AA662" s="732">
        <f t="shared" si="333"/>
        <v>2459.336</v>
      </c>
      <c r="AB662" s="712">
        <f>858+22</f>
        <v>880</v>
      </c>
      <c r="AC662" s="712">
        <f t="shared" si="362"/>
        <v>0</v>
      </c>
      <c r="AD662" s="732" t="s">
        <v>123</v>
      </c>
      <c r="AE662" s="733" t="s">
        <v>230</v>
      </c>
      <c r="AF662" s="730" t="s">
        <v>107</v>
      </c>
      <c r="AG662" s="734" t="s">
        <v>43</v>
      </c>
      <c r="AH662" s="730"/>
      <c r="AI662" s="705"/>
      <c r="AJ662" s="705"/>
      <c r="AK662" s="705"/>
      <c r="AL662" s="733"/>
      <c r="AM662" s="712"/>
      <c r="AN662" s="705"/>
      <c r="AO662" s="773"/>
      <c r="AP662" s="734">
        <f t="shared" si="364"/>
        <v>880</v>
      </c>
      <c r="AQ662" s="734"/>
      <c r="AR662" s="773"/>
      <c r="AS662" s="773"/>
      <c r="AT662" s="734"/>
      <c r="AU662" s="734">
        <f t="shared" ref="AU662:AU685" si="372">I662</f>
        <v>880</v>
      </c>
      <c r="AV662" s="734"/>
      <c r="AW662" s="773"/>
      <c r="AX662" s="734"/>
      <c r="AY662" s="713"/>
      <c r="AZ662" s="706"/>
      <c r="BA662" s="713"/>
      <c r="BB662" s="734">
        <f t="shared" si="365"/>
        <v>80</v>
      </c>
      <c r="BC662" s="706"/>
      <c r="BD662" s="706"/>
      <c r="BE662" s="713"/>
      <c r="BF662" s="706"/>
      <c r="BG662" s="728"/>
      <c r="BH662" s="736"/>
      <c r="BI662" s="774"/>
      <c r="BJ662" s="774"/>
      <c r="BK662" s="736"/>
      <c r="BL662" s="737"/>
      <c r="BM662" s="736"/>
      <c r="BN662" s="737"/>
      <c r="BO662" s="737"/>
      <c r="BP662" s="775"/>
      <c r="BQ662" s="713"/>
      <c r="BR662" s="706"/>
      <c r="BS662" s="713"/>
      <c r="BT662" s="713"/>
      <c r="BU662" s="713"/>
      <c r="BV662" s="713"/>
      <c r="BW662" s="728" t="s">
        <v>109</v>
      </c>
      <c r="BX662" s="736">
        <f t="shared" si="366"/>
        <v>200</v>
      </c>
      <c r="BY662" s="736">
        <f t="shared" si="367"/>
        <v>240</v>
      </c>
      <c r="BZ662" s="736">
        <f t="shared" si="368"/>
        <v>240</v>
      </c>
      <c r="CA662" s="736">
        <f t="shared" si="369"/>
        <v>200</v>
      </c>
      <c r="CB662" s="737">
        <f t="shared" si="370"/>
        <v>880</v>
      </c>
      <c r="CC662" s="736">
        <f t="shared" si="371"/>
        <v>80</v>
      </c>
      <c r="CD662" s="737">
        <f t="shared" si="357"/>
        <v>880</v>
      </c>
      <c r="CE662" s="737">
        <f t="shared" si="363"/>
        <v>0</v>
      </c>
      <c r="XEN662" s="771"/>
      <c r="XEO662" s="771"/>
      <c r="XEP662" s="771"/>
      <c r="XEQ662" s="771"/>
      <c r="XER662" s="771"/>
      <c r="XES662" s="771"/>
      <c r="XET662" s="771"/>
      <c r="XEU662" s="771"/>
      <c r="XEV662" s="771"/>
      <c r="XEW662" s="771"/>
      <c r="XEX662" s="771"/>
      <c r="XEY662" s="771"/>
      <c r="XEZ662" s="771"/>
      <c r="XFA662" s="771"/>
      <c r="XFB662" s="771"/>
      <c r="XFC662" s="771"/>
      <c r="XFD662" s="771"/>
    </row>
    <row r="663" s="558" customFormat="1" ht="40" customHeight="1" spans="1:83 16368:16384">
      <c r="A663" s="717">
        <v>46092</v>
      </c>
      <c r="B663" s="718" t="s">
        <v>1653</v>
      </c>
      <c r="C663" s="719" t="s">
        <v>831</v>
      </c>
      <c r="D663" s="776">
        <v>4500196056</v>
      </c>
      <c r="E663" s="721" t="s">
        <v>2910</v>
      </c>
      <c r="F663" s="720" t="s">
        <v>2911</v>
      </c>
      <c r="G663" s="722" t="s">
        <v>111</v>
      </c>
      <c r="H663" s="722" t="s">
        <v>99</v>
      </c>
      <c r="I663" s="752">
        <v>110</v>
      </c>
      <c r="J663" s="723">
        <v>0</v>
      </c>
      <c r="K663" s="724">
        <v>22</v>
      </c>
      <c r="L663" s="724">
        <f t="shared" si="332"/>
        <v>5</v>
      </c>
      <c r="M663" s="725">
        <v>46132</v>
      </c>
      <c r="N663" s="725">
        <v>46128</v>
      </c>
      <c r="O663" s="725"/>
      <c r="P663" s="726" t="s">
        <v>100</v>
      </c>
      <c r="Q663" s="727" t="s">
        <v>2912</v>
      </c>
      <c r="R663" s="726" t="s">
        <v>2906</v>
      </c>
      <c r="S663" s="725"/>
      <c r="T663" s="725"/>
      <c r="U663" s="726" t="s">
        <v>2907</v>
      </c>
      <c r="V663" s="726"/>
      <c r="W663" s="728"/>
      <c r="X663" s="729" t="s">
        <v>2908</v>
      </c>
      <c r="Y663" s="730" t="s">
        <v>2909</v>
      </c>
      <c r="Z663" s="731">
        <v>2.7947</v>
      </c>
      <c r="AA663" s="732">
        <f t="shared" si="333"/>
        <v>307.417</v>
      </c>
      <c r="AB663" s="712">
        <v>110</v>
      </c>
      <c r="AC663" s="712">
        <f t="shared" si="362"/>
        <v>0</v>
      </c>
      <c r="AD663" s="732" t="s">
        <v>123</v>
      </c>
      <c r="AE663" s="733" t="s">
        <v>230</v>
      </c>
      <c r="AF663" s="730" t="s">
        <v>107</v>
      </c>
      <c r="AG663" s="734" t="s">
        <v>43</v>
      </c>
      <c r="AH663" s="730"/>
      <c r="AI663" s="705"/>
      <c r="AJ663" s="705"/>
      <c r="AK663" s="705"/>
      <c r="AL663" s="733"/>
      <c r="AM663" s="712"/>
      <c r="AN663" s="705"/>
      <c r="AO663" s="773"/>
      <c r="AP663" s="734">
        <f t="shared" si="364"/>
        <v>110</v>
      </c>
      <c r="AQ663" s="734"/>
      <c r="AR663" s="773"/>
      <c r="AS663" s="773"/>
      <c r="AT663" s="734"/>
      <c r="AU663" s="734">
        <f t="shared" si="372"/>
        <v>110</v>
      </c>
      <c r="AV663" s="734"/>
      <c r="AW663" s="773"/>
      <c r="AX663" s="734"/>
      <c r="AY663" s="713"/>
      <c r="AZ663" s="706"/>
      <c r="BA663" s="713"/>
      <c r="BB663" s="734">
        <f t="shared" si="365"/>
        <v>10</v>
      </c>
      <c r="BC663" s="706"/>
      <c r="BD663" s="706"/>
      <c r="BE663" s="713"/>
      <c r="BF663" s="706"/>
      <c r="BG663" s="728"/>
      <c r="BH663" s="736"/>
      <c r="BI663" s="774"/>
      <c r="BJ663" s="774"/>
      <c r="BK663" s="736"/>
      <c r="BL663" s="737"/>
      <c r="BM663" s="736"/>
      <c r="BN663" s="737"/>
      <c r="BO663" s="737"/>
      <c r="BP663" s="775"/>
      <c r="BQ663" s="713"/>
      <c r="BR663" s="706"/>
      <c r="BS663" s="713"/>
      <c r="BT663" s="713"/>
      <c r="BU663" s="713"/>
      <c r="BV663" s="713"/>
      <c r="BW663" s="728" t="s">
        <v>109</v>
      </c>
      <c r="BX663" s="736">
        <f t="shared" si="366"/>
        <v>25</v>
      </c>
      <c r="BY663" s="736">
        <f t="shared" si="367"/>
        <v>30</v>
      </c>
      <c r="BZ663" s="736">
        <f t="shared" si="368"/>
        <v>30</v>
      </c>
      <c r="CA663" s="736">
        <f t="shared" si="369"/>
        <v>25</v>
      </c>
      <c r="CB663" s="737">
        <f t="shared" si="370"/>
        <v>110</v>
      </c>
      <c r="CC663" s="736">
        <f t="shared" si="371"/>
        <v>10</v>
      </c>
      <c r="CD663" s="737">
        <f t="shared" si="357"/>
        <v>110</v>
      </c>
      <c r="CE663" s="737">
        <f t="shared" si="363"/>
        <v>0</v>
      </c>
      <c r="XEN663" s="771"/>
      <c r="XEO663" s="771"/>
      <c r="XEP663" s="771"/>
      <c r="XEQ663" s="771"/>
      <c r="XER663" s="771"/>
      <c r="XES663" s="771"/>
      <c r="XET663" s="771"/>
      <c r="XEU663" s="771"/>
      <c r="XEV663" s="771"/>
      <c r="XEW663" s="771"/>
      <c r="XEX663" s="771"/>
      <c r="XEY663" s="771"/>
      <c r="XEZ663" s="771"/>
      <c r="XFA663" s="771"/>
      <c r="XFB663" s="771"/>
      <c r="XFC663" s="771"/>
      <c r="XFD663" s="771"/>
    </row>
    <row r="664" s="558" customFormat="1" ht="40" customHeight="1" spans="1:83 16368:16384">
      <c r="A664" s="717">
        <v>46092</v>
      </c>
      <c r="B664" s="718" t="s">
        <v>2913</v>
      </c>
      <c r="C664" s="719" t="s">
        <v>2914</v>
      </c>
      <c r="D664" s="776">
        <v>4500196119</v>
      </c>
      <c r="E664" s="721" t="s">
        <v>2915</v>
      </c>
      <c r="F664" s="720" t="s">
        <v>2916</v>
      </c>
      <c r="G664" s="722" t="s">
        <v>111</v>
      </c>
      <c r="H664" s="722" t="s">
        <v>99</v>
      </c>
      <c r="I664" s="752">
        <v>220</v>
      </c>
      <c r="J664" s="723">
        <v>0</v>
      </c>
      <c r="K664" s="724">
        <v>22</v>
      </c>
      <c r="L664" s="724">
        <f t="shared" si="332"/>
        <v>10</v>
      </c>
      <c r="M664" s="725">
        <v>46132</v>
      </c>
      <c r="N664" s="725">
        <v>46128</v>
      </c>
      <c r="O664" s="725"/>
      <c r="P664" s="726" t="s">
        <v>100</v>
      </c>
      <c r="Q664" s="727" t="s">
        <v>2873</v>
      </c>
      <c r="R664" s="726" t="s">
        <v>2906</v>
      </c>
      <c r="S664" s="725"/>
      <c r="T664" s="725"/>
      <c r="U664" s="726" t="s">
        <v>2907</v>
      </c>
      <c r="V664" s="726"/>
      <c r="W664" s="728"/>
      <c r="X664" s="729" t="s">
        <v>2908</v>
      </c>
      <c r="Y664" s="730" t="s">
        <v>2909</v>
      </c>
      <c r="Z664" s="731">
        <v>2.7947</v>
      </c>
      <c r="AA664" s="732">
        <f t="shared" si="333"/>
        <v>614.834</v>
      </c>
      <c r="AB664" s="712">
        <v>220</v>
      </c>
      <c r="AC664" s="712">
        <f t="shared" si="362"/>
        <v>0</v>
      </c>
      <c r="AD664" s="732" t="s">
        <v>123</v>
      </c>
      <c r="AE664" s="733" t="s">
        <v>230</v>
      </c>
      <c r="AF664" s="730" t="s">
        <v>107</v>
      </c>
      <c r="AG664" s="734" t="s">
        <v>43</v>
      </c>
      <c r="AH664" s="730"/>
      <c r="AI664" s="705"/>
      <c r="AJ664" s="705"/>
      <c r="AK664" s="705"/>
      <c r="AL664" s="733"/>
      <c r="AM664" s="712"/>
      <c r="AN664" s="705"/>
      <c r="AO664" s="773"/>
      <c r="AP664" s="734">
        <f t="shared" si="364"/>
        <v>220</v>
      </c>
      <c r="AQ664" s="734"/>
      <c r="AR664" s="773"/>
      <c r="AS664" s="773"/>
      <c r="AT664" s="734"/>
      <c r="AU664" s="734">
        <f t="shared" si="372"/>
        <v>220</v>
      </c>
      <c r="AV664" s="734"/>
      <c r="AW664" s="773"/>
      <c r="AX664" s="734"/>
      <c r="AY664" s="713"/>
      <c r="AZ664" s="706"/>
      <c r="BA664" s="713"/>
      <c r="BB664" s="734">
        <f t="shared" si="365"/>
        <v>20</v>
      </c>
      <c r="BC664" s="706"/>
      <c r="BD664" s="706"/>
      <c r="BE664" s="713"/>
      <c r="BF664" s="706"/>
      <c r="BG664" s="728"/>
      <c r="BH664" s="736"/>
      <c r="BI664" s="774"/>
      <c r="BJ664" s="774"/>
      <c r="BK664" s="736"/>
      <c r="BL664" s="737"/>
      <c r="BM664" s="736"/>
      <c r="BN664" s="737"/>
      <c r="BO664" s="737"/>
      <c r="BP664" s="775"/>
      <c r="BQ664" s="713"/>
      <c r="BR664" s="706"/>
      <c r="BS664" s="713"/>
      <c r="BT664" s="713"/>
      <c r="BU664" s="713"/>
      <c r="BV664" s="713"/>
      <c r="BW664" s="728" t="s">
        <v>109</v>
      </c>
      <c r="BX664" s="736">
        <f t="shared" si="366"/>
        <v>50</v>
      </c>
      <c r="BY664" s="736">
        <f t="shared" si="367"/>
        <v>60</v>
      </c>
      <c r="BZ664" s="736">
        <f t="shared" si="368"/>
        <v>60</v>
      </c>
      <c r="CA664" s="736">
        <f t="shared" si="369"/>
        <v>50</v>
      </c>
      <c r="CB664" s="737">
        <f t="shared" si="370"/>
        <v>220</v>
      </c>
      <c r="CC664" s="736">
        <f t="shared" si="371"/>
        <v>20</v>
      </c>
      <c r="CD664" s="737">
        <f t="shared" si="357"/>
        <v>220</v>
      </c>
      <c r="CE664" s="737">
        <f t="shared" si="363"/>
        <v>0</v>
      </c>
      <c r="XEN664" s="771"/>
      <c r="XEO664" s="771"/>
      <c r="XEP664" s="771"/>
      <c r="XEQ664" s="771"/>
      <c r="XER664" s="771"/>
      <c r="XES664" s="771"/>
      <c r="XET664" s="771"/>
      <c r="XEU664" s="771"/>
      <c r="XEV664" s="771"/>
      <c r="XEW664" s="771"/>
      <c r="XEX664" s="771"/>
      <c r="XEY664" s="771"/>
      <c r="XEZ664" s="771"/>
      <c r="XFA664" s="771"/>
      <c r="XFB664" s="771"/>
      <c r="XFC664" s="771"/>
      <c r="XFD664" s="771"/>
    </row>
    <row r="665" s="558" customFormat="1" ht="40" customHeight="1" spans="1:83 16368:16384">
      <c r="A665" s="717">
        <v>46093</v>
      </c>
      <c r="B665" s="718" t="s">
        <v>1857</v>
      </c>
      <c r="C665" s="719" t="s">
        <v>144</v>
      </c>
      <c r="D665" s="720">
        <v>4500196469</v>
      </c>
      <c r="E665" s="721">
        <v>4400549003</v>
      </c>
      <c r="F665" s="720" t="s">
        <v>2917</v>
      </c>
      <c r="G665" s="722" t="s">
        <v>111</v>
      </c>
      <c r="H665" s="722" t="s">
        <v>99</v>
      </c>
      <c r="I665" s="752">
        <v>2200</v>
      </c>
      <c r="J665" s="723">
        <v>0</v>
      </c>
      <c r="K665" s="724">
        <v>22</v>
      </c>
      <c r="L665" s="724">
        <f t="shared" si="332"/>
        <v>100</v>
      </c>
      <c r="M665" s="725">
        <v>46132</v>
      </c>
      <c r="N665" s="725">
        <v>46128</v>
      </c>
      <c r="O665" s="725"/>
      <c r="P665" s="726" t="s">
        <v>100</v>
      </c>
      <c r="Q665" s="727"/>
      <c r="R665" s="726" t="s">
        <v>969</v>
      </c>
      <c r="S665" s="725"/>
      <c r="T665" s="725"/>
      <c r="U665" s="726" t="s">
        <v>2918</v>
      </c>
      <c r="V665" s="726"/>
      <c r="W665" s="728"/>
      <c r="X665" s="729" t="s">
        <v>2919</v>
      </c>
      <c r="Y665" s="730" t="s">
        <v>1864</v>
      </c>
      <c r="Z665" s="731">
        <v>2.771</v>
      </c>
      <c r="AA665" s="732">
        <f t="shared" si="333"/>
        <v>6096.2</v>
      </c>
      <c r="AB665" s="712">
        <v>2200</v>
      </c>
      <c r="AC665" s="712">
        <f t="shared" si="362"/>
        <v>0</v>
      </c>
      <c r="AD665" s="732" t="s">
        <v>106</v>
      </c>
      <c r="AE665" s="733" t="s">
        <v>230</v>
      </c>
      <c r="AF665" s="730" t="s">
        <v>107</v>
      </c>
      <c r="AG665" s="734" t="s">
        <v>43</v>
      </c>
      <c r="AH665" s="730"/>
      <c r="AI665" s="705"/>
      <c r="AJ665" s="705"/>
      <c r="AK665" s="705"/>
      <c r="AL665" s="733"/>
      <c r="AM665" s="712"/>
      <c r="AN665" s="705"/>
      <c r="AO665" s="773"/>
      <c r="AP665" s="734">
        <f t="shared" si="364"/>
        <v>2200</v>
      </c>
      <c r="AQ665" s="734"/>
      <c r="AR665" s="773"/>
      <c r="AS665" s="773"/>
      <c r="AT665" s="734"/>
      <c r="AU665" s="734">
        <f t="shared" si="372"/>
        <v>2200</v>
      </c>
      <c r="AV665" s="734"/>
      <c r="AW665" s="773"/>
      <c r="AX665" s="734"/>
      <c r="AY665" s="713"/>
      <c r="AZ665" s="706"/>
      <c r="BA665" s="713"/>
      <c r="BB665" s="734">
        <f t="shared" si="365"/>
        <v>200</v>
      </c>
      <c r="BC665" s="706"/>
      <c r="BD665" s="706"/>
      <c r="BE665" s="713"/>
      <c r="BF665" s="706"/>
      <c r="BG665" s="728"/>
      <c r="BH665" s="736"/>
      <c r="BI665" s="774"/>
      <c r="BJ665" s="774"/>
      <c r="BK665" s="736"/>
      <c r="BL665" s="737"/>
      <c r="BM665" s="736"/>
      <c r="BN665" s="737"/>
      <c r="BO665" s="737"/>
      <c r="BP665" s="775"/>
      <c r="BQ665" s="713"/>
      <c r="BR665" s="706"/>
      <c r="BS665" s="713"/>
      <c r="BT665" s="713"/>
      <c r="BU665" s="713"/>
      <c r="BV665" s="713"/>
      <c r="BW665" s="728" t="s">
        <v>109</v>
      </c>
      <c r="BX665" s="736">
        <f t="shared" si="366"/>
        <v>500</v>
      </c>
      <c r="BY665" s="736">
        <f t="shared" si="367"/>
        <v>600</v>
      </c>
      <c r="BZ665" s="736">
        <f t="shared" si="368"/>
        <v>600</v>
      </c>
      <c r="CA665" s="736">
        <f t="shared" si="369"/>
        <v>500</v>
      </c>
      <c r="CB665" s="737">
        <f t="shared" si="370"/>
        <v>2200</v>
      </c>
      <c r="CC665" s="736">
        <f t="shared" si="371"/>
        <v>200</v>
      </c>
      <c r="CD665" s="737">
        <f t="shared" si="357"/>
        <v>2200</v>
      </c>
      <c r="CE665" s="737">
        <f t="shared" si="363"/>
        <v>0</v>
      </c>
      <c r="XEN665" s="771"/>
      <c r="XEO665" s="771"/>
      <c r="XEP665" s="771"/>
      <c r="XEQ665" s="771"/>
      <c r="XER665" s="771"/>
      <c r="XES665" s="771"/>
      <c r="XET665" s="771"/>
      <c r="XEU665" s="771"/>
      <c r="XEV665" s="771"/>
      <c r="XEW665" s="771"/>
      <c r="XEX665" s="771"/>
      <c r="XEY665" s="771"/>
      <c r="XEZ665" s="771"/>
      <c r="XFA665" s="771"/>
      <c r="XFB665" s="771"/>
      <c r="XFC665" s="771"/>
      <c r="XFD665" s="771"/>
    </row>
    <row r="666" s="558" customFormat="1" ht="40" customHeight="1" spans="1:83 16368:16384">
      <c r="A666" s="717">
        <v>46093</v>
      </c>
      <c r="B666" s="718" t="s">
        <v>1857</v>
      </c>
      <c r="C666" s="719" t="s">
        <v>144</v>
      </c>
      <c r="D666" s="720">
        <v>4500196469</v>
      </c>
      <c r="E666" s="721">
        <v>4400549004</v>
      </c>
      <c r="F666" s="720" t="s">
        <v>2920</v>
      </c>
      <c r="G666" s="722" t="s">
        <v>111</v>
      </c>
      <c r="H666" s="722" t="s">
        <v>99</v>
      </c>
      <c r="I666" s="752">
        <v>1804</v>
      </c>
      <c r="J666" s="723">
        <v>0</v>
      </c>
      <c r="K666" s="724">
        <v>22</v>
      </c>
      <c r="L666" s="724">
        <f t="shared" si="332"/>
        <v>82</v>
      </c>
      <c r="M666" s="725">
        <v>46132</v>
      </c>
      <c r="N666" s="725">
        <v>46128</v>
      </c>
      <c r="O666" s="725"/>
      <c r="P666" s="726" t="s">
        <v>100</v>
      </c>
      <c r="Q666" s="727" t="s">
        <v>2921</v>
      </c>
      <c r="R666" s="726" t="s">
        <v>969</v>
      </c>
      <c r="S666" s="725"/>
      <c r="T666" s="725"/>
      <c r="U666" s="726" t="s">
        <v>2918</v>
      </c>
      <c r="V666" s="726"/>
      <c r="W666" s="728"/>
      <c r="X666" s="729" t="s">
        <v>2919</v>
      </c>
      <c r="Y666" s="730" t="s">
        <v>1864</v>
      </c>
      <c r="Z666" s="731">
        <v>2.7804</v>
      </c>
      <c r="AA666" s="732">
        <f t="shared" si="333"/>
        <v>5015.8416</v>
      </c>
      <c r="AB666" s="712">
        <v>1804</v>
      </c>
      <c r="AC666" s="712">
        <f t="shared" si="362"/>
        <v>0</v>
      </c>
      <c r="AD666" s="732" t="s">
        <v>106</v>
      </c>
      <c r="AE666" s="733" t="s">
        <v>230</v>
      </c>
      <c r="AF666" s="730" t="s">
        <v>107</v>
      </c>
      <c r="AG666" s="734" t="s">
        <v>43</v>
      </c>
      <c r="AH666" s="730"/>
      <c r="AI666" s="705"/>
      <c r="AJ666" s="705"/>
      <c r="AK666" s="705"/>
      <c r="AL666" s="733"/>
      <c r="AM666" s="712"/>
      <c r="AN666" s="705"/>
      <c r="AO666" s="773"/>
      <c r="AP666" s="734">
        <f t="shared" si="364"/>
        <v>1804</v>
      </c>
      <c r="AQ666" s="734"/>
      <c r="AR666" s="773"/>
      <c r="AS666" s="773"/>
      <c r="AT666" s="734"/>
      <c r="AU666" s="734">
        <f t="shared" si="372"/>
        <v>1804</v>
      </c>
      <c r="AV666" s="734"/>
      <c r="AW666" s="773"/>
      <c r="AX666" s="734"/>
      <c r="AY666" s="713"/>
      <c r="AZ666" s="706"/>
      <c r="BA666" s="713"/>
      <c r="BB666" s="734">
        <f t="shared" si="365"/>
        <v>164</v>
      </c>
      <c r="BC666" s="706"/>
      <c r="BD666" s="706"/>
      <c r="BE666" s="713"/>
      <c r="BF666" s="706"/>
      <c r="BG666" s="728"/>
      <c r="BH666" s="736"/>
      <c r="BI666" s="774"/>
      <c r="BJ666" s="774"/>
      <c r="BK666" s="736"/>
      <c r="BL666" s="737"/>
      <c r="BM666" s="736"/>
      <c r="BN666" s="737"/>
      <c r="BO666" s="737"/>
      <c r="BP666" s="775"/>
      <c r="BQ666" s="713"/>
      <c r="BR666" s="706"/>
      <c r="BS666" s="713"/>
      <c r="BT666" s="713"/>
      <c r="BU666" s="713"/>
      <c r="BV666" s="713"/>
      <c r="BW666" s="728" t="s">
        <v>109</v>
      </c>
      <c r="BX666" s="736">
        <f t="shared" si="366"/>
        <v>410</v>
      </c>
      <c r="BY666" s="736">
        <f t="shared" si="367"/>
        <v>492</v>
      </c>
      <c r="BZ666" s="736">
        <f t="shared" si="368"/>
        <v>492</v>
      </c>
      <c r="CA666" s="736">
        <f t="shared" si="369"/>
        <v>410</v>
      </c>
      <c r="CB666" s="737">
        <f t="shared" si="370"/>
        <v>1804</v>
      </c>
      <c r="CC666" s="736">
        <f t="shared" si="371"/>
        <v>164</v>
      </c>
      <c r="CD666" s="737">
        <f t="shared" si="357"/>
        <v>1804</v>
      </c>
      <c r="CE666" s="737">
        <f t="shared" si="363"/>
        <v>0</v>
      </c>
      <c r="XEN666" s="771"/>
      <c r="XEO666" s="771"/>
      <c r="XEP666" s="771"/>
      <c r="XEQ666" s="771"/>
      <c r="XER666" s="771"/>
      <c r="XES666" s="771"/>
      <c r="XET666" s="771"/>
      <c r="XEU666" s="771"/>
      <c r="XEV666" s="771"/>
      <c r="XEW666" s="771"/>
      <c r="XEX666" s="771"/>
      <c r="XEY666" s="771"/>
      <c r="XEZ666" s="771"/>
      <c r="XFA666" s="771"/>
      <c r="XFB666" s="771"/>
      <c r="XFC666" s="771"/>
      <c r="XFD666" s="771"/>
    </row>
    <row r="667" s="558" customFormat="1" ht="40" customHeight="1" spans="1:83 16368:16384">
      <c r="A667" s="717">
        <v>46080</v>
      </c>
      <c r="B667" s="718" t="s">
        <v>1707</v>
      </c>
      <c r="C667" s="719" t="s">
        <v>214</v>
      </c>
      <c r="D667" s="776">
        <v>4500194506</v>
      </c>
      <c r="E667" s="721" t="s">
        <v>2922</v>
      </c>
      <c r="F667" s="720" t="s">
        <v>2923</v>
      </c>
      <c r="G667" s="722" t="s">
        <v>132</v>
      </c>
      <c r="H667" s="722" t="s">
        <v>99</v>
      </c>
      <c r="I667" s="752">
        <v>336</v>
      </c>
      <c r="J667" s="723">
        <v>0</v>
      </c>
      <c r="K667" s="724">
        <v>24</v>
      </c>
      <c r="L667" s="724">
        <f t="shared" si="332"/>
        <v>14</v>
      </c>
      <c r="M667" s="725">
        <v>46135</v>
      </c>
      <c r="N667" s="725">
        <v>46132</v>
      </c>
      <c r="O667" s="725"/>
      <c r="P667" s="726" t="s">
        <v>100</v>
      </c>
      <c r="Q667" s="727" t="s">
        <v>822</v>
      </c>
      <c r="R667" s="726" t="s">
        <v>2924</v>
      </c>
      <c r="S667" s="725"/>
      <c r="T667" s="725"/>
      <c r="U667" s="726" t="s">
        <v>2925</v>
      </c>
      <c r="V667" s="726" t="s">
        <v>2926</v>
      </c>
      <c r="W667" s="728"/>
      <c r="X667" s="729" t="s">
        <v>2927</v>
      </c>
      <c r="Y667" s="730" t="s">
        <v>809</v>
      </c>
      <c r="Z667" s="731">
        <v>1.5069</v>
      </c>
      <c r="AA667" s="732">
        <f t="shared" si="333"/>
        <v>506.3184</v>
      </c>
      <c r="AB667" s="712">
        <v>336</v>
      </c>
      <c r="AC667" s="712">
        <f t="shared" si="362"/>
        <v>0</v>
      </c>
      <c r="AD667" s="732" t="s">
        <v>106</v>
      </c>
      <c r="AE667" s="733" t="s">
        <v>138</v>
      </c>
      <c r="AF667" s="730" t="s">
        <v>107</v>
      </c>
      <c r="AG667" s="734" t="s">
        <v>43</v>
      </c>
      <c r="AH667" s="730"/>
      <c r="AI667" s="705"/>
      <c r="AJ667" s="705"/>
      <c r="AK667" s="705"/>
      <c r="AL667" s="733"/>
      <c r="AM667" s="712">
        <f t="shared" ref="AM667:AM676" si="373">I667</f>
        <v>336</v>
      </c>
      <c r="AN667" s="705"/>
      <c r="AO667" s="773"/>
      <c r="AP667" s="734"/>
      <c r="AQ667" s="734"/>
      <c r="AR667" s="773"/>
      <c r="AS667" s="773"/>
      <c r="AT667" s="734"/>
      <c r="AU667" s="734">
        <f t="shared" si="372"/>
        <v>336</v>
      </c>
      <c r="AV667" s="734"/>
      <c r="AW667" s="773"/>
      <c r="AX667" s="734"/>
      <c r="AY667" s="713"/>
      <c r="AZ667" s="706"/>
      <c r="BA667" s="713"/>
      <c r="BB667" s="713"/>
      <c r="BC667" s="706"/>
      <c r="BD667" s="706"/>
      <c r="BE667" s="713"/>
      <c r="BF667" s="706"/>
      <c r="BG667" s="728"/>
      <c r="BH667" s="736"/>
      <c r="BI667" s="774"/>
      <c r="BJ667" s="774"/>
      <c r="BK667" s="736"/>
      <c r="BL667" s="737"/>
      <c r="BM667" s="736"/>
      <c r="BN667" s="737"/>
      <c r="BO667" s="737"/>
      <c r="BP667" s="775"/>
      <c r="BQ667" s="713"/>
      <c r="BR667" s="706"/>
      <c r="BS667" s="713"/>
      <c r="BT667" s="713"/>
      <c r="BU667" s="713"/>
      <c r="BV667" s="713"/>
      <c r="BW667" s="728" t="s">
        <v>109</v>
      </c>
      <c r="BX667" s="736">
        <f>I667</f>
        <v>336</v>
      </c>
      <c r="BY667" s="736"/>
      <c r="BZ667" s="736"/>
      <c r="CA667" s="736"/>
      <c r="CB667" s="737">
        <f t="shared" si="370"/>
        <v>336</v>
      </c>
      <c r="CC667" s="736"/>
      <c r="CD667" s="737">
        <f t="shared" ref="CD667:CD730" si="374">SUM(BX667:CA667)</f>
        <v>336</v>
      </c>
      <c r="CE667" s="737">
        <f t="shared" ref="CE667:CE687" si="375">I667-CD667</f>
        <v>0</v>
      </c>
      <c r="XEN667" s="771"/>
      <c r="XEO667" s="771"/>
      <c r="XEP667" s="771"/>
      <c r="XEQ667" s="771"/>
      <c r="XER667" s="771"/>
      <c r="XES667" s="771"/>
      <c r="XET667" s="771"/>
      <c r="XEU667" s="771"/>
      <c r="XEV667" s="771"/>
      <c r="XEW667" s="771"/>
      <c r="XEX667" s="771"/>
      <c r="XEY667" s="771"/>
      <c r="XEZ667" s="771"/>
      <c r="XFA667" s="771"/>
      <c r="XFB667" s="771"/>
      <c r="XFC667" s="771"/>
      <c r="XFD667" s="771"/>
    </row>
    <row r="668" s="558" customFormat="1" ht="40" customHeight="1" spans="1:83 16368:16384">
      <c r="A668" s="717">
        <v>46080</v>
      </c>
      <c r="B668" s="718" t="s">
        <v>1707</v>
      </c>
      <c r="C668" s="719" t="s">
        <v>214</v>
      </c>
      <c r="D668" s="776">
        <v>4500194506</v>
      </c>
      <c r="E668" s="721" t="s">
        <v>2928</v>
      </c>
      <c r="F668" s="720" t="s">
        <v>2929</v>
      </c>
      <c r="G668" s="722" t="s">
        <v>189</v>
      </c>
      <c r="H668" s="722" t="s">
        <v>99</v>
      </c>
      <c r="I668" s="752">
        <v>696</v>
      </c>
      <c r="J668" s="723">
        <v>0</v>
      </c>
      <c r="K668" s="724">
        <v>24</v>
      </c>
      <c r="L668" s="724">
        <f t="shared" si="332"/>
        <v>29</v>
      </c>
      <c r="M668" s="725">
        <v>46135</v>
      </c>
      <c r="N668" s="725">
        <v>46132</v>
      </c>
      <c r="O668" s="725"/>
      <c r="P668" s="726" t="s">
        <v>100</v>
      </c>
      <c r="Q668" s="727" t="s">
        <v>822</v>
      </c>
      <c r="R668" s="726" t="s">
        <v>2924</v>
      </c>
      <c r="S668" s="725"/>
      <c r="T668" s="725"/>
      <c r="U668" s="726" t="s">
        <v>2925</v>
      </c>
      <c r="V668" s="726" t="s">
        <v>2926</v>
      </c>
      <c r="W668" s="728"/>
      <c r="X668" s="729" t="s">
        <v>2927</v>
      </c>
      <c r="Y668" s="730" t="s">
        <v>809</v>
      </c>
      <c r="Z668" s="731">
        <v>1.5069</v>
      </c>
      <c r="AA668" s="732">
        <f t="shared" si="333"/>
        <v>1048.8024</v>
      </c>
      <c r="AB668" s="712">
        <v>696</v>
      </c>
      <c r="AC668" s="712">
        <f t="shared" si="362"/>
        <v>0</v>
      </c>
      <c r="AD668" s="732" t="s">
        <v>106</v>
      </c>
      <c r="AE668" s="722" t="s">
        <v>456</v>
      </c>
      <c r="AF668" s="730" t="s">
        <v>107</v>
      </c>
      <c r="AG668" s="734" t="s">
        <v>43</v>
      </c>
      <c r="AH668" s="730"/>
      <c r="AI668" s="705"/>
      <c r="AJ668" s="705"/>
      <c r="AK668" s="705"/>
      <c r="AL668" s="733"/>
      <c r="AM668" s="712">
        <f t="shared" si="373"/>
        <v>696</v>
      </c>
      <c r="AN668" s="705"/>
      <c r="AO668" s="773"/>
      <c r="AP668" s="734"/>
      <c r="AQ668" s="734"/>
      <c r="AR668" s="773"/>
      <c r="AS668" s="773"/>
      <c r="AT668" s="734"/>
      <c r="AU668" s="734">
        <f t="shared" si="372"/>
        <v>696</v>
      </c>
      <c r="AV668" s="734"/>
      <c r="AW668" s="773"/>
      <c r="AX668" s="734"/>
      <c r="AY668" s="713"/>
      <c r="AZ668" s="706"/>
      <c r="BA668" s="713"/>
      <c r="BB668" s="713"/>
      <c r="BC668" s="706"/>
      <c r="BD668" s="706"/>
      <c r="BE668" s="713"/>
      <c r="BF668" s="706"/>
      <c r="BG668" s="728"/>
      <c r="BH668" s="736"/>
      <c r="BI668" s="774"/>
      <c r="BJ668" s="774"/>
      <c r="BK668" s="736"/>
      <c r="BL668" s="737"/>
      <c r="BM668" s="736"/>
      <c r="BN668" s="737"/>
      <c r="BO668" s="737"/>
      <c r="BP668" s="775"/>
      <c r="BQ668" s="713"/>
      <c r="BR668" s="706"/>
      <c r="BS668" s="713"/>
      <c r="BT668" s="713"/>
      <c r="BU668" s="713"/>
      <c r="BV668" s="713"/>
      <c r="BW668" s="728" t="s">
        <v>109</v>
      </c>
      <c r="BX668" s="736"/>
      <c r="BY668" s="736"/>
      <c r="BZ668" s="736"/>
      <c r="CA668" s="736">
        <f>I668</f>
        <v>696</v>
      </c>
      <c r="CB668" s="737">
        <f t="shared" ref="CB668:CB677" si="376">I668</f>
        <v>696</v>
      </c>
      <c r="CC668" s="736"/>
      <c r="CD668" s="737">
        <f t="shared" si="374"/>
        <v>696</v>
      </c>
      <c r="CE668" s="737">
        <f t="shared" si="375"/>
        <v>0</v>
      </c>
      <c r="XEN668" s="771"/>
      <c r="XEO668" s="771"/>
      <c r="XEP668" s="771"/>
      <c r="XEQ668" s="771"/>
      <c r="XER668" s="771"/>
      <c r="XES668" s="771"/>
      <c r="XET668" s="771"/>
      <c r="XEU668" s="771"/>
      <c r="XEV668" s="771"/>
      <c r="XEW668" s="771"/>
      <c r="XEX668" s="771"/>
      <c r="XEY668" s="771"/>
      <c r="XEZ668" s="771"/>
      <c r="XFA668" s="771"/>
      <c r="XFB668" s="771"/>
      <c r="XFC668" s="771"/>
      <c r="XFD668" s="771"/>
    </row>
    <row r="669" s="558" customFormat="1" ht="40" customHeight="1" spans="1:83 16368:16384">
      <c r="A669" s="717">
        <v>46080</v>
      </c>
      <c r="B669" s="718" t="s">
        <v>1707</v>
      </c>
      <c r="C669" s="719" t="s">
        <v>214</v>
      </c>
      <c r="D669" s="776">
        <v>4500194497</v>
      </c>
      <c r="E669" s="721" t="s">
        <v>2930</v>
      </c>
      <c r="F669" s="720" t="s">
        <v>2931</v>
      </c>
      <c r="G669" s="722" t="s">
        <v>189</v>
      </c>
      <c r="H669" s="722" t="s">
        <v>99</v>
      </c>
      <c r="I669" s="752">
        <v>336</v>
      </c>
      <c r="J669" s="723">
        <v>0</v>
      </c>
      <c r="K669" s="724">
        <v>24</v>
      </c>
      <c r="L669" s="724">
        <f t="shared" si="332"/>
        <v>14</v>
      </c>
      <c r="M669" s="725">
        <v>46135</v>
      </c>
      <c r="N669" s="725">
        <v>46132</v>
      </c>
      <c r="O669" s="725"/>
      <c r="P669" s="726" t="s">
        <v>100</v>
      </c>
      <c r="Q669" s="727" t="s">
        <v>2921</v>
      </c>
      <c r="R669" s="726" t="s">
        <v>2924</v>
      </c>
      <c r="S669" s="725"/>
      <c r="T669" s="725"/>
      <c r="U669" s="726" t="s">
        <v>2925</v>
      </c>
      <c r="V669" s="726" t="s">
        <v>2926</v>
      </c>
      <c r="W669" s="728"/>
      <c r="X669" s="729" t="s">
        <v>2927</v>
      </c>
      <c r="Y669" s="730" t="s">
        <v>809</v>
      </c>
      <c r="Z669" s="731">
        <v>1.5069</v>
      </c>
      <c r="AA669" s="732">
        <f t="shared" si="333"/>
        <v>506.3184</v>
      </c>
      <c r="AB669" s="712">
        <v>336</v>
      </c>
      <c r="AC669" s="712">
        <f t="shared" si="362"/>
        <v>0</v>
      </c>
      <c r="AD669" s="732" t="s">
        <v>106</v>
      </c>
      <c r="AE669" s="722" t="s">
        <v>456</v>
      </c>
      <c r="AF669" s="730" t="s">
        <v>107</v>
      </c>
      <c r="AG669" s="734" t="s">
        <v>43</v>
      </c>
      <c r="AH669" s="730"/>
      <c r="AI669" s="705"/>
      <c r="AJ669" s="705"/>
      <c r="AK669" s="705"/>
      <c r="AL669" s="733"/>
      <c r="AM669" s="712">
        <f t="shared" si="373"/>
        <v>336</v>
      </c>
      <c r="AN669" s="705"/>
      <c r="AO669" s="773"/>
      <c r="AP669" s="734"/>
      <c r="AQ669" s="734"/>
      <c r="AR669" s="773"/>
      <c r="AS669" s="773"/>
      <c r="AT669" s="734"/>
      <c r="AU669" s="734">
        <f t="shared" si="372"/>
        <v>336</v>
      </c>
      <c r="AV669" s="734"/>
      <c r="AW669" s="773"/>
      <c r="AX669" s="734"/>
      <c r="AY669" s="713"/>
      <c r="AZ669" s="706"/>
      <c r="BA669" s="713"/>
      <c r="BB669" s="713"/>
      <c r="BC669" s="706"/>
      <c r="BD669" s="706"/>
      <c r="BE669" s="713"/>
      <c r="BF669" s="706"/>
      <c r="BG669" s="728"/>
      <c r="BH669" s="736"/>
      <c r="BI669" s="774"/>
      <c r="BJ669" s="774"/>
      <c r="BK669" s="736"/>
      <c r="BL669" s="737"/>
      <c r="BM669" s="736"/>
      <c r="BN669" s="737"/>
      <c r="BO669" s="737"/>
      <c r="BP669" s="775"/>
      <c r="BQ669" s="713"/>
      <c r="BR669" s="706"/>
      <c r="BS669" s="713"/>
      <c r="BT669" s="713"/>
      <c r="BU669" s="713"/>
      <c r="BV669" s="713"/>
      <c r="BW669" s="728" t="s">
        <v>109</v>
      </c>
      <c r="BX669" s="736"/>
      <c r="BY669" s="736"/>
      <c r="BZ669" s="736"/>
      <c r="CA669" s="736">
        <f>I669</f>
        <v>336</v>
      </c>
      <c r="CB669" s="737">
        <f t="shared" si="376"/>
        <v>336</v>
      </c>
      <c r="CC669" s="736"/>
      <c r="CD669" s="737">
        <f t="shared" si="374"/>
        <v>336</v>
      </c>
      <c r="CE669" s="737">
        <f t="shared" si="375"/>
        <v>0</v>
      </c>
      <c r="XEN669" s="771"/>
      <c r="XEO669" s="771"/>
      <c r="XEP669" s="771"/>
      <c r="XEQ669" s="771"/>
      <c r="XER669" s="771"/>
      <c r="XES669" s="771"/>
      <c r="XET669" s="771"/>
      <c r="XEU669" s="771"/>
      <c r="XEV669" s="771"/>
      <c r="XEW669" s="771"/>
      <c r="XEX669" s="771"/>
      <c r="XEY669" s="771"/>
      <c r="XEZ669" s="771"/>
      <c r="XFA669" s="771"/>
      <c r="XFB669" s="771"/>
      <c r="XFC669" s="771"/>
      <c r="XFD669" s="771"/>
    </row>
    <row r="670" s="558" customFormat="1" ht="40" customHeight="1" spans="1:83 16368:16384">
      <c r="A670" s="717">
        <v>46080</v>
      </c>
      <c r="B670" s="718" t="s">
        <v>1707</v>
      </c>
      <c r="C670" s="719" t="s">
        <v>214</v>
      </c>
      <c r="D670" s="776">
        <v>4500194497</v>
      </c>
      <c r="E670" s="721" t="s">
        <v>2932</v>
      </c>
      <c r="F670" s="720" t="s">
        <v>2933</v>
      </c>
      <c r="G670" s="722" t="s">
        <v>132</v>
      </c>
      <c r="H670" s="722" t="s">
        <v>99</v>
      </c>
      <c r="I670" s="752">
        <v>792</v>
      </c>
      <c r="J670" s="723">
        <v>0</v>
      </c>
      <c r="K670" s="724">
        <v>24</v>
      </c>
      <c r="L670" s="724">
        <f t="shared" si="332"/>
        <v>33</v>
      </c>
      <c r="M670" s="725">
        <v>46135</v>
      </c>
      <c r="N670" s="725">
        <v>46132</v>
      </c>
      <c r="O670" s="725"/>
      <c r="P670" s="726" t="s">
        <v>100</v>
      </c>
      <c r="Q670" s="727" t="s">
        <v>2921</v>
      </c>
      <c r="R670" s="726" t="s">
        <v>2924</v>
      </c>
      <c r="S670" s="725"/>
      <c r="T670" s="725"/>
      <c r="U670" s="726" t="s">
        <v>2925</v>
      </c>
      <c r="V670" s="726" t="s">
        <v>2926</v>
      </c>
      <c r="W670" s="728"/>
      <c r="X670" s="729" t="s">
        <v>2927</v>
      </c>
      <c r="Y670" s="730" t="s">
        <v>809</v>
      </c>
      <c r="Z670" s="731">
        <v>1.5069</v>
      </c>
      <c r="AA670" s="732">
        <f t="shared" si="333"/>
        <v>1193.4648</v>
      </c>
      <c r="AB670" s="712">
        <v>792</v>
      </c>
      <c r="AC670" s="712">
        <f t="shared" si="362"/>
        <v>0</v>
      </c>
      <c r="AD670" s="732" t="s">
        <v>106</v>
      </c>
      <c r="AE670" s="733" t="s">
        <v>138</v>
      </c>
      <c r="AF670" s="730" t="s">
        <v>107</v>
      </c>
      <c r="AG670" s="734" t="s">
        <v>43</v>
      </c>
      <c r="AH670" s="730"/>
      <c r="AI670" s="705"/>
      <c r="AJ670" s="705"/>
      <c r="AK670" s="705"/>
      <c r="AL670" s="733"/>
      <c r="AM670" s="712">
        <f t="shared" si="373"/>
        <v>792</v>
      </c>
      <c r="AN670" s="705"/>
      <c r="AO670" s="773"/>
      <c r="AP670" s="734"/>
      <c r="AQ670" s="734"/>
      <c r="AR670" s="773"/>
      <c r="AS670" s="773"/>
      <c r="AT670" s="734"/>
      <c r="AU670" s="734">
        <f t="shared" si="372"/>
        <v>792</v>
      </c>
      <c r="AV670" s="734"/>
      <c r="AW670" s="773"/>
      <c r="AX670" s="734"/>
      <c r="AY670" s="713"/>
      <c r="AZ670" s="706"/>
      <c r="BA670" s="713"/>
      <c r="BB670" s="713"/>
      <c r="BC670" s="706"/>
      <c r="BD670" s="706"/>
      <c r="BE670" s="713"/>
      <c r="BF670" s="706"/>
      <c r="BG670" s="728"/>
      <c r="BH670" s="736"/>
      <c r="BI670" s="774"/>
      <c r="BJ670" s="774"/>
      <c r="BK670" s="736"/>
      <c r="BL670" s="737"/>
      <c r="BM670" s="736"/>
      <c r="BN670" s="737"/>
      <c r="BO670" s="737"/>
      <c r="BP670" s="775"/>
      <c r="BQ670" s="713"/>
      <c r="BR670" s="706"/>
      <c r="BS670" s="713"/>
      <c r="BT670" s="713"/>
      <c r="BU670" s="713"/>
      <c r="BV670" s="713"/>
      <c r="BW670" s="728" t="s">
        <v>109</v>
      </c>
      <c r="BX670" s="736">
        <f>I670</f>
        <v>792</v>
      </c>
      <c r="BY670" s="736"/>
      <c r="BZ670" s="736"/>
      <c r="CA670" s="736"/>
      <c r="CB670" s="737">
        <f t="shared" si="376"/>
        <v>792</v>
      </c>
      <c r="CC670" s="736"/>
      <c r="CD670" s="737">
        <f t="shared" si="374"/>
        <v>792</v>
      </c>
      <c r="CE670" s="737">
        <f t="shared" si="375"/>
        <v>0</v>
      </c>
      <c r="XEN670" s="771"/>
      <c r="XEO670" s="771"/>
      <c r="XEP670" s="771"/>
      <c r="XEQ670" s="771"/>
      <c r="XER670" s="771"/>
      <c r="XES670" s="771"/>
      <c r="XET670" s="771"/>
      <c r="XEU670" s="771"/>
      <c r="XEV670" s="771"/>
      <c r="XEW670" s="771"/>
      <c r="XEX670" s="771"/>
      <c r="XEY670" s="771"/>
      <c r="XEZ670" s="771"/>
      <c r="XFA670" s="771"/>
      <c r="XFB670" s="771"/>
      <c r="XFC670" s="771"/>
      <c r="XFD670" s="771"/>
    </row>
    <row r="671" s="558" customFormat="1" ht="40" customHeight="1" spans="1:83 16368:16384">
      <c r="A671" s="717">
        <v>46080</v>
      </c>
      <c r="B671" s="718" t="s">
        <v>1707</v>
      </c>
      <c r="C671" s="719" t="s">
        <v>214</v>
      </c>
      <c r="D671" s="776">
        <v>4500194501</v>
      </c>
      <c r="E671" s="721" t="s">
        <v>2934</v>
      </c>
      <c r="F671" s="720" t="s">
        <v>2935</v>
      </c>
      <c r="G671" s="722" t="s">
        <v>132</v>
      </c>
      <c r="H671" s="722" t="s">
        <v>99</v>
      </c>
      <c r="I671" s="752">
        <v>648</v>
      </c>
      <c r="J671" s="723">
        <v>0</v>
      </c>
      <c r="K671" s="724">
        <v>24</v>
      </c>
      <c r="L671" s="724">
        <f t="shared" si="332"/>
        <v>27</v>
      </c>
      <c r="M671" s="725">
        <v>46135</v>
      </c>
      <c r="N671" s="725">
        <v>46132</v>
      </c>
      <c r="O671" s="725"/>
      <c r="P671" s="726" t="s">
        <v>100</v>
      </c>
      <c r="Q671" s="727" t="s">
        <v>2921</v>
      </c>
      <c r="R671" s="726" t="s">
        <v>2924</v>
      </c>
      <c r="S671" s="725"/>
      <c r="T671" s="725"/>
      <c r="U671" s="726" t="s">
        <v>2925</v>
      </c>
      <c r="V671" s="726" t="s">
        <v>2926</v>
      </c>
      <c r="W671" s="728"/>
      <c r="X671" s="729" t="s">
        <v>2936</v>
      </c>
      <c r="Y671" s="730" t="s">
        <v>809</v>
      </c>
      <c r="Z671" s="731">
        <v>1.5069</v>
      </c>
      <c r="AA671" s="732">
        <f t="shared" si="333"/>
        <v>976.4712</v>
      </c>
      <c r="AB671" s="712">
        <v>648</v>
      </c>
      <c r="AC671" s="712">
        <f t="shared" si="362"/>
        <v>0</v>
      </c>
      <c r="AD671" s="732" t="s">
        <v>106</v>
      </c>
      <c r="AE671" s="733" t="s">
        <v>138</v>
      </c>
      <c r="AF671" s="730" t="s">
        <v>107</v>
      </c>
      <c r="AG671" s="734" t="s">
        <v>43</v>
      </c>
      <c r="AH671" s="730"/>
      <c r="AI671" s="705"/>
      <c r="AJ671" s="705"/>
      <c r="AK671" s="705"/>
      <c r="AL671" s="733"/>
      <c r="AM671" s="712">
        <f t="shared" si="373"/>
        <v>648</v>
      </c>
      <c r="AN671" s="705"/>
      <c r="AO671" s="773"/>
      <c r="AP671" s="734"/>
      <c r="AQ671" s="734"/>
      <c r="AR671" s="773"/>
      <c r="AS671" s="773"/>
      <c r="AT671" s="734"/>
      <c r="AU671" s="734">
        <f t="shared" si="372"/>
        <v>648</v>
      </c>
      <c r="AV671" s="734"/>
      <c r="AW671" s="773"/>
      <c r="AX671" s="734"/>
      <c r="AY671" s="713"/>
      <c r="AZ671" s="706"/>
      <c r="BA671" s="713"/>
      <c r="BB671" s="713"/>
      <c r="BC671" s="706"/>
      <c r="BD671" s="706"/>
      <c r="BE671" s="713"/>
      <c r="BF671" s="706"/>
      <c r="BG671" s="728"/>
      <c r="BH671" s="736"/>
      <c r="BI671" s="774"/>
      <c r="BJ671" s="774"/>
      <c r="BK671" s="736"/>
      <c r="BL671" s="737"/>
      <c r="BM671" s="736"/>
      <c r="BN671" s="737"/>
      <c r="BO671" s="737"/>
      <c r="BP671" s="775"/>
      <c r="BQ671" s="713"/>
      <c r="BR671" s="706"/>
      <c r="BS671" s="713"/>
      <c r="BT671" s="713"/>
      <c r="BU671" s="713"/>
      <c r="BV671" s="713"/>
      <c r="BW671" s="728" t="s">
        <v>109</v>
      </c>
      <c r="BX671" s="736">
        <f>I671</f>
        <v>648</v>
      </c>
      <c r="BY671" s="736"/>
      <c r="BZ671" s="736"/>
      <c r="CA671" s="736"/>
      <c r="CB671" s="737">
        <f t="shared" si="376"/>
        <v>648</v>
      </c>
      <c r="CC671" s="736"/>
      <c r="CD671" s="737">
        <f t="shared" si="374"/>
        <v>648</v>
      </c>
      <c r="CE671" s="737">
        <f t="shared" si="375"/>
        <v>0</v>
      </c>
      <c r="XEN671" s="771"/>
      <c r="XEO671" s="771"/>
      <c r="XEP671" s="771"/>
      <c r="XEQ671" s="771"/>
      <c r="XER671" s="771"/>
      <c r="XES671" s="771"/>
      <c r="XET671" s="771"/>
      <c r="XEU671" s="771"/>
      <c r="XEV671" s="771"/>
      <c r="XEW671" s="771"/>
      <c r="XEX671" s="771"/>
      <c r="XEY671" s="771"/>
      <c r="XEZ671" s="771"/>
      <c r="XFA671" s="771"/>
      <c r="XFB671" s="771"/>
      <c r="XFC671" s="771"/>
      <c r="XFD671" s="771"/>
    </row>
    <row r="672" s="558" customFormat="1" ht="40" customHeight="1" spans="1:83 16368:16384">
      <c r="A672" s="717">
        <v>46080</v>
      </c>
      <c r="B672" s="718" t="s">
        <v>1707</v>
      </c>
      <c r="C672" s="719" t="s">
        <v>214</v>
      </c>
      <c r="D672" s="776">
        <v>4500194501</v>
      </c>
      <c r="E672" s="721" t="s">
        <v>2937</v>
      </c>
      <c r="F672" s="720" t="s">
        <v>2938</v>
      </c>
      <c r="G672" s="722" t="s">
        <v>189</v>
      </c>
      <c r="H672" s="722" t="s">
        <v>99</v>
      </c>
      <c r="I672" s="752">
        <v>480</v>
      </c>
      <c r="J672" s="723">
        <v>0</v>
      </c>
      <c r="K672" s="724">
        <v>24</v>
      </c>
      <c r="L672" s="724">
        <f t="shared" si="332"/>
        <v>20</v>
      </c>
      <c r="M672" s="725">
        <v>46135</v>
      </c>
      <c r="N672" s="725">
        <v>46132</v>
      </c>
      <c r="O672" s="725"/>
      <c r="P672" s="726" t="s">
        <v>100</v>
      </c>
      <c r="Q672" s="727" t="s">
        <v>2921</v>
      </c>
      <c r="R672" s="726" t="s">
        <v>2924</v>
      </c>
      <c r="S672" s="725"/>
      <c r="T672" s="725"/>
      <c r="U672" s="726" t="s">
        <v>2925</v>
      </c>
      <c r="V672" s="726" t="s">
        <v>2926</v>
      </c>
      <c r="W672" s="728"/>
      <c r="X672" s="729" t="s">
        <v>2936</v>
      </c>
      <c r="Y672" s="730" t="s">
        <v>809</v>
      </c>
      <c r="Z672" s="731">
        <v>1.5069</v>
      </c>
      <c r="AA672" s="732">
        <f t="shared" si="333"/>
        <v>723.312</v>
      </c>
      <c r="AB672" s="712">
        <v>480</v>
      </c>
      <c r="AC672" s="712">
        <f t="shared" si="362"/>
        <v>0</v>
      </c>
      <c r="AD672" s="732" t="s">
        <v>106</v>
      </c>
      <c r="AE672" s="722" t="s">
        <v>456</v>
      </c>
      <c r="AF672" s="730" t="s">
        <v>107</v>
      </c>
      <c r="AG672" s="734" t="s">
        <v>43</v>
      </c>
      <c r="AH672" s="730"/>
      <c r="AI672" s="705"/>
      <c r="AJ672" s="705"/>
      <c r="AK672" s="705"/>
      <c r="AL672" s="733"/>
      <c r="AM672" s="712">
        <f t="shared" si="373"/>
        <v>480</v>
      </c>
      <c r="AN672" s="705"/>
      <c r="AO672" s="773"/>
      <c r="AP672" s="734"/>
      <c r="AQ672" s="734"/>
      <c r="AR672" s="773"/>
      <c r="AS672" s="773"/>
      <c r="AT672" s="734"/>
      <c r="AU672" s="734">
        <f t="shared" si="372"/>
        <v>480</v>
      </c>
      <c r="AV672" s="734"/>
      <c r="AW672" s="773"/>
      <c r="AX672" s="734"/>
      <c r="AY672" s="713"/>
      <c r="AZ672" s="706"/>
      <c r="BA672" s="713"/>
      <c r="BB672" s="713"/>
      <c r="BC672" s="706"/>
      <c r="BD672" s="706"/>
      <c r="BE672" s="713"/>
      <c r="BF672" s="706"/>
      <c r="BG672" s="728"/>
      <c r="BH672" s="736"/>
      <c r="BI672" s="774"/>
      <c r="BJ672" s="774"/>
      <c r="BK672" s="736"/>
      <c r="BL672" s="737"/>
      <c r="BM672" s="736"/>
      <c r="BN672" s="737"/>
      <c r="BO672" s="737"/>
      <c r="BP672" s="775"/>
      <c r="BQ672" s="713"/>
      <c r="BR672" s="706"/>
      <c r="BS672" s="713"/>
      <c r="BT672" s="713"/>
      <c r="BU672" s="713"/>
      <c r="BV672" s="713"/>
      <c r="BW672" s="728" t="s">
        <v>109</v>
      </c>
      <c r="BX672" s="736"/>
      <c r="BY672" s="736"/>
      <c r="BZ672" s="736"/>
      <c r="CA672" s="736">
        <f>I672</f>
        <v>480</v>
      </c>
      <c r="CB672" s="737">
        <f t="shared" si="376"/>
        <v>480</v>
      </c>
      <c r="CC672" s="736"/>
      <c r="CD672" s="737">
        <f t="shared" si="374"/>
        <v>480</v>
      </c>
      <c r="CE672" s="737">
        <f t="shared" si="375"/>
        <v>0</v>
      </c>
      <c r="XEN672" s="771"/>
      <c r="XEO672" s="771"/>
      <c r="XEP672" s="771"/>
      <c r="XEQ672" s="771"/>
      <c r="XER672" s="771"/>
      <c r="XES672" s="771"/>
      <c r="XET672" s="771"/>
      <c r="XEU672" s="771"/>
      <c r="XEV672" s="771"/>
      <c r="XEW672" s="771"/>
      <c r="XEX672" s="771"/>
      <c r="XEY672" s="771"/>
      <c r="XEZ672" s="771"/>
      <c r="XFA672" s="771"/>
      <c r="XFB672" s="771"/>
      <c r="XFC672" s="771"/>
      <c r="XFD672" s="771"/>
    </row>
    <row r="673" s="558" customFormat="1" ht="40" customHeight="1" spans="1:83 16368:16384">
      <c r="A673" s="717">
        <v>46080</v>
      </c>
      <c r="B673" s="718" t="s">
        <v>1707</v>
      </c>
      <c r="C673" s="719" t="s">
        <v>214</v>
      </c>
      <c r="D673" s="776">
        <v>4500194511</v>
      </c>
      <c r="E673" s="721" t="s">
        <v>2939</v>
      </c>
      <c r="F673" s="720" t="s">
        <v>2940</v>
      </c>
      <c r="G673" s="722" t="s">
        <v>189</v>
      </c>
      <c r="H673" s="722" t="s">
        <v>99</v>
      </c>
      <c r="I673" s="752">
        <v>456</v>
      </c>
      <c r="J673" s="723">
        <v>0</v>
      </c>
      <c r="K673" s="724">
        <v>24</v>
      </c>
      <c r="L673" s="724">
        <f t="shared" si="332"/>
        <v>19</v>
      </c>
      <c r="M673" s="725">
        <v>46135</v>
      </c>
      <c r="N673" s="725">
        <v>46132</v>
      </c>
      <c r="O673" s="725"/>
      <c r="P673" s="726" t="s">
        <v>100</v>
      </c>
      <c r="Q673" s="727" t="s">
        <v>367</v>
      </c>
      <c r="R673" s="726" t="s">
        <v>2924</v>
      </c>
      <c r="S673" s="725"/>
      <c r="T673" s="725"/>
      <c r="U673" s="726" t="s">
        <v>2925</v>
      </c>
      <c r="V673" s="726" t="s">
        <v>2926</v>
      </c>
      <c r="W673" s="728"/>
      <c r="X673" s="729" t="s">
        <v>2936</v>
      </c>
      <c r="Y673" s="730" t="s">
        <v>809</v>
      </c>
      <c r="Z673" s="731">
        <v>1.5069</v>
      </c>
      <c r="AA673" s="732">
        <f t="shared" si="333"/>
        <v>687.1464</v>
      </c>
      <c r="AB673" s="712">
        <v>456</v>
      </c>
      <c r="AC673" s="712">
        <f t="shared" si="362"/>
        <v>0</v>
      </c>
      <c r="AD673" s="732" t="s">
        <v>106</v>
      </c>
      <c r="AE673" s="722" t="s">
        <v>456</v>
      </c>
      <c r="AF673" s="730" t="s">
        <v>107</v>
      </c>
      <c r="AG673" s="734" t="s">
        <v>43</v>
      </c>
      <c r="AH673" s="730"/>
      <c r="AI673" s="705"/>
      <c r="AJ673" s="705"/>
      <c r="AK673" s="705"/>
      <c r="AL673" s="733"/>
      <c r="AM673" s="712">
        <f t="shared" si="373"/>
        <v>456</v>
      </c>
      <c r="AN673" s="705"/>
      <c r="AO673" s="773"/>
      <c r="AP673" s="734"/>
      <c r="AQ673" s="734"/>
      <c r="AR673" s="773"/>
      <c r="AS673" s="773"/>
      <c r="AT673" s="734"/>
      <c r="AU673" s="734">
        <f t="shared" si="372"/>
        <v>456</v>
      </c>
      <c r="AV673" s="734"/>
      <c r="AW673" s="773"/>
      <c r="AX673" s="734"/>
      <c r="AY673" s="713"/>
      <c r="AZ673" s="706"/>
      <c r="BA673" s="713"/>
      <c r="BB673" s="713"/>
      <c r="BC673" s="706"/>
      <c r="BD673" s="706"/>
      <c r="BE673" s="713"/>
      <c r="BF673" s="706"/>
      <c r="BG673" s="728"/>
      <c r="BH673" s="736"/>
      <c r="BI673" s="774"/>
      <c r="BJ673" s="774"/>
      <c r="BK673" s="736"/>
      <c r="BL673" s="737"/>
      <c r="BM673" s="736"/>
      <c r="BN673" s="737"/>
      <c r="BO673" s="737"/>
      <c r="BP673" s="775"/>
      <c r="BQ673" s="713"/>
      <c r="BR673" s="706"/>
      <c r="BS673" s="713"/>
      <c r="BT673" s="713"/>
      <c r="BU673" s="713"/>
      <c r="BV673" s="713"/>
      <c r="BW673" s="728" t="s">
        <v>109</v>
      </c>
      <c r="BX673" s="736"/>
      <c r="BY673" s="736"/>
      <c r="BZ673" s="736"/>
      <c r="CA673" s="736">
        <f>I673</f>
        <v>456</v>
      </c>
      <c r="CB673" s="737">
        <f t="shared" si="376"/>
        <v>456</v>
      </c>
      <c r="CC673" s="736"/>
      <c r="CD673" s="737">
        <f t="shared" si="374"/>
        <v>456</v>
      </c>
      <c r="CE673" s="737">
        <f t="shared" si="375"/>
        <v>0</v>
      </c>
      <c r="XEN673" s="771"/>
      <c r="XEO673" s="771"/>
      <c r="XEP673" s="771"/>
      <c r="XEQ673" s="771"/>
      <c r="XER673" s="771"/>
      <c r="XES673" s="771"/>
      <c r="XET673" s="771"/>
      <c r="XEU673" s="771"/>
      <c r="XEV673" s="771"/>
      <c r="XEW673" s="771"/>
      <c r="XEX673" s="771"/>
      <c r="XEY673" s="771"/>
      <c r="XEZ673" s="771"/>
      <c r="XFA673" s="771"/>
      <c r="XFB673" s="771"/>
      <c r="XFC673" s="771"/>
      <c r="XFD673" s="771"/>
    </row>
    <row r="674" s="558" customFormat="1" ht="40" customHeight="1" spans="1:83 16368:16384">
      <c r="A674" s="717">
        <v>46080</v>
      </c>
      <c r="B674" s="718" t="s">
        <v>1707</v>
      </c>
      <c r="C674" s="719" t="s">
        <v>214</v>
      </c>
      <c r="D674" s="776">
        <v>4500194511</v>
      </c>
      <c r="E674" s="721" t="s">
        <v>2941</v>
      </c>
      <c r="F674" s="720" t="s">
        <v>2942</v>
      </c>
      <c r="G674" s="722" t="s">
        <v>132</v>
      </c>
      <c r="H674" s="722" t="s">
        <v>99</v>
      </c>
      <c r="I674" s="752">
        <v>504</v>
      </c>
      <c r="J674" s="723">
        <v>0</v>
      </c>
      <c r="K674" s="724">
        <v>24</v>
      </c>
      <c r="L674" s="724">
        <f t="shared" si="332"/>
        <v>21</v>
      </c>
      <c r="M674" s="725">
        <v>46135</v>
      </c>
      <c r="N674" s="725">
        <v>46132</v>
      </c>
      <c r="O674" s="725"/>
      <c r="P674" s="726" t="s">
        <v>100</v>
      </c>
      <c r="Q674" s="727" t="s">
        <v>367</v>
      </c>
      <c r="R674" s="726" t="s">
        <v>2924</v>
      </c>
      <c r="S674" s="725"/>
      <c r="T674" s="725"/>
      <c r="U674" s="726" t="s">
        <v>2925</v>
      </c>
      <c r="V674" s="726" t="s">
        <v>2926</v>
      </c>
      <c r="W674" s="728"/>
      <c r="X674" s="729" t="s">
        <v>2936</v>
      </c>
      <c r="Y674" s="730" t="s">
        <v>809</v>
      </c>
      <c r="Z674" s="731">
        <v>1.5069</v>
      </c>
      <c r="AA674" s="732">
        <f t="shared" si="333"/>
        <v>759.4776</v>
      </c>
      <c r="AB674" s="712">
        <v>504</v>
      </c>
      <c r="AC674" s="712">
        <f t="shared" si="362"/>
        <v>0</v>
      </c>
      <c r="AD674" s="732" t="s">
        <v>106</v>
      </c>
      <c r="AE674" s="733" t="s">
        <v>138</v>
      </c>
      <c r="AF674" s="730" t="s">
        <v>107</v>
      </c>
      <c r="AG674" s="734" t="s">
        <v>43</v>
      </c>
      <c r="AH674" s="730"/>
      <c r="AI674" s="705"/>
      <c r="AJ674" s="705"/>
      <c r="AK674" s="705"/>
      <c r="AL674" s="733"/>
      <c r="AM674" s="712">
        <f t="shared" si="373"/>
        <v>504</v>
      </c>
      <c r="AN674" s="705"/>
      <c r="AO674" s="773"/>
      <c r="AP674" s="734"/>
      <c r="AQ674" s="734"/>
      <c r="AR674" s="773"/>
      <c r="AS674" s="773"/>
      <c r="AT674" s="734"/>
      <c r="AU674" s="734">
        <f t="shared" si="372"/>
        <v>504</v>
      </c>
      <c r="AV674" s="734"/>
      <c r="AW674" s="773"/>
      <c r="AX674" s="734"/>
      <c r="AY674" s="713"/>
      <c r="AZ674" s="706"/>
      <c r="BA674" s="713"/>
      <c r="BB674" s="713"/>
      <c r="BC674" s="706"/>
      <c r="BD674" s="706"/>
      <c r="BE674" s="713"/>
      <c r="BF674" s="706"/>
      <c r="BG674" s="728"/>
      <c r="BH674" s="736"/>
      <c r="BI674" s="774"/>
      <c r="BJ674" s="774"/>
      <c r="BK674" s="736"/>
      <c r="BL674" s="737"/>
      <c r="BM674" s="736"/>
      <c r="BN674" s="737"/>
      <c r="BO674" s="737"/>
      <c r="BP674" s="775"/>
      <c r="BQ674" s="713"/>
      <c r="BR674" s="706"/>
      <c r="BS674" s="713"/>
      <c r="BT674" s="713"/>
      <c r="BU674" s="713"/>
      <c r="BV674" s="713"/>
      <c r="BW674" s="728" t="s">
        <v>109</v>
      </c>
      <c r="BX674" s="736">
        <f>I674</f>
        <v>504</v>
      </c>
      <c r="BY674" s="736"/>
      <c r="BZ674" s="736"/>
      <c r="CA674" s="736"/>
      <c r="CB674" s="737">
        <f t="shared" si="376"/>
        <v>504</v>
      </c>
      <c r="CC674" s="736"/>
      <c r="CD674" s="737">
        <f t="shared" si="374"/>
        <v>504</v>
      </c>
      <c r="CE674" s="737">
        <f t="shared" si="375"/>
        <v>0</v>
      </c>
      <c r="XEN674" s="771"/>
      <c r="XEO674" s="771"/>
      <c r="XEP674" s="771"/>
      <c r="XEQ674" s="771"/>
      <c r="XER674" s="771"/>
      <c r="XES674" s="771"/>
      <c r="XET674" s="771"/>
      <c r="XEU674" s="771"/>
      <c r="XEV674" s="771"/>
      <c r="XEW674" s="771"/>
      <c r="XEX674" s="771"/>
      <c r="XEY674" s="771"/>
      <c r="XEZ674" s="771"/>
      <c r="XFA674" s="771"/>
      <c r="XFB674" s="771"/>
      <c r="XFC674" s="771"/>
      <c r="XFD674" s="771"/>
    </row>
    <row r="675" s="558" customFormat="1" ht="40" customHeight="1" spans="1:83 16368:16384">
      <c r="A675" s="717">
        <v>46080</v>
      </c>
      <c r="B675" s="718" t="s">
        <v>1707</v>
      </c>
      <c r="C675" s="719" t="s">
        <v>214</v>
      </c>
      <c r="D675" s="776">
        <v>4500194509</v>
      </c>
      <c r="E675" s="721" t="s">
        <v>2943</v>
      </c>
      <c r="F675" s="720" t="s">
        <v>2944</v>
      </c>
      <c r="G675" s="722" t="s">
        <v>189</v>
      </c>
      <c r="H675" s="722" t="s">
        <v>99</v>
      </c>
      <c r="I675" s="752">
        <v>1200</v>
      </c>
      <c r="J675" s="723">
        <v>0</v>
      </c>
      <c r="K675" s="724">
        <v>24</v>
      </c>
      <c r="L675" s="724">
        <f t="shared" si="332"/>
        <v>50</v>
      </c>
      <c r="M675" s="725">
        <v>46135</v>
      </c>
      <c r="N675" s="725">
        <v>46132</v>
      </c>
      <c r="O675" s="725"/>
      <c r="P675" s="726" t="s">
        <v>100</v>
      </c>
      <c r="Q675" s="727" t="s">
        <v>787</v>
      </c>
      <c r="R675" s="726" t="s">
        <v>2924</v>
      </c>
      <c r="S675" s="725"/>
      <c r="T675" s="725"/>
      <c r="U675" s="726" t="s">
        <v>2925</v>
      </c>
      <c r="V675" s="726" t="s">
        <v>2926</v>
      </c>
      <c r="W675" s="728"/>
      <c r="X675" s="729" t="s">
        <v>2945</v>
      </c>
      <c r="Y675" s="730" t="s">
        <v>809</v>
      </c>
      <c r="Z675" s="731">
        <v>1.4986</v>
      </c>
      <c r="AA675" s="732">
        <f t="shared" si="333"/>
        <v>1798.32</v>
      </c>
      <c r="AB675" s="712">
        <v>1200</v>
      </c>
      <c r="AC675" s="712">
        <f t="shared" si="362"/>
        <v>0</v>
      </c>
      <c r="AD675" s="732" t="s">
        <v>106</v>
      </c>
      <c r="AE675" s="722" t="s">
        <v>456</v>
      </c>
      <c r="AF675" s="730" t="s">
        <v>107</v>
      </c>
      <c r="AG675" s="734" t="s">
        <v>43</v>
      </c>
      <c r="AH675" s="730"/>
      <c r="AI675" s="705"/>
      <c r="AJ675" s="705"/>
      <c r="AK675" s="705"/>
      <c r="AL675" s="733"/>
      <c r="AM675" s="712">
        <f t="shared" si="373"/>
        <v>1200</v>
      </c>
      <c r="AN675" s="705"/>
      <c r="AO675" s="773"/>
      <c r="AP675" s="734"/>
      <c r="AQ675" s="734"/>
      <c r="AR675" s="773"/>
      <c r="AS675" s="773"/>
      <c r="AT675" s="734"/>
      <c r="AU675" s="734">
        <f t="shared" si="372"/>
        <v>1200</v>
      </c>
      <c r="AV675" s="734"/>
      <c r="AW675" s="773"/>
      <c r="AX675" s="734"/>
      <c r="AY675" s="713"/>
      <c r="AZ675" s="706"/>
      <c r="BA675" s="713"/>
      <c r="BB675" s="713"/>
      <c r="BC675" s="706"/>
      <c r="BD675" s="706"/>
      <c r="BE675" s="713"/>
      <c r="BF675" s="706"/>
      <c r="BG675" s="728"/>
      <c r="BH675" s="736"/>
      <c r="BI675" s="774"/>
      <c r="BJ675" s="774"/>
      <c r="BK675" s="736"/>
      <c r="BL675" s="737"/>
      <c r="BM675" s="736"/>
      <c r="BN675" s="737"/>
      <c r="BO675" s="737"/>
      <c r="BP675" s="775"/>
      <c r="BQ675" s="713"/>
      <c r="BR675" s="706"/>
      <c r="BS675" s="713"/>
      <c r="BT675" s="713"/>
      <c r="BU675" s="713"/>
      <c r="BV675" s="713"/>
      <c r="BW675" s="728" t="s">
        <v>109</v>
      </c>
      <c r="BX675" s="736"/>
      <c r="BY675" s="736"/>
      <c r="BZ675" s="736"/>
      <c r="CA675" s="736">
        <f>I675</f>
        <v>1200</v>
      </c>
      <c r="CB675" s="737">
        <f t="shared" si="376"/>
        <v>1200</v>
      </c>
      <c r="CC675" s="736"/>
      <c r="CD675" s="737">
        <f t="shared" si="374"/>
        <v>1200</v>
      </c>
      <c r="CE675" s="737">
        <f t="shared" si="375"/>
        <v>0</v>
      </c>
      <c r="XEN675" s="771"/>
      <c r="XEO675" s="771"/>
      <c r="XEP675" s="771"/>
      <c r="XEQ675" s="771"/>
      <c r="XER675" s="771"/>
      <c r="XES675" s="771"/>
      <c r="XET675" s="771"/>
      <c r="XEU675" s="771"/>
      <c r="XEV675" s="771"/>
      <c r="XEW675" s="771"/>
      <c r="XEX675" s="771"/>
      <c r="XEY675" s="771"/>
      <c r="XEZ675" s="771"/>
      <c r="XFA675" s="771"/>
      <c r="XFB675" s="771"/>
      <c r="XFC675" s="771"/>
      <c r="XFD675" s="771"/>
    </row>
    <row r="676" s="558" customFormat="1" ht="40" customHeight="1" spans="1:83 16368:16384">
      <c r="A676" s="717">
        <v>46080</v>
      </c>
      <c r="B676" s="718" t="s">
        <v>1707</v>
      </c>
      <c r="C676" s="719" t="s">
        <v>214</v>
      </c>
      <c r="D676" s="776">
        <v>4500194509</v>
      </c>
      <c r="E676" s="721" t="s">
        <v>2946</v>
      </c>
      <c r="F676" s="720" t="s">
        <v>2947</v>
      </c>
      <c r="G676" s="722" t="s">
        <v>132</v>
      </c>
      <c r="H676" s="722" t="s">
        <v>99</v>
      </c>
      <c r="I676" s="752">
        <v>1272</v>
      </c>
      <c r="J676" s="723">
        <v>0</v>
      </c>
      <c r="K676" s="724">
        <v>24</v>
      </c>
      <c r="L676" s="724">
        <f t="shared" si="332"/>
        <v>53</v>
      </c>
      <c r="M676" s="725">
        <v>46135</v>
      </c>
      <c r="N676" s="725">
        <v>46132</v>
      </c>
      <c r="O676" s="725"/>
      <c r="P676" s="726" t="s">
        <v>100</v>
      </c>
      <c r="Q676" s="727" t="s">
        <v>787</v>
      </c>
      <c r="R676" s="726" t="s">
        <v>2924</v>
      </c>
      <c r="S676" s="725"/>
      <c r="T676" s="725"/>
      <c r="U676" s="726" t="s">
        <v>2925</v>
      </c>
      <c r="V676" s="726" t="s">
        <v>2926</v>
      </c>
      <c r="W676" s="728"/>
      <c r="X676" s="729" t="s">
        <v>2945</v>
      </c>
      <c r="Y676" s="730" t="s">
        <v>809</v>
      </c>
      <c r="Z676" s="731">
        <v>1.4986</v>
      </c>
      <c r="AA676" s="732">
        <f t="shared" si="333"/>
        <v>1906.2192</v>
      </c>
      <c r="AB676" s="712">
        <v>1272</v>
      </c>
      <c r="AC676" s="712">
        <f t="shared" si="362"/>
        <v>0</v>
      </c>
      <c r="AD676" s="732" t="s">
        <v>106</v>
      </c>
      <c r="AE676" s="733" t="s">
        <v>138</v>
      </c>
      <c r="AF676" s="730" t="s">
        <v>107</v>
      </c>
      <c r="AG676" s="734" t="s">
        <v>43</v>
      </c>
      <c r="AH676" s="730"/>
      <c r="AI676" s="705"/>
      <c r="AJ676" s="705"/>
      <c r="AK676" s="705"/>
      <c r="AL676" s="733"/>
      <c r="AM676" s="712">
        <f t="shared" si="373"/>
        <v>1272</v>
      </c>
      <c r="AN676" s="705"/>
      <c r="AO676" s="773"/>
      <c r="AP676" s="734"/>
      <c r="AQ676" s="734"/>
      <c r="AR676" s="773"/>
      <c r="AS676" s="773"/>
      <c r="AT676" s="734"/>
      <c r="AU676" s="734">
        <f t="shared" si="372"/>
        <v>1272</v>
      </c>
      <c r="AV676" s="734"/>
      <c r="AW676" s="773"/>
      <c r="AX676" s="734"/>
      <c r="AY676" s="713"/>
      <c r="AZ676" s="706"/>
      <c r="BA676" s="713"/>
      <c r="BB676" s="713"/>
      <c r="BC676" s="706"/>
      <c r="BD676" s="706"/>
      <c r="BE676" s="713"/>
      <c r="BF676" s="706"/>
      <c r="BG676" s="728"/>
      <c r="BH676" s="736"/>
      <c r="BI676" s="774"/>
      <c r="BJ676" s="774"/>
      <c r="BK676" s="736"/>
      <c r="BL676" s="737"/>
      <c r="BM676" s="736"/>
      <c r="BN676" s="737"/>
      <c r="BO676" s="737"/>
      <c r="BP676" s="775"/>
      <c r="BQ676" s="713"/>
      <c r="BR676" s="706"/>
      <c r="BS676" s="713"/>
      <c r="BT676" s="713"/>
      <c r="BU676" s="713"/>
      <c r="BV676" s="713"/>
      <c r="BW676" s="728" t="s">
        <v>109</v>
      </c>
      <c r="BX676" s="736">
        <f>I676</f>
        <v>1272</v>
      </c>
      <c r="BY676" s="736"/>
      <c r="BZ676" s="736"/>
      <c r="CA676" s="736"/>
      <c r="CB676" s="737">
        <f t="shared" si="376"/>
        <v>1272</v>
      </c>
      <c r="CC676" s="736"/>
      <c r="CD676" s="737">
        <f t="shared" si="374"/>
        <v>1272</v>
      </c>
      <c r="CE676" s="737">
        <f t="shared" si="375"/>
        <v>0</v>
      </c>
      <c r="XEN676" s="771"/>
      <c r="XEO676" s="771"/>
      <c r="XEP676" s="771"/>
      <c r="XEQ676" s="771"/>
      <c r="XER676" s="771"/>
      <c r="XES676" s="771"/>
      <c r="XET676" s="771"/>
      <c r="XEU676" s="771"/>
      <c r="XEV676" s="771"/>
      <c r="XEW676" s="771"/>
      <c r="XEX676" s="771"/>
      <c r="XEY676" s="771"/>
      <c r="XEZ676" s="771"/>
      <c r="XFA676" s="771"/>
      <c r="XFB676" s="771"/>
      <c r="XFC676" s="771"/>
      <c r="XFD676" s="771"/>
    </row>
    <row r="677" s="558" customFormat="1" ht="40" customHeight="1" spans="1:83 16368:16384">
      <c r="A677" s="717">
        <v>46091</v>
      </c>
      <c r="B677" s="718" t="s">
        <v>1789</v>
      </c>
      <c r="C677" s="719" t="s">
        <v>380</v>
      </c>
      <c r="D677" s="720">
        <v>4500195843</v>
      </c>
      <c r="E677" s="721">
        <v>4400546702</v>
      </c>
      <c r="F677" s="720" t="s">
        <v>2948</v>
      </c>
      <c r="G677" s="722" t="s">
        <v>111</v>
      </c>
      <c r="H677" s="722" t="s">
        <v>99</v>
      </c>
      <c r="I677" s="752">
        <v>9020</v>
      </c>
      <c r="J677" s="723">
        <v>0</v>
      </c>
      <c r="K677" s="724">
        <v>22</v>
      </c>
      <c r="L677" s="724">
        <f t="shared" si="332"/>
        <v>410</v>
      </c>
      <c r="M677" s="725">
        <v>46135</v>
      </c>
      <c r="N677" s="725">
        <v>46132</v>
      </c>
      <c r="O677" s="725"/>
      <c r="P677" s="726" t="s">
        <v>100</v>
      </c>
      <c r="Q677" s="727" t="s">
        <v>867</v>
      </c>
      <c r="R677" s="726" t="s">
        <v>2891</v>
      </c>
      <c r="S677" s="725"/>
      <c r="T677" s="725"/>
      <c r="U677" s="726" t="s">
        <v>2949</v>
      </c>
      <c r="V677" s="726"/>
      <c r="W677" s="728"/>
      <c r="X677" s="729" t="s">
        <v>2950</v>
      </c>
      <c r="Y677" s="730" t="s">
        <v>1864</v>
      </c>
      <c r="Z677" s="731">
        <v>2.7517</v>
      </c>
      <c r="AA677" s="732">
        <f t="shared" si="333"/>
        <v>24820.334</v>
      </c>
      <c r="AB677" s="712">
        <v>9020</v>
      </c>
      <c r="AC677" s="712">
        <f t="shared" si="362"/>
        <v>0</v>
      </c>
      <c r="AD677" s="732" t="s">
        <v>123</v>
      </c>
      <c r="AE677" s="733" t="s">
        <v>230</v>
      </c>
      <c r="AF677" s="730" t="s">
        <v>107</v>
      </c>
      <c r="AG677" s="734" t="s">
        <v>43</v>
      </c>
      <c r="AH677" s="730"/>
      <c r="AI677" s="705"/>
      <c r="AJ677" s="705"/>
      <c r="AK677" s="705"/>
      <c r="AL677" s="733"/>
      <c r="AM677" s="712"/>
      <c r="AN677" s="705"/>
      <c r="AO677" s="773"/>
      <c r="AP677" s="734">
        <f>I677</f>
        <v>9020</v>
      </c>
      <c r="AQ677" s="734"/>
      <c r="AR677" s="773"/>
      <c r="AS677" s="773"/>
      <c r="AT677" s="734"/>
      <c r="AU677" s="734">
        <f t="shared" si="372"/>
        <v>9020</v>
      </c>
      <c r="AV677" s="734"/>
      <c r="AW677" s="773"/>
      <c r="AX677" s="734"/>
      <c r="AY677" s="713"/>
      <c r="AZ677" s="706"/>
      <c r="BA677" s="713"/>
      <c r="BB677" s="734">
        <f>I677/11</f>
        <v>820</v>
      </c>
      <c r="BC677" s="706"/>
      <c r="BD677" s="706"/>
      <c r="BE677" s="713"/>
      <c r="BF677" s="706"/>
      <c r="BG677" s="728"/>
      <c r="BH677" s="736"/>
      <c r="BI677" s="774"/>
      <c r="BJ677" s="774"/>
      <c r="BK677" s="736"/>
      <c r="BL677" s="737"/>
      <c r="BM677" s="736"/>
      <c r="BN677" s="737"/>
      <c r="BO677" s="737"/>
      <c r="BP677" s="775"/>
      <c r="BQ677" s="713"/>
      <c r="BR677" s="706"/>
      <c r="BS677" s="713"/>
      <c r="BT677" s="713"/>
      <c r="BU677" s="713"/>
      <c r="BV677" s="713"/>
      <c r="BW677" s="728" t="s">
        <v>109</v>
      </c>
      <c r="BX677" s="736">
        <f>I677/22*5</f>
        <v>2050</v>
      </c>
      <c r="BY677" s="736">
        <f>I677/22*6</f>
        <v>2460</v>
      </c>
      <c r="BZ677" s="736">
        <f>I677/22*6</f>
        <v>2460</v>
      </c>
      <c r="CA677" s="736">
        <f>I677/22*5</f>
        <v>2050</v>
      </c>
      <c r="CB677" s="737">
        <f t="shared" si="376"/>
        <v>9020</v>
      </c>
      <c r="CC677" s="736">
        <f>I677/11</f>
        <v>820</v>
      </c>
      <c r="CD677" s="737">
        <f t="shared" si="374"/>
        <v>9020</v>
      </c>
      <c r="CE677" s="737">
        <f t="shared" si="375"/>
        <v>0</v>
      </c>
      <c r="XEN677" s="771"/>
      <c r="XEO677" s="771"/>
      <c r="XEP677" s="771"/>
      <c r="XEQ677" s="771"/>
      <c r="XER677" s="771"/>
      <c r="XES677" s="771"/>
      <c r="XET677" s="771"/>
      <c r="XEU677" s="771"/>
      <c r="XEV677" s="771"/>
      <c r="XEW677" s="771"/>
      <c r="XEX677" s="771"/>
      <c r="XEY677" s="771"/>
      <c r="XEZ677" s="771"/>
      <c r="XFA677" s="771"/>
      <c r="XFB677" s="771"/>
      <c r="XFC677" s="771"/>
      <c r="XFD677" s="771"/>
    </row>
    <row r="678" s="558" customFormat="1" ht="40" customHeight="1" spans="1:83 16368:16384">
      <c r="A678" s="717">
        <v>46063</v>
      </c>
      <c r="B678" s="718" t="s">
        <v>94</v>
      </c>
      <c r="C678" s="719" t="s">
        <v>205</v>
      </c>
      <c r="D678" s="720">
        <v>4500193519</v>
      </c>
      <c r="E678" s="721" t="s">
        <v>2951</v>
      </c>
      <c r="F678" s="720" t="s">
        <v>2952</v>
      </c>
      <c r="G678" s="722" t="s">
        <v>98</v>
      </c>
      <c r="H678" s="722" t="s">
        <v>99</v>
      </c>
      <c r="I678" s="752">
        <v>4056</v>
      </c>
      <c r="J678" s="723">
        <v>0</v>
      </c>
      <c r="K678" s="724">
        <v>24</v>
      </c>
      <c r="L678" s="724">
        <f t="shared" si="332"/>
        <v>169</v>
      </c>
      <c r="M678" s="725">
        <v>46136</v>
      </c>
      <c r="N678" s="725">
        <v>46132</v>
      </c>
      <c r="O678" s="725"/>
      <c r="P678" s="726" t="s">
        <v>100</v>
      </c>
      <c r="Q678" s="727" t="s">
        <v>963</v>
      </c>
      <c r="R678" s="726" t="s">
        <v>2953</v>
      </c>
      <c r="S678" s="725"/>
      <c r="T678" s="725"/>
      <c r="U678" s="726" t="s">
        <v>2954</v>
      </c>
      <c r="V678" s="726"/>
      <c r="W678" s="728"/>
      <c r="X678" s="729" t="s">
        <v>2955</v>
      </c>
      <c r="Y678" s="730" t="s">
        <v>2956</v>
      </c>
      <c r="Z678" s="731">
        <v>2.4439</v>
      </c>
      <c r="AA678" s="732">
        <f t="shared" si="333"/>
        <v>9912.4584</v>
      </c>
      <c r="AB678" s="712">
        <v>4056</v>
      </c>
      <c r="AC678" s="712">
        <f t="shared" si="362"/>
        <v>0</v>
      </c>
      <c r="AD678" s="732" t="s">
        <v>123</v>
      </c>
      <c r="AE678" s="722" t="s">
        <v>98</v>
      </c>
      <c r="AF678" s="730" t="s">
        <v>107</v>
      </c>
      <c r="AG678" s="734" t="s">
        <v>43</v>
      </c>
      <c r="AH678" s="730"/>
      <c r="AI678" s="708"/>
      <c r="AJ678" s="708"/>
      <c r="AK678" s="708"/>
      <c r="AL678" s="733"/>
      <c r="AM678" s="712">
        <f>I678</f>
        <v>4056</v>
      </c>
      <c r="AN678" s="708"/>
      <c r="AO678" s="768"/>
      <c r="AP678" s="734"/>
      <c r="AQ678" s="734"/>
      <c r="AR678" s="768"/>
      <c r="AS678" s="768"/>
      <c r="AT678" s="734"/>
      <c r="AU678" s="734">
        <f t="shared" si="372"/>
        <v>4056</v>
      </c>
      <c r="AV678" s="734"/>
      <c r="AW678" s="768"/>
      <c r="AX678" s="734"/>
      <c r="AY678" s="713"/>
      <c r="AZ678" s="709"/>
      <c r="BA678" s="713"/>
      <c r="BB678" s="713"/>
      <c r="BC678" s="709"/>
      <c r="BD678" s="709"/>
      <c r="BE678" s="713"/>
      <c r="BF678" s="709"/>
      <c r="BG678" s="728"/>
      <c r="BH678" s="736"/>
      <c r="BI678" s="769"/>
      <c r="BJ678" s="769"/>
      <c r="BK678" s="736"/>
      <c r="BL678" s="737"/>
      <c r="BM678" s="736"/>
      <c r="BN678" s="737"/>
      <c r="BO678" s="737"/>
      <c r="BP678" s="770"/>
      <c r="BQ678" s="713"/>
      <c r="BR678" s="709"/>
      <c r="BS678" s="713"/>
      <c r="BT678" s="713"/>
      <c r="BU678" s="713"/>
      <c r="BV678" s="713"/>
      <c r="BW678" s="728" t="s">
        <v>109</v>
      </c>
      <c r="BX678" s="736">
        <f>I678/4</f>
        <v>1014</v>
      </c>
      <c r="BY678" s="736">
        <f>I678/4</f>
        <v>1014</v>
      </c>
      <c r="BZ678" s="736">
        <f>I678/4</f>
        <v>1014</v>
      </c>
      <c r="CA678" s="736">
        <f>I678/4</f>
        <v>1014</v>
      </c>
      <c r="CB678" s="737">
        <f>I678/4</f>
        <v>1014</v>
      </c>
      <c r="CC678" s="737"/>
      <c r="CD678" s="737">
        <f t="shared" si="374"/>
        <v>4056</v>
      </c>
      <c r="CE678" s="737">
        <f t="shared" si="375"/>
        <v>0</v>
      </c>
      <c r="XEN678" s="771"/>
      <c r="XEO678" s="771"/>
      <c r="XEP678" s="771"/>
      <c r="XEQ678" s="771"/>
      <c r="XER678" s="771"/>
      <c r="XES678" s="771"/>
      <c r="XET678" s="771"/>
      <c r="XEU678" s="771"/>
      <c r="XEV678" s="771"/>
      <c r="XEW678" s="771"/>
      <c r="XEX678" s="771"/>
      <c r="XEY678" s="771"/>
      <c r="XEZ678" s="771"/>
      <c r="XFA678" s="771"/>
      <c r="XFB678" s="771"/>
      <c r="XFC678" s="771"/>
      <c r="XFD678" s="771"/>
    </row>
    <row r="679" s="558" customFormat="1" ht="40" customHeight="1" spans="1:83 16368:16384">
      <c r="A679" s="717">
        <v>46063</v>
      </c>
      <c r="B679" s="718" t="s">
        <v>94</v>
      </c>
      <c r="C679" s="719" t="s">
        <v>205</v>
      </c>
      <c r="D679" s="720">
        <v>4500193519</v>
      </c>
      <c r="E679" s="721" t="s">
        <v>2951</v>
      </c>
      <c r="F679" s="720" t="s">
        <v>2957</v>
      </c>
      <c r="G679" s="722" t="s">
        <v>98</v>
      </c>
      <c r="H679" s="722" t="s">
        <v>99</v>
      </c>
      <c r="I679" s="752">
        <v>1536</v>
      </c>
      <c r="J679" s="723">
        <v>0</v>
      </c>
      <c r="K679" s="724">
        <v>24</v>
      </c>
      <c r="L679" s="724">
        <f t="shared" si="332"/>
        <v>64</v>
      </c>
      <c r="M679" s="725">
        <v>46136</v>
      </c>
      <c r="N679" s="725">
        <v>46132</v>
      </c>
      <c r="O679" s="725"/>
      <c r="P679" s="726" t="s">
        <v>100</v>
      </c>
      <c r="Q679" s="727" t="s">
        <v>2958</v>
      </c>
      <c r="R679" s="726" t="s">
        <v>2953</v>
      </c>
      <c r="S679" s="725"/>
      <c r="T679" s="725"/>
      <c r="U679" s="726" t="s">
        <v>2954</v>
      </c>
      <c r="V679" s="726"/>
      <c r="W679" s="728"/>
      <c r="X679" s="729" t="s">
        <v>2955</v>
      </c>
      <c r="Y679" s="730" t="s">
        <v>2956</v>
      </c>
      <c r="Z679" s="731">
        <v>2.4439</v>
      </c>
      <c r="AA679" s="732">
        <f t="shared" si="333"/>
        <v>3753.8304</v>
      </c>
      <c r="AB679" s="712">
        <v>1536</v>
      </c>
      <c r="AC679" s="712">
        <f t="shared" si="362"/>
        <v>0</v>
      </c>
      <c r="AD679" s="732" t="s">
        <v>106</v>
      </c>
      <c r="AE679" s="722" t="s">
        <v>98</v>
      </c>
      <c r="AF679" s="730" t="s">
        <v>107</v>
      </c>
      <c r="AG679" s="734" t="s">
        <v>43</v>
      </c>
      <c r="AH679" s="730"/>
      <c r="AI679" s="708"/>
      <c r="AJ679" s="708"/>
      <c r="AK679" s="708"/>
      <c r="AL679" s="733"/>
      <c r="AM679" s="712">
        <f>I679</f>
        <v>1536</v>
      </c>
      <c r="AN679" s="708"/>
      <c r="AO679" s="768"/>
      <c r="AP679" s="734"/>
      <c r="AQ679" s="734"/>
      <c r="AR679" s="768"/>
      <c r="AS679" s="768"/>
      <c r="AT679" s="734"/>
      <c r="AU679" s="734">
        <f t="shared" si="372"/>
        <v>1536</v>
      </c>
      <c r="AV679" s="734"/>
      <c r="AW679" s="768"/>
      <c r="AX679" s="734"/>
      <c r="AY679" s="713"/>
      <c r="AZ679" s="709"/>
      <c r="BA679" s="713"/>
      <c r="BB679" s="713"/>
      <c r="BC679" s="709"/>
      <c r="BD679" s="709"/>
      <c r="BE679" s="713"/>
      <c r="BF679" s="709"/>
      <c r="BG679" s="728"/>
      <c r="BH679" s="736"/>
      <c r="BI679" s="769"/>
      <c r="BJ679" s="769"/>
      <c r="BK679" s="736"/>
      <c r="BL679" s="737"/>
      <c r="BM679" s="736"/>
      <c r="BN679" s="737"/>
      <c r="BO679" s="737"/>
      <c r="BP679" s="770"/>
      <c r="BQ679" s="713"/>
      <c r="BR679" s="709"/>
      <c r="BS679" s="713"/>
      <c r="BT679" s="713"/>
      <c r="BU679" s="713"/>
      <c r="BV679" s="713"/>
      <c r="BW679" s="728" t="s">
        <v>109</v>
      </c>
      <c r="BX679" s="736">
        <f>I679/4</f>
        <v>384</v>
      </c>
      <c r="BY679" s="736">
        <f>I679/4</f>
        <v>384</v>
      </c>
      <c r="BZ679" s="736">
        <f>I679/4</f>
        <v>384</v>
      </c>
      <c r="CA679" s="736">
        <f>I679/4</f>
        <v>384</v>
      </c>
      <c r="CB679" s="737">
        <f>I679/4</f>
        <v>384</v>
      </c>
      <c r="CC679" s="737"/>
      <c r="CD679" s="737">
        <f t="shared" si="374"/>
        <v>1536</v>
      </c>
      <c r="CE679" s="737">
        <f t="shared" si="375"/>
        <v>0</v>
      </c>
      <c r="XEN679" s="771"/>
      <c r="XEO679" s="771"/>
      <c r="XEP679" s="771"/>
      <c r="XEQ679" s="771"/>
      <c r="XER679" s="771"/>
      <c r="XES679" s="771"/>
      <c r="XET679" s="771"/>
      <c r="XEU679" s="771"/>
      <c r="XEV679" s="771"/>
      <c r="XEW679" s="771"/>
      <c r="XEX679" s="771"/>
      <c r="XEY679" s="771"/>
      <c r="XEZ679" s="771"/>
      <c r="XFA679" s="771"/>
      <c r="XFB679" s="771"/>
      <c r="XFC679" s="771"/>
      <c r="XFD679" s="771"/>
    </row>
    <row r="680" s="558" customFormat="1" ht="40" customHeight="1" spans="1:83 16368:16384">
      <c r="A680" s="717">
        <v>46101</v>
      </c>
      <c r="B680" s="718" t="s">
        <v>885</v>
      </c>
      <c r="C680" s="719" t="s">
        <v>556</v>
      </c>
      <c r="D680" s="720">
        <v>4500197857</v>
      </c>
      <c r="E680" s="721"/>
      <c r="F680" s="781" t="s">
        <v>2959</v>
      </c>
      <c r="G680" s="722" t="s">
        <v>111</v>
      </c>
      <c r="H680" s="722" t="s">
        <v>99</v>
      </c>
      <c r="I680" s="723">
        <v>484</v>
      </c>
      <c r="J680" s="723">
        <v>0</v>
      </c>
      <c r="K680" s="724">
        <v>22</v>
      </c>
      <c r="L680" s="724">
        <f t="shared" si="332"/>
        <v>22</v>
      </c>
      <c r="M680" s="725">
        <v>46136</v>
      </c>
      <c r="N680" s="725">
        <v>46132</v>
      </c>
      <c r="O680" s="725"/>
      <c r="P680" s="726" t="s">
        <v>100</v>
      </c>
      <c r="Q680" s="727" t="s">
        <v>822</v>
      </c>
      <c r="R680" s="726" t="s">
        <v>2960</v>
      </c>
      <c r="S680" s="726"/>
      <c r="T680" s="726"/>
      <c r="U680" s="726" t="s">
        <v>113</v>
      </c>
      <c r="V680" s="782"/>
      <c r="W680" s="730"/>
      <c r="X680" s="729" t="s">
        <v>2961</v>
      </c>
      <c r="Y680" s="730" t="s">
        <v>2070</v>
      </c>
      <c r="Z680" s="783">
        <v>2.7947</v>
      </c>
      <c r="AA680" s="732">
        <f t="shared" si="333"/>
        <v>1352.6348</v>
      </c>
      <c r="AB680" s="712">
        <v>484</v>
      </c>
      <c r="AC680" s="712">
        <f t="shared" si="362"/>
        <v>0</v>
      </c>
      <c r="AD680" s="732" t="s">
        <v>113</v>
      </c>
      <c r="AE680" s="749" t="s">
        <v>111</v>
      </c>
      <c r="AF680" s="730" t="s">
        <v>107</v>
      </c>
      <c r="AG680" s="734" t="s">
        <v>43</v>
      </c>
      <c r="AH680" s="730"/>
      <c r="AI680" s="753"/>
      <c r="AJ680" s="753"/>
      <c r="AK680" s="753"/>
      <c r="AL680" s="734"/>
      <c r="AM680" s="734">
        <f t="shared" ref="AM680:AM685" si="377">I680</f>
        <v>484</v>
      </c>
      <c r="AN680" s="753"/>
      <c r="AO680" s="753"/>
      <c r="AP680" s="712"/>
      <c r="AQ680" s="735"/>
      <c r="AR680" s="753"/>
      <c r="AS680" s="753"/>
      <c r="AT680" s="734"/>
      <c r="AU680" s="712">
        <f t="shared" si="372"/>
        <v>484</v>
      </c>
      <c r="AV680" s="713"/>
      <c r="AW680" s="754"/>
      <c r="AX680" s="734"/>
      <c r="AY680" s="734"/>
      <c r="AZ680" s="754"/>
      <c r="BA680" s="713"/>
      <c r="BB680" s="734"/>
      <c r="BC680" s="754"/>
      <c r="BD680" s="754"/>
      <c r="BE680" s="713"/>
      <c r="BF680" s="754"/>
      <c r="BG680" s="728"/>
      <c r="BH680" s="736"/>
      <c r="BI680" s="784"/>
      <c r="BJ680" s="784"/>
      <c r="BK680" s="736"/>
      <c r="BL680" s="737"/>
      <c r="BM680" s="736"/>
      <c r="BN680" s="737"/>
      <c r="BO680" s="737"/>
      <c r="BP680" s="785"/>
      <c r="BQ680" s="713"/>
      <c r="BR680" s="754"/>
      <c r="BS680" s="713"/>
      <c r="BT680" s="713"/>
      <c r="BU680" s="713"/>
      <c r="BV680" s="713"/>
      <c r="BW680" s="728" t="s">
        <v>109</v>
      </c>
      <c r="BX680" s="736">
        <f>I680/22*5</f>
        <v>110</v>
      </c>
      <c r="BY680" s="736">
        <f>I680/22*6</f>
        <v>132</v>
      </c>
      <c r="BZ680" s="736">
        <f>I680/22*6</f>
        <v>132</v>
      </c>
      <c r="CA680" s="736">
        <f>I680/22*5</f>
        <v>110</v>
      </c>
      <c r="CB680" s="737">
        <f t="shared" ref="CB680:CB700" si="378">I680</f>
        <v>484</v>
      </c>
      <c r="CC680" s="736">
        <f>I680/11</f>
        <v>44</v>
      </c>
      <c r="CD680" s="737">
        <f t="shared" si="374"/>
        <v>484</v>
      </c>
      <c r="CE680" s="737">
        <f t="shared" si="375"/>
        <v>0</v>
      </c>
      <c r="XEN680" s="771"/>
      <c r="XEO680" s="771"/>
      <c r="XEP680" s="771"/>
      <c r="XEQ680" s="771"/>
      <c r="XER680" s="771"/>
      <c r="XES680" s="771"/>
      <c r="XET680" s="771"/>
      <c r="XEU680" s="771"/>
      <c r="XEV680" s="771"/>
      <c r="XEW680" s="771"/>
      <c r="XEX680" s="771"/>
      <c r="XEY680" s="771"/>
      <c r="XEZ680" s="771"/>
      <c r="XFA680" s="771"/>
      <c r="XFB680" s="771"/>
      <c r="XFC680" s="771"/>
      <c r="XFD680" s="771"/>
    </row>
    <row r="681" s="560" customFormat="1" ht="40" customHeight="1" spans="1:83 16368:16384">
      <c r="A681" s="786">
        <v>46094</v>
      </c>
      <c r="B681" s="787" t="s">
        <v>2110</v>
      </c>
      <c r="C681" s="788" t="s">
        <v>214</v>
      </c>
      <c r="D681" s="789">
        <v>4500196523</v>
      </c>
      <c r="E681" s="790">
        <v>4561941394</v>
      </c>
      <c r="F681" s="789" t="s">
        <v>2962</v>
      </c>
      <c r="G681" s="764" t="s">
        <v>718</v>
      </c>
      <c r="H681" s="764" t="s">
        <v>99</v>
      </c>
      <c r="I681" s="791">
        <v>504</v>
      </c>
      <c r="J681" s="792">
        <v>0</v>
      </c>
      <c r="K681" s="793">
        <v>6</v>
      </c>
      <c r="L681" s="793">
        <f t="shared" si="332"/>
        <v>84</v>
      </c>
      <c r="M681" s="794">
        <v>46140</v>
      </c>
      <c r="N681" s="794">
        <v>46136</v>
      </c>
      <c r="O681" s="794" t="s">
        <v>2963</v>
      </c>
      <c r="P681" s="795" t="s">
        <v>100</v>
      </c>
      <c r="Q681" s="796" t="s">
        <v>2841</v>
      </c>
      <c r="R681" s="795" t="s">
        <v>969</v>
      </c>
      <c r="S681" s="794"/>
      <c r="T681" s="794"/>
      <c r="U681" s="795" t="s">
        <v>2964</v>
      </c>
      <c r="V681" s="795"/>
      <c r="W681" s="797"/>
      <c r="X681" s="798" t="s">
        <v>2965</v>
      </c>
      <c r="Y681" s="799" t="s">
        <v>725</v>
      </c>
      <c r="Z681" s="800">
        <v>1.5775</v>
      </c>
      <c r="AA681" s="801">
        <f t="shared" si="333"/>
        <v>795.06</v>
      </c>
      <c r="AB681" s="680">
        <v>504</v>
      </c>
      <c r="AC681" s="680">
        <f t="shared" si="362"/>
        <v>0</v>
      </c>
      <c r="AD681" s="801" t="s">
        <v>106</v>
      </c>
      <c r="AE681" s="764" t="s">
        <v>718</v>
      </c>
      <c r="AF681" s="799" t="s">
        <v>107</v>
      </c>
      <c r="AG681" s="802" t="s">
        <v>43</v>
      </c>
      <c r="AH681" s="799"/>
      <c r="AI681" s="803"/>
      <c r="AJ681" s="803"/>
      <c r="AK681" s="803"/>
      <c r="AL681" s="804"/>
      <c r="AM681" s="680">
        <f t="shared" si="377"/>
        <v>504</v>
      </c>
      <c r="AN681" s="803"/>
      <c r="AO681" s="805"/>
      <c r="AP681" s="802"/>
      <c r="AQ681" s="802"/>
      <c r="AR681" s="805"/>
      <c r="AS681" s="805"/>
      <c r="AT681" s="802"/>
      <c r="AU681" s="802">
        <f t="shared" si="372"/>
        <v>504</v>
      </c>
      <c r="AV681" s="802"/>
      <c r="AW681" s="805"/>
      <c r="AX681" s="802"/>
      <c r="AY681" s="681"/>
      <c r="AZ681" s="806"/>
      <c r="BA681" s="681"/>
      <c r="BB681" s="681"/>
      <c r="BC681" s="806"/>
      <c r="BD681" s="806"/>
      <c r="BE681" s="681"/>
      <c r="BF681" s="806"/>
      <c r="BG681" s="797"/>
      <c r="BH681" s="807"/>
      <c r="BI681" s="808"/>
      <c r="BJ681" s="808"/>
      <c r="BK681" s="807"/>
      <c r="BL681" s="809">
        <f>I681/6</f>
        <v>84</v>
      </c>
      <c r="BM681" s="807"/>
      <c r="BN681" s="809"/>
      <c r="BO681" s="809"/>
      <c r="BP681" s="810"/>
      <c r="BQ681" s="681"/>
      <c r="BR681" s="806"/>
      <c r="BS681" s="681"/>
      <c r="BT681" s="681"/>
      <c r="BU681" s="681"/>
      <c r="BV681" s="681"/>
      <c r="BW681" s="797" t="s">
        <v>109</v>
      </c>
      <c r="BX681" s="807">
        <f>I681/4</f>
        <v>126</v>
      </c>
      <c r="BY681" s="807">
        <f>I681/4</f>
        <v>126</v>
      </c>
      <c r="BZ681" s="807">
        <f>I681/4</f>
        <v>126</v>
      </c>
      <c r="CA681" s="807">
        <f>I681/4</f>
        <v>126</v>
      </c>
      <c r="CB681" s="809">
        <f t="shared" si="378"/>
        <v>504</v>
      </c>
      <c r="CC681" s="809"/>
      <c r="CD681" s="809">
        <f t="shared" si="374"/>
        <v>504</v>
      </c>
      <c r="CE681" s="809">
        <f t="shared" si="375"/>
        <v>0</v>
      </c>
      <c r="XEN681" s="811"/>
      <c r="XEO681" s="811"/>
      <c r="XEP681" s="811"/>
      <c r="XEQ681" s="811"/>
      <c r="XER681" s="811"/>
      <c r="XES681" s="811"/>
      <c r="XET681" s="811"/>
      <c r="XEU681" s="811"/>
      <c r="XEV681" s="811"/>
      <c r="XEW681" s="811"/>
      <c r="XEX681" s="811"/>
      <c r="XEY681" s="811"/>
      <c r="XEZ681" s="811"/>
      <c r="XFA681" s="811"/>
      <c r="XFB681" s="811"/>
      <c r="XFC681" s="811"/>
      <c r="XFD681" s="811"/>
    </row>
    <row r="682" s="560" customFormat="1" ht="40" customHeight="1" spans="1:83 16368:16384">
      <c r="A682" s="786">
        <v>46094</v>
      </c>
      <c r="B682" s="787" t="s">
        <v>2110</v>
      </c>
      <c r="C682" s="788" t="s">
        <v>214</v>
      </c>
      <c r="D682" s="789">
        <v>4500196523</v>
      </c>
      <c r="E682" s="790">
        <v>4561941431</v>
      </c>
      <c r="F682" s="789" t="s">
        <v>2966</v>
      </c>
      <c r="G682" s="764" t="s">
        <v>718</v>
      </c>
      <c r="H682" s="764" t="s">
        <v>99</v>
      </c>
      <c r="I682" s="791">
        <v>504</v>
      </c>
      <c r="J682" s="792">
        <v>0</v>
      </c>
      <c r="K682" s="793">
        <v>6</v>
      </c>
      <c r="L682" s="793">
        <f t="shared" si="332"/>
        <v>84</v>
      </c>
      <c r="M682" s="794">
        <v>46140</v>
      </c>
      <c r="N682" s="794">
        <v>46136</v>
      </c>
      <c r="O682" s="794" t="s">
        <v>2963</v>
      </c>
      <c r="P682" s="795" t="s">
        <v>100</v>
      </c>
      <c r="Q682" s="796" t="s">
        <v>2841</v>
      </c>
      <c r="R682" s="795" t="s">
        <v>969</v>
      </c>
      <c r="S682" s="794"/>
      <c r="T682" s="794"/>
      <c r="U682" s="795" t="s">
        <v>2964</v>
      </c>
      <c r="V682" s="795"/>
      <c r="W682" s="797"/>
      <c r="X682" s="798" t="s">
        <v>2965</v>
      </c>
      <c r="Y682" s="799" t="s">
        <v>725</v>
      </c>
      <c r="Z682" s="800">
        <v>1.5775</v>
      </c>
      <c r="AA682" s="801">
        <f t="shared" si="333"/>
        <v>795.06</v>
      </c>
      <c r="AB682" s="680">
        <v>504</v>
      </c>
      <c r="AC682" s="680">
        <f t="shared" si="362"/>
        <v>0</v>
      </c>
      <c r="AD682" s="801"/>
      <c r="AE682" s="764" t="s">
        <v>718</v>
      </c>
      <c r="AF682" s="799" t="s">
        <v>107</v>
      </c>
      <c r="AG682" s="802" t="s">
        <v>43</v>
      </c>
      <c r="AH682" s="799"/>
      <c r="AI682" s="803"/>
      <c r="AJ682" s="803"/>
      <c r="AK682" s="803"/>
      <c r="AL682" s="804"/>
      <c r="AM682" s="680">
        <f t="shared" si="377"/>
        <v>504</v>
      </c>
      <c r="AN682" s="803"/>
      <c r="AO682" s="805"/>
      <c r="AP682" s="802"/>
      <c r="AQ682" s="802"/>
      <c r="AR682" s="805"/>
      <c r="AS682" s="805"/>
      <c r="AT682" s="802"/>
      <c r="AU682" s="802">
        <f t="shared" si="372"/>
        <v>504</v>
      </c>
      <c r="AV682" s="802"/>
      <c r="AW682" s="805"/>
      <c r="AX682" s="802"/>
      <c r="AY682" s="681"/>
      <c r="AZ682" s="806"/>
      <c r="BA682" s="681"/>
      <c r="BB682" s="681"/>
      <c r="BC682" s="806"/>
      <c r="BD682" s="806"/>
      <c r="BE682" s="681"/>
      <c r="BF682" s="806"/>
      <c r="BG682" s="797"/>
      <c r="BH682" s="807"/>
      <c r="BI682" s="808"/>
      <c r="BJ682" s="808"/>
      <c r="BK682" s="807"/>
      <c r="BL682" s="809">
        <f>I682/6</f>
        <v>84</v>
      </c>
      <c r="BM682" s="807"/>
      <c r="BN682" s="809"/>
      <c r="BO682" s="809"/>
      <c r="BP682" s="810"/>
      <c r="BQ682" s="681"/>
      <c r="BR682" s="806"/>
      <c r="BS682" s="681"/>
      <c r="BT682" s="681"/>
      <c r="BU682" s="681"/>
      <c r="BV682" s="681"/>
      <c r="BW682" s="797" t="s">
        <v>109</v>
      </c>
      <c r="BX682" s="807">
        <f>I682/4</f>
        <v>126</v>
      </c>
      <c r="BY682" s="807">
        <f>I682/4</f>
        <v>126</v>
      </c>
      <c r="BZ682" s="807">
        <f>I682/4</f>
        <v>126</v>
      </c>
      <c r="CA682" s="807">
        <f>I682/4</f>
        <v>126</v>
      </c>
      <c r="CB682" s="809">
        <f t="shared" si="378"/>
        <v>504</v>
      </c>
      <c r="CC682" s="809"/>
      <c r="CD682" s="809">
        <f t="shared" si="374"/>
        <v>504</v>
      </c>
      <c r="CE682" s="809">
        <f t="shared" si="375"/>
        <v>0</v>
      </c>
      <c r="XEN682" s="811"/>
      <c r="XEO682" s="811"/>
      <c r="XEP682" s="811"/>
      <c r="XEQ682" s="811"/>
      <c r="XER682" s="811"/>
      <c r="XES682" s="811"/>
      <c r="XET682" s="811"/>
      <c r="XEU682" s="811"/>
      <c r="XEV682" s="811"/>
      <c r="XEW682" s="811"/>
      <c r="XEX682" s="811"/>
      <c r="XEY682" s="811"/>
      <c r="XEZ682" s="811"/>
      <c r="XFA682" s="811"/>
      <c r="XFB682" s="811"/>
      <c r="XFC682" s="811"/>
      <c r="XFD682" s="811"/>
    </row>
    <row r="683" s="560" customFormat="1" ht="40" customHeight="1" spans="1:83 16368:16384">
      <c r="A683" s="786">
        <v>46094</v>
      </c>
      <c r="B683" s="787" t="s">
        <v>2110</v>
      </c>
      <c r="C683" s="788" t="s">
        <v>214</v>
      </c>
      <c r="D683" s="789">
        <v>4500196523</v>
      </c>
      <c r="E683" s="790">
        <v>4561941239</v>
      </c>
      <c r="F683" s="789" t="s">
        <v>2967</v>
      </c>
      <c r="G683" s="764" t="s">
        <v>718</v>
      </c>
      <c r="H683" s="764" t="s">
        <v>99</v>
      </c>
      <c r="I683" s="791">
        <v>756</v>
      </c>
      <c r="J683" s="792">
        <v>0</v>
      </c>
      <c r="K683" s="793">
        <v>6</v>
      </c>
      <c r="L683" s="793">
        <f t="shared" ref="L683:L746" si="379">I683/K683</f>
        <v>126</v>
      </c>
      <c r="M683" s="794">
        <v>46140</v>
      </c>
      <c r="N683" s="794">
        <v>46136</v>
      </c>
      <c r="O683" s="794" t="s">
        <v>2963</v>
      </c>
      <c r="P683" s="795" t="s">
        <v>100</v>
      </c>
      <c r="Q683" s="796" t="s">
        <v>2841</v>
      </c>
      <c r="R683" s="795" t="s">
        <v>969</v>
      </c>
      <c r="S683" s="794"/>
      <c r="T683" s="794"/>
      <c r="U683" s="795" t="s">
        <v>2964</v>
      </c>
      <c r="V683" s="795"/>
      <c r="W683" s="797"/>
      <c r="X683" s="798" t="s">
        <v>2965</v>
      </c>
      <c r="Y683" s="799" t="s">
        <v>725</v>
      </c>
      <c r="Z683" s="800">
        <v>1.5775</v>
      </c>
      <c r="AA683" s="801">
        <f t="shared" ref="AA683:AA728" si="380">I683*Z683</f>
        <v>1192.59</v>
      </c>
      <c r="AB683" s="680">
        <v>756</v>
      </c>
      <c r="AC683" s="680">
        <f t="shared" si="362"/>
        <v>0</v>
      </c>
      <c r="AD683" s="801"/>
      <c r="AE683" s="764" t="s">
        <v>718</v>
      </c>
      <c r="AF683" s="799" t="s">
        <v>107</v>
      </c>
      <c r="AG683" s="802" t="s">
        <v>43</v>
      </c>
      <c r="AH683" s="799"/>
      <c r="AI683" s="803"/>
      <c r="AJ683" s="803"/>
      <c r="AK683" s="803"/>
      <c r="AL683" s="804"/>
      <c r="AM683" s="680">
        <f t="shared" si="377"/>
        <v>756</v>
      </c>
      <c r="AN683" s="803"/>
      <c r="AO683" s="805"/>
      <c r="AP683" s="802"/>
      <c r="AQ683" s="802"/>
      <c r="AR683" s="805"/>
      <c r="AS683" s="805"/>
      <c r="AT683" s="802"/>
      <c r="AU683" s="802">
        <f t="shared" si="372"/>
        <v>756</v>
      </c>
      <c r="AV683" s="802"/>
      <c r="AW683" s="805"/>
      <c r="AX683" s="802"/>
      <c r="AY683" s="681"/>
      <c r="AZ683" s="806"/>
      <c r="BA683" s="681"/>
      <c r="BB683" s="681"/>
      <c r="BC683" s="806"/>
      <c r="BD683" s="806"/>
      <c r="BE683" s="681"/>
      <c r="BF683" s="806"/>
      <c r="BG683" s="797"/>
      <c r="BH683" s="807"/>
      <c r="BI683" s="808"/>
      <c r="BJ683" s="808"/>
      <c r="BK683" s="807"/>
      <c r="BL683" s="809">
        <f>I683/6</f>
        <v>126</v>
      </c>
      <c r="BM683" s="807"/>
      <c r="BN683" s="809"/>
      <c r="BO683" s="809"/>
      <c r="BP683" s="810"/>
      <c r="BQ683" s="681"/>
      <c r="BR683" s="806"/>
      <c r="BS683" s="681"/>
      <c r="BT683" s="681"/>
      <c r="BU683" s="681"/>
      <c r="BV683" s="681"/>
      <c r="BW683" s="797" t="s">
        <v>109</v>
      </c>
      <c r="BX683" s="807">
        <f>I683/4</f>
        <v>189</v>
      </c>
      <c r="BY683" s="807">
        <f>I683/4</f>
        <v>189</v>
      </c>
      <c r="BZ683" s="807">
        <f>I683/4</f>
        <v>189</v>
      </c>
      <c r="CA683" s="807">
        <f>I683/4</f>
        <v>189</v>
      </c>
      <c r="CB683" s="809">
        <f t="shared" si="378"/>
        <v>756</v>
      </c>
      <c r="CC683" s="809"/>
      <c r="CD683" s="809">
        <f t="shared" si="374"/>
        <v>756</v>
      </c>
      <c r="CE683" s="809">
        <f t="shared" si="375"/>
        <v>0</v>
      </c>
      <c r="XEN683" s="811"/>
      <c r="XEO683" s="811"/>
      <c r="XEP683" s="811"/>
      <c r="XEQ683" s="811"/>
      <c r="XER683" s="811"/>
      <c r="XES683" s="811"/>
      <c r="XET683" s="811"/>
      <c r="XEU683" s="811"/>
      <c r="XEV683" s="811"/>
      <c r="XEW683" s="811"/>
      <c r="XEX683" s="811"/>
      <c r="XEY683" s="811"/>
      <c r="XEZ683" s="811"/>
      <c r="XFA683" s="811"/>
      <c r="XFB683" s="811"/>
      <c r="XFC683" s="811"/>
      <c r="XFD683" s="811"/>
    </row>
    <row r="684" s="560" customFormat="1" ht="40" customHeight="1" spans="1:83 16368:16384">
      <c r="A684" s="786">
        <v>46094</v>
      </c>
      <c r="B684" s="787" t="s">
        <v>2110</v>
      </c>
      <c r="C684" s="788" t="s">
        <v>214</v>
      </c>
      <c r="D684" s="789">
        <v>4500196523</v>
      </c>
      <c r="E684" s="790">
        <v>4561941490</v>
      </c>
      <c r="F684" s="789" t="s">
        <v>2968</v>
      </c>
      <c r="G684" s="764" t="s">
        <v>718</v>
      </c>
      <c r="H684" s="764" t="s">
        <v>99</v>
      </c>
      <c r="I684" s="791">
        <v>630</v>
      </c>
      <c r="J684" s="792">
        <v>0</v>
      </c>
      <c r="K684" s="793">
        <v>6</v>
      </c>
      <c r="L684" s="793">
        <f t="shared" si="379"/>
        <v>105</v>
      </c>
      <c r="M684" s="794">
        <v>46140</v>
      </c>
      <c r="N684" s="794">
        <v>46136</v>
      </c>
      <c r="O684" s="794" t="s">
        <v>2963</v>
      </c>
      <c r="P684" s="795" t="s">
        <v>100</v>
      </c>
      <c r="Q684" s="796" t="s">
        <v>2841</v>
      </c>
      <c r="R684" s="795" t="s">
        <v>969</v>
      </c>
      <c r="S684" s="794"/>
      <c r="T684" s="794"/>
      <c r="U684" s="795" t="s">
        <v>2964</v>
      </c>
      <c r="V684" s="795"/>
      <c r="W684" s="797"/>
      <c r="X684" s="798" t="s">
        <v>2965</v>
      </c>
      <c r="Y684" s="799" t="s">
        <v>725</v>
      </c>
      <c r="Z684" s="800">
        <v>1.5775</v>
      </c>
      <c r="AA684" s="801">
        <f t="shared" si="380"/>
        <v>993.825</v>
      </c>
      <c r="AB684" s="680">
        <v>630</v>
      </c>
      <c r="AC684" s="680">
        <f t="shared" si="362"/>
        <v>0</v>
      </c>
      <c r="AD684" s="801"/>
      <c r="AE684" s="764" t="s">
        <v>718</v>
      </c>
      <c r="AF684" s="799" t="s">
        <v>107</v>
      </c>
      <c r="AG684" s="802" t="s">
        <v>43</v>
      </c>
      <c r="AH684" s="799"/>
      <c r="AI684" s="803"/>
      <c r="AJ684" s="803"/>
      <c r="AK684" s="803"/>
      <c r="AL684" s="804"/>
      <c r="AM684" s="680">
        <f t="shared" si="377"/>
        <v>630</v>
      </c>
      <c r="AN684" s="803"/>
      <c r="AO684" s="805"/>
      <c r="AP684" s="802"/>
      <c r="AQ684" s="802"/>
      <c r="AR684" s="805"/>
      <c r="AS684" s="805"/>
      <c r="AT684" s="802"/>
      <c r="AU684" s="802">
        <f t="shared" si="372"/>
        <v>630</v>
      </c>
      <c r="AV684" s="802"/>
      <c r="AW684" s="805"/>
      <c r="AX684" s="802"/>
      <c r="AY684" s="681"/>
      <c r="AZ684" s="806"/>
      <c r="BA684" s="681"/>
      <c r="BB684" s="681"/>
      <c r="BC684" s="806"/>
      <c r="BD684" s="806"/>
      <c r="BE684" s="681"/>
      <c r="BF684" s="806"/>
      <c r="BG684" s="797"/>
      <c r="BH684" s="807"/>
      <c r="BI684" s="808"/>
      <c r="BJ684" s="808"/>
      <c r="BK684" s="807"/>
      <c r="BL684" s="809">
        <f>I684/6</f>
        <v>105</v>
      </c>
      <c r="BM684" s="807"/>
      <c r="BN684" s="809"/>
      <c r="BO684" s="809"/>
      <c r="BP684" s="810"/>
      <c r="BQ684" s="681"/>
      <c r="BR684" s="806"/>
      <c r="BS684" s="681"/>
      <c r="BT684" s="681"/>
      <c r="BU684" s="681"/>
      <c r="BV684" s="681"/>
      <c r="BW684" s="797" t="s">
        <v>109</v>
      </c>
      <c r="BX684" s="807">
        <f>I684/4</f>
        <v>157.5</v>
      </c>
      <c r="BY684" s="807">
        <f>I684/4</f>
        <v>157.5</v>
      </c>
      <c r="BZ684" s="807">
        <f>I684/4</f>
        <v>157.5</v>
      </c>
      <c r="CA684" s="807">
        <f>I684/4</f>
        <v>157.5</v>
      </c>
      <c r="CB684" s="809">
        <f t="shared" si="378"/>
        <v>630</v>
      </c>
      <c r="CC684" s="809"/>
      <c r="CD684" s="809">
        <f t="shared" si="374"/>
        <v>630</v>
      </c>
      <c r="CE684" s="809">
        <f t="shared" si="375"/>
        <v>0</v>
      </c>
      <c r="XEN684" s="811"/>
      <c r="XEO684" s="811"/>
      <c r="XEP684" s="811"/>
      <c r="XEQ684" s="811"/>
      <c r="XER684" s="811"/>
      <c r="XES684" s="811"/>
      <c r="XET684" s="811"/>
      <c r="XEU684" s="811"/>
      <c r="XEV684" s="811"/>
      <c r="XEW684" s="811"/>
      <c r="XEX684" s="811"/>
      <c r="XEY684" s="811"/>
      <c r="XEZ684" s="811"/>
      <c r="XFA684" s="811"/>
      <c r="XFB684" s="811"/>
      <c r="XFC684" s="811"/>
      <c r="XFD684" s="811"/>
    </row>
    <row r="685" s="560" customFormat="1" ht="40" customHeight="1" spans="1:83 16368:16384">
      <c r="A685" s="786">
        <v>46094</v>
      </c>
      <c r="B685" s="787" t="s">
        <v>2110</v>
      </c>
      <c r="C685" s="788" t="s">
        <v>214</v>
      </c>
      <c r="D685" s="789">
        <v>4500196523</v>
      </c>
      <c r="E685" s="790">
        <v>4561941352</v>
      </c>
      <c r="F685" s="789" t="s">
        <v>2969</v>
      </c>
      <c r="G685" s="764" t="s">
        <v>718</v>
      </c>
      <c r="H685" s="764" t="s">
        <v>99</v>
      </c>
      <c r="I685" s="791">
        <v>726</v>
      </c>
      <c r="J685" s="792">
        <v>0</v>
      </c>
      <c r="K685" s="793">
        <v>6</v>
      </c>
      <c r="L685" s="793">
        <f t="shared" si="379"/>
        <v>121</v>
      </c>
      <c r="M685" s="794">
        <v>46140</v>
      </c>
      <c r="N685" s="794">
        <v>46136</v>
      </c>
      <c r="O685" s="794" t="s">
        <v>2963</v>
      </c>
      <c r="P685" s="795" t="s">
        <v>100</v>
      </c>
      <c r="Q685" s="796" t="s">
        <v>2841</v>
      </c>
      <c r="R685" s="795" t="s">
        <v>969</v>
      </c>
      <c r="S685" s="794"/>
      <c r="T685" s="794"/>
      <c r="U685" s="795" t="s">
        <v>2964</v>
      </c>
      <c r="V685" s="795"/>
      <c r="W685" s="797"/>
      <c r="X685" s="798" t="s">
        <v>2965</v>
      </c>
      <c r="Y685" s="799" t="s">
        <v>725</v>
      </c>
      <c r="Z685" s="800">
        <v>1.5775</v>
      </c>
      <c r="AA685" s="801">
        <f t="shared" si="380"/>
        <v>1145.265</v>
      </c>
      <c r="AB685" s="680">
        <v>726</v>
      </c>
      <c r="AC685" s="680">
        <f t="shared" si="362"/>
        <v>0</v>
      </c>
      <c r="AD685" s="801"/>
      <c r="AE685" s="804" t="s">
        <v>230</v>
      </c>
      <c r="AF685" s="799" t="s">
        <v>107</v>
      </c>
      <c r="AG685" s="802" t="s">
        <v>43</v>
      </c>
      <c r="AH685" s="799"/>
      <c r="AI685" s="803"/>
      <c r="AJ685" s="803"/>
      <c r="AK685" s="803"/>
      <c r="AL685" s="804"/>
      <c r="AM685" s="680">
        <f t="shared" si="377"/>
        <v>726</v>
      </c>
      <c r="AN685" s="803"/>
      <c r="AO685" s="805"/>
      <c r="AP685" s="802"/>
      <c r="AQ685" s="802"/>
      <c r="AR685" s="805"/>
      <c r="AS685" s="805"/>
      <c r="AT685" s="802"/>
      <c r="AU685" s="802">
        <f t="shared" si="372"/>
        <v>726</v>
      </c>
      <c r="AV685" s="802"/>
      <c r="AW685" s="805"/>
      <c r="AX685" s="802"/>
      <c r="AY685" s="681"/>
      <c r="AZ685" s="806"/>
      <c r="BA685" s="681"/>
      <c r="BB685" s="681"/>
      <c r="BC685" s="806"/>
      <c r="BD685" s="806"/>
      <c r="BE685" s="681"/>
      <c r="BF685" s="806"/>
      <c r="BG685" s="797"/>
      <c r="BH685" s="807"/>
      <c r="BI685" s="808"/>
      <c r="BJ685" s="808"/>
      <c r="BK685" s="807"/>
      <c r="BL685" s="809">
        <f>I685/6</f>
        <v>121</v>
      </c>
      <c r="BM685" s="807"/>
      <c r="BN685" s="809"/>
      <c r="BO685" s="809"/>
      <c r="BP685" s="810"/>
      <c r="BQ685" s="681"/>
      <c r="BR685" s="806"/>
      <c r="BS685" s="681"/>
      <c r="BT685" s="681"/>
      <c r="BU685" s="681"/>
      <c r="BV685" s="681"/>
      <c r="BW685" s="797" t="s">
        <v>109</v>
      </c>
      <c r="BX685" s="807">
        <f>I685/4</f>
        <v>181.5</v>
      </c>
      <c r="BY685" s="807">
        <f>I685/4</f>
        <v>181.5</v>
      </c>
      <c r="BZ685" s="807">
        <f>I685/4</f>
        <v>181.5</v>
      </c>
      <c r="CA685" s="807">
        <f>I685/4</f>
        <v>181.5</v>
      </c>
      <c r="CB685" s="809">
        <f t="shared" si="378"/>
        <v>726</v>
      </c>
      <c r="CC685" s="809"/>
      <c r="CD685" s="809">
        <f t="shared" si="374"/>
        <v>726</v>
      </c>
      <c r="CE685" s="809">
        <f t="shared" si="375"/>
        <v>0</v>
      </c>
      <c r="XEN685" s="811"/>
      <c r="XEO685" s="811"/>
      <c r="XEP685" s="811"/>
      <c r="XEQ685" s="811"/>
      <c r="XER685" s="811"/>
      <c r="XES685" s="811"/>
      <c r="XET685" s="811"/>
      <c r="XEU685" s="811"/>
      <c r="XEV685" s="811"/>
      <c r="XEW685" s="811"/>
      <c r="XEX685" s="811"/>
      <c r="XEY685" s="811"/>
      <c r="XEZ685" s="811"/>
      <c r="XFA685" s="811"/>
      <c r="XFB685" s="811"/>
      <c r="XFC685" s="811"/>
      <c r="XFD685" s="811"/>
    </row>
    <row r="686" s="558" customFormat="1" ht="40" customHeight="1" spans="1:83 16368:16384">
      <c r="A686" s="717">
        <v>46034</v>
      </c>
      <c r="B686" s="718" t="s">
        <v>2970</v>
      </c>
      <c r="C686" s="719" t="s">
        <v>380</v>
      </c>
      <c r="D686" s="720">
        <v>4500190991</v>
      </c>
      <c r="E686" s="721" t="s">
        <v>2971</v>
      </c>
      <c r="F686" s="720" t="s">
        <v>2972</v>
      </c>
      <c r="G686" s="722" t="s">
        <v>111</v>
      </c>
      <c r="H686" s="722" t="s">
        <v>99</v>
      </c>
      <c r="I686" s="752">
        <v>1100</v>
      </c>
      <c r="J686" s="723">
        <v>0</v>
      </c>
      <c r="K686" s="724">
        <v>22</v>
      </c>
      <c r="L686" s="724">
        <f t="shared" si="379"/>
        <v>50</v>
      </c>
      <c r="M686" s="725">
        <v>46148</v>
      </c>
      <c r="N686" s="725">
        <f>M686-4</f>
        <v>46144</v>
      </c>
      <c r="O686" s="725"/>
      <c r="P686" s="726" t="s">
        <v>100</v>
      </c>
      <c r="Q686" s="727" t="s">
        <v>1050</v>
      </c>
      <c r="R686" s="726" t="s">
        <v>593</v>
      </c>
      <c r="S686" s="725"/>
      <c r="T686" s="725"/>
      <c r="U686" s="726" t="s">
        <v>2973</v>
      </c>
      <c r="V686" s="726"/>
      <c r="W686" s="728"/>
      <c r="X686" s="729" t="s">
        <v>2974</v>
      </c>
      <c r="Y686" s="730" t="s">
        <v>1054</v>
      </c>
      <c r="Z686" s="731">
        <v>2.7152</v>
      </c>
      <c r="AA686" s="732">
        <f t="shared" si="380"/>
        <v>2986.72</v>
      </c>
      <c r="AB686" s="712">
        <v>1100</v>
      </c>
      <c r="AC686" s="712">
        <f t="shared" si="362"/>
        <v>0</v>
      </c>
      <c r="AD686" s="732" t="s">
        <v>106</v>
      </c>
      <c r="AE686" s="722" t="s">
        <v>111</v>
      </c>
      <c r="AF686" s="730" t="s">
        <v>107</v>
      </c>
      <c r="AG686" s="763" t="s">
        <v>43</v>
      </c>
      <c r="AH686" s="730"/>
      <c r="AI686" s="705"/>
      <c r="AJ686" s="705"/>
      <c r="AK686" s="705"/>
      <c r="AL686" s="712">
        <f>I686</f>
        <v>1100</v>
      </c>
      <c r="AM686" s="712"/>
      <c r="AN686" s="705"/>
      <c r="AO686" s="708"/>
      <c r="AP686" s="712"/>
      <c r="AQ686" s="735"/>
      <c r="AR686" s="705"/>
      <c r="AS686" s="705"/>
      <c r="AT686" s="712">
        <f>I686</f>
        <v>1100</v>
      </c>
      <c r="AU686" s="712"/>
      <c r="AV686" s="734"/>
      <c r="AW686" s="706"/>
      <c r="AX686" s="734">
        <f>I686/11</f>
        <v>100</v>
      </c>
      <c r="AY686" s="734"/>
      <c r="AZ686" s="706"/>
      <c r="BA686" s="734"/>
      <c r="BB686" s="734"/>
      <c r="BC686" s="706"/>
      <c r="BD686" s="706"/>
      <c r="BE686" s="713"/>
      <c r="BF686" s="706"/>
      <c r="BG686" s="734"/>
      <c r="BH686" s="734"/>
      <c r="BI686" s="706"/>
      <c r="BJ686" s="706"/>
      <c r="BK686" s="713"/>
      <c r="BL686" s="713"/>
      <c r="BM686" s="713"/>
      <c r="BN686" s="713"/>
      <c r="BO686" s="713"/>
      <c r="BP686" s="706"/>
      <c r="BQ686" s="713"/>
      <c r="BR686" s="706"/>
      <c r="BS686" s="713"/>
      <c r="BT686" s="713"/>
      <c r="BU686" s="713"/>
      <c r="BV686" s="713"/>
      <c r="BW686" s="728" t="s">
        <v>109</v>
      </c>
      <c r="BX686" s="736">
        <f>I686/22*5</f>
        <v>250</v>
      </c>
      <c r="BY686" s="736">
        <f>I686/22*6</f>
        <v>300</v>
      </c>
      <c r="BZ686" s="736">
        <f>I686/22*6</f>
        <v>300</v>
      </c>
      <c r="CA686" s="736">
        <f>I686/22*5</f>
        <v>250</v>
      </c>
      <c r="CB686" s="737">
        <f t="shared" si="378"/>
        <v>1100</v>
      </c>
      <c r="CC686" s="736">
        <f>I686/11</f>
        <v>100</v>
      </c>
      <c r="CD686" s="737">
        <f t="shared" si="374"/>
        <v>1100</v>
      </c>
      <c r="CE686" s="737">
        <f t="shared" si="375"/>
        <v>0</v>
      </c>
    </row>
    <row r="687" s="560" customFormat="1" ht="40" customHeight="1" spans="1:83 16368:16384">
      <c r="A687" s="786">
        <v>46114</v>
      </c>
      <c r="B687" s="787" t="s">
        <v>2975</v>
      </c>
      <c r="C687" s="788" t="s">
        <v>1024</v>
      </c>
      <c r="D687" s="789">
        <v>4500199666</v>
      </c>
      <c r="E687" s="812">
        <v>20173</v>
      </c>
      <c r="F687" s="789" t="s">
        <v>2976</v>
      </c>
      <c r="G687" s="764" t="s">
        <v>241</v>
      </c>
      <c r="H687" s="764" t="s">
        <v>99</v>
      </c>
      <c r="I687" s="813">
        <v>1100</v>
      </c>
      <c r="J687" s="792">
        <v>0</v>
      </c>
      <c r="K687" s="793">
        <v>11</v>
      </c>
      <c r="L687" s="793">
        <f t="shared" si="379"/>
        <v>100</v>
      </c>
      <c r="M687" s="794">
        <v>46148</v>
      </c>
      <c r="N687" s="794">
        <v>46144</v>
      </c>
      <c r="O687" s="794" t="s">
        <v>2977</v>
      </c>
      <c r="P687" s="795" t="s">
        <v>100</v>
      </c>
      <c r="Q687" s="796" t="s">
        <v>2958</v>
      </c>
      <c r="R687" s="795" t="s">
        <v>1051</v>
      </c>
      <c r="S687" s="794"/>
      <c r="T687" s="794"/>
      <c r="U687" s="795" t="s">
        <v>2901</v>
      </c>
      <c r="V687" s="795"/>
      <c r="W687" s="797"/>
      <c r="X687" s="798" t="s">
        <v>2978</v>
      </c>
      <c r="Y687" s="799" t="s">
        <v>1054</v>
      </c>
      <c r="Z687" s="800">
        <v>2.7101</v>
      </c>
      <c r="AA687" s="801">
        <f t="shared" si="380"/>
        <v>2981.11</v>
      </c>
      <c r="AB687" s="680">
        <v>1100</v>
      </c>
      <c r="AC687" s="680">
        <f t="shared" si="362"/>
        <v>0</v>
      </c>
      <c r="AD687" s="801" t="s">
        <v>106</v>
      </c>
      <c r="AE687" s="764" t="s">
        <v>1264</v>
      </c>
      <c r="AF687" s="799" t="s">
        <v>107</v>
      </c>
      <c r="AG687" s="802" t="s">
        <v>43</v>
      </c>
      <c r="AH687" s="799"/>
      <c r="AI687" s="803"/>
      <c r="AJ687" s="803"/>
      <c r="AK687" s="803"/>
      <c r="AL687" s="680"/>
      <c r="AM687" s="680"/>
      <c r="AN687" s="803"/>
      <c r="AO687" s="803"/>
      <c r="AP687" s="680">
        <f t="shared" ref="AP687:AP694" si="381">I687</f>
        <v>1100</v>
      </c>
      <c r="AQ687" s="814"/>
      <c r="AR687" s="803"/>
      <c r="AS687" s="803"/>
      <c r="AT687" s="680"/>
      <c r="AU687" s="680"/>
      <c r="AV687" s="802">
        <f>I687</f>
        <v>1100</v>
      </c>
      <c r="AW687" s="806"/>
      <c r="AX687" s="802"/>
      <c r="AY687" s="802"/>
      <c r="AZ687" s="806"/>
      <c r="BA687" s="802"/>
      <c r="BB687" s="802">
        <f>I687/11</f>
        <v>100</v>
      </c>
      <c r="BC687" s="806"/>
      <c r="BD687" s="806"/>
      <c r="BE687" s="681"/>
      <c r="BF687" s="806"/>
      <c r="BG687" s="802"/>
      <c r="BH687" s="802"/>
      <c r="BI687" s="806"/>
      <c r="BJ687" s="806"/>
      <c r="BK687" s="681"/>
      <c r="BL687" s="681"/>
      <c r="BM687" s="681"/>
      <c r="BN687" s="681"/>
      <c r="BO687" s="681"/>
      <c r="BP687" s="806"/>
      <c r="BQ687" s="681"/>
      <c r="BR687" s="806"/>
      <c r="BS687" s="681"/>
      <c r="BT687" s="681"/>
      <c r="BU687" s="681"/>
      <c r="BV687" s="681"/>
      <c r="BW687" s="797" t="s">
        <v>109</v>
      </c>
      <c r="BX687" s="807">
        <f>I687/22*5</f>
        <v>250</v>
      </c>
      <c r="BY687" s="807">
        <f>I687/22*6</f>
        <v>300</v>
      </c>
      <c r="BZ687" s="807">
        <f>I687/22*6</f>
        <v>300</v>
      </c>
      <c r="CA687" s="807">
        <f>I687/22*5</f>
        <v>250</v>
      </c>
      <c r="CB687" s="809">
        <f t="shared" si="378"/>
        <v>1100</v>
      </c>
      <c r="CC687" s="807">
        <f>I687/11</f>
        <v>100</v>
      </c>
      <c r="CD687" s="809">
        <f t="shared" si="374"/>
        <v>1100</v>
      </c>
      <c r="CE687" s="809">
        <f t="shared" si="375"/>
        <v>0</v>
      </c>
      <c r="XEN687" s="811"/>
      <c r="XEO687" s="811"/>
      <c r="XEP687" s="811"/>
      <c r="XEQ687" s="811"/>
      <c r="XER687" s="811"/>
      <c r="XES687" s="811"/>
      <c r="XET687" s="811"/>
      <c r="XEU687" s="811"/>
      <c r="XEV687" s="811"/>
      <c r="XEW687" s="811"/>
      <c r="XEX687" s="811"/>
      <c r="XEY687" s="811"/>
      <c r="XEZ687" s="811"/>
      <c r="XFA687" s="811"/>
      <c r="XFB687" s="811"/>
      <c r="XFC687" s="811"/>
      <c r="XFD687" s="811"/>
    </row>
    <row r="688" s="560" customFormat="1" ht="40" customHeight="1" spans="1:83 16368:16384">
      <c r="A688" s="786">
        <v>46101</v>
      </c>
      <c r="B688" s="790" t="s">
        <v>1587</v>
      </c>
      <c r="C688" s="788" t="s">
        <v>178</v>
      </c>
      <c r="D688" s="789">
        <v>4500197925</v>
      </c>
      <c r="E688" s="790" t="s">
        <v>2979</v>
      </c>
      <c r="F688" s="815" t="s">
        <v>2980</v>
      </c>
      <c r="G688" s="764" t="s">
        <v>159</v>
      </c>
      <c r="H688" s="764" t="s">
        <v>99</v>
      </c>
      <c r="I688" s="792">
        <v>24</v>
      </c>
      <c r="J688" s="792">
        <v>0</v>
      </c>
      <c r="K688" s="793">
        <v>24</v>
      </c>
      <c r="L688" s="793">
        <f t="shared" si="379"/>
        <v>1</v>
      </c>
      <c r="M688" s="794">
        <v>46149</v>
      </c>
      <c r="N688" s="794">
        <v>46146</v>
      </c>
      <c r="O688" s="794"/>
      <c r="P688" s="795" t="s">
        <v>100</v>
      </c>
      <c r="Q688" s="796" t="s">
        <v>2981</v>
      </c>
      <c r="R688" s="795" t="s">
        <v>2960</v>
      </c>
      <c r="S688" s="795"/>
      <c r="T688" s="795"/>
      <c r="U688" s="795" t="s">
        <v>493</v>
      </c>
      <c r="V688" s="795" t="s">
        <v>2982</v>
      </c>
      <c r="W688" s="797"/>
      <c r="X688" s="798" t="s">
        <v>2983</v>
      </c>
      <c r="Y688" s="799" t="s">
        <v>734</v>
      </c>
      <c r="Z688" s="816">
        <v>2.5718</v>
      </c>
      <c r="AA688" s="801">
        <f t="shared" si="380"/>
        <v>61.7232</v>
      </c>
      <c r="AB688" s="680">
        <v>24</v>
      </c>
      <c r="AC688" s="680">
        <f t="shared" ref="AC688:AC751" si="382">AB688-I688</f>
        <v>0</v>
      </c>
      <c r="AD688" s="801" t="s">
        <v>106</v>
      </c>
      <c r="AE688" s="817" t="s">
        <v>166</v>
      </c>
      <c r="AF688" s="799" t="s">
        <v>107</v>
      </c>
      <c r="AG688" s="802" t="s">
        <v>43</v>
      </c>
      <c r="AH688" s="799"/>
      <c r="AI688" s="818"/>
      <c r="AJ688" s="818"/>
      <c r="AK688" s="818"/>
      <c r="AL688" s="680"/>
      <c r="AM688" s="680"/>
      <c r="AN688" s="818"/>
      <c r="AO688" s="818"/>
      <c r="AP688" s="680">
        <f t="shared" si="381"/>
        <v>24</v>
      </c>
      <c r="AQ688" s="814"/>
      <c r="AR688" s="818"/>
      <c r="AS688" s="818"/>
      <c r="AT688" s="802"/>
      <c r="AU688" s="680">
        <f t="shared" ref="AU688:AU712" si="383">I688</f>
        <v>24</v>
      </c>
      <c r="AV688" s="681"/>
      <c r="AW688" s="819"/>
      <c r="AX688" s="802"/>
      <c r="AY688" s="802"/>
      <c r="AZ688" s="820"/>
      <c r="BA688" s="681"/>
      <c r="BB688" s="681"/>
      <c r="BC688" s="820"/>
      <c r="BD688" s="820"/>
      <c r="BE688" s="681"/>
      <c r="BF688" s="820"/>
      <c r="BG688" s="797"/>
      <c r="BH688" s="807"/>
      <c r="BI688" s="821"/>
      <c r="BJ688" s="821"/>
      <c r="BK688" s="807"/>
      <c r="BL688" s="809"/>
      <c r="BM688" s="807"/>
      <c r="BN688" s="809"/>
      <c r="BO688" s="809"/>
      <c r="BP688" s="822"/>
      <c r="BQ688" s="681"/>
      <c r="BR688" s="820"/>
      <c r="BS688" s="681"/>
      <c r="BT688" s="681"/>
      <c r="BU688" s="681"/>
      <c r="BV688" s="681"/>
      <c r="BW688" s="797" t="s">
        <v>109</v>
      </c>
      <c r="BX688" s="807"/>
      <c r="BY688" s="807">
        <f t="shared" ref="BY688:BY694" si="384">I688</f>
        <v>24</v>
      </c>
      <c r="BZ688" s="807"/>
      <c r="CA688" s="807"/>
      <c r="CB688" s="809">
        <f t="shared" si="378"/>
        <v>24</v>
      </c>
      <c r="CC688" s="809"/>
      <c r="CD688" s="809">
        <f t="shared" si="374"/>
        <v>24</v>
      </c>
      <c r="CE688" s="809">
        <v>0</v>
      </c>
      <c r="XEN688" s="811"/>
      <c r="XEO688" s="811"/>
      <c r="XEP688" s="811"/>
      <c r="XEQ688" s="811"/>
      <c r="XER688" s="811"/>
      <c r="XES688" s="811"/>
      <c r="XET688" s="811"/>
      <c r="XEU688" s="811"/>
      <c r="XEV688" s="811"/>
      <c r="XEW688" s="811"/>
      <c r="XEX688" s="811"/>
      <c r="XEY688" s="811"/>
      <c r="XEZ688" s="811"/>
      <c r="XFA688" s="811"/>
      <c r="XFB688" s="811"/>
      <c r="XFC688" s="811"/>
      <c r="XFD688" s="811"/>
    </row>
    <row r="689" s="560" customFormat="1" ht="40" customHeight="1" spans="1:83 16338:16384">
      <c r="A689" s="786">
        <v>46101</v>
      </c>
      <c r="B689" s="790" t="s">
        <v>1587</v>
      </c>
      <c r="C689" s="788" t="s">
        <v>178</v>
      </c>
      <c r="D689" s="789">
        <v>4500197925</v>
      </c>
      <c r="E689" s="790" t="s">
        <v>2984</v>
      </c>
      <c r="F689" s="815" t="s">
        <v>2985</v>
      </c>
      <c r="G689" s="764" t="s">
        <v>159</v>
      </c>
      <c r="H689" s="764" t="s">
        <v>99</v>
      </c>
      <c r="I689" s="792">
        <v>24</v>
      </c>
      <c r="J689" s="792">
        <v>0</v>
      </c>
      <c r="K689" s="793">
        <v>24</v>
      </c>
      <c r="L689" s="793">
        <f t="shared" si="379"/>
        <v>1</v>
      </c>
      <c r="M689" s="794">
        <v>46149</v>
      </c>
      <c r="N689" s="794">
        <v>46146</v>
      </c>
      <c r="O689" s="794"/>
      <c r="P689" s="795" t="s">
        <v>100</v>
      </c>
      <c r="Q689" s="796" t="s">
        <v>2981</v>
      </c>
      <c r="R689" s="795" t="s">
        <v>2960</v>
      </c>
      <c r="S689" s="795"/>
      <c r="T689" s="795"/>
      <c r="U689" s="795" t="s">
        <v>493</v>
      </c>
      <c r="V689" s="795" t="s">
        <v>2982</v>
      </c>
      <c r="W689" s="797"/>
      <c r="X689" s="798" t="s">
        <v>2983</v>
      </c>
      <c r="Y689" s="799" t="s">
        <v>734</v>
      </c>
      <c r="Z689" s="816">
        <v>2.5718</v>
      </c>
      <c r="AA689" s="801">
        <f t="shared" si="380"/>
        <v>61.7232</v>
      </c>
      <c r="AB689" s="680">
        <v>24</v>
      </c>
      <c r="AC689" s="680">
        <f t="shared" si="382"/>
        <v>0</v>
      </c>
      <c r="AD689" s="801" t="s">
        <v>106</v>
      </c>
      <c r="AE689" s="817" t="s">
        <v>166</v>
      </c>
      <c r="AF689" s="799" t="s">
        <v>107</v>
      </c>
      <c r="AG689" s="802" t="s">
        <v>43</v>
      </c>
      <c r="AH689" s="799"/>
      <c r="AI689" s="818"/>
      <c r="AJ689" s="818"/>
      <c r="AK689" s="818"/>
      <c r="AL689" s="680"/>
      <c r="AM689" s="680"/>
      <c r="AN689" s="818"/>
      <c r="AO689" s="818"/>
      <c r="AP689" s="680">
        <f t="shared" si="381"/>
        <v>24</v>
      </c>
      <c r="AQ689" s="814"/>
      <c r="AR689" s="818"/>
      <c r="AS689" s="818"/>
      <c r="AT689" s="802"/>
      <c r="AU689" s="680">
        <f t="shared" si="383"/>
        <v>24</v>
      </c>
      <c r="AV689" s="681"/>
      <c r="AW689" s="819"/>
      <c r="AX689" s="802"/>
      <c r="AY689" s="802"/>
      <c r="AZ689" s="820"/>
      <c r="BA689" s="681"/>
      <c r="BB689" s="681"/>
      <c r="BC689" s="820"/>
      <c r="BD689" s="820"/>
      <c r="BE689" s="681"/>
      <c r="BF689" s="820"/>
      <c r="BG689" s="797"/>
      <c r="BH689" s="807"/>
      <c r="BI689" s="821"/>
      <c r="BJ689" s="821"/>
      <c r="BK689" s="807"/>
      <c r="BL689" s="809"/>
      <c r="BM689" s="807"/>
      <c r="BN689" s="809"/>
      <c r="BO689" s="809"/>
      <c r="BP689" s="822"/>
      <c r="BQ689" s="681"/>
      <c r="BR689" s="820"/>
      <c r="BS689" s="681"/>
      <c r="BT689" s="681"/>
      <c r="BU689" s="681"/>
      <c r="BV689" s="681"/>
      <c r="BW689" s="797" t="s">
        <v>109</v>
      </c>
      <c r="BX689" s="807"/>
      <c r="BY689" s="807">
        <f t="shared" si="384"/>
        <v>24</v>
      </c>
      <c r="BZ689" s="807"/>
      <c r="CA689" s="807"/>
      <c r="CB689" s="809">
        <f t="shared" si="378"/>
        <v>24</v>
      </c>
      <c r="CC689" s="809"/>
      <c r="CD689" s="809">
        <f t="shared" si="374"/>
        <v>24</v>
      </c>
      <c r="CE689" s="809">
        <v>0</v>
      </c>
      <c r="XEN689" s="811"/>
      <c r="XEO689" s="811"/>
      <c r="XEP689" s="811"/>
      <c r="XEQ689" s="811"/>
      <c r="XER689" s="811"/>
      <c r="XES689" s="811"/>
      <c r="XET689" s="811"/>
      <c r="XEU689" s="811"/>
      <c r="XEV689" s="811"/>
      <c r="XEW689" s="811"/>
      <c r="XEX689" s="811"/>
      <c r="XEY689" s="811"/>
      <c r="XEZ689" s="811"/>
      <c r="XFA689" s="811"/>
      <c r="XFB689" s="811"/>
      <c r="XFC689" s="811"/>
      <c r="XFD689" s="811"/>
    </row>
    <row r="690" s="560" customFormat="1" ht="40" customHeight="1" spans="1:83 16338:16384">
      <c r="A690" s="786">
        <v>46101</v>
      </c>
      <c r="B690" s="790" t="s">
        <v>1587</v>
      </c>
      <c r="C690" s="788" t="s">
        <v>178</v>
      </c>
      <c r="D690" s="789">
        <v>4500197925</v>
      </c>
      <c r="E690" s="790" t="s">
        <v>2986</v>
      </c>
      <c r="F690" s="815" t="s">
        <v>2987</v>
      </c>
      <c r="G690" s="764" t="s">
        <v>159</v>
      </c>
      <c r="H690" s="764" t="s">
        <v>99</v>
      </c>
      <c r="I690" s="792">
        <v>24</v>
      </c>
      <c r="J690" s="792">
        <v>0</v>
      </c>
      <c r="K690" s="793">
        <v>24</v>
      </c>
      <c r="L690" s="793">
        <f t="shared" si="379"/>
        <v>1</v>
      </c>
      <c r="M690" s="794">
        <v>46149</v>
      </c>
      <c r="N690" s="794">
        <v>46146</v>
      </c>
      <c r="O690" s="794"/>
      <c r="P690" s="795" t="s">
        <v>100</v>
      </c>
      <c r="Q690" s="796" t="s">
        <v>2981</v>
      </c>
      <c r="R690" s="795" t="s">
        <v>2960</v>
      </c>
      <c r="S690" s="795"/>
      <c r="T690" s="795"/>
      <c r="U690" s="795" t="s">
        <v>493</v>
      </c>
      <c r="V690" s="795" t="s">
        <v>2982</v>
      </c>
      <c r="W690" s="797"/>
      <c r="X690" s="798" t="s">
        <v>2983</v>
      </c>
      <c r="Y690" s="799" t="s">
        <v>734</v>
      </c>
      <c r="Z690" s="816">
        <v>2.5718</v>
      </c>
      <c r="AA690" s="801">
        <f t="shared" si="380"/>
        <v>61.7232</v>
      </c>
      <c r="AB690" s="680">
        <v>24</v>
      </c>
      <c r="AC690" s="680">
        <f t="shared" si="382"/>
        <v>0</v>
      </c>
      <c r="AD690" s="801" t="s">
        <v>106</v>
      </c>
      <c r="AE690" s="817" t="s">
        <v>166</v>
      </c>
      <c r="AF690" s="799" t="s">
        <v>107</v>
      </c>
      <c r="AG690" s="802" t="s">
        <v>43</v>
      </c>
      <c r="AH690" s="799"/>
      <c r="AI690" s="818"/>
      <c r="AJ690" s="818"/>
      <c r="AK690" s="818"/>
      <c r="AL690" s="680"/>
      <c r="AM690" s="680"/>
      <c r="AN690" s="818"/>
      <c r="AO690" s="818"/>
      <c r="AP690" s="680">
        <f t="shared" si="381"/>
        <v>24</v>
      </c>
      <c r="AQ690" s="814"/>
      <c r="AR690" s="818"/>
      <c r="AS690" s="818"/>
      <c r="AT690" s="802"/>
      <c r="AU690" s="680">
        <f t="shared" si="383"/>
        <v>24</v>
      </c>
      <c r="AV690" s="681"/>
      <c r="AW690" s="819"/>
      <c r="AX690" s="802"/>
      <c r="AY690" s="802"/>
      <c r="AZ690" s="820"/>
      <c r="BA690" s="681"/>
      <c r="BB690" s="681"/>
      <c r="BC690" s="820"/>
      <c r="BD690" s="820"/>
      <c r="BE690" s="681"/>
      <c r="BF690" s="820"/>
      <c r="BG690" s="797"/>
      <c r="BH690" s="807"/>
      <c r="BI690" s="821"/>
      <c r="BJ690" s="821"/>
      <c r="BK690" s="807"/>
      <c r="BL690" s="809"/>
      <c r="BM690" s="807"/>
      <c r="BN690" s="809"/>
      <c r="BO690" s="809"/>
      <c r="BP690" s="822"/>
      <c r="BQ690" s="681"/>
      <c r="BR690" s="820"/>
      <c r="BS690" s="681"/>
      <c r="BT690" s="681"/>
      <c r="BU690" s="681"/>
      <c r="BV690" s="681"/>
      <c r="BW690" s="797" t="s">
        <v>109</v>
      </c>
      <c r="BX690" s="807"/>
      <c r="BY690" s="807">
        <f t="shared" si="384"/>
        <v>24</v>
      </c>
      <c r="BZ690" s="807"/>
      <c r="CA690" s="807"/>
      <c r="CB690" s="809">
        <f t="shared" si="378"/>
        <v>24</v>
      </c>
      <c r="CC690" s="809"/>
      <c r="CD690" s="809">
        <f t="shared" si="374"/>
        <v>24</v>
      </c>
      <c r="CE690" s="809">
        <v>0</v>
      </c>
      <c r="XEN690" s="811"/>
      <c r="XEO690" s="811"/>
      <c r="XEP690" s="811"/>
      <c r="XEQ690" s="811"/>
      <c r="XER690" s="811"/>
      <c r="XES690" s="811"/>
      <c r="XET690" s="811"/>
      <c r="XEU690" s="811"/>
      <c r="XEV690" s="811"/>
      <c r="XEW690" s="811"/>
      <c r="XEX690" s="811"/>
      <c r="XEY690" s="811"/>
      <c r="XEZ690" s="811"/>
      <c r="XFA690" s="811"/>
      <c r="XFB690" s="811"/>
      <c r="XFC690" s="811"/>
      <c r="XFD690" s="811"/>
    </row>
    <row r="691" s="560" customFormat="1" ht="40" customHeight="1" spans="1:83 16338:16384">
      <c r="A691" s="786">
        <v>46101</v>
      </c>
      <c r="B691" s="790" t="s">
        <v>1587</v>
      </c>
      <c r="C691" s="788" t="s">
        <v>178</v>
      </c>
      <c r="D691" s="789">
        <v>4500197925</v>
      </c>
      <c r="E691" s="790" t="s">
        <v>2988</v>
      </c>
      <c r="F691" s="815" t="s">
        <v>2989</v>
      </c>
      <c r="G691" s="764" t="s">
        <v>159</v>
      </c>
      <c r="H691" s="764" t="s">
        <v>99</v>
      </c>
      <c r="I691" s="792">
        <v>24</v>
      </c>
      <c r="J691" s="792">
        <v>0</v>
      </c>
      <c r="K691" s="793">
        <v>24</v>
      </c>
      <c r="L691" s="793">
        <f t="shared" si="379"/>
        <v>1</v>
      </c>
      <c r="M691" s="794">
        <v>46149</v>
      </c>
      <c r="N691" s="794">
        <v>46146</v>
      </c>
      <c r="O691" s="794"/>
      <c r="P691" s="795" t="s">
        <v>100</v>
      </c>
      <c r="Q691" s="796" t="s">
        <v>2981</v>
      </c>
      <c r="R691" s="795" t="s">
        <v>2960</v>
      </c>
      <c r="S691" s="795"/>
      <c r="T691" s="795"/>
      <c r="U691" s="795" t="s">
        <v>493</v>
      </c>
      <c r="V691" s="795" t="s">
        <v>2982</v>
      </c>
      <c r="W691" s="797"/>
      <c r="X691" s="798" t="s">
        <v>2983</v>
      </c>
      <c r="Y691" s="799" t="s">
        <v>734</v>
      </c>
      <c r="Z691" s="816">
        <v>2.5718</v>
      </c>
      <c r="AA691" s="801">
        <f t="shared" si="380"/>
        <v>61.7232</v>
      </c>
      <c r="AB691" s="680">
        <v>24</v>
      </c>
      <c r="AC691" s="680">
        <f t="shared" si="382"/>
        <v>0</v>
      </c>
      <c r="AD691" s="801" t="s">
        <v>106</v>
      </c>
      <c r="AE691" s="817" t="s">
        <v>166</v>
      </c>
      <c r="AF691" s="799" t="s">
        <v>107</v>
      </c>
      <c r="AG691" s="802" t="s">
        <v>43</v>
      </c>
      <c r="AH691" s="799"/>
      <c r="AI691" s="818"/>
      <c r="AJ691" s="818"/>
      <c r="AK691" s="818"/>
      <c r="AL691" s="680"/>
      <c r="AM691" s="680"/>
      <c r="AN691" s="818"/>
      <c r="AO691" s="818"/>
      <c r="AP691" s="680">
        <f t="shared" si="381"/>
        <v>24</v>
      </c>
      <c r="AQ691" s="814"/>
      <c r="AR691" s="818"/>
      <c r="AS691" s="818"/>
      <c r="AT691" s="802"/>
      <c r="AU691" s="680">
        <f t="shared" si="383"/>
        <v>24</v>
      </c>
      <c r="AV691" s="681"/>
      <c r="AW691" s="819"/>
      <c r="AX691" s="802"/>
      <c r="AY691" s="802"/>
      <c r="AZ691" s="820"/>
      <c r="BA691" s="681"/>
      <c r="BB691" s="681"/>
      <c r="BC691" s="820"/>
      <c r="BD691" s="820"/>
      <c r="BE691" s="681"/>
      <c r="BF691" s="820"/>
      <c r="BG691" s="797"/>
      <c r="BH691" s="807"/>
      <c r="BI691" s="821"/>
      <c r="BJ691" s="821"/>
      <c r="BK691" s="807"/>
      <c r="BL691" s="809"/>
      <c r="BM691" s="807"/>
      <c r="BN691" s="809"/>
      <c r="BO691" s="809"/>
      <c r="BP691" s="822"/>
      <c r="BQ691" s="681"/>
      <c r="BR691" s="820"/>
      <c r="BS691" s="681"/>
      <c r="BT691" s="681"/>
      <c r="BU691" s="681"/>
      <c r="BV691" s="681"/>
      <c r="BW691" s="797" t="s">
        <v>109</v>
      </c>
      <c r="BX691" s="807"/>
      <c r="BY691" s="807">
        <f t="shared" si="384"/>
        <v>24</v>
      </c>
      <c r="BZ691" s="807"/>
      <c r="CA691" s="807"/>
      <c r="CB691" s="809">
        <f t="shared" si="378"/>
        <v>24</v>
      </c>
      <c r="CC691" s="809"/>
      <c r="CD691" s="809">
        <f t="shared" si="374"/>
        <v>24</v>
      </c>
      <c r="CE691" s="809">
        <v>0</v>
      </c>
      <c r="XEN691" s="811"/>
      <c r="XEO691" s="811"/>
      <c r="XEP691" s="811"/>
      <c r="XEQ691" s="811"/>
      <c r="XER691" s="811"/>
      <c r="XES691" s="811"/>
      <c r="XET691" s="811"/>
      <c r="XEU691" s="811"/>
      <c r="XEV691" s="811"/>
      <c r="XEW691" s="811"/>
      <c r="XEX691" s="811"/>
      <c r="XEY691" s="811"/>
      <c r="XEZ691" s="811"/>
      <c r="XFA691" s="811"/>
      <c r="XFB691" s="811"/>
      <c r="XFC691" s="811"/>
      <c r="XFD691" s="811"/>
    </row>
    <row r="692" s="560" customFormat="1" ht="40" customHeight="1" spans="1:83 16338:16384">
      <c r="A692" s="786">
        <v>46101</v>
      </c>
      <c r="B692" s="790" t="s">
        <v>1587</v>
      </c>
      <c r="C692" s="788" t="s">
        <v>178</v>
      </c>
      <c r="D692" s="789">
        <v>4500197925</v>
      </c>
      <c r="E692" s="790" t="s">
        <v>2990</v>
      </c>
      <c r="F692" s="815" t="s">
        <v>2991</v>
      </c>
      <c r="G692" s="764" t="s">
        <v>159</v>
      </c>
      <c r="H692" s="764" t="s">
        <v>99</v>
      </c>
      <c r="I692" s="792">
        <v>24</v>
      </c>
      <c r="J692" s="792">
        <v>0</v>
      </c>
      <c r="K692" s="793">
        <v>24</v>
      </c>
      <c r="L692" s="793">
        <f t="shared" si="379"/>
        <v>1</v>
      </c>
      <c r="M692" s="794">
        <v>46149</v>
      </c>
      <c r="N692" s="794">
        <v>46146</v>
      </c>
      <c r="O692" s="794"/>
      <c r="P692" s="795" t="s">
        <v>100</v>
      </c>
      <c r="Q692" s="796" t="s">
        <v>2981</v>
      </c>
      <c r="R692" s="795" t="s">
        <v>2960</v>
      </c>
      <c r="S692" s="795"/>
      <c r="T692" s="795"/>
      <c r="U692" s="795" t="s">
        <v>493</v>
      </c>
      <c r="V692" s="795" t="s">
        <v>2982</v>
      </c>
      <c r="W692" s="797"/>
      <c r="X692" s="798" t="s">
        <v>2983</v>
      </c>
      <c r="Y692" s="799" t="s">
        <v>734</v>
      </c>
      <c r="Z692" s="816">
        <v>2.5718</v>
      </c>
      <c r="AA692" s="801">
        <f t="shared" si="380"/>
        <v>61.7232</v>
      </c>
      <c r="AB692" s="680">
        <v>24</v>
      </c>
      <c r="AC692" s="680">
        <f t="shared" si="382"/>
        <v>0</v>
      </c>
      <c r="AD692" s="801" t="s">
        <v>106</v>
      </c>
      <c r="AE692" s="817" t="s">
        <v>166</v>
      </c>
      <c r="AF692" s="799" t="s">
        <v>107</v>
      </c>
      <c r="AG692" s="802" t="s">
        <v>43</v>
      </c>
      <c r="AH692" s="799"/>
      <c r="AI692" s="818"/>
      <c r="AJ692" s="818"/>
      <c r="AK692" s="818"/>
      <c r="AL692" s="680"/>
      <c r="AM692" s="680"/>
      <c r="AN692" s="818"/>
      <c r="AO692" s="818"/>
      <c r="AP692" s="680">
        <f t="shared" si="381"/>
        <v>24</v>
      </c>
      <c r="AQ692" s="814"/>
      <c r="AR692" s="818"/>
      <c r="AS692" s="818"/>
      <c r="AT692" s="802"/>
      <c r="AU692" s="680">
        <f t="shared" si="383"/>
        <v>24</v>
      </c>
      <c r="AV692" s="681"/>
      <c r="AW692" s="819"/>
      <c r="AX692" s="802"/>
      <c r="AY692" s="802"/>
      <c r="AZ692" s="820"/>
      <c r="BA692" s="681"/>
      <c r="BB692" s="681"/>
      <c r="BC692" s="820"/>
      <c r="BD692" s="820"/>
      <c r="BE692" s="681"/>
      <c r="BF692" s="820"/>
      <c r="BG692" s="797"/>
      <c r="BH692" s="807"/>
      <c r="BI692" s="821"/>
      <c r="BJ692" s="821"/>
      <c r="BK692" s="807"/>
      <c r="BL692" s="809"/>
      <c r="BM692" s="807"/>
      <c r="BN692" s="809"/>
      <c r="BO692" s="809"/>
      <c r="BP692" s="822"/>
      <c r="BQ692" s="681"/>
      <c r="BR692" s="820"/>
      <c r="BS692" s="681"/>
      <c r="BT692" s="681"/>
      <c r="BU692" s="681"/>
      <c r="BV692" s="681"/>
      <c r="BW692" s="797" t="s">
        <v>109</v>
      </c>
      <c r="BX692" s="807"/>
      <c r="BY692" s="807">
        <f t="shared" si="384"/>
        <v>24</v>
      </c>
      <c r="BZ692" s="807"/>
      <c r="CA692" s="807"/>
      <c r="CB692" s="809">
        <f t="shared" si="378"/>
        <v>24</v>
      </c>
      <c r="CC692" s="809"/>
      <c r="CD692" s="809">
        <f t="shared" si="374"/>
        <v>24</v>
      </c>
      <c r="CE692" s="809">
        <v>0</v>
      </c>
      <c r="XEN692" s="811"/>
      <c r="XEO692" s="811"/>
      <c r="XEP692" s="811"/>
      <c r="XEQ692" s="811"/>
      <c r="XER692" s="811"/>
      <c r="XES692" s="811"/>
      <c r="XET692" s="811"/>
      <c r="XEU692" s="811"/>
      <c r="XEV692" s="811"/>
      <c r="XEW692" s="811"/>
      <c r="XEX692" s="811"/>
      <c r="XEY692" s="811"/>
      <c r="XEZ692" s="811"/>
      <c r="XFA692" s="811"/>
      <c r="XFB692" s="811"/>
      <c r="XFC692" s="811"/>
      <c r="XFD692" s="811"/>
    </row>
    <row r="693" s="560" customFormat="1" ht="40" customHeight="1" spans="1:83 16338:16384">
      <c r="A693" s="786">
        <v>46101</v>
      </c>
      <c r="B693" s="790" t="s">
        <v>1587</v>
      </c>
      <c r="C693" s="788" t="s">
        <v>178</v>
      </c>
      <c r="D693" s="789">
        <v>4500197925</v>
      </c>
      <c r="E693" s="790" t="s">
        <v>2992</v>
      </c>
      <c r="F693" s="815" t="s">
        <v>2993</v>
      </c>
      <c r="G693" s="764" t="s">
        <v>159</v>
      </c>
      <c r="H693" s="764" t="s">
        <v>99</v>
      </c>
      <c r="I693" s="792">
        <v>24</v>
      </c>
      <c r="J693" s="792">
        <v>0</v>
      </c>
      <c r="K693" s="793">
        <v>24</v>
      </c>
      <c r="L693" s="793">
        <f t="shared" si="379"/>
        <v>1</v>
      </c>
      <c r="M693" s="794">
        <v>46149</v>
      </c>
      <c r="N693" s="794">
        <v>46146</v>
      </c>
      <c r="O693" s="794"/>
      <c r="P693" s="795" t="s">
        <v>100</v>
      </c>
      <c r="Q693" s="796" t="s">
        <v>2981</v>
      </c>
      <c r="R693" s="795" t="s">
        <v>2960</v>
      </c>
      <c r="S693" s="795"/>
      <c r="T693" s="795"/>
      <c r="U693" s="795" t="s">
        <v>493</v>
      </c>
      <c r="V693" s="795" t="s">
        <v>2982</v>
      </c>
      <c r="W693" s="797"/>
      <c r="X693" s="798" t="s">
        <v>2983</v>
      </c>
      <c r="Y693" s="799" t="s">
        <v>734</v>
      </c>
      <c r="Z693" s="816">
        <v>2.5718</v>
      </c>
      <c r="AA693" s="801">
        <f t="shared" si="380"/>
        <v>61.7232</v>
      </c>
      <c r="AB693" s="680">
        <v>24</v>
      </c>
      <c r="AC693" s="680">
        <f t="shared" si="382"/>
        <v>0</v>
      </c>
      <c r="AD693" s="801" t="s">
        <v>106</v>
      </c>
      <c r="AE693" s="817" t="s">
        <v>166</v>
      </c>
      <c r="AF693" s="799" t="s">
        <v>107</v>
      </c>
      <c r="AG693" s="802" t="s">
        <v>43</v>
      </c>
      <c r="AH693" s="799"/>
      <c r="AI693" s="818"/>
      <c r="AJ693" s="818"/>
      <c r="AK693" s="818"/>
      <c r="AL693" s="680"/>
      <c r="AM693" s="680"/>
      <c r="AN693" s="818"/>
      <c r="AO693" s="818"/>
      <c r="AP693" s="680">
        <f t="shared" si="381"/>
        <v>24</v>
      </c>
      <c r="AQ693" s="814"/>
      <c r="AR693" s="818"/>
      <c r="AS693" s="818"/>
      <c r="AT693" s="802"/>
      <c r="AU693" s="680">
        <f t="shared" si="383"/>
        <v>24</v>
      </c>
      <c r="AV693" s="681"/>
      <c r="AW693" s="819"/>
      <c r="AX693" s="802"/>
      <c r="AY693" s="802"/>
      <c r="AZ693" s="820"/>
      <c r="BA693" s="681"/>
      <c r="BB693" s="681"/>
      <c r="BC693" s="820"/>
      <c r="BD693" s="820"/>
      <c r="BE693" s="681"/>
      <c r="BF693" s="820"/>
      <c r="BG693" s="797"/>
      <c r="BH693" s="807"/>
      <c r="BI693" s="821"/>
      <c r="BJ693" s="821"/>
      <c r="BK693" s="807"/>
      <c r="BL693" s="809"/>
      <c r="BM693" s="807"/>
      <c r="BN693" s="809"/>
      <c r="BO693" s="809"/>
      <c r="BP693" s="822"/>
      <c r="BQ693" s="681"/>
      <c r="BR693" s="820"/>
      <c r="BS693" s="681"/>
      <c r="BT693" s="681"/>
      <c r="BU693" s="681"/>
      <c r="BV693" s="681"/>
      <c r="BW693" s="797" t="s">
        <v>109</v>
      </c>
      <c r="BX693" s="807"/>
      <c r="BY693" s="807">
        <f t="shared" si="384"/>
        <v>24</v>
      </c>
      <c r="BZ693" s="807"/>
      <c r="CA693" s="807"/>
      <c r="CB693" s="809">
        <f t="shared" si="378"/>
        <v>24</v>
      </c>
      <c r="CC693" s="809"/>
      <c r="CD693" s="809">
        <f t="shared" si="374"/>
        <v>24</v>
      </c>
      <c r="CE693" s="809">
        <v>0</v>
      </c>
      <c r="XEN693" s="811"/>
      <c r="XEO693" s="811"/>
      <c r="XEP693" s="811"/>
      <c r="XEQ693" s="811"/>
      <c r="XER693" s="811"/>
      <c r="XES693" s="811"/>
      <c r="XET693" s="811"/>
      <c r="XEU693" s="811"/>
      <c r="XEV693" s="811"/>
      <c r="XEW693" s="811"/>
      <c r="XEX693" s="811"/>
      <c r="XEY693" s="811"/>
      <c r="XEZ693" s="811"/>
      <c r="XFA693" s="811"/>
      <c r="XFB693" s="811"/>
      <c r="XFC693" s="811"/>
      <c r="XFD693" s="811"/>
    </row>
    <row r="694" s="560" customFormat="1" ht="40" customHeight="1" spans="1:83 16338:16384">
      <c r="A694" s="786">
        <v>46101</v>
      </c>
      <c r="B694" s="790" t="s">
        <v>1587</v>
      </c>
      <c r="C694" s="788" t="s">
        <v>178</v>
      </c>
      <c r="D694" s="789">
        <v>4500197925</v>
      </c>
      <c r="E694" s="790" t="s">
        <v>2994</v>
      </c>
      <c r="F694" s="815" t="s">
        <v>2995</v>
      </c>
      <c r="G694" s="764" t="s">
        <v>159</v>
      </c>
      <c r="H694" s="764" t="s">
        <v>99</v>
      </c>
      <c r="I694" s="792">
        <v>24</v>
      </c>
      <c r="J694" s="792">
        <v>0</v>
      </c>
      <c r="K694" s="793">
        <v>24</v>
      </c>
      <c r="L694" s="793">
        <f t="shared" si="379"/>
        <v>1</v>
      </c>
      <c r="M694" s="794">
        <v>46149</v>
      </c>
      <c r="N694" s="794">
        <v>46146</v>
      </c>
      <c r="O694" s="794"/>
      <c r="P694" s="795" t="s">
        <v>100</v>
      </c>
      <c r="Q694" s="796" t="s">
        <v>2981</v>
      </c>
      <c r="R694" s="795" t="s">
        <v>2960</v>
      </c>
      <c r="S694" s="795"/>
      <c r="T694" s="795"/>
      <c r="U694" s="795" t="s">
        <v>493</v>
      </c>
      <c r="V694" s="795" t="s">
        <v>2982</v>
      </c>
      <c r="W694" s="797"/>
      <c r="X694" s="798" t="s">
        <v>2983</v>
      </c>
      <c r="Y694" s="799" t="s">
        <v>734</v>
      </c>
      <c r="Z694" s="816">
        <v>2.5718</v>
      </c>
      <c r="AA694" s="801">
        <f t="shared" si="380"/>
        <v>61.7232</v>
      </c>
      <c r="AB694" s="680">
        <v>24</v>
      </c>
      <c r="AC694" s="680">
        <f t="shared" si="382"/>
        <v>0</v>
      </c>
      <c r="AD694" s="801" t="s">
        <v>106</v>
      </c>
      <c r="AE694" s="817" t="s">
        <v>166</v>
      </c>
      <c r="AF694" s="799" t="s">
        <v>107</v>
      </c>
      <c r="AG694" s="802" t="s">
        <v>43</v>
      </c>
      <c r="AH694" s="799"/>
      <c r="AI694" s="818"/>
      <c r="AJ694" s="818"/>
      <c r="AK694" s="818"/>
      <c r="AL694" s="680"/>
      <c r="AM694" s="680"/>
      <c r="AN694" s="818"/>
      <c r="AO694" s="818"/>
      <c r="AP694" s="680">
        <f t="shared" si="381"/>
        <v>24</v>
      </c>
      <c r="AQ694" s="814"/>
      <c r="AR694" s="818"/>
      <c r="AS694" s="818"/>
      <c r="AT694" s="802"/>
      <c r="AU694" s="680">
        <f t="shared" si="383"/>
        <v>24</v>
      </c>
      <c r="AV694" s="681"/>
      <c r="AW694" s="819"/>
      <c r="AX694" s="802"/>
      <c r="AY694" s="802"/>
      <c r="AZ694" s="820"/>
      <c r="BA694" s="681"/>
      <c r="BB694" s="681"/>
      <c r="BC694" s="820"/>
      <c r="BD694" s="820"/>
      <c r="BE694" s="681"/>
      <c r="BF694" s="820"/>
      <c r="BG694" s="797"/>
      <c r="BH694" s="807"/>
      <c r="BI694" s="821"/>
      <c r="BJ694" s="821"/>
      <c r="BK694" s="807"/>
      <c r="BL694" s="809"/>
      <c r="BM694" s="807"/>
      <c r="BN694" s="809"/>
      <c r="BO694" s="809"/>
      <c r="BP694" s="822"/>
      <c r="BQ694" s="681"/>
      <c r="BR694" s="820"/>
      <c r="BS694" s="681"/>
      <c r="BT694" s="681"/>
      <c r="BU694" s="681"/>
      <c r="BV694" s="681"/>
      <c r="BW694" s="797" t="s">
        <v>109</v>
      </c>
      <c r="BX694" s="807"/>
      <c r="BY694" s="807">
        <f t="shared" si="384"/>
        <v>24</v>
      </c>
      <c r="BZ694" s="807"/>
      <c r="CA694" s="807"/>
      <c r="CB694" s="809">
        <f t="shared" si="378"/>
        <v>24</v>
      </c>
      <c r="CC694" s="809"/>
      <c r="CD694" s="809">
        <f t="shared" si="374"/>
        <v>24</v>
      </c>
      <c r="CE694" s="809">
        <v>0</v>
      </c>
      <c r="XEN694" s="811"/>
      <c r="XEO694" s="811"/>
      <c r="XEP694" s="811"/>
      <c r="XEQ694" s="811"/>
      <c r="XER694" s="811"/>
      <c r="XES694" s="811"/>
      <c r="XET694" s="811"/>
      <c r="XEU694" s="811"/>
      <c r="XEV694" s="811"/>
      <c r="XEW694" s="811"/>
      <c r="XEX694" s="811"/>
      <c r="XEY694" s="811"/>
      <c r="XEZ694" s="811"/>
      <c r="XFA694" s="811"/>
      <c r="XFB694" s="811"/>
      <c r="XFC694" s="811"/>
      <c r="XFD694" s="811"/>
    </row>
    <row r="695" s="560" customFormat="1" ht="40" customHeight="1" spans="1:83 16338:16384">
      <c r="A695" s="786">
        <v>46091</v>
      </c>
      <c r="B695" s="787" t="s">
        <v>1074</v>
      </c>
      <c r="C695" s="788" t="s">
        <v>380</v>
      </c>
      <c r="D695" s="789">
        <v>4500195606</v>
      </c>
      <c r="E695" s="790" t="s">
        <v>2996</v>
      </c>
      <c r="F695" s="789" t="s">
        <v>2997</v>
      </c>
      <c r="G695" s="764" t="s">
        <v>241</v>
      </c>
      <c r="H695" s="764" t="s">
        <v>99</v>
      </c>
      <c r="I695" s="792">
        <v>12001</v>
      </c>
      <c r="J695" s="792">
        <v>0</v>
      </c>
      <c r="K695" s="793">
        <v>11</v>
      </c>
      <c r="L695" s="793">
        <f t="shared" si="379"/>
        <v>1091</v>
      </c>
      <c r="M695" s="794">
        <v>46153</v>
      </c>
      <c r="N695" s="794">
        <v>46149</v>
      </c>
      <c r="O695" s="794"/>
      <c r="P695" s="795" t="s">
        <v>100</v>
      </c>
      <c r="Q695" s="796" t="s">
        <v>1031</v>
      </c>
      <c r="R695" s="795" t="s">
        <v>868</v>
      </c>
      <c r="S695" s="794"/>
      <c r="T695" s="794"/>
      <c r="U695" s="795" t="s">
        <v>2998</v>
      </c>
      <c r="V695" s="795"/>
      <c r="W695" s="797"/>
      <c r="X695" s="798" t="s">
        <v>2999</v>
      </c>
      <c r="Y695" s="799" t="s">
        <v>105</v>
      </c>
      <c r="Z695" s="800">
        <v>2.624</v>
      </c>
      <c r="AA695" s="801">
        <f t="shared" si="380"/>
        <v>31490.624</v>
      </c>
      <c r="AB695" s="680">
        <v>12001</v>
      </c>
      <c r="AC695" s="680">
        <f t="shared" si="382"/>
        <v>0</v>
      </c>
      <c r="AD695" s="801" t="s">
        <v>113</v>
      </c>
      <c r="AE695" s="764" t="s">
        <v>241</v>
      </c>
      <c r="AF695" s="799" t="s">
        <v>107</v>
      </c>
      <c r="AG695" s="802" t="s">
        <v>43</v>
      </c>
      <c r="AH695" s="799"/>
      <c r="AI695" s="803"/>
      <c r="AJ695" s="803"/>
      <c r="AK695" s="803"/>
      <c r="AL695" s="804"/>
      <c r="AM695" s="680">
        <f>I695</f>
        <v>12001</v>
      </c>
      <c r="AN695" s="803"/>
      <c r="AO695" s="805"/>
      <c r="AP695" s="802"/>
      <c r="AQ695" s="802"/>
      <c r="AR695" s="805"/>
      <c r="AS695" s="805"/>
      <c r="AT695" s="802"/>
      <c r="AU695" s="802">
        <f t="shared" si="383"/>
        <v>12001</v>
      </c>
      <c r="AV695" s="802"/>
      <c r="AW695" s="805"/>
      <c r="AX695" s="802"/>
      <c r="AY695" s="802">
        <f>I695/11</f>
        <v>1091</v>
      </c>
      <c r="AZ695" s="806"/>
      <c r="BA695" s="681"/>
      <c r="BB695" s="681"/>
      <c r="BC695" s="806"/>
      <c r="BD695" s="806"/>
      <c r="BE695" s="681"/>
      <c r="BF695" s="806"/>
      <c r="BG695" s="797"/>
      <c r="BH695" s="807"/>
      <c r="BI695" s="808"/>
      <c r="BJ695" s="808"/>
      <c r="BK695" s="807"/>
      <c r="BL695" s="809"/>
      <c r="BM695" s="807"/>
      <c r="BN695" s="809"/>
      <c r="BO695" s="809"/>
      <c r="BP695" s="810"/>
      <c r="BQ695" s="681"/>
      <c r="BR695" s="806"/>
      <c r="BS695" s="681"/>
      <c r="BT695" s="681"/>
      <c r="BU695" s="681"/>
      <c r="BV695" s="681"/>
      <c r="BW695" s="797" t="s">
        <v>109</v>
      </c>
      <c r="BX695" s="807">
        <f>I695/22*5</f>
        <v>2727.5</v>
      </c>
      <c r="BY695" s="807">
        <f>I695/22*6</f>
        <v>3273</v>
      </c>
      <c r="BZ695" s="807">
        <f>I695/22*6</f>
        <v>3273</v>
      </c>
      <c r="CA695" s="807">
        <f>I695/22*5</f>
        <v>2727.5</v>
      </c>
      <c r="CB695" s="809">
        <f t="shared" si="378"/>
        <v>12001</v>
      </c>
      <c r="CC695" s="807">
        <f>I695/11</f>
        <v>1091</v>
      </c>
      <c r="CD695" s="809">
        <f t="shared" si="374"/>
        <v>12001</v>
      </c>
      <c r="CE695" s="809">
        <f>I695-CD695</f>
        <v>0</v>
      </c>
      <c r="XEN695" s="811"/>
      <c r="XEO695" s="811"/>
      <c r="XEP695" s="811"/>
      <c r="XEQ695" s="811"/>
      <c r="XER695" s="811"/>
      <c r="XES695" s="811"/>
      <c r="XET695" s="811"/>
      <c r="XEU695" s="811"/>
      <c r="XEV695" s="811"/>
      <c r="XEW695" s="811"/>
      <c r="XEX695" s="811"/>
      <c r="XEY695" s="811"/>
      <c r="XEZ695" s="811"/>
      <c r="XFA695" s="811"/>
      <c r="XFB695" s="811"/>
      <c r="XFC695" s="811"/>
      <c r="XFD695" s="811"/>
    </row>
    <row r="696" s="560" customFormat="1" ht="40" customHeight="1" spans="1:83 16338:16384">
      <c r="A696" s="786">
        <v>46091</v>
      </c>
      <c r="B696" s="787" t="s">
        <v>1074</v>
      </c>
      <c r="C696" s="788" t="s">
        <v>380</v>
      </c>
      <c r="D696" s="789">
        <v>4500195606</v>
      </c>
      <c r="E696" s="790" t="s">
        <v>3000</v>
      </c>
      <c r="F696" s="789" t="s">
        <v>3001</v>
      </c>
      <c r="G696" s="764" t="s">
        <v>241</v>
      </c>
      <c r="H696" s="764" t="s">
        <v>99</v>
      </c>
      <c r="I696" s="792">
        <v>11000</v>
      </c>
      <c r="J696" s="792">
        <v>0</v>
      </c>
      <c r="K696" s="793">
        <v>11</v>
      </c>
      <c r="L696" s="793">
        <f t="shared" si="379"/>
        <v>1000</v>
      </c>
      <c r="M696" s="794">
        <v>46153</v>
      </c>
      <c r="N696" s="794">
        <v>46149</v>
      </c>
      <c r="O696" s="794"/>
      <c r="P696" s="795" t="s">
        <v>100</v>
      </c>
      <c r="Q696" s="796" t="s">
        <v>3002</v>
      </c>
      <c r="R696" s="795" t="s">
        <v>868</v>
      </c>
      <c r="S696" s="794"/>
      <c r="T696" s="794"/>
      <c r="U696" s="795" t="s">
        <v>2998</v>
      </c>
      <c r="V696" s="795"/>
      <c r="W696" s="797"/>
      <c r="X696" s="798" t="s">
        <v>2999</v>
      </c>
      <c r="Y696" s="799" t="s">
        <v>105</v>
      </c>
      <c r="Z696" s="800">
        <v>2.624</v>
      </c>
      <c r="AA696" s="801">
        <f t="shared" si="380"/>
        <v>28864</v>
      </c>
      <c r="AB696" s="680">
        <v>11000</v>
      </c>
      <c r="AC696" s="680">
        <f t="shared" si="382"/>
        <v>0</v>
      </c>
      <c r="AD696" s="801" t="s">
        <v>113</v>
      </c>
      <c r="AE696" s="764" t="s">
        <v>241</v>
      </c>
      <c r="AF696" s="799" t="s">
        <v>107</v>
      </c>
      <c r="AG696" s="802" t="s">
        <v>43</v>
      </c>
      <c r="AH696" s="799"/>
      <c r="AI696" s="803"/>
      <c r="AJ696" s="803"/>
      <c r="AK696" s="803"/>
      <c r="AL696" s="804"/>
      <c r="AM696" s="680">
        <f>I696</f>
        <v>11000</v>
      </c>
      <c r="AN696" s="803"/>
      <c r="AO696" s="805"/>
      <c r="AP696" s="802"/>
      <c r="AQ696" s="802"/>
      <c r="AR696" s="805"/>
      <c r="AS696" s="805"/>
      <c r="AT696" s="802"/>
      <c r="AU696" s="802">
        <f t="shared" si="383"/>
        <v>11000</v>
      </c>
      <c r="AV696" s="802"/>
      <c r="AW696" s="805"/>
      <c r="AX696" s="802"/>
      <c r="AY696" s="802">
        <f>I696/11</f>
        <v>1000</v>
      </c>
      <c r="AZ696" s="806"/>
      <c r="BA696" s="681"/>
      <c r="BB696" s="681"/>
      <c r="BC696" s="806"/>
      <c r="BD696" s="806"/>
      <c r="BE696" s="681"/>
      <c r="BF696" s="806"/>
      <c r="BG696" s="797"/>
      <c r="BH696" s="807"/>
      <c r="BI696" s="808"/>
      <c r="BJ696" s="808"/>
      <c r="BK696" s="807"/>
      <c r="BL696" s="809"/>
      <c r="BM696" s="807"/>
      <c r="BN696" s="809"/>
      <c r="BO696" s="809"/>
      <c r="BP696" s="810"/>
      <c r="BQ696" s="681"/>
      <c r="BR696" s="806"/>
      <c r="BS696" s="681"/>
      <c r="BT696" s="681"/>
      <c r="BU696" s="681"/>
      <c r="BV696" s="681"/>
      <c r="BW696" s="797" t="s">
        <v>109</v>
      </c>
      <c r="BX696" s="807">
        <f>I696/22*5</f>
        <v>2500</v>
      </c>
      <c r="BY696" s="807">
        <f>I696/22*6</f>
        <v>3000</v>
      </c>
      <c r="BZ696" s="807">
        <f>I696/22*6</f>
        <v>3000</v>
      </c>
      <c r="CA696" s="807">
        <f>I696/22*5</f>
        <v>2500</v>
      </c>
      <c r="CB696" s="809">
        <f t="shared" si="378"/>
        <v>11000</v>
      </c>
      <c r="CC696" s="807">
        <f>I696/11</f>
        <v>1000</v>
      </c>
      <c r="CD696" s="809">
        <f t="shared" si="374"/>
        <v>11000</v>
      </c>
      <c r="CE696" s="809">
        <f>I696-CD696</f>
        <v>0</v>
      </c>
      <c r="XEN696" s="811"/>
      <c r="XEO696" s="811"/>
      <c r="XEP696" s="811"/>
      <c r="XEQ696" s="811"/>
      <c r="XER696" s="811"/>
      <c r="XES696" s="811"/>
      <c r="XET696" s="811"/>
      <c r="XEU696" s="811"/>
      <c r="XEV696" s="811"/>
      <c r="XEW696" s="811"/>
      <c r="XEX696" s="811"/>
      <c r="XEY696" s="811"/>
      <c r="XEZ696" s="811"/>
      <c r="XFA696" s="811"/>
      <c r="XFB696" s="811"/>
      <c r="XFC696" s="811"/>
      <c r="XFD696" s="811"/>
    </row>
    <row r="697" s="560" customFormat="1" ht="40" customHeight="1" spans="1:83 16338:16384">
      <c r="A697" s="786">
        <v>46122</v>
      </c>
      <c r="B697" s="787" t="s">
        <v>1763</v>
      </c>
      <c r="C697" s="788" t="s">
        <v>617</v>
      </c>
      <c r="D697" s="789">
        <v>4500201071</v>
      </c>
      <c r="E697" s="812">
        <v>4400555625</v>
      </c>
      <c r="F697" s="815" t="s">
        <v>3003</v>
      </c>
      <c r="G697" s="764" t="s">
        <v>111</v>
      </c>
      <c r="H697" s="764" t="s">
        <v>99</v>
      </c>
      <c r="I697" s="792">
        <v>1012</v>
      </c>
      <c r="J697" s="792">
        <v>0</v>
      </c>
      <c r="K697" s="793">
        <v>22</v>
      </c>
      <c r="L697" s="793">
        <f t="shared" si="379"/>
        <v>46</v>
      </c>
      <c r="M697" s="794">
        <v>46153</v>
      </c>
      <c r="N697" s="794">
        <v>46149</v>
      </c>
      <c r="O697" s="794"/>
      <c r="P697" s="795" t="s">
        <v>100</v>
      </c>
      <c r="Q697" s="823" t="s">
        <v>3004</v>
      </c>
      <c r="R697" s="795" t="s">
        <v>1114</v>
      </c>
      <c r="S697" s="795"/>
      <c r="T697" s="795"/>
      <c r="U697" s="795" t="s">
        <v>3005</v>
      </c>
      <c r="V697" s="797"/>
      <c r="W697" s="797"/>
      <c r="X697" s="798" t="s">
        <v>3006</v>
      </c>
      <c r="Y697" s="793" t="s">
        <v>1864</v>
      </c>
      <c r="Z697" s="816">
        <v>2.7804</v>
      </c>
      <c r="AA697" s="801">
        <f t="shared" si="380"/>
        <v>2813.7648</v>
      </c>
      <c r="AB697" s="680">
        <v>1012</v>
      </c>
      <c r="AC697" s="680">
        <f t="shared" si="382"/>
        <v>0</v>
      </c>
      <c r="AD697" s="801" t="s">
        <v>113</v>
      </c>
      <c r="AE697" s="804" t="s">
        <v>230</v>
      </c>
      <c r="AF697" s="799" t="s">
        <v>107</v>
      </c>
      <c r="AG697" s="802" t="s">
        <v>43</v>
      </c>
      <c r="AH697" s="799"/>
      <c r="AI697" s="805"/>
      <c r="AJ697" s="806"/>
      <c r="AK697" s="824"/>
      <c r="AL697" s="807"/>
      <c r="AM697" s="681"/>
      <c r="AN697" s="825"/>
      <c r="AO697" s="808"/>
      <c r="AP697" s="809">
        <f>I697</f>
        <v>1012</v>
      </c>
      <c r="AQ697" s="807"/>
      <c r="AR697" s="824"/>
      <c r="AS697" s="826"/>
      <c r="AT697" s="827"/>
      <c r="AU697" s="799">
        <f t="shared" si="383"/>
        <v>1012</v>
      </c>
      <c r="AV697" s="827"/>
      <c r="AW697" s="826"/>
      <c r="AX697" s="827"/>
      <c r="AY697" s="827"/>
      <c r="AZ697" s="826"/>
      <c r="BA697" s="827"/>
      <c r="BB697" s="799">
        <f>I697/11</f>
        <v>92</v>
      </c>
      <c r="BC697" s="826"/>
      <c r="BD697" s="826"/>
      <c r="BE697" s="827"/>
      <c r="BF697" s="826"/>
      <c r="BG697" s="827"/>
      <c r="BH697" s="827"/>
      <c r="BI697" s="826"/>
      <c r="BJ697" s="826"/>
      <c r="BK697" s="827"/>
      <c r="BL697" s="827"/>
      <c r="BM697" s="827"/>
      <c r="BN697" s="827"/>
      <c r="BO697" s="827"/>
      <c r="BP697" s="826"/>
      <c r="BQ697" s="827"/>
      <c r="BR697" s="826"/>
      <c r="BS697" s="827"/>
      <c r="BT697" s="827"/>
      <c r="BU697" s="827"/>
      <c r="BV697" s="827"/>
      <c r="BW697" s="828" t="s">
        <v>109</v>
      </c>
      <c r="BX697" s="799">
        <f>I697/22*5</f>
        <v>230</v>
      </c>
      <c r="BY697" s="799">
        <f>I697/22*6</f>
        <v>276</v>
      </c>
      <c r="BZ697" s="799">
        <f>I697/22*6</f>
        <v>276</v>
      </c>
      <c r="CA697" s="799">
        <f>I697/22*5</f>
        <v>230</v>
      </c>
      <c r="CB697" s="799">
        <f t="shared" si="378"/>
        <v>1012</v>
      </c>
      <c r="CC697" s="799">
        <f>I697/11</f>
        <v>92</v>
      </c>
      <c r="CD697" s="799">
        <f t="shared" si="374"/>
        <v>1012</v>
      </c>
      <c r="CE697" s="829">
        <v>0</v>
      </c>
      <c r="XDJ697" s="830"/>
      <c r="XDK697" s="831"/>
      <c r="XDL697" s="832"/>
      <c r="XDM697" s="833"/>
      <c r="XDN697" s="834"/>
      <c r="XDO697" s="835"/>
      <c r="XDP697" s="836"/>
      <c r="XDQ697" s="836"/>
      <c r="XDR697" s="837"/>
      <c r="XDS697" s="837"/>
      <c r="XDT697" s="838"/>
      <c r="XDU697" s="838"/>
      <c r="XDV697" s="839"/>
      <c r="XDW697" s="839"/>
      <c r="XDX697" s="839"/>
      <c r="XDY697" s="840"/>
      <c r="XDZ697" s="830"/>
      <c r="XEA697" s="831"/>
      <c r="XEB697" s="832"/>
      <c r="XEC697" s="833"/>
      <c r="XED697" s="834"/>
      <c r="XEE697" s="835"/>
      <c r="XEF697" s="836"/>
      <c r="XEG697" s="836"/>
      <c r="XEH697" s="837"/>
      <c r="XEI697" s="837"/>
      <c r="XEJ697" s="838"/>
      <c r="XEK697" s="838"/>
      <c r="XEL697" s="839"/>
      <c r="XEM697" s="839"/>
      <c r="XEN697" s="839"/>
      <c r="XEO697" s="840"/>
      <c r="XEP697" s="830"/>
      <c r="XEQ697" s="831"/>
      <c r="XER697" s="832"/>
      <c r="XES697" s="833"/>
      <c r="XET697" s="834"/>
      <c r="XEU697" s="835"/>
      <c r="XEV697" s="836"/>
      <c r="XEW697" s="836"/>
      <c r="XEX697" s="837"/>
      <c r="XEY697" s="837"/>
      <c r="XEZ697" s="838"/>
      <c r="XFA697" s="838"/>
      <c r="XFB697" s="839"/>
      <c r="XFC697" s="839"/>
      <c r="XFD697" s="839"/>
    </row>
    <row r="698" s="560" customFormat="1" ht="40" customHeight="1" spans="1:83 16338:16384">
      <c r="A698" s="786">
        <v>46094</v>
      </c>
      <c r="B698" s="787" t="s">
        <v>3007</v>
      </c>
      <c r="C698" s="788" t="s">
        <v>205</v>
      </c>
      <c r="D698" s="789">
        <v>4500196739</v>
      </c>
      <c r="E698" s="817" t="s">
        <v>3008</v>
      </c>
      <c r="F698" s="815" t="s">
        <v>3009</v>
      </c>
      <c r="G698" s="764" t="s">
        <v>98</v>
      </c>
      <c r="H698" s="764" t="s">
        <v>99</v>
      </c>
      <c r="I698" s="792">
        <v>1416</v>
      </c>
      <c r="J698" s="792">
        <v>0</v>
      </c>
      <c r="K698" s="793">
        <v>24</v>
      </c>
      <c r="L698" s="841">
        <f t="shared" si="379"/>
        <v>59</v>
      </c>
      <c r="M698" s="794">
        <v>46153</v>
      </c>
      <c r="N698" s="794">
        <v>46149</v>
      </c>
      <c r="O698" s="795"/>
      <c r="P698" s="795" t="s">
        <v>100</v>
      </c>
      <c r="Q698" s="796" t="s">
        <v>3010</v>
      </c>
      <c r="R698" s="795" t="s">
        <v>2906</v>
      </c>
      <c r="S698" s="795"/>
      <c r="T698" s="795"/>
      <c r="U698" s="809" t="s">
        <v>3011</v>
      </c>
      <c r="V698" s="797"/>
      <c r="W698" s="799"/>
      <c r="X698" s="798" t="s">
        <v>3012</v>
      </c>
      <c r="Y698" s="793" t="s">
        <v>972</v>
      </c>
      <c r="Z698" s="816">
        <v>2.5313</v>
      </c>
      <c r="AA698" s="680">
        <f t="shared" si="380"/>
        <v>3584.3208</v>
      </c>
      <c r="AB698" s="680">
        <v>1416</v>
      </c>
      <c r="AC698" s="680">
        <f t="shared" si="382"/>
        <v>0</v>
      </c>
      <c r="AD698" s="801" t="s">
        <v>106</v>
      </c>
      <c r="AE698" s="764" t="s">
        <v>98</v>
      </c>
      <c r="AF698" s="799" t="s">
        <v>107</v>
      </c>
      <c r="AG698" s="802" t="s">
        <v>43</v>
      </c>
      <c r="AH698" s="799"/>
      <c r="AI698" s="842"/>
      <c r="AJ698" s="842"/>
      <c r="AK698" s="842"/>
      <c r="AL698" s="802"/>
      <c r="AM698" s="802">
        <f>I698</f>
        <v>1416</v>
      </c>
      <c r="AN698" s="842"/>
      <c r="AO698" s="842"/>
      <c r="AP698" s="680"/>
      <c r="AQ698" s="814"/>
      <c r="AR698" s="842"/>
      <c r="AS698" s="842"/>
      <c r="AT698" s="802"/>
      <c r="AU698" s="680">
        <f t="shared" si="383"/>
        <v>1416</v>
      </c>
      <c r="AV698" s="681"/>
      <c r="AW698" s="843"/>
      <c r="AX698" s="802"/>
      <c r="AY698" s="802"/>
      <c r="AZ698" s="844"/>
      <c r="BA698" s="681"/>
      <c r="BB698" s="681"/>
      <c r="BC698" s="844"/>
      <c r="BD698" s="844"/>
      <c r="BE698" s="681"/>
      <c r="BF698" s="844"/>
      <c r="BG698" s="797"/>
      <c r="BH698" s="807"/>
      <c r="BI698" s="845"/>
      <c r="BJ698" s="845"/>
      <c r="BK698" s="807"/>
      <c r="BL698" s="809"/>
      <c r="BM698" s="807"/>
      <c r="BN698" s="809"/>
      <c r="BO698" s="809"/>
      <c r="BP698" s="846"/>
      <c r="BQ698" s="681"/>
      <c r="BR698" s="844"/>
      <c r="BS698" s="681"/>
      <c r="BT698" s="681"/>
      <c r="BU698" s="681"/>
      <c r="BV698" s="681"/>
      <c r="BW698" s="797" t="s">
        <v>109</v>
      </c>
      <c r="BX698" s="829">
        <f>I698/4</f>
        <v>354</v>
      </c>
      <c r="BY698" s="829">
        <f>I698/4</f>
        <v>354</v>
      </c>
      <c r="BZ698" s="829">
        <f>I698/4</f>
        <v>354</v>
      </c>
      <c r="CA698" s="829">
        <f>I698/4</f>
        <v>354</v>
      </c>
      <c r="CB698" s="829">
        <f>I698/4</f>
        <v>354</v>
      </c>
      <c r="CC698" s="809"/>
      <c r="CD698" s="809">
        <f t="shared" si="374"/>
        <v>1416</v>
      </c>
      <c r="CE698" s="809">
        <f>I698-CD698</f>
        <v>0</v>
      </c>
    </row>
    <row r="699" s="560" customFormat="1" ht="40" customHeight="1" spans="1:83 16338:16384">
      <c r="A699" s="786">
        <v>46094</v>
      </c>
      <c r="B699" s="787" t="s">
        <v>3007</v>
      </c>
      <c r="C699" s="788" t="s">
        <v>205</v>
      </c>
      <c r="D699" s="789">
        <v>4500196739</v>
      </c>
      <c r="E699" s="817" t="s">
        <v>3013</v>
      </c>
      <c r="F699" s="815" t="s">
        <v>3014</v>
      </c>
      <c r="G699" s="764" t="s">
        <v>98</v>
      </c>
      <c r="H699" s="764" t="s">
        <v>99</v>
      </c>
      <c r="I699" s="792">
        <v>528</v>
      </c>
      <c r="J699" s="792">
        <v>0</v>
      </c>
      <c r="K699" s="793">
        <v>24</v>
      </c>
      <c r="L699" s="841">
        <f t="shared" si="379"/>
        <v>22</v>
      </c>
      <c r="M699" s="794">
        <v>46153</v>
      </c>
      <c r="N699" s="794">
        <v>46149</v>
      </c>
      <c r="O699" s="795"/>
      <c r="P699" s="795" t="s">
        <v>100</v>
      </c>
      <c r="Q699" s="796" t="s">
        <v>3010</v>
      </c>
      <c r="R699" s="795" t="s">
        <v>2906</v>
      </c>
      <c r="S699" s="795"/>
      <c r="T699" s="795"/>
      <c r="U699" s="809" t="s">
        <v>3011</v>
      </c>
      <c r="V699" s="797"/>
      <c r="W699" s="799"/>
      <c r="X699" s="798" t="s">
        <v>3012</v>
      </c>
      <c r="Y699" s="793" t="s">
        <v>972</v>
      </c>
      <c r="Z699" s="816">
        <v>2.5313</v>
      </c>
      <c r="AA699" s="680">
        <f t="shared" si="380"/>
        <v>1336.5264</v>
      </c>
      <c r="AB699" s="680">
        <v>528</v>
      </c>
      <c r="AC699" s="680">
        <f t="shared" si="382"/>
        <v>0</v>
      </c>
      <c r="AD699" s="801" t="s">
        <v>106</v>
      </c>
      <c r="AE699" s="764" t="s">
        <v>98</v>
      </c>
      <c r="AF699" s="799" t="s">
        <v>107</v>
      </c>
      <c r="AG699" s="802" t="s">
        <v>43</v>
      </c>
      <c r="AH699" s="799"/>
      <c r="AI699" s="842"/>
      <c r="AJ699" s="842"/>
      <c r="AK699" s="842"/>
      <c r="AL699" s="802"/>
      <c r="AM699" s="802">
        <f>I699</f>
        <v>528</v>
      </c>
      <c r="AN699" s="842"/>
      <c r="AO699" s="842"/>
      <c r="AP699" s="680"/>
      <c r="AQ699" s="814"/>
      <c r="AR699" s="842"/>
      <c r="AS699" s="842"/>
      <c r="AT699" s="802"/>
      <c r="AU699" s="680">
        <f t="shared" si="383"/>
        <v>528</v>
      </c>
      <c r="AV699" s="681"/>
      <c r="AW699" s="843"/>
      <c r="AX699" s="802"/>
      <c r="AY699" s="802"/>
      <c r="AZ699" s="844"/>
      <c r="BA699" s="681"/>
      <c r="BB699" s="681"/>
      <c r="BC699" s="844"/>
      <c r="BD699" s="844"/>
      <c r="BE699" s="681"/>
      <c r="BF699" s="844"/>
      <c r="BG699" s="797"/>
      <c r="BH699" s="807"/>
      <c r="BI699" s="845"/>
      <c r="BJ699" s="845"/>
      <c r="BK699" s="807"/>
      <c r="BL699" s="809"/>
      <c r="BM699" s="807"/>
      <c r="BN699" s="809"/>
      <c r="BO699" s="809"/>
      <c r="BP699" s="846"/>
      <c r="BQ699" s="681"/>
      <c r="BR699" s="844"/>
      <c r="BS699" s="681"/>
      <c r="BT699" s="681"/>
      <c r="BU699" s="681"/>
      <c r="BV699" s="681"/>
      <c r="BW699" s="797" t="s">
        <v>109</v>
      </c>
      <c r="BX699" s="829">
        <f>I699/4</f>
        <v>132</v>
      </c>
      <c r="BY699" s="829">
        <f>I699/4</f>
        <v>132</v>
      </c>
      <c r="BZ699" s="829">
        <f>I699/4</f>
        <v>132</v>
      </c>
      <c r="CA699" s="829">
        <f>I699/4</f>
        <v>132</v>
      </c>
      <c r="CB699" s="829">
        <f>I699/4</f>
        <v>132</v>
      </c>
      <c r="CC699" s="809"/>
      <c r="CD699" s="809">
        <f t="shared" si="374"/>
        <v>528</v>
      </c>
      <c r="CE699" s="809">
        <f>I699-CD699</f>
        <v>0</v>
      </c>
    </row>
    <row r="700" s="560" customFormat="1" ht="40" customHeight="1" spans="1:83 16338:16384">
      <c r="A700" s="786">
        <v>46122</v>
      </c>
      <c r="B700" s="787" t="s">
        <v>1501</v>
      </c>
      <c r="C700" s="788" t="s">
        <v>1502</v>
      </c>
      <c r="D700" s="847">
        <v>4500201352</v>
      </c>
      <c r="E700" s="790" t="s">
        <v>3015</v>
      </c>
      <c r="F700" s="789" t="s">
        <v>3016</v>
      </c>
      <c r="G700" s="764" t="s">
        <v>111</v>
      </c>
      <c r="H700" s="764" t="s">
        <v>99</v>
      </c>
      <c r="I700" s="792">
        <v>660</v>
      </c>
      <c r="J700" s="792">
        <v>0</v>
      </c>
      <c r="K700" s="793">
        <v>22</v>
      </c>
      <c r="L700" s="793">
        <f t="shared" si="379"/>
        <v>30</v>
      </c>
      <c r="M700" s="794">
        <v>46157</v>
      </c>
      <c r="N700" s="794">
        <v>46153</v>
      </c>
      <c r="O700" s="794"/>
      <c r="P700" s="795" t="s">
        <v>100</v>
      </c>
      <c r="Q700" s="848" t="s">
        <v>3004</v>
      </c>
      <c r="R700" s="795" t="s">
        <v>3017</v>
      </c>
      <c r="S700" s="794"/>
      <c r="T700" s="794"/>
      <c r="U700" s="795" t="s">
        <v>3018</v>
      </c>
      <c r="V700" s="795"/>
      <c r="W700" s="797"/>
      <c r="X700" s="798" t="s">
        <v>3019</v>
      </c>
      <c r="Y700" s="799" t="s">
        <v>1219</v>
      </c>
      <c r="Z700" s="800">
        <v>2.7592</v>
      </c>
      <c r="AA700" s="801">
        <f t="shared" si="380"/>
        <v>1821.072</v>
      </c>
      <c r="AB700" s="680">
        <v>660</v>
      </c>
      <c r="AC700" s="680">
        <f t="shared" si="382"/>
        <v>0</v>
      </c>
      <c r="AD700" s="849" t="s">
        <v>106</v>
      </c>
      <c r="AE700" s="817" t="s">
        <v>111</v>
      </c>
      <c r="AF700" s="799" t="s">
        <v>107</v>
      </c>
      <c r="AG700" s="802" t="s">
        <v>43</v>
      </c>
      <c r="AH700" s="799"/>
      <c r="AI700" s="842"/>
      <c r="AJ700" s="842"/>
      <c r="AK700" s="842"/>
      <c r="AL700" s="804"/>
      <c r="AM700" s="680">
        <f>I700</f>
        <v>660</v>
      </c>
      <c r="AN700" s="842"/>
      <c r="AO700" s="843"/>
      <c r="AP700" s="802"/>
      <c r="AQ700" s="802"/>
      <c r="AR700" s="843"/>
      <c r="AS700" s="843"/>
      <c r="AT700" s="802"/>
      <c r="AU700" s="802">
        <f t="shared" si="383"/>
        <v>660</v>
      </c>
      <c r="AV700" s="802"/>
      <c r="AW700" s="843"/>
      <c r="AX700" s="802"/>
      <c r="AY700" s="802">
        <f>I700/11</f>
        <v>60</v>
      </c>
      <c r="AZ700" s="844"/>
      <c r="BA700" s="681"/>
      <c r="BB700" s="681"/>
      <c r="BC700" s="844"/>
      <c r="BD700" s="844"/>
      <c r="BE700" s="681"/>
      <c r="BF700" s="844"/>
      <c r="BG700" s="797"/>
      <c r="BH700" s="807"/>
      <c r="BI700" s="845"/>
      <c r="BJ700" s="845"/>
      <c r="BK700" s="807"/>
      <c r="BL700" s="809"/>
      <c r="BM700" s="807"/>
      <c r="BN700" s="809"/>
      <c r="BO700" s="809"/>
      <c r="BP700" s="846"/>
      <c r="BQ700" s="681"/>
      <c r="BR700" s="844"/>
      <c r="BS700" s="681"/>
      <c r="BT700" s="681"/>
      <c r="BU700" s="681"/>
      <c r="BV700" s="681"/>
      <c r="BW700" s="797" t="s">
        <v>109</v>
      </c>
      <c r="BX700" s="807">
        <f>I700/22*5</f>
        <v>150</v>
      </c>
      <c r="BY700" s="807">
        <f>I700/22*6</f>
        <v>180</v>
      </c>
      <c r="BZ700" s="807">
        <f>I700/22*6</f>
        <v>180</v>
      </c>
      <c r="CA700" s="807">
        <f>I700/22*5</f>
        <v>150</v>
      </c>
      <c r="CB700" s="809">
        <f>I700</f>
        <v>660</v>
      </c>
      <c r="CC700" s="807">
        <f>I700/11</f>
        <v>60</v>
      </c>
      <c r="CD700" s="809">
        <f t="shared" si="374"/>
        <v>660</v>
      </c>
      <c r="CE700" s="809">
        <v>0</v>
      </c>
      <c r="XEN700" s="811"/>
      <c r="XEO700" s="811"/>
      <c r="XEP700" s="811"/>
      <c r="XEQ700" s="811"/>
      <c r="XER700" s="811"/>
      <c r="XES700" s="811"/>
      <c r="XET700" s="811"/>
      <c r="XEU700" s="811"/>
      <c r="XEV700" s="811"/>
      <c r="XEW700" s="811"/>
      <c r="XEX700" s="811"/>
      <c r="XEY700" s="811"/>
      <c r="XEZ700" s="811"/>
      <c r="XFA700" s="811"/>
      <c r="XFB700" s="811"/>
      <c r="XFC700" s="811"/>
      <c r="XFD700" s="811"/>
    </row>
    <row r="701" s="560" customFormat="1" ht="40" customHeight="1" spans="1:83 16338:16384">
      <c r="A701" s="786">
        <v>46122</v>
      </c>
      <c r="B701" s="787" t="s">
        <v>1501</v>
      </c>
      <c r="C701" s="788" t="s">
        <v>1502</v>
      </c>
      <c r="D701" s="847">
        <v>4500201369</v>
      </c>
      <c r="E701" s="790" t="s">
        <v>3015</v>
      </c>
      <c r="F701" s="789" t="s">
        <v>3020</v>
      </c>
      <c r="G701" s="764" t="s">
        <v>111</v>
      </c>
      <c r="H701" s="764" t="s">
        <v>99</v>
      </c>
      <c r="I701" s="792">
        <v>5500</v>
      </c>
      <c r="J701" s="792">
        <v>0</v>
      </c>
      <c r="K701" s="793">
        <v>22</v>
      </c>
      <c r="L701" s="793">
        <f t="shared" si="379"/>
        <v>250</v>
      </c>
      <c r="M701" s="794">
        <v>46157</v>
      </c>
      <c r="N701" s="794">
        <v>46153</v>
      </c>
      <c r="O701" s="794"/>
      <c r="P701" s="795" t="s">
        <v>100</v>
      </c>
      <c r="Q701" s="848" t="s">
        <v>3004</v>
      </c>
      <c r="R701" s="795" t="s">
        <v>3017</v>
      </c>
      <c r="S701" s="794"/>
      <c r="T701" s="794"/>
      <c r="U701" s="795" t="s">
        <v>3021</v>
      </c>
      <c r="V701" s="795"/>
      <c r="W701" s="797"/>
      <c r="X701" s="798" t="s">
        <v>3022</v>
      </c>
      <c r="Y701" s="799" t="s">
        <v>1219</v>
      </c>
      <c r="Z701" s="800">
        <v>2.7162</v>
      </c>
      <c r="AA701" s="801">
        <f t="shared" si="380"/>
        <v>14939.1</v>
      </c>
      <c r="AB701" s="680">
        <f>5478+22</f>
        <v>5500</v>
      </c>
      <c r="AC701" s="680">
        <f t="shared" si="382"/>
        <v>0</v>
      </c>
      <c r="AD701" s="849" t="s">
        <v>106</v>
      </c>
      <c r="AE701" s="817" t="s">
        <v>111</v>
      </c>
      <c r="AF701" s="799" t="s">
        <v>107</v>
      </c>
      <c r="AG701" s="802" t="s">
        <v>43</v>
      </c>
      <c r="AH701" s="799"/>
      <c r="AI701" s="842"/>
      <c r="AJ701" s="842"/>
      <c r="AK701" s="842"/>
      <c r="AL701" s="804"/>
      <c r="AM701" s="680">
        <f>I701</f>
        <v>5500</v>
      </c>
      <c r="AN701" s="842"/>
      <c r="AO701" s="843"/>
      <c r="AP701" s="802"/>
      <c r="AQ701" s="802"/>
      <c r="AR701" s="843"/>
      <c r="AS701" s="843"/>
      <c r="AT701" s="802"/>
      <c r="AU701" s="802">
        <f t="shared" si="383"/>
        <v>5500</v>
      </c>
      <c r="AV701" s="802"/>
      <c r="AW701" s="843"/>
      <c r="AX701" s="802"/>
      <c r="AY701" s="802">
        <f>I701/11</f>
        <v>500</v>
      </c>
      <c r="AZ701" s="844"/>
      <c r="BA701" s="681"/>
      <c r="BB701" s="681"/>
      <c r="BC701" s="844"/>
      <c r="BD701" s="844"/>
      <c r="BE701" s="681"/>
      <c r="BF701" s="844"/>
      <c r="BG701" s="797"/>
      <c r="BH701" s="807"/>
      <c r="BI701" s="845"/>
      <c r="BJ701" s="845"/>
      <c r="BK701" s="807"/>
      <c r="BL701" s="809"/>
      <c r="BM701" s="807"/>
      <c r="BN701" s="809"/>
      <c r="BO701" s="809"/>
      <c r="BP701" s="846"/>
      <c r="BQ701" s="681"/>
      <c r="BR701" s="844"/>
      <c r="BS701" s="681"/>
      <c r="BT701" s="681"/>
      <c r="BU701" s="681"/>
      <c r="BV701" s="681"/>
      <c r="BW701" s="797" t="s">
        <v>109</v>
      </c>
      <c r="BX701" s="807">
        <f>I701/22*5</f>
        <v>1250</v>
      </c>
      <c r="BY701" s="807">
        <f>I701/22*6</f>
        <v>1500</v>
      </c>
      <c r="BZ701" s="807">
        <f>I701/22*6</f>
        <v>1500</v>
      </c>
      <c r="CA701" s="807">
        <f>I701/22*5</f>
        <v>1250</v>
      </c>
      <c r="CB701" s="809">
        <f>I701</f>
        <v>5500</v>
      </c>
      <c r="CC701" s="807">
        <f>I701/11</f>
        <v>500</v>
      </c>
      <c r="CD701" s="809">
        <f t="shared" si="374"/>
        <v>5500</v>
      </c>
      <c r="CE701" s="809">
        <v>0</v>
      </c>
      <c r="XEN701" s="811"/>
      <c r="XEO701" s="811"/>
      <c r="XEP701" s="811"/>
      <c r="XEQ701" s="811"/>
      <c r="XER701" s="811"/>
      <c r="XES701" s="811"/>
      <c r="XET701" s="811"/>
      <c r="XEU701" s="811"/>
      <c r="XEV701" s="811"/>
      <c r="XEW701" s="811"/>
      <c r="XEX701" s="811"/>
      <c r="XEY701" s="811"/>
      <c r="XEZ701" s="811"/>
      <c r="XFA701" s="811"/>
      <c r="XFB701" s="811"/>
      <c r="XFC701" s="811"/>
      <c r="XFD701" s="811"/>
    </row>
    <row r="702" s="560" customFormat="1" ht="40" customHeight="1" spans="1:83 16338:16384">
      <c r="A702" s="786">
        <v>46107</v>
      </c>
      <c r="B702" s="787" t="s">
        <v>1367</v>
      </c>
      <c r="C702" s="788" t="s">
        <v>1368</v>
      </c>
      <c r="D702" s="789">
        <v>4500198705</v>
      </c>
      <c r="E702" s="790"/>
      <c r="F702" s="815" t="s">
        <v>3023</v>
      </c>
      <c r="G702" s="764" t="s">
        <v>111</v>
      </c>
      <c r="H702" s="764" t="s">
        <v>99</v>
      </c>
      <c r="I702" s="792">
        <v>3014</v>
      </c>
      <c r="J702" s="792">
        <v>0</v>
      </c>
      <c r="K702" s="793">
        <v>22</v>
      </c>
      <c r="L702" s="793">
        <f t="shared" si="379"/>
        <v>137</v>
      </c>
      <c r="M702" s="794">
        <v>46157</v>
      </c>
      <c r="N702" s="794">
        <v>46153</v>
      </c>
      <c r="O702" s="794"/>
      <c r="P702" s="795" t="s">
        <v>100</v>
      </c>
      <c r="Q702" s="823" t="s">
        <v>1185</v>
      </c>
      <c r="R702" s="795" t="s">
        <v>1006</v>
      </c>
      <c r="S702" s="795"/>
      <c r="T702" s="795"/>
      <c r="U702" s="795" t="s">
        <v>3024</v>
      </c>
      <c r="V702" s="797"/>
      <c r="W702" s="797" t="s">
        <v>3025</v>
      </c>
      <c r="X702" s="798" t="s">
        <v>3026</v>
      </c>
      <c r="Y702" s="793" t="s">
        <v>281</v>
      </c>
      <c r="Z702" s="816">
        <v>2.7693</v>
      </c>
      <c r="AA702" s="801">
        <f t="shared" si="380"/>
        <v>8346.6702</v>
      </c>
      <c r="AB702" s="680">
        <v>3014</v>
      </c>
      <c r="AC702" s="680">
        <f t="shared" si="382"/>
        <v>0</v>
      </c>
      <c r="AD702" s="801" t="s">
        <v>106</v>
      </c>
      <c r="AE702" s="817" t="s">
        <v>230</v>
      </c>
      <c r="AF702" s="799" t="s">
        <v>107</v>
      </c>
      <c r="AG702" s="802" t="s">
        <v>43</v>
      </c>
      <c r="AH702" s="799"/>
      <c r="AI702" s="680"/>
      <c r="AJ702" s="680"/>
      <c r="AK702" s="680"/>
      <c r="AL702" s="802"/>
      <c r="AM702" s="802"/>
      <c r="AN702" s="680"/>
      <c r="AO702" s="680"/>
      <c r="AP702" s="680">
        <f>I702</f>
        <v>3014</v>
      </c>
      <c r="AQ702" s="814"/>
      <c r="AR702" s="680"/>
      <c r="AS702" s="680"/>
      <c r="AT702" s="802"/>
      <c r="AU702" s="680">
        <f t="shared" si="383"/>
        <v>3014</v>
      </c>
      <c r="AV702" s="681"/>
      <c r="AW702" s="802"/>
      <c r="AX702" s="802"/>
      <c r="AY702" s="802"/>
      <c r="AZ702" s="844"/>
      <c r="BA702" s="681"/>
      <c r="BB702" s="802">
        <f>I702/11</f>
        <v>274</v>
      </c>
      <c r="BC702" s="844"/>
      <c r="BD702" s="844"/>
      <c r="BE702" s="681"/>
      <c r="BF702" s="844"/>
      <c r="BG702" s="797"/>
      <c r="BH702" s="807"/>
      <c r="BI702" s="845"/>
      <c r="BJ702" s="845"/>
      <c r="BK702" s="807"/>
      <c r="BL702" s="809"/>
      <c r="BM702" s="807"/>
      <c r="BN702" s="809"/>
      <c r="BO702" s="809"/>
      <c r="BP702" s="846"/>
      <c r="BQ702" s="681"/>
      <c r="BR702" s="844"/>
      <c r="BS702" s="681"/>
      <c r="BT702" s="681"/>
      <c r="BU702" s="681"/>
      <c r="BV702" s="681"/>
      <c r="BW702" s="797" t="s">
        <v>109</v>
      </c>
      <c r="BX702" s="807">
        <f>I702/22*5</f>
        <v>685</v>
      </c>
      <c r="BY702" s="807">
        <f>I702/22*6</f>
        <v>822</v>
      </c>
      <c r="BZ702" s="807">
        <f>I702/22*6</f>
        <v>822</v>
      </c>
      <c r="CA702" s="807">
        <f>I702/22*5</f>
        <v>685</v>
      </c>
      <c r="CB702" s="809">
        <f>I702</f>
        <v>3014</v>
      </c>
      <c r="CC702" s="807">
        <f>I702/11</f>
        <v>274</v>
      </c>
      <c r="CD702" s="809">
        <f t="shared" si="374"/>
        <v>3014</v>
      </c>
      <c r="CE702" s="809">
        <v>0</v>
      </c>
    </row>
    <row r="703" s="560" customFormat="1" ht="40" customHeight="1" spans="1:83 16338:16384">
      <c r="A703" s="786">
        <v>46098</v>
      </c>
      <c r="B703" s="787" t="s">
        <v>3027</v>
      </c>
      <c r="C703" s="788" t="s">
        <v>169</v>
      </c>
      <c r="D703" s="789">
        <v>4500197249</v>
      </c>
      <c r="E703" s="790">
        <v>4500099130</v>
      </c>
      <c r="F703" s="815" t="s">
        <v>3028</v>
      </c>
      <c r="G703" s="764" t="s">
        <v>241</v>
      </c>
      <c r="H703" s="764" t="s">
        <v>99</v>
      </c>
      <c r="I703" s="792">
        <v>5500</v>
      </c>
      <c r="J703" s="792">
        <v>0</v>
      </c>
      <c r="K703" s="793">
        <v>11</v>
      </c>
      <c r="L703" s="793">
        <f t="shared" si="379"/>
        <v>500</v>
      </c>
      <c r="M703" s="794">
        <v>46160</v>
      </c>
      <c r="N703" s="794">
        <v>46156</v>
      </c>
      <c r="O703" s="794"/>
      <c r="P703" s="795" t="s">
        <v>100</v>
      </c>
      <c r="Q703" s="823" t="s">
        <v>1171</v>
      </c>
      <c r="R703" s="795" t="s">
        <v>1032</v>
      </c>
      <c r="S703" s="795"/>
      <c r="T703" s="795"/>
      <c r="U703" s="795" t="s">
        <v>3029</v>
      </c>
      <c r="V703" s="797"/>
      <c r="W703" s="797" t="s">
        <v>3030</v>
      </c>
      <c r="X703" s="798" t="s">
        <v>3031</v>
      </c>
      <c r="Y703" s="793" t="s">
        <v>3032</v>
      </c>
      <c r="Z703" s="816">
        <v>2.6504</v>
      </c>
      <c r="AA703" s="801">
        <f t="shared" si="380"/>
        <v>14577.2</v>
      </c>
      <c r="AB703" s="680">
        <f>5478+22</f>
        <v>5500</v>
      </c>
      <c r="AC703" s="680">
        <f t="shared" si="382"/>
        <v>0</v>
      </c>
      <c r="AD703" s="801" t="s">
        <v>113</v>
      </c>
      <c r="AE703" s="764" t="s">
        <v>597</v>
      </c>
      <c r="AF703" s="799" t="s">
        <v>107</v>
      </c>
      <c r="AG703" s="802" t="s">
        <v>43</v>
      </c>
      <c r="AH703" s="799"/>
      <c r="AI703" s="842"/>
      <c r="AJ703" s="842"/>
      <c r="AK703" s="842"/>
      <c r="AL703" s="802"/>
      <c r="AM703" s="802"/>
      <c r="AN703" s="842"/>
      <c r="AO703" s="842"/>
      <c r="AP703" s="680">
        <f>I703</f>
        <v>5500</v>
      </c>
      <c r="AQ703" s="814"/>
      <c r="AR703" s="842"/>
      <c r="AS703" s="842"/>
      <c r="AT703" s="802"/>
      <c r="AU703" s="680">
        <f t="shared" si="383"/>
        <v>5500</v>
      </c>
      <c r="AV703" s="681"/>
      <c r="AW703" s="843"/>
      <c r="AX703" s="802"/>
      <c r="AY703" s="802"/>
      <c r="AZ703" s="844"/>
      <c r="BA703" s="681"/>
      <c r="BB703" s="681">
        <f>I703/11</f>
        <v>500</v>
      </c>
      <c r="BC703" s="844"/>
      <c r="BD703" s="844"/>
      <c r="BE703" s="681"/>
      <c r="BF703" s="844"/>
      <c r="BG703" s="797"/>
      <c r="BH703" s="807"/>
      <c r="BI703" s="845"/>
      <c r="BJ703" s="845"/>
      <c r="BK703" s="807"/>
      <c r="BL703" s="809"/>
      <c r="BM703" s="807"/>
      <c r="BN703" s="809"/>
      <c r="BO703" s="809"/>
      <c r="BP703" s="846"/>
      <c r="BQ703" s="681"/>
      <c r="BR703" s="844"/>
      <c r="BS703" s="681"/>
      <c r="BT703" s="681"/>
      <c r="BU703" s="681"/>
      <c r="BV703" s="681"/>
      <c r="BW703" s="797" t="s">
        <v>109</v>
      </c>
      <c r="BX703" s="807">
        <f>I703/22*5</f>
        <v>1250</v>
      </c>
      <c r="BY703" s="807">
        <f>I703/22*6</f>
        <v>1500</v>
      </c>
      <c r="BZ703" s="807">
        <f>I703/22*6</f>
        <v>1500</v>
      </c>
      <c r="CA703" s="807">
        <f>I703/22*5</f>
        <v>1250</v>
      </c>
      <c r="CB703" s="809">
        <f>I703</f>
        <v>5500</v>
      </c>
      <c r="CC703" s="807">
        <f>I703/11</f>
        <v>500</v>
      </c>
      <c r="CD703" s="809">
        <f t="shared" si="374"/>
        <v>5500</v>
      </c>
      <c r="CE703" s="809">
        <f>I703-CD703</f>
        <v>0</v>
      </c>
    </row>
    <row r="704" s="560" customFormat="1" ht="40" customHeight="1" spans="1:83 16338:16384">
      <c r="A704" s="786">
        <v>46115</v>
      </c>
      <c r="B704" s="787" t="s">
        <v>1182</v>
      </c>
      <c r="C704" s="788" t="s">
        <v>95</v>
      </c>
      <c r="D704" s="789">
        <v>4500199774</v>
      </c>
      <c r="E704" s="790" t="s">
        <v>3015</v>
      </c>
      <c r="F704" s="815" t="s">
        <v>3033</v>
      </c>
      <c r="G704" s="764" t="s">
        <v>98</v>
      </c>
      <c r="H704" s="764" t="s">
        <v>99</v>
      </c>
      <c r="I704" s="792">
        <v>600</v>
      </c>
      <c r="J704" s="792">
        <v>0</v>
      </c>
      <c r="K704" s="793">
        <v>24</v>
      </c>
      <c r="L704" s="793">
        <f t="shared" si="379"/>
        <v>25</v>
      </c>
      <c r="M704" s="794">
        <v>46155</v>
      </c>
      <c r="N704" s="794">
        <v>46151</v>
      </c>
      <c r="O704" s="794"/>
      <c r="P704" s="795" t="s">
        <v>100</v>
      </c>
      <c r="Q704" s="823" t="s">
        <v>1065</v>
      </c>
      <c r="R704" s="795" t="s">
        <v>1006</v>
      </c>
      <c r="S704" s="795"/>
      <c r="T704" s="795"/>
      <c r="U704" s="795" t="s">
        <v>3034</v>
      </c>
      <c r="V704" s="797"/>
      <c r="W704" s="797"/>
      <c r="X704" s="798" t="s">
        <v>3035</v>
      </c>
      <c r="Y704" s="793" t="s">
        <v>972</v>
      </c>
      <c r="Z704" s="816">
        <v>2.5455</v>
      </c>
      <c r="AA704" s="801">
        <f t="shared" si="380"/>
        <v>1527.3</v>
      </c>
      <c r="AB704" s="680">
        <v>600</v>
      </c>
      <c r="AC704" s="680">
        <f t="shared" si="382"/>
        <v>0</v>
      </c>
      <c r="AD704" s="801" t="s">
        <v>106</v>
      </c>
      <c r="AE704" s="764" t="s">
        <v>98</v>
      </c>
      <c r="AF704" s="799" t="s">
        <v>107</v>
      </c>
      <c r="AG704" s="802" t="s">
        <v>43</v>
      </c>
      <c r="AH704" s="799"/>
      <c r="AI704" s="805"/>
      <c r="AJ704" s="806"/>
      <c r="AK704" s="824"/>
      <c r="AL704" s="807"/>
      <c r="AM704" s="681">
        <f>I704</f>
        <v>600</v>
      </c>
      <c r="AN704" s="825"/>
      <c r="AO704" s="808"/>
      <c r="AP704" s="809"/>
      <c r="AQ704" s="807"/>
      <c r="AR704" s="824"/>
      <c r="AS704" s="850"/>
      <c r="AT704" s="827"/>
      <c r="AU704" s="799">
        <f t="shared" si="383"/>
        <v>600</v>
      </c>
      <c r="AV704" s="827"/>
      <c r="AW704" s="851"/>
      <c r="AX704" s="827"/>
      <c r="AY704" s="827"/>
      <c r="AZ704" s="851"/>
      <c r="BA704" s="827"/>
      <c r="BB704" s="827"/>
      <c r="BC704" s="851"/>
      <c r="BD704" s="851"/>
      <c r="BE704" s="827"/>
      <c r="BF704" s="851"/>
      <c r="BG704" s="827"/>
      <c r="BH704" s="827"/>
      <c r="BI704" s="851"/>
      <c r="BJ704" s="851"/>
      <c r="BK704" s="827"/>
      <c r="BL704" s="827"/>
      <c r="BM704" s="827"/>
      <c r="BN704" s="827"/>
      <c r="BO704" s="827"/>
      <c r="BP704" s="851"/>
      <c r="BQ704" s="827"/>
      <c r="BR704" s="851"/>
      <c r="BS704" s="827"/>
      <c r="BT704" s="827"/>
      <c r="BU704" s="827"/>
      <c r="BV704" s="827"/>
      <c r="BW704" s="828" t="s">
        <v>109</v>
      </c>
      <c r="BX704" s="799">
        <f>I704/4</f>
        <v>150</v>
      </c>
      <c r="BY704" s="799">
        <f>I704/4</f>
        <v>150</v>
      </c>
      <c r="BZ704" s="799">
        <f>I704/4</f>
        <v>150</v>
      </c>
      <c r="CA704" s="799">
        <f>I704/4</f>
        <v>150</v>
      </c>
      <c r="CB704" s="799">
        <f>I704/4</f>
        <v>150</v>
      </c>
      <c r="CC704" s="829"/>
      <c r="CD704" s="799">
        <f t="shared" si="374"/>
        <v>600</v>
      </c>
      <c r="CE704" s="829">
        <f>I704-CD704</f>
        <v>0</v>
      </c>
      <c r="XDJ704" s="830"/>
      <c r="XDK704" s="831"/>
      <c r="XDL704" s="832"/>
      <c r="XDM704" s="833"/>
      <c r="XDN704" s="834"/>
      <c r="XDO704" s="835"/>
      <c r="XDP704" s="836"/>
      <c r="XDQ704" s="836"/>
      <c r="XDR704" s="837"/>
      <c r="XDS704" s="837"/>
      <c r="XDT704" s="838"/>
      <c r="XDU704" s="838"/>
      <c r="XDV704" s="839"/>
      <c r="XDW704" s="839"/>
      <c r="XDX704" s="839"/>
      <c r="XDY704" s="840"/>
      <c r="XDZ704" s="830"/>
      <c r="XEA704" s="831"/>
      <c r="XEB704" s="832"/>
      <c r="XEC704" s="833"/>
      <c r="XED704" s="834"/>
      <c r="XEE704" s="835"/>
      <c r="XEF704" s="836"/>
      <c r="XEG704" s="836"/>
      <c r="XEH704" s="837"/>
      <c r="XEI704" s="837"/>
      <c r="XEJ704" s="838"/>
      <c r="XEK704" s="838"/>
      <c r="XEL704" s="839"/>
      <c r="XEM704" s="839"/>
      <c r="XEN704" s="839"/>
      <c r="XEO704" s="840"/>
      <c r="XEP704" s="830"/>
      <c r="XEQ704" s="831"/>
      <c r="XER704" s="832"/>
      <c r="XES704" s="833"/>
      <c r="XET704" s="834"/>
      <c r="XEU704" s="835"/>
      <c r="XEV704" s="836"/>
      <c r="XEW704" s="836"/>
      <c r="XEX704" s="837"/>
      <c r="XEY704" s="837"/>
      <c r="XEZ704" s="838"/>
      <c r="XFA704" s="838"/>
      <c r="XFB704" s="839"/>
      <c r="XFC704" s="839"/>
      <c r="XFD704" s="839"/>
    </row>
    <row r="705" s="558" customFormat="1" ht="40" customHeight="1" spans="1:84 16338:16384">
      <c r="A705" s="717">
        <v>46125</v>
      </c>
      <c r="B705" s="718" t="s">
        <v>1857</v>
      </c>
      <c r="C705" s="719" t="s">
        <v>144</v>
      </c>
      <c r="D705" s="720">
        <v>4500201617</v>
      </c>
      <c r="E705" s="721">
        <v>4400557377</v>
      </c>
      <c r="F705" s="720" t="s">
        <v>3036</v>
      </c>
      <c r="G705" s="722" t="s">
        <v>111</v>
      </c>
      <c r="H705" s="722" t="s">
        <v>99</v>
      </c>
      <c r="I705" s="723">
        <v>1342</v>
      </c>
      <c r="J705" s="723">
        <v>0</v>
      </c>
      <c r="K705" s="724">
        <v>22</v>
      </c>
      <c r="L705" s="724">
        <f t="shared" si="379"/>
        <v>61</v>
      </c>
      <c r="M705" s="725">
        <v>46161</v>
      </c>
      <c r="N705" s="725">
        <v>46157</v>
      </c>
      <c r="O705" s="725"/>
      <c r="P705" s="795" t="s">
        <v>100</v>
      </c>
      <c r="Q705" s="727" t="s">
        <v>3010</v>
      </c>
      <c r="R705" s="726" t="s">
        <v>1114</v>
      </c>
      <c r="S705" s="725"/>
      <c r="T705" s="725"/>
      <c r="U705" s="726" t="s">
        <v>3037</v>
      </c>
      <c r="V705" s="726"/>
      <c r="W705" s="728"/>
      <c r="X705" s="729" t="s">
        <v>3038</v>
      </c>
      <c r="Y705" s="730" t="s">
        <v>1864</v>
      </c>
      <c r="Z705" s="731">
        <v>2.7804</v>
      </c>
      <c r="AA705" s="732">
        <f t="shared" si="380"/>
        <v>3731.2968</v>
      </c>
      <c r="AB705" s="712">
        <v>1342</v>
      </c>
      <c r="AC705" s="712">
        <f t="shared" si="382"/>
        <v>0</v>
      </c>
      <c r="AD705" s="732" t="s">
        <v>106</v>
      </c>
      <c r="AE705" s="749" t="s">
        <v>230</v>
      </c>
      <c r="AF705" s="730" t="s">
        <v>107</v>
      </c>
      <c r="AG705" s="763" t="s">
        <v>43</v>
      </c>
      <c r="AH705" s="730"/>
      <c r="AI705" s="705"/>
      <c r="AJ705" s="705"/>
      <c r="AK705" s="705"/>
      <c r="AL705" s="733"/>
      <c r="AM705" s="712"/>
      <c r="AN705" s="705"/>
      <c r="AO705" s="773"/>
      <c r="AP705" s="734">
        <f>I705</f>
        <v>1342</v>
      </c>
      <c r="AQ705" s="734"/>
      <c r="AR705" s="773"/>
      <c r="AS705" s="773"/>
      <c r="AT705" s="734"/>
      <c r="AU705" s="734">
        <f t="shared" si="383"/>
        <v>1342</v>
      </c>
      <c r="AV705" s="734"/>
      <c r="AW705" s="773"/>
      <c r="AX705" s="734"/>
      <c r="AY705" s="734"/>
      <c r="AZ705" s="706"/>
      <c r="BA705" s="713"/>
      <c r="BB705" s="681">
        <f>I705/11</f>
        <v>122</v>
      </c>
      <c r="BC705" s="706"/>
      <c r="BD705" s="706"/>
      <c r="BE705" s="713"/>
      <c r="BF705" s="706"/>
      <c r="BG705" s="728"/>
      <c r="BH705" s="736"/>
      <c r="BI705" s="774"/>
      <c r="BJ705" s="774"/>
      <c r="BK705" s="736"/>
      <c r="BL705" s="737"/>
      <c r="BM705" s="736"/>
      <c r="BN705" s="737"/>
      <c r="BO705" s="737"/>
      <c r="BP705" s="775"/>
      <c r="BQ705" s="713"/>
      <c r="BR705" s="706"/>
      <c r="BS705" s="713"/>
      <c r="BT705" s="713"/>
      <c r="BU705" s="713"/>
      <c r="BV705" s="713"/>
      <c r="BW705" s="728" t="s">
        <v>109</v>
      </c>
      <c r="BX705" s="736">
        <f>I705/22*5</f>
        <v>305</v>
      </c>
      <c r="BY705" s="736">
        <f>I705/22*6</f>
        <v>366</v>
      </c>
      <c r="BZ705" s="736">
        <f>I705/22*6</f>
        <v>366</v>
      </c>
      <c r="CA705" s="736">
        <f>I705/22*5</f>
        <v>305</v>
      </c>
      <c r="CB705" s="737">
        <f>I705</f>
        <v>1342</v>
      </c>
      <c r="CC705" s="736">
        <f>I705/11</f>
        <v>122</v>
      </c>
      <c r="CD705" s="737">
        <f t="shared" si="374"/>
        <v>1342</v>
      </c>
      <c r="CE705" s="737">
        <v>0</v>
      </c>
      <c r="XEN705" s="771"/>
      <c r="XEO705" s="771"/>
      <c r="XEP705" s="771"/>
      <c r="XEQ705" s="771"/>
      <c r="XER705" s="771"/>
      <c r="XES705" s="771"/>
      <c r="XET705" s="771"/>
      <c r="XEU705" s="771"/>
      <c r="XEV705" s="771"/>
      <c r="XEW705" s="771"/>
      <c r="XEX705" s="771"/>
      <c r="XEY705" s="771"/>
      <c r="XEZ705" s="771"/>
      <c r="XFA705" s="771"/>
      <c r="XFB705" s="771"/>
      <c r="XFC705" s="771"/>
      <c r="XFD705" s="771"/>
    </row>
    <row r="706" s="558" customFormat="1" ht="40" customHeight="1" spans="1:84 16338:16384">
      <c r="A706" s="717">
        <v>46125</v>
      </c>
      <c r="B706" s="718" t="s">
        <v>1857</v>
      </c>
      <c r="C706" s="719" t="s">
        <v>144</v>
      </c>
      <c r="D706" s="720">
        <v>4500201617</v>
      </c>
      <c r="E706" s="721">
        <v>4400557378</v>
      </c>
      <c r="F706" s="720" t="s">
        <v>3039</v>
      </c>
      <c r="G706" s="722" t="s">
        <v>111</v>
      </c>
      <c r="H706" s="722" t="s">
        <v>99</v>
      </c>
      <c r="I706" s="723">
        <v>1078</v>
      </c>
      <c r="J706" s="723">
        <v>0</v>
      </c>
      <c r="K706" s="724">
        <v>22</v>
      </c>
      <c r="L706" s="724">
        <f t="shared" si="379"/>
        <v>49</v>
      </c>
      <c r="M706" s="725">
        <v>46161</v>
      </c>
      <c r="N706" s="725">
        <v>46157</v>
      </c>
      <c r="O706" s="725"/>
      <c r="P706" s="795" t="s">
        <v>100</v>
      </c>
      <c r="Q706" s="727" t="s">
        <v>3010</v>
      </c>
      <c r="R706" s="726" t="s">
        <v>1114</v>
      </c>
      <c r="S706" s="725"/>
      <c r="T706" s="725"/>
      <c r="U706" s="726" t="s">
        <v>3037</v>
      </c>
      <c r="V706" s="726"/>
      <c r="W706" s="728"/>
      <c r="X706" s="729" t="s">
        <v>3038</v>
      </c>
      <c r="Y706" s="730" t="s">
        <v>1864</v>
      </c>
      <c r="Z706" s="731">
        <v>2.7804</v>
      </c>
      <c r="AA706" s="732">
        <f t="shared" si="380"/>
        <v>2997.2712</v>
      </c>
      <c r="AB706" s="712">
        <v>1078</v>
      </c>
      <c r="AC706" s="712">
        <f t="shared" si="382"/>
        <v>0</v>
      </c>
      <c r="AD706" s="732" t="s">
        <v>106</v>
      </c>
      <c r="AE706" s="749" t="s">
        <v>230</v>
      </c>
      <c r="AF706" s="730" t="s">
        <v>107</v>
      </c>
      <c r="AG706" s="763" t="s">
        <v>43</v>
      </c>
      <c r="AH706" s="730"/>
      <c r="AI706" s="705"/>
      <c r="AJ706" s="705"/>
      <c r="AK706" s="705"/>
      <c r="AL706" s="733"/>
      <c r="AM706" s="712"/>
      <c r="AN706" s="705"/>
      <c r="AO706" s="773"/>
      <c r="AP706" s="734">
        <f>I706</f>
        <v>1078</v>
      </c>
      <c r="AQ706" s="734"/>
      <c r="AR706" s="773"/>
      <c r="AS706" s="773"/>
      <c r="AT706" s="734"/>
      <c r="AU706" s="734">
        <f t="shared" si="383"/>
        <v>1078</v>
      </c>
      <c r="AV706" s="734"/>
      <c r="AW706" s="773"/>
      <c r="AX706" s="734"/>
      <c r="AY706" s="734"/>
      <c r="AZ706" s="706"/>
      <c r="BA706" s="713"/>
      <c r="BB706" s="681">
        <f>I706/11</f>
        <v>98</v>
      </c>
      <c r="BC706" s="706"/>
      <c r="BD706" s="706"/>
      <c r="BE706" s="713"/>
      <c r="BF706" s="706"/>
      <c r="BG706" s="728"/>
      <c r="BH706" s="736"/>
      <c r="BI706" s="774"/>
      <c r="BJ706" s="774"/>
      <c r="BK706" s="736"/>
      <c r="BL706" s="737"/>
      <c r="BM706" s="736"/>
      <c r="BN706" s="737"/>
      <c r="BO706" s="737"/>
      <c r="BP706" s="775"/>
      <c r="BQ706" s="713"/>
      <c r="BR706" s="706"/>
      <c r="BS706" s="713"/>
      <c r="BT706" s="713"/>
      <c r="BU706" s="713"/>
      <c r="BV706" s="713"/>
      <c r="BW706" s="728" t="s">
        <v>109</v>
      </c>
      <c r="BX706" s="736">
        <f>I706/22*5</f>
        <v>245</v>
      </c>
      <c r="BY706" s="736">
        <f>I706/22*6</f>
        <v>294</v>
      </c>
      <c r="BZ706" s="736">
        <f>I706/22*6</f>
        <v>294</v>
      </c>
      <c r="CA706" s="736">
        <f>I706/22*5</f>
        <v>245</v>
      </c>
      <c r="CB706" s="737">
        <f>I706</f>
        <v>1078</v>
      </c>
      <c r="CC706" s="736">
        <f>I706/11</f>
        <v>98</v>
      </c>
      <c r="CD706" s="737">
        <f t="shared" si="374"/>
        <v>1078</v>
      </c>
      <c r="CE706" s="737">
        <v>0</v>
      </c>
      <c r="XEN706" s="771"/>
      <c r="XEO706" s="771"/>
      <c r="XEP706" s="771"/>
      <c r="XEQ706" s="771"/>
      <c r="XER706" s="771"/>
      <c r="XES706" s="771"/>
      <c r="XET706" s="771"/>
      <c r="XEU706" s="771"/>
      <c r="XEV706" s="771"/>
      <c r="XEW706" s="771"/>
      <c r="XEX706" s="771"/>
      <c r="XEY706" s="771"/>
      <c r="XEZ706" s="771"/>
      <c r="XFA706" s="771"/>
      <c r="XFB706" s="771"/>
      <c r="XFC706" s="771"/>
      <c r="XFD706" s="771"/>
    </row>
    <row r="707" s="558" customFormat="1" ht="40" customHeight="1" spans="1:84 16338:16384">
      <c r="A707" s="717">
        <v>46125</v>
      </c>
      <c r="B707" s="718" t="s">
        <v>432</v>
      </c>
      <c r="C707" s="719" t="s">
        <v>380</v>
      </c>
      <c r="D707" s="720">
        <v>4500201621</v>
      </c>
      <c r="E707" s="721">
        <v>444374</v>
      </c>
      <c r="F707" s="720" t="s">
        <v>3040</v>
      </c>
      <c r="G707" s="722" t="s">
        <v>98</v>
      </c>
      <c r="H707" s="722" t="s">
        <v>99</v>
      </c>
      <c r="I707" s="723">
        <v>5016</v>
      </c>
      <c r="J707" s="723">
        <v>0</v>
      </c>
      <c r="K707" s="724">
        <v>24</v>
      </c>
      <c r="L707" s="724">
        <f t="shared" si="379"/>
        <v>209</v>
      </c>
      <c r="M707" s="725">
        <v>46162</v>
      </c>
      <c r="N707" s="725">
        <v>46158</v>
      </c>
      <c r="O707" s="725"/>
      <c r="P707" s="795" t="s">
        <v>100</v>
      </c>
      <c r="Q707" s="727" t="s">
        <v>3041</v>
      </c>
      <c r="R707" s="726" t="s">
        <v>3017</v>
      </c>
      <c r="S707" s="725"/>
      <c r="T707" s="725"/>
      <c r="U707" s="726" t="s">
        <v>3042</v>
      </c>
      <c r="V707" s="726"/>
      <c r="W707" s="728"/>
      <c r="X707" s="729" t="s">
        <v>3043</v>
      </c>
      <c r="Y707" s="730" t="s">
        <v>298</v>
      </c>
      <c r="Z707" s="731">
        <v>2.5289</v>
      </c>
      <c r="AA707" s="732">
        <f t="shared" si="380"/>
        <v>12684.9624</v>
      </c>
      <c r="AB707" s="712">
        <v>5016</v>
      </c>
      <c r="AC707" s="712">
        <f t="shared" si="382"/>
        <v>0</v>
      </c>
      <c r="AD707" s="732" t="s">
        <v>106</v>
      </c>
      <c r="AE707" s="722" t="s">
        <v>98</v>
      </c>
      <c r="AF707" s="730" t="s">
        <v>107</v>
      </c>
      <c r="AG707" s="763" t="s">
        <v>43</v>
      </c>
      <c r="AH707" s="730"/>
      <c r="AI707" s="705"/>
      <c r="AJ707" s="705"/>
      <c r="AK707" s="705"/>
      <c r="AL707" s="733"/>
      <c r="AM707" s="712">
        <f>I707</f>
        <v>5016</v>
      </c>
      <c r="AN707" s="705"/>
      <c r="AO707" s="773"/>
      <c r="AP707" s="734"/>
      <c r="AQ707" s="734"/>
      <c r="AR707" s="773"/>
      <c r="AS707" s="773"/>
      <c r="AT707" s="734"/>
      <c r="AU707" s="734">
        <f t="shared" si="383"/>
        <v>5016</v>
      </c>
      <c r="AV707" s="734"/>
      <c r="AW707" s="773"/>
      <c r="AX707" s="734"/>
      <c r="AY707" s="734"/>
      <c r="AZ707" s="706"/>
      <c r="BA707" s="713"/>
      <c r="BB707" s="713"/>
      <c r="BC707" s="706"/>
      <c r="BD707" s="706"/>
      <c r="BE707" s="713"/>
      <c r="BF707" s="706"/>
      <c r="BG707" s="728"/>
      <c r="BH707" s="736"/>
      <c r="BI707" s="774"/>
      <c r="BJ707" s="774"/>
      <c r="BK707" s="736"/>
      <c r="BL707" s="737"/>
      <c r="BM707" s="736"/>
      <c r="BN707" s="737"/>
      <c r="BO707" s="737"/>
      <c r="BP707" s="775"/>
      <c r="BQ707" s="713"/>
      <c r="BR707" s="706"/>
      <c r="BS707" s="713"/>
      <c r="BT707" s="713"/>
      <c r="BU707" s="713"/>
      <c r="BV707" s="713"/>
      <c r="BW707" s="728" t="s">
        <v>109</v>
      </c>
      <c r="BX707" s="736">
        <f>I707/4</f>
        <v>1254</v>
      </c>
      <c r="BY707" s="736">
        <f>I707/4</f>
        <v>1254</v>
      </c>
      <c r="BZ707" s="736">
        <f>I707/4</f>
        <v>1254</v>
      </c>
      <c r="CA707" s="736">
        <f>I707/4</f>
        <v>1254</v>
      </c>
      <c r="CB707" s="737">
        <f>I707/4</f>
        <v>1254</v>
      </c>
      <c r="CC707" s="736"/>
      <c r="CD707" s="737">
        <f t="shared" si="374"/>
        <v>5016</v>
      </c>
      <c r="CE707" s="737">
        <f>I707-CD707</f>
        <v>0</v>
      </c>
      <c r="XEN707" s="771"/>
      <c r="XEO707" s="771"/>
      <c r="XEP707" s="771"/>
      <c r="XEQ707" s="771"/>
      <c r="XER707" s="771"/>
      <c r="XES707" s="771"/>
      <c r="XET707" s="771"/>
      <c r="XEU707" s="771"/>
      <c r="XEV707" s="771"/>
      <c r="XEW707" s="771"/>
      <c r="XEX707" s="771"/>
      <c r="XEY707" s="771"/>
      <c r="XEZ707" s="771"/>
      <c r="XFA707" s="771"/>
      <c r="XFB707" s="771"/>
      <c r="XFC707" s="771"/>
      <c r="XFD707" s="771"/>
    </row>
    <row r="708" s="558" customFormat="1" ht="40" customHeight="1" spans="1:84 16338:16384">
      <c r="A708" s="717">
        <v>46120</v>
      </c>
      <c r="B708" s="718" t="s">
        <v>344</v>
      </c>
      <c r="C708" s="719" t="s">
        <v>345</v>
      </c>
      <c r="D708" s="720">
        <v>4500200402</v>
      </c>
      <c r="E708" s="721" t="s">
        <v>3015</v>
      </c>
      <c r="F708" s="781" t="s">
        <v>3044</v>
      </c>
      <c r="G708" s="722" t="s">
        <v>111</v>
      </c>
      <c r="H708" s="722" t="s">
        <v>99</v>
      </c>
      <c r="I708" s="723">
        <v>3014</v>
      </c>
      <c r="J708" s="723">
        <v>0</v>
      </c>
      <c r="K708" s="724">
        <v>22</v>
      </c>
      <c r="L708" s="724">
        <f t="shared" si="379"/>
        <v>137</v>
      </c>
      <c r="M708" s="725">
        <v>46162</v>
      </c>
      <c r="N708" s="725">
        <v>46158</v>
      </c>
      <c r="O708" s="725"/>
      <c r="P708" s="726" t="s">
        <v>100</v>
      </c>
      <c r="Q708" s="852" t="s">
        <v>1109</v>
      </c>
      <c r="R708" s="726" t="s">
        <v>1114</v>
      </c>
      <c r="S708" s="726"/>
      <c r="T708" s="726"/>
      <c r="U708" s="726" t="s">
        <v>3045</v>
      </c>
      <c r="V708" s="728"/>
      <c r="W708" s="728"/>
      <c r="X708" s="729" t="s">
        <v>3046</v>
      </c>
      <c r="Y708" s="724" t="s">
        <v>281</v>
      </c>
      <c r="Z708" s="853">
        <v>2.7693</v>
      </c>
      <c r="AA708" s="732">
        <f t="shared" si="380"/>
        <v>8346.6702</v>
      </c>
      <c r="AB708" s="712">
        <v>3014</v>
      </c>
      <c r="AC708" s="712">
        <f t="shared" si="382"/>
        <v>0</v>
      </c>
      <c r="AD708" s="732" t="s">
        <v>106</v>
      </c>
      <c r="AE708" s="749" t="s">
        <v>230</v>
      </c>
      <c r="AF708" s="730" t="s">
        <v>107</v>
      </c>
      <c r="AG708" s="763" t="s">
        <v>43</v>
      </c>
      <c r="AH708" s="730"/>
      <c r="AI708" s="773"/>
      <c r="AJ708" s="706"/>
      <c r="AK708" s="854"/>
      <c r="AL708" s="736"/>
      <c r="AM708" s="713"/>
      <c r="AN708" s="855"/>
      <c r="AO708" s="774"/>
      <c r="AP708" s="737">
        <f>I708</f>
        <v>3014</v>
      </c>
      <c r="AQ708" s="736"/>
      <c r="AR708" s="854"/>
      <c r="AS708" s="856"/>
      <c r="AT708" s="857"/>
      <c r="AU708" s="730">
        <f t="shared" si="383"/>
        <v>3014</v>
      </c>
      <c r="AV708" s="857"/>
      <c r="AW708" s="761"/>
      <c r="AX708" s="857"/>
      <c r="AY708" s="857"/>
      <c r="AZ708" s="761"/>
      <c r="BA708" s="857"/>
      <c r="BB708" s="730">
        <f>I708/11</f>
        <v>274</v>
      </c>
      <c r="BC708" s="761"/>
      <c r="BD708" s="761"/>
      <c r="BE708" s="857"/>
      <c r="BF708" s="761"/>
      <c r="BG708" s="857"/>
      <c r="BH708" s="857"/>
      <c r="BI708" s="761"/>
      <c r="BJ708" s="761"/>
      <c r="BK708" s="857"/>
      <c r="BL708" s="857"/>
      <c r="BM708" s="857"/>
      <c r="BN708" s="857"/>
      <c r="BO708" s="857"/>
      <c r="BP708" s="761"/>
      <c r="BQ708" s="857"/>
      <c r="BR708" s="761"/>
      <c r="BS708" s="857"/>
      <c r="BT708" s="857"/>
      <c r="BU708" s="857"/>
      <c r="BV708" s="857"/>
      <c r="BW708" s="858" t="s">
        <v>109</v>
      </c>
      <c r="BX708" s="730">
        <f>I708/22*5</f>
        <v>685</v>
      </c>
      <c r="BY708" s="730">
        <f>I708/22*6</f>
        <v>822</v>
      </c>
      <c r="BZ708" s="730">
        <f>I708/22*6</f>
        <v>822</v>
      </c>
      <c r="CA708" s="730">
        <f>I708/22*5</f>
        <v>685</v>
      </c>
      <c r="CB708" s="730">
        <f>I708</f>
        <v>3014</v>
      </c>
      <c r="CC708" s="730">
        <f>I708/11</f>
        <v>274</v>
      </c>
      <c r="CD708" s="730">
        <f t="shared" si="374"/>
        <v>3014</v>
      </c>
      <c r="CE708" s="745">
        <v>0</v>
      </c>
      <c r="XDJ708" s="859"/>
      <c r="XDK708" s="860"/>
      <c r="XDL708" s="861"/>
      <c r="XDM708" s="862"/>
      <c r="XDN708" s="863"/>
      <c r="XDO708" s="864"/>
      <c r="XDP708" s="865"/>
      <c r="XDQ708" s="865"/>
      <c r="XDR708" s="866"/>
      <c r="XDS708" s="866"/>
      <c r="XDT708" s="867"/>
      <c r="XDU708" s="867"/>
      <c r="XDV708" s="868"/>
      <c r="XDW708" s="868"/>
      <c r="XDX708" s="868"/>
      <c r="XDY708" s="869"/>
      <c r="XDZ708" s="859"/>
      <c r="XEA708" s="860"/>
      <c r="XEB708" s="861"/>
      <c r="XEC708" s="862"/>
      <c r="XED708" s="863"/>
      <c r="XEE708" s="864"/>
      <c r="XEF708" s="865"/>
      <c r="XEG708" s="865"/>
      <c r="XEH708" s="866"/>
      <c r="XEI708" s="866"/>
      <c r="XEJ708" s="867"/>
      <c r="XEK708" s="867"/>
      <c r="XEL708" s="868"/>
      <c r="XEM708" s="868"/>
      <c r="XEN708" s="868"/>
      <c r="XEO708" s="869"/>
      <c r="XEP708" s="859"/>
      <c r="XEQ708" s="860"/>
      <c r="XER708" s="861"/>
      <c r="XES708" s="862"/>
      <c r="XET708" s="863"/>
      <c r="XEU708" s="864"/>
      <c r="XEV708" s="865"/>
      <c r="XEW708" s="865"/>
      <c r="XEX708" s="866"/>
      <c r="XEY708" s="866"/>
      <c r="XEZ708" s="867"/>
      <c r="XFA708" s="867"/>
      <c r="XFB708" s="868"/>
      <c r="XFC708" s="868"/>
      <c r="XFD708" s="868"/>
    </row>
    <row r="709" s="558" customFormat="1" ht="40" customHeight="1" spans="1:84 16338:16384">
      <c r="A709" s="717">
        <v>46122</v>
      </c>
      <c r="B709" s="718" t="s">
        <v>1789</v>
      </c>
      <c r="C709" s="719" t="s">
        <v>380</v>
      </c>
      <c r="D709" s="870">
        <v>4500201059</v>
      </c>
      <c r="E709" s="772">
        <v>4400555632</v>
      </c>
      <c r="F709" s="781" t="s">
        <v>3047</v>
      </c>
      <c r="G709" s="722" t="s">
        <v>111</v>
      </c>
      <c r="H709" s="722" t="s">
        <v>99</v>
      </c>
      <c r="I709" s="723">
        <v>2002</v>
      </c>
      <c r="J709" s="723">
        <v>0</v>
      </c>
      <c r="K709" s="724">
        <v>22</v>
      </c>
      <c r="L709" s="724">
        <f t="shared" si="379"/>
        <v>91</v>
      </c>
      <c r="M709" s="725">
        <v>46164</v>
      </c>
      <c r="N709" s="725">
        <v>46160</v>
      </c>
      <c r="O709" s="725"/>
      <c r="P709" s="726" t="s">
        <v>100</v>
      </c>
      <c r="Q709" s="727" t="s">
        <v>3041</v>
      </c>
      <c r="R709" s="726" t="s">
        <v>1114</v>
      </c>
      <c r="S709" s="726"/>
      <c r="T709" s="726"/>
      <c r="U709" s="726" t="s">
        <v>3005</v>
      </c>
      <c r="V709" s="728"/>
      <c r="W709" s="728"/>
      <c r="X709" s="729" t="s">
        <v>3048</v>
      </c>
      <c r="Y709" s="724" t="s">
        <v>1864</v>
      </c>
      <c r="Z709" s="853">
        <v>2.771</v>
      </c>
      <c r="AA709" s="732">
        <f t="shared" si="380"/>
        <v>5547.542</v>
      </c>
      <c r="AB709" s="712">
        <f>1034+968</f>
        <v>2002</v>
      </c>
      <c r="AC709" s="712">
        <f t="shared" si="382"/>
        <v>0</v>
      </c>
      <c r="AD709" s="732" t="s">
        <v>113</v>
      </c>
      <c r="AE709" s="749" t="s">
        <v>230</v>
      </c>
      <c r="AF709" s="730" t="s">
        <v>107</v>
      </c>
      <c r="AG709" s="763" t="s">
        <v>43</v>
      </c>
      <c r="AH709" s="730"/>
      <c r="AI709" s="773"/>
      <c r="AJ709" s="706"/>
      <c r="AK709" s="854"/>
      <c r="AL709" s="736"/>
      <c r="AM709" s="713"/>
      <c r="AN709" s="855"/>
      <c r="AO709" s="774"/>
      <c r="AP709" s="737">
        <f>I709</f>
        <v>2002</v>
      </c>
      <c r="AQ709" s="736"/>
      <c r="AR709" s="854"/>
      <c r="AS709" s="871"/>
      <c r="AT709" s="857"/>
      <c r="AU709" s="730">
        <f t="shared" si="383"/>
        <v>2002</v>
      </c>
      <c r="AV709" s="857"/>
      <c r="AW709" s="871"/>
      <c r="AX709" s="857"/>
      <c r="AY709" s="857"/>
      <c r="AZ709" s="871"/>
      <c r="BA709" s="857"/>
      <c r="BB709" s="730">
        <f>I709/11</f>
        <v>182</v>
      </c>
      <c r="BC709" s="871"/>
      <c r="BD709" s="871"/>
      <c r="BE709" s="857"/>
      <c r="BF709" s="871"/>
      <c r="BG709" s="857"/>
      <c r="BH709" s="857"/>
      <c r="BI709" s="871"/>
      <c r="BJ709" s="871"/>
      <c r="BK709" s="857"/>
      <c r="BL709" s="857"/>
      <c r="BM709" s="857"/>
      <c r="BN709" s="857"/>
      <c r="BO709" s="857"/>
      <c r="BP709" s="871"/>
      <c r="BQ709" s="857"/>
      <c r="BR709" s="871"/>
      <c r="BS709" s="857"/>
      <c r="BT709" s="857"/>
      <c r="BU709" s="857"/>
      <c r="BV709" s="857"/>
      <c r="BW709" s="858" t="s">
        <v>109</v>
      </c>
      <c r="BX709" s="730">
        <f>I709/22*5</f>
        <v>455</v>
      </c>
      <c r="BY709" s="730">
        <f>I709/22*6</f>
        <v>546</v>
      </c>
      <c r="BZ709" s="730">
        <f>I709/22*6</f>
        <v>546</v>
      </c>
      <c r="CA709" s="730">
        <f>I709/22*5</f>
        <v>455</v>
      </c>
      <c r="CB709" s="730">
        <f>I709</f>
        <v>2002</v>
      </c>
      <c r="CC709" s="730">
        <f>I709/11</f>
        <v>182</v>
      </c>
      <c r="CD709" s="730">
        <f t="shared" si="374"/>
        <v>2002</v>
      </c>
      <c r="CE709" s="745">
        <v>0</v>
      </c>
      <c r="XDJ709" s="859"/>
      <c r="XDK709" s="860"/>
      <c r="XDL709" s="861"/>
      <c r="XDM709" s="862"/>
      <c r="XDN709" s="863"/>
      <c r="XDO709" s="864"/>
      <c r="XDP709" s="865"/>
      <c r="XDQ709" s="865"/>
      <c r="XDR709" s="866"/>
      <c r="XDS709" s="866"/>
      <c r="XDT709" s="867"/>
      <c r="XDU709" s="867"/>
      <c r="XDV709" s="868"/>
      <c r="XDW709" s="868"/>
      <c r="XDX709" s="868"/>
      <c r="XDY709" s="869"/>
      <c r="XDZ709" s="859"/>
      <c r="XEA709" s="860"/>
      <c r="XEB709" s="861"/>
      <c r="XEC709" s="862"/>
      <c r="XED709" s="863"/>
      <c r="XEE709" s="864"/>
      <c r="XEF709" s="865"/>
      <c r="XEG709" s="865"/>
      <c r="XEH709" s="866"/>
      <c r="XEI709" s="866"/>
      <c r="XEJ709" s="867"/>
      <c r="XEK709" s="867"/>
      <c r="XEL709" s="868"/>
      <c r="XEM709" s="868"/>
      <c r="XEN709" s="868"/>
      <c r="XEO709" s="869"/>
      <c r="XEP709" s="859"/>
      <c r="XEQ709" s="860"/>
      <c r="XER709" s="861"/>
      <c r="XES709" s="862"/>
      <c r="XET709" s="863"/>
      <c r="XEU709" s="864"/>
      <c r="XEV709" s="865"/>
      <c r="XEW709" s="865"/>
      <c r="XEX709" s="866"/>
      <c r="XEY709" s="866"/>
      <c r="XEZ709" s="867"/>
      <c r="XFA709" s="867"/>
      <c r="XFB709" s="868"/>
      <c r="XFC709" s="868"/>
      <c r="XFD709" s="868"/>
    </row>
    <row r="710" s="558" customFormat="1" ht="40" customHeight="1" spans="1:84 16338:16384">
      <c r="A710" s="717">
        <v>46101</v>
      </c>
      <c r="B710" s="718" t="s">
        <v>3049</v>
      </c>
      <c r="C710" s="719" t="s">
        <v>1024</v>
      </c>
      <c r="D710" s="720">
        <v>4500197359</v>
      </c>
      <c r="E710" s="721">
        <v>28058</v>
      </c>
      <c r="F710" s="781" t="s">
        <v>3050</v>
      </c>
      <c r="G710" s="722" t="s">
        <v>241</v>
      </c>
      <c r="H710" s="722" t="s">
        <v>99</v>
      </c>
      <c r="I710" s="723">
        <v>880</v>
      </c>
      <c r="J710" s="723">
        <v>0</v>
      </c>
      <c r="K710" s="724">
        <v>11</v>
      </c>
      <c r="L710" s="872">
        <f t="shared" si="379"/>
        <v>80</v>
      </c>
      <c r="M710" s="725">
        <v>46161</v>
      </c>
      <c r="N710" s="725">
        <v>46157</v>
      </c>
      <c r="O710" s="725" t="s">
        <v>3051</v>
      </c>
      <c r="P710" s="726" t="s">
        <v>100</v>
      </c>
      <c r="Q710" s="852" t="s">
        <v>1020</v>
      </c>
      <c r="R710" s="726" t="s">
        <v>1051</v>
      </c>
      <c r="S710" s="726"/>
      <c r="T710" s="726"/>
      <c r="U710" s="726" t="s">
        <v>3052</v>
      </c>
      <c r="V710" s="728"/>
      <c r="W710" s="730"/>
      <c r="X710" s="729" t="s">
        <v>3053</v>
      </c>
      <c r="Y710" s="724" t="s">
        <v>1029</v>
      </c>
      <c r="Z710" s="853">
        <v>2.724</v>
      </c>
      <c r="AA710" s="732">
        <f t="shared" si="380"/>
        <v>2397.12</v>
      </c>
      <c r="AB710" s="712">
        <v>880</v>
      </c>
      <c r="AC710" s="712">
        <f t="shared" si="382"/>
        <v>0</v>
      </c>
      <c r="AD710" s="732" t="s">
        <v>106</v>
      </c>
      <c r="AE710" s="722" t="s">
        <v>597</v>
      </c>
      <c r="AF710" s="730" t="s">
        <v>107</v>
      </c>
      <c r="AG710" s="763" t="s">
        <v>43</v>
      </c>
      <c r="AH710" s="730"/>
      <c r="AI710" s="753"/>
      <c r="AJ710" s="753"/>
      <c r="AK710" s="753"/>
      <c r="AL710" s="734"/>
      <c r="AM710" s="734"/>
      <c r="AN710" s="753"/>
      <c r="AO710" s="753"/>
      <c r="AP710" s="712">
        <f>I710</f>
        <v>880</v>
      </c>
      <c r="AQ710" s="735"/>
      <c r="AR710" s="753"/>
      <c r="AS710" s="753"/>
      <c r="AT710" s="734"/>
      <c r="AU710" s="712"/>
      <c r="AV710" s="734">
        <f>I710</f>
        <v>880</v>
      </c>
      <c r="AW710" s="873"/>
      <c r="AX710" s="734"/>
      <c r="AY710" s="734"/>
      <c r="AZ710" s="754"/>
      <c r="BA710" s="713"/>
      <c r="BB710" s="734">
        <f>I710/11</f>
        <v>80</v>
      </c>
      <c r="BC710" s="754"/>
      <c r="BD710" s="754"/>
      <c r="BE710" s="713"/>
      <c r="BF710" s="754"/>
      <c r="BG710" s="728"/>
      <c r="BH710" s="736"/>
      <c r="BI710" s="784"/>
      <c r="BJ710" s="784"/>
      <c r="BK710" s="736"/>
      <c r="BL710" s="737"/>
      <c r="BM710" s="736"/>
      <c r="BN710" s="737"/>
      <c r="BO710" s="737"/>
      <c r="BP710" s="785"/>
      <c r="BQ710" s="713"/>
      <c r="BR710" s="754"/>
      <c r="BS710" s="713"/>
      <c r="BT710" s="713"/>
      <c r="BU710" s="713"/>
      <c r="BV710" s="713"/>
      <c r="BW710" s="728" t="s">
        <v>109</v>
      </c>
      <c r="BX710" s="736">
        <f>I710/22*5</f>
        <v>200</v>
      </c>
      <c r="BY710" s="736">
        <f>I710/22*6</f>
        <v>240</v>
      </c>
      <c r="BZ710" s="736">
        <f>I710/22*6</f>
        <v>240</v>
      </c>
      <c r="CA710" s="736">
        <f>I710/22*5</f>
        <v>200</v>
      </c>
      <c r="CB710" s="737">
        <f>I710</f>
        <v>880</v>
      </c>
      <c r="CC710" s="736">
        <f>I710/11</f>
        <v>80</v>
      </c>
      <c r="CD710" s="737">
        <f t="shared" si="374"/>
        <v>880</v>
      </c>
      <c r="CE710" s="737">
        <v>0</v>
      </c>
      <c r="XEN710" s="771"/>
      <c r="XEO710" s="771"/>
      <c r="XEP710" s="771"/>
      <c r="XEQ710" s="771"/>
      <c r="XER710" s="771"/>
      <c r="XES710" s="771"/>
      <c r="XET710" s="771"/>
      <c r="XEU710" s="771"/>
      <c r="XEV710" s="771"/>
      <c r="XEW710" s="771"/>
      <c r="XEX710" s="771"/>
      <c r="XEY710" s="771"/>
      <c r="XEZ710" s="771"/>
      <c r="XFA710" s="771"/>
      <c r="XFB710" s="771"/>
      <c r="XFC710" s="771"/>
      <c r="XFD710" s="771"/>
    </row>
    <row r="711" s="558" customFormat="1" ht="40" customHeight="1" spans="1:84 16338:16384">
      <c r="A711" s="717">
        <v>46120</v>
      </c>
      <c r="B711" s="718" t="s">
        <v>432</v>
      </c>
      <c r="C711" s="719" t="s">
        <v>380</v>
      </c>
      <c r="D711" s="720">
        <v>4500200368</v>
      </c>
      <c r="E711" s="772">
        <v>412872</v>
      </c>
      <c r="F711" s="781" t="s">
        <v>3054</v>
      </c>
      <c r="G711" s="722" t="s">
        <v>98</v>
      </c>
      <c r="H711" s="722" t="s">
        <v>99</v>
      </c>
      <c r="I711" s="723">
        <v>1512</v>
      </c>
      <c r="J711" s="723">
        <v>0</v>
      </c>
      <c r="K711" s="724">
        <v>24</v>
      </c>
      <c r="L711" s="724">
        <f t="shared" si="379"/>
        <v>63</v>
      </c>
      <c r="M711" s="725">
        <v>46167</v>
      </c>
      <c r="N711" s="725">
        <v>46163</v>
      </c>
      <c r="O711" s="725"/>
      <c r="P711" s="726" t="s">
        <v>100</v>
      </c>
      <c r="Q711" s="852" t="s">
        <v>1020</v>
      </c>
      <c r="R711" s="726" t="s">
        <v>3055</v>
      </c>
      <c r="S711" s="726"/>
      <c r="T711" s="726"/>
      <c r="U711" s="726" t="s">
        <v>3056</v>
      </c>
      <c r="V711" s="728"/>
      <c r="W711" s="728"/>
      <c r="X711" s="729" t="s">
        <v>3057</v>
      </c>
      <c r="Y711" s="724" t="s">
        <v>298</v>
      </c>
      <c r="Z711" s="853">
        <v>2.5576</v>
      </c>
      <c r="AA711" s="732">
        <f t="shared" si="380"/>
        <v>3867.0912</v>
      </c>
      <c r="AB711" s="712">
        <v>1512</v>
      </c>
      <c r="AC711" s="712">
        <f t="shared" si="382"/>
        <v>0</v>
      </c>
      <c r="AD711" s="732" t="s">
        <v>106</v>
      </c>
      <c r="AE711" s="722" t="s">
        <v>98</v>
      </c>
      <c r="AF711" s="730" t="s">
        <v>107</v>
      </c>
      <c r="AG711" s="763" t="s">
        <v>43</v>
      </c>
      <c r="AH711" s="730"/>
      <c r="AI711" s="773"/>
      <c r="AJ711" s="706"/>
      <c r="AK711" s="854"/>
      <c r="AL711" s="736"/>
      <c r="AM711" s="734">
        <f>I711</f>
        <v>1512</v>
      </c>
      <c r="AN711" s="855"/>
      <c r="AO711" s="774"/>
      <c r="AP711" s="737"/>
      <c r="AQ711" s="736"/>
      <c r="AR711" s="854"/>
      <c r="AS711" s="871"/>
      <c r="AT711" s="857"/>
      <c r="AU711" s="730">
        <f t="shared" si="383"/>
        <v>1512</v>
      </c>
      <c r="AV711" s="857"/>
      <c r="AW711" s="871"/>
      <c r="AX711" s="857"/>
      <c r="AY711" s="857"/>
      <c r="AZ711" s="871"/>
      <c r="BA711" s="857"/>
      <c r="BB711" s="857"/>
      <c r="BC711" s="871"/>
      <c r="BD711" s="871"/>
      <c r="BE711" s="857"/>
      <c r="BF711" s="871"/>
      <c r="BG711" s="857"/>
      <c r="BH711" s="857"/>
      <c r="BI711" s="871"/>
      <c r="BJ711" s="871"/>
      <c r="BK711" s="857"/>
      <c r="BL711" s="857"/>
      <c r="BM711" s="857"/>
      <c r="BN711" s="857"/>
      <c r="BO711" s="857"/>
      <c r="BP711" s="871"/>
      <c r="BQ711" s="857"/>
      <c r="BR711" s="871"/>
      <c r="BS711" s="857"/>
      <c r="BT711" s="857"/>
      <c r="BU711" s="857"/>
      <c r="BV711" s="857"/>
      <c r="BW711" s="858" t="s">
        <v>109</v>
      </c>
      <c r="BX711" s="730">
        <f>I711/4</f>
        <v>378</v>
      </c>
      <c r="BY711" s="730">
        <f>I711/4</f>
        <v>378</v>
      </c>
      <c r="BZ711" s="730">
        <f>I711/4</f>
        <v>378</v>
      </c>
      <c r="CA711" s="730">
        <f>I711/4</f>
        <v>378</v>
      </c>
      <c r="CB711" s="730">
        <f>I711/4</f>
        <v>378</v>
      </c>
      <c r="CC711" s="730"/>
      <c r="CD711" s="730">
        <f t="shared" si="374"/>
        <v>1512</v>
      </c>
      <c r="CE711" s="745">
        <f>I711-CD711</f>
        <v>0</v>
      </c>
      <c r="XDJ711" s="859"/>
      <c r="XDK711" s="860"/>
      <c r="XDL711" s="861"/>
      <c r="XDM711" s="862"/>
      <c r="XDN711" s="863"/>
      <c r="XDO711" s="864"/>
      <c r="XDP711" s="865"/>
      <c r="XDQ711" s="865"/>
      <c r="XDR711" s="866"/>
      <c r="XDS711" s="866"/>
      <c r="XDT711" s="867"/>
      <c r="XDU711" s="867"/>
      <c r="XDV711" s="868"/>
      <c r="XDW711" s="868"/>
      <c r="XDX711" s="868"/>
      <c r="XDY711" s="869"/>
      <c r="XDZ711" s="859"/>
      <c r="XEA711" s="860"/>
      <c r="XEB711" s="861"/>
      <c r="XEC711" s="862"/>
      <c r="XED711" s="863"/>
      <c r="XEE711" s="864"/>
      <c r="XEF711" s="865"/>
      <c r="XEG711" s="865"/>
      <c r="XEH711" s="866"/>
      <c r="XEI711" s="866"/>
      <c r="XEJ711" s="867"/>
      <c r="XEK711" s="867"/>
      <c r="XEL711" s="868"/>
      <c r="XEM711" s="868"/>
      <c r="XEN711" s="868"/>
      <c r="XEO711" s="869"/>
      <c r="XEP711" s="859"/>
      <c r="XEQ711" s="860"/>
      <c r="XER711" s="861"/>
      <c r="XES711" s="862"/>
      <c r="XET711" s="863"/>
      <c r="XEU711" s="864"/>
      <c r="XEV711" s="865"/>
      <c r="XEW711" s="865"/>
      <c r="XEX711" s="866"/>
      <c r="XEY711" s="866"/>
      <c r="XEZ711" s="867"/>
      <c r="XFA711" s="867"/>
      <c r="XFB711" s="868"/>
      <c r="XFC711" s="868"/>
      <c r="XFD711" s="868"/>
    </row>
    <row r="712" s="558" customFormat="1" ht="40" customHeight="1" spans="1:84 16338:16384">
      <c r="A712" s="717">
        <v>46120</v>
      </c>
      <c r="B712" s="718" t="s">
        <v>2970</v>
      </c>
      <c r="C712" s="719" t="s">
        <v>380</v>
      </c>
      <c r="D712" s="720">
        <v>4500200725</v>
      </c>
      <c r="E712" s="772">
        <v>15376</v>
      </c>
      <c r="F712" s="781" t="s">
        <v>3058</v>
      </c>
      <c r="G712" s="722" t="s">
        <v>111</v>
      </c>
      <c r="H712" s="722" t="s">
        <v>99</v>
      </c>
      <c r="I712" s="723">
        <v>2200</v>
      </c>
      <c r="J712" s="723">
        <v>0</v>
      </c>
      <c r="K712" s="724">
        <v>22</v>
      </c>
      <c r="L712" s="724">
        <f t="shared" si="379"/>
        <v>100</v>
      </c>
      <c r="M712" s="725">
        <v>46168</v>
      </c>
      <c r="N712" s="725">
        <v>46164</v>
      </c>
      <c r="O712" s="725"/>
      <c r="P712" s="874" t="s">
        <v>100</v>
      </c>
      <c r="Q712" s="852" t="s">
        <v>968</v>
      </c>
      <c r="R712" s="726" t="s">
        <v>3055</v>
      </c>
      <c r="S712" s="726"/>
      <c r="T712" s="726"/>
      <c r="U712" s="726" t="s">
        <v>3059</v>
      </c>
      <c r="V712" s="728"/>
      <c r="W712" s="728"/>
      <c r="X712" s="729" t="s">
        <v>3060</v>
      </c>
      <c r="Y712" s="724" t="s">
        <v>1054</v>
      </c>
      <c r="Z712" s="853">
        <v>2.771</v>
      </c>
      <c r="AA712" s="732">
        <f t="shared" si="380"/>
        <v>6096.2</v>
      </c>
      <c r="AB712" s="712">
        <v>2200</v>
      </c>
      <c r="AC712" s="712">
        <f t="shared" si="382"/>
        <v>0</v>
      </c>
      <c r="AD712" s="732" t="s">
        <v>106</v>
      </c>
      <c r="AE712" s="722" t="s">
        <v>111</v>
      </c>
      <c r="AF712" s="730" t="s">
        <v>107</v>
      </c>
      <c r="AG712" s="763" t="s">
        <v>43</v>
      </c>
      <c r="AH712" s="730"/>
      <c r="AI712" s="773"/>
      <c r="AJ712" s="706"/>
      <c r="AK712" s="854"/>
      <c r="AL712" s="736">
        <f>I712</f>
        <v>2200</v>
      </c>
      <c r="AM712" s="713"/>
      <c r="AN712" s="855"/>
      <c r="AO712" s="774"/>
      <c r="AP712" s="737"/>
      <c r="AQ712" s="736"/>
      <c r="AR712" s="854"/>
      <c r="AS712" s="871"/>
      <c r="AT712" s="730">
        <f>I712</f>
        <v>2200</v>
      </c>
      <c r="AU712" s="730"/>
      <c r="AV712" s="857"/>
      <c r="AW712" s="871"/>
      <c r="AX712" s="730">
        <f>I712/11</f>
        <v>200</v>
      </c>
      <c r="AY712" s="857"/>
      <c r="AZ712" s="871"/>
      <c r="BA712" s="857"/>
      <c r="BB712" s="857"/>
      <c r="BC712" s="871"/>
      <c r="BD712" s="871"/>
      <c r="BE712" s="857"/>
      <c r="BF712" s="871"/>
      <c r="BG712" s="857"/>
      <c r="BH712" s="857"/>
      <c r="BI712" s="871"/>
      <c r="BJ712" s="871"/>
      <c r="BK712" s="857"/>
      <c r="BL712" s="857"/>
      <c r="BM712" s="857"/>
      <c r="BN712" s="857"/>
      <c r="BO712" s="857"/>
      <c r="BP712" s="871"/>
      <c r="BQ712" s="857"/>
      <c r="BR712" s="871"/>
      <c r="BS712" s="857"/>
      <c r="BT712" s="857"/>
      <c r="BU712" s="857"/>
      <c r="BV712" s="857"/>
      <c r="BW712" s="858" t="s">
        <v>109</v>
      </c>
      <c r="BX712" s="730">
        <f>I712/22*5</f>
        <v>500</v>
      </c>
      <c r="BY712" s="730">
        <f>I712/22*6</f>
        <v>600</v>
      </c>
      <c r="BZ712" s="730">
        <f>I712/22*6</f>
        <v>600</v>
      </c>
      <c r="CA712" s="730">
        <f>I712/22*5</f>
        <v>500</v>
      </c>
      <c r="CB712" s="730">
        <f>I712</f>
        <v>2200</v>
      </c>
      <c r="CC712" s="730">
        <f>I712/11</f>
        <v>200</v>
      </c>
      <c r="CD712" s="730">
        <f t="shared" si="374"/>
        <v>2200</v>
      </c>
      <c r="CE712" s="745">
        <v>0</v>
      </c>
      <c r="XDJ712" s="859"/>
      <c r="XDK712" s="860"/>
      <c r="XDL712" s="861"/>
      <c r="XDM712" s="862"/>
      <c r="XDN712" s="863"/>
      <c r="XDO712" s="864"/>
      <c r="XDP712" s="865"/>
      <c r="XDQ712" s="865"/>
      <c r="XDR712" s="866"/>
      <c r="XDS712" s="866"/>
      <c r="XDT712" s="867"/>
      <c r="XDU712" s="867"/>
      <c r="XDV712" s="868"/>
      <c r="XDW712" s="868"/>
      <c r="XDX712" s="868"/>
      <c r="XDY712" s="869"/>
      <c r="XDZ712" s="859"/>
      <c r="XEA712" s="860"/>
      <c r="XEB712" s="861"/>
      <c r="XEC712" s="862"/>
      <c r="XED712" s="863"/>
      <c r="XEE712" s="864"/>
      <c r="XEF712" s="865"/>
      <c r="XEG712" s="865"/>
      <c r="XEH712" s="866"/>
      <c r="XEI712" s="866"/>
      <c r="XEJ712" s="867"/>
      <c r="XEK712" s="867"/>
      <c r="XEL712" s="868"/>
      <c r="XEM712" s="868"/>
      <c r="XEN712" s="868"/>
      <c r="XEO712" s="869"/>
      <c r="XEP712" s="859"/>
      <c r="XEQ712" s="860"/>
      <c r="XER712" s="861"/>
      <c r="XES712" s="862"/>
      <c r="XET712" s="863"/>
      <c r="XEU712" s="864"/>
      <c r="XEV712" s="865"/>
      <c r="XEW712" s="865"/>
      <c r="XEX712" s="866"/>
      <c r="XEY712" s="866"/>
      <c r="XEZ712" s="867"/>
      <c r="XFA712" s="867"/>
      <c r="XFB712" s="868"/>
      <c r="XFC712" s="868"/>
      <c r="XFD712" s="868"/>
    </row>
    <row r="713" s="558" customFormat="1" ht="40" customHeight="1" spans="1:84 16338:16384">
      <c r="A713" s="717">
        <v>46121</v>
      </c>
      <c r="B713" s="718" t="s">
        <v>563</v>
      </c>
      <c r="C713" s="719" t="s">
        <v>564</v>
      </c>
      <c r="D713" s="720">
        <v>4500200650</v>
      </c>
      <c r="E713" s="721" t="s">
        <v>3061</v>
      </c>
      <c r="F713" s="720" t="s">
        <v>3062</v>
      </c>
      <c r="G713" s="722" t="s">
        <v>567</v>
      </c>
      <c r="H713" s="722" t="s">
        <v>99</v>
      </c>
      <c r="I713" s="724">
        <v>3416</v>
      </c>
      <c r="J713" s="723">
        <v>7</v>
      </c>
      <c r="K713" s="724">
        <v>28</v>
      </c>
      <c r="L713" s="724">
        <f t="shared" si="379"/>
        <v>122</v>
      </c>
      <c r="M713" s="725">
        <v>46167</v>
      </c>
      <c r="N713" s="725">
        <v>46163</v>
      </c>
      <c r="O713" s="725"/>
      <c r="P713" s="874" t="s">
        <v>100</v>
      </c>
      <c r="Q713" s="727" t="s">
        <v>1164</v>
      </c>
      <c r="R713" s="726" t="s">
        <v>1103</v>
      </c>
      <c r="S713" s="725"/>
      <c r="T713" s="725"/>
      <c r="U713" s="726" t="s">
        <v>3063</v>
      </c>
      <c r="V713" s="726"/>
      <c r="W713" s="728"/>
      <c r="X713" s="729" t="s">
        <v>3064</v>
      </c>
      <c r="Y713" s="730" t="s">
        <v>3065</v>
      </c>
      <c r="Z713" s="748">
        <v>2.9092</v>
      </c>
      <c r="AA713" s="732">
        <f t="shared" si="380"/>
        <v>9937.8272</v>
      </c>
      <c r="AB713" s="875">
        <f>1540+1876</f>
        <v>3416</v>
      </c>
      <c r="AC713" s="712">
        <f t="shared" si="382"/>
        <v>0</v>
      </c>
      <c r="AD713" s="732" t="s">
        <v>106</v>
      </c>
      <c r="AE713" s="722" t="s">
        <v>567</v>
      </c>
      <c r="AF713" s="730" t="s">
        <v>107</v>
      </c>
      <c r="AG713" s="763" t="s">
        <v>43</v>
      </c>
      <c r="AH713" s="730"/>
      <c r="AI713" s="712"/>
      <c r="AJ713" s="712"/>
      <c r="AK713" s="712"/>
      <c r="AL713" s="735"/>
      <c r="AM713" s="712">
        <f>I713</f>
        <v>3416</v>
      </c>
      <c r="AN713" s="712"/>
      <c r="AO713" s="734"/>
      <c r="AP713" s="734"/>
      <c r="AQ713" s="734"/>
      <c r="AR713" s="734"/>
      <c r="AS713" s="734"/>
      <c r="AT713" s="713"/>
      <c r="AU713" s="730">
        <f>I713</f>
        <v>3416</v>
      </c>
      <c r="AV713" s="734"/>
      <c r="AW713" s="713"/>
      <c r="AX713" s="713"/>
      <c r="AY713" s="713"/>
      <c r="AZ713" s="713"/>
      <c r="BA713" s="713"/>
      <c r="BB713" s="713"/>
      <c r="BC713" s="713"/>
      <c r="BD713" s="713"/>
      <c r="BE713" s="713"/>
      <c r="BF713" s="713"/>
      <c r="BG713" s="728"/>
      <c r="BH713" s="736">
        <f>I713/7</f>
        <v>488</v>
      </c>
      <c r="BI713" s="736"/>
      <c r="BJ713" s="736"/>
      <c r="BK713" s="736"/>
      <c r="BL713" s="737"/>
      <c r="BM713" s="736"/>
      <c r="BN713" s="737"/>
      <c r="BO713" s="737"/>
      <c r="BP713" s="857"/>
      <c r="BQ713" s="857"/>
      <c r="BR713" s="857"/>
      <c r="BS713" s="857"/>
      <c r="BT713" s="857"/>
      <c r="BU713" s="857"/>
      <c r="BV713" s="857"/>
      <c r="BW713" s="858" t="s">
        <v>109</v>
      </c>
      <c r="BX713" s="730">
        <f>I713/4</f>
        <v>854</v>
      </c>
      <c r="BY713" s="730">
        <f>I713/4</f>
        <v>854</v>
      </c>
      <c r="BZ713" s="730">
        <f>I713/4</f>
        <v>854</v>
      </c>
      <c r="CA713" s="730">
        <f>I713/4</f>
        <v>854</v>
      </c>
      <c r="CB713" s="730">
        <f>I713</f>
        <v>3416</v>
      </c>
      <c r="CC713" s="730">
        <f>I713/7</f>
        <v>488</v>
      </c>
      <c r="CD713" s="730">
        <f t="shared" si="374"/>
        <v>3416</v>
      </c>
      <c r="CE713" s="745">
        <f>I713-CD713</f>
        <v>0</v>
      </c>
      <c r="XEN713" s="771"/>
      <c r="XEO713" s="771"/>
      <c r="XEP713" s="859"/>
      <c r="XEQ713" s="860"/>
      <c r="XER713" s="861"/>
      <c r="XES713" s="862"/>
      <c r="XET713" s="863"/>
      <c r="XEU713" s="862"/>
      <c r="XEV713" s="865"/>
      <c r="XEW713" s="865"/>
      <c r="XEX713" s="867"/>
      <c r="XEY713" s="866"/>
      <c r="XEZ713" s="867"/>
      <c r="XFA713" s="867"/>
      <c r="XFB713" s="868"/>
      <c r="XFC713" s="868"/>
      <c r="XFD713" s="868"/>
    </row>
    <row r="714" s="558" customFormat="1" ht="40" customHeight="1" spans="1:84 16338:16384">
      <c r="A714" s="717">
        <v>46094</v>
      </c>
      <c r="B714" s="718" t="s">
        <v>3066</v>
      </c>
      <c r="C714" s="719" t="s">
        <v>1063</v>
      </c>
      <c r="D714" s="720">
        <v>4500196453</v>
      </c>
      <c r="E714" s="721">
        <v>188529</v>
      </c>
      <c r="F714" s="781" t="s">
        <v>3067</v>
      </c>
      <c r="G714" s="722" t="s">
        <v>241</v>
      </c>
      <c r="H714" s="722" t="s">
        <v>99</v>
      </c>
      <c r="I714" s="723">
        <v>2002</v>
      </c>
      <c r="J714" s="723">
        <v>0</v>
      </c>
      <c r="K714" s="724">
        <v>11</v>
      </c>
      <c r="L714" s="724">
        <f t="shared" si="379"/>
        <v>182</v>
      </c>
      <c r="M714" s="725">
        <v>46170</v>
      </c>
      <c r="N714" s="725">
        <v>46167</v>
      </c>
      <c r="O714" s="725" t="s">
        <v>3068</v>
      </c>
      <c r="P714" s="874" t="s">
        <v>100</v>
      </c>
      <c r="Q714" s="852" t="s">
        <v>3069</v>
      </c>
      <c r="R714" s="726" t="s">
        <v>1006</v>
      </c>
      <c r="S714" s="726"/>
      <c r="T714" s="726"/>
      <c r="U714" s="737" t="s">
        <v>3070</v>
      </c>
      <c r="V714" s="728"/>
      <c r="W714" s="730"/>
      <c r="X714" s="729" t="s">
        <v>3071</v>
      </c>
      <c r="Y714" s="724" t="s">
        <v>1029</v>
      </c>
      <c r="Z714" s="853">
        <v>2.7008</v>
      </c>
      <c r="AA714" s="732">
        <f t="shared" si="380"/>
        <v>5407.0016</v>
      </c>
      <c r="AB714" s="875">
        <v>2002</v>
      </c>
      <c r="AC714" s="712">
        <f t="shared" si="382"/>
        <v>0</v>
      </c>
      <c r="AD714" s="732" t="s">
        <v>106</v>
      </c>
      <c r="AE714" s="722" t="s">
        <v>597</v>
      </c>
      <c r="AF714" s="730" t="s">
        <v>107</v>
      </c>
      <c r="AG714" s="763" t="s">
        <v>43</v>
      </c>
      <c r="AH714" s="730"/>
      <c r="AI714" s="708"/>
      <c r="AJ714" s="708"/>
      <c r="AK714" s="708"/>
      <c r="AL714" s="734"/>
      <c r="AM714" s="734"/>
      <c r="AN714" s="708"/>
      <c r="AO714" s="708"/>
      <c r="AP714" s="712">
        <f>I714</f>
        <v>2002</v>
      </c>
      <c r="AQ714" s="735"/>
      <c r="AR714" s="708"/>
      <c r="AS714" s="708"/>
      <c r="AT714" s="734"/>
      <c r="AU714" s="712"/>
      <c r="AV714" s="734">
        <f>I714</f>
        <v>2002</v>
      </c>
      <c r="AW714" s="768"/>
      <c r="AX714" s="857"/>
      <c r="AY714" s="734"/>
      <c r="AZ714" s="709"/>
      <c r="BA714" s="713"/>
      <c r="BB714" s="734">
        <f>I714/11</f>
        <v>182</v>
      </c>
      <c r="BC714" s="709"/>
      <c r="BD714" s="709"/>
      <c r="BE714" s="713"/>
      <c r="BF714" s="709"/>
      <c r="BG714" s="728"/>
      <c r="BH714" s="736"/>
      <c r="BI714" s="769"/>
      <c r="BJ714" s="769"/>
      <c r="BK714" s="736"/>
      <c r="BL714" s="737"/>
      <c r="BM714" s="736"/>
      <c r="BN714" s="737"/>
      <c r="BO714" s="737"/>
      <c r="BP714" s="770"/>
      <c r="BQ714" s="713"/>
      <c r="BR714" s="709"/>
      <c r="BS714" s="713"/>
      <c r="BT714" s="713"/>
      <c r="BU714" s="713"/>
      <c r="BV714" s="713"/>
      <c r="BW714" s="728" t="s">
        <v>109</v>
      </c>
      <c r="BX714" s="730">
        <f>I714/22*5</f>
        <v>455</v>
      </c>
      <c r="BY714" s="730">
        <f>I714/22*6</f>
        <v>546</v>
      </c>
      <c r="BZ714" s="730">
        <f>I714/22*6</f>
        <v>546</v>
      </c>
      <c r="CA714" s="730">
        <f>I714/22*5</f>
        <v>455</v>
      </c>
      <c r="CB714" s="730">
        <f>I714</f>
        <v>2002</v>
      </c>
      <c r="CC714" s="736">
        <f>I714/11</f>
        <v>182</v>
      </c>
      <c r="CD714" s="737">
        <f t="shared" si="374"/>
        <v>2002</v>
      </c>
      <c r="CE714" s="737">
        <f>I714-CD714</f>
        <v>0</v>
      </c>
      <c r="XEN714" s="771"/>
      <c r="XEO714" s="771"/>
      <c r="XEP714" s="771"/>
      <c r="XEQ714" s="771"/>
      <c r="XER714" s="771"/>
      <c r="XES714" s="771"/>
      <c r="XET714" s="771"/>
      <c r="XEU714" s="771"/>
      <c r="XEV714" s="771"/>
      <c r="XEW714" s="771"/>
      <c r="XEX714" s="771"/>
      <c r="XEY714" s="771"/>
      <c r="XEZ714" s="771"/>
      <c r="XFA714" s="771"/>
      <c r="XFB714" s="771"/>
      <c r="XFC714" s="771"/>
      <c r="XFD714" s="771"/>
    </row>
    <row r="715" s="558" customFormat="1" ht="40" customHeight="1" spans="1:84 16338:16384">
      <c r="A715" s="717">
        <v>46129</v>
      </c>
      <c r="B715" s="718" t="s">
        <v>2293</v>
      </c>
      <c r="C715" s="719" t="s">
        <v>590</v>
      </c>
      <c r="D715" s="720">
        <v>4500202308</v>
      </c>
      <c r="E715" s="876">
        <v>5200009645</v>
      </c>
      <c r="F715" s="720" t="s">
        <v>3072</v>
      </c>
      <c r="G715" s="722" t="s">
        <v>774</v>
      </c>
      <c r="H715" s="722" t="s">
        <v>99</v>
      </c>
      <c r="I715" s="724">
        <v>1914</v>
      </c>
      <c r="J715" s="723">
        <v>0</v>
      </c>
      <c r="K715" s="724">
        <v>11</v>
      </c>
      <c r="L715" s="724">
        <f t="shared" si="379"/>
        <v>174</v>
      </c>
      <c r="M715" s="725">
        <v>46171</v>
      </c>
      <c r="N715" s="725">
        <v>46167</v>
      </c>
      <c r="O715" s="725" t="s">
        <v>3073</v>
      </c>
      <c r="P715" s="874" t="s">
        <v>100</v>
      </c>
      <c r="Q715" s="727" t="s">
        <v>1217</v>
      </c>
      <c r="R715" s="726" t="s">
        <v>1082</v>
      </c>
      <c r="S715" s="725"/>
      <c r="T715" s="725"/>
      <c r="U715" s="726" t="s">
        <v>3074</v>
      </c>
      <c r="V715" s="726"/>
      <c r="W715" s="728"/>
      <c r="X715" s="729" t="s">
        <v>3075</v>
      </c>
      <c r="Y715" s="745" t="s">
        <v>3076</v>
      </c>
      <c r="Z715" s="748">
        <v>2.7121</v>
      </c>
      <c r="AA715" s="732">
        <f t="shared" si="380"/>
        <v>5190.9594</v>
      </c>
      <c r="AB715" s="875">
        <v>1914</v>
      </c>
      <c r="AC715" s="712">
        <f t="shared" si="382"/>
        <v>0</v>
      </c>
      <c r="AD715" s="755" t="s">
        <v>123</v>
      </c>
      <c r="AE715" s="749" t="s">
        <v>597</v>
      </c>
      <c r="AF715" s="730" t="s">
        <v>107</v>
      </c>
      <c r="AG715" s="763" t="s">
        <v>43</v>
      </c>
      <c r="AH715" s="730"/>
      <c r="AI715" s="708"/>
      <c r="AJ715" s="708"/>
      <c r="AK715" s="708"/>
      <c r="AL715" s="735"/>
      <c r="AM715" s="712"/>
      <c r="AN715" s="708"/>
      <c r="AO715" s="709"/>
      <c r="AP715" s="734">
        <f>I715</f>
        <v>1914</v>
      </c>
      <c r="AQ715" s="734"/>
      <c r="AR715" s="768"/>
      <c r="AS715" s="768"/>
      <c r="AT715" s="713"/>
      <c r="AU715" s="734">
        <f t="shared" ref="AU715:AU724" si="385">I715</f>
        <v>1914</v>
      </c>
      <c r="AV715" s="734"/>
      <c r="AW715" s="709"/>
      <c r="AX715" s="713"/>
      <c r="AY715" s="713"/>
      <c r="AZ715" s="709"/>
      <c r="BA715" s="713"/>
      <c r="BB715" s="713">
        <f>I715/11</f>
        <v>174</v>
      </c>
      <c r="BC715" s="768"/>
      <c r="BD715" s="709"/>
      <c r="BE715" s="713"/>
      <c r="BF715" s="709"/>
      <c r="BG715" s="728"/>
      <c r="BH715" s="736"/>
      <c r="BI715" s="769"/>
      <c r="BJ715" s="769"/>
      <c r="BK715" s="736"/>
      <c r="BL715" s="737"/>
      <c r="BM715" s="736"/>
      <c r="BN715" s="737"/>
      <c r="BO715" s="737"/>
      <c r="BP715" s="770"/>
      <c r="BQ715" s="857"/>
      <c r="BR715" s="770"/>
      <c r="BS715" s="857"/>
      <c r="BT715" s="857"/>
      <c r="BU715" s="857"/>
      <c r="BV715" s="857"/>
      <c r="BW715" s="728" t="s">
        <v>109</v>
      </c>
      <c r="BX715" s="730">
        <f>I715/22*5</f>
        <v>435</v>
      </c>
      <c r="BY715" s="730">
        <f>I715/22*6</f>
        <v>522</v>
      </c>
      <c r="BZ715" s="730">
        <f>I715/22*6</f>
        <v>522</v>
      </c>
      <c r="CA715" s="730">
        <f>I715/22*5</f>
        <v>435</v>
      </c>
      <c r="CB715" s="730">
        <f>I715</f>
        <v>1914</v>
      </c>
      <c r="CC715" s="730">
        <f>I715/11</f>
        <v>174</v>
      </c>
      <c r="CD715" s="730">
        <f t="shared" si="374"/>
        <v>1914</v>
      </c>
      <c r="CE715" s="730">
        <f>I715-CD715</f>
        <v>0</v>
      </c>
      <c r="CF715" s="877"/>
      <c r="XEN715" s="771"/>
      <c r="XEO715" s="771"/>
      <c r="XEP715" s="859"/>
      <c r="XEQ715" s="860"/>
      <c r="XER715" s="861"/>
      <c r="XES715" s="862"/>
      <c r="XET715" s="878"/>
      <c r="XEU715" s="862"/>
      <c r="XEV715" s="865"/>
      <c r="XEW715" s="865"/>
      <c r="XEX715" s="867"/>
      <c r="XEY715" s="866"/>
      <c r="XEZ715" s="867"/>
      <c r="XFA715" s="867"/>
      <c r="XFB715" s="868"/>
      <c r="XFC715" s="868"/>
      <c r="XFD715" s="868"/>
    </row>
    <row r="716" s="558" customFormat="1" ht="40" customHeight="1" spans="1:84 16338:16384">
      <c r="A716" s="717">
        <v>46128</v>
      </c>
      <c r="B716" s="718" t="s">
        <v>3077</v>
      </c>
      <c r="C716" s="719" t="s">
        <v>144</v>
      </c>
      <c r="D716" s="720">
        <v>4500202309</v>
      </c>
      <c r="E716" s="772">
        <v>795620202604</v>
      </c>
      <c r="F716" s="720" t="s">
        <v>3078</v>
      </c>
      <c r="G716" s="722" t="s">
        <v>111</v>
      </c>
      <c r="H716" s="722" t="s">
        <v>99</v>
      </c>
      <c r="I716" s="723">
        <v>1100</v>
      </c>
      <c r="J716" s="723">
        <v>0</v>
      </c>
      <c r="K716" s="724">
        <v>22</v>
      </c>
      <c r="L716" s="724">
        <f t="shared" si="379"/>
        <v>50</v>
      </c>
      <c r="M716" s="725">
        <v>46171</v>
      </c>
      <c r="N716" s="725">
        <v>46167</v>
      </c>
      <c r="O716" s="725"/>
      <c r="P716" s="874" t="s">
        <v>100</v>
      </c>
      <c r="Q716" s="727" t="s">
        <v>3079</v>
      </c>
      <c r="R716" s="726" t="s">
        <v>3080</v>
      </c>
      <c r="S716" s="725"/>
      <c r="T716" s="725"/>
      <c r="U716" s="726" t="s">
        <v>3081</v>
      </c>
      <c r="V716" s="726"/>
      <c r="W716" s="728"/>
      <c r="X716" s="729" t="s">
        <v>3082</v>
      </c>
      <c r="Y716" s="730" t="s">
        <v>2600</v>
      </c>
      <c r="Z716" s="731">
        <v>2.7804</v>
      </c>
      <c r="AA716" s="732">
        <f t="shared" si="380"/>
        <v>3058.44</v>
      </c>
      <c r="AB716" s="875">
        <v>1100</v>
      </c>
      <c r="AC716" s="712">
        <f t="shared" si="382"/>
        <v>0</v>
      </c>
      <c r="AD716" s="732" t="s">
        <v>113</v>
      </c>
      <c r="AE716" s="749" t="s">
        <v>230</v>
      </c>
      <c r="AF716" s="730" t="s">
        <v>107</v>
      </c>
      <c r="AG716" s="763" t="s">
        <v>43</v>
      </c>
      <c r="AH716" s="730"/>
      <c r="AI716" s="705"/>
      <c r="AJ716" s="705"/>
      <c r="AK716" s="705"/>
      <c r="AL716" s="733"/>
      <c r="AM716" s="712"/>
      <c r="AN716" s="705"/>
      <c r="AO716" s="773"/>
      <c r="AP716" s="734">
        <f>I716</f>
        <v>1100</v>
      </c>
      <c r="AQ716" s="734"/>
      <c r="AR716" s="773"/>
      <c r="AS716" s="773"/>
      <c r="AT716" s="734"/>
      <c r="AU716" s="734">
        <f t="shared" si="385"/>
        <v>1100</v>
      </c>
      <c r="AV716" s="734"/>
      <c r="AW716" s="773"/>
      <c r="AX716" s="734"/>
      <c r="AY716" s="734"/>
      <c r="AZ716" s="706"/>
      <c r="BA716" s="713"/>
      <c r="BB716" s="713">
        <f>I716/11</f>
        <v>100</v>
      </c>
      <c r="BC716" s="706"/>
      <c r="BD716" s="706"/>
      <c r="BE716" s="713"/>
      <c r="BF716" s="706"/>
      <c r="BG716" s="728"/>
      <c r="BH716" s="736"/>
      <c r="BI716" s="774"/>
      <c r="BJ716" s="774"/>
      <c r="BK716" s="736"/>
      <c r="BL716" s="737"/>
      <c r="BM716" s="736"/>
      <c r="BN716" s="737"/>
      <c r="BO716" s="737"/>
      <c r="BP716" s="775"/>
      <c r="BQ716" s="713"/>
      <c r="BR716" s="706"/>
      <c r="BS716" s="713"/>
      <c r="BT716" s="713"/>
      <c r="BU716" s="713"/>
      <c r="BV716" s="713"/>
      <c r="BW716" s="728" t="s">
        <v>109</v>
      </c>
      <c r="BX716" s="736">
        <f>I716/22*5</f>
        <v>250</v>
      </c>
      <c r="BY716" s="736">
        <f>I716/22*6</f>
        <v>300</v>
      </c>
      <c r="BZ716" s="736">
        <f>I716/22*6</f>
        <v>300</v>
      </c>
      <c r="CA716" s="736">
        <f>I716/22*5</f>
        <v>250</v>
      </c>
      <c r="CB716" s="737">
        <f>I716</f>
        <v>1100</v>
      </c>
      <c r="CC716" s="736">
        <f>I716/11</f>
        <v>100</v>
      </c>
      <c r="CD716" s="737">
        <f t="shared" si="374"/>
        <v>1100</v>
      </c>
      <c r="CE716" s="737">
        <v>0</v>
      </c>
      <c r="XEN716" s="771"/>
      <c r="XEO716" s="771"/>
      <c r="XEP716" s="771"/>
      <c r="XEQ716" s="771"/>
      <c r="XER716" s="771"/>
      <c r="XES716" s="771"/>
      <c r="XET716" s="771"/>
      <c r="XEU716" s="771"/>
      <c r="XEV716" s="771"/>
      <c r="XEW716" s="771"/>
      <c r="XEX716" s="771"/>
      <c r="XEY716" s="771"/>
      <c r="XEZ716" s="771"/>
      <c r="XFA716" s="771"/>
      <c r="XFB716" s="771"/>
      <c r="XFC716" s="771"/>
      <c r="XFD716" s="771"/>
    </row>
    <row r="717" s="558" customFormat="1" ht="40" customHeight="1" spans="1:84 16338:16384">
      <c r="A717" s="717">
        <v>46094</v>
      </c>
      <c r="B717" s="718" t="s">
        <v>3007</v>
      </c>
      <c r="C717" s="719" t="s">
        <v>205</v>
      </c>
      <c r="D717" s="720">
        <v>4500196767</v>
      </c>
      <c r="E717" s="749" t="s">
        <v>3008</v>
      </c>
      <c r="F717" s="781" t="s">
        <v>3083</v>
      </c>
      <c r="G717" s="722" t="s">
        <v>98</v>
      </c>
      <c r="H717" s="722" t="s">
        <v>99</v>
      </c>
      <c r="I717" s="723">
        <v>2880</v>
      </c>
      <c r="J717" s="723">
        <v>0</v>
      </c>
      <c r="K717" s="724">
        <v>24</v>
      </c>
      <c r="L717" s="879">
        <f t="shared" si="379"/>
        <v>120</v>
      </c>
      <c r="M717" s="725">
        <v>46172</v>
      </c>
      <c r="N717" s="725">
        <v>46168</v>
      </c>
      <c r="O717" s="726"/>
      <c r="P717" s="874" t="s">
        <v>100</v>
      </c>
      <c r="Q717" s="727" t="s">
        <v>3010</v>
      </c>
      <c r="R717" s="726" t="s">
        <v>2906</v>
      </c>
      <c r="S717" s="726"/>
      <c r="T717" s="726"/>
      <c r="U717" s="737" t="s">
        <v>3011</v>
      </c>
      <c r="V717" s="728"/>
      <c r="W717" s="730"/>
      <c r="X717" s="729" t="s">
        <v>3084</v>
      </c>
      <c r="Y717" s="724" t="s">
        <v>3085</v>
      </c>
      <c r="Z717" s="853">
        <v>2.5202</v>
      </c>
      <c r="AA717" s="712">
        <f t="shared" si="380"/>
        <v>7258.176</v>
      </c>
      <c r="AB717" s="875">
        <v>2880</v>
      </c>
      <c r="AC717" s="712">
        <f t="shared" si="382"/>
        <v>0</v>
      </c>
      <c r="AD717" s="732" t="s">
        <v>106</v>
      </c>
      <c r="AE717" s="722" t="s">
        <v>98</v>
      </c>
      <c r="AF717" s="730" t="s">
        <v>107</v>
      </c>
      <c r="AG717" s="763" t="s">
        <v>43</v>
      </c>
      <c r="AH717" s="730"/>
      <c r="AI717" s="708"/>
      <c r="AJ717" s="708"/>
      <c r="AK717" s="708"/>
      <c r="AL717" s="734"/>
      <c r="AM717" s="734">
        <f t="shared" ref="AM717:AM723" si="386">I717</f>
        <v>2880</v>
      </c>
      <c r="AN717" s="708"/>
      <c r="AO717" s="708"/>
      <c r="AP717" s="712"/>
      <c r="AQ717" s="735"/>
      <c r="AR717" s="708"/>
      <c r="AS717" s="708"/>
      <c r="AT717" s="734"/>
      <c r="AU717" s="712">
        <f t="shared" si="385"/>
        <v>2880</v>
      </c>
      <c r="AV717" s="713"/>
      <c r="AW717" s="768"/>
      <c r="AX717" s="857"/>
      <c r="AY717" s="734"/>
      <c r="AZ717" s="709"/>
      <c r="BA717" s="713"/>
      <c r="BB717" s="713"/>
      <c r="BC717" s="709"/>
      <c r="BD717" s="709"/>
      <c r="BE717" s="713"/>
      <c r="BF717" s="709"/>
      <c r="BG717" s="728"/>
      <c r="BH717" s="736"/>
      <c r="BI717" s="769"/>
      <c r="BJ717" s="769"/>
      <c r="BK717" s="736"/>
      <c r="BL717" s="737"/>
      <c r="BM717" s="736"/>
      <c r="BN717" s="737"/>
      <c r="BO717" s="737"/>
      <c r="BP717" s="770"/>
      <c r="BQ717" s="713"/>
      <c r="BR717" s="709"/>
      <c r="BS717" s="713"/>
      <c r="BT717" s="713"/>
      <c r="BU717" s="713"/>
      <c r="BV717" s="713"/>
      <c r="BW717" s="728" t="s">
        <v>109</v>
      </c>
      <c r="BX717" s="745">
        <f>I717/4</f>
        <v>720</v>
      </c>
      <c r="BY717" s="745">
        <f>I717/4</f>
        <v>720</v>
      </c>
      <c r="BZ717" s="745">
        <f>I717/4</f>
        <v>720</v>
      </c>
      <c r="CA717" s="745">
        <f>I717/4</f>
        <v>720</v>
      </c>
      <c r="CB717" s="745">
        <f>I717/4</f>
        <v>720</v>
      </c>
      <c r="CC717" s="737"/>
      <c r="CD717" s="737">
        <f t="shared" si="374"/>
        <v>2880</v>
      </c>
      <c r="CE717" s="737">
        <f>I717-CD717</f>
        <v>0</v>
      </c>
      <c r="XEN717" s="771"/>
      <c r="XEO717" s="771"/>
      <c r="XEP717" s="771"/>
      <c r="XEQ717" s="771"/>
      <c r="XER717" s="771"/>
      <c r="XES717" s="771"/>
      <c r="XET717" s="771"/>
      <c r="XEU717" s="771"/>
      <c r="XEV717" s="771"/>
      <c r="XEW717" s="771"/>
      <c r="XEX717" s="771"/>
      <c r="XEY717" s="771"/>
      <c r="XEZ717" s="771"/>
      <c r="XFA717" s="771"/>
      <c r="XFB717" s="771"/>
      <c r="XFC717" s="771"/>
      <c r="XFD717" s="771"/>
    </row>
    <row r="718" s="558" customFormat="1" ht="40" customHeight="1" spans="1:84 16338:16384">
      <c r="A718" s="717">
        <v>46094</v>
      </c>
      <c r="B718" s="718" t="s">
        <v>3007</v>
      </c>
      <c r="C718" s="719" t="s">
        <v>205</v>
      </c>
      <c r="D718" s="720">
        <v>4500196767</v>
      </c>
      <c r="E718" s="749" t="s">
        <v>3013</v>
      </c>
      <c r="F718" s="781" t="s">
        <v>3086</v>
      </c>
      <c r="G718" s="722" t="s">
        <v>98</v>
      </c>
      <c r="H718" s="722" t="s">
        <v>99</v>
      </c>
      <c r="I718" s="723">
        <v>1104</v>
      </c>
      <c r="J718" s="723">
        <v>0</v>
      </c>
      <c r="K718" s="724">
        <v>24</v>
      </c>
      <c r="L718" s="879">
        <f t="shared" si="379"/>
        <v>46</v>
      </c>
      <c r="M718" s="725">
        <v>46172</v>
      </c>
      <c r="N718" s="725">
        <v>46168</v>
      </c>
      <c r="O718" s="726"/>
      <c r="P718" s="874" t="s">
        <v>100</v>
      </c>
      <c r="Q718" s="727" t="s">
        <v>3010</v>
      </c>
      <c r="R718" s="726" t="s">
        <v>2906</v>
      </c>
      <c r="S718" s="726"/>
      <c r="T718" s="726"/>
      <c r="U718" s="737" t="s">
        <v>3011</v>
      </c>
      <c r="V718" s="728"/>
      <c r="W718" s="730"/>
      <c r="X718" s="729" t="s">
        <v>3084</v>
      </c>
      <c r="Y718" s="724" t="s">
        <v>3085</v>
      </c>
      <c r="Z718" s="853">
        <v>2.5202</v>
      </c>
      <c r="AA718" s="712">
        <f t="shared" si="380"/>
        <v>2782.3008</v>
      </c>
      <c r="AB718" s="875">
        <v>1104</v>
      </c>
      <c r="AC718" s="712">
        <f t="shared" si="382"/>
        <v>0</v>
      </c>
      <c r="AD718" s="732" t="s">
        <v>106</v>
      </c>
      <c r="AE718" s="722" t="s">
        <v>98</v>
      </c>
      <c r="AF718" s="730" t="s">
        <v>107</v>
      </c>
      <c r="AG718" s="763" t="s">
        <v>43</v>
      </c>
      <c r="AH718" s="730"/>
      <c r="AI718" s="708"/>
      <c r="AJ718" s="708"/>
      <c r="AK718" s="708"/>
      <c r="AL718" s="734"/>
      <c r="AM718" s="734">
        <f t="shared" si="386"/>
        <v>1104</v>
      </c>
      <c r="AN718" s="708"/>
      <c r="AO718" s="708"/>
      <c r="AP718" s="712"/>
      <c r="AQ718" s="735"/>
      <c r="AR718" s="708"/>
      <c r="AS718" s="708"/>
      <c r="AT718" s="734"/>
      <c r="AU718" s="712">
        <f t="shared" si="385"/>
        <v>1104</v>
      </c>
      <c r="AV718" s="713"/>
      <c r="AW718" s="768"/>
      <c r="AX718" s="857"/>
      <c r="AY718" s="734"/>
      <c r="AZ718" s="709"/>
      <c r="BA718" s="713"/>
      <c r="BB718" s="713"/>
      <c r="BC718" s="709"/>
      <c r="BD718" s="709"/>
      <c r="BE718" s="713"/>
      <c r="BF718" s="709"/>
      <c r="BG718" s="728"/>
      <c r="BH718" s="736"/>
      <c r="BI718" s="769"/>
      <c r="BJ718" s="769"/>
      <c r="BK718" s="736"/>
      <c r="BL718" s="737"/>
      <c r="BM718" s="736"/>
      <c r="BN718" s="737"/>
      <c r="BO718" s="737"/>
      <c r="BP718" s="770"/>
      <c r="BQ718" s="713"/>
      <c r="BR718" s="709"/>
      <c r="BS718" s="713"/>
      <c r="BT718" s="713"/>
      <c r="BU718" s="713"/>
      <c r="BV718" s="713"/>
      <c r="BW718" s="728" t="s">
        <v>109</v>
      </c>
      <c r="BX718" s="745">
        <f>I718/4</f>
        <v>276</v>
      </c>
      <c r="BY718" s="745">
        <f>I718/4</f>
        <v>276</v>
      </c>
      <c r="BZ718" s="745">
        <f>I718/4</f>
        <v>276</v>
      </c>
      <c r="CA718" s="745">
        <f>I718/4</f>
        <v>276</v>
      </c>
      <c r="CB718" s="745">
        <f>I718/4</f>
        <v>276</v>
      </c>
      <c r="CC718" s="737"/>
      <c r="CD718" s="737">
        <f t="shared" si="374"/>
        <v>1104</v>
      </c>
      <c r="CE718" s="737">
        <f>I718-CD718</f>
        <v>0</v>
      </c>
      <c r="XEN718" s="771"/>
      <c r="XEO718" s="771"/>
      <c r="XEP718" s="771"/>
      <c r="XEQ718" s="771"/>
      <c r="XER718" s="771"/>
      <c r="XES718" s="771"/>
      <c r="XET718" s="771"/>
      <c r="XEU718" s="771"/>
      <c r="XEV718" s="771"/>
      <c r="XEW718" s="771"/>
      <c r="XEX718" s="771"/>
      <c r="XEY718" s="771"/>
      <c r="XEZ718" s="771"/>
      <c r="XFA718" s="771"/>
      <c r="XFB718" s="771"/>
      <c r="XFC718" s="771"/>
      <c r="XFD718" s="771"/>
    </row>
    <row r="719" s="338" customFormat="1" ht="40" customHeight="1" spans="1:84 16338:16384">
      <c r="A719" s="632">
        <v>46126</v>
      </c>
      <c r="B719" s="633" t="s">
        <v>2602</v>
      </c>
      <c r="C719" s="634" t="s">
        <v>2603</v>
      </c>
      <c r="D719" s="635">
        <v>4500201913</v>
      </c>
      <c r="E719" s="659" t="s">
        <v>3015</v>
      </c>
      <c r="F719" s="635" t="s">
        <v>3087</v>
      </c>
      <c r="G719" s="637" t="s">
        <v>111</v>
      </c>
      <c r="H719" s="637" t="s">
        <v>99</v>
      </c>
      <c r="I719" s="638">
        <v>2002</v>
      </c>
      <c r="J719" s="638">
        <v>0</v>
      </c>
      <c r="K719" s="639">
        <v>22</v>
      </c>
      <c r="L719" s="640">
        <f t="shared" si="379"/>
        <v>91</v>
      </c>
      <c r="M719" s="641">
        <v>46174</v>
      </c>
      <c r="N719" s="641">
        <v>46170</v>
      </c>
      <c r="O719" s="641"/>
      <c r="P719" s="874" t="s">
        <v>100</v>
      </c>
      <c r="Q719" s="643" t="s">
        <v>1201</v>
      </c>
      <c r="R719" s="642" t="s">
        <v>1066</v>
      </c>
      <c r="S719" s="641"/>
      <c r="T719" s="641"/>
      <c r="U719" s="642" t="s">
        <v>3088</v>
      </c>
      <c r="V719" s="642"/>
      <c r="W719" s="645"/>
      <c r="X719" s="647" t="s">
        <v>3089</v>
      </c>
      <c r="Y719" s="646" t="s">
        <v>632</v>
      </c>
      <c r="Z719" s="683">
        <v>2.771</v>
      </c>
      <c r="AA719" s="650">
        <v>5547.542</v>
      </c>
      <c r="AB719" s="880">
        <v>2002</v>
      </c>
      <c r="AC719" s="649">
        <f t="shared" si="382"/>
        <v>0</v>
      </c>
      <c r="AD719" s="650" t="s">
        <v>123</v>
      </c>
      <c r="AE719" s="661" t="s">
        <v>111</v>
      </c>
      <c r="AF719" s="646" t="s">
        <v>107</v>
      </c>
      <c r="AG719" s="881" t="s">
        <v>43</v>
      </c>
      <c r="AH719" s="646"/>
      <c r="AI719" s="693"/>
      <c r="AJ719" s="693"/>
      <c r="AK719" s="693"/>
      <c r="AL719" s="701"/>
      <c r="AM719" s="649">
        <f t="shared" si="386"/>
        <v>2002</v>
      </c>
      <c r="AN719" s="693"/>
      <c r="AO719" s="882"/>
      <c r="AP719" s="652"/>
      <c r="AQ719" s="652"/>
      <c r="AR719" s="882"/>
      <c r="AS719" s="882"/>
      <c r="AT719" s="652"/>
      <c r="AU719" s="652">
        <f t="shared" si="385"/>
        <v>2002</v>
      </c>
      <c r="AV719" s="652"/>
      <c r="AW719" s="882"/>
      <c r="AX719" s="652"/>
      <c r="AY719" s="652">
        <f>I719/11</f>
        <v>182</v>
      </c>
      <c r="AZ719" s="694"/>
      <c r="BA719" s="654"/>
      <c r="BB719" s="654"/>
      <c r="BC719" s="694"/>
      <c r="BD719" s="694"/>
      <c r="BE719" s="654"/>
      <c r="BF719" s="694"/>
      <c r="BG719" s="645"/>
      <c r="BH719" s="658"/>
      <c r="BI719" s="883"/>
      <c r="BJ719" s="883"/>
      <c r="BK719" s="658"/>
      <c r="BL719" s="644"/>
      <c r="BM719" s="658"/>
      <c r="BN719" s="644"/>
      <c r="BO719" s="644"/>
      <c r="BP719" s="884"/>
      <c r="BQ719" s="654"/>
      <c r="BR719" s="694"/>
      <c r="BS719" s="654"/>
      <c r="BT719" s="654"/>
      <c r="BU719" s="654"/>
      <c r="BV719" s="654"/>
      <c r="BW719" s="645" t="s">
        <v>109</v>
      </c>
      <c r="BX719" s="658">
        <f>I719/22*5</f>
        <v>455</v>
      </c>
      <c r="BY719" s="658">
        <f>I719/22*6</f>
        <v>546</v>
      </c>
      <c r="BZ719" s="658">
        <f>I719/22*6</f>
        <v>546</v>
      </c>
      <c r="CA719" s="658">
        <f>I719/22*5</f>
        <v>455</v>
      </c>
      <c r="CB719" s="644">
        <f t="shared" ref="CB719:CB725" si="387">I719</f>
        <v>2002</v>
      </c>
      <c r="CC719" s="658">
        <f>I719/11</f>
        <v>182</v>
      </c>
      <c r="CD719" s="644">
        <f t="shared" si="374"/>
        <v>2002</v>
      </c>
      <c r="CE719" s="644">
        <v>0</v>
      </c>
      <c r="XEN719" s="885"/>
      <c r="XEO719" s="885"/>
      <c r="XEP719" s="885"/>
      <c r="XEQ719" s="885"/>
      <c r="XER719" s="885"/>
      <c r="XES719" s="885"/>
      <c r="XET719" s="885"/>
      <c r="XEU719" s="885"/>
      <c r="XEV719" s="885"/>
      <c r="XEW719" s="885"/>
      <c r="XEX719" s="885"/>
      <c r="XEY719" s="885"/>
      <c r="XEZ719" s="885"/>
      <c r="XFA719" s="885"/>
      <c r="XFB719" s="885"/>
      <c r="XFC719" s="885"/>
      <c r="XFD719" s="885"/>
    </row>
    <row r="720" s="338" customFormat="1" ht="40" customHeight="1" spans="1:84 16338:16384">
      <c r="A720" s="632">
        <v>46135</v>
      </c>
      <c r="B720" s="633" t="s">
        <v>2359</v>
      </c>
      <c r="C720" s="634" t="s">
        <v>144</v>
      </c>
      <c r="D720" s="635">
        <v>4500203533</v>
      </c>
      <c r="E720" s="666">
        <v>30260474</v>
      </c>
      <c r="F720" s="635" t="s">
        <v>3090</v>
      </c>
      <c r="G720" s="637" t="s">
        <v>1431</v>
      </c>
      <c r="H720" s="637" t="s">
        <v>1432</v>
      </c>
      <c r="I720" s="638">
        <v>6912</v>
      </c>
      <c r="J720" s="638">
        <v>0</v>
      </c>
      <c r="K720" s="639">
        <v>24</v>
      </c>
      <c r="L720" s="639">
        <f t="shared" si="379"/>
        <v>288</v>
      </c>
      <c r="M720" s="641">
        <v>46174</v>
      </c>
      <c r="N720" s="641">
        <v>46170</v>
      </c>
      <c r="O720" s="886" t="s">
        <v>3091</v>
      </c>
      <c r="P720" s="874" t="s">
        <v>100</v>
      </c>
      <c r="Q720" s="643" t="s">
        <v>3092</v>
      </c>
      <c r="R720" s="642" t="s">
        <v>3093</v>
      </c>
      <c r="S720" s="641"/>
      <c r="T720" s="641"/>
      <c r="U720" s="642" t="s">
        <v>3094</v>
      </c>
      <c r="V720" s="642"/>
      <c r="W720" s="645"/>
      <c r="X720" s="647" t="s">
        <v>3095</v>
      </c>
      <c r="Y720" s="646" t="s">
        <v>202</v>
      </c>
      <c r="Z720" s="683">
        <v>6912</v>
      </c>
      <c r="AA720" s="650">
        <f>I720*Z720</f>
        <v>47775744</v>
      </c>
      <c r="AB720" s="880">
        <v>6912</v>
      </c>
      <c r="AC720" s="649">
        <f t="shared" si="382"/>
        <v>0</v>
      </c>
      <c r="AD720" s="650" t="s">
        <v>106</v>
      </c>
      <c r="AE720" s="637" t="s">
        <v>1431</v>
      </c>
      <c r="AF720" s="646" t="s">
        <v>107</v>
      </c>
      <c r="AG720" s="881" t="s">
        <v>43</v>
      </c>
      <c r="AH720" s="646"/>
      <c r="AI720" s="649"/>
      <c r="AJ720" s="649"/>
      <c r="AK720" s="649"/>
      <c r="AL720" s="653"/>
      <c r="AM720" s="649">
        <f t="shared" si="386"/>
        <v>6912</v>
      </c>
      <c r="AN720" s="649"/>
      <c r="AO720" s="652"/>
      <c r="AP720" s="652"/>
      <c r="AQ720" s="652"/>
      <c r="AR720" s="652"/>
      <c r="AS720" s="652"/>
      <c r="AT720" s="654"/>
      <c r="AU720" s="652">
        <f t="shared" si="385"/>
        <v>6912</v>
      </c>
      <c r="AV720" s="652"/>
      <c r="AW720" s="654"/>
      <c r="AX720" s="654"/>
      <c r="AY720" s="654"/>
      <c r="AZ720" s="654"/>
      <c r="BA720" s="654"/>
      <c r="BB720" s="654"/>
      <c r="BC720" s="654"/>
      <c r="BD720" s="654"/>
      <c r="BE720" s="654"/>
      <c r="BF720" s="654"/>
      <c r="BG720" s="645"/>
      <c r="BH720" s="658"/>
      <c r="BI720" s="658"/>
      <c r="BJ720" s="658"/>
      <c r="BK720" s="658"/>
      <c r="BL720" s="644"/>
      <c r="BM720" s="644"/>
      <c r="BN720" s="644"/>
      <c r="BO720" s="644"/>
      <c r="BP720" s="887"/>
      <c r="BQ720" s="747"/>
      <c r="BR720" s="887"/>
      <c r="BS720" s="747"/>
      <c r="BT720" s="747"/>
      <c r="BU720" s="747"/>
      <c r="BV720" s="747"/>
      <c r="BW720" s="645" t="s">
        <v>109</v>
      </c>
      <c r="BX720" s="646">
        <f>I720/4</f>
        <v>1728</v>
      </c>
      <c r="BY720" s="646">
        <f>I720/4</f>
        <v>1728</v>
      </c>
      <c r="BZ720" s="646">
        <f>I720/4</f>
        <v>1728</v>
      </c>
      <c r="CA720" s="646">
        <f>I720/4</f>
        <v>1728</v>
      </c>
      <c r="CB720" s="646">
        <f t="shared" si="387"/>
        <v>6912</v>
      </c>
      <c r="CC720" s="646"/>
      <c r="CD720" s="646">
        <f t="shared" si="374"/>
        <v>6912</v>
      </c>
      <c r="CE720" s="646">
        <f>I720-CD720</f>
        <v>0</v>
      </c>
      <c r="XEN720" s="885"/>
      <c r="XEO720" s="885"/>
      <c r="XEP720" s="888"/>
      <c r="XEQ720" s="889"/>
      <c r="XER720" s="890"/>
      <c r="XES720" s="891"/>
      <c r="XET720" s="892"/>
      <c r="XEU720" s="891"/>
      <c r="XEV720" s="893"/>
      <c r="XEW720" s="893"/>
      <c r="XEX720" s="894"/>
      <c r="XEY720" s="894"/>
      <c r="XEZ720" s="895"/>
      <c r="XFA720" s="895"/>
      <c r="XFB720" s="896"/>
      <c r="XFC720" s="896"/>
      <c r="XFD720" s="896"/>
    </row>
    <row r="721" s="338" customFormat="1" ht="40" customHeight="1" spans="1:84 16322:16384">
      <c r="A721" s="632">
        <v>46121</v>
      </c>
      <c r="B721" s="633" t="s">
        <v>1111</v>
      </c>
      <c r="C721" s="634" t="s">
        <v>556</v>
      </c>
      <c r="D721" s="635">
        <v>4500200490</v>
      </c>
      <c r="E721" s="659" t="s">
        <v>3015</v>
      </c>
      <c r="F721" s="636" t="s">
        <v>3096</v>
      </c>
      <c r="G721" s="637" t="s">
        <v>111</v>
      </c>
      <c r="H721" s="637" t="s">
        <v>99</v>
      </c>
      <c r="I721" s="638">
        <v>616</v>
      </c>
      <c r="J721" s="638">
        <v>0</v>
      </c>
      <c r="K721" s="639">
        <v>22</v>
      </c>
      <c r="L721" s="639">
        <f t="shared" si="379"/>
        <v>28</v>
      </c>
      <c r="M721" s="641">
        <v>46175</v>
      </c>
      <c r="N721" s="641">
        <v>46171</v>
      </c>
      <c r="O721" s="641"/>
      <c r="P721" s="874" t="s">
        <v>100</v>
      </c>
      <c r="Q721" s="660" t="s">
        <v>1201</v>
      </c>
      <c r="R721" s="642" t="s">
        <v>1470</v>
      </c>
      <c r="S721" s="642"/>
      <c r="T721" s="642"/>
      <c r="U721" s="642" t="s">
        <v>113</v>
      </c>
      <c r="V721" s="645"/>
      <c r="W721" s="645"/>
      <c r="X721" s="647" t="s">
        <v>3097</v>
      </c>
      <c r="Y721" s="639" t="s">
        <v>422</v>
      </c>
      <c r="Z721" s="897">
        <v>2.7947</v>
      </c>
      <c r="AA721" s="650">
        <f>I721*Z721</f>
        <v>1721.5352</v>
      </c>
      <c r="AB721" s="649">
        <v>616</v>
      </c>
      <c r="AC721" s="649">
        <f t="shared" si="382"/>
        <v>0</v>
      </c>
      <c r="AD721" s="642" t="s">
        <v>113</v>
      </c>
      <c r="AE721" s="637" t="s">
        <v>111</v>
      </c>
      <c r="AF721" s="646" t="s">
        <v>107</v>
      </c>
      <c r="AG721" s="881" t="s">
        <v>43</v>
      </c>
      <c r="AH721" s="646"/>
      <c r="AI721" s="883"/>
      <c r="AJ721" s="694"/>
      <c r="AK721" s="898"/>
      <c r="AL721" s="658"/>
      <c r="AM721" s="649">
        <f t="shared" si="386"/>
        <v>616</v>
      </c>
      <c r="AN721" s="899"/>
      <c r="AO721" s="899"/>
      <c r="AP721" s="887"/>
      <c r="AQ721" s="887"/>
      <c r="AR721" s="899"/>
      <c r="AS721" s="899"/>
      <c r="AT721" s="646"/>
      <c r="AU721" s="652">
        <f t="shared" si="385"/>
        <v>616</v>
      </c>
      <c r="AV721" s="887"/>
      <c r="AW721" s="899"/>
      <c r="AX721" s="646"/>
      <c r="AY721" s="652">
        <f>I721/11</f>
        <v>56</v>
      </c>
      <c r="AZ721" s="899"/>
      <c r="BA721" s="887"/>
      <c r="BB721" s="646"/>
      <c r="BC721" s="899"/>
      <c r="BD721" s="899"/>
      <c r="BE721" s="887"/>
      <c r="BF721" s="899"/>
      <c r="BG721" s="887"/>
      <c r="BH721" s="887"/>
      <c r="BI721" s="899"/>
      <c r="BJ721" s="899"/>
      <c r="BK721" s="887"/>
      <c r="BL721" s="887"/>
      <c r="BM721" s="887"/>
      <c r="BN721" s="887"/>
      <c r="BO721" s="887"/>
      <c r="BP721" s="899"/>
      <c r="BQ721" s="887"/>
      <c r="BR721" s="899"/>
      <c r="BS721" s="887"/>
      <c r="BT721" s="887"/>
      <c r="BU721" s="887"/>
      <c r="BV721" s="887"/>
      <c r="BW721" s="900" t="s">
        <v>109</v>
      </c>
      <c r="BX721" s="646">
        <f>I721/22*5</f>
        <v>140</v>
      </c>
      <c r="BY721" s="646">
        <f>I721/22*6</f>
        <v>168</v>
      </c>
      <c r="BZ721" s="646">
        <f>I721/22*6</f>
        <v>168</v>
      </c>
      <c r="CA721" s="646">
        <f>I721/22*5</f>
        <v>140</v>
      </c>
      <c r="CB721" s="646">
        <f t="shared" si="387"/>
        <v>616</v>
      </c>
      <c r="CC721" s="646">
        <f>I721/11</f>
        <v>56</v>
      </c>
      <c r="CD721" s="646">
        <f t="shared" si="374"/>
        <v>616</v>
      </c>
      <c r="CE721" s="747">
        <v>0</v>
      </c>
      <c r="XCT721" s="888"/>
      <c r="XCU721" s="889"/>
      <c r="XCV721" s="890"/>
      <c r="XCW721" s="891"/>
      <c r="XCX721" s="892"/>
      <c r="XCY721" s="901"/>
      <c r="XCZ721" s="893"/>
      <c r="XDA721" s="893"/>
      <c r="XDB721" s="894"/>
      <c r="XDC721" s="894"/>
      <c r="XDD721" s="895"/>
      <c r="XDE721" s="895"/>
      <c r="XDF721" s="896"/>
      <c r="XDG721" s="896"/>
      <c r="XDH721" s="896"/>
      <c r="XDI721" s="902"/>
      <c r="XDJ721" s="888"/>
      <c r="XDK721" s="889"/>
      <c r="XDL721" s="890"/>
      <c r="XDM721" s="891"/>
      <c r="XDN721" s="892"/>
      <c r="XDO721" s="901"/>
      <c r="XDP721" s="893"/>
      <c r="XDQ721" s="893"/>
      <c r="XDR721" s="894"/>
      <c r="XDS721" s="894"/>
      <c r="XDT721" s="895"/>
      <c r="XDU721" s="895"/>
      <c r="XDV721" s="896"/>
      <c r="XDW721" s="896"/>
      <c r="XDX721" s="896"/>
      <c r="XDY721" s="902"/>
      <c r="XDZ721" s="888"/>
      <c r="XEA721" s="889"/>
      <c r="XEB721" s="890"/>
      <c r="XEC721" s="891"/>
      <c r="XED721" s="892"/>
      <c r="XEE721" s="901"/>
      <c r="XEF721" s="893"/>
      <c r="XEG721" s="893"/>
      <c r="XEH721" s="894"/>
      <c r="XEI721" s="894"/>
      <c r="XEJ721" s="895"/>
      <c r="XEK721" s="895"/>
      <c r="XEL721" s="896"/>
      <c r="XEM721" s="896"/>
      <c r="XEN721" s="896"/>
      <c r="XEO721" s="902"/>
      <c r="XEP721" s="888"/>
      <c r="XEQ721" s="889"/>
      <c r="XER721" s="890"/>
      <c r="XES721" s="891"/>
      <c r="XET721" s="892"/>
      <c r="XEU721" s="901"/>
      <c r="XEV721" s="893"/>
      <c r="XEW721" s="893"/>
      <c r="XEX721" s="894"/>
      <c r="XEY721" s="894"/>
      <c r="XEZ721" s="895"/>
      <c r="XFA721" s="895"/>
      <c r="XFB721" s="896"/>
      <c r="XFC721" s="896"/>
      <c r="XFD721" s="896"/>
    </row>
    <row r="722" s="338" customFormat="1" ht="40" customHeight="1" spans="1:84 16322:16384">
      <c r="A722" s="632">
        <v>46125</v>
      </c>
      <c r="B722" s="633" t="s">
        <v>414</v>
      </c>
      <c r="C722" s="634" t="s">
        <v>415</v>
      </c>
      <c r="D722" s="635">
        <v>4500200303</v>
      </c>
      <c r="E722" s="659" t="s">
        <v>3098</v>
      </c>
      <c r="F722" s="635" t="s">
        <v>3099</v>
      </c>
      <c r="G722" s="637" t="s">
        <v>111</v>
      </c>
      <c r="H722" s="637" t="s">
        <v>99</v>
      </c>
      <c r="I722" s="638">
        <v>1210</v>
      </c>
      <c r="J722" s="638">
        <v>0</v>
      </c>
      <c r="K722" s="639">
        <v>22</v>
      </c>
      <c r="L722" s="639">
        <f t="shared" si="379"/>
        <v>55</v>
      </c>
      <c r="M722" s="641">
        <v>46176</v>
      </c>
      <c r="N722" s="641">
        <v>46172</v>
      </c>
      <c r="O722" s="641"/>
      <c r="P722" s="903" t="s">
        <v>100</v>
      </c>
      <c r="Q722" s="643" t="s">
        <v>1217</v>
      </c>
      <c r="R722" s="642" t="s">
        <v>1006</v>
      </c>
      <c r="S722" s="641"/>
      <c r="T722" s="641"/>
      <c r="U722" s="642" t="s">
        <v>783</v>
      </c>
      <c r="V722" s="642"/>
      <c r="W722" s="645"/>
      <c r="X722" s="647" t="s">
        <v>3100</v>
      </c>
      <c r="Y722" s="646" t="s">
        <v>422</v>
      </c>
      <c r="Z722" s="683">
        <v>2.7449</v>
      </c>
      <c r="AA722" s="650">
        <f>I722*Z722</f>
        <v>3321.329</v>
      </c>
      <c r="AB722" s="649">
        <v>1210</v>
      </c>
      <c r="AC722" s="649">
        <f t="shared" si="382"/>
        <v>0</v>
      </c>
      <c r="AD722" s="650" t="s">
        <v>106</v>
      </c>
      <c r="AE722" s="661" t="s">
        <v>111</v>
      </c>
      <c r="AF722" s="646" t="s">
        <v>107</v>
      </c>
      <c r="AG722" s="881" t="s">
        <v>43</v>
      </c>
      <c r="AH722" s="646"/>
      <c r="AI722" s="696"/>
      <c r="AJ722" s="696"/>
      <c r="AK722" s="696"/>
      <c r="AL722" s="756"/>
      <c r="AM722" s="649">
        <f t="shared" si="386"/>
        <v>1210</v>
      </c>
      <c r="AN722" s="696"/>
      <c r="AO722" s="777"/>
      <c r="AP722" s="652"/>
      <c r="AQ722" s="652"/>
      <c r="AR722" s="777"/>
      <c r="AS722" s="777"/>
      <c r="AT722" s="655"/>
      <c r="AU722" s="652">
        <f t="shared" si="385"/>
        <v>1210</v>
      </c>
      <c r="AV722" s="652"/>
      <c r="AW722" s="777"/>
      <c r="AX722" s="655"/>
      <c r="AY722" s="652">
        <f>I722/11</f>
        <v>110</v>
      </c>
      <c r="AZ722" s="697"/>
      <c r="BA722" s="656"/>
      <c r="BB722" s="654"/>
      <c r="BC722" s="697"/>
      <c r="BD722" s="697"/>
      <c r="BE722" s="654"/>
      <c r="BF722" s="697"/>
      <c r="BG722" s="904"/>
      <c r="BH722" s="658"/>
      <c r="BI722" s="778"/>
      <c r="BJ722" s="778"/>
      <c r="BK722" s="905"/>
      <c r="BL722" s="644"/>
      <c r="BM722" s="658"/>
      <c r="BN722" s="644"/>
      <c r="BO722" s="644"/>
      <c r="BP722" s="779"/>
      <c r="BQ722" s="654"/>
      <c r="BR722" s="697"/>
      <c r="BS722" s="654"/>
      <c r="BT722" s="654"/>
      <c r="BU722" s="654"/>
      <c r="BV722" s="654"/>
      <c r="BW722" s="645" t="s">
        <v>109</v>
      </c>
      <c r="BX722" s="658">
        <f>I722/22*5</f>
        <v>275</v>
      </c>
      <c r="BY722" s="658">
        <f>I722/22*6</f>
        <v>330</v>
      </c>
      <c r="BZ722" s="658">
        <f>I722/22*6</f>
        <v>330</v>
      </c>
      <c r="CA722" s="658">
        <f>I722/22*5</f>
        <v>275</v>
      </c>
      <c r="CB722" s="644">
        <f t="shared" si="387"/>
        <v>1210</v>
      </c>
      <c r="CC722" s="658">
        <f>I722/11</f>
        <v>110</v>
      </c>
      <c r="CD722" s="644">
        <f t="shared" si="374"/>
        <v>1210</v>
      </c>
      <c r="CE722" s="644">
        <v>0</v>
      </c>
      <c r="XEN722" s="885"/>
      <c r="XEO722" s="885"/>
      <c r="XEP722" s="885"/>
      <c r="XEQ722" s="885"/>
      <c r="XER722" s="885"/>
      <c r="XES722" s="885"/>
      <c r="XET722" s="885"/>
      <c r="XEU722" s="885"/>
      <c r="XEV722" s="885"/>
      <c r="XEW722" s="885"/>
      <c r="XEX722" s="885"/>
      <c r="XEY722" s="885"/>
      <c r="XEZ722" s="885"/>
      <c r="XFA722" s="885"/>
      <c r="XFB722" s="885"/>
      <c r="XFC722" s="885"/>
      <c r="XFD722" s="885"/>
    </row>
    <row r="723" s="338" customFormat="1" ht="40" customHeight="1" spans="1:84 16322:16384">
      <c r="A723" s="632">
        <v>46126</v>
      </c>
      <c r="B723" s="633" t="s">
        <v>364</v>
      </c>
      <c r="C723" s="634" t="s">
        <v>365</v>
      </c>
      <c r="D723" s="635">
        <v>4500201701</v>
      </c>
      <c r="E723" s="659" t="s">
        <v>3015</v>
      </c>
      <c r="F723" s="635" t="s">
        <v>3101</v>
      </c>
      <c r="G723" s="637" t="s">
        <v>111</v>
      </c>
      <c r="H723" s="637" t="s">
        <v>99</v>
      </c>
      <c r="I723" s="638">
        <v>748</v>
      </c>
      <c r="J723" s="638">
        <v>0</v>
      </c>
      <c r="K723" s="639">
        <v>22</v>
      </c>
      <c r="L723" s="639">
        <f t="shared" si="379"/>
        <v>34</v>
      </c>
      <c r="M723" s="641">
        <v>46177</v>
      </c>
      <c r="N723" s="641">
        <v>46174</v>
      </c>
      <c r="O723" s="641" t="s">
        <v>3102</v>
      </c>
      <c r="P723" s="903" t="s">
        <v>100</v>
      </c>
      <c r="Q723" s="643" t="s">
        <v>3103</v>
      </c>
      <c r="R723" s="642" t="s">
        <v>953</v>
      </c>
      <c r="S723" s="641"/>
      <c r="T723" s="641"/>
      <c r="U723" s="642" t="s">
        <v>3104</v>
      </c>
      <c r="V723" s="642"/>
      <c r="W723" s="645"/>
      <c r="X723" s="647" t="s">
        <v>3105</v>
      </c>
      <c r="Y723" s="646" t="s">
        <v>3106</v>
      </c>
      <c r="Z723" s="683">
        <v>2.7947</v>
      </c>
      <c r="AA723" s="650">
        <v>2090.4356</v>
      </c>
      <c r="AB723" s="649">
        <v>748</v>
      </c>
      <c r="AC723" s="649">
        <f t="shared" si="382"/>
        <v>0</v>
      </c>
      <c r="AD723" s="650" t="s">
        <v>123</v>
      </c>
      <c r="AE723" s="637" t="s">
        <v>3107</v>
      </c>
      <c r="AF723" s="646" t="s">
        <v>107</v>
      </c>
      <c r="AG723" s="881" t="s">
        <v>43</v>
      </c>
      <c r="AH723" s="646"/>
      <c r="AI723" s="693"/>
      <c r="AJ723" s="693"/>
      <c r="AK723" s="693"/>
      <c r="AL723" s="701"/>
      <c r="AM723" s="649">
        <f t="shared" si="386"/>
        <v>748</v>
      </c>
      <c r="AN723" s="693"/>
      <c r="AO723" s="882"/>
      <c r="AP723" s="652"/>
      <c r="AQ723" s="652"/>
      <c r="AR723" s="882"/>
      <c r="AS723" s="882"/>
      <c r="AT723" s="652"/>
      <c r="AU723" s="652"/>
      <c r="AV723" s="652">
        <f>I723</f>
        <v>748</v>
      </c>
      <c r="AW723" s="882"/>
      <c r="AX723" s="652"/>
      <c r="AY723" s="652">
        <f>I723/11</f>
        <v>68</v>
      </c>
      <c r="AZ723" s="694"/>
      <c r="BA723" s="654"/>
      <c r="BB723" s="654"/>
      <c r="BC723" s="694"/>
      <c r="BD723" s="694"/>
      <c r="BE723" s="654"/>
      <c r="BF723" s="694"/>
      <c r="BG723" s="645"/>
      <c r="BH723" s="658"/>
      <c r="BI723" s="883"/>
      <c r="BJ723" s="883"/>
      <c r="BK723" s="658"/>
      <c r="BL723" s="644"/>
      <c r="BM723" s="658"/>
      <c r="BN723" s="644"/>
      <c r="BO723" s="644"/>
      <c r="BP723" s="884"/>
      <c r="BQ723" s="654"/>
      <c r="BR723" s="694"/>
      <c r="BS723" s="654"/>
      <c r="BT723" s="654"/>
      <c r="BU723" s="654"/>
      <c r="BV723" s="654"/>
      <c r="BW723" s="645" t="s">
        <v>109</v>
      </c>
      <c r="BX723" s="658">
        <f>I723/22*5</f>
        <v>170</v>
      </c>
      <c r="BY723" s="658">
        <f>I723/22*6</f>
        <v>204</v>
      </c>
      <c r="BZ723" s="658">
        <f>I723/22*6</f>
        <v>204</v>
      </c>
      <c r="CA723" s="658">
        <f>I723/22*5</f>
        <v>170</v>
      </c>
      <c r="CB723" s="644">
        <f t="shared" si="387"/>
        <v>748</v>
      </c>
      <c r="CC723" s="658">
        <f>I723/11</f>
        <v>68</v>
      </c>
      <c r="CD723" s="644">
        <f t="shared" si="374"/>
        <v>748</v>
      </c>
      <c r="CE723" s="644">
        <v>0</v>
      </c>
      <c r="XEN723" s="885"/>
      <c r="XEO723" s="885"/>
      <c r="XEP723" s="885"/>
      <c r="XEQ723" s="885"/>
      <c r="XER723" s="885"/>
      <c r="XES723" s="885"/>
      <c r="XET723" s="885"/>
      <c r="XEU723" s="885"/>
      <c r="XEV723" s="885"/>
      <c r="XEW723" s="885"/>
      <c r="XEX723" s="885"/>
      <c r="XEY723" s="885"/>
      <c r="XEZ723" s="885"/>
      <c r="XFA723" s="885"/>
      <c r="XFB723" s="885"/>
      <c r="XFC723" s="885"/>
      <c r="XFD723" s="885"/>
    </row>
    <row r="724" s="338" customFormat="1" ht="40" customHeight="1" spans="1:84 16322:16384">
      <c r="A724" s="632">
        <v>46128</v>
      </c>
      <c r="B724" s="633" t="s">
        <v>3108</v>
      </c>
      <c r="C724" s="634" t="s">
        <v>301</v>
      </c>
      <c r="D724" s="635">
        <v>4500202265</v>
      </c>
      <c r="E724" s="659" t="s">
        <v>3015</v>
      </c>
      <c r="F724" s="635" t="s">
        <v>3109</v>
      </c>
      <c r="G724" s="637" t="s">
        <v>111</v>
      </c>
      <c r="H724" s="637" t="s">
        <v>99</v>
      </c>
      <c r="I724" s="638">
        <v>4004</v>
      </c>
      <c r="J724" s="638">
        <v>0</v>
      </c>
      <c r="K724" s="639">
        <v>22</v>
      </c>
      <c r="L724" s="639">
        <f t="shared" si="379"/>
        <v>182</v>
      </c>
      <c r="M724" s="641">
        <v>46178</v>
      </c>
      <c r="N724" s="641">
        <v>46174</v>
      </c>
      <c r="O724" s="641"/>
      <c r="P724" s="903" t="s">
        <v>100</v>
      </c>
      <c r="Q724" s="643" t="s">
        <v>1208</v>
      </c>
      <c r="R724" s="642" t="s">
        <v>1066</v>
      </c>
      <c r="S724" s="641"/>
      <c r="T724" s="641"/>
      <c r="U724" s="642" t="s">
        <v>3110</v>
      </c>
      <c r="V724" s="642"/>
      <c r="W724" s="645"/>
      <c r="X724" s="647" t="s">
        <v>3111</v>
      </c>
      <c r="Y724" s="646" t="s">
        <v>281</v>
      </c>
      <c r="Z724" s="683">
        <v>2.7693</v>
      </c>
      <c r="AA724" s="650">
        <f>I724*Z724</f>
        <v>11088.2772</v>
      </c>
      <c r="AB724" s="649">
        <v>4004</v>
      </c>
      <c r="AC724" s="649">
        <f t="shared" si="382"/>
        <v>0</v>
      </c>
      <c r="AD724" s="906" t="s">
        <v>123</v>
      </c>
      <c r="AE724" s="661" t="s">
        <v>230</v>
      </c>
      <c r="AF724" s="646" t="s">
        <v>107</v>
      </c>
      <c r="AG724" s="881" t="s">
        <v>43</v>
      </c>
      <c r="AH724" s="646"/>
      <c r="AI724" s="693"/>
      <c r="AJ724" s="693"/>
      <c r="AK724" s="693"/>
      <c r="AL724" s="701"/>
      <c r="AM724" s="649"/>
      <c r="AN724" s="693"/>
      <c r="AO724" s="882"/>
      <c r="AP724" s="652">
        <f>I724</f>
        <v>4004</v>
      </c>
      <c r="AQ724" s="652"/>
      <c r="AR724" s="882"/>
      <c r="AS724" s="882"/>
      <c r="AT724" s="652"/>
      <c r="AU724" s="652">
        <f>I724</f>
        <v>4004</v>
      </c>
      <c r="AV724" s="652"/>
      <c r="AW724" s="882"/>
      <c r="AX724" s="652"/>
      <c r="AY724" s="652"/>
      <c r="AZ724" s="694"/>
      <c r="BA724" s="654"/>
      <c r="BB724" s="654">
        <f>I724/11</f>
        <v>364</v>
      </c>
      <c r="BC724" s="694"/>
      <c r="BD724" s="694"/>
      <c r="BE724" s="654"/>
      <c r="BF724" s="694"/>
      <c r="BG724" s="645"/>
      <c r="BH724" s="658"/>
      <c r="BI724" s="883"/>
      <c r="BJ724" s="883"/>
      <c r="BK724" s="658"/>
      <c r="BL724" s="644"/>
      <c r="BM724" s="658"/>
      <c r="BN724" s="644"/>
      <c r="BO724" s="644"/>
      <c r="BP724" s="884"/>
      <c r="BQ724" s="654"/>
      <c r="BR724" s="694"/>
      <c r="BS724" s="654"/>
      <c r="BT724" s="654"/>
      <c r="BU724" s="654"/>
      <c r="BV724" s="654"/>
      <c r="BW724" s="645" t="s">
        <v>109</v>
      </c>
      <c r="BX724" s="658">
        <f>I724/22*5</f>
        <v>910</v>
      </c>
      <c r="BY724" s="658">
        <f>I724/22*6</f>
        <v>1092</v>
      </c>
      <c r="BZ724" s="658">
        <f>I724/22*6</f>
        <v>1092</v>
      </c>
      <c r="CA724" s="658">
        <f>I724/22*5</f>
        <v>910</v>
      </c>
      <c r="CB724" s="644">
        <f t="shared" si="387"/>
        <v>4004</v>
      </c>
      <c r="CC724" s="658">
        <f>I724/11</f>
        <v>364</v>
      </c>
      <c r="CD724" s="644">
        <f t="shared" si="374"/>
        <v>4004</v>
      </c>
      <c r="CE724" s="644">
        <v>0</v>
      </c>
      <c r="XEN724" s="885"/>
      <c r="XEO724" s="885"/>
      <c r="XEP724" s="885"/>
      <c r="XEQ724" s="885"/>
      <c r="XER724" s="885"/>
      <c r="XES724" s="885"/>
      <c r="XET724" s="885"/>
      <c r="XEU724" s="885"/>
      <c r="XEV724" s="885"/>
      <c r="XEW724" s="885"/>
      <c r="XEX724" s="885"/>
      <c r="XEY724" s="885"/>
      <c r="XEZ724" s="885"/>
      <c r="XFA724" s="885"/>
      <c r="XFB724" s="885"/>
      <c r="XFC724" s="885"/>
      <c r="XFD724" s="885"/>
    </row>
    <row r="725" s="338" customFormat="1" ht="40" customHeight="1" spans="1:84 16322:16384">
      <c r="A725" s="632">
        <v>46126</v>
      </c>
      <c r="B725" s="633" t="s">
        <v>3112</v>
      </c>
      <c r="C725" s="634" t="s">
        <v>1063</v>
      </c>
      <c r="D725" s="635">
        <v>4500200583</v>
      </c>
      <c r="E725" s="659">
        <v>4100444913</v>
      </c>
      <c r="F725" s="635" t="s">
        <v>3113</v>
      </c>
      <c r="G725" s="637" t="s">
        <v>241</v>
      </c>
      <c r="H725" s="637" t="s">
        <v>99</v>
      </c>
      <c r="I725" s="638">
        <v>660</v>
      </c>
      <c r="J725" s="638">
        <v>0</v>
      </c>
      <c r="K725" s="639">
        <v>11</v>
      </c>
      <c r="L725" s="639">
        <f t="shared" si="379"/>
        <v>60</v>
      </c>
      <c r="M725" s="641">
        <v>46184</v>
      </c>
      <c r="N725" s="641">
        <v>46181</v>
      </c>
      <c r="O725" s="641" t="s">
        <v>3051</v>
      </c>
      <c r="P725" s="903" t="s">
        <v>100</v>
      </c>
      <c r="Q725" s="643" t="s">
        <v>3114</v>
      </c>
      <c r="R725" s="642" t="s">
        <v>1470</v>
      </c>
      <c r="S725" s="641"/>
      <c r="T725" s="641"/>
      <c r="U725" s="642" t="s">
        <v>3115</v>
      </c>
      <c r="V725" s="642"/>
      <c r="W725" s="645"/>
      <c r="X725" s="647" t="s">
        <v>3116</v>
      </c>
      <c r="Y725" s="646" t="s">
        <v>1029</v>
      </c>
      <c r="Z725" s="683">
        <v>2.7894</v>
      </c>
      <c r="AA725" s="650">
        <v>1841.004</v>
      </c>
      <c r="AB725" s="649">
        <v>660</v>
      </c>
      <c r="AC725" s="649">
        <f t="shared" si="382"/>
        <v>0</v>
      </c>
      <c r="AD725" s="906" t="s">
        <v>106</v>
      </c>
      <c r="AE725" s="661" t="s">
        <v>1264</v>
      </c>
      <c r="AF725" s="646" t="s">
        <v>107</v>
      </c>
      <c r="AG725" s="881" t="s">
        <v>43</v>
      </c>
      <c r="AH725" s="646"/>
      <c r="AI725" s="693"/>
      <c r="AJ725" s="693"/>
      <c r="AK725" s="693"/>
      <c r="AL725" s="701"/>
      <c r="AM725" s="649"/>
      <c r="AN725" s="693"/>
      <c r="AO725" s="882"/>
      <c r="AP725" s="652">
        <f>I725</f>
        <v>660</v>
      </c>
      <c r="AQ725" s="652"/>
      <c r="AR725" s="882"/>
      <c r="AS725" s="882"/>
      <c r="AT725" s="652"/>
      <c r="AU725" s="652"/>
      <c r="AV725" s="652">
        <f>I725</f>
        <v>660</v>
      </c>
      <c r="AW725" s="882"/>
      <c r="AX725" s="652"/>
      <c r="AY725" s="652"/>
      <c r="AZ725" s="694"/>
      <c r="BA725" s="654"/>
      <c r="BB725" s="654">
        <f>I725/11</f>
        <v>60</v>
      </c>
      <c r="BC725" s="694"/>
      <c r="BD725" s="694"/>
      <c r="BE725" s="654"/>
      <c r="BF725" s="694"/>
      <c r="BG725" s="645"/>
      <c r="BH725" s="658"/>
      <c r="BI725" s="883"/>
      <c r="BJ725" s="883"/>
      <c r="BK725" s="658"/>
      <c r="BL725" s="644"/>
      <c r="BM725" s="658"/>
      <c r="BN725" s="644"/>
      <c r="BO725" s="644"/>
      <c r="BP725" s="884"/>
      <c r="BQ725" s="654"/>
      <c r="BR725" s="694"/>
      <c r="BS725" s="654"/>
      <c r="BT725" s="654"/>
      <c r="BU725" s="654"/>
      <c r="BV725" s="654"/>
      <c r="BW725" s="645" t="s">
        <v>109</v>
      </c>
      <c r="BX725" s="658">
        <f>I725/22*5</f>
        <v>150</v>
      </c>
      <c r="BY725" s="658">
        <f>I725/22*6</f>
        <v>180</v>
      </c>
      <c r="BZ725" s="658">
        <f>I725/22*6</f>
        <v>180</v>
      </c>
      <c r="CA725" s="658">
        <f>I725/22*5</f>
        <v>150</v>
      </c>
      <c r="CB725" s="644">
        <f t="shared" si="387"/>
        <v>660</v>
      </c>
      <c r="CC725" s="658">
        <f>I725/11</f>
        <v>60</v>
      </c>
      <c r="CD725" s="644">
        <f t="shared" si="374"/>
        <v>660</v>
      </c>
      <c r="CE725" s="644">
        <f>I725-CD725</f>
        <v>0</v>
      </c>
      <c r="XEN725" s="885"/>
      <c r="XEO725" s="885"/>
      <c r="XEP725" s="885"/>
      <c r="XEQ725" s="885"/>
      <c r="XER725" s="885"/>
      <c r="XES725" s="885"/>
      <c r="XET725" s="885"/>
      <c r="XEU725" s="885"/>
      <c r="XEV725" s="885"/>
      <c r="XEW725" s="885"/>
      <c r="XEX725" s="885"/>
      <c r="XEY725" s="885"/>
      <c r="XEZ725" s="885"/>
      <c r="XFA725" s="885"/>
      <c r="XFB725" s="885"/>
      <c r="XFC725" s="885"/>
      <c r="XFD725" s="885"/>
    </row>
    <row r="726" s="338" customFormat="1" ht="40" customHeight="1" spans="1:84 16322:16384">
      <c r="A726" s="632">
        <v>46108</v>
      </c>
      <c r="B726" s="633" t="s">
        <v>2718</v>
      </c>
      <c r="C726" s="634" t="s">
        <v>156</v>
      </c>
      <c r="D726" s="635">
        <v>4500198659</v>
      </c>
      <c r="E726" s="659" t="s">
        <v>3117</v>
      </c>
      <c r="F726" s="635" t="s">
        <v>3118</v>
      </c>
      <c r="G726" s="637" t="s">
        <v>2231</v>
      </c>
      <c r="H726" s="637" t="s">
        <v>2232</v>
      </c>
      <c r="I726" s="638">
        <v>504</v>
      </c>
      <c r="J726" s="638">
        <v>0</v>
      </c>
      <c r="K726" s="639">
        <v>24</v>
      </c>
      <c r="L726" s="639">
        <f t="shared" si="379"/>
        <v>21</v>
      </c>
      <c r="M726" s="641">
        <v>46175</v>
      </c>
      <c r="N726" s="641">
        <v>46171</v>
      </c>
      <c r="O726" s="641" t="s">
        <v>3119</v>
      </c>
      <c r="P726" s="903" t="s">
        <v>100</v>
      </c>
      <c r="Q726" s="643" t="s">
        <v>3120</v>
      </c>
      <c r="R726" s="642" t="s">
        <v>1191</v>
      </c>
      <c r="S726" s="641"/>
      <c r="T726" s="641"/>
      <c r="U726" s="642" t="s">
        <v>3121</v>
      </c>
      <c r="V726" s="642" t="s">
        <v>3122</v>
      </c>
      <c r="W726" s="645"/>
      <c r="X726" s="647" t="s">
        <v>3123</v>
      </c>
      <c r="Y726" s="646" t="s">
        <v>596</v>
      </c>
      <c r="Z726" s="683">
        <v>2.6493</v>
      </c>
      <c r="AA726" s="650">
        <f t="shared" ref="AA726:AA740" si="388">I726*Z726</f>
        <v>1335.2472</v>
      </c>
      <c r="AB726" s="649">
        <v>504</v>
      </c>
      <c r="AC726" s="649">
        <f t="shared" si="382"/>
        <v>0</v>
      </c>
      <c r="AD726" s="650" t="s">
        <v>106</v>
      </c>
      <c r="AE726" s="907" t="s">
        <v>2231</v>
      </c>
      <c r="AF726" s="646" t="s">
        <v>107</v>
      </c>
      <c r="AG726" s="881" t="s">
        <v>43</v>
      </c>
      <c r="AH726" s="646"/>
      <c r="AI726" s="649"/>
      <c r="AJ726" s="649"/>
      <c r="AK726" s="649"/>
      <c r="AL726" s="653"/>
      <c r="AM726" s="649"/>
      <c r="AN726" s="649"/>
      <c r="AO726" s="654"/>
      <c r="AP726" s="649">
        <f>I726</f>
        <v>504</v>
      </c>
      <c r="AQ726" s="652"/>
      <c r="AR726" s="652"/>
      <c r="AS726" s="652"/>
      <c r="AT726" s="654"/>
      <c r="AU726" s="652">
        <f t="shared" ref="AU726:AU740" si="389">I726</f>
        <v>504</v>
      </c>
      <c r="AV726" s="652"/>
      <c r="AW726" s="654"/>
      <c r="AX726" s="654"/>
      <c r="AY726" s="654"/>
      <c r="AZ726" s="654"/>
      <c r="BA726" s="654"/>
      <c r="BB726" s="654"/>
      <c r="BC726" s="652"/>
      <c r="BD726" s="654"/>
      <c r="BE726" s="654"/>
      <c r="BF726" s="654"/>
      <c r="BG726" s="645"/>
      <c r="BH726" s="658"/>
      <c r="BI726" s="658"/>
      <c r="BJ726" s="658"/>
      <c r="BK726" s="658"/>
      <c r="BL726" s="644"/>
      <c r="BM726" s="644"/>
      <c r="BN726" s="644"/>
      <c r="BO726" s="644"/>
      <c r="BP726" s="887"/>
      <c r="BQ726" s="747"/>
      <c r="BR726" s="887"/>
      <c r="BS726" s="747"/>
      <c r="BT726" s="747"/>
      <c r="BU726" s="747"/>
      <c r="BV726" s="747"/>
      <c r="BW726" s="645" t="s">
        <v>109</v>
      </c>
      <c r="BX726" s="747">
        <f>I726</f>
        <v>504</v>
      </c>
      <c r="BY726" s="747"/>
      <c r="BZ726" s="747"/>
      <c r="CA726" s="747"/>
      <c r="CB726" s="747"/>
      <c r="CC726" s="658"/>
      <c r="CD726" s="644">
        <f t="shared" si="374"/>
        <v>504</v>
      </c>
      <c r="CE726" s="644">
        <f>I726-CD726</f>
        <v>0</v>
      </c>
      <c r="XEN726" s="885"/>
      <c r="XEO726" s="885"/>
      <c r="XEP726" s="888"/>
      <c r="XEQ726" s="889"/>
      <c r="XER726" s="890"/>
      <c r="XES726" s="891"/>
      <c r="XET726" s="892"/>
      <c r="XEU726" s="891"/>
      <c r="XEV726" s="893"/>
      <c r="XEW726" s="893"/>
      <c r="XEX726" s="893"/>
      <c r="XEY726" s="894"/>
      <c r="XEZ726" s="894"/>
      <c r="XFA726" s="895"/>
      <c r="XFB726" s="895"/>
      <c r="XFC726" s="896"/>
      <c r="XFD726" s="896"/>
    </row>
    <row r="727" s="338" customFormat="1" ht="40" customHeight="1" spans="1:84 16322:16384">
      <c r="A727" s="632">
        <v>46108</v>
      </c>
      <c r="B727" s="633" t="s">
        <v>2718</v>
      </c>
      <c r="C727" s="634" t="s">
        <v>380</v>
      </c>
      <c r="D727" s="635">
        <v>4500198659</v>
      </c>
      <c r="E727" s="659" t="s">
        <v>3124</v>
      </c>
      <c r="F727" s="635" t="s">
        <v>3125</v>
      </c>
      <c r="G727" s="637" t="s">
        <v>2231</v>
      </c>
      <c r="H727" s="637" t="s">
        <v>2232</v>
      </c>
      <c r="I727" s="638">
        <v>504</v>
      </c>
      <c r="J727" s="638">
        <v>0</v>
      </c>
      <c r="K727" s="639">
        <v>24</v>
      </c>
      <c r="L727" s="639">
        <f t="shared" si="379"/>
        <v>21</v>
      </c>
      <c r="M727" s="641">
        <v>46175</v>
      </c>
      <c r="N727" s="641">
        <v>46171</v>
      </c>
      <c r="O727" s="641" t="s">
        <v>3119</v>
      </c>
      <c r="P727" s="903" t="s">
        <v>100</v>
      </c>
      <c r="Q727" s="643" t="s">
        <v>3120</v>
      </c>
      <c r="R727" s="642" t="s">
        <v>1191</v>
      </c>
      <c r="S727" s="641"/>
      <c r="T727" s="641"/>
      <c r="U727" s="642" t="s">
        <v>3121</v>
      </c>
      <c r="V727" s="642" t="s">
        <v>3122</v>
      </c>
      <c r="W727" s="645"/>
      <c r="X727" s="647" t="s">
        <v>3123</v>
      </c>
      <c r="Y727" s="646" t="s">
        <v>596</v>
      </c>
      <c r="Z727" s="683">
        <v>2.6493</v>
      </c>
      <c r="AA727" s="650">
        <f t="shared" si="388"/>
        <v>1335.2472</v>
      </c>
      <c r="AB727" s="649">
        <v>504</v>
      </c>
      <c r="AC727" s="649">
        <f t="shared" si="382"/>
        <v>0</v>
      </c>
      <c r="AD727" s="650" t="s">
        <v>106</v>
      </c>
      <c r="AE727" s="907" t="s">
        <v>2231</v>
      </c>
      <c r="AF727" s="646" t="s">
        <v>107</v>
      </c>
      <c r="AG727" s="881" t="s">
        <v>43</v>
      </c>
      <c r="AH727" s="646"/>
      <c r="AI727" s="649"/>
      <c r="AJ727" s="649"/>
      <c r="AK727" s="649"/>
      <c r="AL727" s="653"/>
      <c r="AM727" s="649"/>
      <c r="AN727" s="649"/>
      <c r="AO727" s="654"/>
      <c r="AP727" s="649">
        <f>I727</f>
        <v>504</v>
      </c>
      <c r="AQ727" s="652"/>
      <c r="AR727" s="652"/>
      <c r="AS727" s="652"/>
      <c r="AT727" s="654"/>
      <c r="AU727" s="652">
        <f t="shared" si="389"/>
        <v>504</v>
      </c>
      <c r="AV727" s="652"/>
      <c r="AW727" s="654"/>
      <c r="AX727" s="654"/>
      <c r="AY727" s="654"/>
      <c r="AZ727" s="654"/>
      <c r="BA727" s="654"/>
      <c r="BB727" s="654"/>
      <c r="BC727" s="652"/>
      <c r="BD727" s="654"/>
      <c r="BE727" s="654"/>
      <c r="BF727" s="654"/>
      <c r="BG727" s="645"/>
      <c r="BH727" s="658"/>
      <c r="BI727" s="658"/>
      <c r="BJ727" s="658"/>
      <c r="BK727" s="658"/>
      <c r="BL727" s="644"/>
      <c r="BM727" s="644"/>
      <c r="BN727" s="644"/>
      <c r="BO727" s="644"/>
      <c r="BP727" s="887"/>
      <c r="BQ727" s="747"/>
      <c r="BR727" s="887"/>
      <c r="BS727" s="747"/>
      <c r="BT727" s="747"/>
      <c r="BU727" s="747"/>
      <c r="BV727" s="747"/>
      <c r="BW727" s="645" t="s">
        <v>109</v>
      </c>
      <c r="BX727" s="747">
        <f>I727</f>
        <v>504</v>
      </c>
      <c r="BY727" s="747"/>
      <c r="BZ727" s="747"/>
      <c r="CA727" s="747"/>
      <c r="CB727" s="747"/>
      <c r="CC727" s="658"/>
      <c r="CD727" s="644">
        <f t="shared" si="374"/>
        <v>504</v>
      </c>
      <c r="CE727" s="644">
        <f>I727-CD727</f>
        <v>0</v>
      </c>
      <c r="XEN727" s="885"/>
      <c r="XEO727" s="885"/>
      <c r="XEP727" s="888"/>
      <c r="XEQ727" s="889"/>
      <c r="XER727" s="890"/>
      <c r="XES727" s="891"/>
      <c r="XET727" s="892"/>
      <c r="XEU727" s="891"/>
      <c r="XEV727" s="893"/>
      <c r="XEW727" s="893"/>
      <c r="XEX727" s="893"/>
      <c r="XEY727" s="894"/>
      <c r="XEZ727" s="894"/>
      <c r="XFA727" s="895"/>
      <c r="XFB727" s="895"/>
      <c r="XFC727" s="896"/>
      <c r="XFD727" s="896"/>
    </row>
    <row r="728" s="338" customFormat="1" ht="40" customHeight="1" spans="1:84 16322:16384">
      <c r="A728" s="632">
        <v>46129</v>
      </c>
      <c r="B728" s="633" t="s">
        <v>2718</v>
      </c>
      <c r="C728" s="634" t="s">
        <v>144</v>
      </c>
      <c r="D728" s="635">
        <v>4500202512</v>
      </c>
      <c r="E728" s="659" t="s">
        <v>3126</v>
      </c>
      <c r="F728" s="635" t="s">
        <v>3127</v>
      </c>
      <c r="G728" s="637" t="s">
        <v>2231</v>
      </c>
      <c r="H728" s="637" t="s">
        <v>2232</v>
      </c>
      <c r="I728" s="638">
        <v>480</v>
      </c>
      <c r="J728" s="638">
        <v>0</v>
      </c>
      <c r="K728" s="639">
        <v>24</v>
      </c>
      <c r="L728" s="639">
        <f t="shared" si="379"/>
        <v>20</v>
      </c>
      <c r="M728" s="641">
        <v>46181</v>
      </c>
      <c r="N728" s="641">
        <v>46177</v>
      </c>
      <c r="O728" s="641" t="s">
        <v>3128</v>
      </c>
      <c r="P728" s="903" t="s">
        <v>100</v>
      </c>
      <c r="Q728" s="643" t="s">
        <v>3129</v>
      </c>
      <c r="R728" s="642" t="s">
        <v>993</v>
      </c>
      <c r="S728" s="641"/>
      <c r="T728" s="641"/>
      <c r="U728" s="903" t="s">
        <v>3130</v>
      </c>
      <c r="V728" s="642"/>
      <c r="W728" s="645"/>
      <c r="X728" s="647" t="s">
        <v>3131</v>
      </c>
      <c r="Y728" s="646" t="s">
        <v>596</v>
      </c>
      <c r="Z728" s="683">
        <v>2.6493</v>
      </c>
      <c r="AA728" s="650">
        <f t="shared" si="388"/>
        <v>1271.664</v>
      </c>
      <c r="AB728" s="649">
        <v>480</v>
      </c>
      <c r="AC728" s="649">
        <f t="shared" si="382"/>
        <v>0</v>
      </c>
      <c r="AD728" s="908" t="s">
        <v>106</v>
      </c>
      <c r="AE728" s="637" t="s">
        <v>2231</v>
      </c>
      <c r="AF728" s="646" t="s">
        <v>107</v>
      </c>
      <c r="AG728" s="881" t="s">
        <v>43</v>
      </c>
      <c r="AH728" s="646"/>
      <c r="AI728" s="693"/>
      <c r="AJ728" s="693"/>
      <c r="AK728" s="693"/>
      <c r="AL728" s="701"/>
      <c r="AM728" s="649"/>
      <c r="AN728" s="693"/>
      <c r="AO728" s="882"/>
      <c r="AP728" s="652">
        <f t="shared" ref="AP728:AP733" si="390">I728</f>
        <v>480</v>
      </c>
      <c r="AQ728" s="652"/>
      <c r="AR728" s="882"/>
      <c r="AS728" s="882"/>
      <c r="AT728" s="652"/>
      <c r="AU728" s="652">
        <f t="shared" si="389"/>
        <v>480</v>
      </c>
      <c r="AV728" s="652"/>
      <c r="AW728" s="882"/>
      <c r="AX728" s="652"/>
      <c r="AY728" s="652"/>
      <c r="AZ728" s="694"/>
      <c r="BA728" s="654"/>
      <c r="BB728" s="654"/>
      <c r="BC728" s="694"/>
      <c r="BD728" s="694"/>
      <c r="BE728" s="654"/>
      <c r="BF728" s="694"/>
      <c r="BG728" s="645"/>
      <c r="BH728" s="658"/>
      <c r="BI728" s="883"/>
      <c r="BJ728" s="883"/>
      <c r="BK728" s="658"/>
      <c r="BL728" s="644"/>
      <c r="BM728" s="658"/>
      <c r="BN728" s="644"/>
      <c r="BO728" s="644"/>
      <c r="BP728" s="884"/>
      <c r="BQ728" s="654"/>
      <c r="BR728" s="694"/>
      <c r="BS728" s="654"/>
      <c r="BT728" s="654"/>
      <c r="BU728" s="654"/>
      <c r="BV728" s="654"/>
      <c r="BW728" s="645" t="s">
        <v>109</v>
      </c>
      <c r="BX728" s="658">
        <f>I728</f>
        <v>480</v>
      </c>
      <c r="BY728" s="658"/>
      <c r="BZ728" s="658"/>
      <c r="CA728" s="658"/>
      <c r="CB728" s="644"/>
      <c r="CC728" s="658"/>
      <c r="CD728" s="644">
        <f t="shared" si="374"/>
        <v>480</v>
      </c>
      <c r="CE728" s="644">
        <f>I728-CD728</f>
        <v>0</v>
      </c>
      <c r="XEN728" s="885"/>
      <c r="XEO728" s="885"/>
      <c r="XEP728" s="885"/>
      <c r="XEQ728" s="885"/>
      <c r="XER728" s="885"/>
      <c r="XES728" s="885"/>
      <c r="XET728" s="885"/>
      <c r="XEU728" s="885"/>
      <c r="XEV728" s="885"/>
      <c r="XEW728" s="885"/>
      <c r="XEX728" s="885"/>
      <c r="XEY728" s="885"/>
      <c r="XEZ728" s="885"/>
      <c r="XFA728" s="885"/>
      <c r="XFB728" s="885"/>
      <c r="XFC728" s="885"/>
      <c r="XFD728" s="885"/>
    </row>
    <row r="729" s="338" customFormat="1" ht="40" customHeight="1" spans="1:84 16322:16384">
      <c r="A729" s="632">
        <v>46136</v>
      </c>
      <c r="B729" s="633" t="s">
        <v>2469</v>
      </c>
      <c r="C729" s="634" t="s">
        <v>836</v>
      </c>
      <c r="D729" s="635">
        <v>4500203679</v>
      </c>
      <c r="E729" s="659" t="s">
        <v>3015</v>
      </c>
      <c r="F729" s="635" t="s">
        <v>3132</v>
      </c>
      <c r="G729" s="637" t="s">
        <v>111</v>
      </c>
      <c r="H729" s="637" t="s">
        <v>99</v>
      </c>
      <c r="I729" s="909">
        <v>528</v>
      </c>
      <c r="J729" s="638">
        <v>0</v>
      </c>
      <c r="K729" s="639">
        <v>22</v>
      </c>
      <c r="L729" s="639">
        <f t="shared" si="379"/>
        <v>24</v>
      </c>
      <c r="M729" s="641">
        <v>46181</v>
      </c>
      <c r="N729" s="641">
        <v>46177</v>
      </c>
      <c r="O729" s="641"/>
      <c r="P729" s="903" t="s">
        <v>100</v>
      </c>
      <c r="Q729" s="643" t="s">
        <v>3133</v>
      </c>
      <c r="R729" s="642" t="s">
        <v>1255</v>
      </c>
      <c r="S729" s="641"/>
      <c r="T729" s="641"/>
      <c r="U729" s="642" t="s">
        <v>2463</v>
      </c>
      <c r="V729" s="642"/>
      <c r="W729" s="645"/>
      <c r="X729" s="647" t="s">
        <v>3134</v>
      </c>
      <c r="Y729" s="646" t="s">
        <v>818</v>
      </c>
      <c r="Z729" s="683">
        <v>2.7947</v>
      </c>
      <c r="AA729" s="650">
        <f t="shared" si="388"/>
        <v>1475.6016</v>
      </c>
      <c r="AB729" s="649">
        <v>528</v>
      </c>
      <c r="AC729" s="649">
        <f t="shared" si="382"/>
        <v>0</v>
      </c>
      <c r="AD729" s="906" t="s">
        <v>106</v>
      </c>
      <c r="AE729" s="661" t="s">
        <v>230</v>
      </c>
      <c r="AF729" s="646" t="s">
        <v>107</v>
      </c>
      <c r="AG729" s="881" t="s">
        <v>43</v>
      </c>
      <c r="AH729" s="646"/>
      <c r="AI729" s="693"/>
      <c r="AJ729" s="693"/>
      <c r="AK729" s="693"/>
      <c r="AL729" s="701"/>
      <c r="AM729" s="649"/>
      <c r="AN729" s="693"/>
      <c r="AO729" s="882"/>
      <c r="AP729" s="652">
        <f t="shared" si="390"/>
        <v>528</v>
      </c>
      <c r="AQ729" s="652"/>
      <c r="AR729" s="882"/>
      <c r="AS729" s="882"/>
      <c r="AT729" s="652"/>
      <c r="AU729" s="652">
        <f t="shared" si="389"/>
        <v>528</v>
      </c>
      <c r="AV729" s="652"/>
      <c r="AW729" s="882"/>
      <c r="AX729" s="652"/>
      <c r="AY729" s="652"/>
      <c r="AZ729" s="694"/>
      <c r="BA729" s="654"/>
      <c r="BB729" s="652">
        <f>I729/11</f>
        <v>48</v>
      </c>
      <c r="BC729" s="694"/>
      <c r="BD729" s="694"/>
      <c r="BE729" s="654"/>
      <c r="BF729" s="694"/>
      <c r="BG729" s="645"/>
      <c r="BH729" s="658"/>
      <c r="BI729" s="883"/>
      <c r="BJ729" s="883"/>
      <c r="BK729" s="658"/>
      <c r="BL729" s="644"/>
      <c r="BM729" s="658"/>
      <c r="BN729" s="644"/>
      <c r="BO729" s="644"/>
      <c r="BP729" s="884"/>
      <c r="BQ729" s="654"/>
      <c r="BR729" s="694"/>
      <c r="BS729" s="654"/>
      <c r="BT729" s="654"/>
      <c r="BU729" s="654"/>
      <c r="BV729" s="654"/>
      <c r="BW729" s="645" t="s">
        <v>109</v>
      </c>
      <c r="BX729" s="658">
        <f t="shared" ref="BX729:BX734" si="391">I729/22*5</f>
        <v>120</v>
      </c>
      <c r="BY729" s="658">
        <f t="shared" ref="BY729:BY734" si="392">I729/22*6</f>
        <v>144</v>
      </c>
      <c r="BZ729" s="658">
        <f t="shared" ref="BZ729:BZ734" si="393">I729/22*6</f>
        <v>144</v>
      </c>
      <c r="CA729" s="658">
        <f t="shared" ref="CA729:CA734" si="394">I729/22*5</f>
        <v>120</v>
      </c>
      <c r="CB729" s="644">
        <f t="shared" ref="CB729:CB734" si="395">I729</f>
        <v>528</v>
      </c>
      <c r="CC729" s="658">
        <f t="shared" ref="CC729:CC734" si="396">I729/11</f>
        <v>48</v>
      </c>
      <c r="CD729" s="644">
        <f t="shared" si="374"/>
        <v>528</v>
      </c>
      <c r="CE729" s="644">
        <v>0</v>
      </c>
      <c r="XEN729" s="885"/>
      <c r="XEO729" s="885"/>
      <c r="XEP729" s="885"/>
      <c r="XEQ729" s="885"/>
      <c r="XER729" s="885"/>
      <c r="XES729" s="885"/>
      <c r="XET729" s="885"/>
      <c r="XEU729" s="885"/>
      <c r="XEV729" s="885"/>
      <c r="XEW729" s="885"/>
      <c r="XEX729" s="885"/>
      <c r="XEY729" s="885"/>
      <c r="XEZ729" s="885"/>
      <c r="XFA729" s="885"/>
      <c r="XFB729" s="885"/>
      <c r="XFC729" s="885"/>
      <c r="XFD729" s="885"/>
    </row>
    <row r="730" s="338" customFormat="1" ht="40" customHeight="1" spans="1:84 16322:16384">
      <c r="A730" s="632">
        <v>46136</v>
      </c>
      <c r="B730" s="633" t="s">
        <v>3135</v>
      </c>
      <c r="C730" s="634" t="s">
        <v>831</v>
      </c>
      <c r="D730" s="703">
        <v>4500203765</v>
      </c>
      <c r="E730" s="659">
        <v>5907192049</v>
      </c>
      <c r="F730" s="635" t="s">
        <v>3136</v>
      </c>
      <c r="G730" s="637" t="s">
        <v>111</v>
      </c>
      <c r="H730" s="637" t="s">
        <v>99</v>
      </c>
      <c r="I730" s="909">
        <v>352</v>
      </c>
      <c r="J730" s="638">
        <v>0</v>
      </c>
      <c r="K730" s="639">
        <v>22</v>
      </c>
      <c r="L730" s="639">
        <f t="shared" si="379"/>
        <v>16</v>
      </c>
      <c r="M730" s="641">
        <v>46181</v>
      </c>
      <c r="N730" s="641">
        <v>46177</v>
      </c>
      <c r="O730" s="910" t="s">
        <v>3137</v>
      </c>
      <c r="P730" s="903" t="s">
        <v>100</v>
      </c>
      <c r="Q730" s="643" t="s">
        <v>1316</v>
      </c>
      <c r="R730" s="642" t="s">
        <v>1255</v>
      </c>
      <c r="S730" s="641"/>
      <c r="T730" s="641"/>
      <c r="U730" s="642" t="s">
        <v>2463</v>
      </c>
      <c r="V730" s="642"/>
      <c r="W730" s="645"/>
      <c r="X730" s="647" t="s">
        <v>3134</v>
      </c>
      <c r="Y730" s="646" t="s">
        <v>818</v>
      </c>
      <c r="Z730" s="683">
        <v>2.7947</v>
      </c>
      <c r="AA730" s="650">
        <f t="shared" si="388"/>
        <v>983.7344</v>
      </c>
      <c r="AB730" s="649">
        <v>352</v>
      </c>
      <c r="AC730" s="649">
        <f t="shared" si="382"/>
        <v>0</v>
      </c>
      <c r="AD730" s="906" t="s">
        <v>106</v>
      </c>
      <c r="AE730" s="661" t="s">
        <v>230</v>
      </c>
      <c r="AF730" s="646" t="s">
        <v>107</v>
      </c>
      <c r="AG730" s="881" t="s">
        <v>43</v>
      </c>
      <c r="AH730" s="646"/>
      <c r="AI730" s="693"/>
      <c r="AJ730" s="693"/>
      <c r="AK730" s="693"/>
      <c r="AL730" s="701"/>
      <c r="AM730" s="649"/>
      <c r="AN730" s="693"/>
      <c r="AO730" s="882"/>
      <c r="AP730" s="652">
        <f t="shared" si="390"/>
        <v>352</v>
      </c>
      <c r="AQ730" s="652"/>
      <c r="AR730" s="882"/>
      <c r="AS730" s="882"/>
      <c r="AT730" s="652"/>
      <c r="AU730" s="652">
        <f t="shared" si="389"/>
        <v>352</v>
      </c>
      <c r="AV730" s="652"/>
      <c r="AW730" s="882"/>
      <c r="AX730" s="652"/>
      <c r="AY730" s="652"/>
      <c r="AZ730" s="694"/>
      <c r="BA730" s="654"/>
      <c r="BB730" s="652">
        <f>I730/11</f>
        <v>32</v>
      </c>
      <c r="BC730" s="694"/>
      <c r="BD730" s="694"/>
      <c r="BE730" s="654"/>
      <c r="BF730" s="694"/>
      <c r="BG730" s="645"/>
      <c r="BH730" s="658"/>
      <c r="BI730" s="883"/>
      <c r="BJ730" s="883"/>
      <c r="BK730" s="658"/>
      <c r="BL730" s="644"/>
      <c r="BM730" s="658"/>
      <c r="BN730" s="644"/>
      <c r="BO730" s="644"/>
      <c r="BP730" s="884"/>
      <c r="BQ730" s="654"/>
      <c r="BR730" s="694"/>
      <c r="BS730" s="654"/>
      <c r="BT730" s="654"/>
      <c r="BU730" s="654"/>
      <c r="BV730" s="654"/>
      <c r="BW730" s="645" t="s">
        <v>109</v>
      </c>
      <c r="BX730" s="658">
        <f t="shared" si="391"/>
        <v>80</v>
      </c>
      <c r="BY730" s="658">
        <f t="shared" si="392"/>
        <v>96</v>
      </c>
      <c r="BZ730" s="658">
        <f t="shared" si="393"/>
        <v>96</v>
      </c>
      <c r="CA730" s="658">
        <f t="shared" si="394"/>
        <v>80</v>
      </c>
      <c r="CB730" s="644">
        <f t="shared" si="395"/>
        <v>352</v>
      </c>
      <c r="CC730" s="658">
        <f t="shared" si="396"/>
        <v>32</v>
      </c>
      <c r="CD730" s="644">
        <f t="shared" si="374"/>
        <v>352</v>
      </c>
      <c r="CE730" s="644">
        <v>0</v>
      </c>
      <c r="XEN730" s="885"/>
      <c r="XEO730" s="885"/>
      <c r="XEP730" s="885"/>
      <c r="XEQ730" s="885"/>
      <c r="XER730" s="885"/>
      <c r="XES730" s="885"/>
      <c r="XET730" s="885"/>
      <c r="XEU730" s="885"/>
      <c r="XEV730" s="885"/>
      <c r="XEW730" s="885"/>
      <c r="XEX730" s="885"/>
      <c r="XEY730" s="885"/>
      <c r="XEZ730" s="885"/>
      <c r="XFA730" s="885"/>
      <c r="XFB730" s="885"/>
      <c r="XFC730" s="885"/>
      <c r="XFD730" s="885"/>
    </row>
    <row r="731" s="338" customFormat="1" ht="40" customHeight="1" spans="1:84 16322:16384">
      <c r="A731" s="632">
        <v>46136</v>
      </c>
      <c r="B731" s="633" t="s">
        <v>2465</v>
      </c>
      <c r="C731" s="634" t="s">
        <v>275</v>
      </c>
      <c r="D731" s="703">
        <v>4500204007</v>
      </c>
      <c r="E731" s="659" t="s">
        <v>3015</v>
      </c>
      <c r="F731" s="635" t="s">
        <v>3138</v>
      </c>
      <c r="G731" s="637" t="s">
        <v>111</v>
      </c>
      <c r="H731" s="637" t="s">
        <v>99</v>
      </c>
      <c r="I731" s="909">
        <v>660</v>
      </c>
      <c r="J731" s="638">
        <v>0</v>
      </c>
      <c r="K731" s="639">
        <v>22</v>
      </c>
      <c r="L731" s="639">
        <f t="shared" si="379"/>
        <v>30</v>
      </c>
      <c r="M731" s="641">
        <v>46181</v>
      </c>
      <c r="N731" s="641">
        <v>46177</v>
      </c>
      <c r="O731" s="641"/>
      <c r="P731" s="903" t="s">
        <v>100</v>
      </c>
      <c r="Q731" s="643" t="s">
        <v>3139</v>
      </c>
      <c r="R731" s="642" t="s">
        <v>1255</v>
      </c>
      <c r="S731" s="641"/>
      <c r="T731" s="641"/>
      <c r="U731" s="642" t="s">
        <v>2463</v>
      </c>
      <c r="V731" s="642"/>
      <c r="W731" s="645"/>
      <c r="X731" s="647" t="s">
        <v>3140</v>
      </c>
      <c r="Y731" s="646" t="s">
        <v>818</v>
      </c>
      <c r="Z731" s="683">
        <v>2.7947</v>
      </c>
      <c r="AA731" s="650">
        <f t="shared" si="388"/>
        <v>1844.502</v>
      </c>
      <c r="AB731" s="649">
        <v>660</v>
      </c>
      <c r="AC731" s="649">
        <f t="shared" si="382"/>
        <v>0</v>
      </c>
      <c r="AD731" s="906" t="s">
        <v>106</v>
      </c>
      <c r="AE731" s="661" t="s">
        <v>230</v>
      </c>
      <c r="AF731" s="646" t="s">
        <v>107</v>
      </c>
      <c r="AG731" s="881" t="s">
        <v>43</v>
      </c>
      <c r="AH731" s="646"/>
      <c r="AI731" s="693"/>
      <c r="AJ731" s="693"/>
      <c r="AK731" s="693"/>
      <c r="AL731" s="701"/>
      <c r="AM731" s="649"/>
      <c r="AN731" s="693"/>
      <c r="AO731" s="882"/>
      <c r="AP731" s="652">
        <f t="shared" si="390"/>
        <v>660</v>
      </c>
      <c r="AQ731" s="652"/>
      <c r="AR731" s="882"/>
      <c r="AS731" s="882"/>
      <c r="AT731" s="652"/>
      <c r="AU731" s="652">
        <f t="shared" si="389"/>
        <v>660</v>
      </c>
      <c r="AV731" s="652"/>
      <c r="AW731" s="882"/>
      <c r="AX731" s="652"/>
      <c r="AY731" s="652"/>
      <c r="AZ731" s="694"/>
      <c r="BA731" s="654"/>
      <c r="BB731" s="652">
        <f>I731/11</f>
        <v>60</v>
      </c>
      <c r="BC731" s="694"/>
      <c r="BD731" s="694"/>
      <c r="BE731" s="654"/>
      <c r="BF731" s="694"/>
      <c r="BG731" s="645"/>
      <c r="BH731" s="658"/>
      <c r="BI731" s="883"/>
      <c r="BJ731" s="883"/>
      <c r="BK731" s="658"/>
      <c r="BL731" s="644"/>
      <c r="BM731" s="658"/>
      <c r="BN731" s="644"/>
      <c r="BO731" s="644"/>
      <c r="BP731" s="884"/>
      <c r="BQ731" s="654"/>
      <c r="BR731" s="694"/>
      <c r="BS731" s="654"/>
      <c r="BT731" s="654"/>
      <c r="BU731" s="654"/>
      <c r="BV731" s="654"/>
      <c r="BW731" s="645" t="s">
        <v>109</v>
      </c>
      <c r="BX731" s="658">
        <f t="shared" si="391"/>
        <v>150</v>
      </c>
      <c r="BY731" s="658">
        <f t="shared" si="392"/>
        <v>180</v>
      </c>
      <c r="BZ731" s="658">
        <f t="shared" si="393"/>
        <v>180</v>
      </c>
      <c r="CA731" s="658">
        <f t="shared" si="394"/>
        <v>150</v>
      </c>
      <c r="CB731" s="644">
        <f t="shared" si="395"/>
        <v>660</v>
      </c>
      <c r="CC731" s="658">
        <f t="shared" si="396"/>
        <v>60</v>
      </c>
      <c r="CD731" s="644">
        <f t="shared" ref="CD731:CD748" si="397">SUM(BX731:CA731)</f>
        <v>660</v>
      </c>
      <c r="CE731" s="644">
        <v>0</v>
      </c>
      <c r="XEN731" s="885"/>
      <c r="XEO731" s="885"/>
      <c r="XEP731" s="885"/>
      <c r="XEQ731" s="885"/>
      <c r="XER731" s="885"/>
      <c r="XES731" s="885"/>
      <c r="XET731" s="885"/>
      <c r="XEU731" s="885"/>
      <c r="XEV731" s="885"/>
      <c r="XEW731" s="885"/>
      <c r="XEX731" s="885"/>
      <c r="XEY731" s="885"/>
      <c r="XEZ731" s="885"/>
      <c r="XFA731" s="885"/>
      <c r="XFB731" s="885"/>
      <c r="XFC731" s="885"/>
      <c r="XFD731" s="885"/>
    </row>
    <row r="732" s="338" customFormat="1" ht="40" customHeight="1" spans="1:84 16322:16384">
      <c r="A732" s="632">
        <v>46150</v>
      </c>
      <c r="B732" s="633" t="s">
        <v>2461</v>
      </c>
      <c r="C732" s="634" t="s">
        <v>826</v>
      </c>
      <c r="D732" s="635">
        <v>4500205650</v>
      </c>
      <c r="E732" s="666">
        <v>6607192050</v>
      </c>
      <c r="F732" s="635" t="s">
        <v>3141</v>
      </c>
      <c r="G732" s="637" t="s">
        <v>111</v>
      </c>
      <c r="H732" s="637" t="s">
        <v>99</v>
      </c>
      <c r="I732" s="909">
        <v>176</v>
      </c>
      <c r="J732" s="638">
        <v>0</v>
      </c>
      <c r="K732" s="639">
        <v>22</v>
      </c>
      <c r="L732" s="639">
        <f t="shared" si="379"/>
        <v>8</v>
      </c>
      <c r="M732" s="641">
        <v>46181</v>
      </c>
      <c r="N732" s="641">
        <v>46177</v>
      </c>
      <c r="O732" s="910" t="s">
        <v>3137</v>
      </c>
      <c r="P732" s="903" t="s">
        <v>100</v>
      </c>
      <c r="Q732" s="911" t="s">
        <v>1316</v>
      </c>
      <c r="R732" s="642" t="s">
        <v>1255</v>
      </c>
      <c r="S732" s="641"/>
      <c r="T732" s="641"/>
      <c r="U732" s="642" t="s">
        <v>2463</v>
      </c>
      <c r="V732" s="642"/>
      <c r="W732" s="645"/>
      <c r="X732" s="647" t="s">
        <v>3142</v>
      </c>
      <c r="Y732" s="646" t="s">
        <v>818</v>
      </c>
      <c r="Z732" s="683">
        <v>2.7592</v>
      </c>
      <c r="AA732" s="650">
        <f t="shared" si="388"/>
        <v>485.6192</v>
      </c>
      <c r="AB732" s="649">
        <v>176</v>
      </c>
      <c r="AC732" s="912">
        <f t="shared" si="382"/>
        <v>0</v>
      </c>
      <c r="AD732" s="906" t="s">
        <v>106</v>
      </c>
      <c r="AE732" s="661" t="s">
        <v>230</v>
      </c>
      <c r="AF732" s="715" t="s">
        <v>107</v>
      </c>
      <c r="AG732" s="881" t="s">
        <v>43</v>
      </c>
      <c r="AH732" s="646"/>
      <c r="AI732" s="699"/>
      <c r="AJ732" s="699"/>
      <c r="AK732" s="699"/>
      <c r="AL732" s="913"/>
      <c r="AM732" s="649"/>
      <c r="AN732" s="699"/>
      <c r="AO732" s="744"/>
      <c r="AP732" s="652">
        <f t="shared" si="390"/>
        <v>176</v>
      </c>
      <c r="AQ732" s="652"/>
      <c r="AR732" s="744"/>
      <c r="AS732" s="744"/>
      <c r="AT732" s="744"/>
      <c r="AU732" s="652">
        <f t="shared" si="389"/>
        <v>176</v>
      </c>
      <c r="AV732" s="652"/>
      <c r="AW732" s="744"/>
      <c r="AX732" s="744"/>
      <c r="AY732" s="652"/>
      <c r="AZ732" s="700"/>
      <c r="BA732" s="700"/>
      <c r="BB732" s="652">
        <f>I732/11</f>
        <v>16</v>
      </c>
      <c r="BC732" s="700"/>
      <c r="BD732" s="700"/>
      <c r="BE732" s="654"/>
      <c r="BF732" s="700"/>
      <c r="BG732" s="914"/>
      <c r="BH732" s="658"/>
      <c r="BI732" s="915"/>
      <c r="BJ732" s="915"/>
      <c r="BK732" s="915"/>
      <c r="BL732" s="644"/>
      <c r="BM732" s="658"/>
      <c r="BN732" s="644"/>
      <c r="BO732" s="644"/>
      <c r="BP732" s="916"/>
      <c r="BQ732" s="654"/>
      <c r="BR732" s="700"/>
      <c r="BS732" s="654"/>
      <c r="BT732" s="654"/>
      <c r="BU732" s="654"/>
      <c r="BV732" s="654"/>
      <c r="BW732" s="645" t="s">
        <v>109</v>
      </c>
      <c r="BX732" s="658">
        <f t="shared" si="391"/>
        <v>40</v>
      </c>
      <c r="BY732" s="658">
        <f t="shared" si="392"/>
        <v>48</v>
      </c>
      <c r="BZ732" s="658">
        <f t="shared" si="393"/>
        <v>48</v>
      </c>
      <c r="CA732" s="658">
        <f t="shared" si="394"/>
        <v>40</v>
      </c>
      <c r="CB732" s="644">
        <f t="shared" si="395"/>
        <v>176</v>
      </c>
      <c r="CC732" s="658">
        <f t="shared" si="396"/>
        <v>16</v>
      </c>
      <c r="CD732" s="644">
        <f t="shared" si="397"/>
        <v>176</v>
      </c>
      <c r="CE732" s="644">
        <v>0</v>
      </c>
      <c r="XEN732" s="885"/>
      <c r="XEO732" s="885"/>
      <c r="XEP732" s="885"/>
      <c r="XEQ732" s="885"/>
      <c r="XER732" s="885"/>
      <c r="XES732" s="885"/>
      <c r="XET732" s="885"/>
      <c r="XEU732" s="885"/>
      <c r="XEV732" s="885"/>
      <c r="XEW732" s="885"/>
      <c r="XEX732" s="885"/>
      <c r="XEY732" s="885"/>
      <c r="XEZ732" s="885"/>
      <c r="XFA732" s="885"/>
      <c r="XFB732" s="885"/>
      <c r="XFC732" s="885"/>
      <c r="XFD732" s="885"/>
    </row>
    <row r="733" s="338" customFormat="1" ht="40" customHeight="1" spans="1:84 16322:16384">
      <c r="A733" s="632">
        <v>46139</v>
      </c>
      <c r="B733" s="633" t="s">
        <v>1888</v>
      </c>
      <c r="C733" s="634" t="s">
        <v>144</v>
      </c>
      <c r="D733" s="635">
        <v>4500204363</v>
      </c>
      <c r="E733" s="666">
        <v>5200009772</v>
      </c>
      <c r="F733" s="635" t="s">
        <v>3143</v>
      </c>
      <c r="G733" s="637" t="s">
        <v>774</v>
      </c>
      <c r="H733" s="637" t="s">
        <v>99</v>
      </c>
      <c r="I733" s="638">
        <v>3608</v>
      </c>
      <c r="J733" s="638">
        <v>0</v>
      </c>
      <c r="K733" s="639">
        <v>11</v>
      </c>
      <c r="L733" s="639">
        <f t="shared" si="379"/>
        <v>328</v>
      </c>
      <c r="M733" s="641">
        <v>46185</v>
      </c>
      <c r="N733" s="641">
        <v>46181</v>
      </c>
      <c r="O733" s="641"/>
      <c r="P733" s="903" t="s">
        <v>100</v>
      </c>
      <c r="Q733" s="643" t="s">
        <v>1208</v>
      </c>
      <c r="R733" s="642" t="s">
        <v>1317</v>
      </c>
      <c r="S733" s="641"/>
      <c r="T733" s="641"/>
      <c r="U733" s="642" t="s">
        <v>3144</v>
      </c>
      <c r="V733" s="642"/>
      <c r="W733" s="645"/>
      <c r="X733" s="647" t="s">
        <v>3145</v>
      </c>
      <c r="Y733" s="646" t="s">
        <v>3076</v>
      </c>
      <c r="Z733" s="683">
        <v>2.7013</v>
      </c>
      <c r="AA733" s="650">
        <f t="shared" si="388"/>
        <v>9746.2904</v>
      </c>
      <c r="AB733" s="649">
        <f>3597+11</f>
        <v>3608</v>
      </c>
      <c r="AC733" s="649">
        <f t="shared" si="382"/>
        <v>0</v>
      </c>
      <c r="AD733" s="906" t="s">
        <v>106</v>
      </c>
      <c r="AE733" s="661" t="s">
        <v>597</v>
      </c>
      <c r="AF733" s="747" t="s">
        <v>107</v>
      </c>
      <c r="AG733" s="881" t="s">
        <v>43</v>
      </c>
      <c r="AH733" s="646"/>
      <c r="AI733" s="693"/>
      <c r="AJ733" s="693"/>
      <c r="AK733" s="693"/>
      <c r="AL733" s="701"/>
      <c r="AM733" s="649"/>
      <c r="AN733" s="693"/>
      <c r="AO733" s="882"/>
      <c r="AP733" s="652">
        <f t="shared" si="390"/>
        <v>3608</v>
      </c>
      <c r="AQ733" s="652"/>
      <c r="AR733" s="882"/>
      <c r="AS733" s="882"/>
      <c r="AT733" s="652"/>
      <c r="AU733" s="652">
        <f t="shared" si="389"/>
        <v>3608</v>
      </c>
      <c r="AV733" s="652"/>
      <c r="AW733" s="882"/>
      <c r="AX733" s="652"/>
      <c r="AY733" s="652"/>
      <c r="AZ733" s="694"/>
      <c r="BA733" s="654"/>
      <c r="BB733" s="652">
        <f>I733/11</f>
        <v>328</v>
      </c>
      <c r="BC733" s="694"/>
      <c r="BD733" s="694"/>
      <c r="BE733" s="654"/>
      <c r="BF733" s="694"/>
      <c r="BG733" s="645"/>
      <c r="BH733" s="658"/>
      <c r="BI733" s="883"/>
      <c r="BJ733" s="883"/>
      <c r="BK733" s="658"/>
      <c r="BL733" s="644"/>
      <c r="BM733" s="658"/>
      <c r="BN733" s="644"/>
      <c r="BO733" s="644"/>
      <c r="BP733" s="884"/>
      <c r="BQ733" s="654"/>
      <c r="BR733" s="694"/>
      <c r="BS733" s="654"/>
      <c r="BT733" s="654"/>
      <c r="BU733" s="654"/>
      <c r="BV733" s="654"/>
      <c r="BW733" s="645" t="s">
        <v>109</v>
      </c>
      <c r="BX733" s="658">
        <f t="shared" si="391"/>
        <v>820</v>
      </c>
      <c r="BY733" s="658">
        <f t="shared" si="392"/>
        <v>984</v>
      </c>
      <c r="BZ733" s="658">
        <f t="shared" si="393"/>
        <v>984</v>
      </c>
      <c r="CA733" s="658">
        <f t="shared" si="394"/>
        <v>820</v>
      </c>
      <c r="CB733" s="644">
        <f t="shared" si="395"/>
        <v>3608</v>
      </c>
      <c r="CC733" s="658">
        <f t="shared" si="396"/>
        <v>328</v>
      </c>
      <c r="CD733" s="644">
        <f t="shared" si="397"/>
        <v>3608</v>
      </c>
      <c r="CE733" s="644">
        <f>I733-CD733</f>
        <v>0</v>
      </c>
      <c r="XEN733" s="885"/>
      <c r="XEO733" s="885"/>
      <c r="XEP733" s="885"/>
      <c r="XEQ733" s="885"/>
      <c r="XER733" s="885"/>
      <c r="XES733" s="885"/>
      <c r="XET733" s="885"/>
      <c r="XEU733" s="885"/>
      <c r="XEV733" s="885"/>
      <c r="XEW733" s="885"/>
      <c r="XEX733" s="885"/>
      <c r="XEY733" s="885"/>
      <c r="XEZ733" s="885"/>
      <c r="XFA733" s="885"/>
      <c r="XFB733" s="885"/>
      <c r="XFC733" s="885"/>
      <c r="XFD733" s="885"/>
    </row>
    <row r="734" s="338" customFormat="1" ht="40" customHeight="1" spans="1:84 16322:16384">
      <c r="A734" s="632">
        <v>46122</v>
      </c>
      <c r="B734" s="633" t="s">
        <v>2065</v>
      </c>
      <c r="C734" s="634" t="s">
        <v>1350</v>
      </c>
      <c r="D734" s="635">
        <v>4500200831</v>
      </c>
      <c r="E734" s="659" t="s">
        <v>3146</v>
      </c>
      <c r="F734" s="635" t="s">
        <v>3147</v>
      </c>
      <c r="G734" s="637" t="s">
        <v>111</v>
      </c>
      <c r="H734" s="637" t="s">
        <v>99</v>
      </c>
      <c r="I734" s="638">
        <v>1540</v>
      </c>
      <c r="J734" s="638">
        <v>0</v>
      </c>
      <c r="K734" s="639">
        <v>22</v>
      </c>
      <c r="L734" s="639">
        <f t="shared" si="379"/>
        <v>70</v>
      </c>
      <c r="M734" s="641">
        <v>46189</v>
      </c>
      <c r="N734" s="641">
        <v>46185</v>
      </c>
      <c r="O734" s="641"/>
      <c r="P734" s="903" t="s">
        <v>100</v>
      </c>
      <c r="Q734" s="643" t="s">
        <v>3148</v>
      </c>
      <c r="R734" s="642" t="s">
        <v>930</v>
      </c>
      <c r="S734" s="641"/>
      <c r="T734" s="641"/>
      <c r="U734" s="642" t="s">
        <v>113</v>
      </c>
      <c r="V734" s="642"/>
      <c r="W734" s="645"/>
      <c r="X734" s="647" t="s">
        <v>3149</v>
      </c>
      <c r="Y734" s="646" t="s">
        <v>2070</v>
      </c>
      <c r="Z734" s="683">
        <v>2.7449</v>
      </c>
      <c r="AA734" s="650">
        <f t="shared" si="388"/>
        <v>4227.146</v>
      </c>
      <c r="AB734" s="649">
        <f>1232+308</f>
        <v>1540</v>
      </c>
      <c r="AC734" s="649">
        <f t="shared" si="382"/>
        <v>0</v>
      </c>
      <c r="AD734" s="642" t="s">
        <v>113</v>
      </c>
      <c r="AE734" s="661" t="s">
        <v>111</v>
      </c>
      <c r="AF734" s="747" t="s">
        <v>107</v>
      </c>
      <c r="AG734" s="881" t="s">
        <v>43</v>
      </c>
      <c r="AH734" s="646"/>
      <c r="AI734" s="699"/>
      <c r="AJ734" s="699"/>
      <c r="AK734" s="699"/>
      <c r="AL734" s="701"/>
      <c r="AM734" s="649">
        <f>I734</f>
        <v>1540</v>
      </c>
      <c r="AN734" s="699"/>
      <c r="AO734" s="744"/>
      <c r="AP734" s="652"/>
      <c r="AQ734" s="652"/>
      <c r="AR734" s="744"/>
      <c r="AS734" s="744"/>
      <c r="AT734" s="652"/>
      <c r="AU734" s="652">
        <f t="shared" si="389"/>
        <v>1540</v>
      </c>
      <c r="AV734" s="652"/>
      <c r="AW734" s="744"/>
      <c r="AX734" s="652"/>
      <c r="AY734" s="652">
        <f>I734/11</f>
        <v>140</v>
      </c>
      <c r="AZ734" s="700"/>
      <c r="BA734" s="654"/>
      <c r="BB734" s="654"/>
      <c r="BC734" s="700"/>
      <c r="BD734" s="700"/>
      <c r="BE734" s="654"/>
      <c r="BF734" s="700"/>
      <c r="BG734" s="645"/>
      <c r="BH734" s="658"/>
      <c r="BI734" s="915"/>
      <c r="BJ734" s="915"/>
      <c r="BK734" s="658"/>
      <c r="BL734" s="644"/>
      <c r="BM734" s="658"/>
      <c r="BN734" s="644"/>
      <c r="BO734" s="644"/>
      <c r="BP734" s="916"/>
      <c r="BQ734" s="654"/>
      <c r="BR734" s="700"/>
      <c r="BS734" s="654"/>
      <c r="BT734" s="654"/>
      <c r="BU734" s="654"/>
      <c r="BV734" s="654"/>
      <c r="BW734" s="645" t="s">
        <v>109</v>
      </c>
      <c r="BX734" s="658">
        <f t="shared" si="391"/>
        <v>350</v>
      </c>
      <c r="BY734" s="658">
        <f t="shared" si="392"/>
        <v>420</v>
      </c>
      <c r="BZ734" s="658">
        <f t="shared" si="393"/>
        <v>420</v>
      </c>
      <c r="CA734" s="658">
        <f t="shared" si="394"/>
        <v>350</v>
      </c>
      <c r="CB734" s="644">
        <f t="shared" si="395"/>
        <v>1540</v>
      </c>
      <c r="CC734" s="658">
        <f t="shared" si="396"/>
        <v>140</v>
      </c>
      <c r="CD734" s="644">
        <f t="shared" si="397"/>
        <v>1540</v>
      </c>
      <c r="CE734" s="644">
        <v>0</v>
      </c>
      <c r="XEN734" s="885"/>
      <c r="XEO734" s="885"/>
      <c r="XEP734" s="885"/>
      <c r="XEQ734" s="885"/>
      <c r="XER734" s="885"/>
      <c r="XES734" s="885"/>
      <c r="XET734" s="885"/>
      <c r="XEU734" s="885"/>
      <c r="XEV734" s="885"/>
      <c r="XEW734" s="885"/>
      <c r="XEX734" s="885"/>
      <c r="XEY734" s="885"/>
      <c r="XEZ734" s="885"/>
      <c r="XFA734" s="885"/>
      <c r="XFB734" s="885"/>
      <c r="XFC734" s="885"/>
      <c r="XFD734" s="885"/>
    </row>
    <row r="735" s="338" customFormat="1" ht="40" customHeight="1" spans="1:84 16322:16384">
      <c r="A735" s="632">
        <v>46129</v>
      </c>
      <c r="B735" s="633" t="s">
        <v>379</v>
      </c>
      <c r="C735" s="634" t="s">
        <v>380</v>
      </c>
      <c r="D735" s="635">
        <v>4500202513</v>
      </c>
      <c r="E735" s="659" t="s">
        <v>3150</v>
      </c>
      <c r="F735" s="635" t="s">
        <v>3151</v>
      </c>
      <c r="G735" s="637" t="s">
        <v>1992</v>
      </c>
      <c r="H735" s="637" t="s">
        <v>1993</v>
      </c>
      <c r="I735" s="638">
        <v>480</v>
      </c>
      <c r="J735" s="638">
        <v>0</v>
      </c>
      <c r="K735" s="639">
        <v>24</v>
      </c>
      <c r="L735" s="639">
        <f t="shared" si="379"/>
        <v>20</v>
      </c>
      <c r="M735" s="641">
        <v>46184</v>
      </c>
      <c r="N735" s="641">
        <v>46181</v>
      </c>
      <c r="O735" s="642" t="s">
        <v>3152</v>
      </c>
      <c r="P735" s="903" t="s">
        <v>100</v>
      </c>
      <c r="Q735" s="643" t="s">
        <v>3153</v>
      </c>
      <c r="R735" s="642" t="s">
        <v>993</v>
      </c>
      <c r="S735" s="641"/>
      <c r="T735" s="641"/>
      <c r="U735" s="642" t="s">
        <v>3154</v>
      </c>
      <c r="V735" s="642" t="s">
        <v>3155</v>
      </c>
      <c r="W735" s="645"/>
      <c r="X735" s="647" t="s">
        <v>3156</v>
      </c>
      <c r="Y735" s="646" t="s">
        <v>596</v>
      </c>
      <c r="Z735" s="683">
        <v>2.6493</v>
      </c>
      <c r="AA735" s="650">
        <f t="shared" si="388"/>
        <v>1271.664</v>
      </c>
      <c r="AB735" s="649">
        <v>480</v>
      </c>
      <c r="AC735" s="649">
        <f t="shared" si="382"/>
        <v>0</v>
      </c>
      <c r="AD735" s="906" t="s">
        <v>106</v>
      </c>
      <c r="AE735" s="637" t="s">
        <v>1992</v>
      </c>
      <c r="AF735" s="747" t="s">
        <v>107</v>
      </c>
      <c r="AG735" s="881" t="s">
        <v>43</v>
      </c>
      <c r="AH735" s="646"/>
      <c r="AI735" s="693"/>
      <c r="AJ735" s="693"/>
      <c r="AK735" s="693"/>
      <c r="AL735" s="701"/>
      <c r="AM735" s="649"/>
      <c r="AN735" s="693"/>
      <c r="AO735" s="882"/>
      <c r="AP735" s="652">
        <f>I735</f>
        <v>480</v>
      </c>
      <c r="AQ735" s="652"/>
      <c r="AR735" s="882"/>
      <c r="AS735" s="882"/>
      <c r="AT735" s="652"/>
      <c r="AU735" s="652">
        <f t="shared" si="389"/>
        <v>480</v>
      </c>
      <c r="AV735" s="652"/>
      <c r="AW735" s="882"/>
      <c r="AX735" s="652"/>
      <c r="AY735" s="652"/>
      <c r="AZ735" s="694"/>
      <c r="BA735" s="654"/>
      <c r="BB735" s="654"/>
      <c r="BC735" s="694"/>
      <c r="BD735" s="694"/>
      <c r="BE735" s="654"/>
      <c r="BF735" s="694"/>
      <c r="BG735" s="645"/>
      <c r="BH735" s="658"/>
      <c r="BI735" s="883"/>
      <c r="BJ735" s="883"/>
      <c r="BK735" s="658"/>
      <c r="BL735" s="644"/>
      <c r="BM735" s="658"/>
      <c r="BN735" s="644"/>
      <c r="BO735" s="644"/>
      <c r="BP735" s="884"/>
      <c r="BQ735" s="654"/>
      <c r="BR735" s="694"/>
      <c r="BS735" s="654"/>
      <c r="BT735" s="654"/>
      <c r="BU735" s="654"/>
      <c r="BV735" s="654"/>
      <c r="BW735" s="645" t="s">
        <v>109</v>
      </c>
      <c r="BX735" s="658"/>
      <c r="BY735" s="658"/>
      <c r="BZ735" s="658"/>
      <c r="CA735" s="658">
        <f>I735</f>
        <v>480</v>
      </c>
      <c r="CB735" s="644"/>
      <c r="CC735" s="658"/>
      <c r="CD735" s="644">
        <f t="shared" si="397"/>
        <v>480</v>
      </c>
      <c r="CE735" s="644">
        <f>I735-CD735</f>
        <v>0</v>
      </c>
      <c r="CF735" s="917"/>
      <c r="XEN735" s="885"/>
      <c r="XEO735" s="885"/>
      <c r="XEP735" s="885"/>
      <c r="XEQ735" s="885"/>
      <c r="XER735" s="885"/>
      <c r="XES735" s="885"/>
      <c r="XET735" s="885"/>
      <c r="XEU735" s="885"/>
      <c r="XEV735" s="885"/>
      <c r="XEW735" s="885"/>
      <c r="XEX735" s="885"/>
      <c r="XEY735" s="885"/>
      <c r="XEZ735" s="885"/>
      <c r="XFA735" s="885"/>
      <c r="XFB735" s="885"/>
      <c r="XFC735" s="885"/>
      <c r="XFD735" s="885"/>
    </row>
    <row r="736" s="338" customFormat="1" ht="40" customHeight="1" spans="1:84 16322:16384">
      <c r="A736" s="632">
        <v>46150</v>
      </c>
      <c r="B736" s="633" t="s">
        <v>3157</v>
      </c>
      <c r="C736" s="634" t="s">
        <v>214</v>
      </c>
      <c r="D736" s="635">
        <v>4500205714</v>
      </c>
      <c r="E736" s="666">
        <v>36738</v>
      </c>
      <c r="F736" s="635" t="s">
        <v>3158</v>
      </c>
      <c r="G736" s="637" t="s">
        <v>111</v>
      </c>
      <c r="H736" s="637" t="s">
        <v>99</v>
      </c>
      <c r="I736" s="638">
        <v>660</v>
      </c>
      <c r="J736" s="638">
        <v>0</v>
      </c>
      <c r="K736" s="639">
        <v>22</v>
      </c>
      <c r="L736" s="639">
        <f t="shared" si="379"/>
        <v>30</v>
      </c>
      <c r="M736" s="641">
        <v>46188</v>
      </c>
      <c r="N736" s="641">
        <v>46184</v>
      </c>
      <c r="O736" s="641"/>
      <c r="P736" s="903" t="s">
        <v>100</v>
      </c>
      <c r="Q736" s="643" t="s">
        <v>1371</v>
      </c>
      <c r="R736" s="642" t="s">
        <v>3159</v>
      </c>
      <c r="S736" s="641"/>
      <c r="T736" s="641"/>
      <c r="U736" s="642" t="s">
        <v>113</v>
      </c>
      <c r="V736" s="642"/>
      <c r="W736" s="645"/>
      <c r="X736" s="647" t="s">
        <v>3160</v>
      </c>
      <c r="Y736" s="646" t="s">
        <v>3161</v>
      </c>
      <c r="Z736" s="683">
        <v>1.6555</v>
      </c>
      <c r="AA736" s="650">
        <f t="shared" si="388"/>
        <v>1092.63</v>
      </c>
      <c r="AB736" s="649">
        <v>660</v>
      </c>
      <c r="AC736" s="649">
        <f t="shared" si="382"/>
        <v>0</v>
      </c>
      <c r="AD736" s="642" t="s">
        <v>113</v>
      </c>
      <c r="AE736" s="661" t="s">
        <v>111</v>
      </c>
      <c r="AF736" s="747" t="s">
        <v>107</v>
      </c>
      <c r="AG736" s="881" t="s">
        <v>43</v>
      </c>
      <c r="AH736" s="646"/>
      <c r="AI736" s="701"/>
      <c r="AJ736" s="649"/>
      <c r="AK736" s="652"/>
      <c r="AL736" s="652"/>
      <c r="AM736" s="652">
        <f>I736</f>
        <v>660</v>
      </c>
      <c r="AN736" s="652"/>
      <c r="AO736" s="652"/>
      <c r="AP736" s="652"/>
      <c r="AQ736" s="652"/>
      <c r="AR736" s="654"/>
      <c r="AS736" s="654"/>
      <c r="AT736" s="654"/>
      <c r="AU736" s="652">
        <f t="shared" si="389"/>
        <v>660</v>
      </c>
      <c r="AV736" s="644"/>
      <c r="AW736" s="658"/>
      <c r="AX736" s="644"/>
      <c r="AY736" s="644">
        <f>I736/11</f>
        <v>60</v>
      </c>
      <c r="AZ736" s="654"/>
      <c r="BA736" s="654"/>
      <c r="BB736" s="654"/>
      <c r="BC736" s="654"/>
      <c r="BD736" s="654"/>
      <c r="BE736" s="645"/>
      <c r="BF736" s="658"/>
      <c r="BG736" s="658"/>
      <c r="BH736" s="658"/>
      <c r="BI736" s="658"/>
      <c r="BJ736" s="644"/>
      <c r="BK736" s="658"/>
      <c r="BL736" s="644"/>
      <c r="BM736" s="644"/>
      <c r="BN736" s="887"/>
      <c r="BO736" s="887"/>
      <c r="BP736" s="918"/>
      <c r="BQ736" s="887"/>
      <c r="BR736" s="918"/>
      <c r="BS736" s="887"/>
      <c r="BT736" s="887"/>
      <c r="BU736" s="887"/>
      <c r="BV736" s="887"/>
      <c r="BW736" s="645" t="s">
        <v>109</v>
      </c>
      <c r="BX736" s="747">
        <f t="shared" ref="BX736:BX748" si="398">I736/22*5</f>
        <v>150</v>
      </c>
      <c r="BY736" s="747">
        <f t="shared" ref="BY736:BY748" si="399">I736/22*6</f>
        <v>180</v>
      </c>
      <c r="BZ736" s="747">
        <f t="shared" ref="BZ736:BZ748" si="400">I736/22*6</f>
        <v>180</v>
      </c>
      <c r="CA736" s="747">
        <f t="shared" ref="CA736:CA748" si="401">I736/22*5</f>
        <v>150</v>
      </c>
      <c r="CB736" s="747">
        <f t="shared" ref="CB736:CB748" si="402">I736</f>
        <v>660</v>
      </c>
      <c r="CC736" s="747">
        <f t="shared" ref="CC736:CC748" si="403">I736/11</f>
        <v>60</v>
      </c>
      <c r="CD736" s="747">
        <f t="shared" si="397"/>
        <v>660</v>
      </c>
      <c r="CE736" s="747">
        <v>0</v>
      </c>
      <c r="CF736" s="917"/>
      <c r="XDV736" s="885"/>
      <c r="XDW736" s="885"/>
      <c r="XDX736" s="885"/>
      <c r="XDY736" s="885"/>
      <c r="XDZ736" s="885"/>
      <c r="XEA736" s="885"/>
      <c r="XEB736" s="885"/>
      <c r="XEC736" s="885"/>
      <c r="XED736" s="885"/>
      <c r="XEE736" s="885"/>
      <c r="XEF736" s="885"/>
      <c r="XEG736" s="885"/>
      <c r="XEH736" s="885"/>
      <c r="XEI736" s="885"/>
      <c r="XEJ736" s="885"/>
      <c r="XEK736" s="885"/>
      <c r="XEL736" s="885"/>
      <c r="XEM736" s="885"/>
      <c r="XEN736" s="888"/>
      <c r="XEO736" s="889"/>
      <c r="XEP736" s="890"/>
      <c r="XEQ736" s="891"/>
      <c r="XER736" s="892"/>
      <c r="XES736" s="891"/>
      <c r="XET736" s="893"/>
      <c r="XEU736" s="893"/>
      <c r="XEV736" s="894"/>
      <c r="XEW736" s="894"/>
      <c r="XEX736" s="895"/>
      <c r="XEY736" s="895"/>
      <c r="XEZ736" s="896"/>
      <c r="XFA736" s="896"/>
      <c r="XFB736" s="896"/>
      <c r="XFC736" s="902"/>
      <c r="XFD736" s="902"/>
    </row>
    <row r="737" s="338" customFormat="1" ht="40" customHeight="1" spans="1:84 16332:16384">
      <c r="A737" s="632">
        <v>46154</v>
      </c>
      <c r="B737" s="633" t="s">
        <v>1857</v>
      </c>
      <c r="C737" s="634" t="s">
        <v>144</v>
      </c>
      <c r="D737" s="635">
        <v>4500206793</v>
      </c>
      <c r="E737" s="666">
        <v>4400566538</v>
      </c>
      <c r="F737" s="635" t="s">
        <v>3162</v>
      </c>
      <c r="G737" s="637" t="s">
        <v>111</v>
      </c>
      <c r="H737" s="637" t="s">
        <v>99</v>
      </c>
      <c r="I737" s="638">
        <v>770</v>
      </c>
      <c r="J737" s="638">
        <v>0</v>
      </c>
      <c r="K737" s="639">
        <v>22</v>
      </c>
      <c r="L737" s="639">
        <f t="shared" si="379"/>
        <v>35</v>
      </c>
      <c r="M737" s="641">
        <v>46190</v>
      </c>
      <c r="N737" s="641">
        <v>46186</v>
      </c>
      <c r="O737" s="641"/>
      <c r="P737" s="903" t="s">
        <v>100</v>
      </c>
      <c r="Q737" s="643" t="s">
        <v>3163</v>
      </c>
      <c r="R737" s="642" t="s">
        <v>3164</v>
      </c>
      <c r="S737" s="641"/>
      <c r="T737" s="641"/>
      <c r="U737" s="642" t="s">
        <v>3165</v>
      </c>
      <c r="V737" s="642"/>
      <c r="W737" s="645"/>
      <c r="X737" s="647" t="s">
        <v>3166</v>
      </c>
      <c r="Y737" s="646" t="s">
        <v>3167</v>
      </c>
      <c r="Z737" s="683">
        <v>2.7947</v>
      </c>
      <c r="AA737" s="650">
        <f t="shared" si="388"/>
        <v>2151.919</v>
      </c>
      <c r="AB737" s="649">
        <f>748+22</f>
        <v>770</v>
      </c>
      <c r="AC737" s="649">
        <f t="shared" si="382"/>
        <v>0</v>
      </c>
      <c r="AD737" s="650" t="s">
        <v>106</v>
      </c>
      <c r="AE737" s="661" t="s">
        <v>230</v>
      </c>
      <c r="AF737" s="747" t="s">
        <v>107</v>
      </c>
      <c r="AG737" s="881" t="s">
        <v>43</v>
      </c>
      <c r="AH737" s="646"/>
      <c r="AI737" s="913"/>
      <c r="AJ737" s="699"/>
      <c r="AK737" s="744"/>
      <c r="AL737" s="652"/>
      <c r="AM737" s="652"/>
      <c r="AN737" s="744"/>
      <c r="AO737" s="744"/>
      <c r="AP737" s="652">
        <f t="shared" ref="AP737:AP743" si="404">I737</f>
        <v>770</v>
      </c>
      <c r="AQ737" s="652"/>
      <c r="AR737" s="700"/>
      <c r="AS737" s="700"/>
      <c r="AT737" s="654"/>
      <c r="AU737" s="658">
        <f t="shared" si="389"/>
        <v>770</v>
      </c>
      <c r="AV737" s="644"/>
      <c r="AW737" s="915"/>
      <c r="AX737" s="644"/>
      <c r="AY737" s="644"/>
      <c r="AZ737" s="700"/>
      <c r="BA737" s="654"/>
      <c r="BB737" s="652">
        <f t="shared" ref="BB737:BB743" si="405">I737/11</f>
        <v>70</v>
      </c>
      <c r="BC737" s="700"/>
      <c r="BD737" s="700"/>
      <c r="BE737" s="645"/>
      <c r="BF737" s="915"/>
      <c r="BG737" s="915"/>
      <c r="BH737" s="658"/>
      <c r="BI737" s="915"/>
      <c r="BJ737" s="919"/>
      <c r="BK737" s="915"/>
      <c r="BL737" s="644"/>
      <c r="BM737" s="644"/>
      <c r="BN737" s="887"/>
      <c r="BO737" s="887"/>
      <c r="BP737" s="920"/>
      <c r="BQ737" s="887"/>
      <c r="BR737" s="920"/>
      <c r="BS737" s="887"/>
      <c r="BT737" s="887"/>
      <c r="BU737" s="887"/>
      <c r="BV737" s="887"/>
      <c r="BW737" s="645" t="s">
        <v>109</v>
      </c>
      <c r="BX737" s="747">
        <f t="shared" si="398"/>
        <v>175</v>
      </c>
      <c r="BY737" s="747">
        <f t="shared" si="399"/>
        <v>210</v>
      </c>
      <c r="BZ737" s="747">
        <f t="shared" si="400"/>
        <v>210</v>
      </c>
      <c r="CA737" s="747">
        <f t="shared" si="401"/>
        <v>175</v>
      </c>
      <c r="CB737" s="747">
        <f t="shared" si="402"/>
        <v>770</v>
      </c>
      <c r="CC737" s="747">
        <f t="shared" si="403"/>
        <v>70</v>
      </c>
      <c r="CD737" s="747">
        <f t="shared" si="397"/>
        <v>770</v>
      </c>
      <c r="CE737" s="747">
        <v>0</v>
      </c>
      <c r="CF737" s="917"/>
      <c r="XDV737" s="885"/>
      <c r="XDW737" s="885"/>
      <c r="XDX737" s="885"/>
      <c r="XDY737" s="885"/>
      <c r="XDZ737" s="885"/>
      <c r="XEA737" s="885"/>
      <c r="XEB737" s="885"/>
      <c r="XEC737" s="885"/>
      <c r="XED737" s="885"/>
      <c r="XEE737" s="885"/>
      <c r="XEF737" s="885"/>
      <c r="XEG737" s="885"/>
      <c r="XEH737" s="885"/>
      <c r="XEI737" s="885"/>
      <c r="XEJ737" s="885"/>
      <c r="XEK737" s="885"/>
      <c r="XEL737" s="885"/>
      <c r="XEM737" s="885"/>
      <c r="XEN737" s="888"/>
      <c r="XEO737" s="889"/>
      <c r="XEP737" s="890"/>
      <c r="XEQ737" s="891"/>
      <c r="XER737" s="892"/>
      <c r="XES737" s="891"/>
      <c r="XET737" s="893"/>
      <c r="XEU737" s="893"/>
      <c r="XEV737" s="894"/>
      <c r="XEW737" s="894"/>
      <c r="XEX737" s="895"/>
      <c r="XEY737" s="895"/>
      <c r="XEZ737" s="896"/>
      <c r="XFA737" s="896"/>
      <c r="XFB737" s="896"/>
      <c r="XFC737" s="902"/>
      <c r="XFD737" s="902"/>
    </row>
    <row r="738" s="338" customFormat="1" ht="40" customHeight="1" spans="1:84 16332:16384">
      <c r="A738" s="632">
        <v>46154</v>
      </c>
      <c r="B738" s="633" t="s">
        <v>1857</v>
      </c>
      <c r="C738" s="634" t="s">
        <v>144</v>
      </c>
      <c r="D738" s="635">
        <v>4500206793</v>
      </c>
      <c r="E738" s="666">
        <v>4400566539</v>
      </c>
      <c r="F738" s="635" t="s">
        <v>3168</v>
      </c>
      <c r="G738" s="637" t="s">
        <v>111</v>
      </c>
      <c r="H738" s="637" t="s">
        <v>99</v>
      </c>
      <c r="I738" s="638">
        <v>638</v>
      </c>
      <c r="J738" s="638">
        <v>0</v>
      </c>
      <c r="K738" s="639">
        <v>22</v>
      </c>
      <c r="L738" s="639">
        <f t="shared" si="379"/>
        <v>29</v>
      </c>
      <c r="M738" s="641">
        <v>46190</v>
      </c>
      <c r="N738" s="641">
        <v>46186</v>
      </c>
      <c r="O738" s="641"/>
      <c r="P738" s="903" t="s">
        <v>100</v>
      </c>
      <c r="Q738" s="643"/>
      <c r="R738" s="642" t="s">
        <v>3164</v>
      </c>
      <c r="S738" s="641"/>
      <c r="T738" s="641"/>
      <c r="U738" s="642" t="s">
        <v>3165</v>
      </c>
      <c r="V738" s="642"/>
      <c r="W738" s="645"/>
      <c r="X738" s="647" t="s">
        <v>3166</v>
      </c>
      <c r="Y738" s="646" t="s">
        <v>3167</v>
      </c>
      <c r="Z738" s="683">
        <v>2.7947</v>
      </c>
      <c r="AA738" s="650">
        <f t="shared" si="388"/>
        <v>1783.0186</v>
      </c>
      <c r="AB738" s="649">
        <v>638</v>
      </c>
      <c r="AC738" s="649">
        <f t="shared" si="382"/>
        <v>0</v>
      </c>
      <c r="AD738" s="650" t="s">
        <v>106</v>
      </c>
      <c r="AE738" s="661" t="s">
        <v>230</v>
      </c>
      <c r="AF738" s="747" t="s">
        <v>107</v>
      </c>
      <c r="AG738" s="881" t="s">
        <v>43</v>
      </c>
      <c r="AH738" s="646"/>
      <c r="AI738" s="744"/>
      <c r="AJ738" s="744"/>
      <c r="AK738" s="744"/>
      <c r="AL738" s="652"/>
      <c r="AM738" s="654"/>
      <c r="AN738" s="915"/>
      <c r="AO738" s="919"/>
      <c r="AP738" s="652">
        <f t="shared" si="404"/>
        <v>638</v>
      </c>
      <c r="AQ738" s="644"/>
      <c r="AR738" s="700"/>
      <c r="AS738" s="700"/>
      <c r="AT738" s="645"/>
      <c r="AU738" s="658">
        <f t="shared" si="389"/>
        <v>638</v>
      </c>
      <c r="AV738" s="644"/>
      <c r="AW738" s="919"/>
      <c r="AX738" s="887"/>
      <c r="AY738" s="887"/>
      <c r="AZ738" s="920"/>
      <c r="BA738" s="887"/>
      <c r="BB738" s="652">
        <f t="shared" si="405"/>
        <v>58</v>
      </c>
      <c r="BC738" s="920"/>
      <c r="BD738" s="920"/>
      <c r="BE738" s="887"/>
      <c r="BF738" s="920"/>
      <c r="BG738" s="920"/>
      <c r="BH738" s="887"/>
      <c r="BI738" s="920"/>
      <c r="BJ738" s="920"/>
      <c r="BK738" s="920"/>
      <c r="BL738" s="887"/>
      <c r="BM738" s="887"/>
      <c r="BN738" s="887"/>
      <c r="BO738" s="887"/>
      <c r="BP738" s="920"/>
      <c r="BQ738" s="887"/>
      <c r="BR738" s="920"/>
      <c r="BS738" s="887"/>
      <c r="BT738" s="887"/>
      <c r="BU738" s="887"/>
      <c r="BV738" s="887"/>
      <c r="BW738" s="645" t="s">
        <v>109</v>
      </c>
      <c r="BX738" s="747">
        <f t="shared" si="398"/>
        <v>145</v>
      </c>
      <c r="BY738" s="747">
        <f t="shared" si="399"/>
        <v>174</v>
      </c>
      <c r="BZ738" s="747">
        <f t="shared" si="400"/>
        <v>174</v>
      </c>
      <c r="CA738" s="747">
        <f t="shared" si="401"/>
        <v>145</v>
      </c>
      <c r="CB738" s="747">
        <f t="shared" si="402"/>
        <v>638</v>
      </c>
      <c r="CC738" s="747">
        <f t="shared" si="403"/>
        <v>58</v>
      </c>
      <c r="CD738" s="747">
        <f t="shared" si="397"/>
        <v>638</v>
      </c>
      <c r="CE738" s="747">
        <v>0</v>
      </c>
      <c r="CF738" s="917"/>
      <c r="XDD738" s="885"/>
      <c r="XDE738" s="885"/>
      <c r="XDF738" s="885"/>
      <c r="XDG738" s="885"/>
      <c r="XDH738" s="885"/>
      <c r="XDI738" s="885"/>
      <c r="XDJ738" s="885"/>
      <c r="XDK738" s="885"/>
      <c r="XDL738" s="885"/>
      <c r="XDM738" s="885"/>
      <c r="XDN738" s="885"/>
      <c r="XDO738" s="885"/>
      <c r="XDP738" s="885"/>
      <c r="XDQ738" s="885"/>
      <c r="XDR738" s="885"/>
      <c r="XDS738" s="885"/>
      <c r="XDT738" s="885"/>
      <c r="XDU738" s="885"/>
      <c r="XDV738" s="888"/>
      <c r="XDW738" s="889"/>
      <c r="XDX738" s="890"/>
      <c r="XDY738" s="891"/>
      <c r="XDZ738" s="892"/>
      <c r="XEA738" s="891"/>
      <c r="XEB738" s="893"/>
      <c r="XEC738" s="893"/>
      <c r="XED738" s="894"/>
      <c r="XEE738" s="894"/>
      <c r="XEF738" s="895"/>
      <c r="XEG738" s="895"/>
      <c r="XEH738" s="896"/>
      <c r="XEI738" s="896"/>
      <c r="XEJ738" s="896"/>
      <c r="XEK738" s="902"/>
      <c r="XEL738" s="902"/>
      <c r="XEM738" s="902"/>
      <c r="XEN738" s="888"/>
      <c r="XEO738" s="889"/>
      <c r="XEP738" s="890"/>
      <c r="XEQ738" s="891"/>
      <c r="XER738" s="892"/>
      <c r="XES738" s="891"/>
      <c r="XET738" s="893"/>
      <c r="XEU738" s="893"/>
      <c r="XEV738" s="894"/>
      <c r="XEW738" s="894"/>
      <c r="XEX738" s="895"/>
      <c r="XEY738" s="895"/>
      <c r="XEZ738" s="896"/>
      <c r="XFA738" s="896"/>
      <c r="XFB738" s="896"/>
      <c r="XFC738" s="902"/>
      <c r="XFD738" s="902"/>
    </row>
    <row r="739" s="338" customFormat="1" ht="40" customHeight="1" spans="1:84 16332:16384">
      <c r="A739" s="632">
        <v>46133</v>
      </c>
      <c r="B739" s="633" t="s">
        <v>3169</v>
      </c>
      <c r="C739" s="634" t="s">
        <v>590</v>
      </c>
      <c r="D739" s="635">
        <v>4500202539</v>
      </c>
      <c r="E739" s="666">
        <v>308701</v>
      </c>
      <c r="F739" s="635" t="s">
        <v>3170</v>
      </c>
      <c r="G739" s="637" t="s">
        <v>241</v>
      </c>
      <c r="H739" s="637" t="s">
        <v>99</v>
      </c>
      <c r="I739" s="638">
        <v>418</v>
      </c>
      <c r="J739" s="638">
        <v>0</v>
      </c>
      <c r="K739" s="639">
        <v>11</v>
      </c>
      <c r="L739" s="639">
        <f t="shared" si="379"/>
        <v>38</v>
      </c>
      <c r="M739" s="641">
        <v>46191</v>
      </c>
      <c r="N739" s="641">
        <v>46188</v>
      </c>
      <c r="O739" s="641"/>
      <c r="P739" s="903" t="s">
        <v>100</v>
      </c>
      <c r="Q739" s="643" t="s">
        <v>3171</v>
      </c>
      <c r="R739" s="642" t="s">
        <v>3172</v>
      </c>
      <c r="S739" s="641"/>
      <c r="T739" s="641"/>
      <c r="U739" s="642" t="s">
        <v>2901</v>
      </c>
      <c r="V739" s="642"/>
      <c r="W739" s="645"/>
      <c r="X739" s="647" t="s">
        <v>3173</v>
      </c>
      <c r="Y739" s="646" t="s">
        <v>1029</v>
      </c>
      <c r="Z739" s="683">
        <v>2.7894</v>
      </c>
      <c r="AA739" s="650">
        <v>1841.004</v>
      </c>
      <c r="AB739" s="649">
        <v>418</v>
      </c>
      <c r="AC739" s="649">
        <f t="shared" si="382"/>
        <v>0</v>
      </c>
      <c r="AD739" s="921" t="s">
        <v>106</v>
      </c>
      <c r="AE739" s="637" t="s">
        <v>597</v>
      </c>
      <c r="AF739" s="747" t="s">
        <v>107</v>
      </c>
      <c r="AG739" s="881" t="s">
        <v>43</v>
      </c>
      <c r="AH739" s="646"/>
      <c r="AI739" s="701"/>
      <c r="AJ739" s="649"/>
      <c r="AK739" s="652"/>
      <c r="AL739" s="652"/>
      <c r="AM739" s="652"/>
      <c r="AN739" s="652"/>
      <c r="AO739" s="652"/>
      <c r="AP739" s="652">
        <f t="shared" si="404"/>
        <v>418</v>
      </c>
      <c r="AQ739" s="652"/>
      <c r="AR739" s="654"/>
      <c r="AS739" s="654"/>
      <c r="AT739" s="654"/>
      <c r="AU739" s="652"/>
      <c r="AV739" s="658">
        <f>I739</f>
        <v>418</v>
      </c>
      <c r="AW739" s="658"/>
      <c r="AX739" s="644"/>
      <c r="AY739" s="658"/>
      <c r="AZ739" s="644"/>
      <c r="BA739" s="644"/>
      <c r="BB739" s="652">
        <f t="shared" si="405"/>
        <v>38</v>
      </c>
      <c r="BC739" s="654"/>
      <c r="BD739" s="654"/>
      <c r="BE739" s="654"/>
      <c r="BF739" s="654"/>
      <c r="BG739" s="645"/>
      <c r="BH739" s="658"/>
      <c r="BI739" s="658"/>
      <c r="BJ739" s="658"/>
      <c r="BK739" s="658"/>
      <c r="BL739" s="644"/>
      <c r="BM739" s="658"/>
      <c r="BN739" s="644"/>
      <c r="BO739" s="644"/>
      <c r="BP739" s="887"/>
      <c r="BQ739" s="747"/>
      <c r="BR739" s="887"/>
      <c r="BS739" s="747"/>
      <c r="BT739" s="747"/>
      <c r="BU739" s="747"/>
      <c r="BV739" s="747"/>
      <c r="BW739" s="645" t="s">
        <v>109</v>
      </c>
      <c r="BX739" s="646">
        <f t="shared" si="398"/>
        <v>95</v>
      </c>
      <c r="BY739" s="646">
        <f t="shared" si="399"/>
        <v>114</v>
      </c>
      <c r="BZ739" s="646">
        <f t="shared" si="400"/>
        <v>114</v>
      </c>
      <c r="CA739" s="646">
        <f t="shared" si="401"/>
        <v>95</v>
      </c>
      <c r="CB739" s="646">
        <f t="shared" si="402"/>
        <v>418</v>
      </c>
      <c r="CC739" s="646">
        <f t="shared" si="403"/>
        <v>38</v>
      </c>
      <c r="CD739" s="646">
        <f t="shared" si="397"/>
        <v>418</v>
      </c>
      <c r="CE739" s="646">
        <f>I739-CD739</f>
        <v>0</v>
      </c>
      <c r="CF739" s="917"/>
      <c r="XEN739" s="885"/>
      <c r="XEO739" s="885"/>
      <c r="XEP739" s="888"/>
      <c r="XEQ739" s="889"/>
      <c r="XER739" s="890"/>
      <c r="XES739" s="891"/>
      <c r="XET739" s="892"/>
      <c r="XEU739" s="891"/>
      <c r="XEV739" s="893"/>
      <c r="XEW739" s="893"/>
      <c r="XEX739" s="894"/>
      <c r="XEY739" s="894"/>
      <c r="XEZ739" s="895"/>
      <c r="XFA739" s="895"/>
      <c r="XFB739" s="896"/>
      <c r="XFC739" s="896"/>
      <c r="XFD739" s="896"/>
    </row>
    <row r="740" s="338" customFormat="1" ht="40" customHeight="1" spans="1:84 16332:16384">
      <c r="A740" s="632">
        <v>46136</v>
      </c>
      <c r="B740" s="633" t="s">
        <v>1763</v>
      </c>
      <c r="C740" s="634" t="s">
        <v>617</v>
      </c>
      <c r="D740" s="635">
        <v>4500204025</v>
      </c>
      <c r="E740" s="666">
        <v>4400563555</v>
      </c>
      <c r="F740" s="635" t="s">
        <v>3174</v>
      </c>
      <c r="G740" s="637" t="s">
        <v>111</v>
      </c>
      <c r="H740" s="637" t="s">
        <v>99</v>
      </c>
      <c r="I740" s="638">
        <v>902</v>
      </c>
      <c r="J740" s="638">
        <v>0</v>
      </c>
      <c r="K740" s="639">
        <v>22</v>
      </c>
      <c r="L740" s="639">
        <f t="shared" si="379"/>
        <v>41</v>
      </c>
      <c r="M740" s="641">
        <v>46195</v>
      </c>
      <c r="N740" s="641">
        <v>46191</v>
      </c>
      <c r="O740" s="641"/>
      <c r="P740" s="903" t="s">
        <v>100</v>
      </c>
      <c r="Q740" s="643"/>
      <c r="R740" s="642" t="s">
        <v>3175</v>
      </c>
      <c r="S740" s="641"/>
      <c r="T740" s="641"/>
      <c r="U740" s="642" t="s">
        <v>3005</v>
      </c>
      <c r="V740" s="642"/>
      <c r="W740" s="645"/>
      <c r="X740" s="647" t="s">
        <v>3176</v>
      </c>
      <c r="Y740" s="646" t="s">
        <v>1864</v>
      </c>
      <c r="Z740" s="683">
        <v>2.7947</v>
      </c>
      <c r="AA740" s="650">
        <f t="shared" ref="AA740:AA758" si="406">I740*Z740</f>
        <v>2520.8194</v>
      </c>
      <c r="AB740" s="649">
        <v>902</v>
      </c>
      <c r="AC740" s="649">
        <f t="shared" si="382"/>
        <v>0</v>
      </c>
      <c r="AD740" s="906" t="s">
        <v>113</v>
      </c>
      <c r="AE740" s="661" t="s">
        <v>230</v>
      </c>
      <c r="AF740" s="747" t="s">
        <v>107</v>
      </c>
      <c r="AG740" s="881" t="s">
        <v>43</v>
      </c>
      <c r="AH740" s="646"/>
      <c r="AI740" s="693"/>
      <c r="AJ740" s="693"/>
      <c r="AK740" s="693"/>
      <c r="AL740" s="701"/>
      <c r="AM740" s="649"/>
      <c r="AN740" s="693"/>
      <c r="AO740" s="882"/>
      <c r="AP740" s="652">
        <f t="shared" si="404"/>
        <v>902</v>
      </c>
      <c r="AQ740" s="652"/>
      <c r="AR740" s="882"/>
      <c r="AS740" s="882"/>
      <c r="AT740" s="652"/>
      <c r="AU740" s="652">
        <f t="shared" ref="AU740:AU749" si="407">I740</f>
        <v>902</v>
      </c>
      <c r="AV740" s="652"/>
      <c r="AW740" s="882"/>
      <c r="AX740" s="652"/>
      <c r="AY740" s="652"/>
      <c r="AZ740" s="694"/>
      <c r="BA740" s="654"/>
      <c r="BB740" s="652">
        <f t="shared" si="405"/>
        <v>82</v>
      </c>
      <c r="BC740" s="694"/>
      <c r="BD740" s="694"/>
      <c r="BE740" s="654"/>
      <c r="BF740" s="694"/>
      <c r="BG740" s="645"/>
      <c r="BH740" s="658"/>
      <c r="BI740" s="883"/>
      <c r="BJ740" s="883"/>
      <c r="BK740" s="658"/>
      <c r="BL740" s="644"/>
      <c r="BM740" s="658"/>
      <c r="BN740" s="644"/>
      <c r="BO740" s="644"/>
      <c r="BP740" s="884"/>
      <c r="BQ740" s="654"/>
      <c r="BR740" s="694"/>
      <c r="BS740" s="654"/>
      <c r="BT740" s="654"/>
      <c r="BU740" s="654"/>
      <c r="BV740" s="654"/>
      <c r="BW740" s="645" t="s">
        <v>109</v>
      </c>
      <c r="BX740" s="658">
        <f t="shared" si="398"/>
        <v>205</v>
      </c>
      <c r="BY740" s="658">
        <f t="shared" si="399"/>
        <v>246</v>
      </c>
      <c r="BZ740" s="658">
        <f t="shared" si="400"/>
        <v>246</v>
      </c>
      <c r="CA740" s="658">
        <f t="shared" si="401"/>
        <v>205</v>
      </c>
      <c r="CB740" s="644">
        <f t="shared" si="402"/>
        <v>902</v>
      </c>
      <c r="CC740" s="658">
        <f t="shared" si="403"/>
        <v>82</v>
      </c>
      <c r="CD740" s="644">
        <f t="shared" si="397"/>
        <v>902</v>
      </c>
      <c r="CE740" s="644">
        <v>0</v>
      </c>
      <c r="CF740" s="917"/>
      <c r="XEN740" s="885"/>
      <c r="XEO740" s="885"/>
      <c r="XEP740" s="885"/>
      <c r="XEQ740" s="885"/>
      <c r="XER740" s="885"/>
      <c r="XES740" s="885"/>
      <c r="XET740" s="885"/>
      <c r="XEU740" s="885"/>
      <c r="XEV740" s="885"/>
      <c r="XEW740" s="885"/>
      <c r="XEX740" s="885"/>
      <c r="XEY740" s="885"/>
      <c r="XEZ740" s="885"/>
      <c r="XFA740" s="885"/>
      <c r="XFB740" s="885"/>
      <c r="XFC740" s="885"/>
      <c r="XFD740" s="885"/>
    </row>
    <row r="741" s="338" customFormat="1" ht="40" customHeight="1" spans="1:84 16332:16384">
      <c r="A741" s="632">
        <v>46115</v>
      </c>
      <c r="B741" s="633" t="s">
        <v>1474</v>
      </c>
      <c r="C741" s="634" t="s">
        <v>129</v>
      </c>
      <c r="D741" s="635">
        <v>4500200123</v>
      </c>
      <c r="E741" s="659">
        <v>3301470375</v>
      </c>
      <c r="F741" s="636" t="s">
        <v>3177</v>
      </c>
      <c r="G741" s="637" t="s">
        <v>111</v>
      </c>
      <c r="H741" s="637" t="s">
        <v>99</v>
      </c>
      <c r="I741" s="638">
        <v>8206</v>
      </c>
      <c r="J741" s="638">
        <v>0</v>
      </c>
      <c r="K741" s="639">
        <v>22</v>
      </c>
      <c r="L741" s="639">
        <f t="shared" si="379"/>
        <v>373</v>
      </c>
      <c r="M741" s="641">
        <v>46189</v>
      </c>
      <c r="N741" s="641">
        <v>46185</v>
      </c>
      <c r="O741" s="641"/>
      <c r="P741" s="903" t="s">
        <v>100</v>
      </c>
      <c r="Q741" s="660" t="s">
        <v>1324</v>
      </c>
      <c r="R741" s="642" t="s">
        <v>3178</v>
      </c>
      <c r="S741" s="642"/>
      <c r="T741" s="642"/>
      <c r="U741" s="642" t="s">
        <v>3179</v>
      </c>
      <c r="V741" s="645"/>
      <c r="W741" s="645" t="s">
        <v>1480</v>
      </c>
      <c r="X741" s="647" t="s">
        <v>3180</v>
      </c>
      <c r="Y741" s="639" t="s">
        <v>818</v>
      </c>
      <c r="Z741" s="897">
        <v>2.6568</v>
      </c>
      <c r="AA741" s="650">
        <f t="shared" si="406"/>
        <v>21801.7008</v>
      </c>
      <c r="AB741" s="649">
        <v>8206</v>
      </c>
      <c r="AC741" s="649">
        <f t="shared" si="382"/>
        <v>0</v>
      </c>
      <c r="AD741" s="906" t="s">
        <v>106</v>
      </c>
      <c r="AE741" s="661" t="s">
        <v>230</v>
      </c>
      <c r="AF741" s="747" t="s">
        <v>107</v>
      </c>
      <c r="AG741" s="881" t="s">
        <v>43</v>
      </c>
      <c r="AH741" s="646"/>
      <c r="AI741" s="652"/>
      <c r="AJ741" s="652"/>
      <c r="AK741" s="649"/>
      <c r="AL741" s="653"/>
      <c r="AM741" s="652"/>
      <c r="AN741" s="649"/>
      <c r="AO741" s="654"/>
      <c r="AP741" s="652">
        <f t="shared" si="404"/>
        <v>8206</v>
      </c>
      <c r="AQ741" s="652"/>
      <c r="AR741" s="654"/>
      <c r="AS741" s="652"/>
      <c r="AT741" s="654"/>
      <c r="AU741" s="646">
        <f t="shared" si="407"/>
        <v>8206</v>
      </c>
      <c r="AV741" s="658"/>
      <c r="AW741" s="658"/>
      <c r="AX741" s="644"/>
      <c r="AY741" s="658"/>
      <c r="AZ741" s="644"/>
      <c r="BA741" s="644"/>
      <c r="BB741" s="646">
        <f t="shared" si="405"/>
        <v>746</v>
      </c>
      <c r="BC741" s="654"/>
      <c r="BD741" s="654"/>
      <c r="BE741" s="654"/>
      <c r="BF741" s="654"/>
      <c r="BG741" s="645"/>
      <c r="BH741" s="658"/>
      <c r="BI741" s="658"/>
      <c r="BJ741" s="658"/>
      <c r="BK741" s="658"/>
      <c r="BL741" s="644"/>
      <c r="BM741" s="658"/>
      <c r="BN741" s="644"/>
      <c r="BO741" s="644"/>
      <c r="BP741" s="887"/>
      <c r="BQ741" s="887"/>
      <c r="BR741" s="887"/>
      <c r="BS741" s="887"/>
      <c r="BT741" s="887"/>
      <c r="BU741" s="887"/>
      <c r="BV741" s="887"/>
      <c r="BW741" s="900" t="s">
        <v>109</v>
      </c>
      <c r="BX741" s="646">
        <f t="shared" si="398"/>
        <v>1865</v>
      </c>
      <c r="BY741" s="646">
        <f t="shared" si="399"/>
        <v>2238</v>
      </c>
      <c r="BZ741" s="646">
        <f t="shared" si="400"/>
        <v>2238</v>
      </c>
      <c r="CA741" s="646">
        <f t="shared" si="401"/>
        <v>1865</v>
      </c>
      <c r="CB741" s="646">
        <f t="shared" si="402"/>
        <v>8206</v>
      </c>
      <c r="CC741" s="646">
        <f t="shared" si="403"/>
        <v>746</v>
      </c>
      <c r="CD741" s="646">
        <f t="shared" si="397"/>
        <v>8206</v>
      </c>
      <c r="CE741" s="747">
        <v>0</v>
      </c>
      <c r="CF741" s="917"/>
      <c r="XEN741" s="885"/>
      <c r="XEO741" s="885"/>
      <c r="XEP741" s="888"/>
      <c r="XEQ741" s="889"/>
      <c r="XER741" s="890"/>
      <c r="XES741" s="891"/>
      <c r="XET741" s="892"/>
      <c r="XEU741" s="901"/>
      <c r="XEV741" s="893"/>
      <c r="XEW741" s="893"/>
      <c r="XEX741" s="894"/>
      <c r="XEY741" s="894"/>
      <c r="XEZ741" s="895"/>
      <c r="XFA741" s="895"/>
      <c r="XFB741" s="896"/>
      <c r="XFC741" s="896"/>
      <c r="XFD741" s="896"/>
    </row>
    <row r="742" s="338" customFormat="1" ht="40" customHeight="1" spans="1:84 16332:16384">
      <c r="A742" s="632">
        <v>46115</v>
      </c>
      <c r="B742" s="633" t="s">
        <v>1474</v>
      </c>
      <c r="C742" s="634" t="s">
        <v>129</v>
      </c>
      <c r="D742" s="635">
        <v>4500200123</v>
      </c>
      <c r="E742" s="659">
        <v>3301470376</v>
      </c>
      <c r="F742" s="636" t="s">
        <v>3181</v>
      </c>
      <c r="G742" s="637" t="s">
        <v>111</v>
      </c>
      <c r="H742" s="637" t="s">
        <v>99</v>
      </c>
      <c r="I742" s="638">
        <v>17094</v>
      </c>
      <c r="J742" s="638">
        <v>0</v>
      </c>
      <c r="K742" s="639">
        <v>22</v>
      </c>
      <c r="L742" s="639">
        <f t="shared" si="379"/>
        <v>777</v>
      </c>
      <c r="M742" s="641">
        <v>46189</v>
      </c>
      <c r="N742" s="641">
        <v>46185</v>
      </c>
      <c r="O742" s="641"/>
      <c r="P742" s="903" t="s">
        <v>100</v>
      </c>
      <c r="Q742" s="660" t="s">
        <v>1324</v>
      </c>
      <c r="R742" s="642" t="s">
        <v>1103</v>
      </c>
      <c r="S742" s="642"/>
      <c r="T742" s="642"/>
      <c r="U742" s="642" t="s">
        <v>3179</v>
      </c>
      <c r="V742" s="645"/>
      <c r="W742" s="645" t="s">
        <v>1480</v>
      </c>
      <c r="X742" s="647" t="s">
        <v>3180</v>
      </c>
      <c r="Y742" s="639" t="s">
        <v>818</v>
      </c>
      <c r="Z742" s="897">
        <v>2.6923</v>
      </c>
      <c r="AA742" s="650">
        <f t="shared" si="406"/>
        <v>46022.1762</v>
      </c>
      <c r="AB742" s="649">
        <f>10714+6380</f>
        <v>17094</v>
      </c>
      <c r="AC742" s="649">
        <f t="shared" si="382"/>
        <v>0</v>
      </c>
      <c r="AD742" s="906" t="s">
        <v>106</v>
      </c>
      <c r="AE742" s="661" t="s">
        <v>230</v>
      </c>
      <c r="AF742" s="747" t="s">
        <v>107</v>
      </c>
      <c r="AG742" s="881" t="s">
        <v>43</v>
      </c>
      <c r="AH742" s="646"/>
      <c r="AI742" s="922"/>
      <c r="AJ742" s="882"/>
      <c r="AK742" s="882"/>
      <c r="AL742" s="652"/>
      <c r="AM742" s="652"/>
      <c r="AN742" s="923"/>
      <c r="AO742" s="883"/>
      <c r="AP742" s="652">
        <f t="shared" si="404"/>
        <v>17094</v>
      </c>
      <c r="AQ742" s="658"/>
      <c r="AR742" s="898"/>
      <c r="AS742" s="694"/>
      <c r="AT742" s="654"/>
      <c r="AU742" s="646">
        <f t="shared" si="407"/>
        <v>17094</v>
      </c>
      <c r="AV742" s="658"/>
      <c r="AW742" s="883"/>
      <c r="AX742" s="644"/>
      <c r="AY742" s="658"/>
      <c r="AZ742" s="898"/>
      <c r="BA742" s="644"/>
      <c r="BB742" s="646">
        <f t="shared" si="405"/>
        <v>1554</v>
      </c>
      <c r="BC742" s="899"/>
      <c r="BD742" s="899"/>
      <c r="BE742" s="887"/>
      <c r="BF742" s="899"/>
      <c r="BG742" s="887"/>
      <c r="BH742" s="887"/>
      <c r="BI742" s="899"/>
      <c r="BJ742" s="899"/>
      <c r="BK742" s="887"/>
      <c r="BL742" s="887"/>
      <c r="BM742" s="887"/>
      <c r="BN742" s="887"/>
      <c r="BO742" s="887"/>
      <c r="BP742" s="899"/>
      <c r="BQ742" s="887"/>
      <c r="BR742" s="899"/>
      <c r="BS742" s="887"/>
      <c r="BT742" s="887"/>
      <c r="BU742" s="887"/>
      <c r="BV742" s="887"/>
      <c r="BW742" s="900" t="s">
        <v>109</v>
      </c>
      <c r="BX742" s="646">
        <f t="shared" si="398"/>
        <v>3885</v>
      </c>
      <c r="BY742" s="646">
        <f t="shared" si="399"/>
        <v>4662</v>
      </c>
      <c r="BZ742" s="646">
        <f t="shared" si="400"/>
        <v>4662</v>
      </c>
      <c r="CA742" s="646">
        <f t="shared" si="401"/>
        <v>3885</v>
      </c>
      <c r="CB742" s="646">
        <f t="shared" si="402"/>
        <v>17094</v>
      </c>
      <c r="CC742" s="646">
        <f t="shared" si="403"/>
        <v>1554</v>
      </c>
      <c r="CD742" s="646">
        <f t="shared" si="397"/>
        <v>17094</v>
      </c>
      <c r="CE742" s="747">
        <v>0</v>
      </c>
      <c r="CF742" s="917"/>
      <c r="XDZ742" s="888"/>
      <c r="XEA742" s="889"/>
      <c r="XEB742" s="890"/>
      <c r="XEC742" s="891"/>
      <c r="XED742" s="892"/>
      <c r="XEE742" s="901"/>
      <c r="XEF742" s="893"/>
      <c r="XEG742" s="893"/>
      <c r="XEH742" s="894"/>
      <c r="XEI742" s="894"/>
      <c r="XEJ742" s="895"/>
      <c r="XEK742" s="895"/>
      <c r="XEL742" s="896"/>
      <c r="XEM742" s="896"/>
      <c r="XEN742" s="896"/>
      <c r="XEO742" s="902"/>
      <c r="XEP742" s="888"/>
      <c r="XEQ742" s="889"/>
      <c r="XER742" s="890"/>
      <c r="XES742" s="891"/>
      <c r="XET742" s="892"/>
      <c r="XEU742" s="901"/>
      <c r="XEV742" s="893"/>
      <c r="XEW742" s="893"/>
      <c r="XEX742" s="894"/>
      <c r="XEY742" s="894"/>
      <c r="XEZ742" s="895"/>
      <c r="XFA742" s="895"/>
      <c r="XFB742" s="896"/>
      <c r="XFC742" s="896"/>
      <c r="XFD742" s="896"/>
    </row>
    <row r="743" s="338" customFormat="1" ht="40" customHeight="1" spans="1:84 16332:16384">
      <c r="A743" s="632">
        <v>46121</v>
      </c>
      <c r="B743" s="633" t="s">
        <v>344</v>
      </c>
      <c r="C743" s="634" t="s">
        <v>345</v>
      </c>
      <c r="D743" s="635">
        <v>4500200614</v>
      </c>
      <c r="E743" s="659" t="s">
        <v>3015</v>
      </c>
      <c r="F743" s="636" t="s">
        <v>3182</v>
      </c>
      <c r="G743" s="637" t="s">
        <v>111</v>
      </c>
      <c r="H743" s="637" t="s">
        <v>99</v>
      </c>
      <c r="I743" s="638">
        <v>2002</v>
      </c>
      <c r="J743" s="638">
        <v>0</v>
      </c>
      <c r="K743" s="639">
        <v>22</v>
      </c>
      <c r="L743" s="639">
        <f t="shared" si="379"/>
        <v>91</v>
      </c>
      <c r="M743" s="641">
        <v>46195</v>
      </c>
      <c r="N743" s="641">
        <v>46191</v>
      </c>
      <c r="O743" s="641"/>
      <c r="P743" s="903" t="s">
        <v>100</v>
      </c>
      <c r="Q743" s="660"/>
      <c r="R743" s="642" t="s">
        <v>1317</v>
      </c>
      <c r="S743" s="642"/>
      <c r="T743" s="642"/>
      <c r="U743" s="642" t="s">
        <v>3183</v>
      </c>
      <c r="V743" s="645"/>
      <c r="W743" s="645"/>
      <c r="X743" s="647" t="s">
        <v>3184</v>
      </c>
      <c r="Y743" s="639" t="s">
        <v>281</v>
      </c>
      <c r="Z743" s="897">
        <v>2.771</v>
      </c>
      <c r="AA743" s="650">
        <f t="shared" si="406"/>
        <v>5547.542</v>
      </c>
      <c r="AB743" s="649">
        <v>2002</v>
      </c>
      <c r="AC743" s="649">
        <f t="shared" si="382"/>
        <v>0</v>
      </c>
      <c r="AD743" s="906" t="s">
        <v>106</v>
      </c>
      <c r="AE743" s="661" t="s">
        <v>230</v>
      </c>
      <c r="AF743" s="747" t="s">
        <v>107</v>
      </c>
      <c r="AG743" s="881" t="s">
        <v>43</v>
      </c>
      <c r="AH743" s="646"/>
      <c r="AI743" s="882"/>
      <c r="AJ743" s="694"/>
      <c r="AK743" s="898"/>
      <c r="AL743" s="658"/>
      <c r="AM743" s="654"/>
      <c r="AN743" s="923"/>
      <c r="AO743" s="883"/>
      <c r="AP743" s="644">
        <f t="shared" si="404"/>
        <v>2002</v>
      </c>
      <c r="AQ743" s="658"/>
      <c r="AR743" s="898"/>
      <c r="AS743" s="899"/>
      <c r="AT743" s="887"/>
      <c r="AU743" s="646">
        <f t="shared" si="407"/>
        <v>2002</v>
      </c>
      <c r="AV743" s="887"/>
      <c r="AW743" s="899"/>
      <c r="AX743" s="887"/>
      <c r="AY743" s="887"/>
      <c r="AZ743" s="899"/>
      <c r="BA743" s="887"/>
      <c r="BB743" s="652">
        <f t="shared" si="405"/>
        <v>182</v>
      </c>
      <c r="BC743" s="899"/>
      <c r="BD743" s="899"/>
      <c r="BE743" s="887"/>
      <c r="BF743" s="899"/>
      <c r="BG743" s="887"/>
      <c r="BH743" s="887"/>
      <c r="BI743" s="899"/>
      <c r="BJ743" s="899"/>
      <c r="BK743" s="887"/>
      <c r="BL743" s="887"/>
      <c r="BM743" s="887"/>
      <c r="BN743" s="887"/>
      <c r="BO743" s="887"/>
      <c r="BP743" s="899"/>
      <c r="BQ743" s="887"/>
      <c r="BR743" s="899"/>
      <c r="BS743" s="887"/>
      <c r="BT743" s="887"/>
      <c r="BU743" s="887"/>
      <c r="BV743" s="887"/>
      <c r="BW743" s="645" t="s">
        <v>109</v>
      </c>
      <c r="BX743" s="646">
        <f t="shared" si="398"/>
        <v>455</v>
      </c>
      <c r="BY743" s="646">
        <f t="shared" si="399"/>
        <v>546</v>
      </c>
      <c r="BZ743" s="646">
        <f t="shared" si="400"/>
        <v>546</v>
      </c>
      <c r="CA743" s="646">
        <f t="shared" si="401"/>
        <v>455</v>
      </c>
      <c r="CB743" s="646">
        <f t="shared" si="402"/>
        <v>2002</v>
      </c>
      <c r="CC743" s="646">
        <f t="shared" si="403"/>
        <v>182</v>
      </c>
      <c r="CD743" s="646">
        <f t="shared" si="397"/>
        <v>2002</v>
      </c>
      <c r="CE743" s="747">
        <v>0</v>
      </c>
      <c r="CF743" s="917"/>
      <c r="XDJ743" s="888"/>
      <c r="XDK743" s="889"/>
      <c r="XDL743" s="890"/>
      <c r="XDM743" s="891"/>
      <c r="XDN743" s="892"/>
      <c r="XDO743" s="901"/>
      <c r="XDP743" s="893"/>
      <c r="XDQ743" s="893"/>
      <c r="XDR743" s="894"/>
      <c r="XDS743" s="894"/>
      <c r="XDT743" s="895"/>
      <c r="XDU743" s="895"/>
      <c r="XDV743" s="896"/>
      <c r="XDW743" s="896"/>
      <c r="XDX743" s="896"/>
      <c r="XDY743" s="902"/>
      <c r="XDZ743" s="888"/>
      <c r="XEA743" s="889"/>
      <c r="XEB743" s="890"/>
      <c r="XEC743" s="891"/>
      <c r="XED743" s="892"/>
      <c r="XEE743" s="901"/>
      <c r="XEF743" s="893"/>
      <c r="XEG743" s="893"/>
      <c r="XEH743" s="894"/>
      <c r="XEI743" s="894"/>
      <c r="XEJ743" s="895"/>
      <c r="XEK743" s="895"/>
      <c r="XEL743" s="896"/>
      <c r="XEM743" s="896"/>
      <c r="XEN743" s="896"/>
      <c r="XEO743" s="902"/>
      <c r="XEP743" s="888"/>
      <c r="XEQ743" s="889"/>
      <c r="XER743" s="890"/>
      <c r="XES743" s="891"/>
      <c r="XET743" s="892"/>
      <c r="XEU743" s="901"/>
      <c r="XEV743" s="893"/>
      <c r="XEW743" s="893"/>
      <c r="XEX743" s="894"/>
      <c r="XEY743" s="894"/>
      <c r="XEZ743" s="895"/>
      <c r="XFA743" s="895"/>
      <c r="XFB743" s="896"/>
      <c r="XFC743" s="896"/>
      <c r="XFD743" s="896"/>
    </row>
    <row r="744" s="338" customFormat="1" ht="40" customHeight="1" spans="1:84 16332:16384">
      <c r="A744" s="632">
        <v>46091</v>
      </c>
      <c r="B744" s="633" t="s">
        <v>1074</v>
      </c>
      <c r="C744" s="634" t="s">
        <v>380</v>
      </c>
      <c r="D744" s="635">
        <v>4500195607</v>
      </c>
      <c r="E744" s="659" t="s">
        <v>3185</v>
      </c>
      <c r="F744" s="635" t="s">
        <v>3186</v>
      </c>
      <c r="G744" s="637" t="s">
        <v>241</v>
      </c>
      <c r="H744" s="637" t="s">
        <v>99</v>
      </c>
      <c r="I744" s="638">
        <v>6050</v>
      </c>
      <c r="J744" s="638">
        <v>0</v>
      </c>
      <c r="K744" s="639">
        <v>11</v>
      </c>
      <c r="L744" s="639">
        <f t="shared" si="379"/>
        <v>550</v>
      </c>
      <c r="M744" s="641">
        <v>46195</v>
      </c>
      <c r="N744" s="641">
        <v>46191</v>
      </c>
      <c r="O744" s="641"/>
      <c r="P744" s="903" t="s">
        <v>100</v>
      </c>
      <c r="Q744" s="643" t="s">
        <v>3187</v>
      </c>
      <c r="R744" s="642" t="s">
        <v>868</v>
      </c>
      <c r="S744" s="641"/>
      <c r="T744" s="641"/>
      <c r="U744" s="642" t="s">
        <v>2998</v>
      </c>
      <c r="V744" s="642"/>
      <c r="W744" s="645"/>
      <c r="X744" s="647" t="s">
        <v>3188</v>
      </c>
      <c r="Y744" s="646" t="s">
        <v>105</v>
      </c>
      <c r="Z744" s="683">
        <v>2.6821</v>
      </c>
      <c r="AA744" s="650">
        <f t="shared" si="406"/>
        <v>16226.705</v>
      </c>
      <c r="AB744" s="649">
        <v>6050</v>
      </c>
      <c r="AC744" s="649">
        <f t="shared" si="382"/>
        <v>0</v>
      </c>
      <c r="AD744" s="650" t="s">
        <v>113</v>
      </c>
      <c r="AE744" s="637" t="s">
        <v>241</v>
      </c>
      <c r="AF744" s="747" t="s">
        <v>107</v>
      </c>
      <c r="AG744" s="881" t="s">
        <v>43</v>
      </c>
      <c r="AH744" s="646"/>
      <c r="AI744" s="693"/>
      <c r="AJ744" s="693"/>
      <c r="AK744" s="693"/>
      <c r="AL744" s="701"/>
      <c r="AM744" s="649">
        <f>I744</f>
        <v>6050</v>
      </c>
      <c r="AN744" s="693"/>
      <c r="AO744" s="882"/>
      <c r="AP744" s="649"/>
      <c r="AQ744" s="652"/>
      <c r="AR744" s="882"/>
      <c r="AS744" s="882"/>
      <c r="AT744" s="652"/>
      <c r="AU744" s="652">
        <f t="shared" si="407"/>
        <v>6050</v>
      </c>
      <c r="AV744" s="652"/>
      <c r="AW744" s="882"/>
      <c r="AX744" s="652"/>
      <c r="AY744" s="652">
        <f>I744/11</f>
        <v>550</v>
      </c>
      <c r="AZ744" s="694"/>
      <c r="BA744" s="654"/>
      <c r="BB744" s="654"/>
      <c r="BC744" s="694"/>
      <c r="BD744" s="694"/>
      <c r="BE744" s="654"/>
      <c r="BF744" s="694"/>
      <c r="BG744" s="645"/>
      <c r="BH744" s="658"/>
      <c r="BI744" s="883"/>
      <c r="BJ744" s="883"/>
      <c r="BK744" s="658"/>
      <c r="BL744" s="644"/>
      <c r="BM744" s="658"/>
      <c r="BN744" s="644"/>
      <c r="BO744" s="644"/>
      <c r="BP744" s="884"/>
      <c r="BQ744" s="654"/>
      <c r="BR744" s="694"/>
      <c r="BS744" s="654"/>
      <c r="BT744" s="654"/>
      <c r="BU744" s="654"/>
      <c r="BV744" s="654"/>
      <c r="BW744" s="645" t="s">
        <v>109</v>
      </c>
      <c r="BX744" s="658">
        <f t="shared" si="398"/>
        <v>1375</v>
      </c>
      <c r="BY744" s="658">
        <f t="shared" si="399"/>
        <v>1650</v>
      </c>
      <c r="BZ744" s="658">
        <f t="shared" si="400"/>
        <v>1650</v>
      </c>
      <c r="CA744" s="658">
        <f t="shared" si="401"/>
        <v>1375</v>
      </c>
      <c r="CB744" s="644">
        <f t="shared" si="402"/>
        <v>6050</v>
      </c>
      <c r="CC744" s="658">
        <f t="shared" si="403"/>
        <v>550</v>
      </c>
      <c r="CD744" s="644">
        <f t="shared" si="397"/>
        <v>6050</v>
      </c>
      <c r="CE744" s="644">
        <f>I744-CD744</f>
        <v>0</v>
      </c>
      <c r="CF744" s="917"/>
      <c r="XEN744" s="885"/>
      <c r="XEO744" s="885"/>
      <c r="XEP744" s="885"/>
      <c r="XEQ744" s="885"/>
      <c r="XER744" s="885"/>
      <c r="XES744" s="885"/>
      <c r="XET744" s="885"/>
      <c r="XEU744" s="885"/>
      <c r="XEV744" s="885"/>
      <c r="XEW744" s="885"/>
      <c r="XEX744" s="885"/>
      <c r="XEY744" s="885"/>
      <c r="XEZ744" s="885"/>
      <c r="XFA744" s="885"/>
      <c r="XFB744" s="885"/>
      <c r="XFC744" s="885"/>
      <c r="XFD744" s="885"/>
    </row>
    <row r="745" s="338" customFormat="1" ht="40" customHeight="1" spans="1:84 16332:16384">
      <c r="A745" s="632">
        <v>46091</v>
      </c>
      <c r="B745" s="633" t="s">
        <v>1074</v>
      </c>
      <c r="C745" s="634" t="s">
        <v>380</v>
      </c>
      <c r="D745" s="635">
        <v>4500195607</v>
      </c>
      <c r="E745" s="659" t="s">
        <v>3189</v>
      </c>
      <c r="F745" s="635" t="s">
        <v>3190</v>
      </c>
      <c r="G745" s="637" t="s">
        <v>241</v>
      </c>
      <c r="H745" s="637" t="s">
        <v>99</v>
      </c>
      <c r="I745" s="638">
        <v>6050</v>
      </c>
      <c r="J745" s="638">
        <v>0</v>
      </c>
      <c r="K745" s="639">
        <v>11</v>
      </c>
      <c r="L745" s="639">
        <f t="shared" si="379"/>
        <v>550</v>
      </c>
      <c r="M745" s="641">
        <v>46195</v>
      </c>
      <c r="N745" s="641">
        <v>46191</v>
      </c>
      <c r="O745" s="641"/>
      <c r="P745" s="903" t="s">
        <v>100</v>
      </c>
      <c r="Q745" s="643" t="s">
        <v>3187</v>
      </c>
      <c r="R745" s="642" t="s">
        <v>868</v>
      </c>
      <c r="S745" s="641"/>
      <c r="T745" s="641"/>
      <c r="U745" s="642" t="s">
        <v>2998</v>
      </c>
      <c r="V745" s="642"/>
      <c r="W745" s="645"/>
      <c r="X745" s="647" t="s">
        <v>3188</v>
      </c>
      <c r="Y745" s="646" t="s">
        <v>105</v>
      </c>
      <c r="Z745" s="683">
        <v>2.6821</v>
      </c>
      <c r="AA745" s="650">
        <f t="shared" si="406"/>
        <v>16226.705</v>
      </c>
      <c r="AB745" s="649">
        <v>6050</v>
      </c>
      <c r="AC745" s="649">
        <f t="shared" si="382"/>
        <v>0</v>
      </c>
      <c r="AD745" s="650" t="s">
        <v>113</v>
      </c>
      <c r="AE745" s="637" t="s">
        <v>241</v>
      </c>
      <c r="AF745" s="747" t="s">
        <v>107</v>
      </c>
      <c r="AG745" s="881" t="s">
        <v>43</v>
      </c>
      <c r="AH745" s="646"/>
      <c r="AI745" s="693"/>
      <c r="AJ745" s="693"/>
      <c r="AK745" s="693"/>
      <c r="AL745" s="701"/>
      <c r="AM745" s="649">
        <f>I745</f>
        <v>6050</v>
      </c>
      <c r="AN745" s="693"/>
      <c r="AO745" s="882"/>
      <c r="AP745" s="649"/>
      <c r="AQ745" s="652"/>
      <c r="AR745" s="882"/>
      <c r="AS745" s="882"/>
      <c r="AT745" s="652"/>
      <c r="AU745" s="652">
        <f t="shared" si="407"/>
        <v>6050</v>
      </c>
      <c r="AV745" s="652"/>
      <c r="AW745" s="882"/>
      <c r="AX745" s="652"/>
      <c r="AY745" s="652">
        <f>I745/11</f>
        <v>550</v>
      </c>
      <c r="AZ745" s="694"/>
      <c r="BA745" s="654"/>
      <c r="BB745" s="654"/>
      <c r="BC745" s="694"/>
      <c r="BD745" s="694"/>
      <c r="BE745" s="654"/>
      <c r="BF745" s="694"/>
      <c r="BG745" s="645"/>
      <c r="BH745" s="658"/>
      <c r="BI745" s="883"/>
      <c r="BJ745" s="883"/>
      <c r="BK745" s="658"/>
      <c r="BL745" s="644"/>
      <c r="BM745" s="658"/>
      <c r="BN745" s="644"/>
      <c r="BO745" s="644"/>
      <c r="BP745" s="884"/>
      <c r="BQ745" s="654"/>
      <c r="BR745" s="694"/>
      <c r="BS745" s="654"/>
      <c r="BT745" s="654"/>
      <c r="BU745" s="654"/>
      <c r="BV745" s="654"/>
      <c r="BW745" s="645" t="s">
        <v>109</v>
      </c>
      <c r="BX745" s="658">
        <f t="shared" si="398"/>
        <v>1375</v>
      </c>
      <c r="BY745" s="658">
        <f t="shared" si="399"/>
        <v>1650</v>
      </c>
      <c r="BZ745" s="658">
        <f t="shared" si="400"/>
        <v>1650</v>
      </c>
      <c r="CA745" s="658">
        <f t="shared" si="401"/>
        <v>1375</v>
      </c>
      <c r="CB745" s="644">
        <f t="shared" si="402"/>
        <v>6050</v>
      </c>
      <c r="CC745" s="658">
        <f t="shared" si="403"/>
        <v>550</v>
      </c>
      <c r="CD745" s="644">
        <f t="shared" si="397"/>
        <v>6050</v>
      </c>
      <c r="CE745" s="644">
        <f>I745-CD745</f>
        <v>0</v>
      </c>
      <c r="CF745" s="917"/>
      <c r="XEN745" s="885"/>
      <c r="XEO745" s="885"/>
      <c r="XEP745" s="885"/>
      <c r="XEQ745" s="885"/>
      <c r="XER745" s="885"/>
      <c r="XES745" s="885"/>
      <c r="XET745" s="885"/>
      <c r="XEU745" s="885"/>
      <c r="XEV745" s="885"/>
      <c r="XEW745" s="885"/>
      <c r="XEX745" s="885"/>
      <c r="XEY745" s="885"/>
      <c r="XEZ745" s="885"/>
      <c r="XFA745" s="885"/>
      <c r="XFB745" s="885"/>
      <c r="XFC745" s="885"/>
      <c r="XFD745" s="885"/>
    </row>
    <row r="746" s="338" customFormat="1" ht="40" customHeight="1" spans="1:84 16332:16384">
      <c r="A746" s="632">
        <v>46155</v>
      </c>
      <c r="B746" s="633" t="s">
        <v>1888</v>
      </c>
      <c r="C746" s="634" t="s">
        <v>144</v>
      </c>
      <c r="D746" s="635">
        <v>4500206937</v>
      </c>
      <c r="E746" s="666">
        <v>5200010020</v>
      </c>
      <c r="F746" s="635" t="s">
        <v>3191</v>
      </c>
      <c r="G746" s="637" t="s">
        <v>774</v>
      </c>
      <c r="H746" s="637" t="s">
        <v>99</v>
      </c>
      <c r="I746" s="638">
        <v>3608</v>
      </c>
      <c r="J746" s="638">
        <v>0</v>
      </c>
      <c r="K746" s="639">
        <v>11</v>
      </c>
      <c r="L746" s="639">
        <f t="shared" si="379"/>
        <v>328</v>
      </c>
      <c r="M746" s="641">
        <v>46199</v>
      </c>
      <c r="N746" s="641">
        <v>46195</v>
      </c>
      <c r="O746" s="641"/>
      <c r="P746" s="903" t="s">
        <v>100</v>
      </c>
      <c r="Q746" s="643" t="s">
        <v>1142</v>
      </c>
      <c r="R746" s="642" t="s">
        <v>3192</v>
      </c>
      <c r="S746" s="641"/>
      <c r="T746" s="641"/>
      <c r="U746" s="642" t="s">
        <v>3193</v>
      </c>
      <c r="V746" s="642"/>
      <c r="W746" s="645"/>
      <c r="X746" s="647" t="s">
        <v>3194</v>
      </c>
      <c r="Y746" s="646" t="s">
        <v>3076</v>
      </c>
      <c r="Z746" s="683">
        <v>2.7013</v>
      </c>
      <c r="AA746" s="650">
        <f t="shared" si="406"/>
        <v>9746.2904</v>
      </c>
      <c r="AB746" s="649">
        <f>3597+11</f>
        <v>3608</v>
      </c>
      <c r="AC746" s="912">
        <f t="shared" si="382"/>
        <v>0</v>
      </c>
      <c r="AD746" s="924" t="s">
        <v>106</v>
      </c>
      <c r="AE746" s="661" t="s">
        <v>597</v>
      </c>
      <c r="AF746" s="747" t="s">
        <v>107</v>
      </c>
      <c r="AG746" s="881" t="s">
        <v>43</v>
      </c>
      <c r="AH746" s="646"/>
      <c r="AI746" s="693"/>
      <c r="AJ746" s="693"/>
      <c r="AK746" s="693"/>
      <c r="AL746" s="701"/>
      <c r="AM746" s="649"/>
      <c r="AN746" s="693"/>
      <c r="AO746" s="882"/>
      <c r="AP746" s="652">
        <f>I746</f>
        <v>3608</v>
      </c>
      <c r="AQ746" s="652"/>
      <c r="AR746" s="882"/>
      <c r="AS746" s="882"/>
      <c r="AT746" s="652"/>
      <c r="AU746" s="652">
        <f t="shared" si="407"/>
        <v>3608</v>
      </c>
      <c r="AV746" s="652"/>
      <c r="AW746" s="882"/>
      <c r="AX746" s="652"/>
      <c r="AY746" s="652"/>
      <c r="AZ746" s="694"/>
      <c r="BA746" s="654"/>
      <c r="BB746" s="652">
        <f>I746/11</f>
        <v>328</v>
      </c>
      <c r="BC746" s="694"/>
      <c r="BD746" s="694"/>
      <c r="BE746" s="654"/>
      <c r="BF746" s="694"/>
      <c r="BG746" s="923"/>
      <c r="BH746" s="658"/>
      <c r="BI746" s="883"/>
      <c r="BJ746" s="883"/>
      <c r="BK746" s="883"/>
      <c r="BL746" s="644"/>
      <c r="BM746" s="658"/>
      <c r="BN746" s="644"/>
      <c r="BO746" s="644"/>
      <c r="BP746" s="884"/>
      <c r="BQ746" s="654"/>
      <c r="BR746" s="694"/>
      <c r="BS746" s="654"/>
      <c r="BT746" s="654"/>
      <c r="BU746" s="654"/>
      <c r="BV746" s="654"/>
      <c r="BW746" s="645" t="s">
        <v>109</v>
      </c>
      <c r="BX746" s="658">
        <f t="shared" si="398"/>
        <v>820</v>
      </c>
      <c r="BY746" s="658">
        <f t="shared" si="399"/>
        <v>984</v>
      </c>
      <c r="BZ746" s="658">
        <f t="shared" si="400"/>
        <v>984</v>
      </c>
      <c r="CA746" s="658">
        <f t="shared" si="401"/>
        <v>820</v>
      </c>
      <c r="CB746" s="644">
        <f t="shared" si="402"/>
        <v>3608</v>
      </c>
      <c r="CC746" s="658">
        <f t="shared" si="403"/>
        <v>328</v>
      </c>
      <c r="CD746" s="644">
        <f t="shared" si="397"/>
        <v>3608</v>
      </c>
      <c r="CE746" s="644">
        <v>0</v>
      </c>
      <c r="CF746" s="917"/>
      <c r="XEN746" s="885"/>
      <c r="XEO746" s="885"/>
      <c r="XEP746" s="885"/>
      <c r="XEQ746" s="885"/>
      <c r="XER746" s="885"/>
      <c r="XES746" s="885"/>
      <c r="XET746" s="885"/>
      <c r="XEU746" s="885"/>
      <c r="XEV746" s="885"/>
      <c r="XEW746" s="885"/>
      <c r="XEX746" s="885"/>
      <c r="XEY746" s="885"/>
      <c r="XEZ746" s="885"/>
      <c r="XFA746" s="885"/>
      <c r="XFB746" s="885"/>
      <c r="XFC746" s="885"/>
      <c r="XFD746" s="885"/>
    </row>
    <row r="747" s="338" customFormat="1" ht="40" customHeight="1" spans="1:84 16332:16384">
      <c r="A747" s="632">
        <v>46139</v>
      </c>
      <c r="B747" s="633" t="s">
        <v>2534</v>
      </c>
      <c r="C747" s="634" t="s">
        <v>214</v>
      </c>
      <c r="D747" s="635">
        <v>4500204290</v>
      </c>
      <c r="E747" s="666">
        <v>84006911</v>
      </c>
      <c r="F747" s="635" t="s">
        <v>3195</v>
      </c>
      <c r="G747" s="637" t="s">
        <v>241</v>
      </c>
      <c r="H747" s="637" t="s">
        <v>99</v>
      </c>
      <c r="I747" s="638">
        <v>1210</v>
      </c>
      <c r="J747" s="638">
        <v>0</v>
      </c>
      <c r="K747" s="639">
        <v>11</v>
      </c>
      <c r="L747" s="639">
        <f t="shared" ref="L747:L756" si="408">I747/K747</f>
        <v>110</v>
      </c>
      <c r="M747" s="641">
        <v>46202</v>
      </c>
      <c r="N747" s="641">
        <v>46198</v>
      </c>
      <c r="O747" s="641"/>
      <c r="P747" s="903" t="s">
        <v>100</v>
      </c>
      <c r="Q747" s="643" t="s">
        <v>3196</v>
      </c>
      <c r="R747" s="642" t="s">
        <v>1310</v>
      </c>
      <c r="S747" s="925"/>
      <c r="T747" s="925"/>
      <c r="U747" s="642" t="s">
        <v>113</v>
      </c>
      <c r="V747" s="926"/>
      <c r="W747" s="645"/>
      <c r="X747" s="647" t="s">
        <v>3197</v>
      </c>
      <c r="Y747" s="646" t="s">
        <v>377</v>
      </c>
      <c r="Z747" s="683">
        <v>1.6651</v>
      </c>
      <c r="AA747" s="650">
        <f t="shared" si="406"/>
        <v>2014.771</v>
      </c>
      <c r="AB747" s="649">
        <v>1210</v>
      </c>
      <c r="AC747" s="649">
        <f t="shared" si="382"/>
        <v>0</v>
      </c>
      <c r="AD747" s="313" t="s">
        <v>113</v>
      </c>
      <c r="AE747" s="637" t="s">
        <v>241</v>
      </c>
      <c r="AF747" s="747" t="s">
        <v>107</v>
      </c>
      <c r="AG747" s="881" t="s">
        <v>43</v>
      </c>
      <c r="AH747" s="646"/>
      <c r="AI747" s="693"/>
      <c r="AJ747" s="693"/>
      <c r="AK747" s="693"/>
      <c r="AL747" s="701"/>
      <c r="AM747" s="649">
        <f>I747</f>
        <v>1210</v>
      </c>
      <c r="AN747" s="693"/>
      <c r="AO747" s="882"/>
      <c r="AP747" s="652"/>
      <c r="AQ747" s="652"/>
      <c r="AR747" s="882"/>
      <c r="AS747" s="882"/>
      <c r="AT747" s="652"/>
      <c r="AU747" s="652">
        <f t="shared" si="407"/>
        <v>1210</v>
      </c>
      <c r="AV747" s="652"/>
      <c r="AW747" s="882"/>
      <c r="AX747" s="652"/>
      <c r="AY747" s="652"/>
      <c r="AZ747" s="694"/>
      <c r="BA747" s="654"/>
      <c r="BB747" s="927">
        <f>I747/11</f>
        <v>110</v>
      </c>
      <c r="BC747" s="694"/>
      <c r="BD747" s="694"/>
      <c r="BE747" s="654"/>
      <c r="BF747" s="694"/>
      <c r="BG747" s="645"/>
      <c r="BH747" s="658"/>
      <c r="BI747" s="883"/>
      <c r="BJ747" s="883"/>
      <c r="BK747" s="658"/>
      <c r="BL747" s="644"/>
      <c r="BM747" s="658"/>
      <c r="BN747" s="644"/>
      <c r="BO747" s="644"/>
      <c r="BP747" s="884"/>
      <c r="BQ747" s="654"/>
      <c r="BR747" s="694"/>
      <c r="BS747" s="654"/>
      <c r="BT747" s="654"/>
      <c r="BU747" s="654"/>
      <c r="BV747" s="654"/>
      <c r="BW747" s="645" t="s">
        <v>109</v>
      </c>
      <c r="BX747" s="658">
        <f t="shared" si="398"/>
        <v>275</v>
      </c>
      <c r="BY747" s="658">
        <f t="shared" si="399"/>
        <v>330</v>
      </c>
      <c r="BZ747" s="658">
        <f t="shared" si="400"/>
        <v>330</v>
      </c>
      <c r="CA747" s="658">
        <f t="shared" si="401"/>
        <v>275</v>
      </c>
      <c r="CB747" s="644">
        <f t="shared" si="402"/>
        <v>1210</v>
      </c>
      <c r="CC747" s="658">
        <f t="shared" si="403"/>
        <v>110</v>
      </c>
      <c r="CD747" s="644">
        <f t="shared" si="397"/>
        <v>1210</v>
      </c>
      <c r="CE747" s="644">
        <f>I747-CD747</f>
        <v>0</v>
      </c>
      <c r="CF747" s="917"/>
      <c r="XEN747" s="885"/>
      <c r="XEO747" s="885"/>
      <c r="XEP747" s="885"/>
      <c r="XEQ747" s="885"/>
      <c r="XER747" s="885"/>
      <c r="XES747" s="885"/>
      <c r="XET747" s="885"/>
      <c r="XEU747" s="885"/>
      <c r="XEV747" s="885"/>
      <c r="XEW747" s="885"/>
      <c r="XEX747" s="885"/>
      <c r="XEY747" s="885"/>
      <c r="XEZ747" s="885"/>
      <c r="XFA747" s="885"/>
      <c r="XFB747" s="885"/>
      <c r="XFC747" s="885"/>
      <c r="XFD747" s="885"/>
    </row>
    <row r="748" s="338" customFormat="1" ht="40" customHeight="1" spans="1:84 16332:16384">
      <c r="A748" s="632">
        <v>46164</v>
      </c>
      <c r="B748" s="633" t="s">
        <v>3198</v>
      </c>
      <c r="C748" s="634" t="s">
        <v>144</v>
      </c>
      <c r="D748" s="635">
        <v>4500207460</v>
      </c>
      <c r="E748" s="659" t="s">
        <v>3015</v>
      </c>
      <c r="F748" s="635" t="s">
        <v>3199</v>
      </c>
      <c r="G748" s="637" t="s">
        <v>111</v>
      </c>
      <c r="H748" s="637" t="s">
        <v>99</v>
      </c>
      <c r="I748" s="638">
        <v>506</v>
      </c>
      <c r="J748" s="638">
        <v>0</v>
      </c>
      <c r="K748" s="639">
        <v>22</v>
      </c>
      <c r="L748" s="639">
        <f t="shared" si="408"/>
        <v>23</v>
      </c>
      <c r="M748" s="641">
        <v>46204</v>
      </c>
      <c r="N748" s="641">
        <v>46200</v>
      </c>
      <c r="O748" s="641"/>
      <c r="P748" s="903" t="s">
        <v>100</v>
      </c>
      <c r="Q748" s="643" t="s">
        <v>3200</v>
      </c>
      <c r="R748" s="903" t="s">
        <v>3201</v>
      </c>
      <c r="S748" s="925"/>
      <c r="T748" s="925"/>
      <c r="U748" s="642" t="s">
        <v>3081</v>
      </c>
      <c r="V748" s="926"/>
      <c r="W748" s="645"/>
      <c r="X748" s="647" t="s">
        <v>3202</v>
      </c>
      <c r="Y748" s="646" t="s">
        <v>3203</v>
      </c>
      <c r="Z748" s="683">
        <v>2.8225</v>
      </c>
      <c r="AA748" s="650">
        <f t="shared" si="406"/>
        <v>1428.185</v>
      </c>
      <c r="AB748" s="649">
        <v>506</v>
      </c>
      <c r="AC748" s="912">
        <f t="shared" si="382"/>
        <v>0</v>
      </c>
      <c r="AD748" s="906" t="s">
        <v>113</v>
      </c>
      <c r="AE748" s="661" t="s">
        <v>230</v>
      </c>
      <c r="AF748" s="747" t="s">
        <v>107</v>
      </c>
      <c r="AG748" s="881" t="s">
        <v>43</v>
      </c>
      <c r="AH748" s="646"/>
      <c r="AI748" s="696"/>
      <c r="AJ748" s="696"/>
      <c r="AK748" s="696"/>
      <c r="AL748" s="928"/>
      <c r="AM748" s="649"/>
      <c r="AN748" s="696"/>
      <c r="AO748" s="777"/>
      <c r="AP748" s="652">
        <f>I748</f>
        <v>506</v>
      </c>
      <c r="AQ748" s="652"/>
      <c r="AR748" s="777"/>
      <c r="AS748" s="777"/>
      <c r="AT748" s="929"/>
      <c r="AU748" s="652">
        <f t="shared" si="407"/>
        <v>506</v>
      </c>
      <c r="AV748" s="652"/>
      <c r="AW748" s="777"/>
      <c r="AX748" s="929"/>
      <c r="AY748" s="652"/>
      <c r="AZ748" s="697"/>
      <c r="BA748" s="930"/>
      <c r="BB748" s="654">
        <f>I748/11</f>
        <v>46</v>
      </c>
      <c r="BC748" s="697"/>
      <c r="BD748" s="697"/>
      <c r="BE748" s="654"/>
      <c r="BF748" s="697"/>
      <c r="BG748" s="931"/>
      <c r="BH748" s="658"/>
      <c r="BI748" s="778"/>
      <c r="BJ748" s="778"/>
      <c r="BK748" s="778"/>
      <c r="BL748" s="644"/>
      <c r="BM748" s="658"/>
      <c r="BN748" s="644"/>
      <c r="BO748" s="644"/>
      <c r="BP748" s="779"/>
      <c r="BQ748" s="654"/>
      <c r="BR748" s="697"/>
      <c r="BS748" s="654"/>
      <c r="BT748" s="654"/>
      <c r="BU748" s="654"/>
      <c r="BV748" s="654"/>
      <c r="BW748" s="645" t="s">
        <v>109</v>
      </c>
      <c r="BX748" s="658">
        <f t="shared" si="398"/>
        <v>115</v>
      </c>
      <c r="BY748" s="658">
        <f t="shared" si="399"/>
        <v>138</v>
      </c>
      <c r="BZ748" s="658">
        <f t="shared" si="400"/>
        <v>138</v>
      </c>
      <c r="CA748" s="658">
        <f t="shared" si="401"/>
        <v>115</v>
      </c>
      <c r="CB748" s="644">
        <f t="shared" si="402"/>
        <v>506</v>
      </c>
      <c r="CC748" s="658">
        <f t="shared" si="403"/>
        <v>46</v>
      </c>
      <c r="CD748" s="644">
        <f t="shared" si="397"/>
        <v>506</v>
      </c>
      <c r="CE748" s="659">
        <v>0</v>
      </c>
    </row>
    <row r="749" s="338" customFormat="1" ht="40" customHeight="1" spans="1:84 16332:16384">
      <c r="A749" s="632">
        <v>46149</v>
      </c>
      <c r="B749" s="633" t="s">
        <v>379</v>
      </c>
      <c r="C749" s="634" t="s">
        <v>380</v>
      </c>
      <c r="D749" s="635">
        <v>4500204860</v>
      </c>
      <c r="E749" s="659" t="s">
        <v>3204</v>
      </c>
      <c r="F749" s="635" t="s">
        <v>3205</v>
      </c>
      <c r="G749" s="637" t="s">
        <v>1992</v>
      </c>
      <c r="H749" s="637" t="s">
        <v>1993</v>
      </c>
      <c r="I749" s="638">
        <v>480</v>
      </c>
      <c r="J749" s="638">
        <v>0</v>
      </c>
      <c r="K749" s="639">
        <v>24</v>
      </c>
      <c r="L749" s="639">
        <f t="shared" si="408"/>
        <v>20</v>
      </c>
      <c r="M749" s="641">
        <v>46202</v>
      </c>
      <c r="N749" s="641">
        <v>46198</v>
      </c>
      <c r="O749" s="642" t="s">
        <v>3206</v>
      </c>
      <c r="P749" s="903" t="s">
        <v>100</v>
      </c>
      <c r="Q749" s="643"/>
      <c r="R749" s="642" t="s">
        <v>993</v>
      </c>
      <c r="S749" s="641"/>
      <c r="T749" s="641"/>
      <c r="U749" s="903" t="s">
        <v>3207</v>
      </c>
      <c r="V749" s="642"/>
      <c r="W749" s="645"/>
      <c r="X749" s="647" t="s">
        <v>3208</v>
      </c>
      <c r="Y749" s="646" t="s">
        <v>596</v>
      </c>
      <c r="Z749" s="683">
        <v>2.6493</v>
      </c>
      <c r="AA749" s="650">
        <f t="shared" si="406"/>
        <v>1271.664</v>
      </c>
      <c r="AB749" s="649">
        <v>480</v>
      </c>
      <c r="AC749" s="912">
        <f t="shared" si="382"/>
        <v>0</v>
      </c>
      <c r="AD749" s="932" t="s">
        <v>106</v>
      </c>
      <c r="AE749" s="637" t="s">
        <v>1992</v>
      </c>
      <c r="AF749" s="747" t="s">
        <v>107</v>
      </c>
      <c r="AG749" s="881" t="s">
        <v>43</v>
      </c>
      <c r="AH749" s="646"/>
      <c r="AI749" s="701"/>
      <c r="AJ749" s="649"/>
      <c r="AK749" s="652"/>
      <c r="AL749" s="652"/>
      <c r="AM749" s="652"/>
      <c r="AN749" s="652"/>
      <c r="AO749" s="652"/>
      <c r="AP749" s="652">
        <f>I749</f>
        <v>480</v>
      </c>
      <c r="AQ749" s="652"/>
      <c r="AR749" s="654"/>
      <c r="AS749" s="654"/>
      <c r="AT749" s="654"/>
      <c r="AU749" s="652">
        <f t="shared" si="407"/>
        <v>480</v>
      </c>
      <c r="AV749" s="658"/>
      <c r="AW749" s="658"/>
      <c r="AX749" s="644"/>
      <c r="AY749" s="658"/>
      <c r="AZ749" s="644"/>
      <c r="BA749" s="644"/>
      <c r="BB749" s="654"/>
      <c r="BC749" s="654"/>
      <c r="BD749" s="654"/>
      <c r="BE749" s="654"/>
      <c r="BF749" s="654"/>
      <c r="BG749" s="645"/>
      <c r="BH749" s="658"/>
      <c r="BI749" s="658"/>
      <c r="BJ749" s="658"/>
      <c r="BK749" s="658"/>
      <c r="BL749" s="644"/>
      <c r="BM749" s="658"/>
      <c r="BN749" s="644"/>
      <c r="BO749" s="644"/>
      <c r="BP749" s="918"/>
      <c r="BQ749" s="654"/>
      <c r="BR749" s="654"/>
      <c r="BS749" s="654"/>
      <c r="BT749" s="654"/>
      <c r="BU749" s="654"/>
      <c r="BV749" s="654"/>
      <c r="BW749" s="645" t="s">
        <v>109</v>
      </c>
      <c r="BX749" s="658"/>
      <c r="BY749" s="658"/>
      <c r="BZ749" s="658"/>
      <c r="CA749" s="658">
        <f>I749</f>
        <v>480</v>
      </c>
      <c r="CB749" s="644"/>
      <c r="CC749" s="658"/>
      <c r="CD749" s="644">
        <f>I749</f>
        <v>480</v>
      </c>
      <c r="CE749" s="644">
        <v>0</v>
      </c>
      <c r="CF749" s="917"/>
      <c r="XDX749" s="885"/>
      <c r="XDY749" s="885"/>
      <c r="XDZ749" s="885"/>
      <c r="XEA749" s="885"/>
      <c r="XEB749" s="885"/>
      <c r="XEC749" s="885"/>
      <c r="XED749" s="885"/>
      <c r="XEE749" s="885"/>
      <c r="XEF749" s="885"/>
      <c r="XEG749" s="885"/>
      <c r="XEH749" s="885"/>
      <c r="XEI749" s="885"/>
      <c r="XEJ749" s="885"/>
      <c r="XEK749" s="885"/>
      <c r="XEL749" s="885"/>
      <c r="XEM749" s="885"/>
      <c r="XEN749" s="885"/>
      <c r="XEO749" s="885"/>
      <c r="XEP749" s="888"/>
      <c r="XEQ749" s="889"/>
      <c r="XER749" s="890"/>
      <c r="XES749" s="891"/>
      <c r="XET749" s="892"/>
      <c r="XEU749" s="891"/>
      <c r="XEV749" s="893"/>
      <c r="XEW749" s="893"/>
      <c r="XEX749" s="894"/>
      <c r="XEY749" s="894"/>
      <c r="XEZ749" s="895"/>
      <c r="XFA749" s="895"/>
      <c r="XFB749" s="896"/>
      <c r="XFC749" s="896"/>
      <c r="XFD749" s="902"/>
    </row>
    <row r="750" s="338" customFormat="1" ht="40" customHeight="1" spans="1:84 16332:16384">
      <c r="A750" s="632">
        <v>46164</v>
      </c>
      <c r="B750" s="633" t="s">
        <v>3209</v>
      </c>
      <c r="C750" s="634" t="s">
        <v>214</v>
      </c>
      <c r="D750" s="933">
        <v>4500207784</v>
      </c>
      <c r="E750" s="666">
        <v>1904360</v>
      </c>
      <c r="F750" s="635" t="s">
        <v>3210</v>
      </c>
      <c r="G750" s="637" t="s">
        <v>1830</v>
      </c>
      <c r="H750" s="637" t="s">
        <v>1831</v>
      </c>
      <c r="I750" s="638">
        <v>368</v>
      </c>
      <c r="J750" s="638">
        <v>0</v>
      </c>
      <c r="K750" s="639">
        <v>16</v>
      </c>
      <c r="L750" s="639">
        <f t="shared" si="408"/>
        <v>23</v>
      </c>
      <c r="M750" s="641">
        <v>46203</v>
      </c>
      <c r="N750" s="641">
        <v>46199</v>
      </c>
      <c r="O750" s="641"/>
      <c r="P750" s="903" t="s">
        <v>100</v>
      </c>
      <c r="Q750" s="643"/>
      <c r="R750" s="642" t="s">
        <v>1450</v>
      </c>
      <c r="S750" s="925"/>
      <c r="T750" s="925"/>
      <c r="U750" s="642" t="s">
        <v>113</v>
      </c>
      <c r="V750" s="934" t="s">
        <v>3211</v>
      </c>
      <c r="W750" s="645"/>
      <c r="X750" s="647" t="s">
        <v>3212</v>
      </c>
      <c r="Y750" s="646" t="s">
        <v>3213</v>
      </c>
      <c r="Z750" s="683">
        <v>3.1397</v>
      </c>
      <c r="AA750" s="650">
        <f t="shared" si="406"/>
        <v>1155.4096</v>
      </c>
      <c r="AB750" s="649">
        <v>368</v>
      </c>
      <c r="AC750" s="912">
        <f t="shared" si="382"/>
        <v>0</v>
      </c>
      <c r="AD750" s="906" t="s">
        <v>106</v>
      </c>
      <c r="AE750" s="637" t="s">
        <v>1830</v>
      </c>
      <c r="AF750" s="747" t="s">
        <v>107</v>
      </c>
      <c r="AG750" s="881" t="s">
        <v>43</v>
      </c>
      <c r="AH750" s="646"/>
      <c r="AI750" s="693"/>
      <c r="AJ750" s="693"/>
      <c r="AK750" s="693"/>
      <c r="AL750" s="913"/>
      <c r="AM750" s="649">
        <f>I750*2</f>
        <v>736</v>
      </c>
      <c r="AN750" s="693"/>
      <c r="AO750" s="882"/>
      <c r="AP750" s="652"/>
      <c r="AQ750" s="652"/>
      <c r="AR750" s="882"/>
      <c r="AS750" s="882"/>
      <c r="AT750" s="744"/>
      <c r="AU750" s="747">
        <f>I750*2</f>
        <v>736</v>
      </c>
      <c r="AV750" s="652"/>
      <c r="AW750" s="882"/>
      <c r="AX750" s="744"/>
      <c r="AY750" s="652"/>
      <c r="AZ750" s="694"/>
      <c r="BA750" s="700"/>
      <c r="BB750" s="654"/>
      <c r="BC750" s="694"/>
      <c r="BD750" s="694"/>
      <c r="BE750" s="654"/>
      <c r="BF750" s="694"/>
      <c r="BG750" s="923"/>
      <c r="BH750" s="658"/>
      <c r="BI750" s="883"/>
      <c r="BJ750" s="883"/>
      <c r="BK750" s="883"/>
      <c r="BL750" s="644"/>
      <c r="BM750" s="658"/>
      <c r="BN750" s="644"/>
      <c r="BO750" s="644"/>
      <c r="BP750" s="884"/>
      <c r="BQ750" s="654"/>
      <c r="BR750" s="694"/>
      <c r="BS750" s="654"/>
      <c r="BT750" s="654"/>
      <c r="BU750" s="654"/>
      <c r="BV750" s="654"/>
      <c r="BW750" s="645" t="s">
        <v>109</v>
      </c>
      <c r="BX750" s="658">
        <f>I750/4*2</f>
        <v>184</v>
      </c>
      <c r="BY750" s="658">
        <f>I750/4*2</f>
        <v>184</v>
      </c>
      <c r="BZ750" s="658">
        <f>I750/4*2</f>
        <v>184</v>
      </c>
      <c r="CA750" s="658">
        <f>I750/4*2</f>
        <v>184</v>
      </c>
      <c r="CB750" s="644">
        <f t="shared" ref="CB750:CB758" si="409">I750</f>
        <v>368</v>
      </c>
      <c r="CC750" s="658"/>
      <c r="CD750" s="644">
        <f t="shared" ref="CD750:CD756" si="410">SUM(BX750:CA750)</f>
        <v>736</v>
      </c>
      <c r="CE750" s="644">
        <f>I750-CD750</f>
        <v>-368</v>
      </c>
      <c r="CF750" s="917"/>
      <c r="XEN750" s="885"/>
      <c r="XEO750" s="885"/>
      <c r="XEP750" s="885"/>
      <c r="XEQ750" s="885"/>
      <c r="XER750" s="885"/>
      <c r="XES750" s="885"/>
      <c r="XET750" s="885"/>
      <c r="XEU750" s="885"/>
      <c r="XEV750" s="885"/>
      <c r="XEW750" s="885"/>
      <c r="XEX750" s="885"/>
      <c r="XEY750" s="885"/>
      <c r="XEZ750" s="885"/>
      <c r="XFA750" s="885"/>
      <c r="XFB750" s="885"/>
      <c r="XFC750" s="885"/>
      <c r="XFD750" s="885"/>
    </row>
    <row r="751" s="338" customFormat="1" ht="40" customHeight="1" spans="1:84 16332:16384">
      <c r="A751" s="632">
        <v>46164</v>
      </c>
      <c r="B751" s="633" t="s">
        <v>3209</v>
      </c>
      <c r="C751" s="634" t="s">
        <v>214</v>
      </c>
      <c r="D751" s="933">
        <v>4500207784</v>
      </c>
      <c r="E751" s="666">
        <v>1904359</v>
      </c>
      <c r="F751" s="635" t="s">
        <v>3214</v>
      </c>
      <c r="G751" s="637" t="s">
        <v>1830</v>
      </c>
      <c r="H751" s="637" t="s">
        <v>1831</v>
      </c>
      <c r="I751" s="638">
        <v>176</v>
      </c>
      <c r="J751" s="638">
        <v>0</v>
      </c>
      <c r="K751" s="639">
        <v>16</v>
      </c>
      <c r="L751" s="639">
        <f t="shared" si="408"/>
        <v>11</v>
      </c>
      <c r="M751" s="641">
        <v>46203</v>
      </c>
      <c r="N751" s="641">
        <v>46199</v>
      </c>
      <c r="O751" s="641"/>
      <c r="P751" s="903" t="s">
        <v>100</v>
      </c>
      <c r="Q751" s="643"/>
      <c r="R751" s="642" t="s">
        <v>1450</v>
      </c>
      <c r="S751" s="925"/>
      <c r="T751" s="925"/>
      <c r="U751" s="642" t="s">
        <v>113</v>
      </c>
      <c r="V751" s="934" t="s">
        <v>3211</v>
      </c>
      <c r="W751" s="645"/>
      <c r="X751" s="647" t="s">
        <v>3212</v>
      </c>
      <c r="Y751" s="646" t="s">
        <v>3213</v>
      </c>
      <c r="Z751" s="683">
        <v>3.1397</v>
      </c>
      <c r="AA751" s="650">
        <f t="shared" si="406"/>
        <v>552.5872</v>
      </c>
      <c r="AB751" s="649">
        <v>176</v>
      </c>
      <c r="AC751" s="912">
        <f t="shared" si="382"/>
        <v>0</v>
      </c>
      <c r="AD751" s="906" t="s">
        <v>106</v>
      </c>
      <c r="AE751" s="637" t="s">
        <v>1830</v>
      </c>
      <c r="AF751" s="747" t="s">
        <v>107</v>
      </c>
      <c r="AG751" s="881" t="s">
        <v>43</v>
      </c>
      <c r="AH751" s="646"/>
      <c r="AI751" s="693"/>
      <c r="AJ751" s="693"/>
      <c r="AK751" s="693"/>
      <c r="AL751" s="913"/>
      <c r="AM751" s="649">
        <f>I751*2</f>
        <v>352</v>
      </c>
      <c r="AN751" s="693"/>
      <c r="AO751" s="882"/>
      <c r="AP751" s="652"/>
      <c r="AQ751" s="652"/>
      <c r="AR751" s="882"/>
      <c r="AS751" s="882"/>
      <c r="AT751" s="744"/>
      <c r="AU751" s="747">
        <f>I751*2</f>
        <v>352</v>
      </c>
      <c r="AV751" s="652"/>
      <c r="AW751" s="882"/>
      <c r="AX751" s="744"/>
      <c r="AY751" s="652"/>
      <c r="AZ751" s="694"/>
      <c r="BA751" s="700"/>
      <c r="BB751" s="654"/>
      <c r="BC751" s="694"/>
      <c r="BD751" s="694"/>
      <c r="BE751" s="654"/>
      <c r="BF751" s="694"/>
      <c r="BG751" s="923"/>
      <c r="BH751" s="658"/>
      <c r="BI751" s="883"/>
      <c r="BJ751" s="883"/>
      <c r="BK751" s="883"/>
      <c r="BL751" s="644"/>
      <c r="BM751" s="658"/>
      <c r="BN751" s="644"/>
      <c r="BO751" s="644"/>
      <c r="BP751" s="884"/>
      <c r="BQ751" s="654"/>
      <c r="BR751" s="694"/>
      <c r="BS751" s="654"/>
      <c r="BT751" s="654"/>
      <c r="BU751" s="654"/>
      <c r="BV751" s="654"/>
      <c r="BW751" s="645" t="s">
        <v>109</v>
      </c>
      <c r="BX751" s="658">
        <f>I751/4*2</f>
        <v>88</v>
      </c>
      <c r="BY751" s="658">
        <f>I751/4*2</f>
        <v>88</v>
      </c>
      <c r="BZ751" s="658">
        <f>I751/4*2</f>
        <v>88</v>
      </c>
      <c r="CA751" s="658">
        <f>I751/4*2</f>
        <v>88</v>
      </c>
      <c r="CB751" s="644">
        <f t="shared" si="409"/>
        <v>176</v>
      </c>
      <c r="CC751" s="658"/>
      <c r="CD751" s="644">
        <f t="shared" si="410"/>
        <v>352</v>
      </c>
      <c r="CE751" s="644">
        <f>I751-CD751</f>
        <v>-176</v>
      </c>
      <c r="CF751" s="917"/>
      <c r="XEN751" s="885"/>
      <c r="XEO751" s="885"/>
      <c r="XEP751" s="885"/>
      <c r="XEQ751" s="885"/>
      <c r="XER751" s="885"/>
      <c r="XES751" s="885"/>
      <c r="XET751" s="885"/>
      <c r="XEU751" s="885"/>
      <c r="XEV751" s="885"/>
      <c r="XEW751" s="885"/>
      <c r="XEX751" s="885"/>
      <c r="XEY751" s="885"/>
      <c r="XEZ751" s="885"/>
      <c r="XFA751" s="885"/>
      <c r="XFB751" s="885"/>
      <c r="XFC751" s="885"/>
      <c r="XFD751" s="885"/>
    </row>
    <row r="752" s="338" customFormat="1" ht="40" customHeight="1" spans="1:84 16332:16384">
      <c r="A752" s="632">
        <v>46164</v>
      </c>
      <c r="B752" s="633" t="s">
        <v>3215</v>
      </c>
      <c r="C752" s="634" t="s">
        <v>178</v>
      </c>
      <c r="D752" s="635">
        <v>4500208801</v>
      </c>
      <c r="E752" s="659" t="s">
        <v>3216</v>
      </c>
      <c r="F752" s="635" t="s">
        <v>3217</v>
      </c>
      <c r="G752" s="637" t="s">
        <v>111</v>
      </c>
      <c r="H752" s="637" t="s">
        <v>99</v>
      </c>
      <c r="I752" s="638">
        <v>88</v>
      </c>
      <c r="J752" s="638">
        <v>0</v>
      </c>
      <c r="K752" s="639">
        <v>22</v>
      </c>
      <c r="L752" s="639">
        <f t="shared" si="408"/>
        <v>4</v>
      </c>
      <c r="M752" s="641">
        <v>46203</v>
      </c>
      <c r="N752" s="641">
        <v>46199</v>
      </c>
      <c r="O752" s="641"/>
      <c r="P752" s="903" t="s">
        <v>100</v>
      </c>
      <c r="Q752" s="643" t="s">
        <v>1347</v>
      </c>
      <c r="R752" s="903" t="s">
        <v>3218</v>
      </c>
      <c r="S752" s="925"/>
      <c r="T752" s="925"/>
      <c r="U752" s="903" t="s">
        <v>3219</v>
      </c>
      <c r="V752" s="926"/>
      <c r="W752" s="645"/>
      <c r="X752" s="647" t="s">
        <v>3220</v>
      </c>
      <c r="Y752" s="646" t="s">
        <v>3221</v>
      </c>
      <c r="Z752" s="683">
        <v>2.7592</v>
      </c>
      <c r="AA752" s="650">
        <f t="shared" si="406"/>
        <v>242.8096</v>
      </c>
      <c r="AB752" s="649">
        <v>88</v>
      </c>
      <c r="AC752" s="912">
        <f>AB752-I752</f>
        <v>0</v>
      </c>
      <c r="AD752" s="906" t="s">
        <v>123</v>
      </c>
      <c r="AE752" s="661" t="s">
        <v>230</v>
      </c>
      <c r="AF752" s="935" t="s">
        <v>107</v>
      </c>
      <c r="AG752" s="881" t="s">
        <v>43</v>
      </c>
      <c r="AH752" s="646"/>
      <c r="AI752" s="693"/>
      <c r="AJ752" s="693"/>
      <c r="AK752" s="693"/>
      <c r="AL752" s="936"/>
      <c r="AM752" s="649"/>
      <c r="AN752" s="693"/>
      <c r="AO752" s="882"/>
      <c r="AP752" s="652">
        <f>I752</f>
        <v>88</v>
      </c>
      <c r="AQ752" s="652"/>
      <c r="AR752" s="882"/>
      <c r="AS752" s="882"/>
      <c r="AT752" s="882"/>
      <c r="AU752" s="652">
        <f t="shared" ref="AU752:AU758" si="411">I752</f>
        <v>88</v>
      </c>
      <c r="AV752" s="652"/>
      <c r="AW752" s="882"/>
      <c r="AX752" s="882"/>
      <c r="AY752" s="652"/>
      <c r="AZ752" s="694"/>
      <c r="BA752" s="694"/>
      <c r="BB752" s="654">
        <f>I752/11</f>
        <v>8</v>
      </c>
      <c r="BC752" s="694"/>
      <c r="BD752" s="694"/>
      <c r="BE752" s="654"/>
      <c r="BF752" s="694"/>
      <c r="BG752" s="923"/>
      <c r="BH752" s="658"/>
      <c r="BI752" s="883"/>
      <c r="BJ752" s="883"/>
      <c r="BK752" s="883"/>
      <c r="BL752" s="644"/>
      <c r="BM752" s="658"/>
      <c r="BN752" s="644"/>
      <c r="BO752" s="644"/>
      <c r="BP752" s="884"/>
      <c r="BQ752" s="654"/>
      <c r="BR752" s="694"/>
      <c r="BS752" s="654"/>
      <c r="BT752" s="654"/>
      <c r="BU752" s="654"/>
      <c r="BV752" s="654"/>
      <c r="BW752" s="645" t="s">
        <v>109</v>
      </c>
      <c r="BX752" s="658">
        <f>I752/22*5</f>
        <v>20</v>
      </c>
      <c r="BY752" s="658">
        <f>I752/22*6</f>
        <v>24</v>
      </c>
      <c r="BZ752" s="658">
        <f>I752/22*6</f>
        <v>24</v>
      </c>
      <c r="CA752" s="658">
        <f>I752/22*5</f>
        <v>20</v>
      </c>
      <c r="CB752" s="644">
        <f t="shared" si="409"/>
        <v>88</v>
      </c>
      <c r="CC752" s="658">
        <f>I752/11</f>
        <v>8</v>
      </c>
      <c r="CD752" s="644">
        <f t="shared" si="410"/>
        <v>88</v>
      </c>
      <c r="CE752" s="644">
        <v>0</v>
      </c>
      <c r="CF752" s="917"/>
      <c r="XEN752" s="885"/>
      <c r="XEO752" s="885"/>
      <c r="XEP752" s="885"/>
      <c r="XEQ752" s="885"/>
      <c r="XER752" s="885"/>
      <c r="XES752" s="885"/>
      <c r="XET752" s="885"/>
      <c r="XEU752" s="885"/>
      <c r="XEV752" s="885"/>
      <c r="XEW752" s="885"/>
      <c r="XEX752" s="885"/>
      <c r="XEY752" s="885"/>
      <c r="XEZ752" s="885"/>
      <c r="XFA752" s="885"/>
      <c r="XFB752" s="885"/>
      <c r="XFC752" s="885"/>
      <c r="XFD752" s="885"/>
    </row>
    <row r="753" s="338" customFormat="1" ht="40" customHeight="1" spans="1:84 16224:16384">
      <c r="A753" s="632">
        <v>46157</v>
      </c>
      <c r="B753" s="633" t="s">
        <v>3222</v>
      </c>
      <c r="C753" s="634" t="s">
        <v>205</v>
      </c>
      <c r="D753" s="635">
        <v>4500206895</v>
      </c>
      <c r="E753" s="659" t="s">
        <v>3015</v>
      </c>
      <c r="F753" s="635" t="s">
        <v>3223</v>
      </c>
      <c r="G753" s="637" t="s">
        <v>111</v>
      </c>
      <c r="H753" s="637" t="s">
        <v>99</v>
      </c>
      <c r="I753" s="638">
        <v>1012</v>
      </c>
      <c r="J753" s="638">
        <v>0</v>
      </c>
      <c r="K753" s="639">
        <v>22</v>
      </c>
      <c r="L753" s="639">
        <f t="shared" si="408"/>
        <v>46</v>
      </c>
      <c r="M753" s="641">
        <v>46195</v>
      </c>
      <c r="N753" s="937">
        <v>46204</v>
      </c>
      <c r="O753" s="641"/>
      <c r="P753" s="903" t="s">
        <v>100</v>
      </c>
      <c r="Q753" s="643"/>
      <c r="R753" s="642" t="s">
        <v>3224</v>
      </c>
      <c r="S753" s="641"/>
      <c r="T753" s="641"/>
      <c r="U753" s="903" t="s">
        <v>3225</v>
      </c>
      <c r="V753" s="642"/>
      <c r="W753" s="645"/>
      <c r="X753" s="938" t="s">
        <v>3226</v>
      </c>
      <c r="Y753" s="646" t="s">
        <v>3227</v>
      </c>
      <c r="Z753" s="683">
        <v>2.7804</v>
      </c>
      <c r="AA753" s="650">
        <f t="shared" si="406"/>
        <v>2813.7648</v>
      </c>
      <c r="AB753" s="649">
        <v>1012</v>
      </c>
      <c r="AC753" s="912">
        <f>AB753-I753</f>
        <v>0</v>
      </c>
      <c r="AD753" s="906" t="s">
        <v>123</v>
      </c>
      <c r="AE753" s="661" t="s">
        <v>111</v>
      </c>
      <c r="AF753" s="747" t="s">
        <v>107</v>
      </c>
      <c r="AG753" s="881" t="s">
        <v>43</v>
      </c>
      <c r="AH753" s="646"/>
      <c r="AI753" s="699"/>
      <c r="AJ753" s="744"/>
      <c r="AK753" s="744"/>
      <c r="AL753" s="744"/>
      <c r="AM753" s="652">
        <f>I753</f>
        <v>1012</v>
      </c>
      <c r="AN753" s="744"/>
      <c r="AO753" s="744"/>
      <c r="AP753" s="654"/>
      <c r="AQ753" s="658"/>
      <c r="AR753" s="919"/>
      <c r="AS753" s="915"/>
      <c r="AT753" s="919"/>
      <c r="AU753" s="644">
        <f t="shared" si="411"/>
        <v>1012</v>
      </c>
      <c r="AV753" s="654"/>
      <c r="AW753" s="700"/>
      <c r="AX753" s="700"/>
      <c r="AY753" s="652"/>
      <c r="AZ753" s="700"/>
      <c r="BA753" s="914"/>
      <c r="BB753" s="939">
        <f>I753/11</f>
        <v>92</v>
      </c>
      <c r="BC753" s="915"/>
      <c r="BD753" s="915"/>
      <c r="BE753" s="654"/>
      <c r="BF753" s="654"/>
      <c r="BG753" s="645"/>
      <c r="BH753" s="658"/>
      <c r="BI753" s="658"/>
      <c r="BJ753" s="658"/>
      <c r="BK753" s="658"/>
      <c r="BL753" s="644"/>
      <c r="BM753" s="658"/>
      <c r="BN753" s="644"/>
      <c r="BO753" s="644"/>
      <c r="BP753" s="918"/>
      <c r="BQ753" s="654"/>
      <c r="BR753" s="654"/>
      <c r="BS753" s="654"/>
      <c r="BT753" s="654"/>
      <c r="BU753" s="654"/>
      <c r="BV753" s="654"/>
      <c r="BW753" s="645" t="s">
        <v>109</v>
      </c>
      <c r="BX753" s="658">
        <f>I753/22*5</f>
        <v>230</v>
      </c>
      <c r="BY753" s="658">
        <f>I753/22*6</f>
        <v>276</v>
      </c>
      <c r="BZ753" s="658">
        <f>I753/22*6</f>
        <v>276</v>
      </c>
      <c r="CA753" s="658">
        <f>I753/22*5</f>
        <v>230</v>
      </c>
      <c r="CB753" s="644">
        <f t="shared" si="409"/>
        <v>1012</v>
      </c>
      <c r="CC753" s="658">
        <f>I753/11</f>
        <v>92</v>
      </c>
      <c r="CD753" s="644">
        <f t="shared" si="410"/>
        <v>1012</v>
      </c>
      <c r="CE753" s="644">
        <v>0</v>
      </c>
      <c r="CF753" s="917"/>
      <c r="XDR753" s="885"/>
      <c r="XDS753" s="885"/>
      <c r="XDT753" s="885"/>
      <c r="XDU753" s="885"/>
      <c r="XDV753" s="885"/>
      <c r="XDW753" s="885"/>
      <c r="XDX753" s="885"/>
      <c r="XDY753" s="885"/>
      <c r="XDZ753" s="885"/>
      <c r="XEA753" s="885"/>
      <c r="XEB753" s="885"/>
      <c r="XEC753" s="885"/>
      <c r="XED753" s="885"/>
      <c r="XEE753" s="885"/>
      <c r="XEF753" s="885"/>
      <c r="XEG753" s="885"/>
      <c r="XEH753" s="885"/>
      <c r="XEI753" s="885"/>
      <c r="XEJ753" s="888"/>
      <c r="XEK753" s="889"/>
      <c r="XEL753" s="890"/>
      <c r="XEM753" s="891"/>
      <c r="XEN753" s="892"/>
      <c r="XEO753" s="891"/>
      <c r="XEP753" s="893"/>
      <c r="XEQ753" s="893"/>
      <c r="XER753" s="894"/>
      <c r="XES753" s="894"/>
      <c r="XET753" s="895"/>
      <c r="XEU753" s="895"/>
      <c r="XEV753" s="896"/>
      <c r="XEW753" s="896"/>
      <c r="XEX753" s="896"/>
      <c r="XEY753" s="902"/>
      <c r="XEZ753" s="902"/>
      <c r="XFA753" s="902"/>
      <c r="XFB753" s="896"/>
      <c r="XFC753" s="902"/>
      <c r="XFD753" s="902"/>
    </row>
    <row r="754" s="338" customFormat="1" ht="40" customHeight="1" spans="1:84 16224:16384">
      <c r="A754" s="632">
        <v>46164</v>
      </c>
      <c r="B754" s="633" t="s">
        <v>3228</v>
      </c>
      <c r="C754" s="634" t="s">
        <v>1896</v>
      </c>
      <c r="D754" s="635">
        <v>4500208595</v>
      </c>
      <c r="E754" s="659" t="s">
        <v>3229</v>
      </c>
      <c r="F754" s="635" t="s">
        <v>3230</v>
      </c>
      <c r="G754" s="637" t="s">
        <v>111</v>
      </c>
      <c r="H754" s="637" t="s">
        <v>99</v>
      </c>
      <c r="I754" s="638">
        <v>1210</v>
      </c>
      <c r="J754" s="638">
        <v>0</v>
      </c>
      <c r="K754" s="639">
        <v>22</v>
      </c>
      <c r="L754" s="639">
        <f t="shared" si="408"/>
        <v>55</v>
      </c>
      <c r="M754" s="641">
        <v>46209</v>
      </c>
      <c r="N754" s="641">
        <v>46205</v>
      </c>
      <c r="O754" s="641"/>
      <c r="P754" s="903" t="s">
        <v>100</v>
      </c>
      <c r="Q754" s="643" t="s">
        <v>3231</v>
      </c>
      <c r="R754" s="642" t="s">
        <v>1328</v>
      </c>
      <c r="S754" s="925"/>
      <c r="T754" s="925"/>
      <c r="U754" s="903" t="s">
        <v>3232</v>
      </c>
      <c r="V754" s="926"/>
      <c r="W754" s="645" t="s">
        <v>3233</v>
      </c>
      <c r="X754" s="647" t="s">
        <v>3234</v>
      </c>
      <c r="Y754" s="646" t="s">
        <v>3235</v>
      </c>
      <c r="Z754" s="683">
        <v>2.7449</v>
      </c>
      <c r="AA754" s="650">
        <f t="shared" si="406"/>
        <v>3321.329</v>
      </c>
      <c r="AB754" s="649">
        <f>1078+132</f>
        <v>1210</v>
      </c>
      <c r="AC754" s="912">
        <f>AB754-I754</f>
        <v>0</v>
      </c>
      <c r="AD754" s="906" t="s">
        <v>106</v>
      </c>
      <c r="AE754" s="661" t="s">
        <v>230</v>
      </c>
      <c r="AF754" s="747" t="s">
        <v>107</v>
      </c>
      <c r="AG754" s="881" t="s">
        <v>43</v>
      </c>
      <c r="AH754" s="646"/>
      <c r="AI754" s="693"/>
      <c r="AJ754" s="693"/>
      <c r="AK754" s="693"/>
      <c r="AL754" s="913"/>
      <c r="AM754" s="649"/>
      <c r="AN754" s="693"/>
      <c r="AO754" s="882"/>
      <c r="AP754" s="652">
        <f>I754</f>
        <v>1210</v>
      </c>
      <c r="AQ754" s="652"/>
      <c r="AR754" s="882"/>
      <c r="AS754" s="882"/>
      <c r="AT754" s="744"/>
      <c r="AU754" s="652">
        <f t="shared" si="411"/>
        <v>1210</v>
      </c>
      <c r="AV754" s="652"/>
      <c r="AW754" s="882"/>
      <c r="AX754" s="744"/>
      <c r="AY754" s="652"/>
      <c r="AZ754" s="694"/>
      <c r="BA754" s="700"/>
      <c r="BB754" s="654">
        <f>I754/11</f>
        <v>110</v>
      </c>
      <c r="BC754" s="694"/>
      <c r="BD754" s="694"/>
      <c r="BE754" s="654"/>
      <c r="BF754" s="694"/>
      <c r="BG754" s="923"/>
      <c r="BH754" s="658"/>
      <c r="BI754" s="883"/>
      <c r="BJ754" s="883"/>
      <c r="BK754" s="883"/>
      <c r="BL754" s="644"/>
      <c r="BM754" s="658"/>
      <c r="BN754" s="644"/>
      <c r="BO754" s="644"/>
      <c r="BP754" s="884"/>
      <c r="BQ754" s="654"/>
      <c r="BR754" s="694"/>
      <c r="BS754" s="654"/>
      <c r="BT754" s="654"/>
      <c r="BU754" s="654"/>
      <c r="BV754" s="654"/>
      <c r="BW754" s="645" t="s">
        <v>109</v>
      </c>
      <c r="BX754" s="658">
        <f>I754/22*5</f>
        <v>275</v>
      </c>
      <c r="BY754" s="658">
        <f>I754/22*6</f>
        <v>330</v>
      </c>
      <c r="BZ754" s="658">
        <f>I754/22*6</f>
        <v>330</v>
      </c>
      <c r="CA754" s="658">
        <f>I754/22*5</f>
        <v>275</v>
      </c>
      <c r="CB754" s="644">
        <f t="shared" si="409"/>
        <v>1210</v>
      </c>
      <c r="CC754" s="658">
        <f>I754/11</f>
        <v>110</v>
      </c>
      <c r="CD754" s="644">
        <f t="shared" si="410"/>
        <v>1210</v>
      </c>
      <c r="CE754" s="659">
        <v>0</v>
      </c>
      <c r="CF754" s="917"/>
      <c r="XEN754" s="885"/>
      <c r="XEO754" s="885"/>
      <c r="XEP754" s="885"/>
      <c r="XEQ754" s="885"/>
      <c r="XER754" s="885"/>
      <c r="XES754" s="885"/>
      <c r="XET754" s="885"/>
      <c r="XEU754" s="885"/>
      <c r="XEV754" s="885"/>
      <c r="XEW754" s="885"/>
      <c r="XEX754" s="885"/>
      <c r="XEY754" s="885"/>
      <c r="XEZ754" s="885"/>
      <c r="XFA754" s="885"/>
      <c r="XFB754" s="885"/>
      <c r="XFC754" s="885"/>
      <c r="XFD754" s="885"/>
    </row>
    <row r="755" s="338" customFormat="1" ht="40" customHeight="1" spans="1:84 16224:16384">
      <c r="A755" s="632">
        <v>46163</v>
      </c>
      <c r="B755" s="633" t="s">
        <v>3236</v>
      </c>
      <c r="C755" s="634" t="s">
        <v>466</v>
      </c>
      <c r="D755" s="635">
        <v>4500207968</v>
      </c>
      <c r="E755" s="659" t="s">
        <v>3015</v>
      </c>
      <c r="F755" s="635" t="s">
        <v>3237</v>
      </c>
      <c r="G755" s="637" t="s">
        <v>111</v>
      </c>
      <c r="H755" s="637" t="s">
        <v>99</v>
      </c>
      <c r="I755" s="638">
        <v>770</v>
      </c>
      <c r="J755" s="638">
        <v>0</v>
      </c>
      <c r="K755" s="639">
        <v>22</v>
      </c>
      <c r="L755" s="639">
        <f t="shared" si="408"/>
        <v>35</v>
      </c>
      <c r="M755" s="641">
        <v>46209</v>
      </c>
      <c r="N755" s="641">
        <v>46205</v>
      </c>
      <c r="O755" s="641"/>
      <c r="P755" s="903" t="s">
        <v>100</v>
      </c>
      <c r="Q755" s="643" t="s">
        <v>3238</v>
      </c>
      <c r="R755" s="903" t="s">
        <v>3239</v>
      </c>
      <c r="S755" s="925"/>
      <c r="T755" s="925"/>
      <c r="U755" s="903" t="s">
        <v>3240</v>
      </c>
      <c r="V755" s="926"/>
      <c r="W755" s="645"/>
      <c r="X755" s="647" t="s">
        <v>3241</v>
      </c>
      <c r="Y755" s="646" t="s">
        <v>972</v>
      </c>
      <c r="Z755" s="683">
        <v>2.7592</v>
      </c>
      <c r="AA755" s="650">
        <f t="shared" si="406"/>
        <v>2124.584</v>
      </c>
      <c r="AB755" s="649">
        <v>770</v>
      </c>
      <c r="AC755" s="912">
        <f>AB755-I755</f>
        <v>0</v>
      </c>
      <c r="AD755" s="906" t="s">
        <v>106</v>
      </c>
      <c r="AE755" s="661" t="s">
        <v>111</v>
      </c>
      <c r="AF755" s="747" t="s">
        <v>107</v>
      </c>
      <c r="AG755" s="881" t="s">
        <v>43</v>
      </c>
      <c r="AH755" s="646"/>
      <c r="AI755" s="693"/>
      <c r="AJ755" s="693"/>
      <c r="AK755" s="693"/>
      <c r="AL755" s="913"/>
      <c r="AM755" s="649">
        <f>I755</f>
        <v>770</v>
      </c>
      <c r="AN755" s="693"/>
      <c r="AO755" s="882"/>
      <c r="AP755" s="652"/>
      <c r="AQ755" s="652"/>
      <c r="AR755" s="882"/>
      <c r="AS755" s="882"/>
      <c r="AT755" s="744"/>
      <c r="AU755" s="652">
        <f t="shared" si="411"/>
        <v>770</v>
      </c>
      <c r="AV755" s="652"/>
      <c r="AW755" s="882"/>
      <c r="AX755" s="744"/>
      <c r="AY755" s="652"/>
      <c r="AZ755" s="694"/>
      <c r="BA755" s="700"/>
      <c r="BB755" s="927">
        <f>I755/11</f>
        <v>70</v>
      </c>
      <c r="BC755" s="694"/>
      <c r="BD755" s="694"/>
      <c r="BE755" s="654"/>
      <c r="BF755" s="694"/>
      <c r="BG755" s="923"/>
      <c r="BH755" s="658"/>
      <c r="BI755" s="883"/>
      <c r="BJ755" s="883"/>
      <c r="BK755" s="883"/>
      <c r="BL755" s="644"/>
      <c r="BM755" s="658"/>
      <c r="BN755" s="644"/>
      <c r="BO755" s="644"/>
      <c r="BP755" s="884"/>
      <c r="BQ755" s="654"/>
      <c r="BR755" s="694"/>
      <c r="BS755" s="654"/>
      <c r="BT755" s="654"/>
      <c r="BU755" s="654"/>
      <c r="BV755" s="654"/>
      <c r="BW755" s="645" t="s">
        <v>109</v>
      </c>
      <c r="BX755" s="658">
        <f>I755/22*5</f>
        <v>175</v>
      </c>
      <c r="BY755" s="658">
        <f>I755/22*6</f>
        <v>210</v>
      </c>
      <c r="BZ755" s="658">
        <f>I755/22*6</f>
        <v>210</v>
      </c>
      <c r="CA755" s="658">
        <f>I755/22*5</f>
        <v>175</v>
      </c>
      <c r="CB755" s="644">
        <f t="shared" si="409"/>
        <v>770</v>
      </c>
      <c r="CC755" s="658">
        <f>I755/11</f>
        <v>70</v>
      </c>
      <c r="CD755" s="644">
        <f t="shared" si="410"/>
        <v>770</v>
      </c>
      <c r="CE755" s="659">
        <v>0</v>
      </c>
      <c r="CF755" s="917"/>
      <c r="XEN755" s="885"/>
      <c r="XEO755" s="885"/>
      <c r="XEP755" s="885"/>
      <c r="XEQ755" s="885"/>
      <c r="XER755" s="885"/>
      <c r="XES755" s="885"/>
      <c r="XET755" s="885"/>
      <c r="XEU755" s="885"/>
      <c r="XEV755" s="885"/>
      <c r="XEW755" s="885"/>
      <c r="XEX755" s="885"/>
      <c r="XEY755" s="885"/>
      <c r="XEZ755" s="885"/>
      <c r="XFA755" s="885"/>
      <c r="XFB755" s="885"/>
      <c r="XFC755" s="885"/>
      <c r="XFD755" s="885"/>
    </row>
    <row r="756" s="338" customFormat="1" ht="40" customHeight="1" spans="1:84 16224:16384">
      <c r="A756" s="632">
        <v>46156</v>
      </c>
      <c r="B756" s="633" t="s">
        <v>1789</v>
      </c>
      <c r="C756" s="634" t="s">
        <v>380</v>
      </c>
      <c r="D756" s="635">
        <v>4500207210</v>
      </c>
      <c r="E756" s="666">
        <v>4400563559</v>
      </c>
      <c r="F756" s="635" t="s">
        <v>3242</v>
      </c>
      <c r="G756" s="637" t="s">
        <v>111</v>
      </c>
      <c r="H756" s="637" t="s">
        <v>99</v>
      </c>
      <c r="I756" s="638">
        <v>3014</v>
      </c>
      <c r="J756" s="638">
        <v>0</v>
      </c>
      <c r="K756" s="639">
        <v>22</v>
      </c>
      <c r="L756" s="639">
        <f t="shared" si="408"/>
        <v>137</v>
      </c>
      <c r="M756" s="641">
        <v>46210</v>
      </c>
      <c r="N756" s="641">
        <v>46206</v>
      </c>
      <c r="O756" s="641"/>
      <c r="P756" s="903" t="s">
        <v>100</v>
      </c>
      <c r="Q756" s="643" t="s">
        <v>1455</v>
      </c>
      <c r="R756" s="642" t="s">
        <v>3164</v>
      </c>
      <c r="S756" s="925"/>
      <c r="T756" s="925"/>
      <c r="U756" s="642" t="s">
        <v>3005</v>
      </c>
      <c r="V756" s="926"/>
      <c r="W756" s="645"/>
      <c r="X756" s="647" t="s">
        <v>3243</v>
      </c>
      <c r="Y756" s="646" t="s">
        <v>1864</v>
      </c>
      <c r="Z756" s="683">
        <v>2.7693</v>
      </c>
      <c r="AA756" s="650">
        <f t="shared" si="406"/>
        <v>8346.6702</v>
      </c>
      <c r="AB756" s="649">
        <v>3014</v>
      </c>
      <c r="AC756" s="912">
        <f>AB756-I756</f>
        <v>0</v>
      </c>
      <c r="AD756" s="906" t="s">
        <v>113</v>
      </c>
      <c r="AE756" s="661" t="s">
        <v>230</v>
      </c>
      <c r="AF756" s="747" t="s">
        <v>107</v>
      </c>
      <c r="AG756" s="652" t="s">
        <v>3244</v>
      </c>
      <c r="AH756" s="646"/>
      <c r="AI756" s="701"/>
      <c r="AJ756" s="649"/>
      <c r="AK756" s="652"/>
      <c r="AL756" s="652"/>
      <c r="AM756" s="652"/>
      <c r="AN756" s="652"/>
      <c r="AO756" s="652"/>
      <c r="AP756" s="652">
        <f>I756</f>
        <v>3014</v>
      </c>
      <c r="AQ756" s="652"/>
      <c r="AR756" s="654"/>
      <c r="AS756" s="654"/>
      <c r="AT756" s="654"/>
      <c r="AU756" s="658">
        <f t="shared" si="411"/>
        <v>3014</v>
      </c>
      <c r="AV756" s="644"/>
      <c r="AW756" s="658"/>
      <c r="AX756" s="644"/>
      <c r="AY756" s="644"/>
      <c r="AZ756" s="654"/>
      <c r="BA756" s="654"/>
      <c r="BB756" s="652">
        <f>I756/11</f>
        <v>274</v>
      </c>
      <c r="BC756" s="654"/>
      <c r="BD756" s="654"/>
      <c r="BE756" s="645"/>
      <c r="BF756" s="658">
        <v>685</v>
      </c>
      <c r="BG756" s="658">
        <v>822</v>
      </c>
      <c r="BH756" s="658"/>
      <c r="BI756" s="658"/>
      <c r="BJ756" s="644"/>
      <c r="BK756" s="658"/>
      <c r="BL756" s="644"/>
      <c r="BM756" s="644"/>
      <c r="BN756" s="887"/>
      <c r="BO756" s="887"/>
      <c r="BP756" s="918"/>
      <c r="BQ756" s="887"/>
      <c r="BR756" s="918"/>
      <c r="BS756" s="887"/>
      <c r="BT756" s="887"/>
      <c r="BU756" s="887"/>
      <c r="BV756" s="887"/>
      <c r="BW756" s="645" t="s">
        <v>109</v>
      </c>
      <c r="BX756" s="658">
        <f>I756/22*5</f>
        <v>685</v>
      </c>
      <c r="BY756" s="658">
        <f>I756/22*6</f>
        <v>822</v>
      </c>
      <c r="BZ756" s="658">
        <f>I756/22*6</f>
        <v>822</v>
      </c>
      <c r="CA756" s="658">
        <f>I756/22*5</f>
        <v>685</v>
      </c>
      <c r="CB756" s="644">
        <f t="shared" si="409"/>
        <v>3014</v>
      </c>
      <c r="CC756" s="658">
        <f>I756/11</f>
        <v>274</v>
      </c>
      <c r="CD756" s="644">
        <f t="shared" si="410"/>
        <v>3014</v>
      </c>
      <c r="CE756" s="659">
        <v>0</v>
      </c>
      <c r="CF756" s="917"/>
      <c r="XDV756" s="885"/>
      <c r="XDW756" s="885"/>
      <c r="XDX756" s="885"/>
      <c r="XDY756" s="885"/>
      <c r="XDZ756" s="885"/>
      <c r="XEA756" s="885"/>
      <c r="XEB756" s="885"/>
      <c r="XEC756" s="885"/>
      <c r="XED756" s="885"/>
      <c r="XEE756" s="885"/>
      <c r="XEF756" s="885"/>
      <c r="XEG756" s="885"/>
      <c r="XEH756" s="885"/>
      <c r="XEI756" s="885"/>
      <c r="XEJ756" s="885"/>
      <c r="XEK756" s="885"/>
      <c r="XEL756" s="885"/>
      <c r="XEM756" s="885"/>
      <c r="XEN756" s="885"/>
      <c r="XEO756" s="885"/>
      <c r="XEP756" s="885"/>
      <c r="XEQ756" s="885"/>
      <c r="XER756" s="885"/>
      <c r="XES756" s="885"/>
      <c r="XET756" s="885"/>
      <c r="XEU756" s="885"/>
      <c r="XEV756" s="885"/>
      <c r="XEW756" s="885"/>
      <c r="XEX756" s="885"/>
      <c r="XEY756" s="885"/>
      <c r="XEZ756" s="885"/>
      <c r="XFA756" s="885"/>
      <c r="XFB756" s="885"/>
      <c r="XFC756" s="885"/>
      <c r="XFD756" s="885"/>
    </row>
    <row r="757" s="338" customFormat="1" ht="40" customHeight="1" spans="1:84 16224:16384">
      <c r="A757" s="632">
        <v>46154</v>
      </c>
      <c r="B757" s="633" t="s">
        <v>1587</v>
      </c>
      <c r="C757" s="634" t="s">
        <v>178</v>
      </c>
      <c r="D757" s="635">
        <v>4500206329</v>
      </c>
      <c r="E757" s="659" t="s">
        <v>3245</v>
      </c>
      <c r="F757" s="635" t="s">
        <v>3246</v>
      </c>
      <c r="G757" s="637" t="s">
        <v>189</v>
      </c>
      <c r="H757" s="637" t="s">
        <v>99</v>
      </c>
      <c r="I757" s="940">
        <v>48</v>
      </c>
      <c r="J757" s="638">
        <v>0</v>
      </c>
      <c r="K757" s="639">
        <v>24</v>
      </c>
      <c r="L757" s="941">
        <f t="shared" ref="L757:L765" si="412">I757/K757</f>
        <v>2</v>
      </c>
      <c r="M757" s="641">
        <v>46204</v>
      </c>
      <c r="N757" s="641">
        <v>46200</v>
      </c>
      <c r="O757" s="641"/>
      <c r="P757" s="903" t="s">
        <v>100</v>
      </c>
      <c r="Q757" s="643"/>
      <c r="R757" s="642" t="s">
        <v>1317</v>
      </c>
      <c r="S757" s="925"/>
      <c r="T757" s="925"/>
      <c r="U757" s="642" t="s">
        <v>493</v>
      </c>
      <c r="V757" s="934" t="s">
        <v>3247</v>
      </c>
      <c r="W757" s="645"/>
      <c r="X757" s="647" t="s">
        <v>3248</v>
      </c>
      <c r="Y757" s="646" t="s">
        <v>734</v>
      </c>
      <c r="Z757" s="683">
        <v>2.5718</v>
      </c>
      <c r="AA757" s="650">
        <f t="shared" si="406"/>
        <v>123.4464</v>
      </c>
      <c r="AB757" s="649">
        <v>48</v>
      </c>
      <c r="AC757" s="649">
        <f t="shared" ref="AC757:AC765" si="413">AB757-I757</f>
        <v>0</v>
      </c>
      <c r="AD757" s="942" t="s">
        <v>106</v>
      </c>
      <c r="AE757" s="637" t="s">
        <v>190</v>
      </c>
      <c r="AF757" s="747" t="s">
        <v>107</v>
      </c>
      <c r="AG757" s="881" t="s">
        <v>43</v>
      </c>
      <c r="AH757" s="646"/>
      <c r="AI757" s="913"/>
      <c r="AJ757" s="699"/>
      <c r="AK757" s="744"/>
      <c r="AL757" s="652"/>
      <c r="AM757" s="652"/>
      <c r="AN757" s="744"/>
      <c r="AO757" s="744"/>
      <c r="AP757" s="652">
        <f>I757</f>
        <v>48</v>
      </c>
      <c r="AQ757" s="654"/>
      <c r="AR757" s="700"/>
      <c r="AS757" s="700"/>
      <c r="AT757" s="654"/>
      <c r="AU757" s="652">
        <f t="shared" si="411"/>
        <v>48</v>
      </c>
      <c r="AV757" s="644"/>
      <c r="AW757" s="915"/>
      <c r="AX757" s="644"/>
      <c r="AY757" s="644"/>
      <c r="AZ757" s="700"/>
      <c r="BA757" s="654"/>
      <c r="BB757" s="654"/>
      <c r="BC757" s="700"/>
      <c r="BD757" s="700"/>
      <c r="BE757" s="645"/>
      <c r="BF757" s="915"/>
      <c r="BG757" s="915"/>
      <c r="BH757" s="658"/>
      <c r="BI757" s="915"/>
      <c r="BJ757" s="919"/>
      <c r="BK757" s="915"/>
      <c r="BL757" s="644"/>
      <c r="BM757" s="644"/>
      <c r="BN757" s="887"/>
      <c r="BO757" s="887"/>
      <c r="BP757" s="920"/>
      <c r="BQ757" s="887"/>
      <c r="BR757" s="920"/>
      <c r="BS757" s="887"/>
      <c r="BT757" s="887"/>
      <c r="BU757" s="887"/>
      <c r="BV757" s="887"/>
      <c r="BW757" s="645" t="s">
        <v>109</v>
      </c>
      <c r="BX757" s="747"/>
      <c r="BY757" s="747"/>
      <c r="BZ757" s="747"/>
      <c r="CA757" s="747">
        <f>I757</f>
        <v>48</v>
      </c>
      <c r="CB757" s="747">
        <f t="shared" si="409"/>
        <v>48</v>
      </c>
      <c r="CC757" s="747"/>
      <c r="CD757" s="747">
        <f t="shared" ref="CD757:CD765" si="414">SUM(BX757:CA757)</f>
        <v>48</v>
      </c>
      <c r="CE757" s="747">
        <f>I757-CD757</f>
        <v>0</v>
      </c>
      <c r="CF757" s="917"/>
      <c r="XDV757" s="885"/>
      <c r="XDW757" s="885"/>
      <c r="XDX757" s="885"/>
      <c r="XDY757" s="885"/>
      <c r="XDZ757" s="885"/>
      <c r="XEA757" s="885"/>
      <c r="XEB757" s="885"/>
      <c r="XEC757" s="885"/>
      <c r="XED757" s="885"/>
      <c r="XEE757" s="885"/>
      <c r="XEF757" s="885"/>
      <c r="XEG757" s="885"/>
      <c r="XEH757" s="885"/>
      <c r="XEI757" s="885"/>
      <c r="XEJ757" s="885"/>
      <c r="XEK757" s="885"/>
      <c r="XEL757" s="885"/>
      <c r="XEM757" s="885"/>
      <c r="XEN757" s="888"/>
      <c r="XEO757" s="889"/>
      <c r="XEP757" s="890"/>
      <c r="XEQ757" s="891"/>
      <c r="XER757" s="892"/>
      <c r="XES757" s="891"/>
      <c r="XET757" s="893"/>
      <c r="XEU757" s="893"/>
      <c r="XEV757" s="943"/>
      <c r="XEW757" s="894"/>
      <c r="XEX757" s="895"/>
      <c r="XEY757" s="895"/>
      <c r="XEZ757" s="896"/>
      <c r="XFA757" s="896"/>
      <c r="XFB757" s="896"/>
      <c r="XFC757" s="902"/>
      <c r="XFD757" s="902"/>
    </row>
    <row r="758" s="338" customFormat="1" ht="40" customHeight="1" spans="1:84 16224:16384">
      <c r="A758" s="632">
        <v>46154</v>
      </c>
      <c r="B758" s="659" t="s">
        <v>1587</v>
      </c>
      <c r="C758" s="634" t="s">
        <v>178</v>
      </c>
      <c r="D758" s="635">
        <v>4500206414</v>
      </c>
      <c r="E758" s="659" t="s">
        <v>3249</v>
      </c>
      <c r="F758" s="636" t="s">
        <v>3250</v>
      </c>
      <c r="G758" s="637" t="s">
        <v>159</v>
      </c>
      <c r="H758" s="637" t="s">
        <v>99</v>
      </c>
      <c r="I758" s="638">
        <v>504</v>
      </c>
      <c r="J758" s="638">
        <v>0</v>
      </c>
      <c r="K758" s="639">
        <v>24</v>
      </c>
      <c r="L758" s="639">
        <f t="shared" si="412"/>
        <v>21</v>
      </c>
      <c r="M758" s="641">
        <v>46204</v>
      </c>
      <c r="N758" s="641">
        <v>46200</v>
      </c>
      <c r="O758" s="641"/>
      <c r="P758" s="903" t="s">
        <v>100</v>
      </c>
      <c r="Q758" s="643"/>
      <c r="R758" s="642" t="s">
        <v>1317</v>
      </c>
      <c r="S758" s="926"/>
      <c r="T758" s="926"/>
      <c r="U758" s="642" t="s">
        <v>2558</v>
      </c>
      <c r="V758" s="934" t="s">
        <v>3247</v>
      </c>
      <c r="W758" s="645"/>
      <c r="X758" s="647" t="s">
        <v>3251</v>
      </c>
      <c r="Y758" s="646" t="s">
        <v>734</v>
      </c>
      <c r="Z758" s="897">
        <v>2.5455</v>
      </c>
      <c r="AA758" s="650">
        <f t="shared" si="406"/>
        <v>1282.932</v>
      </c>
      <c r="AB758" s="649">
        <v>504</v>
      </c>
      <c r="AC758" s="649">
        <f t="shared" si="413"/>
        <v>0</v>
      </c>
      <c r="AD758" s="942" t="s">
        <v>106</v>
      </c>
      <c r="AE758" s="661" t="s">
        <v>166</v>
      </c>
      <c r="AF758" s="747" t="s">
        <v>107</v>
      </c>
      <c r="AG758" s="881" t="s">
        <v>43</v>
      </c>
      <c r="AH758" s="646"/>
      <c r="AI758" s="699"/>
      <c r="AJ758" s="699"/>
      <c r="AK758" s="699"/>
      <c r="AL758" s="653"/>
      <c r="AM758" s="652"/>
      <c r="AN758" s="699"/>
      <c r="AO758" s="700"/>
      <c r="AP758" s="652">
        <f>I758</f>
        <v>504</v>
      </c>
      <c r="AQ758" s="652"/>
      <c r="AR758" s="700"/>
      <c r="AS758" s="700"/>
      <c r="AT758" s="654"/>
      <c r="AU758" s="658">
        <f t="shared" si="411"/>
        <v>504</v>
      </c>
      <c r="AV758" s="644"/>
      <c r="AW758" s="915"/>
      <c r="AX758" s="644"/>
      <c r="AY758" s="644"/>
      <c r="AZ758" s="700"/>
      <c r="BA758" s="654"/>
      <c r="BB758" s="654"/>
      <c r="BC758" s="700"/>
      <c r="BD758" s="700"/>
      <c r="BE758" s="645"/>
      <c r="BF758" s="915"/>
      <c r="BG758" s="915"/>
      <c r="BH758" s="658"/>
      <c r="BI758" s="915"/>
      <c r="BJ758" s="919"/>
      <c r="BK758" s="919"/>
      <c r="BL758" s="644"/>
      <c r="BM758" s="644"/>
      <c r="BN758" s="887"/>
      <c r="BO758" s="887"/>
      <c r="BP758" s="920"/>
      <c r="BQ758" s="887"/>
      <c r="BR758" s="920"/>
      <c r="BS758" s="887"/>
      <c r="BT758" s="887"/>
      <c r="BU758" s="887"/>
      <c r="BV758" s="887"/>
      <c r="BW758" s="645" t="s">
        <v>109</v>
      </c>
      <c r="BX758" s="747"/>
      <c r="BY758" s="747">
        <f>I758</f>
        <v>504</v>
      </c>
      <c r="BZ758" s="747"/>
      <c r="CA758" s="747"/>
      <c r="CB758" s="747">
        <f t="shared" si="409"/>
        <v>504</v>
      </c>
      <c r="CC758" s="747"/>
      <c r="CD758" s="747">
        <f t="shared" si="414"/>
        <v>504</v>
      </c>
      <c r="CE758" s="747">
        <v>0</v>
      </c>
      <c r="CF758" s="917"/>
      <c r="XDV758" s="885"/>
      <c r="XDW758" s="885"/>
      <c r="XDX758" s="885"/>
      <c r="XDY758" s="885"/>
      <c r="XDZ758" s="885"/>
      <c r="XEA758" s="885"/>
      <c r="XEB758" s="885"/>
      <c r="XEC758" s="885"/>
      <c r="XED758" s="885"/>
      <c r="XEE758" s="885"/>
      <c r="XEF758" s="885"/>
      <c r="XEG758" s="885"/>
      <c r="XEH758" s="885"/>
      <c r="XEI758" s="885"/>
      <c r="XEJ758" s="885"/>
      <c r="XEK758" s="885"/>
      <c r="XEL758" s="885"/>
      <c r="XEM758" s="885"/>
      <c r="XEN758" s="888"/>
      <c r="XEO758" s="892"/>
      <c r="XEP758" s="890"/>
      <c r="XEQ758" s="891"/>
      <c r="XER758" s="892"/>
      <c r="XES758" s="901"/>
      <c r="XET758" s="893"/>
      <c r="XEU758" s="893"/>
      <c r="XEV758" s="894"/>
      <c r="XEW758" s="894"/>
      <c r="XEX758" s="895"/>
      <c r="XEY758" s="895"/>
      <c r="XEZ758" s="896"/>
      <c r="XFA758" s="896"/>
      <c r="XFB758" s="896"/>
      <c r="XFC758" s="902"/>
      <c r="XFD758" s="902"/>
    </row>
    <row r="759" s="338" customFormat="1" ht="40" customHeight="1" spans="1:84 16224:16384">
      <c r="A759" s="632">
        <v>46154</v>
      </c>
      <c r="B759" s="633" t="s">
        <v>1587</v>
      </c>
      <c r="C759" s="634" t="s">
        <v>178</v>
      </c>
      <c r="D759" s="635">
        <v>4500206414</v>
      </c>
      <c r="E759" s="659" t="s">
        <v>3252</v>
      </c>
      <c r="F759" s="635" t="s">
        <v>3253</v>
      </c>
      <c r="G759" s="637" t="s">
        <v>189</v>
      </c>
      <c r="H759" s="637" t="s">
        <v>99</v>
      </c>
      <c r="I759" s="940">
        <v>48</v>
      </c>
      <c r="J759" s="638">
        <v>0</v>
      </c>
      <c r="K759" s="639">
        <v>24</v>
      </c>
      <c r="L759" s="941">
        <f t="shared" si="412"/>
        <v>2</v>
      </c>
      <c r="M759" s="641">
        <v>46204</v>
      </c>
      <c r="N759" s="641">
        <v>46200</v>
      </c>
      <c r="O759" s="641"/>
      <c r="P759" s="903" t="s">
        <v>100</v>
      </c>
      <c r="Q759" s="643"/>
      <c r="R759" s="642" t="s">
        <v>1317</v>
      </c>
      <c r="S759" s="925"/>
      <c r="T759" s="925"/>
      <c r="U759" s="642" t="s">
        <v>2558</v>
      </c>
      <c r="V759" s="934" t="s">
        <v>3247</v>
      </c>
      <c r="W759" s="645"/>
      <c r="X759" s="647" t="s">
        <v>3251</v>
      </c>
      <c r="Y759" s="646" t="s">
        <v>734</v>
      </c>
      <c r="Z759" s="683">
        <v>2.5455</v>
      </c>
      <c r="AA759" s="650">
        <f t="shared" ref="AA759:AA765" si="415">I759*Z759</f>
        <v>122.184</v>
      </c>
      <c r="AB759" s="649">
        <v>48</v>
      </c>
      <c r="AC759" s="649">
        <f t="shared" si="413"/>
        <v>0</v>
      </c>
      <c r="AD759" s="942" t="s">
        <v>106</v>
      </c>
      <c r="AE759" s="637" t="s">
        <v>190</v>
      </c>
      <c r="AF759" s="747" t="s">
        <v>107</v>
      </c>
      <c r="AG759" s="881" t="s">
        <v>43</v>
      </c>
      <c r="AH759" s="646"/>
      <c r="AI759" s="744"/>
      <c r="AJ759" s="744"/>
      <c r="AK759" s="744"/>
      <c r="AL759" s="654"/>
      <c r="AM759" s="654"/>
      <c r="AN759" s="915"/>
      <c r="AO759" s="919"/>
      <c r="AP759" s="652">
        <f t="shared" ref="AP759:AP766" si="416">I759</f>
        <v>48</v>
      </c>
      <c r="AQ759" s="644"/>
      <c r="AR759" s="700"/>
      <c r="AS759" s="700"/>
      <c r="AT759" s="645"/>
      <c r="AU759" s="658">
        <f t="shared" ref="AU759:AU766" si="417">I759</f>
        <v>48</v>
      </c>
      <c r="AV759" s="644"/>
      <c r="AW759" s="919"/>
      <c r="AX759" s="887"/>
      <c r="AY759" s="887"/>
      <c r="AZ759" s="920"/>
      <c r="BA759" s="887"/>
      <c r="BB759" s="887"/>
      <c r="BC759" s="920"/>
      <c r="BD759" s="920"/>
      <c r="BE759" s="887"/>
      <c r="BF759" s="920"/>
      <c r="BG759" s="920"/>
      <c r="BH759" s="887"/>
      <c r="BI759" s="920"/>
      <c r="BJ759" s="920"/>
      <c r="BK759" s="920"/>
      <c r="BL759" s="887"/>
      <c r="BM759" s="887"/>
      <c r="BN759" s="887"/>
      <c r="BO759" s="887"/>
      <c r="BP759" s="920"/>
      <c r="BQ759" s="887"/>
      <c r="BR759" s="920"/>
      <c r="BS759" s="887"/>
      <c r="BT759" s="887"/>
      <c r="BU759" s="887"/>
      <c r="BV759" s="887"/>
      <c r="BW759" s="645" t="s">
        <v>109</v>
      </c>
      <c r="BX759" s="747"/>
      <c r="BY759" s="747"/>
      <c r="BZ759" s="747"/>
      <c r="CA759" s="747">
        <f t="shared" ref="CA759:CA765" si="418">I759</f>
        <v>48</v>
      </c>
      <c r="CB759" s="747">
        <f t="shared" ref="CB759:CB765" si="419">I759</f>
        <v>48</v>
      </c>
      <c r="CC759" s="747"/>
      <c r="CD759" s="747">
        <f t="shared" si="414"/>
        <v>48</v>
      </c>
      <c r="CE759" s="747">
        <f t="shared" ref="CE759:CE765" si="420">I759-CD759</f>
        <v>0</v>
      </c>
      <c r="CF759" s="917"/>
      <c r="XDD759" s="885"/>
      <c r="XDE759" s="885"/>
      <c r="XDF759" s="885"/>
      <c r="XDG759" s="885"/>
      <c r="XDH759" s="885"/>
      <c r="XDI759" s="885"/>
      <c r="XDJ759" s="885"/>
      <c r="XDK759" s="885"/>
      <c r="XDL759" s="885"/>
      <c r="XDM759" s="885"/>
      <c r="XDN759" s="885"/>
      <c r="XDO759" s="885"/>
      <c r="XDP759" s="885"/>
      <c r="XDQ759" s="885"/>
      <c r="XDR759" s="885"/>
      <c r="XDS759" s="885"/>
      <c r="XDT759" s="885"/>
      <c r="XDU759" s="885"/>
      <c r="XDV759" s="888"/>
      <c r="XDW759" s="889"/>
      <c r="XDX759" s="890"/>
      <c r="XDY759" s="891"/>
      <c r="XDZ759" s="892"/>
      <c r="XEA759" s="891"/>
      <c r="XEB759" s="893"/>
      <c r="XEC759" s="893"/>
      <c r="XED759" s="943"/>
      <c r="XEE759" s="894"/>
      <c r="XEF759" s="895"/>
      <c r="XEG759" s="895"/>
      <c r="XEH759" s="896"/>
      <c r="XEI759" s="896"/>
      <c r="XEJ759" s="896"/>
      <c r="XEK759" s="902"/>
      <c r="XEL759" s="902"/>
      <c r="XEM759" s="902"/>
      <c r="XEN759" s="888"/>
      <c r="XEO759" s="889"/>
      <c r="XEP759" s="890"/>
      <c r="XEQ759" s="891"/>
      <c r="XER759" s="892"/>
      <c r="XES759" s="891"/>
      <c r="XET759" s="893"/>
      <c r="XEU759" s="893"/>
      <c r="XEV759" s="943"/>
      <c r="XEW759" s="894"/>
      <c r="XEX759" s="895"/>
      <c r="XEY759" s="895"/>
      <c r="XEZ759" s="896"/>
      <c r="XFA759" s="896"/>
      <c r="XFB759" s="896"/>
      <c r="XFC759" s="902"/>
      <c r="XFD759" s="902"/>
    </row>
    <row r="760" s="338" customFormat="1" ht="40" customHeight="1" spans="1:84 16224:16384">
      <c r="A760" s="632">
        <v>46154</v>
      </c>
      <c r="B760" s="633" t="s">
        <v>1587</v>
      </c>
      <c r="C760" s="634" t="s">
        <v>178</v>
      </c>
      <c r="D760" s="635">
        <v>4500206414</v>
      </c>
      <c r="E760" s="659" t="s">
        <v>3254</v>
      </c>
      <c r="F760" s="635" t="s">
        <v>3255</v>
      </c>
      <c r="G760" s="637" t="s">
        <v>189</v>
      </c>
      <c r="H760" s="637" t="s">
        <v>99</v>
      </c>
      <c r="I760" s="940">
        <v>24</v>
      </c>
      <c r="J760" s="638">
        <v>0</v>
      </c>
      <c r="K760" s="639">
        <v>24</v>
      </c>
      <c r="L760" s="941">
        <f t="shared" si="412"/>
        <v>1</v>
      </c>
      <c r="M760" s="641">
        <v>46204</v>
      </c>
      <c r="N760" s="641">
        <v>46200</v>
      </c>
      <c r="O760" s="641"/>
      <c r="P760" s="903" t="s">
        <v>100</v>
      </c>
      <c r="Q760" s="643"/>
      <c r="R760" s="642" t="s">
        <v>1317</v>
      </c>
      <c r="S760" s="925"/>
      <c r="T760" s="925"/>
      <c r="U760" s="642" t="s">
        <v>2558</v>
      </c>
      <c r="V760" s="934" t="s">
        <v>3247</v>
      </c>
      <c r="W760" s="645"/>
      <c r="X760" s="647" t="s">
        <v>3251</v>
      </c>
      <c r="Y760" s="646" t="s">
        <v>734</v>
      </c>
      <c r="Z760" s="683">
        <v>2.5455</v>
      </c>
      <c r="AA760" s="650">
        <f t="shared" si="415"/>
        <v>61.092</v>
      </c>
      <c r="AB760" s="649">
        <v>24</v>
      </c>
      <c r="AC760" s="649">
        <f t="shared" si="413"/>
        <v>0</v>
      </c>
      <c r="AD760" s="942" t="s">
        <v>106</v>
      </c>
      <c r="AE760" s="637" t="s">
        <v>190</v>
      </c>
      <c r="AF760" s="747" t="s">
        <v>107</v>
      </c>
      <c r="AG760" s="881" t="s">
        <v>43</v>
      </c>
      <c r="AH760" s="646"/>
      <c r="AI760" s="700"/>
      <c r="AJ760" s="700"/>
      <c r="AK760" s="919"/>
      <c r="AL760" s="644"/>
      <c r="AM760" s="645"/>
      <c r="AN760" s="915"/>
      <c r="AO760" s="919"/>
      <c r="AP760" s="652">
        <f t="shared" si="416"/>
        <v>24</v>
      </c>
      <c r="AQ760" s="887"/>
      <c r="AR760" s="920"/>
      <c r="AS760" s="920"/>
      <c r="AT760" s="887"/>
      <c r="AU760" s="658">
        <f t="shared" si="417"/>
        <v>24</v>
      </c>
      <c r="AV760" s="887"/>
      <c r="AW760" s="920"/>
      <c r="AX760" s="887"/>
      <c r="AY760" s="887"/>
      <c r="AZ760" s="920"/>
      <c r="BA760" s="887"/>
      <c r="BB760" s="887"/>
      <c r="BC760" s="920"/>
      <c r="BD760" s="920"/>
      <c r="BE760" s="887"/>
      <c r="BF760" s="920"/>
      <c r="BG760" s="920"/>
      <c r="BH760" s="887"/>
      <c r="BI760" s="920"/>
      <c r="BJ760" s="920"/>
      <c r="BK760" s="920"/>
      <c r="BL760" s="887"/>
      <c r="BM760" s="887"/>
      <c r="BN760" s="887"/>
      <c r="BO760" s="887"/>
      <c r="BP760" s="920"/>
      <c r="BQ760" s="887"/>
      <c r="BR760" s="920"/>
      <c r="BS760" s="887"/>
      <c r="BT760" s="887"/>
      <c r="BU760" s="887"/>
      <c r="BV760" s="887"/>
      <c r="BW760" s="645" t="s">
        <v>109</v>
      </c>
      <c r="BX760" s="747"/>
      <c r="BY760" s="747"/>
      <c r="BZ760" s="747"/>
      <c r="CA760" s="747">
        <f t="shared" si="418"/>
        <v>24</v>
      </c>
      <c r="CB760" s="747">
        <f t="shared" si="419"/>
        <v>24</v>
      </c>
      <c r="CC760" s="747"/>
      <c r="CD760" s="747">
        <f t="shared" si="414"/>
        <v>24</v>
      </c>
      <c r="CE760" s="747">
        <f t="shared" si="420"/>
        <v>0</v>
      </c>
      <c r="CF760" s="917"/>
      <c r="XCL760" s="885"/>
      <c r="XCM760" s="885"/>
      <c r="XCN760" s="885"/>
      <c r="XCO760" s="885"/>
      <c r="XCP760" s="885"/>
      <c r="XCQ760" s="885"/>
      <c r="XCR760" s="885"/>
      <c r="XCS760" s="885"/>
      <c r="XCT760" s="885"/>
      <c r="XCU760" s="885"/>
      <c r="XCV760" s="885"/>
      <c r="XCW760" s="885"/>
      <c r="XCX760" s="885"/>
      <c r="XCY760" s="885"/>
      <c r="XCZ760" s="885"/>
      <c r="XDA760" s="885"/>
      <c r="XDB760" s="885"/>
      <c r="XDC760" s="885"/>
      <c r="XDD760" s="888"/>
      <c r="XDE760" s="889"/>
      <c r="XDF760" s="890"/>
      <c r="XDG760" s="891"/>
      <c r="XDH760" s="892"/>
      <c r="XDI760" s="891"/>
      <c r="XDJ760" s="893"/>
      <c r="XDK760" s="893"/>
      <c r="XDL760" s="943"/>
      <c r="XDM760" s="894"/>
      <c r="XDN760" s="895"/>
      <c r="XDO760" s="895"/>
      <c r="XDP760" s="896"/>
      <c r="XDQ760" s="896"/>
      <c r="XDR760" s="896"/>
      <c r="XDS760" s="902"/>
      <c r="XDT760" s="902"/>
      <c r="XDU760" s="902"/>
      <c r="XDV760" s="888"/>
      <c r="XDW760" s="889"/>
      <c r="XDX760" s="890"/>
      <c r="XDY760" s="891"/>
      <c r="XDZ760" s="892"/>
      <c r="XEA760" s="891"/>
      <c r="XEB760" s="893"/>
      <c r="XEC760" s="893"/>
      <c r="XED760" s="943"/>
      <c r="XEE760" s="894"/>
      <c r="XEF760" s="895"/>
      <c r="XEG760" s="895"/>
      <c r="XEH760" s="896"/>
      <c r="XEI760" s="896"/>
      <c r="XEJ760" s="896"/>
      <c r="XEK760" s="902"/>
      <c r="XEL760" s="902"/>
      <c r="XEM760" s="902"/>
      <c r="XEN760" s="888"/>
      <c r="XEO760" s="889"/>
      <c r="XEP760" s="890"/>
      <c r="XEQ760" s="891"/>
      <c r="XER760" s="892"/>
      <c r="XES760" s="891"/>
      <c r="XET760" s="893"/>
      <c r="XEU760" s="893"/>
      <c r="XEV760" s="943"/>
      <c r="XEW760" s="894"/>
      <c r="XEX760" s="895"/>
      <c r="XEY760" s="895"/>
      <c r="XEZ760" s="896"/>
      <c r="XFA760" s="896"/>
      <c r="XFB760" s="896"/>
      <c r="XFC760" s="902"/>
      <c r="XFD760" s="902"/>
    </row>
    <row r="761" s="338" customFormat="1" ht="40" customHeight="1" spans="1:84 16224:16384">
      <c r="A761" s="632">
        <v>46154</v>
      </c>
      <c r="B761" s="633" t="s">
        <v>1587</v>
      </c>
      <c r="C761" s="634" t="s">
        <v>178</v>
      </c>
      <c r="D761" s="635">
        <v>4500206414</v>
      </c>
      <c r="E761" s="659" t="s">
        <v>3256</v>
      </c>
      <c r="F761" s="635" t="s">
        <v>3257</v>
      </c>
      <c r="G761" s="637" t="s">
        <v>189</v>
      </c>
      <c r="H761" s="637" t="s">
        <v>99</v>
      </c>
      <c r="I761" s="940">
        <v>240</v>
      </c>
      <c r="J761" s="638">
        <v>0</v>
      </c>
      <c r="K761" s="639">
        <v>24</v>
      </c>
      <c r="L761" s="941">
        <f t="shared" si="412"/>
        <v>10</v>
      </c>
      <c r="M761" s="641">
        <v>46204</v>
      </c>
      <c r="N761" s="641">
        <v>46200</v>
      </c>
      <c r="O761" s="641"/>
      <c r="P761" s="903" t="s">
        <v>100</v>
      </c>
      <c r="Q761" s="643"/>
      <c r="R761" s="642" t="s">
        <v>1317</v>
      </c>
      <c r="S761" s="925"/>
      <c r="T761" s="925"/>
      <c r="U761" s="642" t="s">
        <v>2558</v>
      </c>
      <c r="V761" s="934" t="s">
        <v>3247</v>
      </c>
      <c r="W761" s="645"/>
      <c r="X761" s="647" t="s">
        <v>3251</v>
      </c>
      <c r="Y761" s="646" t="s">
        <v>734</v>
      </c>
      <c r="Z761" s="683">
        <v>2.5455</v>
      </c>
      <c r="AA761" s="650">
        <f t="shared" si="415"/>
        <v>610.92</v>
      </c>
      <c r="AB761" s="649">
        <v>240</v>
      </c>
      <c r="AC761" s="649">
        <f t="shared" si="413"/>
        <v>0</v>
      </c>
      <c r="AD761" s="942" t="s">
        <v>106</v>
      </c>
      <c r="AE761" s="637" t="s">
        <v>190</v>
      </c>
      <c r="AF761" s="747" t="s">
        <v>107</v>
      </c>
      <c r="AG761" s="881" t="s">
        <v>43</v>
      </c>
      <c r="AH761" s="646"/>
      <c r="AI761" s="919"/>
      <c r="AJ761" s="914"/>
      <c r="AK761" s="920"/>
      <c r="AL761" s="887"/>
      <c r="AM761" s="887"/>
      <c r="AN761" s="920"/>
      <c r="AO761" s="920"/>
      <c r="AP761" s="652">
        <f t="shared" si="416"/>
        <v>240</v>
      </c>
      <c r="AQ761" s="887"/>
      <c r="AR761" s="920"/>
      <c r="AS761" s="920"/>
      <c r="AT761" s="887"/>
      <c r="AU761" s="658">
        <f t="shared" si="417"/>
        <v>240</v>
      </c>
      <c r="AV761" s="887"/>
      <c r="AW761" s="920"/>
      <c r="AX761" s="887"/>
      <c r="AY761" s="887"/>
      <c r="AZ761" s="920"/>
      <c r="BA761" s="887"/>
      <c r="BB761" s="887"/>
      <c r="BC761" s="920"/>
      <c r="BD761" s="920"/>
      <c r="BE761" s="887"/>
      <c r="BF761" s="920"/>
      <c r="BG761" s="920"/>
      <c r="BH761" s="887"/>
      <c r="BI761" s="920"/>
      <c r="BJ761" s="920"/>
      <c r="BK761" s="920"/>
      <c r="BL761" s="887"/>
      <c r="BM761" s="887"/>
      <c r="BN761" s="887"/>
      <c r="BO761" s="887"/>
      <c r="BP761" s="920"/>
      <c r="BQ761" s="887"/>
      <c r="BR761" s="920"/>
      <c r="BS761" s="887"/>
      <c r="BT761" s="887"/>
      <c r="BU761" s="887"/>
      <c r="BV761" s="887"/>
      <c r="BW761" s="645" t="s">
        <v>109</v>
      </c>
      <c r="BX761" s="747"/>
      <c r="BY761" s="747"/>
      <c r="BZ761" s="747"/>
      <c r="CA761" s="747">
        <f t="shared" si="418"/>
        <v>240</v>
      </c>
      <c r="CB761" s="747">
        <f t="shared" si="419"/>
        <v>240</v>
      </c>
      <c r="CC761" s="747"/>
      <c r="CD761" s="747">
        <f t="shared" si="414"/>
        <v>240</v>
      </c>
      <c r="CE761" s="747">
        <f t="shared" si="420"/>
        <v>0</v>
      </c>
      <c r="CF761" s="917"/>
      <c r="XBT761" s="885"/>
      <c r="XBU761" s="885"/>
      <c r="XBV761" s="885"/>
      <c r="XBW761" s="885"/>
      <c r="XBX761" s="885"/>
      <c r="XBY761" s="885"/>
      <c r="XBZ761" s="885"/>
      <c r="XCA761" s="885"/>
      <c r="XCB761" s="885"/>
      <c r="XCC761" s="885"/>
      <c r="XCD761" s="885"/>
      <c r="XCE761" s="885"/>
      <c r="XCF761" s="885"/>
      <c r="XCG761" s="885"/>
      <c r="XCH761" s="885"/>
      <c r="XCI761" s="885"/>
      <c r="XCJ761" s="885"/>
      <c r="XCK761" s="885"/>
      <c r="XCL761" s="888"/>
      <c r="XCM761" s="889"/>
      <c r="XCN761" s="890"/>
      <c r="XCO761" s="891"/>
      <c r="XCP761" s="892"/>
      <c r="XCQ761" s="891"/>
      <c r="XCR761" s="893"/>
      <c r="XCS761" s="893"/>
      <c r="XCT761" s="943"/>
      <c r="XCU761" s="894"/>
      <c r="XCV761" s="895"/>
      <c r="XCW761" s="895"/>
      <c r="XCX761" s="896"/>
      <c r="XCY761" s="896"/>
      <c r="XCZ761" s="896"/>
      <c r="XDA761" s="902"/>
      <c r="XDB761" s="902"/>
      <c r="XDC761" s="902"/>
      <c r="XDD761" s="888"/>
      <c r="XDE761" s="889"/>
      <c r="XDF761" s="890"/>
      <c r="XDG761" s="891"/>
      <c r="XDH761" s="892"/>
      <c r="XDI761" s="891"/>
      <c r="XDJ761" s="893"/>
      <c r="XDK761" s="893"/>
      <c r="XDL761" s="943"/>
      <c r="XDM761" s="894"/>
      <c r="XDN761" s="895"/>
      <c r="XDO761" s="895"/>
      <c r="XDP761" s="896"/>
      <c r="XDQ761" s="896"/>
      <c r="XDR761" s="896"/>
      <c r="XDS761" s="902"/>
      <c r="XDT761" s="902"/>
      <c r="XDU761" s="902"/>
      <c r="XDV761" s="888"/>
      <c r="XDW761" s="889"/>
      <c r="XDX761" s="890"/>
      <c r="XDY761" s="891"/>
      <c r="XDZ761" s="892"/>
      <c r="XEA761" s="891"/>
      <c r="XEB761" s="893"/>
      <c r="XEC761" s="893"/>
      <c r="XED761" s="943"/>
      <c r="XEE761" s="894"/>
      <c r="XEF761" s="895"/>
      <c r="XEG761" s="895"/>
      <c r="XEH761" s="896"/>
      <c r="XEI761" s="896"/>
      <c r="XEJ761" s="896"/>
      <c r="XEK761" s="902"/>
      <c r="XEL761" s="902"/>
      <c r="XEM761" s="902"/>
      <c r="XEN761" s="888"/>
      <c r="XEO761" s="889"/>
      <c r="XEP761" s="890"/>
      <c r="XEQ761" s="891"/>
      <c r="XER761" s="892"/>
      <c r="XES761" s="891"/>
      <c r="XET761" s="893"/>
      <c r="XEU761" s="893"/>
      <c r="XEV761" s="943"/>
      <c r="XEW761" s="894"/>
      <c r="XEX761" s="895"/>
      <c r="XEY761" s="895"/>
      <c r="XEZ761" s="896"/>
      <c r="XFA761" s="896"/>
      <c r="XFB761" s="896"/>
      <c r="XFC761" s="902"/>
      <c r="XFD761" s="902"/>
    </row>
    <row r="762" s="338" customFormat="1" ht="40" customHeight="1" spans="1:84 16224:16384">
      <c r="A762" s="632">
        <v>46154</v>
      </c>
      <c r="B762" s="633" t="s">
        <v>1587</v>
      </c>
      <c r="C762" s="634" t="s">
        <v>178</v>
      </c>
      <c r="D762" s="635">
        <v>4500206414</v>
      </c>
      <c r="E762" s="659" t="s">
        <v>3258</v>
      </c>
      <c r="F762" s="635" t="s">
        <v>3259</v>
      </c>
      <c r="G762" s="637" t="s">
        <v>189</v>
      </c>
      <c r="H762" s="637" t="s">
        <v>99</v>
      </c>
      <c r="I762" s="940">
        <v>72</v>
      </c>
      <c r="J762" s="638">
        <v>0</v>
      </c>
      <c r="K762" s="639">
        <v>24</v>
      </c>
      <c r="L762" s="941">
        <f t="shared" si="412"/>
        <v>3</v>
      </c>
      <c r="M762" s="641">
        <v>46204</v>
      </c>
      <c r="N762" s="641">
        <v>46200</v>
      </c>
      <c r="O762" s="641"/>
      <c r="P762" s="903" t="s">
        <v>100</v>
      </c>
      <c r="Q762" s="643"/>
      <c r="R762" s="642" t="s">
        <v>1317</v>
      </c>
      <c r="S762" s="925"/>
      <c r="T762" s="925"/>
      <c r="U762" s="642" t="s">
        <v>2558</v>
      </c>
      <c r="V762" s="934" t="s">
        <v>3247</v>
      </c>
      <c r="W762" s="645"/>
      <c r="X762" s="647" t="s">
        <v>3251</v>
      </c>
      <c r="Y762" s="646" t="s">
        <v>734</v>
      </c>
      <c r="Z762" s="683">
        <v>2.5455</v>
      </c>
      <c r="AA762" s="650">
        <f t="shared" si="415"/>
        <v>183.276</v>
      </c>
      <c r="AB762" s="649">
        <v>72</v>
      </c>
      <c r="AC762" s="649">
        <f t="shared" si="413"/>
        <v>0</v>
      </c>
      <c r="AD762" s="942" t="s">
        <v>106</v>
      </c>
      <c r="AE762" s="637" t="s">
        <v>190</v>
      </c>
      <c r="AF762" s="747" t="s">
        <v>107</v>
      </c>
      <c r="AG762" s="881" t="s">
        <v>43</v>
      </c>
      <c r="AH762" s="646"/>
      <c r="AI762" s="920"/>
      <c r="AJ762" s="920"/>
      <c r="AK762" s="920"/>
      <c r="AL762" s="887"/>
      <c r="AM762" s="887"/>
      <c r="AN762" s="920"/>
      <c r="AO762" s="920"/>
      <c r="AP762" s="652">
        <f t="shared" si="416"/>
        <v>72</v>
      </c>
      <c r="AQ762" s="887"/>
      <c r="AR762" s="920"/>
      <c r="AS762" s="920"/>
      <c r="AT762" s="887"/>
      <c r="AU762" s="658">
        <f t="shared" si="417"/>
        <v>72</v>
      </c>
      <c r="AV762" s="887"/>
      <c r="AW762" s="920"/>
      <c r="AX762" s="887"/>
      <c r="AY762" s="887"/>
      <c r="AZ762" s="920"/>
      <c r="BA762" s="887"/>
      <c r="BB762" s="887"/>
      <c r="BC762" s="920"/>
      <c r="BD762" s="920"/>
      <c r="BE762" s="887"/>
      <c r="BF762" s="920"/>
      <c r="BG762" s="920"/>
      <c r="BH762" s="887"/>
      <c r="BI762" s="920"/>
      <c r="BJ762" s="920"/>
      <c r="BK762" s="920"/>
      <c r="BL762" s="887"/>
      <c r="BM762" s="887"/>
      <c r="BN762" s="887"/>
      <c r="BO762" s="887"/>
      <c r="BP762" s="920"/>
      <c r="BQ762" s="887"/>
      <c r="BR762" s="920"/>
      <c r="BS762" s="887"/>
      <c r="BT762" s="887"/>
      <c r="BU762" s="887"/>
      <c r="BV762" s="887"/>
      <c r="BW762" s="645" t="s">
        <v>109</v>
      </c>
      <c r="BX762" s="747"/>
      <c r="BY762" s="747"/>
      <c r="BZ762" s="747"/>
      <c r="CA762" s="747">
        <f t="shared" si="418"/>
        <v>72</v>
      </c>
      <c r="CB762" s="747">
        <f t="shared" si="419"/>
        <v>72</v>
      </c>
      <c r="CC762" s="747"/>
      <c r="CD762" s="747">
        <f t="shared" si="414"/>
        <v>72</v>
      </c>
      <c r="CE762" s="747">
        <f t="shared" si="420"/>
        <v>0</v>
      </c>
      <c r="CF762" s="917"/>
      <c r="XBB762" s="885"/>
      <c r="XBC762" s="885"/>
      <c r="XBD762" s="885"/>
      <c r="XBE762" s="885"/>
      <c r="XBF762" s="885"/>
      <c r="XBG762" s="885"/>
      <c r="XBH762" s="885"/>
      <c r="XBI762" s="885"/>
      <c r="XBJ762" s="885"/>
      <c r="XBK762" s="885"/>
      <c r="XBL762" s="885"/>
      <c r="XBM762" s="885"/>
      <c r="XBN762" s="885"/>
      <c r="XBO762" s="885"/>
      <c r="XBP762" s="885"/>
      <c r="XBQ762" s="885"/>
      <c r="XBR762" s="885"/>
      <c r="XBS762" s="885"/>
      <c r="XBT762" s="888"/>
      <c r="XBU762" s="889"/>
      <c r="XBV762" s="890"/>
      <c r="XBW762" s="891"/>
      <c r="XBX762" s="892"/>
      <c r="XBY762" s="891"/>
      <c r="XBZ762" s="893"/>
      <c r="XCA762" s="893"/>
      <c r="XCB762" s="943"/>
      <c r="XCC762" s="894"/>
      <c r="XCD762" s="895"/>
      <c r="XCE762" s="895"/>
      <c r="XCF762" s="896"/>
      <c r="XCG762" s="896"/>
      <c r="XCH762" s="896"/>
      <c r="XCI762" s="902"/>
      <c r="XCJ762" s="902"/>
      <c r="XCK762" s="902"/>
      <c r="XCL762" s="888"/>
      <c r="XCM762" s="889"/>
      <c r="XCN762" s="890"/>
      <c r="XCO762" s="891"/>
      <c r="XCP762" s="892"/>
      <c r="XCQ762" s="891"/>
      <c r="XCR762" s="893"/>
      <c r="XCS762" s="893"/>
      <c r="XCT762" s="943"/>
      <c r="XCU762" s="894"/>
      <c r="XCV762" s="895"/>
      <c r="XCW762" s="895"/>
      <c r="XCX762" s="896"/>
      <c r="XCY762" s="896"/>
      <c r="XCZ762" s="896"/>
      <c r="XDA762" s="902"/>
      <c r="XDB762" s="902"/>
      <c r="XDC762" s="902"/>
      <c r="XDD762" s="888"/>
      <c r="XDE762" s="889"/>
      <c r="XDF762" s="890"/>
      <c r="XDG762" s="891"/>
      <c r="XDH762" s="892"/>
      <c r="XDI762" s="891"/>
      <c r="XDJ762" s="893"/>
      <c r="XDK762" s="893"/>
      <c r="XDL762" s="943"/>
      <c r="XDM762" s="894"/>
      <c r="XDN762" s="895"/>
      <c r="XDO762" s="895"/>
      <c r="XDP762" s="896"/>
      <c r="XDQ762" s="896"/>
      <c r="XDR762" s="896"/>
      <c r="XDS762" s="902"/>
      <c r="XDT762" s="902"/>
      <c r="XDU762" s="902"/>
      <c r="XDV762" s="888"/>
      <c r="XDW762" s="889"/>
      <c r="XDX762" s="890"/>
      <c r="XDY762" s="891"/>
      <c r="XDZ762" s="892"/>
      <c r="XEA762" s="891"/>
      <c r="XEB762" s="893"/>
      <c r="XEC762" s="893"/>
      <c r="XED762" s="943"/>
      <c r="XEE762" s="894"/>
      <c r="XEF762" s="895"/>
      <c r="XEG762" s="895"/>
      <c r="XEH762" s="896"/>
      <c r="XEI762" s="896"/>
      <c r="XEJ762" s="896"/>
      <c r="XEK762" s="902"/>
      <c r="XEL762" s="902"/>
      <c r="XEM762" s="902"/>
      <c r="XEN762" s="888"/>
      <c r="XEO762" s="889"/>
      <c r="XEP762" s="890"/>
      <c r="XEQ762" s="891"/>
      <c r="XER762" s="892"/>
      <c r="XES762" s="891"/>
      <c r="XET762" s="893"/>
      <c r="XEU762" s="893"/>
      <c r="XEV762" s="943"/>
      <c r="XEW762" s="894"/>
      <c r="XEX762" s="895"/>
      <c r="XEY762" s="895"/>
      <c r="XEZ762" s="896"/>
      <c r="XFA762" s="896"/>
      <c r="XFB762" s="896"/>
      <c r="XFC762" s="902"/>
      <c r="XFD762" s="902"/>
    </row>
    <row r="763" s="338" customFormat="1" ht="40" customHeight="1" spans="1:84 16224:16384">
      <c r="A763" s="632">
        <v>46154</v>
      </c>
      <c r="B763" s="633" t="s">
        <v>1587</v>
      </c>
      <c r="C763" s="634" t="s">
        <v>178</v>
      </c>
      <c r="D763" s="635">
        <v>4500206414</v>
      </c>
      <c r="E763" s="659" t="s">
        <v>3260</v>
      </c>
      <c r="F763" s="635" t="s">
        <v>3261</v>
      </c>
      <c r="G763" s="637" t="s">
        <v>189</v>
      </c>
      <c r="H763" s="637" t="s">
        <v>99</v>
      </c>
      <c r="I763" s="940">
        <v>72</v>
      </c>
      <c r="J763" s="638">
        <v>0</v>
      </c>
      <c r="K763" s="639">
        <v>24</v>
      </c>
      <c r="L763" s="941">
        <f t="shared" si="412"/>
        <v>3</v>
      </c>
      <c r="M763" s="641">
        <v>46204</v>
      </c>
      <c r="N763" s="641">
        <v>46200</v>
      </c>
      <c r="O763" s="641"/>
      <c r="P763" s="903" t="s">
        <v>100</v>
      </c>
      <c r="Q763" s="643"/>
      <c r="R763" s="642" t="s">
        <v>1317</v>
      </c>
      <c r="S763" s="925"/>
      <c r="T763" s="925"/>
      <c r="U763" s="642" t="s">
        <v>2558</v>
      </c>
      <c r="V763" s="934" t="s">
        <v>3247</v>
      </c>
      <c r="W763" s="645"/>
      <c r="X763" s="647" t="s">
        <v>3251</v>
      </c>
      <c r="Y763" s="646" t="s">
        <v>734</v>
      </c>
      <c r="Z763" s="683">
        <v>2.5455</v>
      </c>
      <c r="AA763" s="650">
        <f t="shared" si="415"/>
        <v>183.276</v>
      </c>
      <c r="AB763" s="649">
        <v>72</v>
      </c>
      <c r="AC763" s="649">
        <f t="shared" si="413"/>
        <v>0</v>
      </c>
      <c r="AD763" s="942" t="s">
        <v>106</v>
      </c>
      <c r="AE763" s="637" t="s">
        <v>190</v>
      </c>
      <c r="AF763" s="747" t="s">
        <v>107</v>
      </c>
      <c r="AG763" s="881" t="s">
        <v>43</v>
      </c>
      <c r="AH763" s="646"/>
      <c r="AI763" s="920"/>
      <c r="AJ763" s="920"/>
      <c r="AK763" s="920"/>
      <c r="AL763" s="887"/>
      <c r="AM763" s="887"/>
      <c r="AN763" s="920"/>
      <c r="AO763" s="920"/>
      <c r="AP763" s="652">
        <f t="shared" si="416"/>
        <v>72</v>
      </c>
      <c r="AQ763" s="887"/>
      <c r="AR763" s="920"/>
      <c r="AS763" s="920"/>
      <c r="AT763" s="887"/>
      <c r="AU763" s="658">
        <f t="shared" si="417"/>
        <v>72</v>
      </c>
      <c r="AV763" s="887"/>
      <c r="AW763" s="920"/>
      <c r="AX763" s="887"/>
      <c r="AY763" s="887"/>
      <c r="AZ763" s="920"/>
      <c r="BA763" s="887"/>
      <c r="BB763" s="887"/>
      <c r="BC763" s="920"/>
      <c r="BD763" s="920"/>
      <c r="BE763" s="887"/>
      <c r="BF763" s="920"/>
      <c r="BG763" s="920"/>
      <c r="BH763" s="887"/>
      <c r="BI763" s="920"/>
      <c r="BJ763" s="920"/>
      <c r="BK763" s="920"/>
      <c r="BL763" s="887"/>
      <c r="BM763" s="887"/>
      <c r="BN763" s="887"/>
      <c r="BO763" s="887"/>
      <c r="BP763" s="920"/>
      <c r="BQ763" s="887"/>
      <c r="BR763" s="920"/>
      <c r="BS763" s="887"/>
      <c r="BT763" s="887"/>
      <c r="BU763" s="887"/>
      <c r="BV763" s="887"/>
      <c r="BW763" s="645" t="s">
        <v>109</v>
      </c>
      <c r="BX763" s="747"/>
      <c r="BY763" s="747"/>
      <c r="BZ763" s="747"/>
      <c r="CA763" s="747">
        <f t="shared" si="418"/>
        <v>72</v>
      </c>
      <c r="CB763" s="747">
        <f t="shared" si="419"/>
        <v>72</v>
      </c>
      <c r="CC763" s="747"/>
      <c r="CD763" s="747">
        <f t="shared" si="414"/>
        <v>72</v>
      </c>
      <c r="CE763" s="747">
        <f t="shared" si="420"/>
        <v>0</v>
      </c>
      <c r="CF763" s="917"/>
      <c r="XAJ763" s="885"/>
      <c r="XAK763" s="885"/>
      <c r="XAL763" s="885"/>
      <c r="XAM763" s="885"/>
      <c r="XAN763" s="885"/>
      <c r="XAO763" s="885"/>
      <c r="XAP763" s="885"/>
      <c r="XAQ763" s="885"/>
      <c r="XAR763" s="885"/>
      <c r="XAS763" s="885"/>
      <c r="XAT763" s="885"/>
      <c r="XAU763" s="885"/>
      <c r="XAV763" s="885"/>
      <c r="XAW763" s="885"/>
      <c r="XAX763" s="885"/>
      <c r="XAY763" s="885"/>
      <c r="XAZ763" s="885"/>
      <c r="XBA763" s="885"/>
      <c r="XBB763" s="888"/>
      <c r="XBC763" s="889"/>
      <c r="XBD763" s="890"/>
      <c r="XBE763" s="891"/>
      <c r="XBF763" s="892"/>
      <c r="XBG763" s="891"/>
      <c r="XBH763" s="893"/>
      <c r="XBI763" s="893"/>
      <c r="XBJ763" s="943"/>
      <c r="XBK763" s="894"/>
      <c r="XBL763" s="895"/>
      <c r="XBM763" s="895"/>
      <c r="XBN763" s="896"/>
      <c r="XBO763" s="896"/>
      <c r="XBP763" s="896"/>
      <c r="XBQ763" s="902"/>
      <c r="XBR763" s="902"/>
      <c r="XBS763" s="902"/>
      <c r="XBT763" s="888"/>
      <c r="XBU763" s="889"/>
      <c r="XBV763" s="890"/>
      <c r="XBW763" s="891"/>
      <c r="XBX763" s="892"/>
      <c r="XBY763" s="891"/>
      <c r="XBZ763" s="893"/>
      <c r="XCA763" s="893"/>
      <c r="XCB763" s="943"/>
      <c r="XCC763" s="894"/>
      <c r="XCD763" s="895"/>
      <c r="XCE763" s="895"/>
      <c r="XCF763" s="896"/>
      <c r="XCG763" s="896"/>
      <c r="XCH763" s="896"/>
      <c r="XCI763" s="902"/>
      <c r="XCJ763" s="902"/>
      <c r="XCK763" s="902"/>
      <c r="XCL763" s="888"/>
      <c r="XCM763" s="889"/>
      <c r="XCN763" s="890"/>
      <c r="XCO763" s="891"/>
      <c r="XCP763" s="892"/>
      <c r="XCQ763" s="891"/>
      <c r="XCR763" s="893"/>
      <c r="XCS763" s="893"/>
      <c r="XCT763" s="943"/>
      <c r="XCU763" s="894"/>
      <c r="XCV763" s="895"/>
      <c r="XCW763" s="895"/>
      <c r="XCX763" s="896"/>
      <c r="XCY763" s="896"/>
      <c r="XCZ763" s="896"/>
      <c r="XDA763" s="902"/>
      <c r="XDB763" s="902"/>
      <c r="XDC763" s="902"/>
      <c r="XDD763" s="888"/>
      <c r="XDE763" s="889"/>
      <c r="XDF763" s="890"/>
      <c r="XDG763" s="891"/>
      <c r="XDH763" s="892"/>
      <c r="XDI763" s="891"/>
      <c r="XDJ763" s="893"/>
      <c r="XDK763" s="893"/>
      <c r="XDL763" s="943"/>
      <c r="XDM763" s="894"/>
      <c r="XDN763" s="895"/>
      <c r="XDO763" s="895"/>
      <c r="XDP763" s="896"/>
      <c r="XDQ763" s="896"/>
      <c r="XDR763" s="896"/>
      <c r="XDS763" s="902"/>
      <c r="XDT763" s="902"/>
      <c r="XDU763" s="902"/>
      <c r="XDV763" s="888"/>
      <c r="XDW763" s="889"/>
      <c r="XDX763" s="890"/>
      <c r="XDY763" s="891"/>
      <c r="XDZ763" s="892"/>
      <c r="XEA763" s="891"/>
      <c r="XEB763" s="893"/>
      <c r="XEC763" s="893"/>
      <c r="XED763" s="943"/>
      <c r="XEE763" s="894"/>
      <c r="XEF763" s="895"/>
      <c r="XEG763" s="895"/>
      <c r="XEH763" s="896"/>
      <c r="XEI763" s="896"/>
      <c r="XEJ763" s="896"/>
      <c r="XEK763" s="902"/>
      <c r="XEL763" s="902"/>
      <c r="XEM763" s="902"/>
      <c r="XEN763" s="888"/>
      <c r="XEO763" s="889"/>
      <c r="XEP763" s="890"/>
      <c r="XEQ763" s="891"/>
      <c r="XER763" s="892"/>
      <c r="XES763" s="891"/>
      <c r="XET763" s="893"/>
      <c r="XEU763" s="893"/>
      <c r="XEV763" s="943"/>
      <c r="XEW763" s="894"/>
      <c r="XEX763" s="895"/>
      <c r="XEY763" s="895"/>
      <c r="XEZ763" s="896"/>
      <c r="XFA763" s="896"/>
      <c r="XFB763" s="896"/>
      <c r="XFC763" s="902"/>
      <c r="XFD763" s="902"/>
    </row>
    <row r="764" s="338" customFormat="1" ht="40" customHeight="1" spans="1:84 16224:16384">
      <c r="A764" s="632">
        <v>46154</v>
      </c>
      <c r="B764" s="633" t="s">
        <v>1587</v>
      </c>
      <c r="C764" s="634" t="s">
        <v>178</v>
      </c>
      <c r="D764" s="635">
        <v>4500206414</v>
      </c>
      <c r="E764" s="659" t="s">
        <v>3262</v>
      </c>
      <c r="F764" s="635" t="s">
        <v>3263</v>
      </c>
      <c r="G764" s="637" t="s">
        <v>189</v>
      </c>
      <c r="H764" s="637" t="s">
        <v>99</v>
      </c>
      <c r="I764" s="940">
        <v>72</v>
      </c>
      <c r="J764" s="638">
        <v>0</v>
      </c>
      <c r="K764" s="639">
        <v>24</v>
      </c>
      <c r="L764" s="941">
        <f t="shared" si="412"/>
        <v>3</v>
      </c>
      <c r="M764" s="641">
        <v>46204</v>
      </c>
      <c r="N764" s="641">
        <v>46200</v>
      </c>
      <c r="O764" s="641"/>
      <c r="P764" s="903" t="s">
        <v>100</v>
      </c>
      <c r="Q764" s="643"/>
      <c r="R764" s="642" t="s">
        <v>1317</v>
      </c>
      <c r="S764" s="925"/>
      <c r="T764" s="925"/>
      <c r="U764" s="642" t="s">
        <v>2558</v>
      </c>
      <c r="V764" s="934" t="s">
        <v>3247</v>
      </c>
      <c r="W764" s="645"/>
      <c r="X764" s="647" t="s">
        <v>3251</v>
      </c>
      <c r="Y764" s="646" t="s">
        <v>734</v>
      </c>
      <c r="Z764" s="683">
        <v>2.5455</v>
      </c>
      <c r="AA764" s="650">
        <f t="shared" si="415"/>
        <v>183.276</v>
      </c>
      <c r="AB764" s="649">
        <v>72</v>
      </c>
      <c r="AC764" s="649">
        <f t="shared" si="413"/>
        <v>0</v>
      </c>
      <c r="AD764" s="942" t="s">
        <v>106</v>
      </c>
      <c r="AE764" s="637" t="s">
        <v>190</v>
      </c>
      <c r="AF764" s="747" t="s">
        <v>107</v>
      </c>
      <c r="AG764" s="881" t="s">
        <v>43</v>
      </c>
      <c r="AH764" s="646"/>
      <c r="AI764" s="920"/>
      <c r="AJ764" s="920"/>
      <c r="AK764" s="920"/>
      <c r="AL764" s="887"/>
      <c r="AM764" s="887"/>
      <c r="AN764" s="920"/>
      <c r="AO764" s="920"/>
      <c r="AP764" s="652">
        <f t="shared" si="416"/>
        <v>72</v>
      </c>
      <c r="AQ764" s="887"/>
      <c r="AR764" s="920"/>
      <c r="AS764" s="920"/>
      <c r="AT764" s="887"/>
      <c r="AU764" s="658">
        <f t="shared" si="417"/>
        <v>72</v>
      </c>
      <c r="AV764" s="887"/>
      <c r="AW764" s="920"/>
      <c r="AX764" s="887"/>
      <c r="AY764" s="887"/>
      <c r="AZ764" s="920"/>
      <c r="BA764" s="887"/>
      <c r="BB764" s="887"/>
      <c r="BC764" s="920"/>
      <c r="BD764" s="920"/>
      <c r="BE764" s="887"/>
      <c r="BF764" s="920"/>
      <c r="BG764" s="920"/>
      <c r="BH764" s="887"/>
      <c r="BI764" s="920"/>
      <c r="BJ764" s="920"/>
      <c r="BK764" s="920"/>
      <c r="BL764" s="887"/>
      <c r="BM764" s="887"/>
      <c r="BN764" s="887"/>
      <c r="BO764" s="887"/>
      <c r="BP764" s="920"/>
      <c r="BQ764" s="887"/>
      <c r="BR764" s="920"/>
      <c r="BS764" s="887"/>
      <c r="BT764" s="887"/>
      <c r="BU764" s="887"/>
      <c r="BV764" s="887"/>
      <c r="BW764" s="645" t="s">
        <v>109</v>
      </c>
      <c r="BX764" s="747"/>
      <c r="BY764" s="747"/>
      <c r="BZ764" s="747"/>
      <c r="CA764" s="747">
        <f t="shared" si="418"/>
        <v>72</v>
      </c>
      <c r="CB764" s="747">
        <f t="shared" si="419"/>
        <v>72</v>
      </c>
      <c r="CC764" s="747"/>
      <c r="CD764" s="747">
        <f t="shared" si="414"/>
        <v>72</v>
      </c>
      <c r="CE764" s="747">
        <f t="shared" si="420"/>
        <v>0</v>
      </c>
      <c r="CF764" s="917"/>
      <c r="WZR764" s="885"/>
      <c r="WZS764" s="885"/>
      <c r="WZT764" s="885"/>
      <c r="WZU764" s="885"/>
      <c r="WZV764" s="885"/>
      <c r="WZW764" s="885"/>
      <c r="WZX764" s="885"/>
      <c r="WZY764" s="885"/>
      <c r="WZZ764" s="885"/>
      <c r="XAA764" s="885"/>
      <c r="XAB764" s="885"/>
      <c r="XAC764" s="885"/>
      <c r="XAD764" s="885"/>
      <c r="XAE764" s="885"/>
      <c r="XAF764" s="885"/>
      <c r="XAG764" s="885"/>
      <c r="XAH764" s="885"/>
      <c r="XAI764" s="885"/>
      <c r="XAJ764" s="888"/>
      <c r="XAK764" s="889"/>
      <c r="XAL764" s="890"/>
      <c r="XAM764" s="891"/>
      <c r="XAN764" s="892"/>
      <c r="XAO764" s="891"/>
      <c r="XAP764" s="893"/>
      <c r="XAQ764" s="893"/>
      <c r="XAR764" s="943"/>
      <c r="XAS764" s="894"/>
      <c r="XAT764" s="895"/>
      <c r="XAU764" s="895"/>
      <c r="XAV764" s="896"/>
      <c r="XAW764" s="896"/>
      <c r="XAX764" s="896"/>
      <c r="XAY764" s="902"/>
      <c r="XAZ764" s="902"/>
      <c r="XBA764" s="902"/>
      <c r="XBB764" s="888"/>
      <c r="XBC764" s="889"/>
      <c r="XBD764" s="890"/>
      <c r="XBE764" s="891"/>
      <c r="XBF764" s="892"/>
      <c r="XBG764" s="891"/>
      <c r="XBH764" s="893"/>
      <c r="XBI764" s="893"/>
      <c r="XBJ764" s="943"/>
      <c r="XBK764" s="894"/>
      <c r="XBL764" s="895"/>
      <c r="XBM764" s="895"/>
      <c r="XBN764" s="896"/>
      <c r="XBO764" s="896"/>
      <c r="XBP764" s="896"/>
      <c r="XBQ764" s="902"/>
      <c r="XBR764" s="902"/>
      <c r="XBS764" s="902"/>
      <c r="XBT764" s="888"/>
      <c r="XBU764" s="889"/>
      <c r="XBV764" s="890"/>
      <c r="XBW764" s="891"/>
      <c r="XBX764" s="892"/>
      <c r="XBY764" s="891"/>
      <c r="XBZ764" s="893"/>
      <c r="XCA764" s="893"/>
      <c r="XCB764" s="943"/>
      <c r="XCC764" s="894"/>
      <c r="XCD764" s="895"/>
      <c r="XCE764" s="895"/>
      <c r="XCF764" s="896"/>
      <c r="XCG764" s="896"/>
      <c r="XCH764" s="896"/>
      <c r="XCI764" s="902"/>
      <c r="XCJ764" s="902"/>
      <c r="XCK764" s="902"/>
      <c r="XCL764" s="888"/>
      <c r="XCM764" s="889"/>
      <c r="XCN764" s="890"/>
      <c r="XCO764" s="891"/>
      <c r="XCP764" s="892"/>
      <c r="XCQ764" s="891"/>
      <c r="XCR764" s="893"/>
      <c r="XCS764" s="893"/>
      <c r="XCT764" s="943"/>
      <c r="XCU764" s="894"/>
      <c r="XCV764" s="895"/>
      <c r="XCW764" s="895"/>
      <c r="XCX764" s="896"/>
      <c r="XCY764" s="896"/>
      <c r="XCZ764" s="896"/>
      <c r="XDA764" s="902"/>
      <c r="XDB764" s="902"/>
      <c r="XDC764" s="902"/>
      <c r="XDD764" s="888"/>
      <c r="XDE764" s="889"/>
      <c r="XDF764" s="890"/>
      <c r="XDG764" s="891"/>
      <c r="XDH764" s="892"/>
      <c r="XDI764" s="891"/>
      <c r="XDJ764" s="893"/>
      <c r="XDK764" s="893"/>
      <c r="XDL764" s="943"/>
      <c r="XDM764" s="894"/>
      <c r="XDN764" s="895"/>
      <c r="XDO764" s="895"/>
      <c r="XDP764" s="896"/>
      <c r="XDQ764" s="896"/>
      <c r="XDR764" s="896"/>
      <c r="XDS764" s="902"/>
      <c r="XDT764" s="902"/>
      <c r="XDU764" s="902"/>
      <c r="XDV764" s="888"/>
      <c r="XDW764" s="889"/>
      <c r="XDX764" s="890"/>
      <c r="XDY764" s="891"/>
      <c r="XDZ764" s="892"/>
      <c r="XEA764" s="891"/>
      <c r="XEB764" s="893"/>
      <c r="XEC764" s="893"/>
      <c r="XED764" s="943"/>
      <c r="XEE764" s="894"/>
      <c r="XEF764" s="895"/>
      <c r="XEG764" s="895"/>
      <c r="XEH764" s="896"/>
      <c r="XEI764" s="896"/>
      <c r="XEJ764" s="896"/>
      <c r="XEK764" s="902"/>
      <c r="XEL764" s="902"/>
      <c r="XEM764" s="902"/>
      <c r="XEN764" s="888"/>
      <c r="XEO764" s="889"/>
      <c r="XEP764" s="890"/>
      <c r="XEQ764" s="891"/>
      <c r="XER764" s="892"/>
      <c r="XES764" s="891"/>
      <c r="XET764" s="893"/>
      <c r="XEU764" s="893"/>
      <c r="XEV764" s="943"/>
      <c r="XEW764" s="894"/>
      <c r="XEX764" s="895"/>
      <c r="XEY764" s="895"/>
      <c r="XEZ764" s="896"/>
      <c r="XFA764" s="896"/>
      <c r="XFB764" s="896"/>
      <c r="XFC764" s="902"/>
      <c r="XFD764" s="902"/>
    </row>
    <row r="765" s="338" customFormat="1" ht="40" customHeight="1" spans="1:84 16224:16384">
      <c r="A765" s="632">
        <v>46154</v>
      </c>
      <c r="B765" s="633" t="s">
        <v>1587</v>
      </c>
      <c r="C765" s="634" t="s">
        <v>178</v>
      </c>
      <c r="D765" s="635">
        <v>4500206414</v>
      </c>
      <c r="E765" s="659" t="s">
        <v>3264</v>
      </c>
      <c r="F765" s="635" t="s">
        <v>3265</v>
      </c>
      <c r="G765" s="637" t="s">
        <v>189</v>
      </c>
      <c r="H765" s="637" t="s">
        <v>99</v>
      </c>
      <c r="I765" s="940">
        <v>48</v>
      </c>
      <c r="J765" s="638">
        <v>0</v>
      </c>
      <c r="K765" s="639">
        <v>24</v>
      </c>
      <c r="L765" s="941">
        <f t="shared" si="412"/>
        <v>2</v>
      </c>
      <c r="M765" s="641">
        <v>46204</v>
      </c>
      <c r="N765" s="641">
        <v>46200</v>
      </c>
      <c r="O765" s="641"/>
      <c r="P765" s="903" t="s">
        <v>100</v>
      </c>
      <c r="Q765" s="643"/>
      <c r="R765" s="642" t="s">
        <v>1317</v>
      </c>
      <c r="S765" s="925"/>
      <c r="T765" s="925"/>
      <c r="U765" s="642" t="s">
        <v>2558</v>
      </c>
      <c r="V765" s="934" t="s">
        <v>3247</v>
      </c>
      <c r="W765" s="645"/>
      <c r="X765" s="647" t="s">
        <v>3251</v>
      </c>
      <c r="Y765" s="646" t="s">
        <v>734</v>
      </c>
      <c r="Z765" s="683">
        <v>2.5455</v>
      </c>
      <c r="AA765" s="650">
        <f t="shared" si="415"/>
        <v>122.184</v>
      </c>
      <c r="AB765" s="649">
        <v>48</v>
      </c>
      <c r="AC765" s="649">
        <f t="shared" si="413"/>
        <v>0</v>
      </c>
      <c r="AD765" s="942" t="s">
        <v>106</v>
      </c>
      <c r="AE765" s="637" t="s">
        <v>190</v>
      </c>
      <c r="AF765" s="747" t="s">
        <v>107</v>
      </c>
      <c r="AG765" s="881" t="s">
        <v>43</v>
      </c>
      <c r="AH765" s="646"/>
      <c r="AI765" s="920"/>
      <c r="AJ765" s="920"/>
      <c r="AK765" s="920"/>
      <c r="AL765" s="887"/>
      <c r="AM765" s="887"/>
      <c r="AN765" s="920"/>
      <c r="AO765" s="920"/>
      <c r="AP765" s="652">
        <f t="shared" si="416"/>
        <v>48</v>
      </c>
      <c r="AQ765" s="887"/>
      <c r="AR765" s="920"/>
      <c r="AS765" s="920"/>
      <c r="AT765" s="887"/>
      <c r="AU765" s="658">
        <f t="shared" si="417"/>
        <v>48</v>
      </c>
      <c r="AV765" s="887"/>
      <c r="AW765" s="920"/>
      <c r="AX765" s="887"/>
      <c r="AY765" s="887"/>
      <c r="AZ765" s="920"/>
      <c r="BA765" s="887"/>
      <c r="BB765" s="887"/>
      <c r="BC765" s="920"/>
      <c r="BD765" s="920"/>
      <c r="BE765" s="887"/>
      <c r="BF765" s="920"/>
      <c r="BG765" s="920"/>
      <c r="BH765" s="887"/>
      <c r="BI765" s="920"/>
      <c r="BJ765" s="920"/>
      <c r="BK765" s="920"/>
      <c r="BL765" s="887"/>
      <c r="BM765" s="887"/>
      <c r="BN765" s="887"/>
      <c r="BO765" s="887"/>
      <c r="BP765" s="920"/>
      <c r="BQ765" s="887"/>
      <c r="BR765" s="920"/>
      <c r="BS765" s="887"/>
      <c r="BT765" s="887"/>
      <c r="BU765" s="887"/>
      <c r="BV765" s="887"/>
      <c r="BW765" s="645" t="s">
        <v>109</v>
      </c>
      <c r="BX765" s="747"/>
      <c r="BY765" s="747"/>
      <c r="BZ765" s="747"/>
      <c r="CA765" s="747">
        <f t="shared" si="418"/>
        <v>48</v>
      </c>
      <c r="CB765" s="747">
        <f t="shared" si="419"/>
        <v>48</v>
      </c>
      <c r="CC765" s="747"/>
      <c r="CD765" s="747">
        <f t="shared" si="414"/>
        <v>48</v>
      </c>
      <c r="CE765" s="747">
        <f t="shared" si="420"/>
        <v>0</v>
      </c>
      <c r="CF765" s="917"/>
      <c r="WYZ765" s="885"/>
      <c r="WZA765" s="885"/>
      <c r="WZB765" s="885"/>
      <c r="WZC765" s="885"/>
      <c r="WZD765" s="885"/>
      <c r="WZE765" s="885"/>
      <c r="WZF765" s="885"/>
      <c r="WZG765" s="885"/>
      <c r="WZH765" s="885"/>
      <c r="WZI765" s="885"/>
      <c r="WZJ765" s="885"/>
      <c r="WZK765" s="885"/>
      <c r="WZL765" s="885"/>
      <c r="WZM765" s="885"/>
      <c r="WZN765" s="885"/>
      <c r="WZO765" s="885"/>
      <c r="WZP765" s="885"/>
      <c r="WZQ765" s="885"/>
      <c r="WZR765" s="888"/>
      <c r="WZS765" s="889"/>
      <c r="WZT765" s="890"/>
      <c r="WZU765" s="891"/>
      <c r="WZV765" s="892"/>
      <c r="WZW765" s="891"/>
      <c r="WZX765" s="893"/>
      <c r="WZY765" s="893"/>
      <c r="WZZ765" s="943"/>
      <c r="XAA765" s="894"/>
      <c r="XAB765" s="895"/>
      <c r="XAC765" s="895"/>
      <c r="XAD765" s="896"/>
      <c r="XAE765" s="896"/>
      <c r="XAF765" s="896"/>
      <c r="XAG765" s="902"/>
      <c r="XAH765" s="902"/>
      <c r="XAI765" s="902"/>
      <c r="XAJ765" s="888"/>
      <c r="XAK765" s="889"/>
      <c r="XAL765" s="890"/>
      <c r="XAM765" s="891"/>
      <c r="XAN765" s="892"/>
      <c r="XAO765" s="891"/>
      <c r="XAP765" s="893"/>
      <c r="XAQ765" s="893"/>
      <c r="XAR765" s="943"/>
      <c r="XAS765" s="894"/>
      <c r="XAT765" s="895"/>
      <c r="XAU765" s="895"/>
      <c r="XAV765" s="896"/>
      <c r="XAW765" s="896"/>
      <c r="XAX765" s="896"/>
      <c r="XAY765" s="902"/>
      <c r="XAZ765" s="902"/>
      <c r="XBA765" s="902"/>
      <c r="XBB765" s="888"/>
      <c r="XBC765" s="889"/>
      <c r="XBD765" s="890"/>
      <c r="XBE765" s="891"/>
      <c r="XBF765" s="892"/>
      <c r="XBG765" s="891"/>
      <c r="XBH765" s="893"/>
      <c r="XBI765" s="893"/>
      <c r="XBJ765" s="943"/>
      <c r="XBK765" s="894"/>
      <c r="XBL765" s="895"/>
      <c r="XBM765" s="895"/>
      <c r="XBN765" s="896"/>
      <c r="XBO765" s="896"/>
      <c r="XBP765" s="896"/>
      <c r="XBQ765" s="902"/>
      <c r="XBR765" s="902"/>
      <c r="XBS765" s="902"/>
      <c r="XBT765" s="888"/>
      <c r="XBU765" s="889"/>
      <c r="XBV765" s="890"/>
      <c r="XBW765" s="891"/>
      <c r="XBX765" s="892"/>
      <c r="XBY765" s="891"/>
      <c r="XBZ765" s="893"/>
      <c r="XCA765" s="893"/>
      <c r="XCB765" s="943"/>
      <c r="XCC765" s="894"/>
      <c r="XCD765" s="895"/>
      <c r="XCE765" s="895"/>
      <c r="XCF765" s="896"/>
      <c r="XCG765" s="896"/>
      <c r="XCH765" s="896"/>
      <c r="XCI765" s="902"/>
      <c r="XCJ765" s="902"/>
      <c r="XCK765" s="902"/>
      <c r="XCL765" s="888"/>
      <c r="XCM765" s="889"/>
      <c r="XCN765" s="890"/>
      <c r="XCO765" s="891"/>
      <c r="XCP765" s="892"/>
      <c r="XCQ765" s="891"/>
      <c r="XCR765" s="893"/>
      <c r="XCS765" s="893"/>
      <c r="XCT765" s="943"/>
      <c r="XCU765" s="894"/>
      <c r="XCV765" s="895"/>
      <c r="XCW765" s="895"/>
      <c r="XCX765" s="896"/>
      <c r="XCY765" s="896"/>
      <c r="XCZ765" s="896"/>
      <c r="XDA765" s="902"/>
      <c r="XDB765" s="902"/>
      <c r="XDC765" s="902"/>
      <c r="XDD765" s="888"/>
      <c r="XDE765" s="889"/>
      <c r="XDF765" s="890"/>
      <c r="XDG765" s="891"/>
      <c r="XDH765" s="892"/>
      <c r="XDI765" s="891"/>
      <c r="XDJ765" s="893"/>
      <c r="XDK765" s="893"/>
      <c r="XDL765" s="943"/>
      <c r="XDM765" s="894"/>
      <c r="XDN765" s="895"/>
      <c r="XDO765" s="895"/>
      <c r="XDP765" s="896"/>
      <c r="XDQ765" s="896"/>
      <c r="XDR765" s="896"/>
      <c r="XDS765" s="902"/>
      <c r="XDT765" s="902"/>
      <c r="XDU765" s="902"/>
      <c r="XDV765" s="888"/>
      <c r="XDW765" s="889"/>
      <c r="XDX765" s="890"/>
      <c r="XDY765" s="891"/>
      <c r="XDZ765" s="892"/>
      <c r="XEA765" s="891"/>
      <c r="XEB765" s="893"/>
      <c r="XEC765" s="893"/>
      <c r="XED765" s="943"/>
      <c r="XEE765" s="894"/>
      <c r="XEF765" s="895"/>
      <c r="XEG765" s="895"/>
      <c r="XEH765" s="896"/>
      <c r="XEI765" s="896"/>
      <c r="XEJ765" s="896"/>
      <c r="XEK765" s="902"/>
      <c r="XEL765" s="902"/>
      <c r="XEM765" s="902"/>
      <c r="XEN765" s="888"/>
      <c r="XEO765" s="889"/>
      <c r="XEP765" s="890"/>
      <c r="XEQ765" s="891"/>
      <c r="XER765" s="892"/>
      <c r="XES765" s="891"/>
      <c r="XET765" s="893"/>
      <c r="XEU765" s="893"/>
      <c r="XEV765" s="943"/>
      <c r="XEW765" s="894"/>
      <c r="XEX765" s="895"/>
      <c r="XEY765" s="895"/>
      <c r="XEZ765" s="896"/>
      <c r="XFA765" s="896"/>
      <c r="XFB765" s="896"/>
      <c r="XFC765" s="902"/>
      <c r="XFD765" s="902"/>
    </row>
    <row r="766" s="338" customFormat="1" ht="40" customHeight="1" spans="1:84 16224:16384">
      <c r="A766" s="632">
        <v>46163</v>
      </c>
      <c r="B766" s="633" t="s">
        <v>3266</v>
      </c>
      <c r="C766" s="634" t="s">
        <v>178</v>
      </c>
      <c r="D766" s="635">
        <v>4500208384</v>
      </c>
      <c r="E766" s="659" t="s">
        <v>3267</v>
      </c>
      <c r="F766" s="635" t="s">
        <v>3268</v>
      </c>
      <c r="G766" s="637" t="s">
        <v>132</v>
      </c>
      <c r="H766" s="637" t="s">
        <v>99</v>
      </c>
      <c r="I766" s="638">
        <v>168</v>
      </c>
      <c r="J766" s="638">
        <v>0</v>
      </c>
      <c r="K766" s="639">
        <v>24</v>
      </c>
      <c r="L766" s="941">
        <f t="shared" ref="L766:L774" si="421">I766/K766</f>
        <v>7</v>
      </c>
      <c r="M766" s="641">
        <v>46205</v>
      </c>
      <c r="N766" s="641">
        <v>46202</v>
      </c>
      <c r="O766" s="641"/>
      <c r="P766" s="903" t="s">
        <v>100</v>
      </c>
      <c r="Q766" s="643" t="s">
        <v>1455</v>
      </c>
      <c r="R766" s="642" t="s">
        <v>1332</v>
      </c>
      <c r="S766" s="925"/>
      <c r="T766" s="925"/>
      <c r="U766" s="642" t="s">
        <v>493</v>
      </c>
      <c r="V766" s="934" t="s">
        <v>3247</v>
      </c>
      <c r="W766" s="645"/>
      <c r="X766" s="647" t="s">
        <v>3269</v>
      </c>
      <c r="Y766" s="646" t="s">
        <v>3270</v>
      </c>
      <c r="Z766" s="683">
        <v>2.6389</v>
      </c>
      <c r="AA766" s="650">
        <f t="shared" ref="AA766:AA789" si="422">I766*Z766</f>
        <v>443.3352</v>
      </c>
      <c r="AB766" s="649">
        <v>168</v>
      </c>
      <c r="AC766" s="912">
        <f t="shared" ref="AC766:AC789" si="423">AB766-I766</f>
        <v>0</v>
      </c>
      <c r="AD766" s="942" t="s">
        <v>106</v>
      </c>
      <c r="AE766" s="637" t="s">
        <v>193</v>
      </c>
      <c r="AF766" s="747" t="s">
        <v>107</v>
      </c>
      <c r="AG766" s="881" t="s">
        <v>43</v>
      </c>
      <c r="AH766" s="646"/>
      <c r="AI766" s="693"/>
      <c r="AJ766" s="693"/>
      <c r="AK766" s="693"/>
      <c r="AL766" s="913"/>
      <c r="AM766" s="649"/>
      <c r="AN766" s="693"/>
      <c r="AO766" s="882"/>
      <c r="AP766" s="652">
        <f t="shared" si="416"/>
        <v>168</v>
      </c>
      <c r="AQ766" s="652"/>
      <c r="AR766" s="882"/>
      <c r="AS766" s="882"/>
      <c r="AT766" s="744"/>
      <c r="AU766" s="652">
        <f t="shared" si="417"/>
        <v>168</v>
      </c>
      <c r="AV766" s="652"/>
      <c r="AW766" s="882"/>
      <c r="AX766" s="744"/>
      <c r="AY766" s="652"/>
      <c r="AZ766" s="694"/>
      <c r="BA766" s="700"/>
      <c r="BB766" s="654"/>
      <c r="BC766" s="694"/>
      <c r="BD766" s="694"/>
      <c r="BE766" s="654"/>
      <c r="BF766" s="694"/>
      <c r="BG766" s="923"/>
      <c r="BH766" s="658"/>
      <c r="BI766" s="883"/>
      <c r="BJ766" s="883"/>
      <c r="BK766" s="883"/>
      <c r="BL766" s="644"/>
      <c r="BM766" s="658"/>
      <c r="BN766" s="644"/>
      <c r="BO766" s="644"/>
      <c r="BP766" s="884"/>
      <c r="BQ766" s="654"/>
      <c r="BR766" s="694"/>
      <c r="BS766" s="654"/>
      <c r="BT766" s="654"/>
      <c r="BU766" s="654"/>
      <c r="BV766" s="654"/>
      <c r="BW766" s="645" t="s">
        <v>109</v>
      </c>
      <c r="BX766" s="658">
        <f>I766</f>
        <v>168</v>
      </c>
      <c r="BY766" s="658"/>
      <c r="BZ766" s="658"/>
      <c r="CA766" s="658"/>
      <c r="CB766" s="644">
        <f t="shared" ref="CB766:CB774" si="424">I766</f>
        <v>168</v>
      </c>
      <c r="CC766" s="658"/>
      <c r="CD766" s="644">
        <f t="shared" ref="CD766:CD774" si="425">SUM(BX766:CA766)</f>
        <v>168</v>
      </c>
      <c r="CE766" s="659">
        <f t="shared" ref="CE766:CE774" si="426">I766-CD766</f>
        <v>0</v>
      </c>
      <c r="CF766" s="917"/>
      <c r="XEN766" s="885"/>
      <c r="XEO766" s="885"/>
      <c r="XEP766" s="885"/>
      <c r="XEQ766" s="885"/>
      <c r="XER766" s="885"/>
      <c r="XES766" s="885"/>
      <c r="XET766" s="885"/>
      <c r="XEU766" s="885"/>
      <c r="XEV766" s="885"/>
      <c r="XEW766" s="885"/>
      <c r="XEX766" s="885"/>
      <c r="XEY766" s="885"/>
      <c r="XEZ766" s="885"/>
      <c r="XFA766" s="885"/>
      <c r="XFB766" s="885"/>
      <c r="XFC766" s="885"/>
      <c r="XFD766" s="885"/>
    </row>
    <row r="767" s="338" customFormat="1" ht="40" customHeight="1" spans="1:84 16224:16384">
      <c r="A767" s="632">
        <v>46163</v>
      </c>
      <c r="B767" s="633" t="s">
        <v>3266</v>
      </c>
      <c r="C767" s="634" t="s">
        <v>178</v>
      </c>
      <c r="D767" s="635">
        <v>4500208384</v>
      </c>
      <c r="E767" s="659" t="s">
        <v>3271</v>
      </c>
      <c r="F767" s="635" t="s">
        <v>3272</v>
      </c>
      <c r="G767" s="637" t="s">
        <v>132</v>
      </c>
      <c r="H767" s="637" t="s">
        <v>99</v>
      </c>
      <c r="I767" s="638">
        <v>24</v>
      </c>
      <c r="J767" s="638">
        <v>0</v>
      </c>
      <c r="K767" s="639">
        <v>24</v>
      </c>
      <c r="L767" s="941">
        <f t="shared" si="421"/>
        <v>1</v>
      </c>
      <c r="M767" s="641">
        <v>46205</v>
      </c>
      <c r="N767" s="641">
        <v>46202</v>
      </c>
      <c r="O767" s="641"/>
      <c r="P767" s="903" t="s">
        <v>100</v>
      </c>
      <c r="Q767" s="643" t="s">
        <v>1455</v>
      </c>
      <c r="R767" s="642" t="s">
        <v>1332</v>
      </c>
      <c r="S767" s="925"/>
      <c r="T767" s="925"/>
      <c r="U767" s="642" t="s">
        <v>493</v>
      </c>
      <c r="V767" s="934" t="s">
        <v>3247</v>
      </c>
      <c r="W767" s="645"/>
      <c r="X767" s="647" t="s">
        <v>3269</v>
      </c>
      <c r="Y767" s="646" t="s">
        <v>3270</v>
      </c>
      <c r="Z767" s="683">
        <v>2.6389</v>
      </c>
      <c r="AA767" s="650">
        <f t="shared" si="422"/>
        <v>63.3336</v>
      </c>
      <c r="AB767" s="649">
        <v>24</v>
      </c>
      <c r="AC767" s="912">
        <f t="shared" si="423"/>
        <v>0</v>
      </c>
      <c r="AD767" s="942" t="s">
        <v>106</v>
      </c>
      <c r="AE767" s="637" t="s">
        <v>193</v>
      </c>
      <c r="AF767" s="747" t="s">
        <v>107</v>
      </c>
      <c r="AG767" s="881" t="s">
        <v>43</v>
      </c>
      <c r="AH767" s="646"/>
      <c r="AI767" s="693"/>
      <c r="AJ767" s="693"/>
      <c r="AK767" s="693"/>
      <c r="AL767" s="913"/>
      <c r="AM767" s="649"/>
      <c r="AN767" s="693"/>
      <c r="AO767" s="882"/>
      <c r="AP767" s="652">
        <f t="shared" ref="AP767:AP786" si="427">I767</f>
        <v>24</v>
      </c>
      <c r="AQ767" s="652"/>
      <c r="AR767" s="882"/>
      <c r="AS767" s="882"/>
      <c r="AT767" s="744"/>
      <c r="AU767" s="652">
        <f t="shared" ref="AU767:AU786" si="428">I767</f>
        <v>24</v>
      </c>
      <c r="AV767" s="652"/>
      <c r="AW767" s="882"/>
      <c r="AX767" s="744"/>
      <c r="AY767" s="652"/>
      <c r="AZ767" s="694"/>
      <c r="BA767" s="700"/>
      <c r="BB767" s="654"/>
      <c r="BC767" s="694"/>
      <c r="BD767" s="694"/>
      <c r="BE767" s="654"/>
      <c r="BF767" s="694"/>
      <c r="BG767" s="923"/>
      <c r="BH767" s="658"/>
      <c r="BI767" s="883"/>
      <c r="BJ767" s="883"/>
      <c r="BK767" s="883"/>
      <c r="BL767" s="644"/>
      <c r="BM767" s="658"/>
      <c r="BN767" s="644"/>
      <c r="BO767" s="644"/>
      <c r="BP767" s="884"/>
      <c r="BQ767" s="654"/>
      <c r="BR767" s="694"/>
      <c r="BS767" s="654"/>
      <c r="BT767" s="654"/>
      <c r="BU767" s="654"/>
      <c r="BV767" s="654"/>
      <c r="BW767" s="645" t="s">
        <v>109</v>
      </c>
      <c r="BX767" s="658">
        <f t="shared" ref="BX767:BX774" si="429">I767</f>
        <v>24</v>
      </c>
      <c r="BY767" s="658"/>
      <c r="BZ767" s="658"/>
      <c r="CA767" s="658"/>
      <c r="CB767" s="644">
        <f t="shared" si="424"/>
        <v>24</v>
      </c>
      <c r="CC767" s="658"/>
      <c r="CD767" s="644">
        <f t="shared" si="425"/>
        <v>24</v>
      </c>
      <c r="CE767" s="659">
        <f t="shared" si="426"/>
        <v>0</v>
      </c>
      <c r="CF767" s="917"/>
      <c r="XEN767" s="885"/>
      <c r="XEO767" s="885"/>
      <c r="XEP767" s="885"/>
      <c r="XEQ767" s="885"/>
      <c r="XER767" s="885"/>
      <c r="XES767" s="885"/>
      <c r="XET767" s="885"/>
      <c r="XEU767" s="885"/>
      <c r="XEV767" s="885"/>
      <c r="XEW767" s="885"/>
      <c r="XEX767" s="885"/>
      <c r="XEY767" s="885"/>
      <c r="XEZ767" s="885"/>
      <c r="XFA767" s="885"/>
      <c r="XFB767" s="885"/>
      <c r="XFC767" s="885"/>
      <c r="XFD767" s="885"/>
    </row>
    <row r="768" s="338" customFormat="1" ht="40" customHeight="1" spans="1:84 16224:16384">
      <c r="A768" s="632">
        <v>46163</v>
      </c>
      <c r="B768" s="633" t="s">
        <v>3266</v>
      </c>
      <c r="C768" s="634" t="s">
        <v>178</v>
      </c>
      <c r="D768" s="635">
        <v>4500208384</v>
      </c>
      <c r="E768" s="659" t="s">
        <v>3273</v>
      </c>
      <c r="F768" s="635" t="s">
        <v>3274</v>
      </c>
      <c r="G768" s="637" t="s">
        <v>132</v>
      </c>
      <c r="H768" s="637" t="s">
        <v>99</v>
      </c>
      <c r="I768" s="638">
        <v>72</v>
      </c>
      <c r="J768" s="638">
        <v>0</v>
      </c>
      <c r="K768" s="639">
        <v>24</v>
      </c>
      <c r="L768" s="941">
        <f t="shared" si="421"/>
        <v>3</v>
      </c>
      <c r="M768" s="641">
        <v>46205</v>
      </c>
      <c r="N768" s="641">
        <v>46202</v>
      </c>
      <c r="O768" s="641"/>
      <c r="P768" s="903" t="s">
        <v>100</v>
      </c>
      <c r="Q768" s="643" t="s">
        <v>1455</v>
      </c>
      <c r="R768" s="642" t="s">
        <v>1332</v>
      </c>
      <c r="S768" s="925"/>
      <c r="T768" s="925"/>
      <c r="U768" s="642" t="s">
        <v>493</v>
      </c>
      <c r="V768" s="934" t="s">
        <v>3247</v>
      </c>
      <c r="W768" s="645"/>
      <c r="X768" s="647" t="s">
        <v>3269</v>
      </c>
      <c r="Y768" s="646" t="s">
        <v>3270</v>
      </c>
      <c r="Z768" s="683">
        <v>2.6389</v>
      </c>
      <c r="AA768" s="650">
        <f t="shared" si="422"/>
        <v>190.0008</v>
      </c>
      <c r="AB768" s="649">
        <v>72</v>
      </c>
      <c r="AC768" s="912">
        <f t="shared" si="423"/>
        <v>0</v>
      </c>
      <c r="AD768" s="942" t="s">
        <v>106</v>
      </c>
      <c r="AE768" s="637" t="s">
        <v>193</v>
      </c>
      <c r="AF768" s="747" t="s">
        <v>107</v>
      </c>
      <c r="AG768" s="881" t="s">
        <v>43</v>
      </c>
      <c r="AH768" s="646"/>
      <c r="AI768" s="693"/>
      <c r="AJ768" s="693"/>
      <c r="AK768" s="693"/>
      <c r="AL768" s="913"/>
      <c r="AM768" s="649"/>
      <c r="AN768" s="693"/>
      <c r="AO768" s="882"/>
      <c r="AP768" s="652">
        <f t="shared" si="427"/>
        <v>72</v>
      </c>
      <c r="AQ768" s="652"/>
      <c r="AR768" s="882"/>
      <c r="AS768" s="882"/>
      <c r="AT768" s="744"/>
      <c r="AU768" s="652">
        <f t="shared" si="428"/>
        <v>72</v>
      </c>
      <c r="AV768" s="652"/>
      <c r="AW768" s="882"/>
      <c r="AX768" s="744"/>
      <c r="AY768" s="652"/>
      <c r="AZ768" s="694"/>
      <c r="BA768" s="700"/>
      <c r="BB768" s="654"/>
      <c r="BC768" s="694"/>
      <c r="BD768" s="694"/>
      <c r="BE768" s="654"/>
      <c r="BF768" s="694"/>
      <c r="BG768" s="923"/>
      <c r="BH768" s="658"/>
      <c r="BI768" s="883"/>
      <c r="BJ768" s="883"/>
      <c r="BK768" s="883"/>
      <c r="BL768" s="644"/>
      <c r="BM768" s="658"/>
      <c r="BN768" s="644"/>
      <c r="BO768" s="644"/>
      <c r="BP768" s="884"/>
      <c r="BQ768" s="654"/>
      <c r="BR768" s="694"/>
      <c r="BS768" s="654"/>
      <c r="BT768" s="654"/>
      <c r="BU768" s="654"/>
      <c r="BV768" s="654"/>
      <c r="BW768" s="645" t="s">
        <v>109</v>
      </c>
      <c r="BX768" s="658">
        <f t="shared" si="429"/>
        <v>72</v>
      </c>
      <c r="BY768" s="658"/>
      <c r="BZ768" s="658"/>
      <c r="CA768" s="658"/>
      <c r="CB768" s="644">
        <f t="shared" si="424"/>
        <v>72</v>
      </c>
      <c r="CC768" s="658"/>
      <c r="CD768" s="644">
        <f t="shared" si="425"/>
        <v>72</v>
      </c>
      <c r="CE768" s="659">
        <f t="shared" si="426"/>
        <v>0</v>
      </c>
      <c r="CF768" s="917"/>
      <c r="XEN768" s="885"/>
      <c r="XEO768" s="885"/>
      <c r="XEP768" s="885"/>
      <c r="XEQ768" s="885"/>
      <c r="XER768" s="885"/>
      <c r="XES768" s="885"/>
      <c r="XET768" s="885"/>
      <c r="XEU768" s="885"/>
      <c r="XEV768" s="885"/>
      <c r="XEW768" s="885"/>
      <c r="XEX768" s="885"/>
      <c r="XEY768" s="885"/>
      <c r="XEZ768" s="885"/>
      <c r="XFA768" s="885"/>
      <c r="XFB768" s="885"/>
      <c r="XFC768" s="885"/>
      <c r="XFD768" s="885"/>
    </row>
    <row r="769" s="338" customFormat="1" ht="40" customHeight="1" spans="1:84 16368:16384">
      <c r="A769" s="632">
        <v>46163</v>
      </c>
      <c r="B769" s="633" t="s">
        <v>3266</v>
      </c>
      <c r="C769" s="634" t="s">
        <v>178</v>
      </c>
      <c r="D769" s="635">
        <v>4500208384</v>
      </c>
      <c r="E769" s="659" t="s">
        <v>3275</v>
      </c>
      <c r="F769" s="635" t="s">
        <v>3276</v>
      </c>
      <c r="G769" s="637" t="s">
        <v>132</v>
      </c>
      <c r="H769" s="637" t="s">
        <v>99</v>
      </c>
      <c r="I769" s="638">
        <v>48</v>
      </c>
      <c r="J769" s="638">
        <v>0</v>
      </c>
      <c r="K769" s="639">
        <v>24</v>
      </c>
      <c r="L769" s="941">
        <f t="shared" si="421"/>
        <v>2</v>
      </c>
      <c r="M769" s="641">
        <v>46205</v>
      </c>
      <c r="N769" s="641">
        <v>46202</v>
      </c>
      <c r="O769" s="641"/>
      <c r="P769" s="903" t="s">
        <v>100</v>
      </c>
      <c r="Q769" s="643" t="s">
        <v>1455</v>
      </c>
      <c r="R769" s="642" t="s">
        <v>1332</v>
      </c>
      <c r="S769" s="925"/>
      <c r="T769" s="925"/>
      <c r="U769" s="642" t="s">
        <v>493</v>
      </c>
      <c r="V769" s="934" t="s">
        <v>3247</v>
      </c>
      <c r="W769" s="645"/>
      <c r="X769" s="647" t="s">
        <v>3269</v>
      </c>
      <c r="Y769" s="646" t="s">
        <v>3270</v>
      </c>
      <c r="Z769" s="683">
        <v>2.6389</v>
      </c>
      <c r="AA769" s="650">
        <f t="shared" si="422"/>
        <v>126.6672</v>
      </c>
      <c r="AB769" s="649">
        <v>48</v>
      </c>
      <c r="AC769" s="912">
        <f t="shared" si="423"/>
        <v>0</v>
      </c>
      <c r="AD769" s="942" t="s">
        <v>106</v>
      </c>
      <c r="AE769" s="637" t="s">
        <v>193</v>
      </c>
      <c r="AF769" s="747" t="s">
        <v>107</v>
      </c>
      <c r="AG769" s="881" t="s">
        <v>43</v>
      </c>
      <c r="AH769" s="646"/>
      <c r="AI769" s="693"/>
      <c r="AJ769" s="693"/>
      <c r="AK769" s="693"/>
      <c r="AL769" s="913"/>
      <c r="AM769" s="649"/>
      <c r="AN769" s="693"/>
      <c r="AO769" s="882"/>
      <c r="AP769" s="652">
        <f t="shared" si="427"/>
        <v>48</v>
      </c>
      <c r="AQ769" s="652"/>
      <c r="AR769" s="882"/>
      <c r="AS769" s="882"/>
      <c r="AT769" s="744"/>
      <c r="AU769" s="652">
        <f t="shared" si="428"/>
        <v>48</v>
      </c>
      <c r="AV769" s="652"/>
      <c r="AW769" s="882"/>
      <c r="AX769" s="744"/>
      <c r="AY769" s="652"/>
      <c r="AZ769" s="694"/>
      <c r="BA769" s="700"/>
      <c r="BB769" s="654"/>
      <c r="BC769" s="694"/>
      <c r="BD769" s="694"/>
      <c r="BE769" s="654"/>
      <c r="BF769" s="694"/>
      <c r="BG769" s="923"/>
      <c r="BH769" s="658"/>
      <c r="BI769" s="883"/>
      <c r="BJ769" s="883"/>
      <c r="BK769" s="883"/>
      <c r="BL769" s="644"/>
      <c r="BM769" s="658"/>
      <c r="BN769" s="644"/>
      <c r="BO769" s="644"/>
      <c r="BP769" s="884"/>
      <c r="BQ769" s="654"/>
      <c r="BR769" s="694"/>
      <c r="BS769" s="654"/>
      <c r="BT769" s="654"/>
      <c r="BU769" s="654"/>
      <c r="BV769" s="654"/>
      <c r="BW769" s="645" t="s">
        <v>109</v>
      </c>
      <c r="BX769" s="658">
        <f t="shared" si="429"/>
        <v>48</v>
      </c>
      <c r="BY769" s="658"/>
      <c r="BZ769" s="658"/>
      <c r="CA769" s="658"/>
      <c r="CB769" s="644">
        <f t="shared" si="424"/>
        <v>48</v>
      </c>
      <c r="CC769" s="658"/>
      <c r="CD769" s="644">
        <f t="shared" si="425"/>
        <v>48</v>
      </c>
      <c r="CE769" s="659">
        <f t="shared" si="426"/>
        <v>0</v>
      </c>
      <c r="CF769" s="917"/>
      <c r="XEN769" s="885"/>
      <c r="XEO769" s="885"/>
      <c r="XEP769" s="885"/>
      <c r="XEQ769" s="885"/>
      <c r="XER769" s="885"/>
      <c r="XES769" s="885"/>
      <c r="XET769" s="885"/>
      <c r="XEU769" s="885"/>
      <c r="XEV769" s="885"/>
      <c r="XEW769" s="885"/>
      <c r="XEX769" s="885"/>
      <c r="XEY769" s="885"/>
      <c r="XEZ769" s="885"/>
      <c r="XFA769" s="885"/>
      <c r="XFB769" s="885"/>
      <c r="XFC769" s="885"/>
      <c r="XFD769" s="885"/>
    </row>
    <row r="770" s="338" customFormat="1" ht="40" customHeight="1" spans="1:84 16368:16384">
      <c r="A770" s="632">
        <v>46163</v>
      </c>
      <c r="B770" s="633" t="s">
        <v>3266</v>
      </c>
      <c r="C770" s="634" t="s">
        <v>178</v>
      </c>
      <c r="D770" s="635">
        <v>4500208384</v>
      </c>
      <c r="E770" s="659" t="s">
        <v>3277</v>
      </c>
      <c r="F770" s="635" t="s">
        <v>3278</v>
      </c>
      <c r="G770" s="637" t="s">
        <v>132</v>
      </c>
      <c r="H770" s="637" t="s">
        <v>99</v>
      </c>
      <c r="I770" s="638">
        <v>24</v>
      </c>
      <c r="J770" s="638">
        <v>0</v>
      </c>
      <c r="K770" s="639">
        <v>24</v>
      </c>
      <c r="L770" s="941">
        <f t="shared" si="421"/>
        <v>1</v>
      </c>
      <c r="M770" s="641">
        <v>46205</v>
      </c>
      <c r="N770" s="641">
        <v>46202</v>
      </c>
      <c r="O770" s="641"/>
      <c r="P770" s="903" t="s">
        <v>100</v>
      </c>
      <c r="Q770" s="643" t="s">
        <v>1455</v>
      </c>
      <c r="R770" s="642" t="s">
        <v>1332</v>
      </c>
      <c r="S770" s="925"/>
      <c r="T770" s="925"/>
      <c r="U770" s="642" t="s">
        <v>493</v>
      </c>
      <c r="V770" s="934" t="s">
        <v>3247</v>
      </c>
      <c r="W770" s="645"/>
      <c r="X770" s="647" t="s">
        <v>3269</v>
      </c>
      <c r="Y770" s="646" t="s">
        <v>3270</v>
      </c>
      <c r="Z770" s="683">
        <v>2.6389</v>
      </c>
      <c r="AA770" s="650">
        <f t="shared" si="422"/>
        <v>63.3336</v>
      </c>
      <c r="AB770" s="649">
        <v>24</v>
      </c>
      <c r="AC770" s="912">
        <f t="shared" si="423"/>
        <v>0</v>
      </c>
      <c r="AD770" s="942" t="s">
        <v>106</v>
      </c>
      <c r="AE770" s="637" t="s">
        <v>193</v>
      </c>
      <c r="AF770" s="747" t="s">
        <v>107</v>
      </c>
      <c r="AG770" s="881" t="s">
        <v>43</v>
      </c>
      <c r="AH770" s="646"/>
      <c r="AI770" s="693"/>
      <c r="AJ770" s="693"/>
      <c r="AK770" s="693"/>
      <c r="AL770" s="913"/>
      <c r="AM770" s="649"/>
      <c r="AN770" s="693"/>
      <c r="AO770" s="882"/>
      <c r="AP770" s="652">
        <f t="shared" si="427"/>
        <v>24</v>
      </c>
      <c r="AQ770" s="652"/>
      <c r="AR770" s="882"/>
      <c r="AS770" s="882"/>
      <c r="AT770" s="744"/>
      <c r="AU770" s="652">
        <f t="shared" si="428"/>
        <v>24</v>
      </c>
      <c r="AV770" s="652"/>
      <c r="AW770" s="882"/>
      <c r="AX770" s="744"/>
      <c r="AY770" s="652"/>
      <c r="AZ770" s="694"/>
      <c r="BA770" s="700"/>
      <c r="BB770" s="654"/>
      <c r="BC770" s="694"/>
      <c r="BD770" s="694"/>
      <c r="BE770" s="654"/>
      <c r="BF770" s="694"/>
      <c r="BG770" s="923"/>
      <c r="BH770" s="658"/>
      <c r="BI770" s="883"/>
      <c r="BJ770" s="883"/>
      <c r="BK770" s="883"/>
      <c r="BL770" s="644"/>
      <c r="BM770" s="658"/>
      <c r="BN770" s="644"/>
      <c r="BO770" s="644"/>
      <c r="BP770" s="884"/>
      <c r="BQ770" s="654"/>
      <c r="BR770" s="694"/>
      <c r="BS770" s="654"/>
      <c r="BT770" s="654"/>
      <c r="BU770" s="654"/>
      <c r="BV770" s="654"/>
      <c r="BW770" s="645" t="s">
        <v>109</v>
      </c>
      <c r="BX770" s="658">
        <f t="shared" si="429"/>
        <v>24</v>
      </c>
      <c r="BY770" s="658"/>
      <c r="BZ770" s="658"/>
      <c r="CA770" s="658"/>
      <c r="CB770" s="644">
        <f t="shared" si="424"/>
        <v>24</v>
      </c>
      <c r="CC770" s="658"/>
      <c r="CD770" s="644">
        <f t="shared" si="425"/>
        <v>24</v>
      </c>
      <c r="CE770" s="659">
        <f t="shared" si="426"/>
        <v>0</v>
      </c>
      <c r="CF770" s="917"/>
      <c r="XEN770" s="885"/>
      <c r="XEO770" s="885"/>
      <c r="XEP770" s="885"/>
      <c r="XEQ770" s="885"/>
      <c r="XER770" s="885"/>
      <c r="XES770" s="885"/>
      <c r="XET770" s="885"/>
      <c r="XEU770" s="885"/>
      <c r="XEV770" s="885"/>
      <c r="XEW770" s="885"/>
      <c r="XEX770" s="885"/>
      <c r="XEY770" s="885"/>
      <c r="XEZ770" s="885"/>
      <c r="XFA770" s="885"/>
      <c r="XFB770" s="885"/>
      <c r="XFC770" s="885"/>
      <c r="XFD770" s="885"/>
    </row>
    <row r="771" s="338" customFormat="1" ht="40" customHeight="1" spans="1:84 16368:16384">
      <c r="A771" s="632">
        <v>46163</v>
      </c>
      <c r="B771" s="633" t="s">
        <v>3266</v>
      </c>
      <c r="C771" s="634" t="s">
        <v>178</v>
      </c>
      <c r="D771" s="635">
        <v>4500208384</v>
      </c>
      <c r="E771" s="659" t="s">
        <v>3279</v>
      </c>
      <c r="F771" s="635" t="s">
        <v>3280</v>
      </c>
      <c r="G771" s="637" t="s">
        <v>132</v>
      </c>
      <c r="H771" s="637" t="s">
        <v>99</v>
      </c>
      <c r="I771" s="638">
        <v>48</v>
      </c>
      <c r="J771" s="638">
        <v>0</v>
      </c>
      <c r="K771" s="639">
        <v>24</v>
      </c>
      <c r="L771" s="941">
        <f t="shared" si="421"/>
        <v>2</v>
      </c>
      <c r="M771" s="641">
        <v>46205</v>
      </c>
      <c r="N771" s="641">
        <v>46202</v>
      </c>
      <c r="O771" s="641"/>
      <c r="P771" s="903" t="s">
        <v>100</v>
      </c>
      <c r="Q771" s="643" t="s">
        <v>1455</v>
      </c>
      <c r="R771" s="642" t="s">
        <v>1332</v>
      </c>
      <c r="S771" s="925"/>
      <c r="T771" s="925"/>
      <c r="U771" s="642" t="s">
        <v>493</v>
      </c>
      <c r="V771" s="934" t="s">
        <v>3247</v>
      </c>
      <c r="W771" s="645"/>
      <c r="X771" s="647" t="s">
        <v>3269</v>
      </c>
      <c r="Y771" s="646" t="s">
        <v>3270</v>
      </c>
      <c r="Z771" s="683">
        <v>2.6389</v>
      </c>
      <c r="AA771" s="650">
        <f t="shared" si="422"/>
        <v>126.6672</v>
      </c>
      <c r="AB771" s="649">
        <v>48</v>
      </c>
      <c r="AC771" s="912">
        <f t="shared" si="423"/>
        <v>0</v>
      </c>
      <c r="AD771" s="942" t="s">
        <v>106</v>
      </c>
      <c r="AE771" s="637" t="s">
        <v>193</v>
      </c>
      <c r="AF771" s="747" t="s">
        <v>107</v>
      </c>
      <c r="AG771" s="881" t="s">
        <v>43</v>
      </c>
      <c r="AH771" s="646"/>
      <c r="AI771" s="693"/>
      <c r="AJ771" s="693"/>
      <c r="AK771" s="693"/>
      <c r="AL771" s="913"/>
      <c r="AM771" s="649"/>
      <c r="AN771" s="693"/>
      <c r="AO771" s="882"/>
      <c r="AP771" s="652">
        <f t="shared" si="427"/>
        <v>48</v>
      </c>
      <c r="AQ771" s="652"/>
      <c r="AR771" s="882"/>
      <c r="AS771" s="882"/>
      <c r="AT771" s="744"/>
      <c r="AU771" s="652">
        <f t="shared" si="428"/>
        <v>48</v>
      </c>
      <c r="AV771" s="652"/>
      <c r="AW771" s="882"/>
      <c r="AX771" s="744"/>
      <c r="AY771" s="652"/>
      <c r="AZ771" s="694"/>
      <c r="BA771" s="700"/>
      <c r="BB771" s="654"/>
      <c r="BC771" s="694"/>
      <c r="BD771" s="694"/>
      <c r="BE771" s="654"/>
      <c r="BF771" s="694"/>
      <c r="BG771" s="923"/>
      <c r="BH771" s="658"/>
      <c r="BI771" s="883"/>
      <c r="BJ771" s="883"/>
      <c r="BK771" s="883"/>
      <c r="BL771" s="644"/>
      <c r="BM771" s="658"/>
      <c r="BN771" s="644"/>
      <c r="BO771" s="644"/>
      <c r="BP771" s="884"/>
      <c r="BQ771" s="654"/>
      <c r="BR771" s="694"/>
      <c r="BS771" s="654"/>
      <c r="BT771" s="654"/>
      <c r="BU771" s="654"/>
      <c r="BV771" s="654"/>
      <c r="BW771" s="645" t="s">
        <v>109</v>
      </c>
      <c r="BX771" s="658">
        <f t="shared" si="429"/>
        <v>48</v>
      </c>
      <c r="BY771" s="658"/>
      <c r="BZ771" s="658"/>
      <c r="CA771" s="658"/>
      <c r="CB771" s="644">
        <f t="shared" si="424"/>
        <v>48</v>
      </c>
      <c r="CC771" s="658"/>
      <c r="CD771" s="644">
        <f t="shared" si="425"/>
        <v>48</v>
      </c>
      <c r="CE771" s="659">
        <f t="shared" si="426"/>
        <v>0</v>
      </c>
      <c r="CF771" s="917"/>
      <c r="XEN771" s="885"/>
      <c r="XEO771" s="885"/>
      <c r="XEP771" s="885"/>
      <c r="XEQ771" s="885"/>
      <c r="XER771" s="885"/>
      <c r="XES771" s="885"/>
      <c r="XET771" s="885"/>
      <c r="XEU771" s="885"/>
      <c r="XEV771" s="885"/>
      <c r="XEW771" s="885"/>
      <c r="XEX771" s="885"/>
      <c r="XEY771" s="885"/>
      <c r="XEZ771" s="885"/>
      <c r="XFA771" s="885"/>
      <c r="XFB771" s="885"/>
      <c r="XFC771" s="885"/>
      <c r="XFD771" s="885"/>
    </row>
    <row r="772" s="338" customFormat="1" ht="40" customHeight="1" spans="1:84 16368:16384">
      <c r="A772" s="632">
        <v>46163</v>
      </c>
      <c r="B772" s="633" t="s">
        <v>3266</v>
      </c>
      <c r="C772" s="634" t="s">
        <v>178</v>
      </c>
      <c r="D772" s="635">
        <v>4500208384</v>
      </c>
      <c r="E772" s="659" t="s">
        <v>3281</v>
      </c>
      <c r="F772" s="635" t="s">
        <v>3282</v>
      </c>
      <c r="G772" s="637" t="s">
        <v>132</v>
      </c>
      <c r="H772" s="637" t="s">
        <v>99</v>
      </c>
      <c r="I772" s="638">
        <v>24</v>
      </c>
      <c r="J772" s="638">
        <v>0</v>
      </c>
      <c r="K772" s="639">
        <v>24</v>
      </c>
      <c r="L772" s="941">
        <f t="shared" si="421"/>
        <v>1</v>
      </c>
      <c r="M772" s="641">
        <v>46205</v>
      </c>
      <c r="N772" s="641">
        <v>46202</v>
      </c>
      <c r="O772" s="641"/>
      <c r="P772" s="903" t="s">
        <v>100</v>
      </c>
      <c r="Q772" s="643" t="s">
        <v>1455</v>
      </c>
      <c r="R772" s="642" t="s">
        <v>1332</v>
      </c>
      <c r="S772" s="925"/>
      <c r="T772" s="925"/>
      <c r="U772" s="642" t="s">
        <v>493</v>
      </c>
      <c r="V772" s="934" t="s">
        <v>3247</v>
      </c>
      <c r="W772" s="645"/>
      <c r="X772" s="647" t="s">
        <v>3269</v>
      </c>
      <c r="Y772" s="646" t="s">
        <v>3270</v>
      </c>
      <c r="Z772" s="683">
        <v>2.6389</v>
      </c>
      <c r="AA772" s="650">
        <f t="shared" si="422"/>
        <v>63.3336</v>
      </c>
      <c r="AB772" s="649">
        <v>24</v>
      </c>
      <c r="AC772" s="912">
        <f t="shared" si="423"/>
        <v>0</v>
      </c>
      <c r="AD772" s="942" t="s">
        <v>106</v>
      </c>
      <c r="AE772" s="637" t="s">
        <v>193</v>
      </c>
      <c r="AF772" s="747" t="s">
        <v>107</v>
      </c>
      <c r="AG772" s="881" t="s">
        <v>43</v>
      </c>
      <c r="AH772" s="646"/>
      <c r="AI772" s="693"/>
      <c r="AJ772" s="693"/>
      <c r="AK772" s="693"/>
      <c r="AL772" s="913"/>
      <c r="AM772" s="649"/>
      <c r="AN772" s="693"/>
      <c r="AO772" s="882"/>
      <c r="AP772" s="652">
        <f t="shared" si="427"/>
        <v>24</v>
      </c>
      <c r="AQ772" s="652"/>
      <c r="AR772" s="882"/>
      <c r="AS772" s="882"/>
      <c r="AT772" s="744"/>
      <c r="AU772" s="652">
        <f t="shared" si="428"/>
        <v>24</v>
      </c>
      <c r="AV772" s="652"/>
      <c r="AW772" s="882"/>
      <c r="AX772" s="744"/>
      <c r="AY772" s="652"/>
      <c r="AZ772" s="694"/>
      <c r="BA772" s="700"/>
      <c r="BB772" s="654"/>
      <c r="BC772" s="694"/>
      <c r="BD772" s="694"/>
      <c r="BE772" s="654"/>
      <c r="BF772" s="694"/>
      <c r="BG772" s="923"/>
      <c r="BH772" s="658"/>
      <c r="BI772" s="883"/>
      <c r="BJ772" s="883"/>
      <c r="BK772" s="883"/>
      <c r="BL772" s="644"/>
      <c r="BM772" s="658"/>
      <c r="BN772" s="644"/>
      <c r="BO772" s="644"/>
      <c r="BP772" s="884"/>
      <c r="BQ772" s="654"/>
      <c r="BR772" s="694"/>
      <c r="BS772" s="654"/>
      <c r="BT772" s="654"/>
      <c r="BU772" s="654"/>
      <c r="BV772" s="654"/>
      <c r="BW772" s="645" t="s">
        <v>109</v>
      </c>
      <c r="BX772" s="658">
        <f t="shared" si="429"/>
        <v>24</v>
      </c>
      <c r="BY772" s="658"/>
      <c r="BZ772" s="658"/>
      <c r="CA772" s="658"/>
      <c r="CB772" s="644">
        <f t="shared" si="424"/>
        <v>24</v>
      </c>
      <c r="CC772" s="658"/>
      <c r="CD772" s="644">
        <f t="shared" si="425"/>
        <v>24</v>
      </c>
      <c r="CE772" s="659">
        <f t="shared" si="426"/>
        <v>0</v>
      </c>
      <c r="CF772" s="917"/>
      <c r="XEN772" s="885"/>
      <c r="XEO772" s="885"/>
      <c r="XEP772" s="885"/>
      <c r="XEQ772" s="885"/>
      <c r="XER772" s="885"/>
      <c r="XES772" s="885"/>
      <c r="XET772" s="885"/>
      <c r="XEU772" s="885"/>
      <c r="XEV772" s="885"/>
      <c r="XEW772" s="885"/>
      <c r="XEX772" s="885"/>
      <c r="XEY772" s="885"/>
      <c r="XEZ772" s="885"/>
      <c r="XFA772" s="885"/>
      <c r="XFB772" s="885"/>
      <c r="XFC772" s="885"/>
      <c r="XFD772" s="885"/>
    </row>
    <row r="773" s="338" customFormat="1" ht="40" customHeight="1" spans="1:84 16368:16384">
      <c r="A773" s="632">
        <v>46163</v>
      </c>
      <c r="B773" s="633" t="s">
        <v>3266</v>
      </c>
      <c r="C773" s="634" t="s">
        <v>178</v>
      </c>
      <c r="D773" s="635">
        <v>4500208384</v>
      </c>
      <c r="E773" s="659" t="s">
        <v>3283</v>
      </c>
      <c r="F773" s="635" t="s">
        <v>3284</v>
      </c>
      <c r="G773" s="637" t="s">
        <v>132</v>
      </c>
      <c r="H773" s="637" t="s">
        <v>99</v>
      </c>
      <c r="I773" s="638">
        <v>24</v>
      </c>
      <c r="J773" s="638">
        <v>0</v>
      </c>
      <c r="K773" s="639">
        <v>24</v>
      </c>
      <c r="L773" s="941">
        <f t="shared" si="421"/>
        <v>1</v>
      </c>
      <c r="M773" s="641">
        <v>46205</v>
      </c>
      <c r="N773" s="641">
        <v>46202</v>
      </c>
      <c r="O773" s="641"/>
      <c r="P773" s="903" t="s">
        <v>100</v>
      </c>
      <c r="Q773" s="643" t="s">
        <v>1455</v>
      </c>
      <c r="R773" s="642" t="s">
        <v>1332</v>
      </c>
      <c r="S773" s="925"/>
      <c r="T773" s="925"/>
      <c r="U773" s="642" t="s">
        <v>493</v>
      </c>
      <c r="V773" s="934" t="s">
        <v>3247</v>
      </c>
      <c r="W773" s="645"/>
      <c r="X773" s="647" t="s">
        <v>3269</v>
      </c>
      <c r="Y773" s="646" t="s">
        <v>3270</v>
      </c>
      <c r="Z773" s="683">
        <v>2.6389</v>
      </c>
      <c r="AA773" s="650">
        <f t="shared" si="422"/>
        <v>63.3336</v>
      </c>
      <c r="AB773" s="649">
        <v>24</v>
      </c>
      <c r="AC773" s="912">
        <f t="shared" si="423"/>
        <v>0</v>
      </c>
      <c r="AD773" s="942" t="s">
        <v>106</v>
      </c>
      <c r="AE773" s="637" t="s">
        <v>193</v>
      </c>
      <c r="AF773" s="747" t="s">
        <v>107</v>
      </c>
      <c r="AG773" s="881" t="s">
        <v>43</v>
      </c>
      <c r="AH773" s="646"/>
      <c r="AI773" s="693"/>
      <c r="AJ773" s="693"/>
      <c r="AK773" s="693"/>
      <c r="AL773" s="913"/>
      <c r="AM773" s="649"/>
      <c r="AN773" s="693"/>
      <c r="AO773" s="882"/>
      <c r="AP773" s="652">
        <f t="shared" si="427"/>
        <v>24</v>
      </c>
      <c r="AQ773" s="652"/>
      <c r="AR773" s="882"/>
      <c r="AS773" s="882"/>
      <c r="AT773" s="744"/>
      <c r="AU773" s="652">
        <f t="shared" si="428"/>
        <v>24</v>
      </c>
      <c r="AV773" s="652"/>
      <c r="AW773" s="882"/>
      <c r="AX773" s="744"/>
      <c r="AY773" s="652"/>
      <c r="AZ773" s="694"/>
      <c r="BA773" s="700"/>
      <c r="BB773" s="654"/>
      <c r="BC773" s="694"/>
      <c r="BD773" s="694"/>
      <c r="BE773" s="654"/>
      <c r="BF773" s="694"/>
      <c r="BG773" s="923"/>
      <c r="BH773" s="658"/>
      <c r="BI773" s="883"/>
      <c r="BJ773" s="883"/>
      <c r="BK773" s="883"/>
      <c r="BL773" s="644"/>
      <c r="BM773" s="658"/>
      <c r="BN773" s="644"/>
      <c r="BO773" s="644"/>
      <c r="BP773" s="884"/>
      <c r="BQ773" s="654"/>
      <c r="BR773" s="694"/>
      <c r="BS773" s="654"/>
      <c r="BT773" s="654"/>
      <c r="BU773" s="654"/>
      <c r="BV773" s="654"/>
      <c r="BW773" s="645" t="s">
        <v>109</v>
      </c>
      <c r="BX773" s="658">
        <f t="shared" si="429"/>
        <v>24</v>
      </c>
      <c r="BY773" s="658"/>
      <c r="BZ773" s="658"/>
      <c r="CA773" s="658"/>
      <c r="CB773" s="644">
        <f t="shared" si="424"/>
        <v>24</v>
      </c>
      <c r="CC773" s="658"/>
      <c r="CD773" s="644">
        <f t="shared" si="425"/>
        <v>24</v>
      </c>
      <c r="CE773" s="659">
        <f t="shared" si="426"/>
        <v>0</v>
      </c>
      <c r="CF773" s="917"/>
      <c r="XEN773" s="885"/>
      <c r="XEO773" s="885"/>
      <c r="XEP773" s="885"/>
      <c r="XEQ773" s="885"/>
      <c r="XER773" s="885"/>
      <c r="XES773" s="885"/>
      <c r="XET773" s="885"/>
      <c r="XEU773" s="885"/>
      <c r="XEV773" s="885"/>
      <c r="XEW773" s="885"/>
      <c r="XEX773" s="885"/>
      <c r="XEY773" s="885"/>
      <c r="XEZ773" s="885"/>
      <c r="XFA773" s="885"/>
      <c r="XFB773" s="885"/>
      <c r="XFC773" s="885"/>
      <c r="XFD773" s="885"/>
    </row>
    <row r="774" s="338" customFormat="1" ht="40" customHeight="1" spans="1:84 16368:16384">
      <c r="A774" s="632">
        <v>46163</v>
      </c>
      <c r="B774" s="633" t="s">
        <v>3266</v>
      </c>
      <c r="C774" s="634" t="s">
        <v>178</v>
      </c>
      <c r="D774" s="635">
        <v>4500208384</v>
      </c>
      <c r="E774" s="659" t="s">
        <v>3285</v>
      </c>
      <c r="F774" s="635" t="s">
        <v>3286</v>
      </c>
      <c r="G774" s="637" t="s">
        <v>132</v>
      </c>
      <c r="H774" s="637" t="s">
        <v>99</v>
      </c>
      <c r="I774" s="638">
        <v>48</v>
      </c>
      <c r="J774" s="638">
        <v>0</v>
      </c>
      <c r="K774" s="639">
        <v>24</v>
      </c>
      <c r="L774" s="941">
        <f t="shared" si="421"/>
        <v>2</v>
      </c>
      <c r="M774" s="641">
        <v>46205</v>
      </c>
      <c r="N774" s="641">
        <v>46202</v>
      </c>
      <c r="O774" s="641"/>
      <c r="P774" s="903" t="s">
        <v>100</v>
      </c>
      <c r="Q774" s="643" t="s">
        <v>1455</v>
      </c>
      <c r="R774" s="642" t="s">
        <v>1332</v>
      </c>
      <c r="S774" s="925"/>
      <c r="T774" s="925"/>
      <c r="U774" s="642" t="s">
        <v>493</v>
      </c>
      <c r="V774" s="934" t="s">
        <v>3247</v>
      </c>
      <c r="W774" s="645"/>
      <c r="X774" s="647" t="s">
        <v>3269</v>
      </c>
      <c r="Y774" s="646" t="s">
        <v>3270</v>
      </c>
      <c r="Z774" s="683">
        <v>2.6389</v>
      </c>
      <c r="AA774" s="650">
        <f t="shared" si="422"/>
        <v>126.6672</v>
      </c>
      <c r="AB774" s="649">
        <v>48</v>
      </c>
      <c r="AC774" s="912">
        <f t="shared" si="423"/>
        <v>0</v>
      </c>
      <c r="AD774" s="942" t="s">
        <v>106</v>
      </c>
      <c r="AE774" s="637" t="s">
        <v>193</v>
      </c>
      <c r="AF774" s="747" t="s">
        <v>107</v>
      </c>
      <c r="AG774" s="881" t="s">
        <v>43</v>
      </c>
      <c r="AH774" s="646"/>
      <c r="AI774" s="693"/>
      <c r="AJ774" s="693"/>
      <c r="AK774" s="693"/>
      <c r="AL774" s="913"/>
      <c r="AM774" s="649"/>
      <c r="AN774" s="693"/>
      <c r="AO774" s="882"/>
      <c r="AP774" s="652">
        <f t="shared" si="427"/>
        <v>48</v>
      </c>
      <c r="AQ774" s="652"/>
      <c r="AR774" s="882"/>
      <c r="AS774" s="882"/>
      <c r="AT774" s="744"/>
      <c r="AU774" s="652">
        <f t="shared" si="428"/>
        <v>48</v>
      </c>
      <c r="AV774" s="652"/>
      <c r="AW774" s="882"/>
      <c r="AX774" s="744"/>
      <c r="AY774" s="652"/>
      <c r="AZ774" s="694"/>
      <c r="BA774" s="700"/>
      <c r="BB774" s="654"/>
      <c r="BC774" s="694"/>
      <c r="BD774" s="694"/>
      <c r="BE774" s="654"/>
      <c r="BF774" s="694"/>
      <c r="BG774" s="923"/>
      <c r="BH774" s="658"/>
      <c r="BI774" s="883"/>
      <c r="BJ774" s="883"/>
      <c r="BK774" s="883"/>
      <c r="BL774" s="644"/>
      <c r="BM774" s="658"/>
      <c r="BN774" s="644"/>
      <c r="BO774" s="644"/>
      <c r="BP774" s="884"/>
      <c r="BQ774" s="654"/>
      <c r="BR774" s="694"/>
      <c r="BS774" s="654"/>
      <c r="BT774" s="654"/>
      <c r="BU774" s="654"/>
      <c r="BV774" s="654"/>
      <c r="BW774" s="645" t="s">
        <v>109</v>
      </c>
      <c r="BX774" s="658">
        <f t="shared" si="429"/>
        <v>48</v>
      </c>
      <c r="BY774" s="658"/>
      <c r="BZ774" s="658"/>
      <c r="CA774" s="658"/>
      <c r="CB774" s="644">
        <f t="shared" si="424"/>
        <v>48</v>
      </c>
      <c r="CC774" s="658"/>
      <c r="CD774" s="644">
        <f t="shared" si="425"/>
        <v>48</v>
      </c>
      <c r="CE774" s="659">
        <f t="shared" si="426"/>
        <v>0</v>
      </c>
      <c r="CF774" s="917"/>
      <c r="XEN774" s="885"/>
      <c r="XEO774" s="885"/>
      <c r="XEP774" s="885"/>
      <c r="XEQ774" s="885"/>
      <c r="XER774" s="885"/>
      <c r="XES774" s="885"/>
      <c r="XET774" s="885"/>
      <c r="XEU774" s="885"/>
      <c r="XEV774" s="885"/>
      <c r="XEW774" s="885"/>
      <c r="XEX774" s="885"/>
      <c r="XEY774" s="885"/>
      <c r="XEZ774" s="885"/>
      <c r="XFA774" s="885"/>
      <c r="XFB774" s="885"/>
      <c r="XFC774" s="885"/>
      <c r="XFD774" s="885"/>
    </row>
    <row r="775" s="338" customFormat="1" ht="40" customHeight="1" spans="1:84 16368:16384">
      <c r="A775" s="632">
        <v>46163</v>
      </c>
      <c r="B775" s="633" t="s">
        <v>3266</v>
      </c>
      <c r="C775" s="634" t="s">
        <v>178</v>
      </c>
      <c r="D775" s="635">
        <v>4500208384</v>
      </c>
      <c r="E775" s="659" t="s">
        <v>3287</v>
      </c>
      <c r="F775" s="635" t="s">
        <v>3288</v>
      </c>
      <c r="G775" s="637" t="s">
        <v>141</v>
      </c>
      <c r="H775" s="637" t="s">
        <v>99</v>
      </c>
      <c r="I775" s="638">
        <v>24</v>
      </c>
      <c r="J775" s="638">
        <v>0</v>
      </c>
      <c r="K775" s="639">
        <v>24</v>
      </c>
      <c r="L775" s="639">
        <f t="shared" ref="L775:L796" si="430">I775/K775</f>
        <v>1</v>
      </c>
      <c r="M775" s="641">
        <v>46205</v>
      </c>
      <c r="N775" s="641">
        <v>46202</v>
      </c>
      <c r="O775" s="641"/>
      <c r="P775" s="903" t="s">
        <v>100</v>
      </c>
      <c r="Q775" s="643" t="s">
        <v>1455</v>
      </c>
      <c r="R775" s="642" t="s">
        <v>1332</v>
      </c>
      <c r="S775" s="925"/>
      <c r="T775" s="925"/>
      <c r="U775" s="642" t="s">
        <v>493</v>
      </c>
      <c r="V775" s="934" t="s">
        <v>3247</v>
      </c>
      <c r="W775" s="645"/>
      <c r="X775" s="647" t="s">
        <v>3269</v>
      </c>
      <c r="Y775" s="646" t="s">
        <v>3270</v>
      </c>
      <c r="Z775" s="683">
        <v>2.6389</v>
      </c>
      <c r="AA775" s="650">
        <f t="shared" si="422"/>
        <v>63.3336</v>
      </c>
      <c r="AB775" s="649">
        <v>24</v>
      </c>
      <c r="AC775" s="912">
        <f t="shared" si="423"/>
        <v>0</v>
      </c>
      <c r="AD775" s="942" t="s">
        <v>106</v>
      </c>
      <c r="AE775" s="637" t="s">
        <v>153</v>
      </c>
      <c r="AF775" s="747" t="s">
        <v>107</v>
      </c>
      <c r="AG775" s="881" t="s">
        <v>43</v>
      </c>
      <c r="AH775" s="646"/>
      <c r="AI775" s="693"/>
      <c r="AJ775" s="693"/>
      <c r="AK775" s="693"/>
      <c r="AL775" s="913"/>
      <c r="AM775" s="649"/>
      <c r="AN775" s="693"/>
      <c r="AO775" s="882"/>
      <c r="AP775" s="652">
        <f t="shared" si="427"/>
        <v>24</v>
      </c>
      <c r="AQ775" s="652"/>
      <c r="AR775" s="882"/>
      <c r="AS775" s="882"/>
      <c r="AT775" s="744"/>
      <c r="AU775" s="652">
        <f t="shared" si="428"/>
        <v>24</v>
      </c>
      <c r="AV775" s="652"/>
      <c r="AW775" s="882"/>
      <c r="AX775" s="744"/>
      <c r="AY775" s="652"/>
      <c r="AZ775" s="694"/>
      <c r="BA775" s="700"/>
      <c r="BB775" s="654"/>
      <c r="BC775" s="694"/>
      <c r="BD775" s="694"/>
      <c r="BE775" s="654"/>
      <c r="BF775" s="694"/>
      <c r="BG775" s="923"/>
      <c r="BH775" s="658"/>
      <c r="BI775" s="883"/>
      <c r="BJ775" s="883"/>
      <c r="BK775" s="883"/>
      <c r="BL775" s="644"/>
      <c r="BM775" s="658"/>
      <c r="BN775" s="644"/>
      <c r="BO775" s="644"/>
      <c r="BP775" s="884"/>
      <c r="BQ775" s="654"/>
      <c r="BR775" s="694"/>
      <c r="BS775" s="654"/>
      <c r="BT775" s="654"/>
      <c r="BU775" s="654"/>
      <c r="BV775" s="654"/>
      <c r="BW775" s="645" t="s">
        <v>109</v>
      </c>
      <c r="BX775" s="658"/>
      <c r="BY775" s="658"/>
      <c r="BZ775" s="658">
        <f>I775</f>
        <v>24</v>
      </c>
      <c r="CA775" s="658"/>
      <c r="CB775" s="644">
        <f t="shared" ref="CB775:CB789" si="431">I775</f>
        <v>24</v>
      </c>
      <c r="CC775" s="658"/>
      <c r="CD775" s="644">
        <f t="shared" ref="CD775:CD796" si="432">SUM(BX775:CA775)</f>
        <v>24</v>
      </c>
      <c r="CE775" s="659">
        <f t="shared" ref="CE775:CE786" si="433">I775-CD775</f>
        <v>0</v>
      </c>
      <c r="CF775" s="917"/>
      <c r="XEN775" s="885"/>
      <c r="XEO775" s="885"/>
      <c r="XEP775" s="885"/>
      <c r="XEQ775" s="885"/>
      <c r="XER775" s="885"/>
      <c r="XES775" s="885"/>
      <c r="XET775" s="885"/>
      <c r="XEU775" s="885"/>
      <c r="XEV775" s="885"/>
      <c r="XEW775" s="885"/>
      <c r="XEX775" s="885"/>
      <c r="XEY775" s="885"/>
      <c r="XEZ775" s="885"/>
      <c r="XFA775" s="885"/>
      <c r="XFB775" s="885"/>
      <c r="XFC775" s="885"/>
      <c r="XFD775" s="885"/>
    </row>
    <row r="776" s="338" customFormat="1" ht="40" customHeight="1" spans="1:84 16368:16384">
      <c r="A776" s="632">
        <v>46163</v>
      </c>
      <c r="B776" s="633" t="s">
        <v>3266</v>
      </c>
      <c r="C776" s="634" t="s">
        <v>178</v>
      </c>
      <c r="D776" s="635">
        <v>4500208384</v>
      </c>
      <c r="E776" s="659" t="s">
        <v>3289</v>
      </c>
      <c r="F776" s="635" t="s">
        <v>3290</v>
      </c>
      <c r="G776" s="637" t="s">
        <v>141</v>
      </c>
      <c r="H776" s="637" t="s">
        <v>99</v>
      </c>
      <c r="I776" s="638">
        <v>24</v>
      </c>
      <c r="J776" s="638">
        <v>0</v>
      </c>
      <c r="K776" s="639">
        <v>24</v>
      </c>
      <c r="L776" s="639">
        <f t="shared" si="430"/>
        <v>1</v>
      </c>
      <c r="M776" s="641">
        <v>46205</v>
      </c>
      <c r="N776" s="641">
        <v>46202</v>
      </c>
      <c r="O776" s="641"/>
      <c r="P776" s="903" t="s">
        <v>100</v>
      </c>
      <c r="Q776" s="643" t="s">
        <v>1455</v>
      </c>
      <c r="R776" s="642" t="s">
        <v>1332</v>
      </c>
      <c r="S776" s="925"/>
      <c r="T776" s="925"/>
      <c r="U776" s="642" t="s">
        <v>493</v>
      </c>
      <c r="V776" s="934" t="s">
        <v>3247</v>
      </c>
      <c r="W776" s="645"/>
      <c r="X776" s="647" t="s">
        <v>3269</v>
      </c>
      <c r="Y776" s="646" t="s">
        <v>3270</v>
      </c>
      <c r="Z776" s="683">
        <v>2.6389</v>
      </c>
      <c r="AA776" s="650">
        <f t="shared" si="422"/>
        <v>63.3336</v>
      </c>
      <c r="AB776" s="649">
        <v>24</v>
      </c>
      <c r="AC776" s="912">
        <f t="shared" si="423"/>
        <v>0</v>
      </c>
      <c r="AD776" s="942" t="s">
        <v>106</v>
      </c>
      <c r="AE776" s="637" t="s">
        <v>153</v>
      </c>
      <c r="AF776" s="747" t="s">
        <v>107</v>
      </c>
      <c r="AG776" s="881" t="s">
        <v>43</v>
      </c>
      <c r="AH776" s="646"/>
      <c r="AI776" s="693"/>
      <c r="AJ776" s="693"/>
      <c r="AK776" s="693"/>
      <c r="AL776" s="913"/>
      <c r="AM776" s="649"/>
      <c r="AN776" s="693"/>
      <c r="AO776" s="882"/>
      <c r="AP776" s="652">
        <f t="shared" si="427"/>
        <v>24</v>
      </c>
      <c r="AQ776" s="652"/>
      <c r="AR776" s="882"/>
      <c r="AS776" s="882"/>
      <c r="AT776" s="744"/>
      <c r="AU776" s="652">
        <f t="shared" si="428"/>
        <v>24</v>
      </c>
      <c r="AV776" s="652"/>
      <c r="AW776" s="882"/>
      <c r="AX776" s="744"/>
      <c r="AY776" s="652"/>
      <c r="AZ776" s="694"/>
      <c r="BA776" s="700"/>
      <c r="BB776" s="654"/>
      <c r="BC776" s="694"/>
      <c r="BD776" s="694"/>
      <c r="BE776" s="654"/>
      <c r="BF776" s="694"/>
      <c r="BG776" s="923"/>
      <c r="BH776" s="658"/>
      <c r="BI776" s="883"/>
      <c r="BJ776" s="883"/>
      <c r="BK776" s="883"/>
      <c r="BL776" s="644"/>
      <c r="BM776" s="658"/>
      <c r="BN776" s="644"/>
      <c r="BO776" s="644"/>
      <c r="BP776" s="884"/>
      <c r="BQ776" s="654"/>
      <c r="BR776" s="694"/>
      <c r="BS776" s="654"/>
      <c r="BT776" s="654"/>
      <c r="BU776" s="654"/>
      <c r="BV776" s="654"/>
      <c r="BW776" s="645" t="s">
        <v>109</v>
      </c>
      <c r="BX776" s="658"/>
      <c r="BY776" s="658"/>
      <c r="BZ776" s="658">
        <f t="shared" ref="BZ776:BZ783" si="434">I776</f>
        <v>24</v>
      </c>
      <c r="CA776" s="658"/>
      <c r="CB776" s="644">
        <f t="shared" si="431"/>
        <v>24</v>
      </c>
      <c r="CC776" s="658"/>
      <c r="CD776" s="644">
        <f t="shared" si="432"/>
        <v>24</v>
      </c>
      <c r="CE776" s="659">
        <f t="shared" si="433"/>
        <v>0</v>
      </c>
      <c r="CF776" s="917"/>
      <c r="XEN776" s="885"/>
      <c r="XEO776" s="885"/>
      <c r="XEP776" s="885"/>
      <c r="XEQ776" s="885"/>
      <c r="XER776" s="885"/>
      <c r="XES776" s="885"/>
      <c r="XET776" s="885"/>
      <c r="XEU776" s="885"/>
      <c r="XEV776" s="885"/>
      <c r="XEW776" s="885"/>
      <c r="XEX776" s="885"/>
      <c r="XEY776" s="885"/>
      <c r="XEZ776" s="885"/>
      <c r="XFA776" s="885"/>
      <c r="XFB776" s="885"/>
      <c r="XFC776" s="885"/>
      <c r="XFD776" s="885"/>
    </row>
    <row r="777" s="338" customFormat="1" ht="40" customHeight="1" spans="1:84 16368:16384">
      <c r="A777" s="632">
        <v>46163</v>
      </c>
      <c r="B777" s="633" t="s">
        <v>3266</v>
      </c>
      <c r="C777" s="634" t="s">
        <v>178</v>
      </c>
      <c r="D777" s="635">
        <v>4500208384</v>
      </c>
      <c r="E777" s="659" t="s">
        <v>3291</v>
      </c>
      <c r="F777" s="635" t="s">
        <v>3292</v>
      </c>
      <c r="G777" s="637" t="s">
        <v>141</v>
      </c>
      <c r="H777" s="637" t="s">
        <v>99</v>
      </c>
      <c r="I777" s="638">
        <v>48</v>
      </c>
      <c r="J777" s="638">
        <v>0</v>
      </c>
      <c r="K777" s="639">
        <v>24</v>
      </c>
      <c r="L777" s="639">
        <f t="shared" si="430"/>
        <v>2</v>
      </c>
      <c r="M777" s="641">
        <v>46205</v>
      </c>
      <c r="N777" s="641">
        <v>46202</v>
      </c>
      <c r="O777" s="641"/>
      <c r="P777" s="903" t="s">
        <v>100</v>
      </c>
      <c r="Q777" s="643" t="s">
        <v>1455</v>
      </c>
      <c r="R777" s="642" t="s">
        <v>1332</v>
      </c>
      <c r="S777" s="925"/>
      <c r="T777" s="925"/>
      <c r="U777" s="642" t="s">
        <v>493</v>
      </c>
      <c r="V777" s="934" t="s">
        <v>3247</v>
      </c>
      <c r="W777" s="645"/>
      <c r="X777" s="647" t="s">
        <v>3269</v>
      </c>
      <c r="Y777" s="646" t="s">
        <v>3270</v>
      </c>
      <c r="Z777" s="683">
        <v>2.6389</v>
      </c>
      <c r="AA777" s="650">
        <f t="shared" si="422"/>
        <v>126.6672</v>
      </c>
      <c r="AB777" s="649">
        <v>48</v>
      </c>
      <c r="AC777" s="912">
        <f t="shared" si="423"/>
        <v>0</v>
      </c>
      <c r="AD777" s="942" t="s">
        <v>106</v>
      </c>
      <c r="AE777" s="637" t="s">
        <v>153</v>
      </c>
      <c r="AF777" s="747" t="s">
        <v>107</v>
      </c>
      <c r="AG777" s="881" t="s">
        <v>43</v>
      </c>
      <c r="AH777" s="646"/>
      <c r="AI777" s="693"/>
      <c r="AJ777" s="693"/>
      <c r="AK777" s="693"/>
      <c r="AL777" s="913"/>
      <c r="AM777" s="649"/>
      <c r="AN777" s="693"/>
      <c r="AO777" s="882"/>
      <c r="AP777" s="652">
        <f t="shared" si="427"/>
        <v>48</v>
      </c>
      <c r="AQ777" s="652"/>
      <c r="AR777" s="882"/>
      <c r="AS777" s="882"/>
      <c r="AT777" s="744"/>
      <c r="AU777" s="652">
        <f t="shared" si="428"/>
        <v>48</v>
      </c>
      <c r="AV777" s="652"/>
      <c r="AW777" s="882"/>
      <c r="AX777" s="744"/>
      <c r="AY777" s="652"/>
      <c r="AZ777" s="694"/>
      <c r="BA777" s="700"/>
      <c r="BB777" s="654"/>
      <c r="BC777" s="694"/>
      <c r="BD777" s="694"/>
      <c r="BE777" s="654"/>
      <c r="BF777" s="694"/>
      <c r="BG777" s="923"/>
      <c r="BH777" s="658"/>
      <c r="BI777" s="883"/>
      <c r="BJ777" s="883"/>
      <c r="BK777" s="883"/>
      <c r="BL777" s="644"/>
      <c r="BM777" s="658"/>
      <c r="BN777" s="644"/>
      <c r="BO777" s="644"/>
      <c r="BP777" s="884"/>
      <c r="BQ777" s="654"/>
      <c r="BR777" s="694"/>
      <c r="BS777" s="654"/>
      <c r="BT777" s="654"/>
      <c r="BU777" s="654"/>
      <c r="BV777" s="654"/>
      <c r="BW777" s="645" t="s">
        <v>109</v>
      </c>
      <c r="BX777" s="658"/>
      <c r="BY777" s="658"/>
      <c r="BZ777" s="658">
        <f t="shared" si="434"/>
        <v>48</v>
      </c>
      <c r="CA777" s="658"/>
      <c r="CB777" s="644">
        <f t="shared" si="431"/>
        <v>48</v>
      </c>
      <c r="CC777" s="658"/>
      <c r="CD777" s="644">
        <f t="shared" si="432"/>
        <v>48</v>
      </c>
      <c r="CE777" s="659">
        <f t="shared" si="433"/>
        <v>0</v>
      </c>
      <c r="CF777" s="917"/>
      <c r="XEN777" s="885"/>
      <c r="XEO777" s="885"/>
      <c r="XEP777" s="885"/>
      <c r="XEQ777" s="885"/>
      <c r="XER777" s="885"/>
      <c r="XES777" s="885"/>
      <c r="XET777" s="885"/>
      <c r="XEU777" s="885"/>
      <c r="XEV777" s="885"/>
      <c r="XEW777" s="885"/>
      <c r="XEX777" s="885"/>
      <c r="XEY777" s="885"/>
      <c r="XEZ777" s="885"/>
      <c r="XFA777" s="885"/>
      <c r="XFB777" s="885"/>
      <c r="XFC777" s="885"/>
      <c r="XFD777" s="885"/>
    </row>
    <row r="778" s="338" customFormat="1" ht="40" customHeight="1" spans="1:84 16368:16384">
      <c r="A778" s="632">
        <v>46163</v>
      </c>
      <c r="B778" s="633" t="s">
        <v>3266</v>
      </c>
      <c r="C778" s="634" t="s">
        <v>178</v>
      </c>
      <c r="D778" s="635">
        <v>4500208384</v>
      </c>
      <c r="E778" s="659" t="s">
        <v>3293</v>
      </c>
      <c r="F778" s="635" t="s">
        <v>3294</v>
      </c>
      <c r="G778" s="637" t="s">
        <v>141</v>
      </c>
      <c r="H778" s="637" t="s">
        <v>99</v>
      </c>
      <c r="I778" s="638">
        <v>24</v>
      </c>
      <c r="J778" s="638">
        <v>0</v>
      </c>
      <c r="K778" s="639">
        <v>24</v>
      </c>
      <c r="L778" s="639">
        <f t="shared" si="430"/>
        <v>1</v>
      </c>
      <c r="M778" s="641">
        <v>46205</v>
      </c>
      <c r="N778" s="641">
        <v>46202</v>
      </c>
      <c r="O778" s="641"/>
      <c r="P778" s="903" t="s">
        <v>100</v>
      </c>
      <c r="Q778" s="643" t="s">
        <v>1455</v>
      </c>
      <c r="R778" s="642" t="s">
        <v>1332</v>
      </c>
      <c r="S778" s="925"/>
      <c r="T778" s="925"/>
      <c r="U778" s="642" t="s">
        <v>493</v>
      </c>
      <c r="V778" s="934" t="s">
        <v>3247</v>
      </c>
      <c r="W778" s="645"/>
      <c r="X778" s="647" t="s">
        <v>3269</v>
      </c>
      <c r="Y778" s="646" t="s">
        <v>3270</v>
      </c>
      <c r="Z778" s="683">
        <v>2.6389</v>
      </c>
      <c r="AA778" s="650">
        <f t="shared" si="422"/>
        <v>63.3336</v>
      </c>
      <c r="AB778" s="649">
        <v>24</v>
      </c>
      <c r="AC778" s="912">
        <f t="shared" si="423"/>
        <v>0</v>
      </c>
      <c r="AD778" s="942" t="s">
        <v>106</v>
      </c>
      <c r="AE778" s="637" t="s">
        <v>153</v>
      </c>
      <c r="AF778" s="747" t="s">
        <v>107</v>
      </c>
      <c r="AG778" s="881" t="s">
        <v>43</v>
      </c>
      <c r="AH778" s="646"/>
      <c r="AI778" s="693"/>
      <c r="AJ778" s="693"/>
      <c r="AK778" s="693"/>
      <c r="AL778" s="913"/>
      <c r="AM778" s="649"/>
      <c r="AN778" s="693"/>
      <c r="AO778" s="882"/>
      <c r="AP778" s="652">
        <f t="shared" si="427"/>
        <v>24</v>
      </c>
      <c r="AQ778" s="652"/>
      <c r="AR778" s="882"/>
      <c r="AS778" s="882"/>
      <c r="AT778" s="744"/>
      <c r="AU778" s="652">
        <f t="shared" si="428"/>
        <v>24</v>
      </c>
      <c r="AV778" s="652"/>
      <c r="AW778" s="882"/>
      <c r="AX778" s="744"/>
      <c r="AY778" s="652"/>
      <c r="AZ778" s="694"/>
      <c r="BA778" s="700"/>
      <c r="BB778" s="654"/>
      <c r="BC778" s="694"/>
      <c r="BD778" s="694"/>
      <c r="BE778" s="654"/>
      <c r="BF778" s="694"/>
      <c r="BG778" s="923"/>
      <c r="BH778" s="658"/>
      <c r="BI778" s="883"/>
      <c r="BJ778" s="883"/>
      <c r="BK778" s="883"/>
      <c r="BL778" s="644"/>
      <c r="BM778" s="658"/>
      <c r="BN778" s="644"/>
      <c r="BO778" s="644"/>
      <c r="BP778" s="884"/>
      <c r="BQ778" s="654"/>
      <c r="BR778" s="694"/>
      <c r="BS778" s="654"/>
      <c r="BT778" s="654"/>
      <c r="BU778" s="654"/>
      <c r="BV778" s="654"/>
      <c r="BW778" s="645" t="s">
        <v>109</v>
      </c>
      <c r="BX778" s="658"/>
      <c r="BY778" s="658"/>
      <c r="BZ778" s="658">
        <f t="shared" si="434"/>
        <v>24</v>
      </c>
      <c r="CA778" s="658"/>
      <c r="CB778" s="644">
        <f t="shared" si="431"/>
        <v>24</v>
      </c>
      <c r="CC778" s="658"/>
      <c r="CD778" s="644">
        <f t="shared" si="432"/>
        <v>24</v>
      </c>
      <c r="CE778" s="659">
        <f t="shared" si="433"/>
        <v>0</v>
      </c>
      <c r="CF778" s="917"/>
      <c r="XEN778" s="885"/>
      <c r="XEO778" s="885"/>
      <c r="XEP778" s="885"/>
      <c r="XEQ778" s="885"/>
      <c r="XER778" s="885"/>
      <c r="XES778" s="885"/>
      <c r="XET778" s="885"/>
      <c r="XEU778" s="885"/>
      <c r="XEV778" s="885"/>
      <c r="XEW778" s="885"/>
      <c r="XEX778" s="885"/>
      <c r="XEY778" s="885"/>
      <c r="XEZ778" s="885"/>
      <c r="XFA778" s="885"/>
      <c r="XFB778" s="885"/>
      <c r="XFC778" s="885"/>
      <c r="XFD778" s="885"/>
    </row>
    <row r="779" s="338" customFormat="1" ht="40" customHeight="1" spans="1:84 16368:16384">
      <c r="A779" s="632">
        <v>46163</v>
      </c>
      <c r="B779" s="633" t="s">
        <v>3266</v>
      </c>
      <c r="C779" s="634" t="s">
        <v>178</v>
      </c>
      <c r="D779" s="635">
        <v>4500208384</v>
      </c>
      <c r="E779" s="659" t="s">
        <v>3295</v>
      </c>
      <c r="F779" s="635" t="s">
        <v>3296</v>
      </c>
      <c r="G779" s="637" t="s">
        <v>141</v>
      </c>
      <c r="H779" s="637" t="s">
        <v>99</v>
      </c>
      <c r="I779" s="638">
        <v>24</v>
      </c>
      <c r="J779" s="638">
        <v>0</v>
      </c>
      <c r="K779" s="639">
        <v>24</v>
      </c>
      <c r="L779" s="639">
        <f t="shared" si="430"/>
        <v>1</v>
      </c>
      <c r="M779" s="641">
        <v>46205</v>
      </c>
      <c r="N779" s="641">
        <v>46202</v>
      </c>
      <c r="O779" s="641"/>
      <c r="P779" s="903" t="s">
        <v>100</v>
      </c>
      <c r="Q779" s="643" t="s">
        <v>1455</v>
      </c>
      <c r="R779" s="642" t="s">
        <v>1332</v>
      </c>
      <c r="S779" s="925"/>
      <c r="T779" s="925"/>
      <c r="U779" s="642" t="s">
        <v>493</v>
      </c>
      <c r="V779" s="934" t="s">
        <v>3247</v>
      </c>
      <c r="W779" s="645"/>
      <c r="X779" s="647" t="s">
        <v>3269</v>
      </c>
      <c r="Y779" s="646" t="s">
        <v>3270</v>
      </c>
      <c r="Z779" s="683">
        <v>2.6389</v>
      </c>
      <c r="AA779" s="650">
        <f t="shared" si="422"/>
        <v>63.3336</v>
      </c>
      <c r="AB779" s="649">
        <v>24</v>
      </c>
      <c r="AC779" s="912">
        <f t="shared" si="423"/>
        <v>0</v>
      </c>
      <c r="AD779" s="942" t="s">
        <v>106</v>
      </c>
      <c r="AE779" s="637" t="s">
        <v>153</v>
      </c>
      <c r="AF779" s="747" t="s">
        <v>107</v>
      </c>
      <c r="AG779" s="881" t="s">
        <v>43</v>
      </c>
      <c r="AH779" s="646"/>
      <c r="AI779" s="693"/>
      <c r="AJ779" s="693"/>
      <c r="AK779" s="693"/>
      <c r="AL779" s="913"/>
      <c r="AM779" s="649"/>
      <c r="AN779" s="693"/>
      <c r="AO779" s="882"/>
      <c r="AP779" s="652">
        <f t="shared" si="427"/>
        <v>24</v>
      </c>
      <c r="AQ779" s="652"/>
      <c r="AR779" s="882"/>
      <c r="AS779" s="882"/>
      <c r="AT779" s="744"/>
      <c r="AU779" s="652">
        <f t="shared" si="428"/>
        <v>24</v>
      </c>
      <c r="AV779" s="652"/>
      <c r="AW779" s="882"/>
      <c r="AX779" s="744"/>
      <c r="AY779" s="652"/>
      <c r="AZ779" s="694"/>
      <c r="BA779" s="700"/>
      <c r="BB779" s="654"/>
      <c r="BC779" s="694"/>
      <c r="BD779" s="694"/>
      <c r="BE779" s="654"/>
      <c r="BF779" s="694"/>
      <c r="BG779" s="923"/>
      <c r="BH779" s="658"/>
      <c r="BI779" s="883"/>
      <c r="BJ779" s="883"/>
      <c r="BK779" s="883"/>
      <c r="BL779" s="644"/>
      <c r="BM779" s="658"/>
      <c r="BN779" s="644"/>
      <c r="BO779" s="644"/>
      <c r="BP779" s="884"/>
      <c r="BQ779" s="654"/>
      <c r="BR779" s="694"/>
      <c r="BS779" s="654"/>
      <c r="BT779" s="654"/>
      <c r="BU779" s="654"/>
      <c r="BV779" s="654"/>
      <c r="BW779" s="645" t="s">
        <v>109</v>
      </c>
      <c r="BX779" s="658"/>
      <c r="BY779" s="658"/>
      <c r="BZ779" s="658">
        <f t="shared" si="434"/>
        <v>24</v>
      </c>
      <c r="CA779" s="658"/>
      <c r="CB779" s="644">
        <f t="shared" si="431"/>
        <v>24</v>
      </c>
      <c r="CC779" s="658"/>
      <c r="CD779" s="644">
        <f t="shared" si="432"/>
        <v>24</v>
      </c>
      <c r="CE779" s="659">
        <f t="shared" si="433"/>
        <v>0</v>
      </c>
      <c r="CF779" s="917"/>
      <c r="XEN779" s="885"/>
      <c r="XEO779" s="885"/>
      <c r="XEP779" s="885"/>
      <c r="XEQ779" s="885"/>
      <c r="XER779" s="885"/>
      <c r="XES779" s="885"/>
      <c r="XET779" s="885"/>
      <c r="XEU779" s="885"/>
      <c r="XEV779" s="885"/>
      <c r="XEW779" s="885"/>
      <c r="XEX779" s="885"/>
      <c r="XEY779" s="885"/>
      <c r="XEZ779" s="885"/>
      <c r="XFA779" s="885"/>
      <c r="XFB779" s="885"/>
      <c r="XFC779" s="885"/>
      <c r="XFD779" s="885"/>
    </row>
    <row r="780" s="338" customFormat="1" ht="40" customHeight="1" spans="1:84 16368:16384">
      <c r="A780" s="632">
        <v>46163</v>
      </c>
      <c r="B780" s="633" t="s">
        <v>3266</v>
      </c>
      <c r="C780" s="634" t="s">
        <v>178</v>
      </c>
      <c r="D780" s="635">
        <v>4500208384</v>
      </c>
      <c r="E780" s="659" t="s">
        <v>3297</v>
      </c>
      <c r="F780" s="635" t="s">
        <v>3298</v>
      </c>
      <c r="G780" s="637" t="s">
        <v>141</v>
      </c>
      <c r="H780" s="637" t="s">
        <v>99</v>
      </c>
      <c r="I780" s="638">
        <v>120</v>
      </c>
      <c r="J780" s="638">
        <v>0</v>
      </c>
      <c r="K780" s="639">
        <v>24</v>
      </c>
      <c r="L780" s="639">
        <f t="shared" si="430"/>
        <v>5</v>
      </c>
      <c r="M780" s="641">
        <v>46205</v>
      </c>
      <c r="N780" s="641">
        <v>46202</v>
      </c>
      <c r="O780" s="641"/>
      <c r="P780" s="903" t="s">
        <v>100</v>
      </c>
      <c r="Q780" s="643" t="s">
        <v>1455</v>
      </c>
      <c r="R780" s="642" t="s">
        <v>1332</v>
      </c>
      <c r="S780" s="925"/>
      <c r="T780" s="925"/>
      <c r="U780" s="642" t="s">
        <v>493</v>
      </c>
      <c r="V780" s="934" t="s">
        <v>3247</v>
      </c>
      <c r="W780" s="645"/>
      <c r="X780" s="647" t="s">
        <v>3269</v>
      </c>
      <c r="Y780" s="646" t="s">
        <v>3270</v>
      </c>
      <c r="Z780" s="683">
        <v>2.6389</v>
      </c>
      <c r="AA780" s="650">
        <f t="shared" si="422"/>
        <v>316.668</v>
      </c>
      <c r="AB780" s="649">
        <v>120</v>
      </c>
      <c r="AC780" s="912">
        <f t="shared" si="423"/>
        <v>0</v>
      </c>
      <c r="AD780" s="942" t="s">
        <v>106</v>
      </c>
      <c r="AE780" s="637" t="s">
        <v>153</v>
      </c>
      <c r="AF780" s="747" t="s">
        <v>107</v>
      </c>
      <c r="AG780" s="881" t="s">
        <v>43</v>
      </c>
      <c r="AH780" s="646"/>
      <c r="AI780" s="693"/>
      <c r="AJ780" s="693"/>
      <c r="AK780" s="693"/>
      <c r="AL780" s="913"/>
      <c r="AM780" s="649"/>
      <c r="AN780" s="693"/>
      <c r="AO780" s="882"/>
      <c r="AP780" s="652">
        <f t="shared" si="427"/>
        <v>120</v>
      </c>
      <c r="AQ780" s="652"/>
      <c r="AR780" s="882"/>
      <c r="AS780" s="882"/>
      <c r="AT780" s="744"/>
      <c r="AU780" s="652">
        <f t="shared" si="428"/>
        <v>120</v>
      </c>
      <c r="AV780" s="652"/>
      <c r="AW780" s="882"/>
      <c r="AX780" s="744"/>
      <c r="AY780" s="652"/>
      <c r="AZ780" s="694"/>
      <c r="BA780" s="700"/>
      <c r="BB780" s="654"/>
      <c r="BC780" s="694"/>
      <c r="BD780" s="694"/>
      <c r="BE780" s="654"/>
      <c r="BF780" s="694"/>
      <c r="BG780" s="923"/>
      <c r="BH780" s="658"/>
      <c r="BI780" s="883"/>
      <c r="BJ780" s="883"/>
      <c r="BK780" s="883"/>
      <c r="BL780" s="644"/>
      <c r="BM780" s="658"/>
      <c r="BN780" s="644"/>
      <c r="BO780" s="644"/>
      <c r="BP780" s="884"/>
      <c r="BQ780" s="654"/>
      <c r="BR780" s="694"/>
      <c r="BS780" s="654"/>
      <c r="BT780" s="654"/>
      <c r="BU780" s="654"/>
      <c r="BV780" s="654"/>
      <c r="BW780" s="645" t="s">
        <v>109</v>
      </c>
      <c r="BX780" s="658"/>
      <c r="BY780" s="658"/>
      <c r="BZ780" s="658">
        <f t="shared" si="434"/>
        <v>120</v>
      </c>
      <c r="CA780" s="658"/>
      <c r="CB780" s="644">
        <f t="shared" si="431"/>
        <v>120</v>
      </c>
      <c r="CC780" s="658"/>
      <c r="CD780" s="644">
        <f t="shared" si="432"/>
        <v>120</v>
      </c>
      <c r="CE780" s="659">
        <f t="shared" si="433"/>
        <v>0</v>
      </c>
      <c r="CF780" s="917"/>
      <c r="XEN780" s="885"/>
      <c r="XEO780" s="885"/>
      <c r="XEP780" s="885"/>
      <c r="XEQ780" s="885"/>
      <c r="XER780" s="885"/>
      <c r="XES780" s="885"/>
      <c r="XET780" s="885"/>
      <c r="XEU780" s="885"/>
      <c r="XEV780" s="885"/>
      <c r="XEW780" s="885"/>
      <c r="XEX780" s="885"/>
      <c r="XEY780" s="885"/>
      <c r="XEZ780" s="885"/>
      <c r="XFA780" s="885"/>
      <c r="XFB780" s="885"/>
      <c r="XFC780" s="885"/>
      <c r="XFD780" s="885"/>
    </row>
    <row r="781" s="338" customFormat="1" ht="40" customHeight="1" spans="1:84 16368:16384">
      <c r="A781" s="632">
        <v>46163</v>
      </c>
      <c r="B781" s="633" t="s">
        <v>3266</v>
      </c>
      <c r="C781" s="634" t="s">
        <v>178</v>
      </c>
      <c r="D781" s="635">
        <v>4500208384</v>
      </c>
      <c r="E781" s="659" t="s">
        <v>3299</v>
      </c>
      <c r="F781" s="635" t="s">
        <v>3300</v>
      </c>
      <c r="G781" s="637" t="s">
        <v>141</v>
      </c>
      <c r="H781" s="637" t="s">
        <v>99</v>
      </c>
      <c r="I781" s="638">
        <v>24</v>
      </c>
      <c r="J781" s="638">
        <v>0</v>
      </c>
      <c r="K781" s="639">
        <v>24</v>
      </c>
      <c r="L781" s="639">
        <f t="shared" si="430"/>
        <v>1</v>
      </c>
      <c r="M781" s="641">
        <v>46205</v>
      </c>
      <c r="N781" s="641">
        <v>46202</v>
      </c>
      <c r="O781" s="641"/>
      <c r="P781" s="903" t="s">
        <v>100</v>
      </c>
      <c r="Q781" s="643" t="s">
        <v>1455</v>
      </c>
      <c r="R781" s="642" t="s">
        <v>1332</v>
      </c>
      <c r="S781" s="925"/>
      <c r="T781" s="925"/>
      <c r="U781" s="642" t="s">
        <v>493</v>
      </c>
      <c r="V781" s="934" t="s">
        <v>3247</v>
      </c>
      <c r="W781" s="645"/>
      <c r="X781" s="647" t="s">
        <v>3269</v>
      </c>
      <c r="Y781" s="646" t="s">
        <v>3270</v>
      </c>
      <c r="Z781" s="683">
        <v>2.6389</v>
      </c>
      <c r="AA781" s="650">
        <f t="shared" si="422"/>
        <v>63.3336</v>
      </c>
      <c r="AB781" s="649">
        <v>24</v>
      </c>
      <c r="AC781" s="912">
        <f t="shared" si="423"/>
        <v>0</v>
      </c>
      <c r="AD781" s="942" t="s">
        <v>106</v>
      </c>
      <c r="AE781" s="637" t="s">
        <v>153</v>
      </c>
      <c r="AF781" s="747" t="s">
        <v>107</v>
      </c>
      <c r="AG781" s="881" t="s">
        <v>43</v>
      </c>
      <c r="AH781" s="646"/>
      <c r="AI781" s="693"/>
      <c r="AJ781" s="693"/>
      <c r="AK781" s="693"/>
      <c r="AL781" s="913"/>
      <c r="AM781" s="649"/>
      <c r="AN781" s="693"/>
      <c r="AO781" s="882"/>
      <c r="AP781" s="652">
        <f t="shared" si="427"/>
        <v>24</v>
      </c>
      <c r="AQ781" s="652"/>
      <c r="AR781" s="882"/>
      <c r="AS781" s="882"/>
      <c r="AT781" s="744"/>
      <c r="AU781" s="652">
        <f t="shared" si="428"/>
        <v>24</v>
      </c>
      <c r="AV781" s="652"/>
      <c r="AW781" s="882"/>
      <c r="AX781" s="744"/>
      <c r="AY781" s="652"/>
      <c r="AZ781" s="694"/>
      <c r="BA781" s="700"/>
      <c r="BB781" s="654"/>
      <c r="BC781" s="694"/>
      <c r="BD781" s="694"/>
      <c r="BE781" s="654"/>
      <c r="BF781" s="694"/>
      <c r="BG781" s="923"/>
      <c r="BH781" s="658"/>
      <c r="BI781" s="883"/>
      <c r="BJ781" s="883"/>
      <c r="BK781" s="883"/>
      <c r="BL781" s="644"/>
      <c r="BM781" s="658"/>
      <c r="BN781" s="644"/>
      <c r="BO781" s="644"/>
      <c r="BP781" s="884"/>
      <c r="BQ781" s="654"/>
      <c r="BR781" s="694"/>
      <c r="BS781" s="654"/>
      <c r="BT781" s="654"/>
      <c r="BU781" s="654"/>
      <c r="BV781" s="654"/>
      <c r="BW781" s="645" t="s">
        <v>109</v>
      </c>
      <c r="BX781" s="658"/>
      <c r="BY781" s="658"/>
      <c r="BZ781" s="658">
        <f t="shared" si="434"/>
        <v>24</v>
      </c>
      <c r="CA781" s="658"/>
      <c r="CB781" s="644">
        <f t="shared" si="431"/>
        <v>24</v>
      </c>
      <c r="CC781" s="658"/>
      <c r="CD781" s="644">
        <f t="shared" si="432"/>
        <v>24</v>
      </c>
      <c r="CE781" s="659">
        <f t="shared" si="433"/>
        <v>0</v>
      </c>
      <c r="CF781" s="917"/>
      <c r="XEN781" s="885"/>
      <c r="XEO781" s="885"/>
      <c r="XEP781" s="885"/>
      <c r="XEQ781" s="885"/>
      <c r="XER781" s="885"/>
      <c r="XES781" s="885"/>
      <c r="XET781" s="885"/>
      <c r="XEU781" s="885"/>
      <c r="XEV781" s="885"/>
      <c r="XEW781" s="885"/>
      <c r="XEX781" s="885"/>
      <c r="XEY781" s="885"/>
      <c r="XEZ781" s="885"/>
      <c r="XFA781" s="885"/>
      <c r="XFB781" s="885"/>
      <c r="XFC781" s="885"/>
      <c r="XFD781" s="885"/>
    </row>
    <row r="782" s="338" customFormat="1" ht="40" customHeight="1" spans="1:84 16368:16384">
      <c r="A782" s="632">
        <v>46163</v>
      </c>
      <c r="B782" s="633" t="s">
        <v>3266</v>
      </c>
      <c r="C782" s="634" t="s">
        <v>178</v>
      </c>
      <c r="D782" s="635">
        <v>4500208384</v>
      </c>
      <c r="E782" s="659" t="s">
        <v>3301</v>
      </c>
      <c r="F782" s="635" t="s">
        <v>3302</v>
      </c>
      <c r="G782" s="637" t="s">
        <v>141</v>
      </c>
      <c r="H782" s="637" t="s">
        <v>99</v>
      </c>
      <c r="I782" s="638">
        <v>48</v>
      </c>
      <c r="J782" s="638">
        <v>0</v>
      </c>
      <c r="K782" s="639">
        <v>24</v>
      </c>
      <c r="L782" s="639">
        <f t="shared" si="430"/>
        <v>2</v>
      </c>
      <c r="M782" s="641">
        <v>46205</v>
      </c>
      <c r="N782" s="641">
        <v>46202</v>
      </c>
      <c r="O782" s="641"/>
      <c r="P782" s="903" t="s">
        <v>100</v>
      </c>
      <c r="Q782" s="643" t="s">
        <v>1455</v>
      </c>
      <c r="R782" s="642" t="s">
        <v>1332</v>
      </c>
      <c r="S782" s="925"/>
      <c r="T782" s="925"/>
      <c r="U782" s="642" t="s">
        <v>493</v>
      </c>
      <c r="V782" s="934" t="s">
        <v>3247</v>
      </c>
      <c r="W782" s="645"/>
      <c r="X782" s="647" t="s">
        <v>3269</v>
      </c>
      <c r="Y782" s="646" t="s">
        <v>3270</v>
      </c>
      <c r="Z782" s="683">
        <v>2.6389</v>
      </c>
      <c r="AA782" s="650">
        <f t="shared" si="422"/>
        <v>126.6672</v>
      </c>
      <c r="AB782" s="649">
        <v>48</v>
      </c>
      <c r="AC782" s="912">
        <f t="shared" si="423"/>
        <v>0</v>
      </c>
      <c r="AD782" s="942" t="s">
        <v>106</v>
      </c>
      <c r="AE782" s="637" t="s">
        <v>153</v>
      </c>
      <c r="AF782" s="747" t="s">
        <v>107</v>
      </c>
      <c r="AG782" s="881" t="s">
        <v>43</v>
      </c>
      <c r="AH782" s="646"/>
      <c r="AI782" s="693"/>
      <c r="AJ782" s="693"/>
      <c r="AK782" s="693"/>
      <c r="AL782" s="913"/>
      <c r="AM782" s="649"/>
      <c r="AN782" s="693"/>
      <c r="AO782" s="882"/>
      <c r="AP782" s="652">
        <f t="shared" si="427"/>
        <v>48</v>
      </c>
      <c r="AQ782" s="652"/>
      <c r="AR782" s="882"/>
      <c r="AS782" s="882"/>
      <c r="AT782" s="744"/>
      <c r="AU782" s="652">
        <f t="shared" si="428"/>
        <v>48</v>
      </c>
      <c r="AV782" s="652"/>
      <c r="AW782" s="882"/>
      <c r="AX782" s="744"/>
      <c r="AY782" s="652"/>
      <c r="AZ782" s="694"/>
      <c r="BA782" s="700"/>
      <c r="BB782" s="654"/>
      <c r="BC782" s="694"/>
      <c r="BD782" s="694"/>
      <c r="BE782" s="654"/>
      <c r="BF782" s="694"/>
      <c r="BG782" s="923"/>
      <c r="BH782" s="658"/>
      <c r="BI782" s="883"/>
      <c r="BJ782" s="883"/>
      <c r="BK782" s="883"/>
      <c r="BL782" s="644"/>
      <c r="BM782" s="658"/>
      <c r="BN782" s="644"/>
      <c r="BO782" s="644"/>
      <c r="BP782" s="884"/>
      <c r="BQ782" s="654"/>
      <c r="BR782" s="694"/>
      <c r="BS782" s="654"/>
      <c r="BT782" s="654"/>
      <c r="BU782" s="654"/>
      <c r="BV782" s="654"/>
      <c r="BW782" s="645" t="s">
        <v>109</v>
      </c>
      <c r="BX782" s="658"/>
      <c r="BY782" s="658"/>
      <c r="BZ782" s="658">
        <f t="shared" si="434"/>
        <v>48</v>
      </c>
      <c r="CA782" s="658"/>
      <c r="CB782" s="644">
        <f t="shared" si="431"/>
        <v>48</v>
      </c>
      <c r="CC782" s="658"/>
      <c r="CD782" s="644">
        <f t="shared" si="432"/>
        <v>48</v>
      </c>
      <c r="CE782" s="659">
        <f t="shared" si="433"/>
        <v>0</v>
      </c>
      <c r="CF782" s="917"/>
      <c r="XEN782" s="885"/>
      <c r="XEO782" s="885"/>
      <c r="XEP782" s="885"/>
      <c r="XEQ782" s="885"/>
      <c r="XER782" s="885"/>
      <c r="XES782" s="885"/>
      <c r="XET782" s="885"/>
      <c r="XEU782" s="885"/>
      <c r="XEV782" s="885"/>
      <c r="XEW782" s="885"/>
      <c r="XEX782" s="885"/>
      <c r="XEY782" s="885"/>
      <c r="XEZ782" s="885"/>
      <c r="XFA782" s="885"/>
      <c r="XFB782" s="885"/>
      <c r="XFC782" s="885"/>
      <c r="XFD782" s="885"/>
    </row>
    <row r="783" s="338" customFormat="1" ht="40" customHeight="1" spans="1:84 16368:16384">
      <c r="A783" s="632">
        <v>46163</v>
      </c>
      <c r="B783" s="633" t="s">
        <v>3266</v>
      </c>
      <c r="C783" s="634" t="s">
        <v>178</v>
      </c>
      <c r="D783" s="635">
        <v>4500208384</v>
      </c>
      <c r="E783" s="659" t="s">
        <v>3303</v>
      </c>
      <c r="F783" s="635" t="s">
        <v>3304</v>
      </c>
      <c r="G783" s="637" t="s">
        <v>141</v>
      </c>
      <c r="H783" s="637" t="s">
        <v>99</v>
      </c>
      <c r="I783" s="638">
        <v>48</v>
      </c>
      <c r="J783" s="638">
        <v>0</v>
      </c>
      <c r="K783" s="639">
        <v>24</v>
      </c>
      <c r="L783" s="639">
        <f t="shared" si="430"/>
        <v>2</v>
      </c>
      <c r="M783" s="641">
        <v>46205</v>
      </c>
      <c r="N783" s="641">
        <v>46202</v>
      </c>
      <c r="O783" s="641"/>
      <c r="P783" s="903" t="s">
        <v>100</v>
      </c>
      <c r="Q783" s="643" t="s">
        <v>1455</v>
      </c>
      <c r="R783" s="642" t="s">
        <v>1332</v>
      </c>
      <c r="S783" s="925"/>
      <c r="T783" s="925"/>
      <c r="U783" s="642" t="s">
        <v>493</v>
      </c>
      <c r="V783" s="934" t="s">
        <v>3247</v>
      </c>
      <c r="W783" s="645"/>
      <c r="X783" s="647" t="s">
        <v>3269</v>
      </c>
      <c r="Y783" s="646" t="s">
        <v>3270</v>
      </c>
      <c r="Z783" s="683">
        <v>2.6389</v>
      </c>
      <c r="AA783" s="650">
        <f t="shared" si="422"/>
        <v>126.6672</v>
      </c>
      <c r="AB783" s="649">
        <v>48</v>
      </c>
      <c r="AC783" s="912">
        <f t="shared" si="423"/>
        <v>0</v>
      </c>
      <c r="AD783" s="942" t="s">
        <v>106</v>
      </c>
      <c r="AE783" s="637" t="s">
        <v>153</v>
      </c>
      <c r="AF783" s="747" t="s">
        <v>107</v>
      </c>
      <c r="AG783" s="881" t="s">
        <v>43</v>
      </c>
      <c r="AH783" s="646"/>
      <c r="AI783" s="693"/>
      <c r="AJ783" s="693"/>
      <c r="AK783" s="693"/>
      <c r="AL783" s="913"/>
      <c r="AM783" s="649"/>
      <c r="AN783" s="693"/>
      <c r="AO783" s="882"/>
      <c r="AP783" s="652">
        <f t="shared" si="427"/>
        <v>48</v>
      </c>
      <c r="AQ783" s="652"/>
      <c r="AR783" s="882"/>
      <c r="AS783" s="882"/>
      <c r="AT783" s="744"/>
      <c r="AU783" s="652">
        <f t="shared" si="428"/>
        <v>48</v>
      </c>
      <c r="AV783" s="652"/>
      <c r="AW783" s="882"/>
      <c r="AX783" s="744"/>
      <c r="AY783" s="652"/>
      <c r="AZ783" s="694"/>
      <c r="BA783" s="700"/>
      <c r="BB783" s="654"/>
      <c r="BC783" s="694"/>
      <c r="BD783" s="694"/>
      <c r="BE783" s="654"/>
      <c r="BF783" s="694"/>
      <c r="BG783" s="923"/>
      <c r="BH783" s="658"/>
      <c r="BI783" s="883"/>
      <c r="BJ783" s="883"/>
      <c r="BK783" s="883"/>
      <c r="BL783" s="644"/>
      <c r="BM783" s="658"/>
      <c r="BN783" s="644"/>
      <c r="BO783" s="644"/>
      <c r="BP783" s="884"/>
      <c r="BQ783" s="654"/>
      <c r="BR783" s="694"/>
      <c r="BS783" s="654"/>
      <c r="BT783" s="654"/>
      <c r="BU783" s="654"/>
      <c r="BV783" s="654"/>
      <c r="BW783" s="645" t="s">
        <v>109</v>
      </c>
      <c r="BX783" s="658"/>
      <c r="BY783" s="658"/>
      <c r="BZ783" s="658">
        <f t="shared" si="434"/>
        <v>48</v>
      </c>
      <c r="CA783" s="658"/>
      <c r="CB783" s="644">
        <f t="shared" si="431"/>
        <v>48</v>
      </c>
      <c r="CC783" s="658"/>
      <c r="CD783" s="644">
        <f t="shared" si="432"/>
        <v>48</v>
      </c>
      <c r="CE783" s="659">
        <f t="shared" si="433"/>
        <v>0</v>
      </c>
      <c r="CF783" s="917"/>
      <c r="XEN783" s="885"/>
      <c r="XEO783" s="885"/>
      <c r="XEP783" s="885"/>
      <c r="XEQ783" s="885"/>
      <c r="XER783" s="885"/>
      <c r="XES783" s="885"/>
      <c r="XET783" s="885"/>
      <c r="XEU783" s="885"/>
      <c r="XEV783" s="885"/>
      <c r="XEW783" s="885"/>
      <c r="XEX783" s="885"/>
      <c r="XEY783" s="885"/>
      <c r="XEZ783" s="885"/>
      <c r="XFA783" s="885"/>
      <c r="XFB783" s="885"/>
      <c r="XFC783" s="885"/>
      <c r="XFD783" s="885"/>
    </row>
    <row r="784" s="338" customFormat="1" ht="40" customHeight="1" spans="1:84 16368:16384">
      <c r="A784" s="632">
        <v>46163</v>
      </c>
      <c r="B784" s="633" t="s">
        <v>3266</v>
      </c>
      <c r="C784" s="634" t="s">
        <v>178</v>
      </c>
      <c r="D784" s="635">
        <v>4500208384</v>
      </c>
      <c r="E784" s="659" t="s">
        <v>3305</v>
      </c>
      <c r="F784" s="635" t="s">
        <v>3306</v>
      </c>
      <c r="G784" s="637" t="s">
        <v>189</v>
      </c>
      <c r="H784" s="637" t="s">
        <v>99</v>
      </c>
      <c r="I784" s="638">
        <v>24</v>
      </c>
      <c r="J784" s="638">
        <v>0</v>
      </c>
      <c r="K784" s="639">
        <v>24</v>
      </c>
      <c r="L784" s="941">
        <f t="shared" si="430"/>
        <v>1</v>
      </c>
      <c r="M784" s="641">
        <v>46205</v>
      </c>
      <c r="N784" s="641">
        <v>46202</v>
      </c>
      <c r="O784" s="641"/>
      <c r="P784" s="903" t="s">
        <v>100</v>
      </c>
      <c r="Q784" s="643" t="s">
        <v>1455</v>
      </c>
      <c r="R784" s="642" t="s">
        <v>1332</v>
      </c>
      <c r="S784" s="925"/>
      <c r="T784" s="925"/>
      <c r="U784" s="642" t="s">
        <v>493</v>
      </c>
      <c r="V784" s="934" t="s">
        <v>3247</v>
      </c>
      <c r="W784" s="645"/>
      <c r="X784" s="647" t="s">
        <v>3269</v>
      </c>
      <c r="Y784" s="646" t="s">
        <v>3270</v>
      </c>
      <c r="Z784" s="683">
        <v>2.6389</v>
      </c>
      <c r="AA784" s="650">
        <f t="shared" si="422"/>
        <v>63.3336</v>
      </c>
      <c r="AB784" s="649">
        <v>24</v>
      </c>
      <c r="AC784" s="912">
        <f t="shared" si="423"/>
        <v>0</v>
      </c>
      <c r="AD784" s="942" t="s">
        <v>106</v>
      </c>
      <c r="AE784" s="637" t="s">
        <v>190</v>
      </c>
      <c r="AF784" s="747" t="s">
        <v>107</v>
      </c>
      <c r="AG784" s="881" t="s">
        <v>43</v>
      </c>
      <c r="AH784" s="646"/>
      <c r="AI784" s="693"/>
      <c r="AJ784" s="693"/>
      <c r="AK784" s="693"/>
      <c r="AL784" s="913"/>
      <c r="AM784" s="649"/>
      <c r="AN784" s="693"/>
      <c r="AO784" s="882"/>
      <c r="AP784" s="652">
        <f t="shared" si="427"/>
        <v>24</v>
      </c>
      <c r="AQ784" s="652"/>
      <c r="AR784" s="882"/>
      <c r="AS784" s="882"/>
      <c r="AT784" s="744"/>
      <c r="AU784" s="652">
        <f t="shared" si="428"/>
        <v>24</v>
      </c>
      <c r="AV784" s="652"/>
      <c r="AW784" s="882"/>
      <c r="AX784" s="744"/>
      <c r="AY784" s="652"/>
      <c r="AZ784" s="694"/>
      <c r="BA784" s="700"/>
      <c r="BB784" s="654"/>
      <c r="BC784" s="694"/>
      <c r="BD784" s="694"/>
      <c r="BE784" s="654"/>
      <c r="BF784" s="694"/>
      <c r="BG784" s="923"/>
      <c r="BH784" s="658"/>
      <c r="BI784" s="883"/>
      <c r="BJ784" s="883"/>
      <c r="BK784" s="883"/>
      <c r="BL784" s="644"/>
      <c r="BM784" s="658"/>
      <c r="BN784" s="644"/>
      <c r="BO784" s="644"/>
      <c r="BP784" s="884"/>
      <c r="BQ784" s="654"/>
      <c r="BR784" s="694"/>
      <c r="BS784" s="654"/>
      <c r="BT784" s="654"/>
      <c r="BU784" s="654"/>
      <c r="BV784" s="654"/>
      <c r="BW784" s="645" t="s">
        <v>109</v>
      </c>
      <c r="BX784" s="658"/>
      <c r="BY784" s="658"/>
      <c r="BZ784" s="658"/>
      <c r="CA784" s="658">
        <f>I784</f>
        <v>24</v>
      </c>
      <c r="CB784" s="644">
        <f t="shared" si="431"/>
        <v>24</v>
      </c>
      <c r="CC784" s="658"/>
      <c r="CD784" s="644">
        <f t="shared" si="432"/>
        <v>24</v>
      </c>
      <c r="CE784" s="659">
        <f t="shared" si="433"/>
        <v>0</v>
      </c>
      <c r="CF784" s="917"/>
      <c r="XEN784" s="885"/>
      <c r="XEO784" s="885"/>
      <c r="XEP784" s="885"/>
      <c r="XEQ784" s="885"/>
      <c r="XER784" s="885"/>
      <c r="XES784" s="885"/>
      <c r="XET784" s="885"/>
      <c r="XEU784" s="885"/>
      <c r="XEV784" s="885"/>
      <c r="XEW784" s="885"/>
      <c r="XEX784" s="885"/>
      <c r="XEY784" s="885"/>
      <c r="XEZ784" s="885"/>
      <c r="XFA784" s="885"/>
      <c r="XFB784" s="885"/>
      <c r="XFC784" s="885"/>
      <c r="XFD784" s="885"/>
    </row>
    <row r="785" s="338" customFormat="1" ht="40" customHeight="1" spans="1:84 16328:16384">
      <c r="A785" s="632">
        <v>46163</v>
      </c>
      <c r="B785" s="633" t="s">
        <v>3266</v>
      </c>
      <c r="C785" s="634" t="s">
        <v>178</v>
      </c>
      <c r="D785" s="635">
        <v>4500208384</v>
      </c>
      <c r="E785" s="642" t="s">
        <v>3307</v>
      </c>
      <c r="F785" s="635" t="s">
        <v>3308</v>
      </c>
      <c r="G785" s="637" t="s">
        <v>189</v>
      </c>
      <c r="H785" s="637" t="s">
        <v>99</v>
      </c>
      <c r="I785" s="638">
        <v>24</v>
      </c>
      <c r="J785" s="638">
        <v>0</v>
      </c>
      <c r="K785" s="639">
        <v>24</v>
      </c>
      <c r="L785" s="941">
        <f t="shared" si="430"/>
        <v>1</v>
      </c>
      <c r="M785" s="641">
        <v>46205</v>
      </c>
      <c r="N785" s="641">
        <v>46202</v>
      </c>
      <c r="O785" s="641"/>
      <c r="P785" s="903" t="s">
        <v>100</v>
      </c>
      <c r="Q785" s="643" t="s">
        <v>1455</v>
      </c>
      <c r="R785" s="642" t="s">
        <v>1332</v>
      </c>
      <c r="S785" s="925"/>
      <c r="T785" s="925"/>
      <c r="U785" s="642" t="s">
        <v>493</v>
      </c>
      <c r="V785" s="934" t="s">
        <v>3247</v>
      </c>
      <c r="W785" s="645"/>
      <c r="X785" s="647" t="s">
        <v>3269</v>
      </c>
      <c r="Y785" s="646" t="s">
        <v>3270</v>
      </c>
      <c r="Z785" s="683">
        <v>2.6389</v>
      </c>
      <c r="AA785" s="650">
        <f t="shared" si="422"/>
        <v>63.3336</v>
      </c>
      <c r="AB785" s="649">
        <v>24</v>
      </c>
      <c r="AC785" s="912">
        <f t="shared" si="423"/>
        <v>0</v>
      </c>
      <c r="AD785" s="942" t="s">
        <v>106</v>
      </c>
      <c r="AE785" s="637" t="s">
        <v>190</v>
      </c>
      <c r="AF785" s="747" t="s">
        <v>107</v>
      </c>
      <c r="AG785" s="881" t="s">
        <v>43</v>
      </c>
      <c r="AH785" s="646"/>
      <c r="AI785" s="693"/>
      <c r="AJ785" s="693"/>
      <c r="AK785" s="693"/>
      <c r="AL785" s="913"/>
      <c r="AM785" s="649"/>
      <c r="AN785" s="693"/>
      <c r="AO785" s="882"/>
      <c r="AP785" s="652">
        <f t="shared" si="427"/>
        <v>24</v>
      </c>
      <c r="AQ785" s="652"/>
      <c r="AR785" s="882"/>
      <c r="AS785" s="882"/>
      <c r="AT785" s="744"/>
      <c r="AU785" s="652">
        <f t="shared" si="428"/>
        <v>24</v>
      </c>
      <c r="AV785" s="652"/>
      <c r="AW785" s="882"/>
      <c r="AX785" s="744"/>
      <c r="AY785" s="652"/>
      <c r="AZ785" s="694"/>
      <c r="BA785" s="700"/>
      <c r="BB785" s="654"/>
      <c r="BC785" s="694"/>
      <c r="BD785" s="694"/>
      <c r="BE785" s="654"/>
      <c r="BF785" s="694"/>
      <c r="BG785" s="923"/>
      <c r="BH785" s="658"/>
      <c r="BI785" s="883"/>
      <c r="BJ785" s="883"/>
      <c r="BK785" s="883"/>
      <c r="BL785" s="644"/>
      <c r="BM785" s="658"/>
      <c r="BN785" s="644"/>
      <c r="BO785" s="644"/>
      <c r="BP785" s="884"/>
      <c r="BQ785" s="654"/>
      <c r="BR785" s="694"/>
      <c r="BS785" s="654"/>
      <c r="BT785" s="654"/>
      <c r="BU785" s="654"/>
      <c r="BV785" s="654"/>
      <c r="BW785" s="645" t="s">
        <v>109</v>
      </c>
      <c r="BX785" s="658"/>
      <c r="BY785" s="658"/>
      <c r="BZ785" s="658"/>
      <c r="CA785" s="658">
        <f>I785</f>
        <v>24</v>
      </c>
      <c r="CB785" s="644">
        <f t="shared" si="431"/>
        <v>24</v>
      </c>
      <c r="CC785" s="658"/>
      <c r="CD785" s="644">
        <f t="shared" si="432"/>
        <v>24</v>
      </c>
      <c r="CE785" s="659">
        <f t="shared" si="433"/>
        <v>0</v>
      </c>
      <c r="CF785" s="917"/>
      <c r="XEN785" s="885"/>
      <c r="XEO785" s="885"/>
      <c r="XEP785" s="885"/>
      <c r="XEQ785" s="885"/>
      <c r="XER785" s="885"/>
      <c r="XES785" s="885"/>
      <c r="XET785" s="885"/>
      <c r="XEU785" s="885"/>
      <c r="XEV785" s="885"/>
      <c r="XEW785" s="885"/>
      <c r="XEX785" s="885"/>
      <c r="XEY785" s="885"/>
      <c r="XEZ785" s="885"/>
      <c r="XFA785" s="885"/>
      <c r="XFB785" s="885"/>
      <c r="XFC785" s="885"/>
      <c r="XFD785" s="885"/>
    </row>
    <row r="786" s="338" customFormat="1" ht="40" customHeight="1" spans="1:84 16328:16384">
      <c r="A786" s="632">
        <v>46156</v>
      </c>
      <c r="B786" s="633" t="s">
        <v>1884</v>
      </c>
      <c r="C786" s="634" t="s">
        <v>214</v>
      </c>
      <c r="D786" s="933">
        <v>4500207067</v>
      </c>
      <c r="E786" s="666">
        <v>70089365</v>
      </c>
      <c r="F786" s="635" t="s">
        <v>3309</v>
      </c>
      <c r="G786" s="637" t="s">
        <v>1830</v>
      </c>
      <c r="H786" s="637" t="s">
        <v>1831</v>
      </c>
      <c r="I786" s="638">
        <v>480</v>
      </c>
      <c r="J786" s="638">
        <v>0</v>
      </c>
      <c r="K786" s="639">
        <v>16</v>
      </c>
      <c r="L786" s="639">
        <f t="shared" si="430"/>
        <v>30</v>
      </c>
      <c r="M786" s="641">
        <v>46205</v>
      </c>
      <c r="N786" s="641">
        <v>46202</v>
      </c>
      <c r="O786" s="641"/>
      <c r="P786" s="903" t="s">
        <v>100</v>
      </c>
      <c r="Q786" s="643"/>
      <c r="R786" s="642" t="s">
        <v>3159</v>
      </c>
      <c r="S786" s="925"/>
      <c r="T786" s="925"/>
      <c r="U786" s="642" t="s">
        <v>113</v>
      </c>
      <c r="V786" s="926" t="s">
        <v>3310</v>
      </c>
      <c r="W786" s="645"/>
      <c r="X786" s="647" t="s">
        <v>3311</v>
      </c>
      <c r="Y786" s="646" t="s">
        <v>1522</v>
      </c>
      <c r="Z786" s="683">
        <v>3.1397</v>
      </c>
      <c r="AA786" s="650">
        <f t="shared" si="422"/>
        <v>1507.056</v>
      </c>
      <c r="AB786" s="649">
        <v>480</v>
      </c>
      <c r="AC786" s="912">
        <f t="shared" si="423"/>
        <v>0</v>
      </c>
      <c r="AD786" s="906" t="s">
        <v>106</v>
      </c>
      <c r="AE786" s="637" t="s">
        <v>1830</v>
      </c>
      <c r="AF786" s="747" t="s">
        <v>107</v>
      </c>
      <c r="AG786" s="881" t="s">
        <v>43</v>
      </c>
      <c r="AH786" s="646"/>
      <c r="AI786" s="693"/>
      <c r="AJ786" s="693"/>
      <c r="AK786" s="693"/>
      <c r="AL786" s="701"/>
      <c r="AM786" s="649">
        <f>I786*2</f>
        <v>960</v>
      </c>
      <c r="AN786" s="693"/>
      <c r="AO786" s="882"/>
      <c r="AP786" s="652"/>
      <c r="AQ786" s="652"/>
      <c r="AR786" s="882"/>
      <c r="AS786" s="882"/>
      <c r="AT786" s="652"/>
      <c r="AU786" s="747">
        <f>I786*2</f>
        <v>960</v>
      </c>
      <c r="AV786" s="652"/>
      <c r="AW786" s="882"/>
      <c r="AX786" s="652"/>
      <c r="AY786" s="652"/>
      <c r="AZ786" s="694"/>
      <c r="BA786" s="654"/>
      <c r="BB786" s="652"/>
      <c r="BC786" s="694"/>
      <c r="BD786" s="694"/>
      <c r="BE786" s="654"/>
      <c r="BF786" s="694"/>
      <c r="BG786" s="923"/>
      <c r="BH786" s="658"/>
      <c r="BI786" s="883"/>
      <c r="BJ786" s="883"/>
      <c r="BK786" s="883"/>
      <c r="BL786" s="644"/>
      <c r="BM786" s="658"/>
      <c r="BN786" s="644"/>
      <c r="BO786" s="644"/>
      <c r="BP786" s="884"/>
      <c r="BQ786" s="654"/>
      <c r="BR786" s="694"/>
      <c r="BS786" s="654"/>
      <c r="BT786" s="654"/>
      <c r="BU786" s="654"/>
      <c r="BV786" s="654"/>
      <c r="BW786" s="645" t="s">
        <v>109</v>
      </c>
      <c r="BX786" s="658">
        <f>I786/4*2</f>
        <v>240</v>
      </c>
      <c r="BY786" s="658">
        <f>I786/4*2</f>
        <v>240</v>
      </c>
      <c r="BZ786" s="658">
        <f>I786/4*2</f>
        <v>240</v>
      </c>
      <c r="CA786" s="658">
        <f>I786/4*2</f>
        <v>240</v>
      </c>
      <c r="CB786" s="644">
        <f t="shared" si="431"/>
        <v>480</v>
      </c>
      <c r="CC786" s="658"/>
      <c r="CD786" s="644">
        <f t="shared" si="432"/>
        <v>960</v>
      </c>
      <c r="CE786" s="659">
        <f t="shared" si="433"/>
        <v>-480</v>
      </c>
      <c r="CF786" s="917"/>
      <c r="XEN786" s="885"/>
      <c r="XEO786" s="885"/>
      <c r="XEP786" s="885"/>
      <c r="XEQ786" s="885"/>
      <c r="XER786" s="885"/>
      <c r="XES786" s="885"/>
      <c r="XET786" s="885"/>
      <c r="XEU786" s="885"/>
      <c r="XEV786" s="885"/>
      <c r="XEW786" s="885"/>
      <c r="XEX786" s="885"/>
      <c r="XEY786" s="885"/>
      <c r="XEZ786" s="885"/>
      <c r="XFA786" s="885"/>
      <c r="XFB786" s="885"/>
      <c r="XFC786" s="885"/>
      <c r="XFD786" s="885"/>
    </row>
    <row r="787" s="338" customFormat="1" ht="40" customHeight="1" spans="1:84 16328:16384">
      <c r="A787" s="632">
        <v>46164</v>
      </c>
      <c r="B787" s="633" t="s">
        <v>3312</v>
      </c>
      <c r="C787" s="634" t="s">
        <v>144</v>
      </c>
      <c r="D787" s="635">
        <v>4500208808</v>
      </c>
      <c r="E787" s="659"/>
      <c r="F787" s="635" t="s">
        <v>3313</v>
      </c>
      <c r="G787" s="637" t="s">
        <v>111</v>
      </c>
      <c r="H787" s="637" t="s">
        <v>99</v>
      </c>
      <c r="I787" s="638">
        <v>2508</v>
      </c>
      <c r="J787" s="638">
        <v>0</v>
      </c>
      <c r="K787" s="639">
        <v>22</v>
      </c>
      <c r="L787" s="639">
        <f t="shared" si="430"/>
        <v>114</v>
      </c>
      <c r="M787" s="641">
        <v>46205</v>
      </c>
      <c r="N787" s="641">
        <v>46201</v>
      </c>
      <c r="O787" s="641"/>
      <c r="P787" s="903" t="s">
        <v>100</v>
      </c>
      <c r="Q787" s="643" t="s">
        <v>3314</v>
      </c>
      <c r="R787" s="903" t="s">
        <v>3315</v>
      </c>
      <c r="S787" s="925"/>
      <c r="T787" s="925"/>
      <c r="U787" s="642" t="s">
        <v>3316</v>
      </c>
      <c r="V787" s="926"/>
      <c r="W787" s="645"/>
      <c r="X787" s="647" t="s">
        <v>3317</v>
      </c>
      <c r="Y787" s="646" t="s">
        <v>202</v>
      </c>
      <c r="Z787" s="683">
        <v>2.771</v>
      </c>
      <c r="AA787" s="650">
        <f t="shared" si="422"/>
        <v>6949.668</v>
      </c>
      <c r="AB787" s="649">
        <v>2508</v>
      </c>
      <c r="AC787" s="912">
        <f t="shared" si="423"/>
        <v>0</v>
      </c>
      <c r="AD787" s="906" t="s">
        <v>106</v>
      </c>
      <c r="AE787" s="661" t="s">
        <v>230</v>
      </c>
      <c r="AF787" s="935" t="s">
        <v>107</v>
      </c>
      <c r="AG787" s="881" t="s">
        <v>43</v>
      </c>
      <c r="AH787" s="646"/>
      <c r="AI787" s="699"/>
      <c r="AJ787" s="699"/>
      <c r="AK787" s="699"/>
      <c r="AL787" s="913"/>
      <c r="AM787" s="649"/>
      <c r="AN787" s="699"/>
      <c r="AO787" s="744"/>
      <c r="AP787" s="652">
        <f>I787</f>
        <v>2508</v>
      </c>
      <c r="AQ787" s="652"/>
      <c r="AR787" s="744"/>
      <c r="AS787" s="744"/>
      <c r="AT787" s="744"/>
      <c r="AU787" s="747">
        <f>I787*2</f>
        <v>5016</v>
      </c>
      <c r="AV787" s="652"/>
      <c r="AW787" s="744"/>
      <c r="AX787" s="744"/>
      <c r="AY787" s="652"/>
      <c r="AZ787" s="700"/>
      <c r="BA787" s="700"/>
      <c r="BB787" s="652">
        <f>I787/11</f>
        <v>228</v>
      </c>
      <c r="BC787" s="700"/>
      <c r="BD787" s="700"/>
      <c r="BE787" s="654"/>
      <c r="BF787" s="700"/>
      <c r="BG787" s="914"/>
      <c r="BH787" s="658"/>
      <c r="BI787" s="915"/>
      <c r="BJ787" s="915"/>
      <c r="BK787" s="915"/>
      <c r="BL787" s="644"/>
      <c r="BM787" s="658"/>
      <c r="BN787" s="644"/>
      <c r="BO787" s="644"/>
      <c r="BP787" s="916"/>
      <c r="BQ787" s="654"/>
      <c r="BR787" s="700"/>
      <c r="BS787" s="654"/>
      <c r="BT787" s="654"/>
      <c r="BU787" s="654"/>
      <c r="BV787" s="654"/>
      <c r="BW787" s="645" t="s">
        <v>109</v>
      </c>
      <c r="BX787" s="658">
        <f>I787/22*5</f>
        <v>570</v>
      </c>
      <c r="BY787" s="658">
        <f>I787/22*6</f>
        <v>684</v>
      </c>
      <c r="BZ787" s="658">
        <f>I787/22*6</f>
        <v>684</v>
      </c>
      <c r="CA787" s="658">
        <f>I787/22*5</f>
        <v>570</v>
      </c>
      <c r="CB787" s="644">
        <f t="shared" si="431"/>
        <v>2508</v>
      </c>
      <c r="CC787" s="658">
        <f>I787/11</f>
        <v>228</v>
      </c>
      <c r="CD787" s="644">
        <f t="shared" si="432"/>
        <v>2508</v>
      </c>
      <c r="CE787" s="659">
        <v>0</v>
      </c>
      <c r="CF787" s="917"/>
      <c r="XEN787" s="885"/>
      <c r="XEO787" s="885"/>
      <c r="XEP787" s="885"/>
      <c r="XEQ787" s="885"/>
      <c r="XER787" s="885"/>
      <c r="XES787" s="885"/>
      <c r="XET787" s="885"/>
      <c r="XEU787" s="885"/>
      <c r="XEV787" s="885"/>
      <c r="XEW787" s="885"/>
      <c r="XEX787" s="885"/>
      <c r="XEY787" s="885"/>
      <c r="XEZ787" s="885"/>
      <c r="XFA787" s="885"/>
      <c r="XFB787" s="885"/>
      <c r="XFC787" s="885"/>
      <c r="XFD787" s="885"/>
    </row>
    <row r="788" s="338" customFormat="1" ht="40" customHeight="1" spans="1:84 16328:16384">
      <c r="A788" s="632">
        <v>46164</v>
      </c>
      <c r="B788" s="633" t="s">
        <v>2970</v>
      </c>
      <c r="C788" s="634" t="s">
        <v>380</v>
      </c>
      <c r="D788" s="635">
        <v>4500208771</v>
      </c>
      <c r="E788" s="659" t="s">
        <v>3318</v>
      </c>
      <c r="F788" s="635" t="s">
        <v>3319</v>
      </c>
      <c r="G788" s="637" t="s">
        <v>111</v>
      </c>
      <c r="H788" s="637" t="s">
        <v>99</v>
      </c>
      <c r="I788" s="638">
        <v>1100</v>
      </c>
      <c r="J788" s="638">
        <v>0</v>
      </c>
      <c r="K788" s="639">
        <v>22</v>
      </c>
      <c r="L788" s="639">
        <f t="shared" si="430"/>
        <v>50</v>
      </c>
      <c r="M788" s="641">
        <v>46206</v>
      </c>
      <c r="N788" s="641">
        <v>46202</v>
      </c>
      <c r="O788" s="641"/>
      <c r="P788" s="903" t="s">
        <v>100</v>
      </c>
      <c r="Q788" s="643" t="s">
        <v>3320</v>
      </c>
      <c r="R788" s="903" t="s">
        <v>3218</v>
      </c>
      <c r="S788" s="925"/>
      <c r="T788" s="925"/>
      <c r="U788" s="903" t="s">
        <v>3321</v>
      </c>
      <c r="V788" s="926"/>
      <c r="W788" s="645"/>
      <c r="X788" s="647" t="s">
        <v>3322</v>
      </c>
      <c r="Y788" s="646" t="s">
        <v>1054</v>
      </c>
      <c r="Z788" s="683">
        <v>2.7449</v>
      </c>
      <c r="AA788" s="650">
        <f t="shared" si="422"/>
        <v>3019.39</v>
      </c>
      <c r="AB788" s="649">
        <v>1100</v>
      </c>
      <c r="AC788" s="912">
        <f t="shared" si="423"/>
        <v>0</v>
      </c>
      <c r="AD788" s="906" t="s">
        <v>106</v>
      </c>
      <c r="AE788" s="661" t="s">
        <v>111</v>
      </c>
      <c r="AF788" s="935" t="s">
        <v>107</v>
      </c>
      <c r="AG788" s="881" t="s">
        <v>43</v>
      </c>
      <c r="AH788" s="646"/>
      <c r="AI788" s="699"/>
      <c r="AJ788" s="699"/>
      <c r="AK788" s="699"/>
      <c r="AL788" s="913"/>
      <c r="AM788" s="649">
        <f>I788</f>
        <v>1100</v>
      </c>
      <c r="AN788" s="699"/>
      <c r="AO788" s="744"/>
      <c r="AP788" s="652"/>
      <c r="AQ788" s="652"/>
      <c r="AR788" s="744"/>
      <c r="AS788" s="744"/>
      <c r="AT788" s="744"/>
      <c r="AU788" s="747">
        <f>I788*2</f>
        <v>2200</v>
      </c>
      <c r="AV788" s="652"/>
      <c r="AW788" s="744"/>
      <c r="AX788" s="744"/>
      <c r="AY788" s="652"/>
      <c r="AZ788" s="700"/>
      <c r="BA788" s="700"/>
      <c r="BB788" s="944">
        <f>I788/11</f>
        <v>100</v>
      </c>
      <c r="BC788" s="700"/>
      <c r="BD788" s="700"/>
      <c r="BE788" s="654"/>
      <c r="BF788" s="700"/>
      <c r="BG788" s="914"/>
      <c r="BH788" s="658"/>
      <c r="BI788" s="915"/>
      <c r="BJ788" s="915"/>
      <c r="BK788" s="915"/>
      <c r="BL788" s="644"/>
      <c r="BM788" s="658"/>
      <c r="BN788" s="644"/>
      <c r="BO788" s="644"/>
      <c r="BP788" s="916"/>
      <c r="BQ788" s="654"/>
      <c r="BR788" s="700"/>
      <c r="BS788" s="654"/>
      <c r="BT788" s="654"/>
      <c r="BU788" s="654"/>
      <c r="BV788" s="654"/>
      <c r="BW788" s="645" t="s">
        <v>109</v>
      </c>
      <c r="BX788" s="658">
        <f>I788/22*5</f>
        <v>250</v>
      </c>
      <c r="BY788" s="658">
        <f>I788/22*6</f>
        <v>300</v>
      </c>
      <c r="BZ788" s="658">
        <f>I788/22*6</f>
        <v>300</v>
      </c>
      <c r="CA788" s="658">
        <f>I788/22*5</f>
        <v>250</v>
      </c>
      <c r="CB788" s="644">
        <f t="shared" si="431"/>
        <v>1100</v>
      </c>
      <c r="CC788" s="658">
        <f>I788/11</f>
        <v>100</v>
      </c>
      <c r="CD788" s="644">
        <f t="shared" si="432"/>
        <v>1100</v>
      </c>
      <c r="CE788" s="659">
        <v>0</v>
      </c>
      <c r="CF788" s="917"/>
      <c r="XEN788" s="885"/>
      <c r="XEO788" s="885"/>
      <c r="XEP788" s="885"/>
      <c r="XEQ788" s="885"/>
      <c r="XER788" s="885"/>
      <c r="XES788" s="885"/>
      <c r="XET788" s="885"/>
      <c r="XEU788" s="885"/>
      <c r="XEV788" s="885"/>
      <c r="XEW788" s="885"/>
      <c r="XEX788" s="885"/>
      <c r="XEY788" s="885"/>
      <c r="XEZ788" s="885"/>
      <c r="XFA788" s="885"/>
      <c r="XFB788" s="885"/>
      <c r="XFC788" s="885"/>
      <c r="XFD788" s="885"/>
    </row>
    <row r="789" s="338" customFormat="1" ht="40" customHeight="1" spans="1:84 16328:16384">
      <c r="A789" s="632">
        <v>46177</v>
      </c>
      <c r="B789" s="633" t="s">
        <v>3323</v>
      </c>
      <c r="C789" s="634" t="s">
        <v>178</v>
      </c>
      <c r="D789" s="635">
        <v>4500210757</v>
      </c>
      <c r="E789" s="659" t="s">
        <v>3324</v>
      </c>
      <c r="F789" s="635" t="s">
        <v>3325</v>
      </c>
      <c r="G789" s="637" t="s">
        <v>132</v>
      </c>
      <c r="H789" s="637" t="s">
        <v>99</v>
      </c>
      <c r="I789" s="638">
        <v>96</v>
      </c>
      <c r="J789" s="638">
        <v>0</v>
      </c>
      <c r="K789" s="639">
        <v>24</v>
      </c>
      <c r="L789" s="941">
        <f t="shared" si="430"/>
        <v>4</v>
      </c>
      <c r="M789" s="641">
        <v>46206</v>
      </c>
      <c r="N789" s="641">
        <v>46202</v>
      </c>
      <c r="O789" s="641"/>
      <c r="P789" s="903" t="s">
        <v>100</v>
      </c>
      <c r="Q789" s="643"/>
      <c r="R789" s="903" t="s">
        <v>3326</v>
      </c>
      <c r="S789" s="925"/>
      <c r="T789" s="925"/>
      <c r="U789" s="903" t="s">
        <v>493</v>
      </c>
      <c r="V789" s="934" t="s">
        <v>3247</v>
      </c>
      <c r="W789" s="645"/>
      <c r="X789" s="647" t="s">
        <v>3327</v>
      </c>
      <c r="Y789" s="646" t="s">
        <v>3328</v>
      </c>
      <c r="Z789" s="683">
        <v>2.6389</v>
      </c>
      <c r="AA789" s="650">
        <f t="shared" ref="AA789:AA800" si="435">I789*Z789</f>
        <v>253.3344</v>
      </c>
      <c r="AB789" s="649">
        <v>96</v>
      </c>
      <c r="AC789" s="912">
        <f t="shared" ref="AC789:AC800" si="436">AB789-I789</f>
        <v>0</v>
      </c>
      <c r="AD789" s="942" t="s">
        <v>106</v>
      </c>
      <c r="AE789" s="637" t="s">
        <v>193</v>
      </c>
      <c r="AF789" s="935" t="s">
        <v>107</v>
      </c>
      <c r="AG789" s="881" t="s">
        <v>43</v>
      </c>
      <c r="AH789" s="646"/>
      <c r="AI789" s="699"/>
      <c r="AJ789" s="699"/>
      <c r="AK789" s="699"/>
      <c r="AL789" s="913"/>
      <c r="AM789" s="649"/>
      <c r="AN789" s="699"/>
      <c r="AO789" s="744"/>
      <c r="AP789" s="652">
        <f>I789</f>
        <v>96</v>
      </c>
      <c r="AQ789" s="652"/>
      <c r="AR789" s="744"/>
      <c r="AS789" s="744"/>
      <c r="AT789" s="744"/>
      <c r="AU789" s="747">
        <f t="shared" ref="AU789:AU796" si="437">I789*2</f>
        <v>192</v>
      </c>
      <c r="AV789" s="652"/>
      <c r="AW789" s="744"/>
      <c r="AX789" s="744"/>
      <c r="AY789" s="652"/>
      <c r="AZ789" s="700"/>
      <c r="BA789" s="700"/>
      <c r="BB789" s="654"/>
      <c r="BC789" s="700"/>
      <c r="BD789" s="700"/>
      <c r="BE789" s="654"/>
      <c r="BF789" s="700"/>
      <c r="BG789" s="914"/>
      <c r="BH789" s="658"/>
      <c r="BI789" s="915"/>
      <c r="BJ789" s="915"/>
      <c r="BK789" s="915"/>
      <c r="BL789" s="644"/>
      <c r="BM789" s="658"/>
      <c r="BN789" s="644"/>
      <c r="BO789" s="644"/>
      <c r="BP789" s="916"/>
      <c r="BQ789" s="654"/>
      <c r="BR789" s="700"/>
      <c r="BS789" s="654"/>
      <c r="BT789" s="654"/>
      <c r="BU789" s="654"/>
      <c r="BV789" s="654"/>
      <c r="BW789" s="645" t="s">
        <v>109</v>
      </c>
      <c r="BX789" s="658">
        <f t="shared" ref="BX789:BX794" si="438">I789</f>
        <v>96</v>
      </c>
      <c r="BY789" s="658"/>
      <c r="BZ789" s="658"/>
      <c r="CA789" s="658"/>
      <c r="CB789" s="644">
        <f t="shared" ref="CB789:CB800" si="439">I789</f>
        <v>96</v>
      </c>
      <c r="CC789" s="658"/>
      <c r="CD789" s="644">
        <f t="shared" si="432"/>
        <v>96</v>
      </c>
      <c r="CE789" s="659">
        <f t="shared" ref="CE789:CE796" si="440">I789-CD789</f>
        <v>0</v>
      </c>
      <c r="CF789" s="917"/>
      <c r="XEN789" s="885"/>
      <c r="XEO789" s="885"/>
      <c r="XEP789" s="885"/>
      <c r="XEQ789" s="885"/>
      <c r="XER789" s="885"/>
      <c r="XES789" s="885"/>
      <c r="XET789" s="885"/>
      <c r="XEU789" s="885"/>
      <c r="XEV789" s="885"/>
      <c r="XEW789" s="885"/>
      <c r="XEX789" s="885"/>
      <c r="XEY789" s="885"/>
      <c r="XEZ789" s="885"/>
      <c r="XFA789" s="885"/>
      <c r="XFB789" s="885"/>
      <c r="XFC789" s="885"/>
      <c r="XFD789" s="885"/>
    </row>
    <row r="790" s="338" customFormat="1" ht="40" customHeight="1" spans="1:84 16328:16384">
      <c r="A790" s="632">
        <v>46177</v>
      </c>
      <c r="B790" s="633" t="s">
        <v>3323</v>
      </c>
      <c r="C790" s="634" t="s">
        <v>178</v>
      </c>
      <c r="D790" s="635">
        <v>4500210757</v>
      </c>
      <c r="E790" s="659" t="s">
        <v>3329</v>
      </c>
      <c r="F790" s="635" t="s">
        <v>3330</v>
      </c>
      <c r="G790" s="637" t="s">
        <v>132</v>
      </c>
      <c r="H790" s="637" t="s">
        <v>99</v>
      </c>
      <c r="I790" s="638">
        <v>24</v>
      </c>
      <c r="J790" s="638">
        <v>0</v>
      </c>
      <c r="K790" s="639">
        <v>24</v>
      </c>
      <c r="L790" s="941">
        <f t="shared" si="430"/>
        <v>1</v>
      </c>
      <c r="M790" s="641">
        <v>46206</v>
      </c>
      <c r="N790" s="641">
        <v>46202</v>
      </c>
      <c r="O790" s="641"/>
      <c r="P790" s="903" t="s">
        <v>100</v>
      </c>
      <c r="Q790" s="643"/>
      <c r="R790" s="903" t="s">
        <v>3326</v>
      </c>
      <c r="S790" s="925"/>
      <c r="T790" s="925"/>
      <c r="U790" s="903" t="s">
        <v>493</v>
      </c>
      <c r="V790" s="934" t="s">
        <v>3247</v>
      </c>
      <c r="W790" s="645"/>
      <c r="X790" s="647" t="s">
        <v>3327</v>
      </c>
      <c r="Y790" s="646" t="s">
        <v>3328</v>
      </c>
      <c r="Z790" s="683">
        <v>2.6389</v>
      </c>
      <c r="AA790" s="650">
        <f t="shared" si="435"/>
        <v>63.3336</v>
      </c>
      <c r="AB790" s="649">
        <v>24</v>
      </c>
      <c r="AC790" s="912">
        <f t="shared" si="436"/>
        <v>0</v>
      </c>
      <c r="AD790" s="942" t="s">
        <v>106</v>
      </c>
      <c r="AE790" s="637" t="s">
        <v>193</v>
      </c>
      <c r="AF790" s="935" t="s">
        <v>107</v>
      </c>
      <c r="AG790" s="881" t="s">
        <v>43</v>
      </c>
      <c r="AH790" s="646"/>
      <c r="AI790" s="699"/>
      <c r="AJ790" s="699"/>
      <c r="AK790" s="699"/>
      <c r="AL790" s="913"/>
      <c r="AM790" s="649"/>
      <c r="AN790" s="699"/>
      <c r="AO790" s="744"/>
      <c r="AP790" s="652">
        <f t="shared" ref="AP790:AP799" si="441">I790</f>
        <v>24</v>
      </c>
      <c r="AQ790" s="652"/>
      <c r="AR790" s="744"/>
      <c r="AS790" s="744"/>
      <c r="AT790" s="744"/>
      <c r="AU790" s="747">
        <f t="shared" si="437"/>
        <v>48</v>
      </c>
      <c r="AV790" s="652"/>
      <c r="AW790" s="744"/>
      <c r="AX790" s="744"/>
      <c r="AY790" s="652"/>
      <c r="AZ790" s="700"/>
      <c r="BA790" s="700"/>
      <c r="BB790" s="654"/>
      <c r="BC790" s="700"/>
      <c r="BD790" s="700"/>
      <c r="BE790" s="654"/>
      <c r="BF790" s="700"/>
      <c r="BG790" s="914"/>
      <c r="BH790" s="658"/>
      <c r="BI790" s="915"/>
      <c r="BJ790" s="915"/>
      <c r="BK790" s="915"/>
      <c r="BL790" s="644"/>
      <c r="BM790" s="658"/>
      <c r="BN790" s="644"/>
      <c r="BO790" s="644"/>
      <c r="BP790" s="916"/>
      <c r="BQ790" s="654"/>
      <c r="BR790" s="700"/>
      <c r="BS790" s="654"/>
      <c r="BT790" s="654"/>
      <c r="BU790" s="654"/>
      <c r="BV790" s="654"/>
      <c r="BW790" s="645" t="s">
        <v>109</v>
      </c>
      <c r="BX790" s="658">
        <f t="shared" si="438"/>
        <v>24</v>
      </c>
      <c r="BY790" s="658"/>
      <c r="BZ790" s="658"/>
      <c r="CA790" s="658"/>
      <c r="CB790" s="644">
        <f t="shared" si="439"/>
        <v>24</v>
      </c>
      <c r="CC790" s="658"/>
      <c r="CD790" s="644">
        <f t="shared" si="432"/>
        <v>24</v>
      </c>
      <c r="CE790" s="659">
        <f t="shared" si="440"/>
        <v>0</v>
      </c>
      <c r="CF790" s="917"/>
      <c r="XEN790" s="885"/>
      <c r="XEO790" s="885"/>
      <c r="XEP790" s="885"/>
      <c r="XEQ790" s="885"/>
      <c r="XER790" s="885"/>
      <c r="XES790" s="885"/>
      <c r="XET790" s="885"/>
      <c r="XEU790" s="885"/>
      <c r="XEV790" s="885"/>
      <c r="XEW790" s="885"/>
      <c r="XEX790" s="885"/>
      <c r="XEY790" s="885"/>
      <c r="XEZ790" s="885"/>
      <c r="XFA790" s="885"/>
      <c r="XFB790" s="885"/>
      <c r="XFC790" s="885"/>
      <c r="XFD790" s="885"/>
    </row>
    <row r="791" s="338" customFormat="1" ht="40" customHeight="1" spans="1:84 16328:16384">
      <c r="A791" s="632">
        <v>46177</v>
      </c>
      <c r="B791" s="633" t="s">
        <v>3323</v>
      </c>
      <c r="C791" s="634" t="s">
        <v>178</v>
      </c>
      <c r="D791" s="635">
        <v>4500210757</v>
      </c>
      <c r="E791" s="659" t="s">
        <v>3331</v>
      </c>
      <c r="F791" s="635" t="s">
        <v>3332</v>
      </c>
      <c r="G791" s="637" t="s">
        <v>132</v>
      </c>
      <c r="H791" s="637" t="s">
        <v>99</v>
      </c>
      <c r="I791" s="638">
        <v>24</v>
      </c>
      <c r="J791" s="638">
        <v>0</v>
      </c>
      <c r="K791" s="639">
        <v>24</v>
      </c>
      <c r="L791" s="941">
        <f t="shared" si="430"/>
        <v>1</v>
      </c>
      <c r="M791" s="641">
        <v>46206</v>
      </c>
      <c r="N791" s="641">
        <v>46202</v>
      </c>
      <c r="O791" s="641"/>
      <c r="P791" s="903" t="s">
        <v>100</v>
      </c>
      <c r="Q791" s="643"/>
      <c r="R791" s="903" t="s">
        <v>3326</v>
      </c>
      <c r="S791" s="925"/>
      <c r="T791" s="925"/>
      <c r="U791" s="903" t="s">
        <v>493</v>
      </c>
      <c r="V791" s="934" t="s">
        <v>3247</v>
      </c>
      <c r="W791" s="645"/>
      <c r="X791" s="647" t="s">
        <v>3327</v>
      </c>
      <c r="Y791" s="646" t="s">
        <v>3328</v>
      </c>
      <c r="Z791" s="683">
        <v>2.6389</v>
      </c>
      <c r="AA791" s="650">
        <f t="shared" si="435"/>
        <v>63.3336</v>
      </c>
      <c r="AB791" s="649">
        <v>24</v>
      </c>
      <c r="AC791" s="912">
        <f t="shared" si="436"/>
        <v>0</v>
      </c>
      <c r="AD791" s="942" t="s">
        <v>106</v>
      </c>
      <c r="AE791" s="637" t="s">
        <v>193</v>
      </c>
      <c r="AF791" s="935" t="s">
        <v>107</v>
      </c>
      <c r="AG791" s="881" t="s">
        <v>43</v>
      </c>
      <c r="AH791" s="646"/>
      <c r="AI791" s="699"/>
      <c r="AJ791" s="699"/>
      <c r="AK791" s="699"/>
      <c r="AL791" s="913"/>
      <c r="AM791" s="649"/>
      <c r="AN791" s="699"/>
      <c r="AO791" s="744"/>
      <c r="AP791" s="652">
        <f t="shared" si="441"/>
        <v>24</v>
      </c>
      <c r="AQ791" s="652"/>
      <c r="AR791" s="744"/>
      <c r="AS791" s="744"/>
      <c r="AT791" s="744"/>
      <c r="AU791" s="747">
        <f t="shared" si="437"/>
        <v>48</v>
      </c>
      <c r="AV791" s="652"/>
      <c r="AW791" s="744"/>
      <c r="AX791" s="744"/>
      <c r="AY791" s="652"/>
      <c r="AZ791" s="700"/>
      <c r="BA791" s="700"/>
      <c r="BB791" s="654"/>
      <c r="BC791" s="700"/>
      <c r="BD791" s="700"/>
      <c r="BE791" s="654"/>
      <c r="BF791" s="700"/>
      <c r="BG791" s="914"/>
      <c r="BH791" s="658"/>
      <c r="BI791" s="915"/>
      <c r="BJ791" s="915"/>
      <c r="BK791" s="915"/>
      <c r="BL791" s="644"/>
      <c r="BM791" s="658"/>
      <c r="BN791" s="644"/>
      <c r="BO791" s="644"/>
      <c r="BP791" s="916"/>
      <c r="BQ791" s="654"/>
      <c r="BR791" s="700"/>
      <c r="BS791" s="654"/>
      <c r="BT791" s="654"/>
      <c r="BU791" s="654"/>
      <c r="BV791" s="654"/>
      <c r="BW791" s="645" t="s">
        <v>109</v>
      </c>
      <c r="BX791" s="658">
        <f t="shared" si="438"/>
        <v>24</v>
      </c>
      <c r="BY791" s="658"/>
      <c r="BZ791" s="658"/>
      <c r="CA791" s="658"/>
      <c r="CB791" s="644">
        <f t="shared" si="439"/>
        <v>24</v>
      </c>
      <c r="CC791" s="658"/>
      <c r="CD791" s="644">
        <f t="shared" si="432"/>
        <v>24</v>
      </c>
      <c r="CE791" s="659">
        <f t="shared" si="440"/>
        <v>0</v>
      </c>
      <c r="CF791" s="917"/>
      <c r="XEN791" s="885"/>
      <c r="XEO791" s="885"/>
      <c r="XEP791" s="885"/>
      <c r="XEQ791" s="885"/>
      <c r="XER791" s="885"/>
      <c r="XES791" s="885"/>
      <c r="XET791" s="885"/>
      <c r="XEU791" s="885"/>
      <c r="XEV791" s="885"/>
      <c r="XEW791" s="885"/>
      <c r="XEX791" s="885"/>
      <c r="XEY791" s="885"/>
      <c r="XEZ791" s="885"/>
      <c r="XFA791" s="885"/>
      <c r="XFB791" s="885"/>
      <c r="XFC791" s="885"/>
      <c r="XFD791" s="885"/>
    </row>
    <row r="792" s="338" customFormat="1" ht="40" customHeight="1" spans="1:84 16328:16384">
      <c r="A792" s="632">
        <v>46177</v>
      </c>
      <c r="B792" s="633" t="s">
        <v>3323</v>
      </c>
      <c r="C792" s="634" t="s">
        <v>178</v>
      </c>
      <c r="D792" s="635">
        <v>4500210757</v>
      </c>
      <c r="E792" s="659" t="s">
        <v>3333</v>
      </c>
      <c r="F792" s="635" t="s">
        <v>3334</v>
      </c>
      <c r="G792" s="637" t="s">
        <v>132</v>
      </c>
      <c r="H792" s="637" t="s">
        <v>99</v>
      </c>
      <c r="I792" s="638">
        <v>24</v>
      </c>
      <c r="J792" s="638">
        <v>0</v>
      </c>
      <c r="K792" s="639">
        <v>24</v>
      </c>
      <c r="L792" s="941">
        <f t="shared" si="430"/>
        <v>1</v>
      </c>
      <c r="M792" s="641">
        <v>46206</v>
      </c>
      <c r="N792" s="641">
        <v>46202</v>
      </c>
      <c r="O792" s="641"/>
      <c r="P792" s="903" t="s">
        <v>100</v>
      </c>
      <c r="Q792" s="643"/>
      <c r="R792" s="903" t="s">
        <v>3326</v>
      </c>
      <c r="S792" s="925"/>
      <c r="T792" s="925"/>
      <c r="U792" s="903" t="s">
        <v>493</v>
      </c>
      <c r="V792" s="934" t="s">
        <v>3247</v>
      </c>
      <c r="W792" s="645"/>
      <c r="X792" s="647" t="s">
        <v>3327</v>
      </c>
      <c r="Y792" s="646" t="s">
        <v>3328</v>
      </c>
      <c r="Z792" s="683">
        <v>2.6389</v>
      </c>
      <c r="AA792" s="650">
        <f t="shared" si="435"/>
        <v>63.3336</v>
      </c>
      <c r="AB792" s="649">
        <v>24</v>
      </c>
      <c r="AC792" s="912">
        <f t="shared" si="436"/>
        <v>0</v>
      </c>
      <c r="AD792" s="942" t="s">
        <v>106</v>
      </c>
      <c r="AE792" s="637" t="s">
        <v>193</v>
      </c>
      <c r="AF792" s="935" t="s">
        <v>107</v>
      </c>
      <c r="AG792" s="881" t="s">
        <v>43</v>
      </c>
      <c r="AH792" s="646"/>
      <c r="AI792" s="699"/>
      <c r="AJ792" s="699"/>
      <c r="AK792" s="699"/>
      <c r="AL792" s="913"/>
      <c r="AM792" s="649"/>
      <c r="AN792" s="699"/>
      <c r="AO792" s="744"/>
      <c r="AP792" s="652">
        <f t="shared" si="441"/>
        <v>24</v>
      </c>
      <c r="AQ792" s="652"/>
      <c r="AR792" s="744"/>
      <c r="AS792" s="744"/>
      <c r="AT792" s="744"/>
      <c r="AU792" s="747">
        <f t="shared" si="437"/>
        <v>48</v>
      </c>
      <c r="AV792" s="652"/>
      <c r="AW792" s="744"/>
      <c r="AX792" s="744"/>
      <c r="AY792" s="652"/>
      <c r="AZ792" s="700"/>
      <c r="BA792" s="700"/>
      <c r="BB792" s="654"/>
      <c r="BC792" s="700"/>
      <c r="BD792" s="700"/>
      <c r="BE792" s="654"/>
      <c r="BF792" s="700"/>
      <c r="BG792" s="914"/>
      <c r="BH792" s="658"/>
      <c r="BI792" s="915"/>
      <c r="BJ792" s="915"/>
      <c r="BK792" s="915"/>
      <c r="BL792" s="644"/>
      <c r="BM792" s="658"/>
      <c r="BN792" s="644"/>
      <c r="BO792" s="644"/>
      <c r="BP792" s="916"/>
      <c r="BQ792" s="654"/>
      <c r="BR792" s="700"/>
      <c r="BS792" s="654"/>
      <c r="BT792" s="654"/>
      <c r="BU792" s="654"/>
      <c r="BV792" s="654"/>
      <c r="BW792" s="645" t="s">
        <v>109</v>
      </c>
      <c r="BX792" s="658">
        <f t="shared" si="438"/>
        <v>24</v>
      </c>
      <c r="BY792" s="658"/>
      <c r="BZ792" s="658"/>
      <c r="CA792" s="658"/>
      <c r="CB792" s="644">
        <f t="shared" si="439"/>
        <v>24</v>
      </c>
      <c r="CC792" s="658"/>
      <c r="CD792" s="644">
        <f t="shared" si="432"/>
        <v>24</v>
      </c>
      <c r="CE792" s="659">
        <f t="shared" si="440"/>
        <v>0</v>
      </c>
      <c r="CF792" s="917"/>
      <c r="XEN792" s="885"/>
      <c r="XEO792" s="885"/>
      <c r="XEP792" s="885"/>
      <c r="XEQ792" s="885"/>
      <c r="XER792" s="885"/>
      <c r="XES792" s="885"/>
      <c r="XET792" s="885"/>
      <c r="XEU792" s="885"/>
      <c r="XEV792" s="885"/>
      <c r="XEW792" s="885"/>
      <c r="XEX792" s="885"/>
      <c r="XEY792" s="885"/>
      <c r="XEZ792" s="885"/>
      <c r="XFA792" s="885"/>
      <c r="XFB792" s="885"/>
      <c r="XFC792" s="885"/>
      <c r="XFD792" s="885"/>
    </row>
    <row r="793" s="338" customFormat="1" ht="40" customHeight="1" spans="1:84 16328:16384">
      <c r="A793" s="632">
        <v>46177</v>
      </c>
      <c r="B793" s="633" t="s">
        <v>3323</v>
      </c>
      <c r="C793" s="634" t="s">
        <v>178</v>
      </c>
      <c r="D793" s="635">
        <v>4500210757</v>
      </c>
      <c r="E793" s="659" t="s">
        <v>3335</v>
      </c>
      <c r="F793" s="635" t="s">
        <v>3336</v>
      </c>
      <c r="G793" s="637" t="s">
        <v>132</v>
      </c>
      <c r="H793" s="637" t="s">
        <v>99</v>
      </c>
      <c r="I793" s="638">
        <v>24</v>
      </c>
      <c r="J793" s="638">
        <v>0</v>
      </c>
      <c r="K793" s="639">
        <v>24</v>
      </c>
      <c r="L793" s="941">
        <f t="shared" si="430"/>
        <v>1</v>
      </c>
      <c r="M793" s="641">
        <v>46206</v>
      </c>
      <c r="N793" s="641">
        <v>46202</v>
      </c>
      <c r="O793" s="641"/>
      <c r="P793" s="903" t="s">
        <v>100</v>
      </c>
      <c r="Q793" s="643"/>
      <c r="R793" s="903" t="s">
        <v>3326</v>
      </c>
      <c r="S793" s="925"/>
      <c r="T793" s="925"/>
      <c r="U793" s="903" t="s">
        <v>493</v>
      </c>
      <c r="V793" s="934" t="s">
        <v>3247</v>
      </c>
      <c r="W793" s="645"/>
      <c r="X793" s="647" t="s">
        <v>3327</v>
      </c>
      <c r="Y793" s="646" t="s">
        <v>3328</v>
      </c>
      <c r="Z793" s="683">
        <v>2.6389</v>
      </c>
      <c r="AA793" s="650">
        <f t="shared" si="435"/>
        <v>63.3336</v>
      </c>
      <c r="AB793" s="649">
        <v>24</v>
      </c>
      <c r="AC793" s="912">
        <f t="shared" si="436"/>
        <v>0</v>
      </c>
      <c r="AD793" s="942" t="s">
        <v>106</v>
      </c>
      <c r="AE793" s="637" t="s">
        <v>193</v>
      </c>
      <c r="AF793" s="935" t="s">
        <v>107</v>
      </c>
      <c r="AG793" s="881" t="s">
        <v>43</v>
      </c>
      <c r="AH793" s="646"/>
      <c r="AI793" s="699"/>
      <c r="AJ793" s="699"/>
      <c r="AK793" s="699"/>
      <c r="AL793" s="913"/>
      <c r="AM793" s="649"/>
      <c r="AN793" s="699"/>
      <c r="AO793" s="744"/>
      <c r="AP793" s="652">
        <f t="shared" si="441"/>
        <v>24</v>
      </c>
      <c r="AQ793" s="652"/>
      <c r="AR793" s="744"/>
      <c r="AS793" s="744"/>
      <c r="AT793" s="744"/>
      <c r="AU793" s="747">
        <f t="shared" si="437"/>
        <v>48</v>
      </c>
      <c r="AV793" s="652"/>
      <c r="AW793" s="744"/>
      <c r="AX793" s="744"/>
      <c r="AY793" s="652"/>
      <c r="AZ793" s="700"/>
      <c r="BA793" s="700"/>
      <c r="BB793" s="654"/>
      <c r="BC793" s="700"/>
      <c r="BD793" s="700"/>
      <c r="BE793" s="654"/>
      <c r="BF793" s="700"/>
      <c r="BG793" s="914"/>
      <c r="BH793" s="658"/>
      <c r="BI793" s="915"/>
      <c r="BJ793" s="915"/>
      <c r="BK793" s="915"/>
      <c r="BL793" s="644"/>
      <c r="BM793" s="658"/>
      <c r="BN793" s="644"/>
      <c r="BO793" s="644"/>
      <c r="BP793" s="916"/>
      <c r="BQ793" s="654"/>
      <c r="BR793" s="700"/>
      <c r="BS793" s="654"/>
      <c r="BT793" s="654"/>
      <c r="BU793" s="654"/>
      <c r="BV793" s="654"/>
      <c r="BW793" s="645" t="s">
        <v>109</v>
      </c>
      <c r="BX793" s="658">
        <f t="shared" si="438"/>
        <v>24</v>
      </c>
      <c r="BY793" s="658"/>
      <c r="BZ793" s="658"/>
      <c r="CA793" s="658"/>
      <c r="CB793" s="644">
        <f t="shared" si="439"/>
        <v>24</v>
      </c>
      <c r="CC793" s="658"/>
      <c r="CD793" s="644">
        <f t="shared" si="432"/>
        <v>24</v>
      </c>
      <c r="CE793" s="659">
        <f t="shared" si="440"/>
        <v>0</v>
      </c>
      <c r="CF793" s="917"/>
      <c r="XEN793" s="885"/>
      <c r="XEO793" s="885"/>
      <c r="XEP793" s="885"/>
      <c r="XEQ793" s="885"/>
      <c r="XER793" s="885"/>
      <c r="XES793" s="885"/>
      <c r="XET793" s="885"/>
      <c r="XEU793" s="885"/>
      <c r="XEV793" s="885"/>
      <c r="XEW793" s="885"/>
      <c r="XEX793" s="885"/>
      <c r="XEY793" s="885"/>
      <c r="XEZ793" s="885"/>
      <c r="XFA793" s="885"/>
      <c r="XFB793" s="885"/>
      <c r="XFC793" s="885"/>
      <c r="XFD793" s="885"/>
    </row>
    <row r="794" s="338" customFormat="1" ht="40" customHeight="1" spans="1:84 16328:16384">
      <c r="A794" s="632">
        <v>46177</v>
      </c>
      <c r="B794" s="633" t="s">
        <v>3323</v>
      </c>
      <c r="C794" s="634" t="s">
        <v>178</v>
      </c>
      <c r="D794" s="635">
        <v>4500210757</v>
      </c>
      <c r="E794" s="659" t="s">
        <v>3337</v>
      </c>
      <c r="F794" s="635" t="s">
        <v>3338</v>
      </c>
      <c r="G794" s="637" t="s">
        <v>132</v>
      </c>
      <c r="H794" s="637" t="s">
        <v>99</v>
      </c>
      <c r="I794" s="638">
        <v>24</v>
      </c>
      <c r="J794" s="638">
        <v>0</v>
      </c>
      <c r="K794" s="639">
        <v>24</v>
      </c>
      <c r="L794" s="941">
        <f t="shared" si="430"/>
        <v>1</v>
      </c>
      <c r="M794" s="641">
        <v>46206</v>
      </c>
      <c r="N794" s="641">
        <v>46202</v>
      </c>
      <c r="O794" s="641"/>
      <c r="P794" s="903" t="s">
        <v>100</v>
      </c>
      <c r="Q794" s="643"/>
      <c r="R794" s="903" t="s">
        <v>3326</v>
      </c>
      <c r="S794" s="925"/>
      <c r="T794" s="925"/>
      <c r="U794" s="903" t="s">
        <v>493</v>
      </c>
      <c r="V794" s="934" t="s">
        <v>3247</v>
      </c>
      <c r="W794" s="645"/>
      <c r="X794" s="647" t="s">
        <v>3327</v>
      </c>
      <c r="Y794" s="646" t="s">
        <v>3328</v>
      </c>
      <c r="Z794" s="683">
        <v>2.6389</v>
      </c>
      <c r="AA794" s="650">
        <f t="shared" si="435"/>
        <v>63.3336</v>
      </c>
      <c r="AB794" s="649">
        <v>24</v>
      </c>
      <c r="AC794" s="912">
        <f t="shared" si="436"/>
        <v>0</v>
      </c>
      <c r="AD794" s="942" t="s">
        <v>106</v>
      </c>
      <c r="AE794" s="637" t="s">
        <v>193</v>
      </c>
      <c r="AF794" s="935" t="s">
        <v>107</v>
      </c>
      <c r="AG794" s="881" t="s">
        <v>43</v>
      </c>
      <c r="AH794" s="646"/>
      <c r="AI794" s="699"/>
      <c r="AJ794" s="699"/>
      <c r="AK794" s="699"/>
      <c r="AL794" s="913"/>
      <c r="AM794" s="649"/>
      <c r="AN794" s="699"/>
      <c r="AO794" s="744"/>
      <c r="AP794" s="652">
        <f t="shared" si="441"/>
        <v>24</v>
      </c>
      <c r="AQ794" s="652"/>
      <c r="AR794" s="744"/>
      <c r="AS794" s="744"/>
      <c r="AT794" s="744"/>
      <c r="AU794" s="747">
        <f t="shared" si="437"/>
        <v>48</v>
      </c>
      <c r="AV794" s="652"/>
      <c r="AW794" s="744"/>
      <c r="AX794" s="744"/>
      <c r="AY794" s="652"/>
      <c r="AZ794" s="700"/>
      <c r="BA794" s="700"/>
      <c r="BB794" s="654"/>
      <c r="BC794" s="700"/>
      <c r="BD794" s="700"/>
      <c r="BE794" s="654"/>
      <c r="BF794" s="700"/>
      <c r="BG794" s="914"/>
      <c r="BH794" s="658"/>
      <c r="BI794" s="915"/>
      <c r="BJ794" s="915"/>
      <c r="BK794" s="915"/>
      <c r="BL794" s="644"/>
      <c r="BM794" s="658"/>
      <c r="BN794" s="644"/>
      <c r="BO794" s="644"/>
      <c r="BP794" s="916"/>
      <c r="BQ794" s="654"/>
      <c r="BR794" s="700"/>
      <c r="BS794" s="654"/>
      <c r="BT794" s="654"/>
      <c r="BU794" s="654"/>
      <c r="BV794" s="654"/>
      <c r="BW794" s="645" t="s">
        <v>109</v>
      </c>
      <c r="BX794" s="658">
        <f t="shared" si="438"/>
        <v>24</v>
      </c>
      <c r="BY794" s="658"/>
      <c r="BZ794" s="658"/>
      <c r="CA794" s="658"/>
      <c r="CB794" s="644">
        <f t="shared" si="439"/>
        <v>24</v>
      </c>
      <c r="CC794" s="658"/>
      <c r="CD794" s="644">
        <f t="shared" si="432"/>
        <v>24</v>
      </c>
      <c r="CE794" s="659">
        <f t="shared" si="440"/>
        <v>0</v>
      </c>
      <c r="CF794" s="917"/>
      <c r="XEN794" s="885"/>
      <c r="XEO794" s="885"/>
      <c r="XEP794" s="885"/>
      <c r="XEQ794" s="885"/>
      <c r="XER794" s="885"/>
      <c r="XES794" s="885"/>
      <c r="XET794" s="885"/>
      <c r="XEU794" s="885"/>
      <c r="XEV794" s="885"/>
      <c r="XEW794" s="885"/>
      <c r="XEX794" s="885"/>
      <c r="XEY794" s="885"/>
      <c r="XEZ794" s="885"/>
      <c r="XFA794" s="885"/>
      <c r="XFB794" s="885"/>
      <c r="XFC794" s="885"/>
      <c r="XFD794" s="885"/>
    </row>
    <row r="795" s="338" customFormat="1" ht="40" customHeight="1" spans="1:84 16328:16384">
      <c r="A795" s="632">
        <v>46177</v>
      </c>
      <c r="B795" s="633" t="s">
        <v>3323</v>
      </c>
      <c r="C795" s="634" t="s">
        <v>178</v>
      </c>
      <c r="D795" s="635">
        <v>4500210757</v>
      </c>
      <c r="E795" s="659" t="s">
        <v>3339</v>
      </c>
      <c r="F795" s="635" t="s">
        <v>3340</v>
      </c>
      <c r="G795" s="637" t="s">
        <v>141</v>
      </c>
      <c r="H795" s="637" t="s">
        <v>99</v>
      </c>
      <c r="I795" s="638">
        <v>24</v>
      </c>
      <c r="J795" s="638">
        <v>0</v>
      </c>
      <c r="K795" s="639">
        <v>24</v>
      </c>
      <c r="L795" s="639">
        <f t="shared" si="430"/>
        <v>1</v>
      </c>
      <c r="M795" s="641">
        <v>46206</v>
      </c>
      <c r="N795" s="641">
        <v>46202</v>
      </c>
      <c r="O795" s="641"/>
      <c r="P795" s="903" t="s">
        <v>100</v>
      </c>
      <c r="Q795" s="643"/>
      <c r="R795" s="903" t="s">
        <v>3326</v>
      </c>
      <c r="S795" s="925"/>
      <c r="T795" s="925"/>
      <c r="U795" s="903" t="s">
        <v>493</v>
      </c>
      <c r="V795" s="934" t="s">
        <v>3247</v>
      </c>
      <c r="W795" s="645"/>
      <c r="X795" s="647" t="s">
        <v>3327</v>
      </c>
      <c r="Y795" s="646" t="s">
        <v>3328</v>
      </c>
      <c r="Z795" s="683">
        <v>2.6389</v>
      </c>
      <c r="AA795" s="650">
        <f t="shared" si="435"/>
        <v>63.3336</v>
      </c>
      <c r="AB795" s="649">
        <v>24</v>
      </c>
      <c r="AC795" s="912">
        <f t="shared" si="436"/>
        <v>0</v>
      </c>
      <c r="AD795" s="942" t="s">
        <v>106</v>
      </c>
      <c r="AE795" s="637" t="s">
        <v>153</v>
      </c>
      <c r="AF795" s="935" t="s">
        <v>107</v>
      </c>
      <c r="AG795" s="881" t="s">
        <v>43</v>
      </c>
      <c r="AH795" s="646"/>
      <c r="AI795" s="699"/>
      <c r="AJ795" s="699"/>
      <c r="AK795" s="699"/>
      <c r="AL795" s="913"/>
      <c r="AM795" s="649"/>
      <c r="AN795" s="699"/>
      <c r="AO795" s="744"/>
      <c r="AP795" s="652">
        <f t="shared" si="441"/>
        <v>24</v>
      </c>
      <c r="AQ795" s="652"/>
      <c r="AR795" s="744"/>
      <c r="AS795" s="744"/>
      <c r="AT795" s="744"/>
      <c r="AU795" s="747">
        <f t="shared" si="437"/>
        <v>48</v>
      </c>
      <c r="AV795" s="652"/>
      <c r="AW795" s="744"/>
      <c r="AX795" s="744"/>
      <c r="AY795" s="652"/>
      <c r="AZ795" s="700"/>
      <c r="BA795" s="700"/>
      <c r="BB795" s="654"/>
      <c r="BC795" s="700"/>
      <c r="BD795" s="700"/>
      <c r="BE795" s="654"/>
      <c r="BF795" s="700"/>
      <c r="BG795" s="914"/>
      <c r="BH795" s="658"/>
      <c r="BI795" s="915"/>
      <c r="BJ795" s="915"/>
      <c r="BK795" s="915"/>
      <c r="BL795" s="644"/>
      <c r="BM795" s="658"/>
      <c r="BN795" s="644"/>
      <c r="BO795" s="644"/>
      <c r="BP795" s="916"/>
      <c r="BQ795" s="654"/>
      <c r="BR795" s="700"/>
      <c r="BS795" s="654"/>
      <c r="BT795" s="654"/>
      <c r="BU795" s="654"/>
      <c r="BV795" s="654"/>
      <c r="BW795" s="645" t="s">
        <v>109</v>
      </c>
      <c r="BX795" s="658"/>
      <c r="BY795" s="658"/>
      <c r="BZ795" s="658">
        <f>I795</f>
        <v>24</v>
      </c>
      <c r="CA795" s="658"/>
      <c r="CB795" s="644">
        <f t="shared" si="439"/>
        <v>24</v>
      </c>
      <c r="CC795" s="658"/>
      <c r="CD795" s="644">
        <f t="shared" si="432"/>
        <v>24</v>
      </c>
      <c r="CE795" s="659">
        <f t="shared" si="440"/>
        <v>0</v>
      </c>
      <c r="CF795" s="917"/>
      <c r="XEN795" s="885"/>
      <c r="XEO795" s="885"/>
      <c r="XEP795" s="885"/>
      <c r="XEQ795" s="885"/>
      <c r="XER795" s="885"/>
      <c r="XES795" s="885"/>
      <c r="XET795" s="885"/>
      <c r="XEU795" s="885"/>
      <c r="XEV795" s="885"/>
      <c r="XEW795" s="885"/>
      <c r="XEX795" s="885"/>
      <c r="XEY795" s="885"/>
      <c r="XEZ795" s="885"/>
      <c r="XFA795" s="885"/>
      <c r="XFB795" s="885"/>
      <c r="XFC795" s="885"/>
      <c r="XFD795" s="885"/>
    </row>
    <row r="796" s="338" customFormat="1" ht="40" customHeight="1" spans="1:84 16328:16384">
      <c r="A796" s="632">
        <v>46177</v>
      </c>
      <c r="B796" s="633" t="s">
        <v>3323</v>
      </c>
      <c r="C796" s="634" t="s">
        <v>178</v>
      </c>
      <c r="D796" s="635">
        <v>4500210757</v>
      </c>
      <c r="E796" s="659" t="s">
        <v>3341</v>
      </c>
      <c r="F796" s="635" t="s">
        <v>3342</v>
      </c>
      <c r="G796" s="637" t="s">
        <v>189</v>
      </c>
      <c r="H796" s="637" t="s">
        <v>99</v>
      </c>
      <c r="I796" s="638">
        <v>24</v>
      </c>
      <c r="J796" s="638">
        <v>0</v>
      </c>
      <c r="K796" s="639">
        <v>24</v>
      </c>
      <c r="L796" s="941">
        <f t="shared" si="430"/>
        <v>1</v>
      </c>
      <c r="M796" s="641">
        <v>46206</v>
      </c>
      <c r="N796" s="641">
        <v>46202</v>
      </c>
      <c r="O796" s="641"/>
      <c r="P796" s="903" t="s">
        <v>100</v>
      </c>
      <c r="Q796" s="643"/>
      <c r="R796" s="903" t="s">
        <v>3326</v>
      </c>
      <c r="S796" s="925"/>
      <c r="T796" s="925"/>
      <c r="U796" s="903" t="s">
        <v>493</v>
      </c>
      <c r="V796" s="934" t="s">
        <v>3247</v>
      </c>
      <c r="W796" s="645"/>
      <c r="X796" s="647" t="s">
        <v>3327</v>
      </c>
      <c r="Y796" s="646" t="s">
        <v>3328</v>
      </c>
      <c r="Z796" s="683">
        <v>2.6389</v>
      </c>
      <c r="AA796" s="650">
        <f t="shared" si="435"/>
        <v>63.3336</v>
      </c>
      <c r="AB796" s="649">
        <v>24</v>
      </c>
      <c r="AC796" s="912">
        <f t="shared" si="436"/>
        <v>0</v>
      </c>
      <c r="AD796" s="942" t="s">
        <v>106</v>
      </c>
      <c r="AE796" s="637" t="s">
        <v>190</v>
      </c>
      <c r="AF796" s="935" t="s">
        <v>107</v>
      </c>
      <c r="AG796" s="881" t="s">
        <v>43</v>
      </c>
      <c r="AH796" s="646"/>
      <c r="AI796" s="699"/>
      <c r="AJ796" s="699"/>
      <c r="AK796" s="699"/>
      <c r="AL796" s="913"/>
      <c r="AM796" s="649"/>
      <c r="AN796" s="699"/>
      <c r="AO796" s="744"/>
      <c r="AP796" s="652">
        <f t="shared" si="441"/>
        <v>24</v>
      </c>
      <c r="AQ796" s="652"/>
      <c r="AR796" s="744"/>
      <c r="AS796" s="744"/>
      <c r="AT796" s="744"/>
      <c r="AU796" s="747">
        <f t="shared" si="437"/>
        <v>48</v>
      </c>
      <c r="AV796" s="652"/>
      <c r="AW796" s="744"/>
      <c r="AX796" s="744"/>
      <c r="AY796" s="652"/>
      <c r="AZ796" s="700"/>
      <c r="BA796" s="700"/>
      <c r="BB796" s="654"/>
      <c r="BC796" s="700"/>
      <c r="BD796" s="700"/>
      <c r="BE796" s="654"/>
      <c r="BF796" s="700"/>
      <c r="BG796" s="914"/>
      <c r="BH796" s="658"/>
      <c r="BI796" s="915"/>
      <c r="BJ796" s="915"/>
      <c r="BK796" s="915"/>
      <c r="BL796" s="644"/>
      <c r="BM796" s="658"/>
      <c r="BN796" s="644"/>
      <c r="BO796" s="644"/>
      <c r="BP796" s="916"/>
      <c r="BQ796" s="654"/>
      <c r="BR796" s="700"/>
      <c r="BS796" s="654"/>
      <c r="BT796" s="654"/>
      <c r="BU796" s="654"/>
      <c r="BV796" s="654"/>
      <c r="BW796" s="645" t="s">
        <v>109</v>
      </c>
      <c r="BX796" s="658"/>
      <c r="BY796" s="658"/>
      <c r="BZ796" s="658"/>
      <c r="CA796" s="658">
        <f>I796</f>
        <v>24</v>
      </c>
      <c r="CB796" s="644">
        <f t="shared" si="439"/>
        <v>24</v>
      </c>
      <c r="CC796" s="658"/>
      <c r="CD796" s="644">
        <f t="shared" si="432"/>
        <v>24</v>
      </c>
      <c r="CE796" s="659">
        <f t="shared" si="440"/>
        <v>0</v>
      </c>
      <c r="CF796" s="917"/>
      <c r="XEN796" s="885"/>
      <c r="XEO796" s="885"/>
      <c r="XEP796" s="885"/>
      <c r="XEQ796" s="885"/>
      <c r="XER796" s="885"/>
      <c r="XES796" s="885"/>
      <c r="XET796" s="885"/>
      <c r="XEU796" s="885"/>
      <c r="XEV796" s="885"/>
      <c r="XEW796" s="885"/>
      <c r="XEX796" s="885"/>
      <c r="XEY796" s="885"/>
      <c r="XEZ796" s="885"/>
      <c r="XFA796" s="885"/>
      <c r="XFB796" s="885"/>
      <c r="XFC796" s="885"/>
      <c r="XFD796" s="885"/>
    </row>
    <row r="797" s="338" customFormat="1" ht="40" customHeight="1" spans="1:84 16328:16384">
      <c r="A797" s="632">
        <v>46168</v>
      </c>
      <c r="B797" s="633" t="s">
        <v>1795</v>
      </c>
      <c r="C797" s="634" t="s">
        <v>1796</v>
      </c>
      <c r="D797" s="635">
        <v>4500203225</v>
      </c>
      <c r="E797" s="659" t="s">
        <v>3015</v>
      </c>
      <c r="F797" s="635" t="s">
        <v>3343</v>
      </c>
      <c r="G797" s="637" t="s">
        <v>111</v>
      </c>
      <c r="H797" s="637" t="s">
        <v>99</v>
      </c>
      <c r="I797" s="638">
        <v>726</v>
      </c>
      <c r="J797" s="638">
        <v>0</v>
      </c>
      <c r="K797" s="639">
        <v>22</v>
      </c>
      <c r="L797" s="639">
        <f t="shared" ref="L786:L815" si="442">I797/K797</f>
        <v>33</v>
      </c>
      <c r="M797" s="641">
        <v>46212</v>
      </c>
      <c r="N797" s="641">
        <v>46209</v>
      </c>
      <c r="O797" s="886" t="s">
        <v>1860</v>
      </c>
      <c r="P797" s="903" t="s">
        <v>100</v>
      </c>
      <c r="Q797" s="643"/>
      <c r="R797" s="903" t="s">
        <v>1534</v>
      </c>
      <c r="S797" s="925"/>
      <c r="T797" s="925"/>
      <c r="U797" s="903" t="s">
        <v>3344</v>
      </c>
      <c r="V797" s="926"/>
      <c r="W797" s="645"/>
      <c r="X797" s="647" t="s">
        <v>3345</v>
      </c>
      <c r="Y797" s="646" t="s">
        <v>1472</v>
      </c>
      <c r="Z797" s="683">
        <v>2.7947</v>
      </c>
      <c r="AA797" s="650">
        <f t="shared" si="435"/>
        <v>2028.9522</v>
      </c>
      <c r="AB797" s="649">
        <v>726</v>
      </c>
      <c r="AC797" s="912">
        <f t="shared" si="436"/>
        <v>0</v>
      </c>
      <c r="AD797" s="906" t="s">
        <v>106</v>
      </c>
      <c r="AE797" s="661" t="s">
        <v>230</v>
      </c>
      <c r="AF797" s="935" t="s">
        <v>107</v>
      </c>
      <c r="AG797" s="652" t="s">
        <v>3244</v>
      </c>
      <c r="AH797" s="646"/>
      <c r="AI797" s="744"/>
      <c r="AJ797" s="744"/>
      <c r="AK797" s="744"/>
      <c r="AL797" s="915"/>
      <c r="AM797" s="644"/>
      <c r="AN797" s="919"/>
      <c r="AO797" s="744"/>
      <c r="AP797" s="652">
        <f t="shared" si="441"/>
        <v>726</v>
      </c>
      <c r="AQ797" s="658"/>
      <c r="AR797" s="919"/>
      <c r="AS797" s="919"/>
      <c r="AT797" s="920"/>
      <c r="AU797" s="658">
        <f>I797</f>
        <v>726</v>
      </c>
      <c r="AV797" s="918"/>
      <c r="AW797" s="920"/>
      <c r="AX797" s="920"/>
      <c r="AY797" s="887"/>
      <c r="AZ797" s="920"/>
      <c r="BA797" s="914"/>
      <c r="BB797" s="652">
        <f>I797/11</f>
        <v>66</v>
      </c>
      <c r="BC797" s="915"/>
      <c r="BD797" s="915"/>
      <c r="BE797" s="658"/>
      <c r="BF797" s="919"/>
      <c r="BG797" s="915"/>
      <c r="BH797" s="644"/>
      <c r="BI797" s="919"/>
      <c r="BJ797" s="916"/>
      <c r="BK797" s="916"/>
      <c r="BL797" s="887"/>
      <c r="BM797" s="887"/>
      <c r="BN797" s="887"/>
      <c r="BO797" s="887"/>
      <c r="BP797" s="916"/>
      <c r="BQ797" s="887"/>
      <c r="BR797" s="916"/>
      <c r="BS797" s="887"/>
      <c r="BT797" s="887"/>
      <c r="BU797" s="887"/>
      <c r="BV797" s="887"/>
      <c r="BW797" s="645" t="s">
        <v>109</v>
      </c>
      <c r="BX797" s="747">
        <f>I797/22*5</f>
        <v>165</v>
      </c>
      <c r="BY797" s="747">
        <f>I797/22*6</f>
        <v>198</v>
      </c>
      <c r="BZ797" s="747">
        <f>I797/22*6</f>
        <v>198</v>
      </c>
      <c r="CA797" s="747">
        <f>I797/22*5</f>
        <v>165</v>
      </c>
      <c r="CB797" s="747">
        <f t="shared" si="439"/>
        <v>726</v>
      </c>
      <c r="CC797" s="747">
        <f>I797/11</f>
        <v>66</v>
      </c>
      <c r="CD797" s="747">
        <f t="shared" ref="CD786:CD814" si="443">SUM(BX797:CA797)</f>
        <v>726</v>
      </c>
      <c r="CE797" s="747">
        <v>0</v>
      </c>
      <c r="CF797" s="338"/>
      <c r="CG797" s="338"/>
      <c r="XCZ797" s="885"/>
      <c r="XDA797" s="885"/>
      <c r="XDB797" s="885"/>
      <c r="XDC797" s="885"/>
      <c r="XDD797" s="885"/>
      <c r="XDE797" s="885"/>
      <c r="XDF797" s="885"/>
      <c r="XDG797" s="885"/>
      <c r="XDH797" s="885"/>
      <c r="XDI797" s="885"/>
      <c r="XDJ797" s="885"/>
      <c r="XDK797" s="885"/>
      <c r="XDL797" s="885"/>
      <c r="XDM797" s="885"/>
      <c r="XDN797" s="885"/>
      <c r="XDO797" s="885"/>
      <c r="XDP797" s="885"/>
      <c r="XDQ797" s="885"/>
      <c r="XDR797" s="885"/>
      <c r="XDS797" s="885"/>
      <c r="XDT797" s="885"/>
      <c r="XDU797" s="885"/>
      <c r="XDV797" s="885"/>
      <c r="XDW797" s="885"/>
      <c r="XDX797" s="885"/>
      <c r="XDY797" s="885"/>
      <c r="XDZ797" s="885"/>
      <c r="XEA797" s="885"/>
      <c r="XEB797" s="885"/>
      <c r="XEC797" s="885"/>
      <c r="XED797" s="885"/>
      <c r="XEE797" s="885"/>
      <c r="XEF797" s="885"/>
      <c r="XEG797" s="885"/>
      <c r="XEH797" s="885"/>
      <c r="XEI797" s="885"/>
      <c r="XEJ797" s="888"/>
      <c r="XEK797" s="889"/>
      <c r="XEL797" s="890"/>
      <c r="XEM797" s="891"/>
      <c r="XEN797" s="892"/>
      <c r="XEO797" s="891"/>
      <c r="XEP797" s="893"/>
      <c r="XEQ797" s="893"/>
      <c r="XER797" s="894"/>
      <c r="XES797" s="894"/>
      <c r="XET797" s="895"/>
      <c r="XEU797" s="895"/>
      <c r="XEV797" s="896"/>
      <c r="XEW797" s="896"/>
      <c r="XEX797" s="896"/>
      <c r="XEY797" s="902"/>
      <c r="XEZ797" s="902"/>
      <c r="XFA797" s="902"/>
      <c r="XFB797" s="896"/>
      <c r="XFC797" s="902"/>
      <c r="XFD797" s="902"/>
    </row>
    <row r="798" s="338" customFormat="1" ht="40" customHeight="1" spans="1:84 16328:16384">
      <c r="A798" s="632">
        <v>46148</v>
      </c>
      <c r="B798" s="633" t="s">
        <v>2419</v>
      </c>
      <c r="C798" s="634" t="s">
        <v>129</v>
      </c>
      <c r="D798" s="635">
        <v>4500205041</v>
      </c>
      <c r="E798" s="666">
        <v>62110212</v>
      </c>
      <c r="F798" s="635" t="s">
        <v>3346</v>
      </c>
      <c r="G798" s="637" t="s">
        <v>111</v>
      </c>
      <c r="H798" s="637" t="s">
        <v>99</v>
      </c>
      <c r="I798" s="638">
        <v>220</v>
      </c>
      <c r="J798" s="638">
        <v>0</v>
      </c>
      <c r="K798" s="639">
        <v>22</v>
      </c>
      <c r="L798" s="639">
        <f t="shared" si="442"/>
        <v>10</v>
      </c>
      <c r="M798" s="641">
        <v>46198</v>
      </c>
      <c r="N798" s="937">
        <v>46213</v>
      </c>
      <c r="O798" s="641"/>
      <c r="P798" s="903" t="s">
        <v>100</v>
      </c>
      <c r="Q798" s="643" t="s">
        <v>1134</v>
      </c>
      <c r="R798" s="903" t="s">
        <v>3201</v>
      </c>
      <c r="S798" s="641"/>
      <c r="T798" s="641"/>
      <c r="U798" s="903" t="s">
        <v>3347</v>
      </c>
      <c r="V798" s="642"/>
      <c r="W798" s="645"/>
      <c r="X798" s="938" t="s">
        <v>3348</v>
      </c>
      <c r="Y798" s="646" t="s">
        <v>281</v>
      </c>
      <c r="Z798" s="683">
        <v>2.7947</v>
      </c>
      <c r="AA798" s="650">
        <f t="shared" si="435"/>
        <v>614.834</v>
      </c>
      <c r="AB798" s="649">
        <v>220</v>
      </c>
      <c r="AC798" s="912">
        <f t="shared" si="436"/>
        <v>0</v>
      </c>
      <c r="AD798" s="906" t="s">
        <v>106</v>
      </c>
      <c r="AE798" s="661" t="s">
        <v>230</v>
      </c>
      <c r="AF798" s="747" t="s">
        <v>107</v>
      </c>
      <c r="AG798" s="652" t="s">
        <v>3244</v>
      </c>
      <c r="AH798" s="646"/>
      <c r="AI798" s="649"/>
      <c r="AJ798" s="649"/>
      <c r="AK798" s="649"/>
      <c r="AL798" s="701"/>
      <c r="AM798" s="649"/>
      <c r="AN798" s="649"/>
      <c r="AO798" s="652"/>
      <c r="AP798" s="652">
        <f t="shared" si="441"/>
        <v>220</v>
      </c>
      <c r="AQ798" s="652"/>
      <c r="AR798" s="652"/>
      <c r="AS798" s="652"/>
      <c r="AT798" s="652"/>
      <c r="AU798" s="652">
        <f>I798</f>
        <v>220</v>
      </c>
      <c r="AV798" s="652"/>
      <c r="AW798" s="652"/>
      <c r="AX798" s="652"/>
      <c r="AY798" s="652"/>
      <c r="AZ798" s="654"/>
      <c r="BA798" s="654"/>
      <c r="BB798" s="652">
        <f>I798/11</f>
        <v>20</v>
      </c>
      <c r="BC798" s="654"/>
      <c r="BD798" s="654"/>
      <c r="BE798" s="654"/>
      <c r="BF798" s="654"/>
      <c r="BG798" s="645"/>
      <c r="BH798" s="658"/>
      <c r="BI798" s="658"/>
      <c r="BJ798" s="658"/>
      <c r="BK798" s="658"/>
      <c r="BL798" s="644"/>
      <c r="BM798" s="658"/>
      <c r="BN798" s="644"/>
      <c r="BO798" s="644"/>
      <c r="BP798" s="918"/>
      <c r="BQ798" s="654"/>
      <c r="BR798" s="654"/>
      <c r="BS798" s="654"/>
      <c r="BT798" s="654"/>
      <c r="BU798" s="654"/>
      <c r="BV798" s="654"/>
      <c r="BW798" s="645" t="s">
        <v>109</v>
      </c>
      <c r="BX798" s="658">
        <f>I798/22*5</f>
        <v>50</v>
      </c>
      <c r="BY798" s="658">
        <f>I798/22*6</f>
        <v>60</v>
      </c>
      <c r="BZ798" s="658">
        <f>I798/22*6</f>
        <v>60</v>
      </c>
      <c r="CA798" s="658">
        <f>I798/22*5</f>
        <v>50</v>
      </c>
      <c r="CB798" s="644">
        <f t="shared" si="439"/>
        <v>220</v>
      </c>
      <c r="CC798" s="658">
        <f>I798/11</f>
        <v>20</v>
      </c>
      <c r="CD798" s="644">
        <f t="shared" si="443"/>
        <v>220</v>
      </c>
      <c r="CE798" s="644">
        <v>0</v>
      </c>
      <c r="CF798" s="917"/>
      <c r="XEN798" s="885"/>
      <c r="XEO798" s="885"/>
      <c r="XEP798" s="885"/>
      <c r="XEQ798" s="885"/>
      <c r="XER798" s="885"/>
      <c r="XES798" s="885"/>
      <c r="XET798" s="885"/>
      <c r="XEU798" s="885"/>
      <c r="XEV798" s="885"/>
      <c r="XEW798" s="885"/>
      <c r="XEX798" s="885"/>
      <c r="XEY798" s="885"/>
      <c r="XEZ798" s="885"/>
      <c r="XFA798" s="885"/>
      <c r="XFB798" s="885"/>
      <c r="XFC798" s="885"/>
      <c r="XFD798" s="885"/>
    </row>
    <row r="799" s="338" customFormat="1" ht="40" customHeight="1" spans="1:84 16328:16384">
      <c r="A799" s="632">
        <v>46153</v>
      </c>
      <c r="B799" s="633" t="s">
        <v>1795</v>
      </c>
      <c r="C799" s="634" t="s">
        <v>1796</v>
      </c>
      <c r="D799" s="635">
        <v>4500206023</v>
      </c>
      <c r="E799" s="659" t="s">
        <v>3349</v>
      </c>
      <c r="F799" s="635" t="s">
        <v>3350</v>
      </c>
      <c r="G799" s="637" t="s">
        <v>111</v>
      </c>
      <c r="H799" s="637" t="s">
        <v>99</v>
      </c>
      <c r="I799" s="638">
        <v>330</v>
      </c>
      <c r="J799" s="638">
        <v>0</v>
      </c>
      <c r="K799" s="639">
        <v>22</v>
      </c>
      <c r="L799" s="639">
        <f t="shared" si="442"/>
        <v>15</v>
      </c>
      <c r="M799" s="641">
        <v>46205</v>
      </c>
      <c r="N799" s="937">
        <v>46219</v>
      </c>
      <c r="O799" s="642"/>
      <c r="P799" s="903" t="s">
        <v>100</v>
      </c>
      <c r="Q799" s="643"/>
      <c r="R799" s="642" t="s">
        <v>1450</v>
      </c>
      <c r="S799" s="925" t="s">
        <v>113</v>
      </c>
      <c r="T799" s="925"/>
      <c r="U799" s="903" t="s">
        <v>3351</v>
      </c>
      <c r="V799" s="926"/>
      <c r="W799" s="645"/>
      <c r="X799" s="647" t="s">
        <v>3352</v>
      </c>
      <c r="Y799" s="646" t="s">
        <v>1472</v>
      </c>
      <c r="Z799" s="683">
        <v>2.7592</v>
      </c>
      <c r="AA799" s="650">
        <f t="shared" si="435"/>
        <v>910.536</v>
      </c>
      <c r="AB799" s="649">
        <v>330</v>
      </c>
      <c r="AC799" s="912">
        <f t="shared" si="436"/>
        <v>0</v>
      </c>
      <c r="AD799" s="906" t="s">
        <v>123</v>
      </c>
      <c r="AE799" s="661" t="s">
        <v>230</v>
      </c>
      <c r="AF799" s="747" t="s">
        <v>107</v>
      </c>
      <c r="AG799" s="881" t="s">
        <v>43</v>
      </c>
      <c r="AH799" s="646"/>
      <c r="AI799" s="699"/>
      <c r="AJ799" s="699"/>
      <c r="AK799" s="699"/>
      <c r="AL799" s="701"/>
      <c r="AM799" s="649"/>
      <c r="AN799" s="699"/>
      <c r="AO799" s="744"/>
      <c r="AP799" s="652">
        <f t="shared" si="441"/>
        <v>330</v>
      </c>
      <c r="AQ799" s="652"/>
      <c r="AR799" s="744"/>
      <c r="AS799" s="744"/>
      <c r="AT799" s="652"/>
      <c r="AU799" s="658">
        <f>I799</f>
        <v>330</v>
      </c>
      <c r="AV799" s="652"/>
      <c r="AW799" s="744"/>
      <c r="AX799" s="652"/>
      <c r="AY799" s="652"/>
      <c r="AZ799" s="700"/>
      <c r="BA799" s="654"/>
      <c r="BB799" s="652">
        <f>I799/11</f>
        <v>30</v>
      </c>
      <c r="BC799" s="700"/>
      <c r="BD799" s="700"/>
      <c r="BE799" s="654"/>
      <c r="BF799" s="700"/>
      <c r="BG799" s="914"/>
      <c r="BH799" s="658"/>
      <c r="BI799" s="915"/>
      <c r="BJ799" s="915"/>
      <c r="BK799" s="915"/>
      <c r="BL799" s="644"/>
      <c r="BM799" s="658"/>
      <c r="BN799" s="644"/>
      <c r="BO799" s="644"/>
      <c r="BP799" s="916"/>
      <c r="BQ799" s="654"/>
      <c r="BR799" s="700"/>
      <c r="BS799" s="654"/>
      <c r="BT799" s="654"/>
      <c r="BU799" s="654"/>
      <c r="BV799" s="654"/>
      <c r="BW799" s="645" t="s">
        <v>109</v>
      </c>
      <c r="BX799" s="658">
        <f>I799/22*5</f>
        <v>75</v>
      </c>
      <c r="BY799" s="658">
        <f>I799/22*6</f>
        <v>90</v>
      </c>
      <c r="BZ799" s="658">
        <f>I799/22*6</f>
        <v>90</v>
      </c>
      <c r="CA799" s="658">
        <f>I799/22*5</f>
        <v>75</v>
      </c>
      <c r="CB799" s="644">
        <f t="shared" si="439"/>
        <v>330</v>
      </c>
      <c r="CC799" s="658">
        <f>I799/11</f>
        <v>30</v>
      </c>
      <c r="CD799" s="644">
        <f t="shared" si="443"/>
        <v>330</v>
      </c>
      <c r="CE799" s="659">
        <v>0</v>
      </c>
      <c r="CF799" s="917"/>
      <c r="XEN799" s="885"/>
      <c r="XEO799" s="885"/>
      <c r="XEP799" s="885"/>
      <c r="XEQ799" s="885"/>
      <c r="XER799" s="885"/>
      <c r="XES799" s="885"/>
      <c r="XET799" s="885"/>
      <c r="XEU799" s="885"/>
      <c r="XEV799" s="885"/>
      <c r="XEW799" s="885"/>
      <c r="XEX799" s="885"/>
      <c r="XEY799" s="885"/>
      <c r="XEZ799" s="885"/>
      <c r="XFA799" s="885"/>
      <c r="XFB799" s="885"/>
      <c r="XFC799" s="885"/>
      <c r="XFD799" s="885"/>
    </row>
    <row r="800" s="338" customFormat="1" ht="40" customHeight="1" spans="1:84 16328:16384">
      <c r="A800" s="632">
        <v>46155</v>
      </c>
      <c r="B800" s="633" t="s">
        <v>1884</v>
      </c>
      <c r="C800" s="634" t="s">
        <v>214</v>
      </c>
      <c r="D800" s="933">
        <v>4500206551</v>
      </c>
      <c r="E800" s="666">
        <v>70089367</v>
      </c>
      <c r="F800" s="635" t="s">
        <v>3353</v>
      </c>
      <c r="G800" s="637" t="s">
        <v>1830</v>
      </c>
      <c r="H800" s="637" t="s">
        <v>1831</v>
      </c>
      <c r="I800" s="638">
        <v>480</v>
      </c>
      <c r="J800" s="638">
        <v>0</v>
      </c>
      <c r="K800" s="639">
        <v>16</v>
      </c>
      <c r="L800" s="639">
        <f t="shared" si="442"/>
        <v>30</v>
      </c>
      <c r="M800" s="641">
        <v>46220</v>
      </c>
      <c r="N800" s="641">
        <v>46216</v>
      </c>
      <c r="O800" s="641"/>
      <c r="P800" s="903" t="s">
        <v>100</v>
      </c>
      <c r="Q800" s="643"/>
      <c r="R800" s="926" t="s">
        <v>3159</v>
      </c>
      <c r="S800" s="925"/>
      <c r="T800" s="925"/>
      <c r="U800" s="926" t="s">
        <v>113</v>
      </c>
      <c r="V800" s="934" t="s">
        <v>3354</v>
      </c>
      <c r="W800" s="645"/>
      <c r="X800" s="647" t="s">
        <v>3355</v>
      </c>
      <c r="Y800" s="646" t="s">
        <v>1522</v>
      </c>
      <c r="Z800" s="683">
        <v>3.1397</v>
      </c>
      <c r="AA800" s="650">
        <f t="shared" si="435"/>
        <v>1507.056</v>
      </c>
      <c r="AB800" s="649">
        <v>480</v>
      </c>
      <c r="AC800" s="912">
        <f t="shared" si="436"/>
        <v>0</v>
      </c>
      <c r="AD800" s="906" t="s">
        <v>106</v>
      </c>
      <c r="AE800" s="637" t="s">
        <v>1830</v>
      </c>
      <c r="AF800" s="747" t="s">
        <v>107</v>
      </c>
      <c r="AG800" s="652" t="s">
        <v>3244</v>
      </c>
      <c r="AH800" s="646"/>
      <c r="AI800" s="649"/>
      <c r="AJ800" s="649"/>
      <c r="AK800" s="649"/>
      <c r="AL800" s="701"/>
      <c r="AM800" s="649">
        <f>I800*2</f>
        <v>960</v>
      </c>
      <c r="AN800" s="649"/>
      <c r="AO800" s="652"/>
      <c r="AP800" s="652"/>
      <c r="AQ800" s="652"/>
      <c r="AR800" s="652"/>
      <c r="AS800" s="652"/>
      <c r="AT800" s="652"/>
      <c r="AU800" s="747">
        <f>I800*2</f>
        <v>960</v>
      </c>
      <c r="AV800" s="652"/>
      <c r="AW800" s="652"/>
      <c r="AX800" s="652"/>
      <c r="AY800" s="652"/>
      <c r="AZ800" s="654"/>
      <c r="BA800" s="654"/>
      <c r="BB800" s="654"/>
      <c r="BC800" s="654"/>
      <c r="BD800" s="654"/>
      <c r="BE800" s="654"/>
      <c r="BF800" s="654"/>
      <c r="BG800" s="645"/>
      <c r="BH800" s="658"/>
      <c r="BI800" s="658"/>
      <c r="BJ800" s="658"/>
      <c r="BK800" s="658"/>
      <c r="BL800" s="644"/>
      <c r="BM800" s="658"/>
      <c r="BN800" s="644"/>
      <c r="BO800" s="644"/>
      <c r="BP800" s="918"/>
      <c r="BQ800" s="654"/>
      <c r="BR800" s="654"/>
      <c r="BS800" s="654"/>
      <c r="BT800" s="654"/>
      <c r="BU800" s="654"/>
      <c r="BV800" s="654"/>
      <c r="BW800" s="645" t="s">
        <v>109</v>
      </c>
      <c r="BX800" s="658">
        <f>I800/4*2</f>
        <v>240</v>
      </c>
      <c r="BY800" s="658">
        <f>I800/4*2</f>
        <v>240</v>
      </c>
      <c r="BZ800" s="658">
        <f>I800/4*2</f>
        <v>240</v>
      </c>
      <c r="CA800" s="658">
        <f>I800/4*2</f>
        <v>240</v>
      </c>
      <c r="CB800" s="644">
        <f t="shared" si="439"/>
        <v>480</v>
      </c>
      <c r="CC800" s="658"/>
      <c r="CD800" s="644">
        <f t="shared" si="443"/>
        <v>960</v>
      </c>
      <c r="CE800" s="659">
        <f>I800-CD800</f>
        <v>-480</v>
      </c>
      <c r="CF800" s="917"/>
      <c r="XEN800" s="885"/>
      <c r="XEO800" s="885"/>
      <c r="XEP800" s="885"/>
      <c r="XEQ800" s="885"/>
      <c r="XER800" s="885"/>
      <c r="XES800" s="885"/>
      <c r="XET800" s="885"/>
      <c r="XEU800" s="885"/>
      <c r="XEV800" s="885"/>
      <c r="XEW800" s="885"/>
      <c r="XEX800" s="885"/>
      <c r="XEY800" s="885"/>
      <c r="XEZ800" s="885"/>
      <c r="XFA800" s="885"/>
      <c r="XFB800" s="885"/>
      <c r="XFC800" s="885"/>
      <c r="XFD800" s="885"/>
    </row>
    <row r="801" s="338" customFormat="1" ht="40" customHeight="1" spans="1:84 16306:16384">
      <c r="A801" s="632">
        <v>46171</v>
      </c>
      <c r="B801" s="633" t="s">
        <v>3323</v>
      </c>
      <c r="C801" s="634" t="s">
        <v>178</v>
      </c>
      <c r="D801" s="635">
        <v>4500209931</v>
      </c>
      <c r="E801" s="659" t="s">
        <v>3356</v>
      </c>
      <c r="F801" s="635" t="s">
        <v>3357</v>
      </c>
      <c r="G801" s="637" t="s">
        <v>141</v>
      </c>
      <c r="H801" s="637" t="s">
        <v>99</v>
      </c>
      <c r="I801" s="638">
        <v>24</v>
      </c>
      <c r="J801" s="638">
        <v>0</v>
      </c>
      <c r="K801" s="639">
        <v>24</v>
      </c>
      <c r="L801" s="639">
        <f t="shared" si="442"/>
        <v>1</v>
      </c>
      <c r="M801" s="641">
        <v>46218</v>
      </c>
      <c r="N801" s="641">
        <v>46214</v>
      </c>
      <c r="O801" s="641"/>
      <c r="P801" s="903" t="s">
        <v>100</v>
      </c>
      <c r="Q801" s="643" t="s">
        <v>3358</v>
      </c>
      <c r="R801" s="903" t="s">
        <v>3201</v>
      </c>
      <c r="S801" s="925"/>
      <c r="T801" s="925"/>
      <c r="U801" s="903" t="s">
        <v>493</v>
      </c>
      <c r="V801" s="934" t="s">
        <v>3359</v>
      </c>
      <c r="W801" s="645"/>
      <c r="X801" s="647" t="s">
        <v>3360</v>
      </c>
      <c r="Y801" s="646" t="s">
        <v>3361</v>
      </c>
      <c r="Z801" s="683">
        <v>2.6389</v>
      </c>
      <c r="AA801" s="650">
        <f t="shared" ref="AA801:AA812" si="444">I801*Z801</f>
        <v>63.3336</v>
      </c>
      <c r="AB801" s="649">
        <v>24</v>
      </c>
      <c r="AC801" s="912">
        <f t="shared" ref="AC801:AC813" si="445">AB801-I801</f>
        <v>0</v>
      </c>
      <c r="AD801" s="942" t="s">
        <v>106</v>
      </c>
      <c r="AE801" s="637" t="s">
        <v>153</v>
      </c>
      <c r="AF801" s="715" t="s">
        <v>107</v>
      </c>
      <c r="AG801" s="652" t="s">
        <v>3244</v>
      </c>
      <c r="AH801" s="646"/>
      <c r="AI801" s="696"/>
      <c r="AJ801" s="696"/>
      <c r="AK801" s="696"/>
      <c r="AL801" s="945"/>
      <c r="AM801" s="649"/>
      <c r="AN801" s="696"/>
      <c r="AO801" s="777"/>
      <c r="AP801" s="652">
        <f>I801</f>
        <v>24</v>
      </c>
      <c r="AQ801" s="652"/>
      <c r="AR801" s="777"/>
      <c r="AS801" s="777"/>
      <c r="AT801" s="777"/>
      <c r="AU801" s="652">
        <f>I801</f>
        <v>24</v>
      </c>
      <c r="AV801" s="652"/>
      <c r="AW801" s="777"/>
      <c r="AX801" s="777"/>
      <c r="AY801" s="652"/>
      <c r="AZ801" s="697"/>
      <c r="BA801" s="697"/>
      <c r="BB801" s="654"/>
      <c r="BC801" s="697"/>
      <c r="BD801" s="697"/>
      <c r="BE801" s="654"/>
      <c r="BF801" s="697"/>
      <c r="BG801" s="931"/>
      <c r="BH801" s="658"/>
      <c r="BI801" s="778"/>
      <c r="BJ801" s="778"/>
      <c r="BK801" s="778"/>
      <c r="BL801" s="644"/>
      <c r="BM801" s="658"/>
      <c r="BN801" s="644"/>
      <c r="BO801" s="644"/>
      <c r="BP801" s="779"/>
      <c r="BQ801" s="654"/>
      <c r="BR801" s="697"/>
      <c r="BS801" s="654"/>
      <c r="BT801" s="654"/>
      <c r="BU801" s="654"/>
      <c r="BV801" s="654"/>
      <c r="BW801" s="946" t="s">
        <v>109</v>
      </c>
      <c r="BX801" s="658"/>
      <c r="BY801" s="658"/>
      <c r="BZ801" s="658">
        <f t="shared" ref="BZ801:BZ807" si="446">I801</f>
        <v>24</v>
      </c>
      <c r="CA801" s="658"/>
      <c r="CB801" s="644">
        <f t="shared" ref="CB801:CB809" si="447">I801</f>
        <v>24</v>
      </c>
      <c r="CC801" s="658"/>
      <c r="CD801" s="644">
        <f t="shared" si="443"/>
        <v>24</v>
      </c>
      <c r="CE801" s="659">
        <f t="shared" ref="CE801:CE808" si="448">I801-CD801</f>
        <v>0</v>
      </c>
      <c r="XEN801" s="885"/>
      <c r="XEO801" s="885"/>
      <c r="XEP801" s="885"/>
      <c r="XEQ801" s="885"/>
      <c r="XER801" s="885"/>
      <c r="XES801" s="885"/>
      <c r="XET801" s="885"/>
      <c r="XEU801" s="885"/>
      <c r="XEV801" s="885"/>
      <c r="XEW801" s="885"/>
      <c r="XEX801" s="885"/>
      <c r="XEY801" s="885"/>
      <c r="XEZ801" s="885"/>
      <c r="XFA801" s="885"/>
      <c r="XFB801" s="885"/>
      <c r="XFC801" s="885"/>
      <c r="XFD801" s="885"/>
    </row>
    <row r="802" s="338" customFormat="1" ht="40" customHeight="1" spans="1:84 16306:16384">
      <c r="A802" s="632">
        <v>46171</v>
      </c>
      <c r="B802" s="633" t="s">
        <v>3323</v>
      </c>
      <c r="C802" s="634" t="s">
        <v>178</v>
      </c>
      <c r="D802" s="635">
        <v>4500209931</v>
      </c>
      <c r="E802" s="659" t="s">
        <v>3362</v>
      </c>
      <c r="F802" s="635" t="s">
        <v>3363</v>
      </c>
      <c r="G802" s="637" t="s">
        <v>141</v>
      </c>
      <c r="H802" s="637" t="s">
        <v>99</v>
      </c>
      <c r="I802" s="638">
        <v>24</v>
      </c>
      <c r="J802" s="638">
        <v>0</v>
      </c>
      <c r="K802" s="639">
        <v>24</v>
      </c>
      <c r="L802" s="639">
        <f t="shared" si="442"/>
        <v>1</v>
      </c>
      <c r="M802" s="641">
        <v>46218</v>
      </c>
      <c r="N802" s="641">
        <v>46214</v>
      </c>
      <c r="O802" s="641"/>
      <c r="P802" s="903" t="s">
        <v>100</v>
      </c>
      <c r="Q802" s="643" t="s">
        <v>3358</v>
      </c>
      <c r="R802" s="934" t="s">
        <v>3201</v>
      </c>
      <c r="S802" s="925"/>
      <c r="T802" s="925"/>
      <c r="U802" s="934" t="s">
        <v>493</v>
      </c>
      <c r="V802" s="934" t="s">
        <v>3359</v>
      </c>
      <c r="W802" s="645"/>
      <c r="X802" s="647" t="s">
        <v>3360</v>
      </c>
      <c r="Y802" s="646" t="s">
        <v>3361</v>
      </c>
      <c r="Z802" s="683">
        <v>2.6389</v>
      </c>
      <c r="AA802" s="650">
        <f t="shared" si="444"/>
        <v>63.3336</v>
      </c>
      <c r="AB802" s="649">
        <v>24</v>
      </c>
      <c r="AC802" s="912">
        <f t="shared" si="445"/>
        <v>0</v>
      </c>
      <c r="AD802" s="942" t="s">
        <v>106</v>
      </c>
      <c r="AE802" s="637" t="s">
        <v>153</v>
      </c>
      <c r="AF802" s="935" t="s">
        <v>107</v>
      </c>
      <c r="AG802" s="652" t="s">
        <v>3244</v>
      </c>
      <c r="AH802" s="646"/>
      <c r="AI802" s="696"/>
      <c r="AJ802" s="696"/>
      <c r="AK802" s="696"/>
      <c r="AL802" s="945"/>
      <c r="AM802" s="649"/>
      <c r="AN802" s="696"/>
      <c r="AO802" s="777"/>
      <c r="AP802" s="947">
        <f t="shared" ref="AP802:AP809" si="449">I802</f>
        <v>24</v>
      </c>
      <c r="AQ802" s="652"/>
      <c r="AR802" s="777"/>
      <c r="AS802" s="777"/>
      <c r="AT802" s="777"/>
      <c r="AU802" s="947">
        <f t="shared" ref="AU802:AU813" si="450">I802</f>
        <v>24</v>
      </c>
      <c r="AV802" s="652"/>
      <c r="AW802" s="777"/>
      <c r="AX802" s="777"/>
      <c r="AY802" s="652"/>
      <c r="AZ802" s="697"/>
      <c r="BA802" s="697"/>
      <c r="BB802" s="654"/>
      <c r="BC802" s="697"/>
      <c r="BD802" s="697"/>
      <c r="BE802" s="654"/>
      <c r="BF802" s="697"/>
      <c r="BG802" s="931"/>
      <c r="BH802" s="658"/>
      <c r="BI802" s="778"/>
      <c r="BJ802" s="778"/>
      <c r="BK802" s="778"/>
      <c r="BL802" s="644"/>
      <c r="BM802" s="658"/>
      <c r="BN802" s="644"/>
      <c r="BO802" s="644"/>
      <c r="BP802" s="779"/>
      <c r="BQ802" s="654"/>
      <c r="BR802" s="697"/>
      <c r="BS802" s="654"/>
      <c r="BT802" s="654"/>
      <c r="BU802" s="654"/>
      <c r="BV802" s="654"/>
      <c r="BW802" s="946" t="s">
        <v>109</v>
      </c>
      <c r="BX802" s="658"/>
      <c r="BY802" s="658"/>
      <c r="BZ802" s="658">
        <f t="shared" si="446"/>
        <v>24</v>
      </c>
      <c r="CA802" s="658"/>
      <c r="CB802" s="644">
        <f t="shared" si="447"/>
        <v>24</v>
      </c>
      <c r="CC802" s="658"/>
      <c r="CD802" s="644">
        <f t="shared" si="443"/>
        <v>24</v>
      </c>
      <c r="CE802" s="659">
        <f t="shared" si="448"/>
        <v>0</v>
      </c>
      <c r="XEN802" s="885"/>
      <c r="XEO802" s="885"/>
      <c r="XEP802" s="885"/>
      <c r="XEQ802" s="885"/>
      <c r="XER802" s="885"/>
      <c r="XES802" s="885"/>
      <c r="XET802" s="885"/>
      <c r="XEU802" s="885"/>
      <c r="XEV802" s="885"/>
      <c r="XEW802" s="885"/>
      <c r="XEX802" s="885"/>
      <c r="XEY802" s="885"/>
      <c r="XEZ802" s="885"/>
      <c r="XFA802" s="885"/>
      <c r="XFB802" s="885"/>
      <c r="XFC802" s="885"/>
      <c r="XFD802" s="885"/>
    </row>
    <row r="803" s="338" customFormat="1" ht="40" customHeight="1" spans="1:84 16306:16384">
      <c r="A803" s="632">
        <v>46171</v>
      </c>
      <c r="B803" s="633" t="s">
        <v>3323</v>
      </c>
      <c r="C803" s="634" t="s">
        <v>178</v>
      </c>
      <c r="D803" s="635">
        <v>4500209931</v>
      </c>
      <c r="E803" s="659" t="s">
        <v>3364</v>
      </c>
      <c r="F803" s="635" t="s">
        <v>3365</v>
      </c>
      <c r="G803" s="637" t="s">
        <v>141</v>
      </c>
      <c r="H803" s="637" t="s">
        <v>99</v>
      </c>
      <c r="I803" s="638">
        <v>24</v>
      </c>
      <c r="J803" s="638">
        <v>0</v>
      </c>
      <c r="K803" s="639">
        <v>24</v>
      </c>
      <c r="L803" s="639">
        <f t="shared" si="442"/>
        <v>1</v>
      </c>
      <c r="M803" s="641">
        <v>46218</v>
      </c>
      <c r="N803" s="641">
        <v>46214</v>
      </c>
      <c r="O803" s="641"/>
      <c r="P803" s="903" t="s">
        <v>100</v>
      </c>
      <c r="Q803" s="643" t="s">
        <v>3358</v>
      </c>
      <c r="R803" s="934" t="s">
        <v>3201</v>
      </c>
      <c r="S803" s="925"/>
      <c r="T803" s="925"/>
      <c r="U803" s="934" t="s">
        <v>493</v>
      </c>
      <c r="V803" s="934" t="s">
        <v>3359</v>
      </c>
      <c r="W803" s="645"/>
      <c r="X803" s="647" t="s">
        <v>3360</v>
      </c>
      <c r="Y803" s="646" t="s">
        <v>3361</v>
      </c>
      <c r="Z803" s="683">
        <v>2.6389</v>
      </c>
      <c r="AA803" s="650">
        <f t="shared" si="444"/>
        <v>63.3336</v>
      </c>
      <c r="AB803" s="649">
        <v>24</v>
      </c>
      <c r="AC803" s="912">
        <f t="shared" si="445"/>
        <v>0</v>
      </c>
      <c r="AD803" s="942" t="s">
        <v>106</v>
      </c>
      <c r="AE803" s="637" t="s">
        <v>153</v>
      </c>
      <c r="AF803" s="935" t="s">
        <v>107</v>
      </c>
      <c r="AG803" s="652" t="s">
        <v>3244</v>
      </c>
      <c r="AH803" s="646"/>
      <c r="AI803" s="696"/>
      <c r="AJ803" s="696"/>
      <c r="AK803" s="696"/>
      <c r="AL803" s="945"/>
      <c r="AM803" s="649"/>
      <c r="AN803" s="696"/>
      <c r="AO803" s="777"/>
      <c r="AP803" s="947">
        <f t="shared" si="449"/>
        <v>24</v>
      </c>
      <c r="AQ803" s="652"/>
      <c r="AR803" s="777"/>
      <c r="AS803" s="777"/>
      <c r="AT803" s="777"/>
      <c r="AU803" s="947">
        <f t="shared" si="450"/>
        <v>24</v>
      </c>
      <c r="AV803" s="652"/>
      <c r="AW803" s="777"/>
      <c r="AX803" s="777"/>
      <c r="AY803" s="652"/>
      <c r="AZ803" s="697"/>
      <c r="BA803" s="697"/>
      <c r="BB803" s="654"/>
      <c r="BC803" s="697"/>
      <c r="BD803" s="697"/>
      <c r="BE803" s="654"/>
      <c r="BF803" s="697"/>
      <c r="BG803" s="931"/>
      <c r="BH803" s="658"/>
      <c r="BI803" s="778"/>
      <c r="BJ803" s="778"/>
      <c r="BK803" s="778"/>
      <c r="BL803" s="644"/>
      <c r="BM803" s="658"/>
      <c r="BN803" s="644"/>
      <c r="BO803" s="644"/>
      <c r="BP803" s="779"/>
      <c r="BQ803" s="654"/>
      <c r="BR803" s="697"/>
      <c r="BS803" s="654"/>
      <c r="BT803" s="654"/>
      <c r="BU803" s="654"/>
      <c r="BV803" s="654"/>
      <c r="BW803" s="946" t="s">
        <v>109</v>
      </c>
      <c r="BX803" s="658"/>
      <c r="BY803" s="658"/>
      <c r="BZ803" s="658">
        <f t="shared" si="446"/>
        <v>24</v>
      </c>
      <c r="CA803" s="658"/>
      <c r="CB803" s="644">
        <f t="shared" si="447"/>
        <v>24</v>
      </c>
      <c r="CC803" s="658"/>
      <c r="CD803" s="644">
        <f t="shared" si="443"/>
        <v>24</v>
      </c>
      <c r="CE803" s="659">
        <f t="shared" si="448"/>
        <v>0</v>
      </c>
      <c r="XEN803" s="885"/>
      <c r="XEO803" s="885"/>
      <c r="XEP803" s="885"/>
      <c r="XEQ803" s="885"/>
      <c r="XER803" s="885"/>
      <c r="XES803" s="885"/>
      <c r="XET803" s="885"/>
      <c r="XEU803" s="885"/>
      <c r="XEV803" s="885"/>
      <c r="XEW803" s="885"/>
      <c r="XEX803" s="885"/>
      <c r="XEY803" s="885"/>
      <c r="XEZ803" s="885"/>
      <c r="XFA803" s="885"/>
      <c r="XFB803" s="885"/>
      <c r="XFC803" s="885"/>
      <c r="XFD803" s="885"/>
    </row>
    <row r="804" s="338" customFormat="1" ht="40" customHeight="1" spans="1:84 16306:16384">
      <c r="A804" s="632">
        <v>46171</v>
      </c>
      <c r="B804" s="633" t="s">
        <v>3323</v>
      </c>
      <c r="C804" s="634" t="s">
        <v>178</v>
      </c>
      <c r="D804" s="635">
        <v>4500209931</v>
      </c>
      <c r="E804" s="659" t="s">
        <v>3366</v>
      </c>
      <c r="F804" s="635" t="s">
        <v>3367</v>
      </c>
      <c r="G804" s="637" t="s">
        <v>141</v>
      </c>
      <c r="H804" s="637" t="s">
        <v>99</v>
      </c>
      <c r="I804" s="638">
        <v>24</v>
      </c>
      <c r="J804" s="638">
        <v>0</v>
      </c>
      <c r="K804" s="639">
        <v>24</v>
      </c>
      <c r="L804" s="639">
        <f t="shared" si="442"/>
        <v>1</v>
      </c>
      <c r="M804" s="641">
        <v>46218</v>
      </c>
      <c r="N804" s="641">
        <v>46214</v>
      </c>
      <c r="O804" s="641"/>
      <c r="P804" s="903" t="s">
        <v>100</v>
      </c>
      <c r="Q804" s="643" t="s">
        <v>3358</v>
      </c>
      <c r="R804" s="934" t="s">
        <v>3201</v>
      </c>
      <c r="S804" s="925"/>
      <c r="T804" s="925"/>
      <c r="U804" s="934" t="s">
        <v>493</v>
      </c>
      <c r="V804" s="934" t="s">
        <v>3359</v>
      </c>
      <c r="W804" s="645"/>
      <c r="X804" s="647" t="s">
        <v>3360</v>
      </c>
      <c r="Y804" s="646" t="s">
        <v>3361</v>
      </c>
      <c r="Z804" s="683">
        <v>2.6389</v>
      </c>
      <c r="AA804" s="650">
        <f t="shared" si="444"/>
        <v>63.3336</v>
      </c>
      <c r="AB804" s="649">
        <v>24</v>
      </c>
      <c r="AC804" s="912">
        <f t="shared" si="445"/>
        <v>0</v>
      </c>
      <c r="AD804" s="942" t="s">
        <v>106</v>
      </c>
      <c r="AE804" s="637" t="s">
        <v>153</v>
      </c>
      <c r="AF804" s="935" t="s">
        <v>107</v>
      </c>
      <c r="AG804" s="652" t="s">
        <v>3244</v>
      </c>
      <c r="AH804" s="646"/>
      <c r="AI804" s="696"/>
      <c r="AJ804" s="696"/>
      <c r="AK804" s="696"/>
      <c r="AL804" s="945"/>
      <c r="AM804" s="649"/>
      <c r="AN804" s="696"/>
      <c r="AO804" s="777"/>
      <c r="AP804" s="947">
        <f t="shared" si="449"/>
        <v>24</v>
      </c>
      <c r="AQ804" s="652"/>
      <c r="AR804" s="777"/>
      <c r="AS804" s="777"/>
      <c r="AT804" s="777"/>
      <c r="AU804" s="947">
        <f t="shared" si="450"/>
        <v>24</v>
      </c>
      <c r="AV804" s="652"/>
      <c r="AW804" s="777"/>
      <c r="AX804" s="777"/>
      <c r="AY804" s="652"/>
      <c r="AZ804" s="697"/>
      <c r="BA804" s="697"/>
      <c r="BB804" s="654"/>
      <c r="BC804" s="697"/>
      <c r="BD804" s="697"/>
      <c r="BE804" s="654"/>
      <c r="BF804" s="697"/>
      <c r="BG804" s="931"/>
      <c r="BH804" s="658"/>
      <c r="BI804" s="778"/>
      <c r="BJ804" s="778"/>
      <c r="BK804" s="778"/>
      <c r="BL804" s="644"/>
      <c r="BM804" s="658"/>
      <c r="BN804" s="644"/>
      <c r="BO804" s="644"/>
      <c r="BP804" s="779"/>
      <c r="BQ804" s="654"/>
      <c r="BR804" s="697"/>
      <c r="BS804" s="654"/>
      <c r="BT804" s="654"/>
      <c r="BU804" s="654"/>
      <c r="BV804" s="654"/>
      <c r="BW804" s="946" t="s">
        <v>109</v>
      </c>
      <c r="BX804" s="658"/>
      <c r="BY804" s="658"/>
      <c r="BZ804" s="658">
        <f t="shared" si="446"/>
        <v>24</v>
      </c>
      <c r="CA804" s="658"/>
      <c r="CB804" s="644">
        <f t="shared" si="447"/>
        <v>24</v>
      </c>
      <c r="CC804" s="658"/>
      <c r="CD804" s="644">
        <f t="shared" si="443"/>
        <v>24</v>
      </c>
      <c r="CE804" s="659">
        <f t="shared" si="448"/>
        <v>0</v>
      </c>
      <c r="XEN804" s="885"/>
      <c r="XEO804" s="885"/>
      <c r="XEP804" s="885"/>
      <c r="XEQ804" s="885"/>
      <c r="XER804" s="885"/>
      <c r="XES804" s="885"/>
      <c r="XET804" s="885"/>
      <c r="XEU804" s="885"/>
      <c r="XEV804" s="885"/>
      <c r="XEW804" s="885"/>
      <c r="XEX804" s="885"/>
      <c r="XEY804" s="885"/>
      <c r="XEZ804" s="885"/>
      <c r="XFA804" s="885"/>
      <c r="XFB804" s="885"/>
      <c r="XFC804" s="885"/>
      <c r="XFD804" s="885"/>
    </row>
    <row r="805" s="338" customFormat="1" ht="40" customHeight="1" spans="1:84 16306:16384">
      <c r="A805" s="632">
        <v>46171</v>
      </c>
      <c r="B805" s="633" t="s">
        <v>3323</v>
      </c>
      <c r="C805" s="634" t="s">
        <v>178</v>
      </c>
      <c r="D805" s="635">
        <v>4500209931</v>
      </c>
      <c r="E805" s="659" t="s">
        <v>3368</v>
      </c>
      <c r="F805" s="635" t="s">
        <v>3369</v>
      </c>
      <c r="G805" s="637" t="s">
        <v>141</v>
      </c>
      <c r="H805" s="637" t="s">
        <v>99</v>
      </c>
      <c r="I805" s="638">
        <v>24</v>
      </c>
      <c r="J805" s="638">
        <v>0</v>
      </c>
      <c r="K805" s="639">
        <v>24</v>
      </c>
      <c r="L805" s="639">
        <f t="shared" si="442"/>
        <v>1</v>
      </c>
      <c r="M805" s="641">
        <v>46218</v>
      </c>
      <c r="N805" s="641">
        <v>46214</v>
      </c>
      <c r="O805" s="641"/>
      <c r="P805" s="903" t="s">
        <v>100</v>
      </c>
      <c r="Q805" s="643" t="s">
        <v>3358</v>
      </c>
      <c r="R805" s="934" t="s">
        <v>3201</v>
      </c>
      <c r="S805" s="925"/>
      <c r="T805" s="925"/>
      <c r="U805" s="934" t="s">
        <v>493</v>
      </c>
      <c r="V805" s="934" t="s">
        <v>3359</v>
      </c>
      <c r="W805" s="645"/>
      <c r="X805" s="647" t="s">
        <v>3360</v>
      </c>
      <c r="Y805" s="646" t="s">
        <v>3361</v>
      </c>
      <c r="Z805" s="683">
        <v>2.6389</v>
      </c>
      <c r="AA805" s="650">
        <f t="shared" si="444"/>
        <v>63.3336</v>
      </c>
      <c r="AB805" s="649">
        <v>24</v>
      </c>
      <c r="AC805" s="912">
        <f t="shared" si="445"/>
        <v>0</v>
      </c>
      <c r="AD805" s="942" t="s">
        <v>106</v>
      </c>
      <c r="AE805" s="637" t="s">
        <v>153</v>
      </c>
      <c r="AF805" s="935" t="s">
        <v>107</v>
      </c>
      <c r="AG805" s="652" t="s">
        <v>3244</v>
      </c>
      <c r="AH805" s="646"/>
      <c r="AI805" s="696"/>
      <c r="AJ805" s="696"/>
      <c r="AK805" s="696"/>
      <c r="AL805" s="945"/>
      <c r="AM805" s="649"/>
      <c r="AN805" s="696"/>
      <c r="AO805" s="777"/>
      <c r="AP805" s="947">
        <f t="shared" si="449"/>
        <v>24</v>
      </c>
      <c r="AQ805" s="652"/>
      <c r="AR805" s="777"/>
      <c r="AS805" s="777"/>
      <c r="AT805" s="777"/>
      <c r="AU805" s="947">
        <f t="shared" si="450"/>
        <v>24</v>
      </c>
      <c r="AV805" s="652"/>
      <c r="AW805" s="777"/>
      <c r="AX805" s="777"/>
      <c r="AY805" s="652"/>
      <c r="AZ805" s="697"/>
      <c r="BA805" s="697"/>
      <c r="BB805" s="654"/>
      <c r="BC805" s="697"/>
      <c r="BD805" s="697"/>
      <c r="BE805" s="654"/>
      <c r="BF805" s="697"/>
      <c r="BG805" s="931"/>
      <c r="BH805" s="658"/>
      <c r="BI805" s="778"/>
      <c r="BJ805" s="778"/>
      <c r="BK805" s="778"/>
      <c r="BL805" s="644"/>
      <c r="BM805" s="658"/>
      <c r="BN805" s="644"/>
      <c r="BO805" s="644"/>
      <c r="BP805" s="779"/>
      <c r="BQ805" s="654"/>
      <c r="BR805" s="697"/>
      <c r="BS805" s="654"/>
      <c r="BT805" s="654"/>
      <c r="BU805" s="654"/>
      <c r="BV805" s="654"/>
      <c r="BW805" s="946" t="s">
        <v>109</v>
      </c>
      <c r="BX805" s="658"/>
      <c r="BY805" s="658"/>
      <c r="BZ805" s="658">
        <f t="shared" si="446"/>
        <v>24</v>
      </c>
      <c r="CA805" s="658"/>
      <c r="CB805" s="644">
        <f t="shared" si="447"/>
        <v>24</v>
      </c>
      <c r="CC805" s="658"/>
      <c r="CD805" s="644">
        <f t="shared" si="443"/>
        <v>24</v>
      </c>
      <c r="CE805" s="659">
        <f t="shared" si="448"/>
        <v>0</v>
      </c>
      <c r="XEN805" s="885"/>
      <c r="XEO805" s="885"/>
      <c r="XEP805" s="885"/>
      <c r="XEQ805" s="885"/>
      <c r="XER805" s="885"/>
      <c r="XES805" s="885"/>
      <c r="XET805" s="885"/>
      <c r="XEU805" s="885"/>
      <c r="XEV805" s="885"/>
      <c r="XEW805" s="885"/>
      <c r="XEX805" s="885"/>
      <c r="XEY805" s="885"/>
      <c r="XEZ805" s="885"/>
      <c r="XFA805" s="885"/>
      <c r="XFB805" s="885"/>
      <c r="XFC805" s="885"/>
      <c r="XFD805" s="885"/>
    </row>
    <row r="806" s="338" customFormat="1" ht="40" customHeight="1" spans="1:84 16306:16384">
      <c r="A806" s="632">
        <v>46171</v>
      </c>
      <c r="B806" s="633" t="s">
        <v>3323</v>
      </c>
      <c r="C806" s="634" t="s">
        <v>178</v>
      </c>
      <c r="D806" s="635">
        <v>4500209931</v>
      </c>
      <c r="E806" s="659" t="s">
        <v>3370</v>
      </c>
      <c r="F806" s="635" t="s">
        <v>3371</v>
      </c>
      <c r="G806" s="637" t="s">
        <v>141</v>
      </c>
      <c r="H806" s="637" t="s">
        <v>99</v>
      </c>
      <c r="I806" s="638">
        <v>24</v>
      </c>
      <c r="J806" s="638">
        <v>0</v>
      </c>
      <c r="K806" s="639">
        <v>24</v>
      </c>
      <c r="L806" s="639">
        <f t="shared" si="442"/>
        <v>1</v>
      </c>
      <c r="M806" s="641">
        <v>46218</v>
      </c>
      <c r="N806" s="641">
        <v>46214</v>
      </c>
      <c r="O806" s="641"/>
      <c r="P806" s="903" t="s">
        <v>100</v>
      </c>
      <c r="Q806" s="643" t="s">
        <v>3358</v>
      </c>
      <c r="R806" s="934" t="s">
        <v>3201</v>
      </c>
      <c r="S806" s="925"/>
      <c r="T806" s="925"/>
      <c r="U806" s="934" t="s">
        <v>493</v>
      </c>
      <c r="V806" s="934" t="s">
        <v>3359</v>
      </c>
      <c r="W806" s="645"/>
      <c r="X806" s="647" t="s">
        <v>3360</v>
      </c>
      <c r="Y806" s="646" t="s">
        <v>3361</v>
      </c>
      <c r="Z806" s="683">
        <v>2.6389</v>
      </c>
      <c r="AA806" s="650">
        <f t="shared" si="444"/>
        <v>63.3336</v>
      </c>
      <c r="AB806" s="649">
        <v>24</v>
      </c>
      <c r="AC806" s="912">
        <f t="shared" si="445"/>
        <v>0</v>
      </c>
      <c r="AD806" s="942" t="s">
        <v>106</v>
      </c>
      <c r="AE806" s="637" t="s">
        <v>153</v>
      </c>
      <c r="AF806" s="935" t="s">
        <v>107</v>
      </c>
      <c r="AG806" s="652" t="s">
        <v>3244</v>
      </c>
      <c r="AH806" s="646"/>
      <c r="AI806" s="696"/>
      <c r="AJ806" s="696"/>
      <c r="AK806" s="696"/>
      <c r="AL806" s="945"/>
      <c r="AM806" s="649"/>
      <c r="AN806" s="696"/>
      <c r="AO806" s="777"/>
      <c r="AP806" s="947">
        <f t="shared" si="449"/>
        <v>24</v>
      </c>
      <c r="AQ806" s="652"/>
      <c r="AR806" s="777"/>
      <c r="AS806" s="777"/>
      <c r="AT806" s="777"/>
      <c r="AU806" s="947">
        <f t="shared" si="450"/>
        <v>24</v>
      </c>
      <c r="AV806" s="652"/>
      <c r="AW806" s="777"/>
      <c r="AX806" s="777"/>
      <c r="AY806" s="652"/>
      <c r="AZ806" s="697"/>
      <c r="BA806" s="697"/>
      <c r="BB806" s="654"/>
      <c r="BC806" s="697"/>
      <c r="BD806" s="697"/>
      <c r="BE806" s="654"/>
      <c r="BF806" s="697"/>
      <c r="BG806" s="931"/>
      <c r="BH806" s="658"/>
      <c r="BI806" s="778"/>
      <c r="BJ806" s="778"/>
      <c r="BK806" s="778"/>
      <c r="BL806" s="644"/>
      <c r="BM806" s="658"/>
      <c r="BN806" s="644"/>
      <c r="BO806" s="644"/>
      <c r="BP806" s="779"/>
      <c r="BQ806" s="654"/>
      <c r="BR806" s="697"/>
      <c r="BS806" s="654"/>
      <c r="BT806" s="654"/>
      <c r="BU806" s="654"/>
      <c r="BV806" s="654"/>
      <c r="BW806" s="946" t="s">
        <v>109</v>
      </c>
      <c r="BX806" s="658"/>
      <c r="BY806" s="658"/>
      <c r="BZ806" s="658">
        <f t="shared" si="446"/>
        <v>24</v>
      </c>
      <c r="CA806" s="658"/>
      <c r="CB806" s="644">
        <f t="shared" si="447"/>
        <v>24</v>
      </c>
      <c r="CC806" s="658"/>
      <c r="CD806" s="644">
        <f t="shared" si="443"/>
        <v>24</v>
      </c>
      <c r="CE806" s="659">
        <f t="shared" si="448"/>
        <v>0</v>
      </c>
      <c r="XEN806" s="885"/>
      <c r="XEO806" s="885"/>
      <c r="XEP806" s="885"/>
      <c r="XEQ806" s="885"/>
      <c r="XER806" s="885"/>
      <c r="XES806" s="885"/>
      <c r="XET806" s="885"/>
      <c r="XEU806" s="885"/>
      <c r="XEV806" s="885"/>
      <c r="XEW806" s="885"/>
      <c r="XEX806" s="885"/>
      <c r="XEY806" s="885"/>
      <c r="XEZ806" s="885"/>
      <c r="XFA806" s="885"/>
      <c r="XFB806" s="885"/>
      <c r="XFC806" s="885"/>
      <c r="XFD806" s="885"/>
    </row>
    <row r="807" s="338" customFormat="1" ht="40" customHeight="1" spans="1:84 16306:16384">
      <c r="A807" s="632">
        <v>46171</v>
      </c>
      <c r="B807" s="633" t="s">
        <v>3323</v>
      </c>
      <c r="C807" s="634" t="s">
        <v>178</v>
      </c>
      <c r="D807" s="635">
        <v>4500209931</v>
      </c>
      <c r="E807" s="659" t="s">
        <v>3372</v>
      </c>
      <c r="F807" s="635" t="s">
        <v>3373</v>
      </c>
      <c r="G807" s="637" t="s">
        <v>141</v>
      </c>
      <c r="H807" s="637" t="s">
        <v>99</v>
      </c>
      <c r="I807" s="638">
        <v>24</v>
      </c>
      <c r="J807" s="638">
        <v>0</v>
      </c>
      <c r="K807" s="639">
        <v>24</v>
      </c>
      <c r="L807" s="639">
        <f t="shared" si="442"/>
        <v>1</v>
      </c>
      <c r="M807" s="641">
        <v>46218</v>
      </c>
      <c r="N807" s="641">
        <v>46214</v>
      </c>
      <c r="O807" s="641"/>
      <c r="P807" s="903" t="s">
        <v>100</v>
      </c>
      <c r="Q807" s="643" t="s">
        <v>3358</v>
      </c>
      <c r="R807" s="934" t="s">
        <v>3201</v>
      </c>
      <c r="S807" s="925"/>
      <c r="T807" s="925"/>
      <c r="U807" s="934" t="s">
        <v>493</v>
      </c>
      <c r="V807" s="934" t="s">
        <v>3359</v>
      </c>
      <c r="W807" s="645"/>
      <c r="X807" s="647" t="s">
        <v>3360</v>
      </c>
      <c r="Y807" s="646" t="s">
        <v>3361</v>
      </c>
      <c r="Z807" s="683">
        <v>2.6389</v>
      </c>
      <c r="AA807" s="650">
        <f t="shared" si="444"/>
        <v>63.3336</v>
      </c>
      <c r="AB807" s="649">
        <v>24</v>
      </c>
      <c r="AC807" s="912">
        <f t="shared" si="445"/>
        <v>0</v>
      </c>
      <c r="AD807" s="942" t="s">
        <v>106</v>
      </c>
      <c r="AE807" s="637" t="s">
        <v>153</v>
      </c>
      <c r="AF807" s="935" t="s">
        <v>107</v>
      </c>
      <c r="AG807" s="652" t="s">
        <v>3244</v>
      </c>
      <c r="AH807" s="646"/>
      <c r="AI807" s="696"/>
      <c r="AJ807" s="696"/>
      <c r="AK807" s="696"/>
      <c r="AL807" s="945"/>
      <c r="AM807" s="649"/>
      <c r="AN807" s="696"/>
      <c r="AO807" s="777"/>
      <c r="AP807" s="947">
        <f t="shared" si="449"/>
        <v>24</v>
      </c>
      <c r="AQ807" s="652"/>
      <c r="AR807" s="777"/>
      <c r="AS807" s="777"/>
      <c r="AT807" s="777"/>
      <c r="AU807" s="947">
        <f t="shared" si="450"/>
        <v>24</v>
      </c>
      <c r="AV807" s="652"/>
      <c r="AW807" s="777"/>
      <c r="AX807" s="777"/>
      <c r="AY807" s="652"/>
      <c r="AZ807" s="697"/>
      <c r="BA807" s="697"/>
      <c r="BB807" s="654"/>
      <c r="BC807" s="697"/>
      <c r="BD807" s="697"/>
      <c r="BE807" s="654"/>
      <c r="BF807" s="697"/>
      <c r="BG807" s="931"/>
      <c r="BH807" s="658"/>
      <c r="BI807" s="778"/>
      <c r="BJ807" s="778"/>
      <c r="BK807" s="778"/>
      <c r="BL807" s="644"/>
      <c r="BM807" s="658"/>
      <c r="BN807" s="644"/>
      <c r="BO807" s="644"/>
      <c r="BP807" s="779"/>
      <c r="BQ807" s="654"/>
      <c r="BR807" s="697"/>
      <c r="BS807" s="654"/>
      <c r="BT807" s="654"/>
      <c r="BU807" s="654"/>
      <c r="BV807" s="654"/>
      <c r="BW807" s="946" t="s">
        <v>109</v>
      </c>
      <c r="BX807" s="658"/>
      <c r="BY807" s="658"/>
      <c r="BZ807" s="658">
        <f t="shared" si="446"/>
        <v>24</v>
      </c>
      <c r="CA807" s="658"/>
      <c r="CB807" s="644">
        <f t="shared" si="447"/>
        <v>24</v>
      </c>
      <c r="CC807" s="658"/>
      <c r="CD807" s="644">
        <f t="shared" si="443"/>
        <v>24</v>
      </c>
      <c r="CE807" s="659">
        <f t="shared" si="448"/>
        <v>0</v>
      </c>
      <c r="XEN807" s="885"/>
      <c r="XEO807" s="885"/>
      <c r="XEP807" s="885"/>
      <c r="XEQ807" s="885"/>
      <c r="XER807" s="885"/>
      <c r="XES807" s="885"/>
      <c r="XET807" s="885"/>
      <c r="XEU807" s="885"/>
      <c r="XEV807" s="885"/>
      <c r="XEW807" s="885"/>
      <c r="XEX807" s="885"/>
      <c r="XEY807" s="885"/>
      <c r="XEZ807" s="885"/>
      <c r="XFA807" s="885"/>
      <c r="XFB807" s="885"/>
      <c r="XFC807" s="885"/>
      <c r="XFD807" s="885"/>
    </row>
    <row r="808" s="338" customFormat="1" ht="40" customHeight="1" spans="1:84 16306:16384">
      <c r="A808" s="632">
        <v>46149</v>
      </c>
      <c r="B808" s="633" t="s">
        <v>432</v>
      </c>
      <c r="C808" s="634" t="s">
        <v>380</v>
      </c>
      <c r="D808" s="635">
        <v>4500205370</v>
      </c>
      <c r="E808" s="661">
        <v>444383</v>
      </c>
      <c r="F808" s="636" t="s">
        <v>3374</v>
      </c>
      <c r="G808" s="637" t="s">
        <v>98</v>
      </c>
      <c r="H808" s="637" t="s">
        <v>99</v>
      </c>
      <c r="I808" s="638">
        <v>4512</v>
      </c>
      <c r="J808" s="638">
        <v>0</v>
      </c>
      <c r="K808" s="639">
        <v>24</v>
      </c>
      <c r="L808" s="640">
        <f t="shared" si="442"/>
        <v>188</v>
      </c>
      <c r="M808" s="641">
        <v>46223</v>
      </c>
      <c r="N808" s="641">
        <v>46219</v>
      </c>
      <c r="O808" s="642"/>
      <c r="P808" s="903" t="s">
        <v>100</v>
      </c>
      <c r="Q808" s="643" t="s">
        <v>3375</v>
      </c>
      <c r="R808" s="926" t="s">
        <v>1372</v>
      </c>
      <c r="S808" s="926"/>
      <c r="T808" s="926"/>
      <c r="U808" s="934" t="s">
        <v>3376</v>
      </c>
      <c r="V808" s="946"/>
      <c r="W808" s="646"/>
      <c r="X808" s="647" t="s">
        <v>3377</v>
      </c>
      <c r="Y808" s="639" t="s">
        <v>298</v>
      </c>
      <c r="Z808" s="897">
        <v>2.5465</v>
      </c>
      <c r="AA808" s="649">
        <f t="shared" si="444"/>
        <v>11489.808</v>
      </c>
      <c r="AB808" s="649">
        <v>4512</v>
      </c>
      <c r="AC808" s="912">
        <f t="shared" si="445"/>
        <v>0</v>
      </c>
      <c r="AD808" s="948" t="s">
        <v>106</v>
      </c>
      <c r="AE808" s="637" t="s">
        <v>98</v>
      </c>
      <c r="AF808" s="747" t="s">
        <v>107</v>
      </c>
      <c r="AG808" s="652" t="s">
        <v>3244</v>
      </c>
      <c r="AH808" s="646"/>
      <c r="AI808" s="652"/>
      <c r="AJ808" s="652"/>
      <c r="AK808" s="649"/>
      <c r="AL808" s="653"/>
      <c r="AM808" s="652">
        <f>I808</f>
        <v>4512</v>
      </c>
      <c r="AN808" s="649"/>
      <c r="AO808" s="654"/>
      <c r="AP808" s="887"/>
      <c r="AQ808" s="652"/>
      <c r="AR808" s="654"/>
      <c r="AS808" s="654"/>
      <c r="AT808" s="654"/>
      <c r="AU808" s="652">
        <f t="shared" si="450"/>
        <v>4512</v>
      </c>
      <c r="AV808" s="658"/>
      <c r="AW808" s="658"/>
      <c r="AX808" s="644"/>
      <c r="AY808" s="658"/>
      <c r="AZ808" s="644"/>
      <c r="BA808" s="644"/>
      <c r="BB808" s="654"/>
      <c r="BC808" s="654"/>
      <c r="BD808" s="654"/>
      <c r="BE808" s="654"/>
      <c r="BF808" s="654"/>
      <c r="BG808" s="645"/>
      <c r="BH808" s="747"/>
      <c r="BI808" s="747"/>
      <c r="BJ808" s="747"/>
      <c r="BK808" s="747"/>
      <c r="BL808" s="747"/>
      <c r="BM808" s="644"/>
      <c r="BN808" s="644"/>
      <c r="BO808" s="644"/>
      <c r="BP808" s="918"/>
      <c r="BQ808" s="654"/>
      <c r="BR808" s="654"/>
      <c r="BS808" s="654"/>
      <c r="BT808" s="654"/>
      <c r="BU808" s="654"/>
      <c r="BV808" s="654"/>
      <c r="BW808" s="645" t="s">
        <v>109</v>
      </c>
      <c r="BX808" s="747">
        <f>I808/4</f>
        <v>1128</v>
      </c>
      <c r="BY808" s="747">
        <f>I808/4</f>
        <v>1128</v>
      </c>
      <c r="BZ808" s="747">
        <f>I808/4</f>
        <v>1128</v>
      </c>
      <c r="CA808" s="747">
        <f>I808/4</f>
        <v>1128</v>
      </c>
      <c r="CB808" s="747">
        <f>I808/4</f>
        <v>1128</v>
      </c>
      <c r="CC808" s="747"/>
      <c r="CD808" s="747">
        <f t="shared" si="443"/>
        <v>4512</v>
      </c>
      <c r="CE808" s="747">
        <f t="shared" si="448"/>
        <v>0</v>
      </c>
      <c r="CF808" s="917"/>
      <c r="XEN808" s="885"/>
      <c r="XEO808" s="885"/>
      <c r="XEP808" s="888"/>
      <c r="XEQ808" s="889"/>
      <c r="XER808" s="890"/>
      <c r="XES808" s="891"/>
      <c r="XET808" s="949"/>
      <c r="XEU808" s="901"/>
      <c r="XEV808" s="893"/>
      <c r="XEW808" s="893"/>
      <c r="XEX808" s="894"/>
      <c r="XEY808" s="894"/>
      <c r="XEZ808" s="895"/>
      <c r="XFA808" s="950"/>
      <c r="XFB808" s="896"/>
      <c r="XFC808" s="896"/>
      <c r="XFD808" s="902"/>
    </row>
    <row r="809" s="338" customFormat="1" ht="40" customHeight="1" spans="1:84 16306:16384">
      <c r="A809" s="632">
        <v>46178</v>
      </c>
      <c r="B809" s="633" t="s">
        <v>3378</v>
      </c>
      <c r="C809" s="634" t="s">
        <v>144</v>
      </c>
      <c r="D809" s="635">
        <v>4500209355</v>
      </c>
      <c r="E809" s="659"/>
      <c r="F809" s="635" t="s">
        <v>3379</v>
      </c>
      <c r="G809" s="637" t="s">
        <v>111</v>
      </c>
      <c r="H809" s="637" t="s">
        <v>99</v>
      </c>
      <c r="I809" s="638">
        <v>660</v>
      </c>
      <c r="J809" s="638">
        <v>0</v>
      </c>
      <c r="K809" s="639">
        <v>22</v>
      </c>
      <c r="L809" s="639">
        <f t="shared" si="442"/>
        <v>30</v>
      </c>
      <c r="M809" s="641">
        <v>46223</v>
      </c>
      <c r="N809" s="641">
        <v>46219</v>
      </c>
      <c r="O809" s="641"/>
      <c r="P809" s="903" t="s">
        <v>100</v>
      </c>
      <c r="Q809" s="643" t="s">
        <v>1504</v>
      </c>
      <c r="R809" s="903" t="s">
        <v>1527</v>
      </c>
      <c r="S809" s="925"/>
      <c r="T809" s="925"/>
      <c r="U809" s="903" t="s">
        <v>3380</v>
      </c>
      <c r="V809" s="926"/>
      <c r="W809" s="645"/>
      <c r="X809" s="647" t="s">
        <v>3381</v>
      </c>
      <c r="Y809" s="646" t="s">
        <v>3382</v>
      </c>
      <c r="Z809" s="683">
        <v>2.7947</v>
      </c>
      <c r="AA809" s="650">
        <f t="shared" si="444"/>
        <v>1844.502</v>
      </c>
      <c r="AB809" s="649">
        <v>660</v>
      </c>
      <c r="AC809" s="912">
        <f t="shared" si="445"/>
        <v>0</v>
      </c>
      <c r="AD809" s="906" t="s">
        <v>113</v>
      </c>
      <c r="AE809" s="661" t="s">
        <v>230</v>
      </c>
      <c r="AF809" s="935" t="s">
        <v>107</v>
      </c>
      <c r="AG809" s="652" t="s">
        <v>3244</v>
      </c>
      <c r="AH809" s="646"/>
      <c r="AI809" s="919"/>
      <c r="AJ809" s="744"/>
      <c r="AK809" s="915"/>
      <c r="AL809" s="915"/>
      <c r="AM809" s="887"/>
      <c r="AN809" s="920"/>
      <c r="AO809" s="744"/>
      <c r="AP809" s="658">
        <f>I809</f>
        <v>660</v>
      </c>
      <c r="AQ809" s="644"/>
      <c r="AR809" s="920"/>
      <c r="AS809" s="920"/>
      <c r="AT809" s="920"/>
      <c r="AU809" s="652">
        <f t="shared" si="450"/>
        <v>660</v>
      </c>
      <c r="AV809" s="887"/>
      <c r="AW809" s="920"/>
      <c r="AX809" s="920"/>
      <c r="AY809" s="887"/>
      <c r="AZ809" s="920"/>
      <c r="BA809" s="914"/>
      <c r="BB809" s="747">
        <f>I809/11</f>
        <v>60</v>
      </c>
      <c r="BC809" s="951"/>
      <c r="BD809" s="951"/>
      <c r="BE809" s="747"/>
      <c r="BF809" s="951"/>
      <c r="BG809" s="951"/>
      <c r="BH809" s="747"/>
      <c r="BI809" s="951"/>
      <c r="BJ809" s="920"/>
      <c r="BK809" s="920"/>
      <c r="BL809" s="887"/>
      <c r="BM809" s="887"/>
      <c r="BN809" s="887"/>
      <c r="BO809" s="887"/>
      <c r="BP809" s="920"/>
      <c r="BQ809" s="887"/>
      <c r="BR809" s="920"/>
      <c r="BS809" s="887"/>
      <c r="BT809" s="887"/>
      <c r="BU809" s="887"/>
      <c r="BV809" s="887"/>
      <c r="BW809" s="645" t="s">
        <v>109</v>
      </c>
      <c r="BX809" s="747">
        <f>I809/22*5</f>
        <v>150</v>
      </c>
      <c r="BY809" s="747">
        <f>I809/22*6</f>
        <v>180</v>
      </c>
      <c r="BZ809" s="747">
        <f>I809/22*6</f>
        <v>180</v>
      </c>
      <c r="CA809" s="747">
        <f>I809/22*5</f>
        <v>150</v>
      </c>
      <c r="CB809" s="747">
        <f t="shared" ref="CB809:CB814" si="451">I809</f>
        <v>660</v>
      </c>
      <c r="CC809" s="747">
        <f>I809/11</f>
        <v>60</v>
      </c>
      <c r="CD809" s="747">
        <f t="shared" si="443"/>
        <v>660</v>
      </c>
      <c r="CE809" s="747">
        <v>0</v>
      </c>
      <c r="CF809" s="917"/>
      <c r="XCD809" s="885"/>
      <c r="XCE809" s="885"/>
      <c r="XCF809" s="885"/>
      <c r="XCG809" s="885"/>
      <c r="XCH809" s="885"/>
      <c r="XCI809" s="885"/>
      <c r="XCJ809" s="885"/>
      <c r="XCK809" s="885"/>
      <c r="XCL809" s="885"/>
      <c r="XCM809" s="885"/>
      <c r="XCN809" s="885"/>
      <c r="XCO809" s="885"/>
      <c r="XCP809" s="885"/>
      <c r="XCQ809" s="885"/>
      <c r="XCR809" s="885"/>
      <c r="XCS809" s="885"/>
      <c r="XCT809" s="885"/>
      <c r="XCU809" s="885"/>
      <c r="XCV809" s="885"/>
      <c r="XCW809" s="885"/>
      <c r="XCX809" s="885"/>
      <c r="XCY809" s="885"/>
      <c r="XCZ809" s="885"/>
      <c r="XDA809" s="885"/>
      <c r="XDB809" s="885"/>
      <c r="XDC809" s="885"/>
      <c r="XDD809" s="885"/>
      <c r="XDE809" s="885"/>
      <c r="XDF809" s="885"/>
      <c r="XDG809" s="885"/>
      <c r="XDH809" s="885"/>
      <c r="XDI809" s="885"/>
      <c r="XDJ809" s="885"/>
      <c r="XDK809" s="885"/>
      <c r="XDL809" s="885"/>
      <c r="XDM809" s="885"/>
      <c r="XDN809" s="888"/>
      <c r="XDO809" s="889"/>
      <c r="XDP809" s="890"/>
      <c r="XDQ809" s="891"/>
      <c r="XDR809" s="892"/>
      <c r="XDS809" s="891"/>
      <c r="XDT809" s="893"/>
      <c r="XDU809" s="893"/>
      <c r="XDV809" s="894"/>
      <c r="XDW809" s="894"/>
      <c r="XDX809" s="895"/>
      <c r="XDY809" s="895"/>
      <c r="XDZ809" s="896"/>
      <c r="XEA809" s="896"/>
      <c r="XEB809" s="896"/>
      <c r="XEC809" s="902"/>
      <c r="XED809" s="902"/>
      <c r="XEE809" s="902"/>
      <c r="XEF809" s="896"/>
      <c r="XEG809" s="902"/>
      <c r="XEH809" s="902"/>
      <c r="XEI809" s="952"/>
      <c r="XEJ809" s="888"/>
      <c r="XEK809" s="889"/>
      <c r="XEL809" s="890"/>
      <c r="XEM809" s="891"/>
      <c r="XEN809" s="892"/>
      <c r="XEO809" s="891"/>
      <c r="XEP809" s="893"/>
      <c r="XEQ809" s="893"/>
      <c r="XER809" s="894"/>
      <c r="XES809" s="894"/>
      <c r="XET809" s="895"/>
      <c r="XEU809" s="895"/>
      <c r="XEV809" s="896"/>
      <c r="XEW809" s="896"/>
      <c r="XEX809" s="896"/>
      <c r="XEY809" s="902"/>
      <c r="XEZ809" s="902"/>
      <c r="XFA809" s="902"/>
      <c r="XFB809" s="953"/>
      <c r="XFC809" s="902"/>
      <c r="XFD809" s="954"/>
    </row>
    <row r="810" s="338" customFormat="1" ht="40" customHeight="1" spans="1:84 16306:16384">
      <c r="A810" s="632">
        <v>46178</v>
      </c>
      <c r="B810" s="633" t="s">
        <v>3383</v>
      </c>
      <c r="C810" s="634" t="s">
        <v>2820</v>
      </c>
      <c r="D810" s="635">
        <v>4500207334</v>
      </c>
      <c r="E810" s="659" t="s">
        <v>3384</v>
      </c>
      <c r="F810" s="635" t="s">
        <v>3385</v>
      </c>
      <c r="G810" s="637" t="s">
        <v>241</v>
      </c>
      <c r="H810" s="637" t="s">
        <v>99</v>
      </c>
      <c r="I810" s="638">
        <v>1199</v>
      </c>
      <c r="J810" s="638">
        <v>0</v>
      </c>
      <c r="K810" s="639">
        <v>11</v>
      </c>
      <c r="L810" s="639">
        <f t="shared" si="442"/>
        <v>109</v>
      </c>
      <c r="M810" s="641">
        <v>46225</v>
      </c>
      <c r="N810" s="641">
        <v>46221</v>
      </c>
      <c r="O810" s="641"/>
      <c r="P810" s="903" t="s">
        <v>100</v>
      </c>
      <c r="Q810" s="643"/>
      <c r="R810" s="903" t="s">
        <v>1549</v>
      </c>
      <c r="S810" s="925"/>
      <c r="T810" s="925"/>
      <c r="U810" s="903" t="s">
        <v>3386</v>
      </c>
      <c r="V810" s="926"/>
      <c r="W810" s="645"/>
      <c r="X810" s="938" t="s">
        <v>3387</v>
      </c>
      <c r="Y810" s="646" t="s">
        <v>3388</v>
      </c>
      <c r="Z810" s="683">
        <v>2.7752</v>
      </c>
      <c r="AA810" s="650">
        <f t="shared" si="444"/>
        <v>3327.4648</v>
      </c>
      <c r="AB810" s="649">
        <v>1199</v>
      </c>
      <c r="AC810" s="912">
        <f t="shared" si="445"/>
        <v>0</v>
      </c>
      <c r="AD810" s="955" t="s">
        <v>106</v>
      </c>
      <c r="AE810" s="637" t="s">
        <v>241</v>
      </c>
      <c r="AF810" s="935" t="s">
        <v>107</v>
      </c>
      <c r="AG810" s="652" t="s">
        <v>3244</v>
      </c>
      <c r="AH810" s="646"/>
      <c r="AI810" s="699"/>
      <c r="AJ810" s="744"/>
      <c r="AK810" s="744"/>
      <c r="AL810" s="744"/>
      <c r="AM810" s="652">
        <f>I810</f>
        <v>1199</v>
      </c>
      <c r="AN810" s="744"/>
      <c r="AO810" s="700"/>
      <c r="AP810" s="654"/>
      <c r="AQ810" s="658"/>
      <c r="AR810" s="919"/>
      <c r="AS810" s="915"/>
      <c r="AT810" s="919"/>
      <c r="AU810" s="644">
        <f t="shared" si="450"/>
        <v>1199</v>
      </c>
      <c r="AV810" s="654"/>
      <c r="AW810" s="700"/>
      <c r="AX810" s="700"/>
      <c r="AY810" s="652"/>
      <c r="AZ810" s="700"/>
      <c r="BA810" s="914"/>
      <c r="BB810" s="956">
        <f>I810/11</f>
        <v>109</v>
      </c>
      <c r="BC810" s="915"/>
      <c r="BD810" s="915"/>
      <c r="BE810" s="658"/>
      <c r="BF810" s="919"/>
      <c r="BG810" s="915"/>
      <c r="BH810" s="644"/>
      <c r="BI810" s="919"/>
      <c r="BJ810" s="920"/>
      <c r="BK810" s="920"/>
      <c r="BL810" s="887"/>
      <c r="BM810" s="887"/>
      <c r="BN810" s="887"/>
      <c r="BO810" s="887"/>
      <c r="BP810" s="920"/>
      <c r="BQ810" s="887"/>
      <c r="BR810" s="920"/>
      <c r="BS810" s="887"/>
      <c r="BT810" s="887"/>
      <c r="BU810" s="887"/>
      <c r="BV810" s="887"/>
      <c r="BW810" s="645" t="s">
        <v>109</v>
      </c>
      <c r="BX810" s="747">
        <f>I810/22*5</f>
        <v>272.5</v>
      </c>
      <c r="BY810" s="747">
        <f>I810/22*6</f>
        <v>327</v>
      </c>
      <c r="BZ810" s="747">
        <f>I810/22*6</f>
        <v>327</v>
      </c>
      <c r="CA810" s="747">
        <f>I810/22*5</f>
        <v>272.5</v>
      </c>
      <c r="CB810" s="747">
        <f t="shared" si="451"/>
        <v>1199</v>
      </c>
      <c r="CC810" s="747">
        <f>I810/11</f>
        <v>109</v>
      </c>
      <c r="CD810" s="747">
        <f t="shared" si="443"/>
        <v>1199</v>
      </c>
      <c r="CE810" s="747">
        <f>I810-CD810</f>
        <v>0</v>
      </c>
      <c r="CF810" s="917"/>
      <c r="XDR810" s="885"/>
      <c r="XDS810" s="885"/>
      <c r="XDT810" s="885"/>
      <c r="XDU810" s="885"/>
      <c r="XDV810" s="885"/>
      <c r="XDW810" s="885"/>
      <c r="XDX810" s="885"/>
      <c r="XDY810" s="885"/>
      <c r="XDZ810" s="885"/>
      <c r="XEA810" s="885"/>
      <c r="XEB810" s="885"/>
      <c r="XEC810" s="885"/>
      <c r="XED810" s="885"/>
      <c r="XEE810" s="885"/>
      <c r="XEF810" s="885"/>
      <c r="XEG810" s="885"/>
      <c r="XEH810" s="885"/>
      <c r="XEI810" s="885"/>
      <c r="XEJ810" s="888"/>
      <c r="XEK810" s="889"/>
      <c r="XEL810" s="890"/>
      <c r="XEM810" s="891"/>
      <c r="XEN810" s="892"/>
      <c r="XEO810" s="891"/>
      <c r="XEP810" s="893"/>
      <c r="XEQ810" s="893"/>
      <c r="XER810" s="894"/>
      <c r="XES810" s="894"/>
      <c r="XET810" s="895"/>
      <c r="XEU810" s="895"/>
      <c r="XEV810" s="896"/>
      <c r="XEW810" s="896"/>
      <c r="XEX810" s="896"/>
      <c r="XEY810" s="902"/>
      <c r="XEZ810" s="902"/>
      <c r="XFA810" s="902"/>
      <c r="XFB810" s="953"/>
      <c r="XFC810" s="902"/>
      <c r="XFD810" s="954"/>
    </row>
    <row r="811" s="338" customFormat="1" ht="40" customHeight="1" spans="1:84 16306:16384">
      <c r="A811" s="632">
        <v>46157</v>
      </c>
      <c r="B811" s="633" t="s">
        <v>1763</v>
      </c>
      <c r="C811" s="634" t="s">
        <v>617</v>
      </c>
      <c r="D811" s="635">
        <v>4500207581</v>
      </c>
      <c r="E811" s="666">
        <v>4400563562</v>
      </c>
      <c r="F811" s="635" t="s">
        <v>3389</v>
      </c>
      <c r="G811" s="637" t="s">
        <v>111</v>
      </c>
      <c r="H811" s="637" t="s">
        <v>99</v>
      </c>
      <c r="I811" s="638">
        <v>550</v>
      </c>
      <c r="J811" s="638">
        <v>0</v>
      </c>
      <c r="K811" s="639">
        <v>22</v>
      </c>
      <c r="L811" s="639">
        <f t="shared" si="442"/>
        <v>25</v>
      </c>
      <c r="M811" s="641">
        <v>46225</v>
      </c>
      <c r="N811" s="641">
        <v>46221</v>
      </c>
      <c r="O811" s="641"/>
      <c r="P811" s="903" t="s">
        <v>100</v>
      </c>
      <c r="Q811" s="643"/>
      <c r="R811" s="926" t="s">
        <v>3164</v>
      </c>
      <c r="S811" s="925"/>
      <c r="T811" s="925"/>
      <c r="U811" s="926" t="s">
        <v>3005</v>
      </c>
      <c r="V811" s="926"/>
      <c r="W811" s="645"/>
      <c r="X811" s="647" t="s">
        <v>3390</v>
      </c>
      <c r="Y811" s="646" t="s">
        <v>1864</v>
      </c>
      <c r="Z811" s="683">
        <v>2.7947</v>
      </c>
      <c r="AA811" s="650">
        <v>1537.085</v>
      </c>
      <c r="AB811" s="649">
        <v>550</v>
      </c>
      <c r="AC811" s="912">
        <f t="shared" si="445"/>
        <v>0</v>
      </c>
      <c r="AD811" s="906" t="s">
        <v>113</v>
      </c>
      <c r="AE811" s="661" t="s">
        <v>230</v>
      </c>
      <c r="AF811" s="747" t="s">
        <v>107</v>
      </c>
      <c r="AG811" s="652" t="s">
        <v>3244</v>
      </c>
      <c r="AH811" s="646"/>
      <c r="AI811" s="701"/>
      <c r="AJ811" s="649"/>
      <c r="AK811" s="652"/>
      <c r="AL811" s="652"/>
      <c r="AM811" s="652"/>
      <c r="AN811" s="652"/>
      <c r="AO811" s="652"/>
      <c r="AP811" s="652">
        <f>I811</f>
        <v>550</v>
      </c>
      <c r="AQ811" s="652"/>
      <c r="AR811" s="654"/>
      <c r="AS811" s="654"/>
      <c r="AT811" s="654"/>
      <c r="AU811" s="658">
        <f t="shared" si="450"/>
        <v>550</v>
      </c>
      <c r="AV811" s="644"/>
      <c r="AW811" s="658"/>
      <c r="AX811" s="644"/>
      <c r="AY811" s="644"/>
      <c r="AZ811" s="654"/>
      <c r="BA811" s="654"/>
      <c r="BB811" s="652">
        <f>I811/11</f>
        <v>50</v>
      </c>
      <c r="BC811" s="654"/>
      <c r="BD811" s="654"/>
      <c r="BE811" s="645"/>
      <c r="BF811" s="658">
        <v>125</v>
      </c>
      <c r="BG811" s="658">
        <v>150</v>
      </c>
      <c r="BH811" s="658"/>
      <c r="BI811" s="658"/>
      <c r="BJ811" s="644"/>
      <c r="BK811" s="658"/>
      <c r="BL811" s="644"/>
      <c r="BM811" s="644"/>
      <c r="BN811" s="887"/>
      <c r="BO811" s="887"/>
      <c r="BP811" s="918"/>
      <c r="BQ811" s="887"/>
      <c r="BR811" s="918"/>
      <c r="BS811" s="887"/>
      <c r="BT811" s="887"/>
      <c r="BU811" s="887"/>
      <c r="BV811" s="887"/>
      <c r="BW811" s="645" t="s">
        <v>109</v>
      </c>
      <c r="BX811" s="658">
        <f>I811/22*5</f>
        <v>125</v>
      </c>
      <c r="BY811" s="658">
        <f>I811/22*6</f>
        <v>150</v>
      </c>
      <c r="BZ811" s="658">
        <f>I811/22*6</f>
        <v>150</v>
      </c>
      <c r="CA811" s="658">
        <f>I811/22*5</f>
        <v>125</v>
      </c>
      <c r="CB811" s="644">
        <f t="shared" si="451"/>
        <v>550</v>
      </c>
      <c r="CC811" s="658">
        <f>I811/11</f>
        <v>50</v>
      </c>
      <c r="CD811" s="644">
        <f t="shared" si="443"/>
        <v>550</v>
      </c>
      <c r="CE811" s="659">
        <v>0</v>
      </c>
      <c r="CF811" s="917"/>
      <c r="XDV811" s="885"/>
      <c r="XDW811" s="885"/>
      <c r="XDX811" s="885"/>
      <c r="XDY811" s="885"/>
      <c r="XDZ811" s="885"/>
      <c r="XEA811" s="885"/>
      <c r="XEB811" s="885"/>
      <c r="XEC811" s="885"/>
      <c r="XED811" s="885"/>
      <c r="XEE811" s="885"/>
      <c r="XEF811" s="885"/>
      <c r="XEG811" s="885"/>
      <c r="XEH811" s="885"/>
      <c r="XEI811" s="885"/>
      <c r="XEJ811" s="885"/>
      <c r="XEK811" s="885"/>
      <c r="XEL811" s="885"/>
      <c r="XEM811" s="885"/>
      <c r="XEN811" s="885"/>
      <c r="XEO811" s="885"/>
      <c r="XEP811" s="885"/>
      <c r="XEQ811" s="885"/>
      <c r="XER811" s="885"/>
      <c r="XES811" s="885"/>
      <c r="XET811" s="885"/>
      <c r="XEU811" s="885"/>
      <c r="XEV811" s="885"/>
      <c r="XEW811" s="885"/>
      <c r="XEX811" s="885"/>
      <c r="XEY811" s="885"/>
      <c r="XEZ811" s="885"/>
      <c r="XFA811" s="885"/>
      <c r="XFB811" s="885"/>
      <c r="XFC811" s="885"/>
      <c r="XFD811" s="885"/>
    </row>
    <row r="812" s="338" customFormat="1" ht="40" customHeight="1" spans="1:84 16306:16384">
      <c r="A812" s="632">
        <v>46185</v>
      </c>
      <c r="B812" s="633" t="s">
        <v>3391</v>
      </c>
      <c r="C812" s="634" t="s">
        <v>144</v>
      </c>
      <c r="D812" s="635" t="s">
        <v>3392</v>
      </c>
      <c r="E812" s="661" t="s">
        <v>3393</v>
      </c>
      <c r="F812" s="636" t="s">
        <v>3394</v>
      </c>
      <c r="G812" s="637" t="s">
        <v>111</v>
      </c>
      <c r="H812" s="637" t="s">
        <v>99</v>
      </c>
      <c r="I812" s="638">
        <v>440</v>
      </c>
      <c r="J812" s="638">
        <v>0</v>
      </c>
      <c r="K812" s="639">
        <v>22</v>
      </c>
      <c r="L812" s="640">
        <f t="shared" si="442"/>
        <v>20</v>
      </c>
      <c r="M812" s="641">
        <v>46220</v>
      </c>
      <c r="N812" s="886">
        <v>46216</v>
      </c>
      <c r="O812" s="903"/>
      <c r="P812" s="903" t="s">
        <v>100</v>
      </c>
      <c r="Q812" s="643" t="s">
        <v>3395</v>
      </c>
      <c r="R812" s="934" t="s">
        <v>3396</v>
      </c>
      <c r="S812" s="926"/>
      <c r="T812" s="926"/>
      <c r="U812" s="934" t="s">
        <v>3397</v>
      </c>
      <c r="V812" s="946"/>
      <c r="W812" s="685" t="s">
        <v>3398</v>
      </c>
      <c r="X812" s="647" t="s">
        <v>3399</v>
      </c>
      <c r="Y812" s="639" t="s">
        <v>3400</v>
      </c>
      <c r="Z812" s="897">
        <v>2.7947</v>
      </c>
      <c r="AA812" s="649">
        <f>I812*Z812</f>
        <v>1229.668</v>
      </c>
      <c r="AB812" s="649">
        <v>440</v>
      </c>
      <c r="AC812" s="912">
        <f t="shared" si="445"/>
        <v>0</v>
      </c>
      <c r="AD812" s="906" t="s">
        <v>106</v>
      </c>
      <c r="AE812" s="661" t="s">
        <v>230</v>
      </c>
      <c r="AF812" s="935" t="s">
        <v>107</v>
      </c>
      <c r="AG812" s="652" t="s">
        <v>3244</v>
      </c>
      <c r="AH812" s="646"/>
      <c r="AI812" s="882"/>
      <c r="AJ812" s="899"/>
      <c r="AK812" s="882"/>
      <c r="AL812" s="882"/>
      <c r="AM812" s="658"/>
      <c r="AN812" s="883"/>
      <c r="AO812" s="694"/>
      <c r="AP812" s="652">
        <f>I812</f>
        <v>440</v>
      </c>
      <c r="AQ812" s="747"/>
      <c r="AR812" s="957"/>
      <c r="AS812" s="898"/>
      <c r="AT812" s="898"/>
      <c r="AU812" s="652">
        <f t="shared" si="450"/>
        <v>440</v>
      </c>
      <c r="AV812" s="654"/>
      <c r="AW812" s="694"/>
      <c r="AX812" s="694"/>
      <c r="AY812" s="654"/>
      <c r="AZ812" s="694"/>
      <c r="BA812" s="923"/>
      <c r="BB812" s="747">
        <f>I812/11</f>
        <v>40</v>
      </c>
      <c r="BC812" s="957"/>
      <c r="BD812" s="957"/>
      <c r="BE812" s="747"/>
      <c r="BF812" s="957"/>
      <c r="BG812" s="957"/>
      <c r="BH812" s="747"/>
      <c r="BI812" s="957"/>
      <c r="BJ812" s="899"/>
      <c r="BK812" s="899"/>
      <c r="BL812" s="887"/>
      <c r="BM812" s="887"/>
      <c r="BN812" s="887"/>
      <c r="BO812" s="887"/>
      <c r="BP812" s="899"/>
      <c r="BQ812" s="887"/>
      <c r="BR812" s="899"/>
      <c r="BS812" s="887"/>
      <c r="BT812" s="887"/>
      <c r="BU812" s="887"/>
      <c r="BV812" s="887"/>
      <c r="BW812" s="685" t="s">
        <v>109</v>
      </c>
      <c r="BX812" s="747">
        <f>I812/22*5</f>
        <v>100</v>
      </c>
      <c r="BY812" s="747">
        <f>I812/22*6</f>
        <v>120</v>
      </c>
      <c r="BZ812" s="747">
        <f>I812/22*6</f>
        <v>120</v>
      </c>
      <c r="CA812" s="747">
        <f>I812/22*5</f>
        <v>100</v>
      </c>
      <c r="CB812" s="747">
        <f t="shared" si="451"/>
        <v>440</v>
      </c>
      <c r="CC812" s="747">
        <f>I812/11</f>
        <v>40</v>
      </c>
      <c r="CD812" s="747">
        <f t="shared" si="443"/>
        <v>440</v>
      </c>
      <c r="CE812" s="747">
        <v>0</v>
      </c>
      <c r="CF812" s="917"/>
      <c r="XDR812" s="885"/>
      <c r="XDS812" s="885"/>
      <c r="XDT812" s="888"/>
      <c r="XDU812" s="889"/>
      <c r="XDV812" s="890"/>
      <c r="XDW812" s="891"/>
      <c r="XDX812" s="949"/>
      <c r="XDY812" s="901"/>
      <c r="XDZ812" s="893"/>
      <c r="XEA812" s="893"/>
      <c r="XEB812" s="894"/>
      <c r="XEC812" s="894"/>
      <c r="XED812" s="895"/>
      <c r="XEE812" s="950"/>
      <c r="XEF812" s="896"/>
      <c r="XEG812" s="896"/>
      <c r="XEH812" s="902"/>
      <c r="XEI812" s="902"/>
      <c r="XEJ812" s="888"/>
      <c r="XEK812" s="889"/>
      <c r="XEL812" s="890"/>
      <c r="XEM812" s="891"/>
      <c r="XEN812" s="949"/>
      <c r="XEO812" s="901"/>
      <c r="XEP812" s="893"/>
      <c r="XEQ812" s="893"/>
      <c r="XER812" s="894"/>
      <c r="XES812" s="894"/>
      <c r="XET812" s="895"/>
      <c r="XEU812" s="950"/>
      <c r="XEV812" s="896"/>
      <c r="XEW812" s="896"/>
      <c r="XEX812" s="902"/>
      <c r="XEY812" s="902"/>
      <c r="XEZ812" s="902"/>
      <c r="XFA812" s="954"/>
      <c r="XFB812" s="954"/>
      <c r="XFC812" s="954"/>
      <c r="XFD812" s="958"/>
    </row>
    <row r="813" s="338" customFormat="1" ht="40" customHeight="1" spans="1:84 16306:16384">
      <c r="A813" s="632">
        <v>46185</v>
      </c>
      <c r="B813" s="633" t="s">
        <v>3391</v>
      </c>
      <c r="C813" s="634" t="s">
        <v>144</v>
      </c>
      <c r="D813" s="635" t="s">
        <v>3392</v>
      </c>
      <c r="E813" s="661" t="s">
        <v>3401</v>
      </c>
      <c r="F813" s="636" t="s">
        <v>3402</v>
      </c>
      <c r="G813" s="637" t="s">
        <v>111</v>
      </c>
      <c r="H813" s="637" t="s">
        <v>99</v>
      </c>
      <c r="I813" s="638">
        <v>374</v>
      </c>
      <c r="J813" s="638">
        <v>0</v>
      </c>
      <c r="K813" s="639">
        <v>22</v>
      </c>
      <c r="L813" s="640">
        <f t="shared" si="442"/>
        <v>17</v>
      </c>
      <c r="M813" s="641">
        <v>46220</v>
      </c>
      <c r="N813" s="886">
        <v>46216</v>
      </c>
      <c r="O813" s="903"/>
      <c r="P813" s="903" t="s">
        <v>100</v>
      </c>
      <c r="Q813" s="643" t="s">
        <v>3403</v>
      </c>
      <c r="R813" s="934" t="s">
        <v>3396</v>
      </c>
      <c r="S813" s="926"/>
      <c r="T813" s="926"/>
      <c r="U813" s="934" t="s">
        <v>3397</v>
      </c>
      <c r="V813" s="946"/>
      <c r="W813" s="685" t="s">
        <v>3398</v>
      </c>
      <c r="X813" s="647" t="s">
        <v>3399</v>
      </c>
      <c r="Y813" s="639" t="s">
        <v>3400</v>
      </c>
      <c r="Z813" s="897">
        <v>2.7947</v>
      </c>
      <c r="AA813" s="649">
        <f>I813*Z813</f>
        <v>1045.2178</v>
      </c>
      <c r="AB813" s="649">
        <v>374</v>
      </c>
      <c r="AC813" s="912">
        <f t="shared" si="445"/>
        <v>0</v>
      </c>
      <c r="AD813" s="906" t="s">
        <v>106</v>
      </c>
      <c r="AE813" s="661" t="s">
        <v>230</v>
      </c>
      <c r="AF813" s="935" t="s">
        <v>107</v>
      </c>
      <c r="AG813" s="652" t="s">
        <v>3244</v>
      </c>
      <c r="AH813" s="646"/>
      <c r="AI813" s="882"/>
      <c r="AJ813" s="899"/>
      <c r="AK813" s="882"/>
      <c r="AL813" s="882"/>
      <c r="AM813" s="658"/>
      <c r="AN813" s="883"/>
      <c r="AO813" s="694"/>
      <c r="AP813" s="652">
        <f>I813</f>
        <v>374</v>
      </c>
      <c r="AQ813" s="747"/>
      <c r="AR813" s="957"/>
      <c r="AS813" s="898"/>
      <c r="AT813" s="898"/>
      <c r="AU813" s="652">
        <f t="shared" si="450"/>
        <v>374</v>
      </c>
      <c r="AV813" s="654"/>
      <c r="AW813" s="694"/>
      <c r="AX813" s="694"/>
      <c r="AY813" s="654"/>
      <c r="AZ813" s="694"/>
      <c r="BA813" s="923"/>
      <c r="BB813" s="747">
        <f>I813/11</f>
        <v>34</v>
      </c>
      <c r="BC813" s="957"/>
      <c r="BD813" s="957"/>
      <c r="BE813" s="747"/>
      <c r="BF813" s="957"/>
      <c r="BG813" s="957"/>
      <c r="BH813" s="747"/>
      <c r="BI813" s="957"/>
      <c r="BJ813" s="899"/>
      <c r="BK813" s="899"/>
      <c r="BL813" s="887"/>
      <c r="BM813" s="887"/>
      <c r="BN813" s="887"/>
      <c r="BO813" s="887"/>
      <c r="BP813" s="899"/>
      <c r="BQ813" s="887"/>
      <c r="BR813" s="899"/>
      <c r="BS813" s="887"/>
      <c r="BT813" s="887"/>
      <c r="BU813" s="887"/>
      <c r="BV813" s="887"/>
      <c r="BW813" s="685" t="s">
        <v>109</v>
      </c>
      <c r="BX813" s="747">
        <f>I813/22*5</f>
        <v>85</v>
      </c>
      <c r="BY813" s="747">
        <f>I813/22*6</f>
        <v>102</v>
      </c>
      <c r="BZ813" s="747">
        <f>I813/22*6</f>
        <v>102</v>
      </c>
      <c r="CA813" s="747">
        <f>I813/22*5</f>
        <v>85</v>
      </c>
      <c r="CB813" s="747">
        <f t="shared" si="451"/>
        <v>374</v>
      </c>
      <c r="CC813" s="747">
        <f>I813/11</f>
        <v>34</v>
      </c>
      <c r="CD813" s="747">
        <f t="shared" si="443"/>
        <v>374</v>
      </c>
      <c r="CE813" s="747">
        <v>0</v>
      </c>
      <c r="CF813" s="917"/>
      <c r="XDR813" s="885"/>
      <c r="XDS813" s="885"/>
      <c r="XDT813" s="888"/>
      <c r="XDU813" s="889"/>
      <c r="XDV813" s="890"/>
      <c r="XDW813" s="891"/>
      <c r="XDX813" s="949"/>
      <c r="XDY813" s="901"/>
      <c r="XDZ813" s="893"/>
      <c r="XEA813" s="893"/>
      <c r="XEB813" s="894"/>
      <c r="XEC813" s="894"/>
      <c r="XED813" s="895"/>
      <c r="XEE813" s="950"/>
      <c r="XEF813" s="896"/>
      <c r="XEG813" s="896"/>
      <c r="XEH813" s="902"/>
      <c r="XEI813" s="902"/>
      <c r="XEJ813" s="888"/>
      <c r="XEK813" s="889"/>
      <c r="XEL813" s="890"/>
      <c r="XEM813" s="891"/>
      <c r="XEN813" s="949"/>
      <c r="XEO813" s="901"/>
      <c r="XEP813" s="893"/>
      <c r="XEQ813" s="893"/>
      <c r="XER813" s="894"/>
      <c r="XES813" s="894"/>
      <c r="XET813" s="895"/>
      <c r="XEU813" s="950"/>
      <c r="XEV813" s="896"/>
      <c r="XEW813" s="896"/>
      <c r="XEX813" s="902"/>
      <c r="XEY813" s="902"/>
      <c r="XEZ813" s="902"/>
      <c r="XFA813" s="954"/>
      <c r="XFB813" s="954"/>
      <c r="XFC813" s="954"/>
      <c r="XFD813" s="958"/>
    </row>
    <row r="814" s="338" customFormat="1" ht="40" customHeight="1" spans="1:84 16306:16384">
      <c r="A814" s="632">
        <v>46171</v>
      </c>
      <c r="B814" s="633" t="s">
        <v>3323</v>
      </c>
      <c r="C814" s="634" t="s">
        <v>178</v>
      </c>
      <c r="D814" s="933">
        <v>4500208740</v>
      </c>
      <c r="E814" s="659" t="s">
        <v>3404</v>
      </c>
      <c r="F814" s="635" t="s">
        <v>3405</v>
      </c>
      <c r="G814" s="637" t="s">
        <v>159</v>
      </c>
      <c r="H814" s="637" t="s">
        <v>99</v>
      </c>
      <c r="I814" s="638">
        <v>312</v>
      </c>
      <c r="J814" s="638">
        <v>0</v>
      </c>
      <c r="K814" s="639">
        <v>24</v>
      </c>
      <c r="L814" s="639">
        <f t="shared" si="442"/>
        <v>13</v>
      </c>
      <c r="M814" s="641">
        <v>46225</v>
      </c>
      <c r="N814" s="641">
        <v>46221</v>
      </c>
      <c r="O814" s="641"/>
      <c r="P814" s="903" t="s">
        <v>100</v>
      </c>
      <c r="Q814" s="643" t="s">
        <v>3358</v>
      </c>
      <c r="R814" s="934" t="s">
        <v>3201</v>
      </c>
      <c r="S814" s="925"/>
      <c r="T814" s="925"/>
      <c r="U814" s="934" t="s">
        <v>493</v>
      </c>
      <c r="V814" s="934" t="s">
        <v>3406</v>
      </c>
      <c r="W814" s="645"/>
      <c r="X814" s="647" t="s">
        <v>3407</v>
      </c>
      <c r="Y814" s="646" t="s">
        <v>3361</v>
      </c>
      <c r="Z814" s="683">
        <v>2.6389</v>
      </c>
      <c r="AA814" s="650">
        <f>I814*Z814</f>
        <v>823.3368</v>
      </c>
      <c r="AB814" s="649">
        <v>312</v>
      </c>
      <c r="AC814" s="912">
        <f t="shared" ref="AC813:AC823" si="452">AB814-I814</f>
        <v>0</v>
      </c>
      <c r="AD814" s="942" t="s">
        <v>106</v>
      </c>
      <c r="AE814" s="661" t="s">
        <v>166</v>
      </c>
      <c r="AF814" s="935" t="s">
        <v>107</v>
      </c>
      <c r="AG814" s="652" t="s">
        <v>3244</v>
      </c>
      <c r="AH814" s="646"/>
      <c r="AI814" s="699"/>
      <c r="AJ814" s="699"/>
      <c r="AK814" s="699"/>
      <c r="AL814" s="913"/>
      <c r="AM814" s="649"/>
      <c r="AN814" s="699"/>
      <c r="AO814" s="744"/>
      <c r="AP814" s="947">
        <f t="shared" ref="AP814:AP822" si="453">I814</f>
        <v>312</v>
      </c>
      <c r="AQ814" s="652"/>
      <c r="AR814" s="744"/>
      <c r="AS814" s="744"/>
      <c r="AT814" s="744"/>
      <c r="AU814" s="959">
        <f t="shared" ref="AU814:AU822" si="454">I814</f>
        <v>312</v>
      </c>
      <c r="AV814" s="652"/>
      <c r="AW814" s="744"/>
      <c r="AX814" s="744"/>
      <c r="AY814" s="652"/>
      <c r="AZ814" s="700"/>
      <c r="BA814" s="700"/>
      <c r="BB814" s="654"/>
      <c r="BC814" s="700"/>
      <c r="BD814" s="700"/>
      <c r="BE814" s="654"/>
      <c r="BF814" s="700"/>
      <c r="BG814" s="914"/>
      <c r="BH814" s="658"/>
      <c r="BI814" s="915"/>
      <c r="BJ814" s="915"/>
      <c r="BK814" s="915"/>
      <c r="BL814" s="644"/>
      <c r="BM814" s="658"/>
      <c r="BN814" s="644"/>
      <c r="BO814" s="644"/>
      <c r="BP814" s="916"/>
      <c r="BQ814" s="654"/>
      <c r="BR814" s="700"/>
      <c r="BS814" s="654"/>
      <c r="BT814" s="654"/>
      <c r="BU814" s="654"/>
      <c r="BV814" s="654"/>
      <c r="BW814" s="946" t="s">
        <v>109</v>
      </c>
      <c r="BX814" s="658"/>
      <c r="BY814" s="658">
        <f>I814</f>
        <v>312</v>
      </c>
      <c r="BZ814" s="658"/>
      <c r="CA814" s="658"/>
      <c r="CB814" s="644">
        <f t="shared" si="451"/>
        <v>312</v>
      </c>
      <c r="CC814" s="658"/>
      <c r="CD814" s="644">
        <f t="shared" si="443"/>
        <v>312</v>
      </c>
      <c r="CE814" s="747">
        <v>0</v>
      </c>
      <c r="XEN814" s="885"/>
      <c r="XEO814" s="885"/>
      <c r="XEP814" s="885"/>
      <c r="XEQ814" s="885"/>
      <c r="XER814" s="885"/>
      <c r="XES814" s="885"/>
      <c r="XET814" s="885"/>
      <c r="XEU814" s="885"/>
      <c r="XEV814" s="885"/>
      <c r="XEW814" s="885"/>
      <c r="XEX814" s="885"/>
      <c r="XEY814" s="885"/>
      <c r="XEZ814" s="885"/>
      <c r="XFA814" s="885"/>
      <c r="XFB814" s="885"/>
      <c r="XFC814" s="885"/>
      <c r="XFD814" s="885"/>
    </row>
    <row r="815" s="338" customFormat="1" ht="40" customHeight="1" spans="1:84 16306:16384">
      <c r="A815" s="632">
        <v>46171</v>
      </c>
      <c r="B815" s="633" t="s">
        <v>3323</v>
      </c>
      <c r="C815" s="634" t="s">
        <v>178</v>
      </c>
      <c r="D815" s="933">
        <v>4500208740</v>
      </c>
      <c r="E815" s="659" t="s">
        <v>3408</v>
      </c>
      <c r="F815" s="635" t="s">
        <v>3409</v>
      </c>
      <c r="G815" s="637" t="s">
        <v>189</v>
      </c>
      <c r="H815" s="637" t="s">
        <v>99</v>
      </c>
      <c r="I815" s="638">
        <v>48</v>
      </c>
      <c r="J815" s="638">
        <v>0</v>
      </c>
      <c r="K815" s="639">
        <v>24</v>
      </c>
      <c r="L815" s="909">
        <f t="shared" ref="L815:L878" si="455">I815/K815</f>
        <v>2</v>
      </c>
      <c r="M815" s="641">
        <v>46225</v>
      </c>
      <c r="N815" s="641">
        <v>46221</v>
      </c>
      <c r="O815" s="641"/>
      <c r="P815" s="903" t="s">
        <v>100</v>
      </c>
      <c r="Q815" s="643" t="s">
        <v>3358</v>
      </c>
      <c r="R815" s="934" t="s">
        <v>3201</v>
      </c>
      <c r="S815" s="925"/>
      <c r="T815" s="925"/>
      <c r="U815" s="934" t="s">
        <v>493</v>
      </c>
      <c r="V815" s="934" t="s">
        <v>3406</v>
      </c>
      <c r="W815" s="645"/>
      <c r="X815" s="647" t="s">
        <v>3407</v>
      </c>
      <c r="Y815" s="646" t="s">
        <v>3361</v>
      </c>
      <c r="Z815" s="683">
        <v>2.6389</v>
      </c>
      <c r="AA815" s="960">
        <f t="shared" ref="AA814:AA862" si="456">I815*Z815</f>
        <v>126.6672</v>
      </c>
      <c r="AB815" s="649">
        <v>48</v>
      </c>
      <c r="AC815" s="912">
        <f t="shared" si="452"/>
        <v>0</v>
      </c>
      <c r="AD815" s="942" t="s">
        <v>106</v>
      </c>
      <c r="AE815" s="637" t="s">
        <v>190</v>
      </c>
      <c r="AF815" s="935" t="s">
        <v>107</v>
      </c>
      <c r="AG815" s="652" t="s">
        <v>3244</v>
      </c>
      <c r="AH815" s="646"/>
      <c r="AI815" s="699"/>
      <c r="AJ815" s="699"/>
      <c r="AK815" s="699"/>
      <c r="AL815" s="913"/>
      <c r="AM815" s="649"/>
      <c r="AN815" s="699"/>
      <c r="AO815" s="744"/>
      <c r="AP815" s="947">
        <f t="shared" si="453"/>
        <v>48</v>
      </c>
      <c r="AQ815" s="652"/>
      <c r="AR815" s="744"/>
      <c r="AS815" s="744"/>
      <c r="AT815" s="744"/>
      <c r="AU815" s="959">
        <f t="shared" si="454"/>
        <v>48</v>
      </c>
      <c r="AV815" s="652"/>
      <c r="AW815" s="744"/>
      <c r="AX815" s="744"/>
      <c r="AY815" s="652"/>
      <c r="AZ815" s="700"/>
      <c r="BA815" s="700"/>
      <c r="BB815" s="654"/>
      <c r="BC815" s="700"/>
      <c r="BD815" s="700"/>
      <c r="BE815" s="654"/>
      <c r="BF815" s="700"/>
      <c r="BG815" s="914"/>
      <c r="BH815" s="658"/>
      <c r="BI815" s="915"/>
      <c r="BJ815" s="915"/>
      <c r="BK815" s="915"/>
      <c r="BL815" s="644"/>
      <c r="BM815" s="658"/>
      <c r="BN815" s="644"/>
      <c r="BO815" s="644"/>
      <c r="BP815" s="916"/>
      <c r="BQ815" s="654"/>
      <c r="BR815" s="700"/>
      <c r="BS815" s="654"/>
      <c r="BT815" s="654"/>
      <c r="BU815" s="654"/>
      <c r="BV815" s="654"/>
      <c r="BW815" s="946" t="s">
        <v>109</v>
      </c>
      <c r="BX815" s="658"/>
      <c r="BY815" s="959"/>
      <c r="BZ815" s="959"/>
      <c r="CA815" s="959">
        <f t="shared" ref="CA815:CA822" si="457">I815</f>
        <v>48</v>
      </c>
      <c r="CB815" s="659">
        <f t="shared" ref="CB815:CB822" si="458">I815</f>
        <v>48</v>
      </c>
      <c r="CC815" s="959"/>
      <c r="CD815" s="659">
        <f t="shared" ref="CD815:CD822" si="459">SUM(BX815:CA815)</f>
        <v>48</v>
      </c>
      <c r="CE815" s="659">
        <f t="shared" ref="CE815:CE822" si="460">I815-CD815</f>
        <v>0</v>
      </c>
      <c r="CF815" s="917"/>
      <c r="XEN815" s="885"/>
      <c r="XEO815" s="885"/>
      <c r="XEP815" s="885"/>
      <c r="XEQ815" s="885"/>
      <c r="XER815" s="885"/>
      <c r="XES815" s="885"/>
      <c r="XET815" s="885"/>
      <c r="XEU815" s="885"/>
      <c r="XEV815" s="885"/>
      <c r="XEW815" s="885"/>
      <c r="XEX815" s="885"/>
      <c r="XEY815" s="885"/>
      <c r="XEZ815" s="885"/>
      <c r="XFA815" s="885"/>
      <c r="XFB815" s="885"/>
      <c r="XFC815" s="885"/>
      <c r="XFD815" s="885"/>
    </row>
    <row r="816" s="338" customFormat="1" ht="40" customHeight="1" spans="1:84 16306:16384">
      <c r="A816" s="632">
        <v>46171</v>
      </c>
      <c r="B816" s="633" t="s">
        <v>3323</v>
      </c>
      <c r="C816" s="634" t="s">
        <v>178</v>
      </c>
      <c r="D816" s="933">
        <v>4500208740</v>
      </c>
      <c r="E816" s="659" t="s">
        <v>3410</v>
      </c>
      <c r="F816" s="635" t="s">
        <v>3411</v>
      </c>
      <c r="G816" s="637" t="s">
        <v>189</v>
      </c>
      <c r="H816" s="637" t="s">
        <v>99</v>
      </c>
      <c r="I816" s="638">
        <v>24</v>
      </c>
      <c r="J816" s="638">
        <v>0</v>
      </c>
      <c r="K816" s="639">
        <v>24</v>
      </c>
      <c r="L816" s="909">
        <f t="shared" si="455"/>
        <v>1</v>
      </c>
      <c r="M816" s="641">
        <v>46225</v>
      </c>
      <c r="N816" s="641">
        <v>46221</v>
      </c>
      <c r="O816" s="641"/>
      <c r="P816" s="903" t="s">
        <v>100</v>
      </c>
      <c r="Q816" s="643" t="s">
        <v>3358</v>
      </c>
      <c r="R816" s="934" t="s">
        <v>3201</v>
      </c>
      <c r="S816" s="925"/>
      <c r="T816" s="925"/>
      <c r="U816" s="934" t="s">
        <v>493</v>
      </c>
      <c r="V816" s="934" t="s">
        <v>3406</v>
      </c>
      <c r="W816" s="645"/>
      <c r="X816" s="647" t="s">
        <v>3407</v>
      </c>
      <c r="Y816" s="646" t="s">
        <v>3361</v>
      </c>
      <c r="Z816" s="683">
        <v>2.6389</v>
      </c>
      <c r="AA816" s="960">
        <f t="shared" si="456"/>
        <v>63.3336</v>
      </c>
      <c r="AB816" s="649">
        <v>24</v>
      </c>
      <c r="AC816" s="912">
        <f t="shared" si="452"/>
        <v>0</v>
      </c>
      <c r="AD816" s="942" t="s">
        <v>106</v>
      </c>
      <c r="AE816" s="637" t="s">
        <v>190</v>
      </c>
      <c r="AF816" s="935" t="s">
        <v>107</v>
      </c>
      <c r="AG816" s="652" t="s">
        <v>3244</v>
      </c>
      <c r="AH816" s="646"/>
      <c r="AI816" s="699"/>
      <c r="AJ816" s="699"/>
      <c r="AK816" s="699"/>
      <c r="AL816" s="913"/>
      <c r="AM816" s="649"/>
      <c r="AN816" s="699"/>
      <c r="AO816" s="744"/>
      <c r="AP816" s="947">
        <f t="shared" si="453"/>
        <v>24</v>
      </c>
      <c r="AQ816" s="652"/>
      <c r="AR816" s="744"/>
      <c r="AS816" s="744"/>
      <c r="AT816" s="744"/>
      <c r="AU816" s="959">
        <f t="shared" si="454"/>
        <v>24</v>
      </c>
      <c r="AV816" s="652"/>
      <c r="AW816" s="744"/>
      <c r="AX816" s="744"/>
      <c r="AY816" s="652"/>
      <c r="AZ816" s="700"/>
      <c r="BA816" s="700"/>
      <c r="BB816" s="654"/>
      <c r="BC816" s="700"/>
      <c r="BD816" s="700"/>
      <c r="BE816" s="654"/>
      <c r="BF816" s="700"/>
      <c r="BG816" s="914"/>
      <c r="BH816" s="658"/>
      <c r="BI816" s="915"/>
      <c r="BJ816" s="915"/>
      <c r="BK816" s="915"/>
      <c r="BL816" s="644"/>
      <c r="BM816" s="658"/>
      <c r="BN816" s="644"/>
      <c r="BO816" s="644"/>
      <c r="BP816" s="916"/>
      <c r="BQ816" s="654"/>
      <c r="BR816" s="700"/>
      <c r="BS816" s="654"/>
      <c r="BT816" s="654"/>
      <c r="BU816" s="654"/>
      <c r="BV816" s="654"/>
      <c r="BW816" s="946" t="s">
        <v>109</v>
      </c>
      <c r="BX816" s="658"/>
      <c r="BY816" s="959"/>
      <c r="BZ816" s="959"/>
      <c r="CA816" s="959">
        <f t="shared" si="457"/>
        <v>24</v>
      </c>
      <c r="CB816" s="659">
        <f t="shared" si="458"/>
        <v>24</v>
      </c>
      <c r="CC816" s="959"/>
      <c r="CD816" s="659">
        <f t="shared" si="459"/>
        <v>24</v>
      </c>
      <c r="CE816" s="659">
        <f t="shared" si="460"/>
        <v>0</v>
      </c>
      <c r="CF816" s="917"/>
      <c r="XEN816" s="885"/>
      <c r="XEO816" s="885"/>
      <c r="XEP816" s="885"/>
      <c r="XEQ816" s="885"/>
      <c r="XER816" s="885"/>
      <c r="XES816" s="885"/>
      <c r="XET816" s="885"/>
      <c r="XEU816" s="885"/>
      <c r="XEV816" s="885"/>
      <c r="XEW816" s="885"/>
      <c r="XEX816" s="885"/>
      <c r="XEY816" s="885"/>
      <c r="XEZ816" s="885"/>
      <c r="XFA816" s="885"/>
      <c r="XFB816" s="885"/>
      <c r="XFC816" s="885"/>
      <c r="XFD816" s="885"/>
    </row>
    <row r="817" s="338" customFormat="1" ht="40" customHeight="1" spans="1:84 16368:16384">
      <c r="A817" s="632">
        <v>46171</v>
      </c>
      <c r="B817" s="633" t="s">
        <v>3323</v>
      </c>
      <c r="C817" s="634" t="s">
        <v>178</v>
      </c>
      <c r="D817" s="933">
        <v>4500208740</v>
      </c>
      <c r="E817" s="659" t="s">
        <v>3412</v>
      </c>
      <c r="F817" s="635" t="s">
        <v>3413</v>
      </c>
      <c r="G817" s="637" t="s">
        <v>189</v>
      </c>
      <c r="H817" s="637" t="s">
        <v>99</v>
      </c>
      <c r="I817" s="638">
        <v>24</v>
      </c>
      <c r="J817" s="638">
        <v>0</v>
      </c>
      <c r="K817" s="639">
        <v>24</v>
      </c>
      <c r="L817" s="909">
        <f t="shared" si="455"/>
        <v>1</v>
      </c>
      <c r="M817" s="641">
        <v>46225</v>
      </c>
      <c r="N817" s="641">
        <v>46221</v>
      </c>
      <c r="O817" s="641"/>
      <c r="P817" s="903" t="s">
        <v>100</v>
      </c>
      <c r="Q817" s="643" t="s">
        <v>3358</v>
      </c>
      <c r="R817" s="934" t="s">
        <v>3201</v>
      </c>
      <c r="S817" s="925"/>
      <c r="T817" s="925"/>
      <c r="U817" s="934" t="s">
        <v>493</v>
      </c>
      <c r="V817" s="934" t="s">
        <v>3406</v>
      </c>
      <c r="W817" s="645"/>
      <c r="X817" s="647" t="s">
        <v>3407</v>
      </c>
      <c r="Y817" s="646" t="s">
        <v>3361</v>
      </c>
      <c r="Z817" s="683">
        <v>2.6389</v>
      </c>
      <c r="AA817" s="960">
        <f t="shared" si="456"/>
        <v>63.3336</v>
      </c>
      <c r="AB817" s="649">
        <v>24</v>
      </c>
      <c r="AC817" s="912">
        <f t="shared" si="452"/>
        <v>0</v>
      </c>
      <c r="AD817" s="942" t="s">
        <v>106</v>
      </c>
      <c r="AE817" s="637" t="s">
        <v>190</v>
      </c>
      <c r="AF817" s="935" t="s">
        <v>107</v>
      </c>
      <c r="AG817" s="652" t="s">
        <v>3244</v>
      </c>
      <c r="AH817" s="646"/>
      <c r="AI817" s="699"/>
      <c r="AJ817" s="699"/>
      <c r="AK817" s="699"/>
      <c r="AL817" s="913"/>
      <c r="AM817" s="649"/>
      <c r="AN817" s="699"/>
      <c r="AO817" s="744"/>
      <c r="AP817" s="947">
        <f t="shared" si="453"/>
        <v>24</v>
      </c>
      <c r="AQ817" s="652"/>
      <c r="AR817" s="744"/>
      <c r="AS817" s="744"/>
      <c r="AT817" s="744"/>
      <c r="AU817" s="959">
        <f t="shared" si="454"/>
        <v>24</v>
      </c>
      <c r="AV817" s="652"/>
      <c r="AW817" s="744"/>
      <c r="AX817" s="744"/>
      <c r="AY817" s="652"/>
      <c r="AZ817" s="700"/>
      <c r="BA817" s="700"/>
      <c r="BB817" s="654"/>
      <c r="BC817" s="700"/>
      <c r="BD817" s="700"/>
      <c r="BE817" s="654"/>
      <c r="BF817" s="700"/>
      <c r="BG817" s="914"/>
      <c r="BH817" s="658"/>
      <c r="BI817" s="915"/>
      <c r="BJ817" s="915"/>
      <c r="BK817" s="915"/>
      <c r="BL817" s="644"/>
      <c r="BM817" s="658"/>
      <c r="BN817" s="644"/>
      <c r="BO817" s="644"/>
      <c r="BP817" s="916"/>
      <c r="BQ817" s="654"/>
      <c r="BR817" s="700"/>
      <c r="BS817" s="654"/>
      <c r="BT817" s="654"/>
      <c r="BU817" s="654"/>
      <c r="BV817" s="654"/>
      <c r="BW817" s="946" t="s">
        <v>109</v>
      </c>
      <c r="BX817" s="658"/>
      <c r="BY817" s="959"/>
      <c r="BZ817" s="959"/>
      <c r="CA817" s="959">
        <f t="shared" si="457"/>
        <v>24</v>
      </c>
      <c r="CB817" s="659">
        <f t="shared" si="458"/>
        <v>24</v>
      </c>
      <c r="CC817" s="959"/>
      <c r="CD817" s="659">
        <f t="shared" si="459"/>
        <v>24</v>
      </c>
      <c r="CE817" s="659">
        <f t="shared" si="460"/>
        <v>0</v>
      </c>
      <c r="CF817" s="917"/>
      <c r="XEN817" s="885"/>
      <c r="XEO817" s="885"/>
      <c r="XEP817" s="885"/>
      <c r="XEQ817" s="885"/>
      <c r="XER817" s="885"/>
      <c r="XES817" s="885"/>
      <c r="XET817" s="885"/>
      <c r="XEU817" s="885"/>
      <c r="XEV817" s="885"/>
      <c r="XEW817" s="885"/>
      <c r="XEX817" s="885"/>
      <c r="XEY817" s="885"/>
      <c r="XEZ817" s="885"/>
      <c r="XFA817" s="885"/>
      <c r="XFB817" s="885"/>
      <c r="XFC817" s="885"/>
      <c r="XFD817" s="885"/>
    </row>
    <row r="818" s="338" customFormat="1" ht="40" customHeight="1" spans="1:84 16368:16384">
      <c r="A818" s="632">
        <v>46171</v>
      </c>
      <c r="B818" s="633" t="s">
        <v>3323</v>
      </c>
      <c r="C818" s="634" t="s">
        <v>178</v>
      </c>
      <c r="D818" s="933">
        <v>4500208740</v>
      </c>
      <c r="E818" s="659" t="s">
        <v>3414</v>
      </c>
      <c r="F818" s="635" t="s">
        <v>3415</v>
      </c>
      <c r="G818" s="637" t="s">
        <v>189</v>
      </c>
      <c r="H818" s="637" t="s">
        <v>99</v>
      </c>
      <c r="I818" s="638">
        <v>120</v>
      </c>
      <c r="J818" s="638">
        <v>0</v>
      </c>
      <c r="K818" s="639">
        <v>24</v>
      </c>
      <c r="L818" s="638">
        <f t="shared" si="455"/>
        <v>5</v>
      </c>
      <c r="M818" s="641">
        <v>46225</v>
      </c>
      <c r="N818" s="641">
        <v>46221</v>
      </c>
      <c r="O818" s="641"/>
      <c r="P818" s="903" t="s">
        <v>100</v>
      </c>
      <c r="Q818" s="643" t="s">
        <v>3358</v>
      </c>
      <c r="R818" s="934" t="s">
        <v>3201</v>
      </c>
      <c r="S818" s="925"/>
      <c r="T818" s="925"/>
      <c r="U818" s="934" t="s">
        <v>493</v>
      </c>
      <c r="V818" s="934" t="s">
        <v>3406</v>
      </c>
      <c r="W818" s="645"/>
      <c r="X818" s="647" t="s">
        <v>3407</v>
      </c>
      <c r="Y818" s="646" t="s">
        <v>3361</v>
      </c>
      <c r="Z818" s="683">
        <v>2.6389</v>
      </c>
      <c r="AA818" s="960">
        <f t="shared" si="456"/>
        <v>316.668</v>
      </c>
      <c r="AB818" s="649">
        <v>120</v>
      </c>
      <c r="AC818" s="912">
        <f t="shared" si="452"/>
        <v>0</v>
      </c>
      <c r="AD818" s="942" t="s">
        <v>106</v>
      </c>
      <c r="AE818" s="637" t="s">
        <v>190</v>
      </c>
      <c r="AF818" s="935" t="s">
        <v>107</v>
      </c>
      <c r="AG818" s="652" t="s">
        <v>3244</v>
      </c>
      <c r="AH818" s="646"/>
      <c r="AI818" s="699"/>
      <c r="AJ818" s="699"/>
      <c r="AK818" s="699"/>
      <c r="AL818" s="913"/>
      <c r="AM818" s="649"/>
      <c r="AN818" s="699"/>
      <c r="AO818" s="744"/>
      <c r="AP818" s="947">
        <f t="shared" si="453"/>
        <v>120</v>
      </c>
      <c r="AQ818" s="652"/>
      <c r="AR818" s="744"/>
      <c r="AS818" s="744"/>
      <c r="AT818" s="744"/>
      <c r="AU818" s="959">
        <f t="shared" si="454"/>
        <v>120</v>
      </c>
      <c r="AV818" s="652"/>
      <c r="AW818" s="744"/>
      <c r="AX818" s="744"/>
      <c r="AY818" s="652"/>
      <c r="AZ818" s="700"/>
      <c r="BA818" s="700"/>
      <c r="BB818" s="654"/>
      <c r="BC818" s="700"/>
      <c r="BD818" s="700"/>
      <c r="BE818" s="654"/>
      <c r="BF818" s="700"/>
      <c r="BG818" s="914"/>
      <c r="BH818" s="658"/>
      <c r="BI818" s="915"/>
      <c r="BJ818" s="915"/>
      <c r="BK818" s="915"/>
      <c r="BL818" s="644"/>
      <c r="BM818" s="658"/>
      <c r="BN818" s="644"/>
      <c r="BO818" s="644"/>
      <c r="BP818" s="916"/>
      <c r="BQ818" s="654"/>
      <c r="BR818" s="700"/>
      <c r="BS818" s="654"/>
      <c r="BT818" s="654"/>
      <c r="BU818" s="654"/>
      <c r="BV818" s="654"/>
      <c r="BW818" s="946" t="s">
        <v>109</v>
      </c>
      <c r="BX818" s="658"/>
      <c r="BY818" s="959"/>
      <c r="BZ818" s="959"/>
      <c r="CA818" s="959">
        <f t="shared" si="457"/>
        <v>120</v>
      </c>
      <c r="CB818" s="659">
        <f t="shared" si="458"/>
        <v>120</v>
      </c>
      <c r="CC818" s="959"/>
      <c r="CD818" s="659">
        <f t="shared" si="459"/>
        <v>120</v>
      </c>
      <c r="CE818" s="659">
        <f t="shared" si="460"/>
        <v>0</v>
      </c>
      <c r="CF818" s="917"/>
      <c r="XEN818" s="885"/>
      <c r="XEO818" s="885"/>
      <c r="XEP818" s="885"/>
      <c r="XEQ818" s="885"/>
      <c r="XER818" s="885"/>
      <c r="XES818" s="885"/>
      <c r="XET818" s="885"/>
      <c r="XEU818" s="885"/>
      <c r="XEV818" s="885"/>
      <c r="XEW818" s="885"/>
      <c r="XEX818" s="885"/>
      <c r="XEY818" s="885"/>
      <c r="XEZ818" s="885"/>
      <c r="XFA818" s="885"/>
      <c r="XFB818" s="885"/>
      <c r="XFC818" s="885"/>
      <c r="XFD818" s="885"/>
    </row>
    <row r="819" s="338" customFormat="1" ht="40" customHeight="1" spans="1:84 16368:16384">
      <c r="A819" s="632">
        <v>46171</v>
      </c>
      <c r="B819" s="633" t="s">
        <v>3323</v>
      </c>
      <c r="C819" s="634" t="s">
        <v>178</v>
      </c>
      <c r="D819" s="933">
        <v>4500208740</v>
      </c>
      <c r="E819" s="659" t="s">
        <v>3416</v>
      </c>
      <c r="F819" s="635" t="s">
        <v>3417</v>
      </c>
      <c r="G819" s="637" t="s">
        <v>189</v>
      </c>
      <c r="H819" s="637" t="s">
        <v>99</v>
      </c>
      <c r="I819" s="638">
        <v>48</v>
      </c>
      <c r="J819" s="638">
        <v>0</v>
      </c>
      <c r="K819" s="639">
        <v>24</v>
      </c>
      <c r="L819" s="638">
        <f t="shared" si="455"/>
        <v>2</v>
      </c>
      <c r="M819" s="641">
        <v>46225</v>
      </c>
      <c r="N819" s="641">
        <v>46221</v>
      </c>
      <c r="O819" s="641"/>
      <c r="P819" s="903" t="s">
        <v>100</v>
      </c>
      <c r="Q819" s="643" t="s">
        <v>3358</v>
      </c>
      <c r="R819" s="934" t="s">
        <v>3201</v>
      </c>
      <c r="S819" s="925"/>
      <c r="T819" s="925"/>
      <c r="U819" s="934" t="s">
        <v>493</v>
      </c>
      <c r="V819" s="934" t="s">
        <v>3406</v>
      </c>
      <c r="W819" s="645"/>
      <c r="X819" s="647" t="s">
        <v>3407</v>
      </c>
      <c r="Y819" s="646" t="s">
        <v>3361</v>
      </c>
      <c r="Z819" s="683">
        <v>2.6389</v>
      </c>
      <c r="AA819" s="960">
        <f t="shared" si="456"/>
        <v>126.6672</v>
      </c>
      <c r="AB819" s="649">
        <v>48</v>
      </c>
      <c r="AC819" s="912">
        <f t="shared" si="452"/>
        <v>0</v>
      </c>
      <c r="AD819" s="942" t="s">
        <v>106</v>
      </c>
      <c r="AE819" s="637" t="s">
        <v>190</v>
      </c>
      <c r="AF819" s="935" t="s">
        <v>107</v>
      </c>
      <c r="AG819" s="652" t="s">
        <v>3244</v>
      </c>
      <c r="AH819" s="646"/>
      <c r="AI819" s="699"/>
      <c r="AJ819" s="699"/>
      <c r="AK819" s="699"/>
      <c r="AL819" s="913"/>
      <c r="AM819" s="649"/>
      <c r="AN819" s="699"/>
      <c r="AO819" s="744"/>
      <c r="AP819" s="947">
        <f t="shared" si="453"/>
        <v>48</v>
      </c>
      <c r="AQ819" s="652"/>
      <c r="AR819" s="744"/>
      <c r="AS819" s="744"/>
      <c r="AT819" s="744"/>
      <c r="AU819" s="959">
        <f t="shared" si="454"/>
        <v>48</v>
      </c>
      <c r="AV819" s="652"/>
      <c r="AW819" s="744"/>
      <c r="AX819" s="744"/>
      <c r="AY819" s="652"/>
      <c r="AZ819" s="700"/>
      <c r="BA819" s="700"/>
      <c r="BB819" s="654"/>
      <c r="BC819" s="700"/>
      <c r="BD819" s="700"/>
      <c r="BE819" s="654"/>
      <c r="BF819" s="700"/>
      <c r="BG819" s="914"/>
      <c r="BH819" s="658"/>
      <c r="BI819" s="915"/>
      <c r="BJ819" s="915"/>
      <c r="BK819" s="915"/>
      <c r="BL819" s="644"/>
      <c r="BM819" s="658"/>
      <c r="BN819" s="644"/>
      <c r="BO819" s="644"/>
      <c r="BP819" s="916"/>
      <c r="BQ819" s="654"/>
      <c r="BR819" s="700"/>
      <c r="BS819" s="654"/>
      <c r="BT819" s="654"/>
      <c r="BU819" s="654"/>
      <c r="BV819" s="654"/>
      <c r="BW819" s="946" t="s">
        <v>109</v>
      </c>
      <c r="BX819" s="658"/>
      <c r="BY819" s="959"/>
      <c r="BZ819" s="959"/>
      <c r="CA819" s="959">
        <f t="shared" si="457"/>
        <v>48</v>
      </c>
      <c r="CB819" s="659">
        <f t="shared" si="458"/>
        <v>48</v>
      </c>
      <c r="CC819" s="959"/>
      <c r="CD819" s="659">
        <f t="shared" si="459"/>
        <v>48</v>
      </c>
      <c r="CE819" s="659">
        <f t="shared" si="460"/>
        <v>0</v>
      </c>
      <c r="CF819" s="917"/>
      <c r="XEN819" s="885"/>
      <c r="XEO819" s="885"/>
      <c r="XEP819" s="885"/>
      <c r="XEQ819" s="885"/>
      <c r="XER819" s="885"/>
      <c r="XES819" s="885"/>
      <c r="XET819" s="885"/>
      <c r="XEU819" s="885"/>
      <c r="XEV819" s="885"/>
      <c r="XEW819" s="885"/>
      <c r="XEX819" s="885"/>
      <c r="XEY819" s="885"/>
      <c r="XEZ819" s="885"/>
      <c r="XFA819" s="885"/>
      <c r="XFB819" s="885"/>
      <c r="XFC819" s="885"/>
      <c r="XFD819" s="885"/>
    </row>
    <row r="820" s="338" customFormat="1" ht="40" customHeight="1" spans="1:84 16368:16384">
      <c r="A820" s="632">
        <v>46171</v>
      </c>
      <c r="B820" s="633" t="s">
        <v>3323</v>
      </c>
      <c r="C820" s="634" t="s">
        <v>178</v>
      </c>
      <c r="D820" s="933">
        <v>4500208740</v>
      </c>
      <c r="E820" s="659" t="s">
        <v>3418</v>
      </c>
      <c r="F820" s="635" t="s">
        <v>3419</v>
      </c>
      <c r="G820" s="637" t="s">
        <v>189</v>
      </c>
      <c r="H820" s="637" t="s">
        <v>99</v>
      </c>
      <c r="I820" s="638">
        <v>48</v>
      </c>
      <c r="J820" s="638">
        <v>0</v>
      </c>
      <c r="K820" s="639">
        <v>24</v>
      </c>
      <c r="L820" s="638">
        <f t="shared" si="455"/>
        <v>2</v>
      </c>
      <c r="M820" s="641">
        <v>46225</v>
      </c>
      <c r="N820" s="641">
        <v>46221</v>
      </c>
      <c r="O820" s="641"/>
      <c r="P820" s="903" t="s">
        <v>100</v>
      </c>
      <c r="Q820" s="643" t="s">
        <v>3358</v>
      </c>
      <c r="R820" s="934" t="s">
        <v>3201</v>
      </c>
      <c r="S820" s="925"/>
      <c r="T820" s="925"/>
      <c r="U820" s="934" t="s">
        <v>493</v>
      </c>
      <c r="V820" s="934" t="s">
        <v>3406</v>
      </c>
      <c r="W820" s="645"/>
      <c r="X820" s="647" t="s">
        <v>3407</v>
      </c>
      <c r="Y820" s="646" t="s">
        <v>3361</v>
      </c>
      <c r="Z820" s="683">
        <v>2.6389</v>
      </c>
      <c r="AA820" s="960">
        <f t="shared" si="456"/>
        <v>126.6672</v>
      </c>
      <c r="AB820" s="649">
        <v>48</v>
      </c>
      <c r="AC820" s="912">
        <f t="shared" si="452"/>
        <v>0</v>
      </c>
      <c r="AD820" s="942" t="s">
        <v>106</v>
      </c>
      <c r="AE820" s="637" t="s">
        <v>190</v>
      </c>
      <c r="AF820" s="935" t="s">
        <v>107</v>
      </c>
      <c r="AG820" s="652" t="s">
        <v>3244</v>
      </c>
      <c r="AH820" s="646"/>
      <c r="AI820" s="699"/>
      <c r="AJ820" s="699"/>
      <c r="AK820" s="699"/>
      <c r="AL820" s="913"/>
      <c r="AM820" s="649"/>
      <c r="AN820" s="699"/>
      <c r="AO820" s="744"/>
      <c r="AP820" s="947">
        <f t="shared" si="453"/>
        <v>48</v>
      </c>
      <c r="AQ820" s="652"/>
      <c r="AR820" s="744"/>
      <c r="AS820" s="744"/>
      <c r="AT820" s="744"/>
      <c r="AU820" s="959">
        <f t="shared" si="454"/>
        <v>48</v>
      </c>
      <c r="AV820" s="652"/>
      <c r="AW820" s="744"/>
      <c r="AX820" s="744"/>
      <c r="AY820" s="652"/>
      <c r="AZ820" s="700"/>
      <c r="BA820" s="700"/>
      <c r="BB820" s="654"/>
      <c r="BC820" s="700"/>
      <c r="BD820" s="700"/>
      <c r="BE820" s="654"/>
      <c r="BF820" s="700"/>
      <c r="BG820" s="914"/>
      <c r="BH820" s="658"/>
      <c r="BI820" s="915"/>
      <c r="BJ820" s="915"/>
      <c r="BK820" s="915"/>
      <c r="BL820" s="644"/>
      <c r="BM820" s="658"/>
      <c r="BN820" s="644"/>
      <c r="BO820" s="644"/>
      <c r="BP820" s="916"/>
      <c r="BQ820" s="654"/>
      <c r="BR820" s="700"/>
      <c r="BS820" s="654"/>
      <c r="BT820" s="654"/>
      <c r="BU820" s="654"/>
      <c r="BV820" s="654"/>
      <c r="BW820" s="946" t="s">
        <v>109</v>
      </c>
      <c r="BX820" s="658"/>
      <c r="BY820" s="959"/>
      <c r="BZ820" s="959"/>
      <c r="CA820" s="959">
        <f t="shared" si="457"/>
        <v>48</v>
      </c>
      <c r="CB820" s="659">
        <f t="shared" si="458"/>
        <v>48</v>
      </c>
      <c r="CC820" s="959"/>
      <c r="CD820" s="659">
        <f t="shared" si="459"/>
        <v>48</v>
      </c>
      <c r="CE820" s="659">
        <f t="shared" si="460"/>
        <v>0</v>
      </c>
      <c r="CF820" s="917"/>
      <c r="XEN820" s="885"/>
      <c r="XEO820" s="885"/>
      <c r="XEP820" s="885"/>
      <c r="XEQ820" s="885"/>
      <c r="XER820" s="885"/>
      <c r="XES820" s="885"/>
      <c r="XET820" s="885"/>
      <c r="XEU820" s="885"/>
      <c r="XEV820" s="885"/>
      <c r="XEW820" s="885"/>
      <c r="XEX820" s="885"/>
      <c r="XEY820" s="885"/>
      <c r="XEZ820" s="885"/>
      <c r="XFA820" s="885"/>
      <c r="XFB820" s="885"/>
      <c r="XFC820" s="885"/>
      <c r="XFD820" s="885"/>
    </row>
    <row r="821" s="338" customFormat="1" ht="40" customHeight="1" spans="1:84 16368:16384">
      <c r="A821" s="632">
        <v>46171</v>
      </c>
      <c r="B821" s="633" t="s">
        <v>3323</v>
      </c>
      <c r="C821" s="634" t="s">
        <v>178</v>
      </c>
      <c r="D821" s="933">
        <v>4500208740</v>
      </c>
      <c r="E821" s="659" t="s">
        <v>3420</v>
      </c>
      <c r="F821" s="635" t="s">
        <v>3421</v>
      </c>
      <c r="G821" s="637" t="s">
        <v>189</v>
      </c>
      <c r="H821" s="637" t="s">
        <v>99</v>
      </c>
      <c r="I821" s="638">
        <v>24</v>
      </c>
      <c r="J821" s="638">
        <v>0</v>
      </c>
      <c r="K821" s="639">
        <v>24</v>
      </c>
      <c r="L821" s="638">
        <f t="shared" si="455"/>
        <v>1</v>
      </c>
      <c r="M821" s="641">
        <v>46225</v>
      </c>
      <c r="N821" s="641">
        <v>46221</v>
      </c>
      <c r="O821" s="641"/>
      <c r="P821" s="903" t="s">
        <v>100</v>
      </c>
      <c r="Q821" s="643" t="s">
        <v>3358</v>
      </c>
      <c r="R821" s="934" t="s">
        <v>3201</v>
      </c>
      <c r="S821" s="925"/>
      <c r="T821" s="925"/>
      <c r="U821" s="934" t="s">
        <v>493</v>
      </c>
      <c r="V821" s="934" t="s">
        <v>3406</v>
      </c>
      <c r="W821" s="645"/>
      <c r="X821" s="647" t="s">
        <v>3407</v>
      </c>
      <c r="Y821" s="646" t="s">
        <v>3361</v>
      </c>
      <c r="Z821" s="683">
        <v>2.6389</v>
      </c>
      <c r="AA821" s="960">
        <f t="shared" si="456"/>
        <v>63.3336</v>
      </c>
      <c r="AB821" s="649">
        <v>24</v>
      </c>
      <c r="AC821" s="912">
        <f t="shared" si="452"/>
        <v>0</v>
      </c>
      <c r="AD821" s="942" t="s">
        <v>106</v>
      </c>
      <c r="AE821" s="637" t="s">
        <v>190</v>
      </c>
      <c r="AF821" s="935" t="s">
        <v>107</v>
      </c>
      <c r="AG821" s="652" t="s">
        <v>3244</v>
      </c>
      <c r="AH821" s="646"/>
      <c r="AI821" s="699"/>
      <c r="AJ821" s="699"/>
      <c r="AK821" s="699"/>
      <c r="AL821" s="913"/>
      <c r="AM821" s="649"/>
      <c r="AN821" s="699"/>
      <c r="AO821" s="744"/>
      <c r="AP821" s="947">
        <f t="shared" si="453"/>
        <v>24</v>
      </c>
      <c r="AQ821" s="652"/>
      <c r="AR821" s="744"/>
      <c r="AS821" s="744"/>
      <c r="AT821" s="744"/>
      <c r="AU821" s="959">
        <f t="shared" si="454"/>
        <v>24</v>
      </c>
      <c r="AV821" s="652"/>
      <c r="AW821" s="744"/>
      <c r="AX821" s="744"/>
      <c r="AY821" s="652"/>
      <c r="AZ821" s="700"/>
      <c r="BA821" s="700"/>
      <c r="BB821" s="654"/>
      <c r="BC821" s="700"/>
      <c r="BD821" s="700"/>
      <c r="BE821" s="654"/>
      <c r="BF821" s="700"/>
      <c r="BG821" s="914"/>
      <c r="BH821" s="658"/>
      <c r="BI821" s="915"/>
      <c r="BJ821" s="915"/>
      <c r="BK821" s="915"/>
      <c r="BL821" s="644"/>
      <c r="BM821" s="658"/>
      <c r="BN821" s="644"/>
      <c r="BO821" s="644"/>
      <c r="BP821" s="916"/>
      <c r="BQ821" s="654"/>
      <c r="BR821" s="700"/>
      <c r="BS821" s="654"/>
      <c r="BT821" s="654"/>
      <c r="BU821" s="654"/>
      <c r="BV821" s="654"/>
      <c r="BW821" s="946" t="s">
        <v>109</v>
      </c>
      <c r="BX821" s="658"/>
      <c r="BY821" s="959"/>
      <c r="BZ821" s="959"/>
      <c r="CA821" s="959">
        <f t="shared" si="457"/>
        <v>24</v>
      </c>
      <c r="CB821" s="659">
        <f t="shared" si="458"/>
        <v>24</v>
      </c>
      <c r="CC821" s="959"/>
      <c r="CD821" s="659">
        <f t="shared" si="459"/>
        <v>24</v>
      </c>
      <c r="CE821" s="659">
        <f t="shared" si="460"/>
        <v>0</v>
      </c>
      <c r="CF821" s="917"/>
      <c r="XEN821" s="885"/>
      <c r="XEO821" s="885"/>
      <c r="XEP821" s="885"/>
      <c r="XEQ821" s="885"/>
      <c r="XER821" s="885"/>
      <c r="XES821" s="885"/>
      <c r="XET821" s="885"/>
      <c r="XEU821" s="885"/>
      <c r="XEV821" s="885"/>
      <c r="XEW821" s="885"/>
      <c r="XEX821" s="885"/>
      <c r="XEY821" s="885"/>
      <c r="XEZ821" s="885"/>
      <c r="XFA821" s="885"/>
      <c r="XFB821" s="885"/>
      <c r="XFC821" s="885"/>
      <c r="XFD821" s="885"/>
    </row>
    <row r="822" s="338" customFormat="1" ht="40" customHeight="1" spans="1:84 16368:16384">
      <c r="A822" s="632">
        <v>46171</v>
      </c>
      <c r="B822" s="633" t="s">
        <v>3323</v>
      </c>
      <c r="C822" s="634" t="s">
        <v>178</v>
      </c>
      <c r="D822" s="933">
        <v>4500208740</v>
      </c>
      <c r="E822" s="659" t="s">
        <v>3422</v>
      </c>
      <c r="F822" s="635" t="s">
        <v>3423</v>
      </c>
      <c r="G822" s="637" t="s">
        <v>189</v>
      </c>
      <c r="H822" s="637" t="s">
        <v>99</v>
      </c>
      <c r="I822" s="638">
        <v>48</v>
      </c>
      <c r="J822" s="638">
        <v>0</v>
      </c>
      <c r="K822" s="639">
        <v>24</v>
      </c>
      <c r="L822" s="638">
        <f t="shared" si="455"/>
        <v>2</v>
      </c>
      <c r="M822" s="641">
        <v>46225</v>
      </c>
      <c r="N822" s="641">
        <v>46221</v>
      </c>
      <c r="O822" s="641"/>
      <c r="P822" s="903" t="s">
        <v>100</v>
      </c>
      <c r="Q822" s="643" t="s">
        <v>3358</v>
      </c>
      <c r="R822" s="934" t="s">
        <v>3201</v>
      </c>
      <c r="S822" s="925"/>
      <c r="T822" s="925"/>
      <c r="U822" s="934" t="s">
        <v>493</v>
      </c>
      <c r="V822" s="934" t="s">
        <v>3406</v>
      </c>
      <c r="W822" s="645"/>
      <c r="X822" s="647" t="s">
        <v>3407</v>
      </c>
      <c r="Y822" s="646" t="s">
        <v>3361</v>
      </c>
      <c r="Z822" s="683">
        <v>2.6389</v>
      </c>
      <c r="AA822" s="960">
        <f t="shared" si="456"/>
        <v>126.6672</v>
      </c>
      <c r="AB822" s="649">
        <v>48</v>
      </c>
      <c r="AC822" s="912">
        <f t="shared" si="452"/>
        <v>0</v>
      </c>
      <c r="AD822" s="942" t="s">
        <v>106</v>
      </c>
      <c r="AE822" s="637" t="s">
        <v>190</v>
      </c>
      <c r="AF822" s="935" t="s">
        <v>107</v>
      </c>
      <c r="AG822" s="652" t="s">
        <v>3244</v>
      </c>
      <c r="AH822" s="646"/>
      <c r="AI822" s="699"/>
      <c r="AJ822" s="699"/>
      <c r="AK822" s="699"/>
      <c r="AL822" s="913"/>
      <c r="AM822" s="649"/>
      <c r="AN822" s="699"/>
      <c r="AO822" s="744"/>
      <c r="AP822" s="947">
        <f t="shared" si="453"/>
        <v>48</v>
      </c>
      <c r="AQ822" s="652"/>
      <c r="AR822" s="744"/>
      <c r="AS822" s="744"/>
      <c r="AT822" s="744"/>
      <c r="AU822" s="959">
        <f t="shared" si="454"/>
        <v>48</v>
      </c>
      <c r="AV822" s="652"/>
      <c r="AW822" s="744"/>
      <c r="AX822" s="744"/>
      <c r="AY822" s="652"/>
      <c r="AZ822" s="700"/>
      <c r="BA822" s="700"/>
      <c r="BB822" s="654"/>
      <c r="BC822" s="700"/>
      <c r="BD822" s="700"/>
      <c r="BE822" s="654"/>
      <c r="BF822" s="700"/>
      <c r="BG822" s="914"/>
      <c r="BH822" s="658"/>
      <c r="BI822" s="915"/>
      <c r="BJ822" s="915"/>
      <c r="BK822" s="915"/>
      <c r="BL822" s="644"/>
      <c r="BM822" s="658"/>
      <c r="BN822" s="644"/>
      <c r="BO822" s="644"/>
      <c r="BP822" s="916"/>
      <c r="BQ822" s="654"/>
      <c r="BR822" s="700"/>
      <c r="BS822" s="654"/>
      <c r="BT822" s="654"/>
      <c r="BU822" s="654"/>
      <c r="BV822" s="654"/>
      <c r="BW822" s="946" t="s">
        <v>109</v>
      </c>
      <c r="BX822" s="658"/>
      <c r="BY822" s="959"/>
      <c r="BZ822" s="959"/>
      <c r="CA822" s="959">
        <f t="shared" si="457"/>
        <v>48</v>
      </c>
      <c r="CB822" s="659">
        <f t="shared" si="458"/>
        <v>48</v>
      </c>
      <c r="CC822" s="959"/>
      <c r="CD822" s="659">
        <f t="shared" si="459"/>
        <v>48</v>
      </c>
      <c r="CE822" s="659">
        <f t="shared" si="460"/>
        <v>0</v>
      </c>
      <c r="CF822" s="917"/>
      <c r="XEN822" s="885"/>
      <c r="XEO822" s="885"/>
      <c r="XEP822" s="885"/>
      <c r="XEQ822" s="885"/>
      <c r="XER822" s="885"/>
      <c r="XES822" s="885"/>
      <c r="XET822" s="885"/>
      <c r="XEU822" s="885"/>
      <c r="XEV822" s="885"/>
      <c r="XEW822" s="885"/>
      <c r="XEX822" s="885"/>
      <c r="XEY822" s="885"/>
      <c r="XEZ822" s="885"/>
      <c r="XFA822" s="885"/>
      <c r="XFB822" s="885"/>
      <c r="XFC822" s="885"/>
      <c r="XFD822" s="885"/>
    </row>
    <row r="823" s="338" customFormat="1" ht="40" customHeight="1" spans="1:84 16368:16384">
      <c r="A823" s="632">
        <v>46171</v>
      </c>
      <c r="B823" s="633" t="s">
        <v>3323</v>
      </c>
      <c r="C823" s="634" t="s">
        <v>178</v>
      </c>
      <c r="D823" s="933">
        <v>4500209617</v>
      </c>
      <c r="E823" s="659" t="s">
        <v>3424</v>
      </c>
      <c r="F823" s="635" t="s">
        <v>3425</v>
      </c>
      <c r="G823" s="637" t="s">
        <v>132</v>
      </c>
      <c r="H823" s="637" t="s">
        <v>99</v>
      </c>
      <c r="I823" s="638">
        <v>24</v>
      </c>
      <c r="J823" s="638">
        <v>0</v>
      </c>
      <c r="K823" s="639">
        <v>24</v>
      </c>
      <c r="L823" s="638">
        <f t="shared" si="455"/>
        <v>1</v>
      </c>
      <c r="M823" s="641">
        <v>46225</v>
      </c>
      <c r="N823" s="641">
        <v>46221</v>
      </c>
      <c r="O823" s="641"/>
      <c r="P823" s="903" t="s">
        <v>100</v>
      </c>
      <c r="Q823" s="643" t="s">
        <v>1411</v>
      </c>
      <c r="R823" s="934" t="s">
        <v>3201</v>
      </c>
      <c r="S823" s="925"/>
      <c r="T823" s="925"/>
      <c r="U823" s="934" t="s">
        <v>493</v>
      </c>
      <c r="V823" s="934" t="s">
        <v>3406</v>
      </c>
      <c r="W823" s="645"/>
      <c r="X823" s="647" t="s">
        <v>3360</v>
      </c>
      <c r="Y823" s="646" t="s">
        <v>3361</v>
      </c>
      <c r="Z823" s="683">
        <v>2.6389</v>
      </c>
      <c r="AA823" s="960">
        <f t="shared" si="456"/>
        <v>63.3336</v>
      </c>
      <c r="AB823" s="649">
        <v>24</v>
      </c>
      <c r="AC823" s="912">
        <f t="shared" ref="AC823:AC831" si="461">AB823-I823</f>
        <v>0</v>
      </c>
      <c r="AD823" s="942" t="s">
        <v>106</v>
      </c>
      <c r="AE823" s="637" t="s">
        <v>193</v>
      </c>
      <c r="AF823" s="935" t="s">
        <v>107</v>
      </c>
      <c r="AG823" s="652" t="s">
        <v>3244</v>
      </c>
      <c r="AH823" s="646"/>
      <c r="AI823" s="699"/>
      <c r="AJ823" s="699"/>
      <c r="AK823" s="699"/>
      <c r="AL823" s="913"/>
      <c r="AM823" s="649"/>
      <c r="AN823" s="699"/>
      <c r="AO823" s="744"/>
      <c r="AP823" s="947">
        <f t="shared" ref="AP823:AP842" si="462">I823</f>
        <v>24</v>
      </c>
      <c r="AQ823" s="652"/>
      <c r="AR823" s="744"/>
      <c r="AS823" s="744"/>
      <c r="AT823" s="744"/>
      <c r="AU823" s="959">
        <f t="shared" ref="AU823:AU873" si="463">I823</f>
        <v>24</v>
      </c>
      <c r="AV823" s="652"/>
      <c r="AW823" s="744"/>
      <c r="AX823" s="744"/>
      <c r="AY823" s="652"/>
      <c r="AZ823" s="700"/>
      <c r="BA823" s="700"/>
      <c r="BB823" s="654"/>
      <c r="BC823" s="700"/>
      <c r="BD823" s="700"/>
      <c r="BE823" s="654"/>
      <c r="BF823" s="700"/>
      <c r="BG823" s="914"/>
      <c r="BH823" s="658"/>
      <c r="BI823" s="915"/>
      <c r="BJ823" s="915"/>
      <c r="BK823" s="915"/>
      <c r="BL823" s="644"/>
      <c r="BM823" s="658"/>
      <c r="BN823" s="644"/>
      <c r="BO823" s="644"/>
      <c r="BP823" s="916"/>
      <c r="BQ823" s="654"/>
      <c r="BR823" s="700"/>
      <c r="BS823" s="654"/>
      <c r="BT823" s="654"/>
      <c r="BU823" s="654"/>
      <c r="BV823" s="654"/>
      <c r="BW823" s="946" t="s">
        <v>109</v>
      </c>
      <c r="BX823" s="658">
        <f t="shared" ref="BX823:BX831" si="464">I823</f>
        <v>24</v>
      </c>
      <c r="BY823" s="959"/>
      <c r="BZ823" s="959"/>
      <c r="CA823" s="959"/>
      <c r="CB823" s="659">
        <f t="shared" ref="CB823:CB831" si="465">I823</f>
        <v>24</v>
      </c>
      <c r="CC823" s="959"/>
      <c r="CD823" s="659">
        <f t="shared" ref="CD823:CD831" si="466">SUM(BX823:CA823)</f>
        <v>24</v>
      </c>
      <c r="CE823" s="659">
        <f t="shared" ref="CE823:CE831" si="467">I823-CD823</f>
        <v>0</v>
      </c>
      <c r="CF823" s="917"/>
      <c r="XEN823" s="885"/>
      <c r="XEO823" s="885"/>
      <c r="XEP823" s="885"/>
      <c r="XEQ823" s="885"/>
      <c r="XER823" s="885"/>
      <c r="XES823" s="885"/>
      <c r="XET823" s="885"/>
      <c r="XEU823" s="885"/>
      <c r="XEV823" s="885"/>
      <c r="XEW823" s="885"/>
      <c r="XEX823" s="885"/>
      <c r="XEY823" s="885"/>
      <c r="XEZ823" s="885"/>
      <c r="XFA823" s="885"/>
      <c r="XFB823" s="885"/>
      <c r="XFC823" s="885"/>
      <c r="XFD823" s="885"/>
    </row>
    <row r="824" s="338" customFormat="1" ht="40" customHeight="1" spans="1:84 16368:16384">
      <c r="A824" s="632">
        <v>46171</v>
      </c>
      <c r="B824" s="633" t="s">
        <v>3323</v>
      </c>
      <c r="C824" s="634" t="s">
        <v>178</v>
      </c>
      <c r="D824" s="933">
        <v>4500209617</v>
      </c>
      <c r="E824" s="659" t="s">
        <v>3426</v>
      </c>
      <c r="F824" s="635" t="s">
        <v>3427</v>
      </c>
      <c r="G824" s="637" t="s">
        <v>132</v>
      </c>
      <c r="H824" s="637" t="s">
        <v>99</v>
      </c>
      <c r="I824" s="638">
        <v>72</v>
      </c>
      <c r="J824" s="638">
        <v>0</v>
      </c>
      <c r="K824" s="639">
        <v>24</v>
      </c>
      <c r="L824" s="638">
        <f t="shared" si="455"/>
        <v>3</v>
      </c>
      <c r="M824" s="641">
        <v>46225</v>
      </c>
      <c r="N824" s="641">
        <v>46221</v>
      </c>
      <c r="O824" s="641"/>
      <c r="P824" s="903" t="s">
        <v>100</v>
      </c>
      <c r="Q824" s="643" t="s">
        <v>1411</v>
      </c>
      <c r="R824" s="934" t="s">
        <v>3201</v>
      </c>
      <c r="S824" s="925"/>
      <c r="T824" s="925"/>
      <c r="U824" s="934" t="s">
        <v>493</v>
      </c>
      <c r="V824" s="934" t="s">
        <v>3406</v>
      </c>
      <c r="W824" s="645"/>
      <c r="X824" s="647" t="s">
        <v>3360</v>
      </c>
      <c r="Y824" s="646" t="s">
        <v>3361</v>
      </c>
      <c r="Z824" s="683">
        <v>2.6389</v>
      </c>
      <c r="AA824" s="960">
        <f t="shared" si="456"/>
        <v>190.0008</v>
      </c>
      <c r="AB824" s="649">
        <v>72</v>
      </c>
      <c r="AC824" s="912">
        <f t="shared" si="461"/>
        <v>0</v>
      </c>
      <c r="AD824" s="942" t="s">
        <v>106</v>
      </c>
      <c r="AE824" s="637" t="s">
        <v>193</v>
      </c>
      <c r="AF824" s="935" t="s">
        <v>107</v>
      </c>
      <c r="AG824" s="652" t="s">
        <v>3244</v>
      </c>
      <c r="AH824" s="646"/>
      <c r="AI824" s="699"/>
      <c r="AJ824" s="699"/>
      <c r="AK824" s="699"/>
      <c r="AL824" s="913"/>
      <c r="AM824" s="649"/>
      <c r="AN824" s="699"/>
      <c r="AO824" s="744"/>
      <c r="AP824" s="947">
        <f t="shared" si="462"/>
        <v>72</v>
      </c>
      <c r="AQ824" s="652"/>
      <c r="AR824" s="744"/>
      <c r="AS824" s="744"/>
      <c r="AT824" s="744"/>
      <c r="AU824" s="959">
        <f t="shared" si="463"/>
        <v>72</v>
      </c>
      <c r="AV824" s="652"/>
      <c r="AW824" s="744"/>
      <c r="AX824" s="744"/>
      <c r="AY824" s="652"/>
      <c r="AZ824" s="700"/>
      <c r="BA824" s="700"/>
      <c r="BB824" s="654"/>
      <c r="BC824" s="700"/>
      <c r="BD824" s="700"/>
      <c r="BE824" s="654"/>
      <c r="BF824" s="700"/>
      <c r="BG824" s="914"/>
      <c r="BH824" s="658"/>
      <c r="BI824" s="915"/>
      <c r="BJ824" s="915"/>
      <c r="BK824" s="915"/>
      <c r="BL824" s="644"/>
      <c r="BM824" s="658"/>
      <c r="BN824" s="644"/>
      <c r="BO824" s="644"/>
      <c r="BP824" s="916"/>
      <c r="BQ824" s="654"/>
      <c r="BR824" s="700"/>
      <c r="BS824" s="654"/>
      <c r="BT824" s="654"/>
      <c r="BU824" s="654"/>
      <c r="BV824" s="654"/>
      <c r="BW824" s="946" t="s">
        <v>109</v>
      </c>
      <c r="BX824" s="658">
        <f t="shared" si="464"/>
        <v>72</v>
      </c>
      <c r="BY824" s="959"/>
      <c r="BZ824" s="959"/>
      <c r="CA824" s="959"/>
      <c r="CB824" s="659">
        <f t="shared" si="465"/>
        <v>72</v>
      </c>
      <c r="CC824" s="959"/>
      <c r="CD824" s="659">
        <f t="shared" si="466"/>
        <v>72</v>
      </c>
      <c r="CE824" s="659">
        <f t="shared" si="467"/>
        <v>0</v>
      </c>
      <c r="CF824" s="917"/>
      <c r="XEN824" s="885"/>
      <c r="XEO824" s="885"/>
      <c r="XEP824" s="885"/>
      <c r="XEQ824" s="885"/>
      <c r="XER824" s="885"/>
      <c r="XES824" s="885"/>
      <c r="XET824" s="885"/>
      <c r="XEU824" s="885"/>
      <c r="XEV824" s="885"/>
      <c r="XEW824" s="885"/>
      <c r="XEX824" s="885"/>
      <c r="XEY824" s="885"/>
      <c r="XEZ824" s="885"/>
      <c r="XFA824" s="885"/>
      <c r="XFB824" s="885"/>
      <c r="XFC824" s="885"/>
      <c r="XFD824" s="885"/>
    </row>
    <row r="825" s="338" customFormat="1" ht="40" customHeight="1" spans="1:84 16368:16384">
      <c r="A825" s="632">
        <v>46171</v>
      </c>
      <c r="B825" s="633" t="s">
        <v>3323</v>
      </c>
      <c r="C825" s="634" t="s">
        <v>178</v>
      </c>
      <c r="D825" s="933">
        <v>4500209617</v>
      </c>
      <c r="E825" s="659" t="s">
        <v>3428</v>
      </c>
      <c r="F825" s="635" t="s">
        <v>3429</v>
      </c>
      <c r="G825" s="637" t="s">
        <v>132</v>
      </c>
      <c r="H825" s="637" t="s">
        <v>99</v>
      </c>
      <c r="I825" s="638">
        <v>24</v>
      </c>
      <c r="J825" s="638">
        <v>0</v>
      </c>
      <c r="K825" s="639">
        <v>24</v>
      </c>
      <c r="L825" s="638">
        <f t="shared" si="455"/>
        <v>1</v>
      </c>
      <c r="M825" s="641">
        <v>46225</v>
      </c>
      <c r="N825" s="641">
        <v>46221</v>
      </c>
      <c r="O825" s="641"/>
      <c r="P825" s="903" t="s">
        <v>100</v>
      </c>
      <c r="Q825" s="643" t="s">
        <v>1411</v>
      </c>
      <c r="R825" s="934" t="s">
        <v>3201</v>
      </c>
      <c r="S825" s="925"/>
      <c r="T825" s="925"/>
      <c r="U825" s="934" t="s">
        <v>493</v>
      </c>
      <c r="V825" s="934" t="s">
        <v>3406</v>
      </c>
      <c r="W825" s="645"/>
      <c r="X825" s="647" t="s">
        <v>3360</v>
      </c>
      <c r="Y825" s="646" t="s">
        <v>3361</v>
      </c>
      <c r="Z825" s="683">
        <v>2.6389</v>
      </c>
      <c r="AA825" s="960">
        <f t="shared" si="456"/>
        <v>63.3336</v>
      </c>
      <c r="AB825" s="649">
        <v>24</v>
      </c>
      <c r="AC825" s="912">
        <f t="shared" si="461"/>
        <v>0</v>
      </c>
      <c r="AD825" s="942" t="s">
        <v>106</v>
      </c>
      <c r="AE825" s="637" t="s">
        <v>193</v>
      </c>
      <c r="AF825" s="935" t="s">
        <v>107</v>
      </c>
      <c r="AG825" s="652" t="s">
        <v>3244</v>
      </c>
      <c r="AH825" s="646"/>
      <c r="AI825" s="699"/>
      <c r="AJ825" s="699"/>
      <c r="AK825" s="699"/>
      <c r="AL825" s="913"/>
      <c r="AM825" s="649"/>
      <c r="AN825" s="699"/>
      <c r="AO825" s="744"/>
      <c r="AP825" s="947">
        <f t="shared" si="462"/>
        <v>24</v>
      </c>
      <c r="AQ825" s="652"/>
      <c r="AR825" s="744"/>
      <c r="AS825" s="744"/>
      <c r="AT825" s="744"/>
      <c r="AU825" s="959">
        <f t="shared" si="463"/>
        <v>24</v>
      </c>
      <c r="AV825" s="652"/>
      <c r="AW825" s="744"/>
      <c r="AX825" s="744"/>
      <c r="AY825" s="652"/>
      <c r="AZ825" s="700"/>
      <c r="BA825" s="700"/>
      <c r="BB825" s="654"/>
      <c r="BC825" s="700"/>
      <c r="BD825" s="700"/>
      <c r="BE825" s="654"/>
      <c r="BF825" s="700"/>
      <c r="BG825" s="914"/>
      <c r="BH825" s="658"/>
      <c r="BI825" s="915"/>
      <c r="BJ825" s="915"/>
      <c r="BK825" s="915"/>
      <c r="BL825" s="644"/>
      <c r="BM825" s="658"/>
      <c r="BN825" s="644"/>
      <c r="BO825" s="644"/>
      <c r="BP825" s="916"/>
      <c r="BQ825" s="654"/>
      <c r="BR825" s="700"/>
      <c r="BS825" s="654"/>
      <c r="BT825" s="654"/>
      <c r="BU825" s="654"/>
      <c r="BV825" s="654"/>
      <c r="BW825" s="946" t="s">
        <v>109</v>
      </c>
      <c r="BX825" s="658">
        <f t="shared" si="464"/>
        <v>24</v>
      </c>
      <c r="BY825" s="959"/>
      <c r="BZ825" s="959"/>
      <c r="CA825" s="959"/>
      <c r="CB825" s="659">
        <f t="shared" si="465"/>
        <v>24</v>
      </c>
      <c r="CC825" s="959"/>
      <c r="CD825" s="659">
        <f t="shared" si="466"/>
        <v>24</v>
      </c>
      <c r="CE825" s="659">
        <f t="shared" si="467"/>
        <v>0</v>
      </c>
      <c r="CF825" s="917"/>
      <c r="XEN825" s="885"/>
      <c r="XEO825" s="885"/>
      <c r="XEP825" s="885"/>
      <c r="XEQ825" s="885"/>
      <c r="XER825" s="885"/>
      <c r="XES825" s="885"/>
      <c r="XET825" s="885"/>
      <c r="XEU825" s="885"/>
      <c r="XEV825" s="885"/>
      <c r="XEW825" s="885"/>
      <c r="XEX825" s="885"/>
      <c r="XEY825" s="885"/>
      <c r="XEZ825" s="885"/>
      <c r="XFA825" s="885"/>
      <c r="XFB825" s="885"/>
      <c r="XFC825" s="885"/>
      <c r="XFD825" s="885"/>
    </row>
    <row r="826" s="338" customFormat="1" ht="40" customHeight="1" spans="1:84 16368:16384">
      <c r="A826" s="632">
        <v>46171</v>
      </c>
      <c r="B826" s="633" t="s">
        <v>3323</v>
      </c>
      <c r="C826" s="634" t="s">
        <v>178</v>
      </c>
      <c r="D826" s="933">
        <v>4500209617</v>
      </c>
      <c r="E826" s="659" t="s">
        <v>3430</v>
      </c>
      <c r="F826" s="635" t="s">
        <v>3431</v>
      </c>
      <c r="G826" s="637" t="s">
        <v>132</v>
      </c>
      <c r="H826" s="637" t="s">
        <v>99</v>
      </c>
      <c r="I826" s="638">
        <v>24</v>
      </c>
      <c r="J826" s="638">
        <v>0</v>
      </c>
      <c r="K826" s="639">
        <v>24</v>
      </c>
      <c r="L826" s="638">
        <f t="shared" si="455"/>
        <v>1</v>
      </c>
      <c r="M826" s="641">
        <v>46225</v>
      </c>
      <c r="N826" s="641">
        <v>46221</v>
      </c>
      <c r="O826" s="641"/>
      <c r="P826" s="903" t="s">
        <v>100</v>
      </c>
      <c r="Q826" s="643" t="s">
        <v>1411</v>
      </c>
      <c r="R826" s="934" t="s">
        <v>3201</v>
      </c>
      <c r="S826" s="925"/>
      <c r="T826" s="925"/>
      <c r="U826" s="934" t="s">
        <v>493</v>
      </c>
      <c r="V826" s="934" t="s">
        <v>3406</v>
      </c>
      <c r="W826" s="645"/>
      <c r="X826" s="647" t="s">
        <v>3360</v>
      </c>
      <c r="Y826" s="646" t="s">
        <v>3361</v>
      </c>
      <c r="Z826" s="683">
        <v>2.6389</v>
      </c>
      <c r="AA826" s="960">
        <f t="shared" si="456"/>
        <v>63.3336</v>
      </c>
      <c r="AB826" s="649">
        <v>24</v>
      </c>
      <c r="AC826" s="912">
        <f t="shared" si="461"/>
        <v>0</v>
      </c>
      <c r="AD826" s="942" t="s">
        <v>106</v>
      </c>
      <c r="AE826" s="637" t="s">
        <v>193</v>
      </c>
      <c r="AF826" s="935" t="s">
        <v>107</v>
      </c>
      <c r="AG826" s="652" t="s">
        <v>3244</v>
      </c>
      <c r="AH826" s="646"/>
      <c r="AI826" s="699"/>
      <c r="AJ826" s="699"/>
      <c r="AK826" s="699"/>
      <c r="AL826" s="913"/>
      <c r="AM826" s="649"/>
      <c r="AN826" s="699"/>
      <c r="AO826" s="744"/>
      <c r="AP826" s="947">
        <f t="shared" si="462"/>
        <v>24</v>
      </c>
      <c r="AQ826" s="652"/>
      <c r="AR826" s="744"/>
      <c r="AS826" s="744"/>
      <c r="AT826" s="744"/>
      <c r="AU826" s="959">
        <f t="shared" si="463"/>
        <v>24</v>
      </c>
      <c r="AV826" s="652"/>
      <c r="AW826" s="744"/>
      <c r="AX826" s="744"/>
      <c r="AY826" s="652"/>
      <c r="AZ826" s="700"/>
      <c r="BA826" s="700"/>
      <c r="BB826" s="654"/>
      <c r="BC826" s="700"/>
      <c r="BD826" s="700"/>
      <c r="BE826" s="654"/>
      <c r="BF826" s="700"/>
      <c r="BG826" s="914"/>
      <c r="BH826" s="658"/>
      <c r="BI826" s="915"/>
      <c r="BJ826" s="915"/>
      <c r="BK826" s="915"/>
      <c r="BL826" s="644"/>
      <c r="BM826" s="658"/>
      <c r="BN826" s="644"/>
      <c r="BO826" s="644"/>
      <c r="BP826" s="916"/>
      <c r="BQ826" s="654"/>
      <c r="BR826" s="700"/>
      <c r="BS826" s="654"/>
      <c r="BT826" s="654"/>
      <c r="BU826" s="654"/>
      <c r="BV826" s="654"/>
      <c r="BW826" s="946" t="s">
        <v>109</v>
      </c>
      <c r="BX826" s="658">
        <f t="shared" si="464"/>
        <v>24</v>
      </c>
      <c r="BY826" s="959"/>
      <c r="BZ826" s="959"/>
      <c r="CA826" s="959"/>
      <c r="CB826" s="659">
        <f t="shared" si="465"/>
        <v>24</v>
      </c>
      <c r="CC826" s="959"/>
      <c r="CD826" s="659">
        <f t="shared" si="466"/>
        <v>24</v>
      </c>
      <c r="CE826" s="659">
        <f t="shared" si="467"/>
        <v>0</v>
      </c>
      <c r="CF826" s="917"/>
      <c r="XEN826" s="885"/>
      <c r="XEO826" s="885"/>
      <c r="XEP826" s="885"/>
      <c r="XEQ826" s="885"/>
      <c r="XER826" s="885"/>
      <c r="XES826" s="885"/>
      <c r="XET826" s="885"/>
      <c r="XEU826" s="885"/>
      <c r="XEV826" s="885"/>
      <c r="XEW826" s="885"/>
      <c r="XEX826" s="885"/>
      <c r="XEY826" s="885"/>
      <c r="XEZ826" s="885"/>
      <c r="XFA826" s="885"/>
      <c r="XFB826" s="885"/>
      <c r="XFC826" s="885"/>
      <c r="XFD826" s="885"/>
    </row>
    <row r="827" s="338" customFormat="1" ht="40" customHeight="1" spans="1:84 16368:16384">
      <c r="A827" s="632">
        <v>46171</v>
      </c>
      <c r="B827" s="633" t="s">
        <v>3323</v>
      </c>
      <c r="C827" s="634" t="s">
        <v>178</v>
      </c>
      <c r="D827" s="933">
        <v>4500209617</v>
      </c>
      <c r="E827" s="659" t="s">
        <v>3432</v>
      </c>
      <c r="F827" s="635" t="s">
        <v>3433</v>
      </c>
      <c r="G827" s="637" t="s">
        <v>132</v>
      </c>
      <c r="H827" s="637" t="s">
        <v>99</v>
      </c>
      <c r="I827" s="638">
        <v>48</v>
      </c>
      <c r="J827" s="638">
        <v>0</v>
      </c>
      <c r="K827" s="639">
        <v>24</v>
      </c>
      <c r="L827" s="638">
        <f t="shared" si="455"/>
        <v>2</v>
      </c>
      <c r="M827" s="641">
        <v>46225</v>
      </c>
      <c r="N827" s="641">
        <v>46221</v>
      </c>
      <c r="O827" s="641"/>
      <c r="P827" s="903" t="s">
        <v>100</v>
      </c>
      <c r="Q827" s="643" t="s">
        <v>1411</v>
      </c>
      <c r="R827" s="934" t="s">
        <v>3201</v>
      </c>
      <c r="S827" s="925"/>
      <c r="T827" s="925"/>
      <c r="U827" s="934" t="s">
        <v>493</v>
      </c>
      <c r="V827" s="934" t="s">
        <v>3406</v>
      </c>
      <c r="W827" s="645"/>
      <c r="X827" s="647" t="s">
        <v>3360</v>
      </c>
      <c r="Y827" s="646" t="s">
        <v>3361</v>
      </c>
      <c r="Z827" s="683">
        <v>2.6389</v>
      </c>
      <c r="AA827" s="960">
        <f t="shared" si="456"/>
        <v>126.6672</v>
      </c>
      <c r="AB827" s="649">
        <v>48</v>
      </c>
      <c r="AC827" s="912">
        <f t="shared" si="461"/>
        <v>0</v>
      </c>
      <c r="AD827" s="942" t="s">
        <v>106</v>
      </c>
      <c r="AE827" s="637" t="s">
        <v>193</v>
      </c>
      <c r="AF827" s="935" t="s">
        <v>107</v>
      </c>
      <c r="AG827" s="652" t="s">
        <v>3244</v>
      </c>
      <c r="AH827" s="646"/>
      <c r="AI827" s="699"/>
      <c r="AJ827" s="699"/>
      <c r="AK827" s="699"/>
      <c r="AL827" s="913"/>
      <c r="AM827" s="649"/>
      <c r="AN827" s="699"/>
      <c r="AO827" s="744"/>
      <c r="AP827" s="947">
        <f t="shared" si="462"/>
        <v>48</v>
      </c>
      <c r="AQ827" s="652"/>
      <c r="AR827" s="744"/>
      <c r="AS827" s="744"/>
      <c r="AT827" s="744"/>
      <c r="AU827" s="959">
        <f t="shared" si="463"/>
        <v>48</v>
      </c>
      <c r="AV827" s="652"/>
      <c r="AW827" s="744"/>
      <c r="AX827" s="744"/>
      <c r="AY827" s="652"/>
      <c r="AZ827" s="700"/>
      <c r="BA827" s="700"/>
      <c r="BB827" s="654"/>
      <c r="BC827" s="700"/>
      <c r="BD827" s="700"/>
      <c r="BE827" s="654"/>
      <c r="BF827" s="700"/>
      <c r="BG827" s="914"/>
      <c r="BH827" s="658"/>
      <c r="BI827" s="915"/>
      <c r="BJ827" s="915"/>
      <c r="BK827" s="915"/>
      <c r="BL827" s="644"/>
      <c r="BM827" s="658"/>
      <c r="BN827" s="644"/>
      <c r="BO827" s="644"/>
      <c r="BP827" s="916"/>
      <c r="BQ827" s="654"/>
      <c r="BR827" s="700"/>
      <c r="BS827" s="654"/>
      <c r="BT827" s="654"/>
      <c r="BU827" s="654"/>
      <c r="BV827" s="654"/>
      <c r="BW827" s="946" t="s">
        <v>109</v>
      </c>
      <c r="BX827" s="658">
        <f t="shared" si="464"/>
        <v>48</v>
      </c>
      <c r="BY827" s="959"/>
      <c r="BZ827" s="959"/>
      <c r="CA827" s="959"/>
      <c r="CB827" s="659">
        <f t="shared" si="465"/>
        <v>48</v>
      </c>
      <c r="CC827" s="959"/>
      <c r="CD827" s="659">
        <f t="shared" si="466"/>
        <v>48</v>
      </c>
      <c r="CE827" s="659">
        <f t="shared" si="467"/>
        <v>0</v>
      </c>
      <c r="CF827" s="917"/>
      <c r="XEN827" s="885"/>
      <c r="XEO827" s="885"/>
      <c r="XEP827" s="885"/>
      <c r="XEQ827" s="885"/>
      <c r="XER827" s="885"/>
      <c r="XES827" s="885"/>
      <c r="XET827" s="885"/>
      <c r="XEU827" s="885"/>
      <c r="XEV827" s="885"/>
      <c r="XEW827" s="885"/>
      <c r="XEX827" s="885"/>
      <c r="XEY827" s="885"/>
      <c r="XEZ827" s="885"/>
      <c r="XFA827" s="885"/>
      <c r="XFB827" s="885"/>
      <c r="XFC827" s="885"/>
      <c r="XFD827" s="885"/>
    </row>
    <row r="828" s="338" customFormat="1" ht="40" customHeight="1" spans="1:84 16368:16384">
      <c r="A828" s="632">
        <v>46171</v>
      </c>
      <c r="B828" s="633" t="s">
        <v>3323</v>
      </c>
      <c r="C828" s="634" t="s">
        <v>178</v>
      </c>
      <c r="D828" s="933">
        <v>4500209617</v>
      </c>
      <c r="E828" s="659" t="s">
        <v>3434</v>
      </c>
      <c r="F828" s="635" t="s">
        <v>3435</v>
      </c>
      <c r="G828" s="637" t="s">
        <v>132</v>
      </c>
      <c r="H828" s="637" t="s">
        <v>99</v>
      </c>
      <c r="I828" s="638">
        <v>24</v>
      </c>
      <c r="J828" s="638">
        <v>0</v>
      </c>
      <c r="K828" s="639">
        <v>24</v>
      </c>
      <c r="L828" s="638">
        <f t="shared" si="455"/>
        <v>1</v>
      </c>
      <c r="M828" s="641">
        <v>46225</v>
      </c>
      <c r="N828" s="641">
        <v>46221</v>
      </c>
      <c r="O828" s="641"/>
      <c r="P828" s="903" t="s">
        <v>100</v>
      </c>
      <c r="Q828" s="643" t="s">
        <v>1411</v>
      </c>
      <c r="R828" s="934" t="s">
        <v>3201</v>
      </c>
      <c r="S828" s="925"/>
      <c r="T828" s="925"/>
      <c r="U828" s="934" t="s">
        <v>493</v>
      </c>
      <c r="V828" s="934" t="s">
        <v>3406</v>
      </c>
      <c r="W828" s="645"/>
      <c r="X828" s="647" t="s">
        <v>3360</v>
      </c>
      <c r="Y828" s="646" t="s">
        <v>3361</v>
      </c>
      <c r="Z828" s="683">
        <v>2.6389</v>
      </c>
      <c r="AA828" s="960">
        <f t="shared" si="456"/>
        <v>63.3336</v>
      </c>
      <c r="AB828" s="649">
        <v>24</v>
      </c>
      <c r="AC828" s="912">
        <f t="shared" si="461"/>
        <v>0</v>
      </c>
      <c r="AD828" s="942" t="s">
        <v>106</v>
      </c>
      <c r="AE828" s="637" t="s">
        <v>193</v>
      </c>
      <c r="AF828" s="935" t="s">
        <v>107</v>
      </c>
      <c r="AG828" s="652" t="s">
        <v>3244</v>
      </c>
      <c r="AH828" s="646"/>
      <c r="AI828" s="699"/>
      <c r="AJ828" s="699"/>
      <c r="AK828" s="699"/>
      <c r="AL828" s="913"/>
      <c r="AM828" s="649"/>
      <c r="AN828" s="699"/>
      <c r="AO828" s="744"/>
      <c r="AP828" s="947">
        <f t="shared" si="462"/>
        <v>24</v>
      </c>
      <c r="AQ828" s="652"/>
      <c r="AR828" s="744"/>
      <c r="AS828" s="744"/>
      <c r="AT828" s="744"/>
      <c r="AU828" s="959">
        <f t="shared" si="463"/>
        <v>24</v>
      </c>
      <c r="AV828" s="652"/>
      <c r="AW828" s="744"/>
      <c r="AX828" s="744"/>
      <c r="AY828" s="652"/>
      <c r="AZ828" s="700"/>
      <c r="BA828" s="700"/>
      <c r="BB828" s="654"/>
      <c r="BC828" s="700"/>
      <c r="BD828" s="700"/>
      <c r="BE828" s="654"/>
      <c r="BF828" s="700"/>
      <c r="BG828" s="914"/>
      <c r="BH828" s="658"/>
      <c r="BI828" s="915"/>
      <c r="BJ828" s="915"/>
      <c r="BK828" s="915"/>
      <c r="BL828" s="644"/>
      <c r="BM828" s="658"/>
      <c r="BN828" s="644"/>
      <c r="BO828" s="644"/>
      <c r="BP828" s="916"/>
      <c r="BQ828" s="654"/>
      <c r="BR828" s="700"/>
      <c r="BS828" s="654"/>
      <c r="BT828" s="654"/>
      <c r="BU828" s="654"/>
      <c r="BV828" s="654"/>
      <c r="BW828" s="946" t="s">
        <v>109</v>
      </c>
      <c r="BX828" s="658">
        <f t="shared" si="464"/>
        <v>24</v>
      </c>
      <c r="BY828" s="959"/>
      <c r="BZ828" s="959"/>
      <c r="CA828" s="959"/>
      <c r="CB828" s="659">
        <f t="shared" si="465"/>
        <v>24</v>
      </c>
      <c r="CC828" s="959"/>
      <c r="CD828" s="659">
        <f t="shared" si="466"/>
        <v>24</v>
      </c>
      <c r="CE828" s="659">
        <f t="shared" si="467"/>
        <v>0</v>
      </c>
      <c r="CF828" s="917"/>
      <c r="XEN828" s="885"/>
      <c r="XEO828" s="885"/>
      <c r="XEP828" s="885"/>
      <c r="XEQ828" s="885"/>
      <c r="XER828" s="885"/>
      <c r="XES828" s="885"/>
      <c r="XET828" s="885"/>
      <c r="XEU828" s="885"/>
      <c r="XEV828" s="885"/>
      <c r="XEW828" s="885"/>
      <c r="XEX828" s="885"/>
      <c r="XEY828" s="885"/>
      <c r="XEZ828" s="885"/>
      <c r="XFA828" s="885"/>
      <c r="XFB828" s="885"/>
      <c r="XFC828" s="885"/>
      <c r="XFD828" s="885"/>
    </row>
    <row r="829" s="338" customFormat="1" ht="40" customHeight="1" spans="1:84 16368:16384">
      <c r="A829" s="632">
        <v>46171</v>
      </c>
      <c r="B829" s="633" t="s">
        <v>3323</v>
      </c>
      <c r="C829" s="634" t="s">
        <v>178</v>
      </c>
      <c r="D829" s="933">
        <v>4500209617</v>
      </c>
      <c r="E829" s="659" t="s">
        <v>3436</v>
      </c>
      <c r="F829" s="635" t="s">
        <v>3437</v>
      </c>
      <c r="G829" s="637" t="s">
        <v>132</v>
      </c>
      <c r="H829" s="637" t="s">
        <v>99</v>
      </c>
      <c r="I829" s="638">
        <v>24</v>
      </c>
      <c r="J829" s="638">
        <v>0</v>
      </c>
      <c r="K829" s="639">
        <v>24</v>
      </c>
      <c r="L829" s="638">
        <f t="shared" si="455"/>
        <v>1</v>
      </c>
      <c r="M829" s="641">
        <v>46225</v>
      </c>
      <c r="N829" s="641">
        <v>46221</v>
      </c>
      <c r="O829" s="641"/>
      <c r="P829" s="903" t="s">
        <v>100</v>
      </c>
      <c r="Q829" s="643" t="s">
        <v>1411</v>
      </c>
      <c r="R829" s="934" t="s">
        <v>3201</v>
      </c>
      <c r="S829" s="925"/>
      <c r="T829" s="925"/>
      <c r="U829" s="934" t="s">
        <v>493</v>
      </c>
      <c r="V829" s="934" t="s">
        <v>3406</v>
      </c>
      <c r="W829" s="645"/>
      <c r="X829" s="647" t="s">
        <v>3360</v>
      </c>
      <c r="Y829" s="646" t="s">
        <v>3361</v>
      </c>
      <c r="Z829" s="683">
        <v>2.6389</v>
      </c>
      <c r="AA829" s="960">
        <f t="shared" si="456"/>
        <v>63.3336</v>
      </c>
      <c r="AB829" s="649">
        <v>24</v>
      </c>
      <c r="AC829" s="912">
        <f t="shared" si="461"/>
        <v>0</v>
      </c>
      <c r="AD829" s="942" t="s">
        <v>106</v>
      </c>
      <c r="AE829" s="637" t="s">
        <v>193</v>
      </c>
      <c r="AF829" s="935" t="s">
        <v>107</v>
      </c>
      <c r="AG829" s="652" t="s">
        <v>3244</v>
      </c>
      <c r="AH829" s="646"/>
      <c r="AI829" s="699"/>
      <c r="AJ829" s="699"/>
      <c r="AK829" s="699"/>
      <c r="AL829" s="913"/>
      <c r="AM829" s="649"/>
      <c r="AN829" s="699"/>
      <c r="AO829" s="744"/>
      <c r="AP829" s="947">
        <f t="shared" si="462"/>
        <v>24</v>
      </c>
      <c r="AQ829" s="652"/>
      <c r="AR829" s="744"/>
      <c r="AS829" s="744"/>
      <c r="AT829" s="744"/>
      <c r="AU829" s="959">
        <f t="shared" si="463"/>
        <v>24</v>
      </c>
      <c r="AV829" s="652"/>
      <c r="AW829" s="744"/>
      <c r="AX829" s="744"/>
      <c r="AY829" s="652"/>
      <c r="AZ829" s="700"/>
      <c r="BA829" s="700"/>
      <c r="BB829" s="654"/>
      <c r="BC829" s="700"/>
      <c r="BD829" s="700"/>
      <c r="BE829" s="654"/>
      <c r="BF829" s="700"/>
      <c r="BG829" s="914"/>
      <c r="BH829" s="658"/>
      <c r="BI829" s="915"/>
      <c r="BJ829" s="915"/>
      <c r="BK829" s="915"/>
      <c r="BL829" s="644"/>
      <c r="BM829" s="658"/>
      <c r="BN829" s="644"/>
      <c r="BO829" s="644"/>
      <c r="BP829" s="916"/>
      <c r="BQ829" s="654"/>
      <c r="BR829" s="700"/>
      <c r="BS829" s="654"/>
      <c r="BT829" s="654"/>
      <c r="BU829" s="654"/>
      <c r="BV829" s="654"/>
      <c r="BW829" s="946" t="s">
        <v>109</v>
      </c>
      <c r="BX829" s="658">
        <f t="shared" si="464"/>
        <v>24</v>
      </c>
      <c r="BY829" s="959"/>
      <c r="BZ829" s="959"/>
      <c r="CA829" s="959"/>
      <c r="CB829" s="659">
        <f t="shared" si="465"/>
        <v>24</v>
      </c>
      <c r="CC829" s="959"/>
      <c r="CD829" s="659">
        <f t="shared" si="466"/>
        <v>24</v>
      </c>
      <c r="CE829" s="659">
        <f t="shared" si="467"/>
        <v>0</v>
      </c>
      <c r="CF829" s="917"/>
      <c r="XEN829" s="885"/>
      <c r="XEO829" s="885"/>
      <c r="XEP829" s="885"/>
      <c r="XEQ829" s="885"/>
      <c r="XER829" s="885"/>
      <c r="XES829" s="885"/>
      <c r="XET829" s="885"/>
      <c r="XEU829" s="885"/>
      <c r="XEV829" s="885"/>
      <c r="XEW829" s="885"/>
      <c r="XEX829" s="885"/>
      <c r="XEY829" s="885"/>
      <c r="XEZ829" s="885"/>
      <c r="XFA829" s="885"/>
      <c r="XFB829" s="885"/>
      <c r="XFC829" s="885"/>
      <c r="XFD829" s="885"/>
    </row>
    <row r="830" s="338" customFormat="1" ht="40" customHeight="1" spans="1:84 16368:16384">
      <c r="A830" s="632">
        <v>46171</v>
      </c>
      <c r="B830" s="633" t="s">
        <v>3323</v>
      </c>
      <c r="C830" s="634" t="s">
        <v>178</v>
      </c>
      <c r="D830" s="933">
        <v>4500209617</v>
      </c>
      <c r="E830" s="659" t="s">
        <v>3438</v>
      </c>
      <c r="F830" s="635" t="s">
        <v>3439</v>
      </c>
      <c r="G830" s="637" t="s">
        <v>132</v>
      </c>
      <c r="H830" s="637" t="s">
        <v>99</v>
      </c>
      <c r="I830" s="638">
        <v>24</v>
      </c>
      <c r="J830" s="638">
        <v>0</v>
      </c>
      <c r="K830" s="639">
        <v>24</v>
      </c>
      <c r="L830" s="638">
        <f t="shared" si="455"/>
        <v>1</v>
      </c>
      <c r="M830" s="641">
        <v>46225</v>
      </c>
      <c r="N830" s="641">
        <v>46221</v>
      </c>
      <c r="O830" s="641"/>
      <c r="P830" s="903" t="s">
        <v>100</v>
      </c>
      <c r="Q830" s="643" t="s">
        <v>1411</v>
      </c>
      <c r="R830" s="934" t="s">
        <v>3201</v>
      </c>
      <c r="S830" s="925"/>
      <c r="T830" s="925"/>
      <c r="U830" s="934" t="s">
        <v>493</v>
      </c>
      <c r="V830" s="934" t="s">
        <v>3406</v>
      </c>
      <c r="W830" s="645"/>
      <c r="X830" s="647" t="s">
        <v>3360</v>
      </c>
      <c r="Y830" s="646" t="s">
        <v>3361</v>
      </c>
      <c r="Z830" s="683">
        <v>2.6389</v>
      </c>
      <c r="AA830" s="960">
        <f t="shared" si="456"/>
        <v>63.3336</v>
      </c>
      <c r="AB830" s="649">
        <v>24</v>
      </c>
      <c r="AC830" s="912">
        <f t="shared" si="461"/>
        <v>0</v>
      </c>
      <c r="AD830" s="942" t="s">
        <v>106</v>
      </c>
      <c r="AE830" s="637" t="s">
        <v>193</v>
      </c>
      <c r="AF830" s="935" t="s">
        <v>107</v>
      </c>
      <c r="AG830" s="652" t="s">
        <v>3244</v>
      </c>
      <c r="AH830" s="646"/>
      <c r="AI830" s="699"/>
      <c r="AJ830" s="699"/>
      <c r="AK830" s="699"/>
      <c r="AL830" s="913"/>
      <c r="AM830" s="649"/>
      <c r="AN830" s="699"/>
      <c r="AO830" s="744"/>
      <c r="AP830" s="947">
        <f t="shared" si="462"/>
        <v>24</v>
      </c>
      <c r="AQ830" s="652"/>
      <c r="AR830" s="744"/>
      <c r="AS830" s="744"/>
      <c r="AT830" s="744"/>
      <c r="AU830" s="959">
        <f t="shared" si="463"/>
        <v>24</v>
      </c>
      <c r="AV830" s="652"/>
      <c r="AW830" s="744"/>
      <c r="AX830" s="744"/>
      <c r="AY830" s="652"/>
      <c r="AZ830" s="700"/>
      <c r="BA830" s="700"/>
      <c r="BB830" s="654"/>
      <c r="BC830" s="700"/>
      <c r="BD830" s="700"/>
      <c r="BE830" s="654"/>
      <c r="BF830" s="700"/>
      <c r="BG830" s="914"/>
      <c r="BH830" s="658"/>
      <c r="BI830" s="915"/>
      <c r="BJ830" s="915"/>
      <c r="BK830" s="915"/>
      <c r="BL830" s="644"/>
      <c r="BM830" s="658"/>
      <c r="BN830" s="644"/>
      <c r="BO830" s="644"/>
      <c r="BP830" s="916"/>
      <c r="BQ830" s="654"/>
      <c r="BR830" s="700"/>
      <c r="BS830" s="654"/>
      <c r="BT830" s="654"/>
      <c r="BU830" s="654"/>
      <c r="BV830" s="654"/>
      <c r="BW830" s="946" t="s">
        <v>109</v>
      </c>
      <c r="BX830" s="658">
        <f t="shared" si="464"/>
        <v>24</v>
      </c>
      <c r="BY830" s="959"/>
      <c r="BZ830" s="959"/>
      <c r="CA830" s="959"/>
      <c r="CB830" s="659">
        <f t="shared" si="465"/>
        <v>24</v>
      </c>
      <c r="CC830" s="959"/>
      <c r="CD830" s="659">
        <f t="shared" si="466"/>
        <v>24</v>
      </c>
      <c r="CE830" s="659">
        <f t="shared" si="467"/>
        <v>0</v>
      </c>
      <c r="CF830" s="917"/>
      <c r="XEN830" s="885"/>
      <c r="XEO830" s="885"/>
      <c r="XEP830" s="885"/>
      <c r="XEQ830" s="885"/>
      <c r="XER830" s="885"/>
      <c r="XES830" s="885"/>
      <c r="XET830" s="885"/>
      <c r="XEU830" s="885"/>
      <c r="XEV830" s="885"/>
      <c r="XEW830" s="885"/>
      <c r="XEX830" s="885"/>
      <c r="XEY830" s="885"/>
      <c r="XEZ830" s="885"/>
      <c r="XFA830" s="885"/>
      <c r="XFB830" s="885"/>
      <c r="XFC830" s="885"/>
      <c r="XFD830" s="885"/>
    </row>
    <row r="831" s="338" customFormat="1" ht="40" customHeight="1" spans="1:84 16368:16384">
      <c r="A831" s="632">
        <v>46171</v>
      </c>
      <c r="B831" s="633" t="s">
        <v>3323</v>
      </c>
      <c r="C831" s="634" t="s">
        <v>178</v>
      </c>
      <c r="D831" s="933">
        <v>4500209617</v>
      </c>
      <c r="E831" s="659" t="s">
        <v>3440</v>
      </c>
      <c r="F831" s="635" t="s">
        <v>3441</v>
      </c>
      <c r="G831" s="637" t="s">
        <v>132</v>
      </c>
      <c r="H831" s="637" t="s">
        <v>99</v>
      </c>
      <c r="I831" s="638">
        <v>24</v>
      </c>
      <c r="J831" s="638">
        <v>0</v>
      </c>
      <c r="K831" s="639">
        <v>24</v>
      </c>
      <c r="L831" s="638">
        <f t="shared" si="455"/>
        <v>1</v>
      </c>
      <c r="M831" s="641">
        <v>46225</v>
      </c>
      <c r="N831" s="641">
        <v>46221</v>
      </c>
      <c r="O831" s="641"/>
      <c r="P831" s="903" t="s">
        <v>100</v>
      </c>
      <c r="Q831" s="643" t="s">
        <v>1411</v>
      </c>
      <c r="R831" s="934" t="s">
        <v>3201</v>
      </c>
      <c r="S831" s="925"/>
      <c r="T831" s="925"/>
      <c r="U831" s="934" t="s">
        <v>493</v>
      </c>
      <c r="V831" s="934" t="s">
        <v>3406</v>
      </c>
      <c r="W831" s="645"/>
      <c r="X831" s="647" t="s">
        <v>3360</v>
      </c>
      <c r="Y831" s="646" t="s">
        <v>3361</v>
      </c>
      <c r="Z831" s="683">
        <v>2.6389</v>
      </c>
      <c r="AA831" s="960">
        <f t="shared" si="456"/>
        <v>63.3336</v>
      </c>
      <c r="AB831" s="649">
        <v>24</v>
      </c>
      <c r="AC831" s="912">
        <f t="shared" si="461"/>
        <v>0</v>
      </c>
      <c r="AD831" s="942" t="s">
        <v>106</v>
      </c>
      <c r="AE831" s="637" t="s">
        <v>193</v>
      </c>
      <c r="AF831" s="935" t="s">
        <v>107</v>
      </c>
      <c r="AG831" s="652" t="s">
        <v>3244</v>
      </c>
      <c r="AH831" s="646"/>
      <c r="AI831" s="699"/>
      <c r="AJ831" s="699"/>
      <c r="AK831" s="699"/>
      <c r="AL831" s="913"/>
      <c r="AM831" s="649"/>
      <c r="AN831" s="699"/>
      <c r="AO831" s="744"/>
      <c r="AP831" s="947">
        <f t="shared" si="462"/>
        <v>24</v>
      </c>
      <c r="AQ831" s="652"/>
      <c r="AR831" s="744"/>
      <c r="AS831" s="744"/>
      <c r="AT831" s="744"/>
      <c r="AU831" s="959">
        <f t="shared" si="463"/>
        <v>24</v>
      </c>
      <c r="AV831" s="652"/>
      <c r="AW831" s="744"/>
      <c r="AX831" s="744"/>
      <c r="AY831" s="652"/>
      <c r="AZ831" s="700"/>
      <c r="BA831" s="700"/>
      <c r="BB831" s="654"/>
      <c r="BC831" s="700"/>
      <c r="BD831" s="700"/>
      <c r="BE831" s="654"/>
      <c r="BF831" s="700"/>
      <c r="BG831" s="914"/>
      <c r="BH831" s="658"/>
      <c r="BI831" s="915"/>
      <c r="BJ831" s="915"/>
      <c r="BK831" s="915"/>
      <c r="BL831" s="644"/>
      <c r="BM831" s="658"/>
      <c r="BN831" s="644"/>
      <c r="BO831" s="644"/>
      <c r="BP831" s="916"/>
      <c r="BQ831" s="654"/>
      <c r="BR831" s="700"/>
      <c r="BS831" s="654"/>
      <c r="BT831" s="654"/>
      <c r="BU831" s="654"/>
      <c r="BV831" s="654"/>
      <c r="BW831" s="946" t="s">
        <v>109</v>
      </c>
      <c r="BX831" s="658">
        <f t="shared" si="464"/>
        <v>24</v>
      </c>
      <c r="BY831" s="959"/>
      <c r="BZ831" s="959"/>
      <c r="CA831" s="959"/>
      <c r="CB831" s="659">
        <f t="shared" si="465"/>
        <v>24</v>
      </c>
      <c r="CC831" s="959"/>
      <c r="CD831" s="659">
        <f t="shared" si="466"/>
        <v>24</v>
      </c>
      <c r="CE831" s="659">
        <f t="shared" si="467"/>
        <v>0</v>
      </c>
      <c r="CF831" s="917"/>
      <c r="XEN831" s="885"/>
      <c r="XEO831" s="885"/>
      <c r="XEP831" s="885"/>
      <c r="XEQ831" s="885"/>
      <c r="XER831" s="885"/>
      <c r="XES831" s="885"/>
      <c r="XET831" s="885"/>
      <c r="XEU831" s="885"/>
      <c r="XEV831" s="885"/>
      <c r="XEW831" s="885"/>
      <c r="XEX831" s="885"/>
      <c r="XEY831" s="885"/>
      <c r="XEZ831" s="885"/>
      <c r="XFA831" s="885"/>
      <c r="XFB831" s="885"/>
      <c r="XFC831" s="885"/>
      <c r="XFD831" s="885"/>
    </row>
    <row r="832" s="338" customFormat="1" ht="40" customHeight="1" spans="1:84 16368:16384">
      <c r="A832" s="632">
        <v>46171</v>
      </c>
      <c r="B832" s="633" t="s">
        <v>3323</v>
      </c>
      <c r="C832" s="634" t="s">
        <v>178</v>
      </c>
      <c r="D832" s="933">
        <v>4500209617</v>
      </c>
      <c r="E832" s="659" t="s">
        <v>3442</v>
      </c>
      <c r="F832" s="635" t="s">
        <v>3443</v>
      </c>
      <c r="G832" s="637" t="s">
        <v>141</v>
      </c>
      <c r="H832" s="637" t="s">
        <v>99</v>
      </c>
      <c r="I832" s="638">
        <v>96</v>
      </c>
      <c r="J832" s="638">
        <v>0</v>
      </c>
      <c r="K832" s="639">
        <v>24</v>
      </c>
      <c r="L832" s="638">
        <f t="shared" si="455"/>
        <v>4</v>
      </c>
      <c r="M832" s="641">
        <v>46225</v>
      </c>
      <c r="N832" s="641">
        <v>46221</v>
      </c>
      <c r="O832" s="641"/>
      <c r="P832" s="903" t="s">
        <v>100</v>
      </c>
      <c r="Q832" s="643" t="s">
        <v>1411</v>
      </c>
      <c r="R832" s="934" t="s">
        <v>3201</v>
      </c>
      <c r="S832" s="925"/>
      <c r="T832" s="925"/>
      <c r="U832" s="934" t="s">
        <v>493</v>
      </c>
      <c r="V832" s="934" t="s">
        <v>3406</v>
      </c>
      <c r="W832" s="645"/>
      <c r="X832" s="647" t="s">
        <v>3360</v>
      </c>
      <c r="Y832" s="646" t="s">
        <v>3361</v>
      </c>
      <c r="Z832" s="683">
        <v>2.6389</v>
      </c>
      <c r="AA832" s="960">
        <f t="shared" ref="AA832:AA837" si="468">I832*Z832</f>
        <v>253.3344</v>
      </c>
      <c r="AB832" s="649">
        <v>96</v>
      </c>
      <c r="AC832" s="912">
        <f t="shared" ref="AC832:AC863" si="469">AB832-I832</f>
        <v>0</v>
      </c>
      <c r="AD832" s="942" t="s">
        <v>106</v>
      </c>
      <c r="AE832" s="637" t="s">
        <v>153</v>
      </c>
      <c r="AF832" s="935" t="s">
        <v>107</v>
      </c>
      <c r="AG832" s="652" t="s">
        <v>3244</v>
      </c>
      <c r="AH832" s="646"/>
      <c r="AI832" s="699"/>
      <c r="AJ832" s="699"/>
      <c r="AK832" s="699"/>
      <c r="AL832" s="913"/>
      <c r="AM832" s="649"/>
      <c r="AN832" s="699"/>
      <c r="AO832" s="744"/>
      <c r="AP832" s="947">
        <f t="shared" si="462"/>
        <v>96</v>
      </c>
      <c r="AQ832" s="652"/>
      <c r="AR832" s="744"/>
      <c r="AS832" s="744"/>
      <c r="AT832" s="744"/>
      <c r="AU832" s="959">
        <f t="shared" si="463"/>
        <v>96</v>
      </c>
      <c r="AV832" s="652"/>
      <c r="AW832" s="744"/>
      <c r="AX832" s="744"/>
      <c r="AY832" s="652"/>
      <c r="AZ832" s="700"/>
      <c r="BA832" s="700"/>
      <c r="BB832" s="654"/>
      <c r="BC832" s="700"/>
      <c r="BD832" s="700"/>
      <c r="BE832" s="654"/>
      <c r="BF832" s="700"/>
      <c r="BG832" s="914"/>
      <c r="BH832" s="658"/>
      <c r="BI832" s="915"/>
      <c r="BJ832" s="915"/>
      <c r="BK832" s="915"/>
      <c r="BL832" s="644"/>
      <c r="BM832" s="658"/>
      <c r="BN832" s="644"/>
      <c r="BO832" s="644"/>
      <c r="BP832" s="916"/>
      <c r="BQ832" s="654"/>
      <c r="BR832" s="700"/>
      <c r="BS832" s="654"/>
      <c r="BT832" s="654"/>
      <c r="BU832" s="654"/>
      <c r="BV832" s="654"/>
      <c r="BW832" s="946" t="s">
        <v>109</v>
      </c>
      <c r="BX832" s="658"/>
      <c r="BY832" s="959"/>
      <c r="BZ832" s="959">
        <f t="shared" ref="BZ832:BZ837" si="470">I832</f>
        <v>96</v>
      </c>
      <c r="CA832" s="959"/>
      <c r="CB832" s="659">
        <f t="shared" ref="CB832:CB839" si="471">I832</f>
        <v>96</v>
      </c>
      <c r="CC832" s="959"/>
      <c r="CD832" s="659">
        <f t="shared" ref="CD832:CD840" si="472">SUM(BX832:CA832)</f>
        <v>96</v>
      </c>
      <c r="CE832" s="659">
        <f t="shared" ref="CE832:CE840" si="473">I832-CD832</f>
        <v>0</v>
      </c>
      <c r="CF832" s="917"/>
      <c r="XEN832" s="885"/>
      <c r="XEO832" s="885"/>
      <c r="XEP832" s="885"/>
      <c r="XEQ832" s="885"/>
      <c r="XER832" s="885"/>
      <c r="XES832" s="885"/>
      <c r="XET832" s="885"/>
      <c r="XEU832" s="885"/>
      <c r="XEV832" s="885"/>
      <c r="XEW832" s="885"/>
      <c r="XEX832" s="885"/>
      <c r="XEY832" s="885"/>
      <c r="XEZ832" s="885"/>
      <c r="XFA832" s="885"/>
      <c r="XFB832" s="885"/>
      <c r="XFC832" s="885"/>
      <c r="XFD832" s="885"/>
    </row>
    <row r="833" s="338" customFormat="1" ht="40" customHeight="1" spans="1:84 16346:16384">
      <c r="A833" s="632">
        <v>46171</v>
      </c>
      <c r="B833" s="633" t="s">
        <v>3323</v>
      </c>
      <c r="C833" s="634" t="s">
        <v>178</v>
      </c>
      <c r="D833" s="933">
        <v>4500209617</v>
      </c>
      <c r="E833" s="659" t="s">
        <v>3444</v>
      </c>
      <c r="F833" s="635" t="s">
        <v>3445</v>
      </c>
      <c r="G833" s="637" t="s">
        <v>141</v>
      </c>
      <c r="H833" s="637" t="s">
        <v>99</v>
      </c>
      <c r="I833" s="638">
        <v>24</v>
      </c>
      <c r="J833" s="638">
        <v>0</v>
      </c>
      <c r="K833" s="639">
        <v>24</v>
      </c>
      <c r="L833" s="638">
        <f t="shared" si="455"/>
        <v>1</v>
      </c>
      <c r="M833" s="641">
        <v>46225</v>
      </c>
      <c r="N833" s="641">
        <v>46221</v>
      </c>
      <c r="O833" s="641"/>
      <c r="P833" s="903" t="s">
        <v>100</v>
      </c>
      <c r="Q833" s="643" t="s">
        <v>1411</v>
      </c>
      <c r="R833" s="934" t="s">
        <v>3201</v>
      </c>
      <c r="S833" s="925"/>
      <c r="T833" s="925"/>
      <c r="U833" s="934" t="s">
        <v>493</v>
      </c>
      <c r="V833" s="934" t="s">
        <v>3406</v>
      </c>
      <c r="W833" s="645"/>
      <c r="X833" s="647" t="s">
        <v>3360</v>
      </c>
      <c r="Y833" s="646" t="s">
        <v>3361</v>
      </c>
      <c r="Z833" s="683">
        <v>2.6389</v>
      </c>
      <c r="AA833" s="960">
        <f t="shared" si="468"/>
        <v>63.3336</v>
      </c>
      <c r="AB833" s="649">
        <v>24</v>
      </c>
      <c r="AC833" s="912">
        <f t="shared" si="469"/>
        <v>0</v>
      </c>
      <c r="AD833" s="942" t="s">
        <v>106</v>
      </c>
      <c r="AE833" s="637" t="s">
        <v>153</v>
      </c>
      <c r="AF833" s="935" t="s">
        <v>107</v>
      </c>
      <c r="AG833" s="652" t="s">
        <v>3244</v>
      </c>
      <c r="AH833" s="646"/>
      <c r="AI833" s="699"/>
      <c r="AJ833" s="699"/>
      <c r="AK833" s="699"/>
      <c r="AL833" s="913"/>
      <c r="AM833" s="649"/>
      <c r="AN833" s="699"/>
      <c r="AO833" s="744"/>
      <c r="AP833" s="947">
        <f t="shared" si="462"/>
        <v>24</v>
      </c>
      <c r="AQ833" s="652"/>
      <c r="AR833" s="744"/>
      <c r="AS833" s="744"/>
      <c r="AT833" s="744"/>
      <c r="AU833" s="959">
        <f t="shared" si="463"/>
        <v>24</v>
      </c>
      <c r="AV833" s="652"/>
      <c r="AW833" s="744"/>
      <c r="AX833" s="744"/>
      <c r="AY833" s="652"/>
      <c r="AZ833" s="700"/>
      <c r="BA833" s="700"/>
      <c r="BB833" s="654"/>
      <c r="BC833" s="700"/>
      <c r="BD833" s="700"/>
      <c r="BE833" s="654"/>
      <c r="BF833" s="700"/>
      <c r="BG833" s="914"/>
      <c r="BH833" s="658"/>
      <c r="BI833" s="915"/>
      <c r="BJ833" s="915"/>
      <c r="BK833" s="915"/>
      <c r="BL833" s="644"/>
      <c r="BM833" s="658"/>
      <c r="BN833" s="644"/>
      <c r="BO833" s="644"/>
      <c r="BP833" s="916"/>
      <c r="BQ833" s="654"/>
      <c r="BR833" s="700"/>
      <c r="BS833" s="654"/>
      <c r="BT833" s="654"/>
      <c r="BU833" s="654"/>
      <c r="BV833" s="654"/>
      <c r="BW833" s="946" t="s">
        <v>109</v>
      </c>
      <c r="BX833" s="658"/>
      <c r="BY833" s="959"/>
      <c r="BZ833" s="959">
        <f t="shared" si="470"/>
        <v>24</v>
      </c>
      <c r="CA833" s="959"/>
      <c r="CB833" s="659">
        <f t="shared" si="471"/>
        <v>24</v>
      </c>
      <c r="CC833" s="959"/>
      <c r="CD833" s="659">
        <f t="shared" si="472"/>
        <v>24</v>
      </c>
      <c r="CE833" s="659">
        <f t="shared" si="473"/>
        <v>0</v>
      </c>
      <c r="CF833" s="917"/>
      <c r="XEN833" s="885"/>
      <c r="XEO833" s="885"/>
      <c r="XEP833" s="885"/>
      <c r="XEQ833" s="885"/>
      <c r="XER833" s="885"/>
      <c r="XES833" s="885"/>
      <c r="XET833" s="885"/>
      <c r="XEU833" s="885"/>
      <c r="XEV833" s="885"/>
      <c r="XEW833" s="885"/>
      <c r="XEX833" s="885"/>
      <c r="XEY833" s="885"/>
      <c r="XEZ833" s="885"/>
      <c r="XFA833" s="885"/>
      <c r="XFB833" s="885"/>
      <c r="XFC833" s="885"/>
      <c r="XFD833" s="885"/>
    </row>
    <row r="834" s="338" customFormat="1" ht="40" customHeight="1" spans="1:84 16346:16384">
      <c r="A834" s="632">
        <v>46171</v>
      </c>
      <c r="B834" s="633" t="s">
        <v>3323</v>
      </c>
      <c r="C834" s="634" t="s">
        <v>178</v>
      </c>
      <c r="D834" s="933">
        <v>4500209617</v>
      </c>
      <c r="E834" s="659" t="s">
        <v>3446</v>
      </c>
      <c r="F834" s="635" t="s">
        <v>3447</v>
      </c>
      <c r="G834" s="637" t="s">
        <v>141</v>
      </c>
      <c r="H834" s="637" t="s">
        <v>99</v>
      </c>
      <c r="I834" s="638">
        <v>48</v>
      </c>
      <c r="J834" s="638">
        <v>0</v>
      </c>
      <c r="K834" s="639">
        <v>24</v>
      </c>
      <c r="L834" s="638">
        <f t="shared" si="455"/>
        <v>2</v>
      </c>
      <c r="M834" s="641">
        <v>46225</v>
      </c>
      <c r="N834" s="641">
        <v>46221</v>
      </c>
      <c r="O834" s="641"/>
      <c r="P834" s="903" t="s">
        <v>100</v>
      </c>
      <c r="Q834" s="643" t="s">
        <v>1411</v>
      </c>
      <c r="R834" s="934" t="s">
        <v>3201</v>
      </c>
      <c r="S834" s="925"/>
      <c r="T834" s="925"/>
      <c r="U834" s="934" t="s">
        <v>493</v>
      </c>
      <c r="V834" s="934" t="s">
        <v>3406</v>
      </c>
      <c r="W834" s="645"/>
      <c r="X834" s="647" t="s">
        <v>3360</v>
      </c>
      <c r="Y834" s="646" t="s">
        <v>3361</v>
      </c>
      <c r="Z834" s="683">
        <v>2.6389</v>
      </c>
      <c r="AA834" s="960">
        <f t="shared" si="468"/>
        <v>126.6672</v>
      </c>
      <c r="AB834" s="649">
        <v>48</v>
      </c>
      <c r="AC834" s="912">
        <f t="shared" si="469"/>
        <v>0</v>
      </c>
      <c r="AD834" s="942" t="s">
        <v>106</v>
      </c>
      <c r="AE834" s="637" t="s">
        <v>153</v>
      </c>
      <c r="AF834" s="935" t="s">
        <v>107</v>
      </c>
      <c r="AG834" s="652" t="s">
        <v>3244</v>
      </c>
      <c r="AH834" s="646"/>
      <c r="AI834" s="699"/>
      <c r="AJ834" s="699"/>
      <c r="AK834" s="699"/>
      <c r="AL834" s="913"/>
      <c r="AM834" s="649"/>
      <c r="AN834" s="699"/>
      <c r="AO834" s="744"/>
      <c r="AP834" s="947">
        <f t="shared" si="462"/>
        <v>48</v>
      </c>
      <c r="AQ834" s="652"/>
      <c r="AR834" s="744"/>
      <c r="AS834" s="744"/>
      <c r="AT834" s="744"/>
      <c r="AU834" s="959">
        <f t="shared" si="463"/>
        <v>48</v>
      </c>
      <c r="AV834" s="652"/>
      <c r="AW834" s="744"/>
      <c r="AX834" s="744"/>
      <c r="AY834" s="652"/>
      <c r="AZ834" s="700"/>
      <c r="BA834" s="700"/>
      <c r="BB834" s="654"/>
      <c r="BC834" s="700"/>
      <c r="BD834" s="700"/>
      <c r="BE834" s="654"/>
      <c r="BF834" s="700"/>
      <c r="BG834" s="914"/>
      <c r="BH834" s="658"/>
      <c r="BI834" s="915"/>
      <c r="BJ834" s="915"/>
      <c r="BK834" s="915"/>
      <c r="BL834" s="644"/>
      <c r="BM834" s="658"/>
      <c r="BN834" s="644"/>
      <c r="BO834" s="644"/>
      <c r="BP834" s="916"/>
      <c r="BQ834" s="654"/>
      <c r="BR834" s="700"/>
      <c r="BS834" s="654"/>
      <c r="BT834" s="654"/>
      <c r="BU834" s="654"/>
      <c r="BV834" s="654"/>
      <c r="BW834" s="946" t="s">
        <v>109</v>
      </c>
      <c r="BX834" s="658"/>
      <c r="BY834" s="959"/>
      <c r="BZ834" s="959">
        <f t="shared" si="470"/>
        <v>48</v>
      </c>
      <c r="CA834" s="959"/>
      <c r="CB834" s="659">
        <f t="shared" si="471"/>
        <v>48</v>
      </c>
      <c r="CC834" s="959"/>
      <c r="CD834" s="659">
        <f t="shared" si="472"/>
        <v>48</v>
      </c>
      <c r="CE834" s="659">
        <f t="shared" si="473"/>
        <v>0</v>
      </c>
      <c r="CF834" s="917"/>
      <c r="XEN834" s="885"/>
      <c r="XEO834" s="885"/>
      <c r="XEP834" s="885"/>
      <c r="XEQ834" s="885"/>
      <c r="XER834" s="885"/>
      <c r="XES834" s="885"/>
      <c r="XET834" s="885"/>
      <c r="XEU834" s="885"/>
      <c r="XEV834" s="885"/>
      <c r="XEW834" s="885"/>
      <c r="XEX834" s="885"/>
      <c r="XEY834" s="885"/>
      <c r="XEZ834" s="885"/>
      <c r="XFA834" s="885"/>
      <c r="XFB834" s="885"/>
      <c r="XFC834" s="885"/>
      <c r="XFD834" s="885"/>
    </row>
    <row r="835" s="338" customFormat="1" ht="40" customHeight="1" spans="1:84 16346:16384">
      <c r="A835" s="632">
        <v>46171</v>
      </c>
      <c r="B835" s="633" t="s">
        <v>3323</v>
      </c>
      <c r="C835" s="634" t="s">
        <v>178</v>
      </c>
      <c r="D835" s="933">
        <v>4500209617</v>
      </c>
      <c r="E835" s="659" t="s">
        <v>3448</v>
      </c>
      <c r="F835" s="635" t="s">
        <v>3449</v>
      </c>
      <c r="G835" s="637" t="s">
        <v>141</v>
      </c>
      <c r="H835" s="637" t="s">
        <v>99</v>
      </c>
      <c r="I835" s="638">
        <v>24</v>
      </c>
      <c r="J835" s="638">
        <v>0</v>
      </c>
      <c r="K835" s="639">
        <v>24</v>
      </c>
      <c r="L835" s="638">
        <f t="shared" si="455"/>
        <v>1</v>
      </c>
      <c r="M835" s="641">
        <v>46225</v>
      </c>
      <c r="N835" s="641">
        <v>46221</v>
      </c>
      <c r="O835" s="641"/>
      <c r="P835" s="903" t="s">
        <v>100</v>
      </c>
      <c r="Q835" s="643" t="s">
        <v>1411</v>
      </c>
      <c r="R835" s="934" t="s">
        <v>3201</v>
      </c>
      <c r="S835" s="925"/>
      <c r="T835" s="925"/>
      <c r="U835" s="934" t="s">
        <v>493</v>
      </c>
      <c r="V835" s="934" t="s">
        <v>3406</v>
      </c>
      <c r="W835" s="645"/>
      <c r="X835" s="647" t="s">
        <v>3360</v>
      </c>
      <c r="Y835" s="646" t="s">
        <v>3361</v>
      </c>
      <c r="Z835" s="683">
        <v>2.6389</v>
      </c>
      <c r="AA835" s="960">
        <f t="shared" si="468"/>
        <v>63.3336</v>
      </c>
      <c r="AB835" s="649">
        <v>24</v>
      </c>
      <c r="AC835" s="912">
        <f t="shared" si="469"/>
        <v>0</v>
      </c>
      <c r="AD835" s="942" t="s">
        <v>106</v>
      </c>
      <c r="AE835" s="637" t="s">
        <v>153</v>
      </c>
      <c r="AF835" s="935" t="s">
        <v>107</v>
      </c>
      <c r="AG835" s="652" t="s">
        <v>3244</v>
      </c>
      <c r="AH835" s="646"/>
      <c r="AI835" s="699"/>
      <c r="AJ835" s="699"/>
      <c r="AK835" s="699"/>
      <c r="AL835" s="913"/>
      <c r="AM835" s="649"/>
      <c r="AN835" s="699"/>
      <c r="AO835" s="744"/>
      <c r="AP835" s="947">
        <f t="shared" si="462"/>
        <v>24</v>
      </c>
      <c r="AQ835" s="652"/>
      <c r="AR835" s="744"/>
      <c r="AS835" s="744"/>
      <c r="AT835" s="744"/>
      <c r="AU835" s="959">
        <f t="shared" si="463"/>
        <v>24</v>
      </c>
      <c r="AV835" s="652"/>
      <c r="AW835" s="744"/>
      <c r="AX835" s="744"/>
      <c r="AY835" s="652"/>
      <c r="AZ835" s="700"/>
      <c r="BA835" s="700"/>
      <c r="BB835" s="654"/>
      <c r="BC835" s="700"/>
      <c r="BD835" s="700"/>
      <c r="BE835" s="654"/>
      <c r="BF835" s="700"/>
      <c r="BG835" s="914"/>
      <c r="BH835" s="658"/>
      <c r="BI835" s="915"/>
      <c r="BJ835" s="915"/>
      <c r="BK835" s="915"/>
      <c r="BL835" s="644"/>
      <c r="BM835" s="658"/>
      <c r="BN835" s="644"/>
      <c r="BO835" s="644"/>
      <c r="BP835" s="916"/>
      <c r="BQ835" s="654"/>
      <c r="BR835" s="700"/>
      <c r="BS835" s="654"/>
      <c r="BT835" s="654"/>
      <c r="BU835" s="654"/>
      <c r="BV835" s="654"/>
      <c r="BW835" s="946" t="s">
        <v>109</v>
      </c>
      <c r="BX835" s="658"/>
      <c r="BY835" s="959"/>
      <c r="BZ835" s="959">
        <f t="shared" si="470"/>
        <v>24</v>
      </c>
      <c r="CA835" s="959"/>
      <c r="CB835" s="659">
        <f t="shared" si="471"/>
        <v>24</v>
      </c>
      <c r="CC835" s="959"/>
      <c r="CD835" s="659">
        <f t="shared" si="472"/>
        <v>24</v>
      </c>
      <c r="CE835" s="659">
        <f t="shared" si="473"/>
        <v>0</v>
      </c>
      <c r="CF835" s="917"/>
      <c r="XEN835" s="885"/>
      <c r="XEO835" s="885"/>
      <c r="XEP835" s="885"/>
      <c r="XEQ835" s="885"/>
      <c r="XER835" s="885"/>
      <c r="XES835" s="885"/>
      <c r="XET835" s="885"/>
      <c r="XEU835" s="885"/>
      <c r="XEV835" s="885"/>
      <c r="XEW835" s="885"/>
      <c r="XEX835" s="885"/>
      <c r="XEY835" s="885"/>
      <c r="XEZ835" s="885"/>
      <c r="XFA835" s="885"/>
      <c r="XFB835" s="885"/>
      <c r="XFC835" s="885"/>
      <c r="XFD835" s="885"/>
    </row>
    <row r="836" s="338" customFormat="1" ht="40" customHeight="1" spans="1:84 16346:16384">
      <c r="A836" s="632">
        <v>46171</v>
      </c>
      <c r="B836" s="633" t="s">
        <v>3323</v>
      </c>
      <c r="C836" s="634" t="s">
        <v>178</v>
      </c>
      <c r="D836" s="933">
        <v>4500209617</v>
      </c>
      <c r="E836" s="659" t="s">
        <v>3450</v>
      </c>
      <c r="F836" s="635" t="s">
        <v>3451</v>
      </c>
      <c r="G836" s="637" t="s">
        <v>141</v>
      </c>
      <c r="H836" s="637" t="s">
        <v>99</v>
      </c>
      <c r="I836" s="638">
        <v>24</v>
      </c>
      <c r="J836" s="638">
        <v>0</v>
      </c>
      <c r="K836" s="639">
        <v>24</v>
      </c>
      <c r="L836" s="638">
        <f t="shared" si="455"/>
        <v>1</v>
      </c>
      <c r="M836" s="641">
        <v>46225</v>
      </c>
      <c r="N836" s="641">
        <v>46221</v>
      </c>
      <c r="O836" s="641"/>
      <c r="P836" s="903" t="s">
        <v>100</v>
      </c>
      <c r="Q836" s="643" t="s">
        <v>1411</v>
      </c>
      <c r="R836" s="934" t="s">
        <v>3201</v>
      </c>
      <c r="S836" s="925"/>
      <c r="T836" s="925"/>
      <c r="U836" s="934" t="s">
        <v>493</v>
      </c>
      <c r="V836" s="934" t="s">
        <v>3406</v>
      </c>
      <c r="W836" s="645"/>
      <c r="X836" s="647" t="s">
        <v>3360</v>
      </c>
      <c r="Y836" s="646" t="s">
        <v>3361</v>
      </c>
      <c r="Z836" s="683">
        <v>2.6389</v>
      </c>
      <c r="AA836" s="960">
        <f t="shared" si="468"/>
        <v>63.3336</v>
      </c>
      <c r="AB836" s="649">
        <v>24</v>
      </c>
      <c r="AC836" s="912">
        <f t="shared" si="469"/>
        <v>0</v>
      </c>
      <c r="AD836" s="942" t="s">
        <v>106</v>
      </c>
      <c r="AE836" s="637" t="s">
        <v>153</v>
      </c>
      <c r="AF836" s="935" t="s">
        <v>107</v>
      </c>
      <c r="AG836" s="652" t="s">
        <v>3244</v>
      </c>
      <c r="AH836" s="646"/>
      <c r="AI836" s="699"/>
      <c r="AJ836" s="699"/>
      <c r="AK836" s="699"/>
      <c r="AL836" s="913"/>
      <c r="AM836" s="649"/>
      <c r="AN836" s="699"/>
      <c r="AO836" s="744"/>
      <c r="AP836" s="947">
        <f t="shared" si="462"/>
        <v>24</v>
      </c>
      <c r="AQ836" s="652"/>
      <c r="AR836" s="744"/>
      <c r="AS836" s="744"/>
      <c r="AT836" s="744"/>
      <c r="AU836" s="959">
        <f t="shared" si="463"/>
        <v>24</v>
      </c>
      <c r="AV836" s="652"/>
      <c r="AW836" s="744"/>
      <c r="AX836" s="744"/>
      <c r="AY836" s="652"/>
      <c r="AZ836" s="700"/>
      <c r="BA836" s="700"/>
      <c r="BB836" s="654"/>
      <c r="BC836" s="700"/>
      <c r="BD836" s="700"/>
      <c r="BE836" s="654"/>
      <c r="BF836" s="700"/>
      <c r="BG836" s="914"/>
      <c r="BH836" s="658"/>
      <c r="BI836" s="915"/>
      <c r="BJ836" s="915"/>
      <c r="BK836" s="915"/>
      <c r="BL836" s="644"/>
      <c r="BM836" s="658"/>
      <c r="BN836" s="644"/>
      <c r="BO836" s="644"/>
      <c r="BP836" s="916"/>
      <c r="BQ836" s="654"/>
      <c r="BR836" s="700"/>
      <c r="BS836" s="654"/>
      <c r="BT836" s="654"/>
      <c r="BU836" s="654"/>
      <c r="BV836" s="654"/>
      <c r="BW836" s="946" t="s">
        <v>109</v>
      </c>
      <c r="BX836" s="658"/>
      <c r="BY836" s="959"/>
      <c r="BZ836" s="959">
        <f t="shared" si="470"/>
        <v>24</v>
      </c>
      <c r="CA836" s="959"/>
      <c r="CB836" s="659">
        <f t="shared" si="471"/>
        <v>24</v>
      </c>
      <c r="CC836" s="959"/>
      <c r="CD836" s="659">
        <f t="shared" si="472"/>
        <v>24</v>
      </c>
      <c r="CE836" s="659">
        <f t="shared" si="473"/>
        <v>0</v>
      </c>
      <c r="CF836" s="917"/>
      <c r="XEN836" s="885"/>
      <c r="XEO836" s="885"/>
      <c r="XEP836" s="885"/>
      <c r="XEQ836" s="885"/>
      <c r="XER836" s="885"/>
      <c r="XES836" s="885"/>
      <c r="XET836" s="885"/>
      <c r="XEU836" s="885"/>
      <c r="XEV836" s="885"/>
      <c r="XEW836" s="885"/>
      <c r="XEX836" s="885"/>
      <c r="XEY836" s="885"/>
      <c r="XEZ836" s="885"/>
      <c r="XFA836" s="885"/>
      <c r="XFB836" s="885"/>
      <c r="XFC836" s="885"/>
      <c r="XFD836" s="885"/>
    </row>
    <row r="837" s="338" customFormat="1" ht="40" customHeight="1" spans="1:84 16346:16384">
      <c r="A837" s="632">
        <v>46171</v>
      </c>
      <c r="B837" s="633" t="s">
        <v>3323</v>
      </c>
      <c r="C837" s="634" t="s">
        <v>178</v>
      </c>
      <c r="D837" s="933">
        <v>4500209617</v>
      </c>
      <c r="E837" s="659" t="s">
        <v>3452</v>
      </c>
      <c r="F837" s="635" t="s">
        <v>3453</v>
      </c>
      <c r="G837" s="637" t="s">
        <v>141</v>
      </c>
      <c r="H837" s="637" t="s">
        <v>99</v>
      </c>
      <c r="I837" s="638">
        <v>24</v>
      </c>
      <c r="J837" s="638">
        <v>0</v>
      </c>
      <c r="K837" s="639">
        <v>24</v>
      </c>
      <c r="L837" s="638">
        <f t="shared" si="455"/>
        <v>1</v>
      </c>
      <c r="M837" s="641">
        <v>46225</v>
      </c>
      <c r="N837" s="641">
        <v>46221</v>
      </c>
      <c r="O837" s="641"/>
      <c r="P837" s="903" t="s">
        <v>100</v>
      </c>
      <c r="Q837" s="643" t="s">
        <v>1411</v>
      </c>
      <c r="R837" s="934" t="s">
        <v>3201</v>
      </c>
      <c r="S837" s="925"/>
      <c r="T837" s="925"/>
      <c r="U837" s="934" t="s">
        <v>493</v>
      </c>
      <c r="V837" s="934" t="s">
        <v>3406</v>
      </c>
      <c r="W837" s="645"/>
      <c r="X837" s="647" t="s">
        <v>3360</v>
      </c>
      <c r="Y837" s="646" t="s">
        <v>3361</v>
      </c>
      <c r="Z837" s="683">
        <v>2.6389</v>
      </c>
      <c r="AA837" s="960">
        <f t="shared" si="468"/>
        <v>63.3336</v>
      </c>
      <c r="AB837" s="649">
        <v>24</v>
      </c>
      <c r="AC837" s="912">
        <f t="shared" si="469"/>
        <v>0</v>
      </c>
      <c r="AD837" s="942" t="s">
        <v>106</v>
      </c>
      <c r="AE837" s="637" t="s">
        <v>153</v>
      </c>
      <c r="AF837" s="935" t="s">
        <v>107</v>
      </c>
      <c r="AG837" s="652" t="s">
        <v>3244</v>
      </c>
      <c r="AH837" s="646"/>
      <c r="AI837" s="699"/>
      <c r="AJ837" s="699"/>
      <c r="AK837" s="699"/>
      <c r="AL837" s="913"/>
      <c r="AM837" s="649"/>
      <c r="AN837" s="699"/>
      <c r="AO837" s="744"/>
      <c r="AP837" s="947">
        <f t="shared" si="462"/>
        <v>24</v>
      </c>
      <c r="AQ837" s="652"/>
      <c r="AR837" s="744"/>
      <c r="AS837" s="744"/>
      <c r="AT837" s="744"/>
      <c r="AU837" s="959">
        <f t="shared" si="463"/>
        <v>24</v>
      </c>
      <c r="AV837" s="652"/>
      <c r="AW837" s="744"/>
      <c r="AX837" s="744"/>
      <c r="AY837" s="652"/>
      <c r="AZ837" s="700"/>
      <c r="BA837" s="700"/>
      <c r="BB837" s="654"/>
      <c r="BC837" s="700"/>
      <c r="BD837" s="700"/>
      <c r="BE837" s="654"/>
      <c r="BF837" s="700"/>
      <c r="BG837" s="914"/>
      <c r="BH837" s="658"/>
      <c r="BI837" s="915"/>
      <c r="BJ837" s="915"/>
      <c r="BK837" s="915"/>
      <c r="BL837" s="644"/>
      <c r="BM837" s="658"/>
      <c r="BN837" s="644"/>
      <c r="BO837" s="644"/>
      <c r="BP837" s="916"/>
      <c r="BQ837" s="654"/>
      <c r="BR837" s="700"/>
      <c r="BS837" s="654"/>
      <c r="BT837" s="654"/>
      <c r="BU837" s="654"/>
      <c r="BV837" s="654"/>
      <c r="BW837" s="946" t="s">
        <v>109</v>
      </c>
      <c r="BX837" s="658"/>
      <c r="BY837" s="959"/>
      <c r="BZ837" s="959">
        <f t="shared" si="470"/>
        <v>24</v>
      </c>
      <c r="CA837" s="959"/>
      <c r="CB837" s="659">
        <f t="shared" si="471"/>
        <v>24</v>
      </c>
      <c r="CC837" s="959"/>
      <c r="CD837" s="659">
        <f t="shared" si="472"/>
        <v>24</v>
      </c>
      <c r="CE837" s="659">
        <f t="shared" si="473"/>
        <v>0</v>
      </c>
      <c r="CF837" s="917"/>
      <c r="XEN837" s="885"/>
      <c r="XEO837" s="885"/>
      <c r="XEP837" s="885"/>
      <c r="XEQ837" s="885"/>
      <c r="XER837" s="885"/>
      <c r="XES837" s="885"/>
      <c r="XET837" s="885"/>
      <c r="XEU837" s="885"/>
      <c r="XEV837" s="885"/>
      <c r="XEW837" s="885"/>
      <c r="XEX837" s="885"/>
      <c r="XEY837" s="885"/>
      <c r="XEZ837" s="885"/>
      <c r="XFA837" s="885"/>
      <c r="XFB837" s="885"/>
      <c r="XFC837" s="885"/>
      <c r="XFD837" s="885"/>
    </row>
    <row r="838" s="338" customFormat="1" ht="40" customHeight="1" spans="1:84 16346:16384">
      <c r="A838" s="632">
        <v>46171</v>
      </c>
      <c r="B838" s="633" t="s">
        <v>3323</v>
      </c>
      <c r="C838" s="634" t="s">
        <v>178</v>
      </c>
      <c r="D838" s="933">
        <v>4500209617</v>
      </c>
      <c r="E838" s="659" t="s">
        <v>3454</v>
      </c>
      <c r="F838" s="635" t="s">
        <v>3455</v>
      </c>
      <c r="G838" s="637" t="s">
        <v>189</v>
      </c>
      <c r="H838" s="637" t="s">
        <v>99</v>
      </c>
      <c r="I838" s="638">
        <v>24</v>
      </c>
      <c r="J838" s="638">
        <v>0</v>
      </c>
      <c r="K838" s="639">
        <v>24</v>
      </c>
      <c r="L838" s="638">
        <f t="shared" si="455"/>
        <v>1</v>
      </c>
      <c r="M838" s="641">
        <v>46225</v>
      </c>
      <c r="N838" s="641">
        <v>46221</v>
      </c>
      <c r="O838" s="641"/>
      <c r="P838" s="903" t="s">
        <v>100</v>
      </c>
      <c r="Q838" s="643" t="s">
        <v>1411</v>
      </c>
      <c r="R838" s="934" t="s">
        <v>3201</v>
      </c>
      <c r="S838" s="925"/>
      <c r="T838" s="925"/>
      <c r="U838" s="934" t="s">
        <v>493</v>
      </c>
      <c r="V838" s="934" t="s">
        <v>3406</v>
      </c>
      <c r="W838" s="645"/>
      <c r="X838" s="647" t="s">
        <v>3360</v>
      </c>
      <c r="Y838" s="646" t="s">
        <v>3361</v>
      </c>
      <c r="Z838" s="683">
        <v>2.6389</v>
      </c>
      <c r="AA838" s="960">
        <f t="shared" si="456"/>
        <v>63.3336</v>
      </c>
      <c r="AB838" s="649">
        <v>24</v>
      </c>
      <c r="AC838" s="912">
        <f t="shared" si="469"/>
        <v>0</v>
      </c>
      <c r="AD838" s="942" t="s">
        <v>106</v>
      </c>
      <c r="AE838" s="637" t="s">
        <v>190</v>
      </c>
      <c r="AF838" s="935" t="s">
        <v>107</v>
      </c>
      <c r="AG838" s="652" t="s">
        <v>3244</v>
      </c>
      <c r="AH838" s="646"/>
      <c r="AI838" s="699"/>
      <c r="AJ838" s="699"/>
      <c r="AK838" s="699"/>
      <c r="AL838" s="913"/>
      <c r="AM838" s="649"/>
      <c r="AN838" s="699"/>
      <c r="AO838" s="744"/>
      <c r="AP838" s="947">
        <f t="shared" si="462"/>
        <v>24</v>
      </c>
      <c r="AQ838" s="652"/>
      <c r="AR838" s="744"/>
      <c r="AS838" s="744"/>
      <c r="AT838" s="744"/>
      <c r="AU838" s="959">
        <f t="shared" si="463"/>
        <v>24</v>
      </c>
      <c r="AV838" s="652"/>
      <c r="AW838" s="744"/>
      <c r="AX838" s="744"/>
      <c r="AY838" s="652"/>
      <c r="AZ838" s="700"/>
      <c r="BA838" s="700"/>
      <c r="BB838" s="654"/>
      <c r="BC838" s="700"/>
      <c r="BD838" s="700"/>
      <c r="BE838" s="654"/>
      <c r="BF838" s="700"/>
      <c r="BG838" s="914"/>
      <c r="BH838" s="658"/>
      <c r="BI838" s="915"/>
      <c r="BJ838" s="915"/>
      <c r="BK838" s="915"/>
      <c r="BL838" s="644"/>
      <c r="BM838" s="658"/>
      <c r="BN838" s="644"/>
      <c r="BO838" s="644"/>
      <c r="BP838" s="916"/>
      <c r="BQ838" s="654"/>
      <c r="BR838" s="700"/>
      <c r="BS838" s="654"/>
      <c r="BT838" s="654"/>
      <c r="BU838" s="654"/>
      <c r="BV838" s="654"/>
      <c r="BW838" s="946" t="s">
        <v>109</v>
      </c>
      <c r="BX838" s="658"/>
      <c r="BY838" s="959"/>
      <c r="BZ838" s="959"/>
      <c r="CA838" s="959">
        <f>I838</f>
        <v>24</v>
      </c>
      <c r="CB838" s="659">
        <f t="shared" si="471"/>
        <v>24</v>
      </c>
      <c r="CC838" s="959"/>
      <c r="CD838" s="659">
        <f t="shared" si="472"/>
        <v>24</v>
      </c>
      <c r="CE838" s="659">
        <f t="shared" si="473"/>
        <v>0</v>
      </c>
      <c r="CF838" s="917"/>
      <c r="XEN838" s="885"/>
      <c r="XEO838" s="885"/>
      <c r="XEP838" s="885"/>
      <c r="XEQ838" s="885"/>
      <c r="XER838" s="885"/>
      <c r="XES838" s="885"/>
      <c r="XET838" s="885"/>
      <c r="XEU838" s="885"/>
      <c r="XEV838" s="885"/>
      <c r="XEW838" s="885"/>
      <c r="XEX838" s="885"/>
      <c r="XEY838" s="885"/>
      <c r="XEZ838" s="885"/>
      <c r="XFA838" s="885"/>
      <c r="XFB838" s="885"/>
      <c r="XFC838" s="885"/>
      <c r="XFD838" s="885"/>
    </row>
    <row r="839" s="338" customFormat="1" ht="40" customHeight="1" spans="1:84 16346:16384">
      <c r="A839" s="632">
        <v>46171</v>
      </c>
      <c r="B839" s="633" t="s">
        <v>3323</v>
      </c>
      <c r="C839" s="634" t="s">
        <v>178</v>
      </c>
      <c r="D839" s="933">
        <v>4500209617</v>
      </c>
      <c r="E839" s="659" t="s">
        <v>3456</v>
      </c>
      <c r="F839" s="635" t="s">
        <v>3457</v>
      </c>
      <c r="G839" s="637" t="s">
        <v>189</v>
      </c>
      <c r="H839" s="637" t="s">
        <v>99</v>
      </c>
      <c r="I839" s="638">
        <v>24</v>
      </c>
      <c r="J839" s="638">
        <v>0</v>
      </c>
      <c r="K839" s="639">
        <v>24</v>
      </c>
      <c r="L839" s="638">
        <f t="shared" si="455"/>
        <v>1</v>
      </c>
      <c r="M839" s="641">
        <v>46225</v>
      </c>
      <c r="N839" s="641">
        <v>46221</v>
      </c>
      <c r="O839" s="641"/>
      <c r="P839" s="903" t="s">
        <v>100</v>
      </c>
      <c r="Q839" s="643" t="s">
        <v>1411</v>
      </c>
      <c r="R839" s="934" t="s">
        <v>3201</v>
      </c>
      <c r="S839" s="925"/>
      <c r="T839" s="925"/>
      <c r="U839" s="934" t="s">
        <v>493</v>
      </c>
      <c r="V839" s="934" t="s">
        <v>3406</v>
      </c>
      <c r="W839" s="645"/>
      <c r="X839" s="647" t="s">
        <v>3360</v>
      </c>
      <c r="Y839" s="646" t="s">
        <v>3361</v>
      </c>
      <c r="Z839" s="683">
        <v>2.6389</v>
      </c>
      <c r="AA839" s="960">
        <f t="shared" si="456"/>
        <v>63.3336</v>
      </c>
      <c r="AB839" s="649">
        <v>24</v>
      </c>
      <c r="AC839" s="912">
        <f t="shared" si="469"/>
        <v>0</v>
      </c>
      <c r="AD839" s="942" t="s">
        <v>106</v>
      </c>
      <c r="AE839" s="637" t="s">
        <v>190</v>
      </c>
      <c r="AF839" s="935" t="s">
        <v>107</v>
      </c>
      <c r="AG839" s="652" t="s">
        <v>3244</v>
      </c>
      <c r="AH839" s="646"/>
      <c r="AI839" s="699"/>
      <c r="AJ839" s="699"/>
      <c r="AK839" s="699"/>
      <c r="AL839" s="913"/>
      <c r="AM839" s="649"/>
      <c r="AN839" s="699"/>
      <c r="AO839" s="744"/>
      <c r="AP839" s="947">
        <f t="shared" si="462"/>
        <v>24</v>
      </c>
      <c r="AQ839" s="652"/>
      <c r="AR839" s="744"/>
      <c r="AS839" s="744"/>
      <c r="AT839" s="744"/>
      <c r="AU839" s="959">
        <f t="shared" si="463"/>
        <v>24</v>
      </c>
      <c r="AV839" s="652"/>
      <c r="AW839" s="744"/>
      <c r="AX839" s="744"/>
      <c r="AY839" s="652"/>
      <c r="AZ839" s="700"/>
      <c r="BA839" s="700"/>
      <c r="BB839" s="654"/>
      <c r="BC839" s="700"/>
      <c r="BD839" s="700"/>
      <c r="BE839" s="654"/>
      <c r="BF839" s="700"/>
      <c r="BG839" s="914"/>
      <c r="BH839" s="658"/>
      <c r="BI839" s="915"/>
      <c r="BJ839" s="915"/>
      <c r="BK839" s="915"/>
      <c r="BL839" s="644"/>
      <c r="BM839" s="658"/>
      <c r="BN839" s="644"/>
      <c r="BO839" s="644"/>
      <c r="BP839" s="916"/>
      <c r="BQ839" s="654"/>
      <c r="BR839" s="700"/>
      <c r="BS839" s="654"/>
      <c r="BT839" s="654"/>
      <c r="BU839" s="654"/>
      <c r="BV839" s="654"/>
      <c r="BW839" s="946" t="s">
        <v>109</v>
      </c>
      <c r="BX839" s="658"/>
      <c r="BY839" s="959"/>
      <c r="BZ839" s="959"/>
      <c r="CA839" s="959">
        <f>I839</f>
        <v>24</v>
      </c>
      <c r="CB839" s="659">
        <f t="shared" si="471"/>
        <v>24</v>
      </c>
      <c r="CC839" s="959"/>
      <c r="CD839" s="659">
        <f t="shared" si="472"/>
        <v>24</v>
      </c>
      <c r="CE839" s="659">
        <f t="shared" si="473"/>
        <v>0</v>
      </c>
      <c r="CF839" s="917"/>
      <c r="XEN839" s="885"/>
      <c r="XEO839" s="885"/>
      <c r="XEP839" s="885"/>
      <c r="XEQ839" s="885"/>
      <c r="XER839" s="885"/>
      <c r="XES839" s="885"/>
      <c r="XET839" s="885"/>
      <c r="XEU839" s="885"/>
      <c r="XEV839" s="885"/>
      <c r="XEW839" s="885"/>
      <c r="XEX839" s="885"/>
      <c r="XEY839" s="885"/>
      <c r="XEZ839" s="885"/>
      <c r="XFA839" s="885"/>
      <c r="XFB839" s="885"/>
      <c r="XFC839" s="885"/>
      <c r="XFD839" s="885"/>
    </row>
    <row r="840" s="338" customFormat="1" ht="40" customHeight="1" spans="1:84 16346:16384">
      <c r="A840" s="632">
        <v>46171</v>
      </c>
      <c r="B840" s="633" t="s">
        <v>3458</v>
      </c>
      <c r="C840" s="634" t="s">
        <v>380</v>
      </c>
      <c r="D840" s="635">
        <v>4500209704</v>
      </c>
      <c r="E840" s="659" t="s">
        <v>3459</v>
      </c>
      <c r="F840" s="635" t="s">
        <v>3460</v>
      </c>
      <c r="G840" s="637" t="s">
        <v>2231</v>
      </c>
      <c r="H840" s="637" t="s">
        <v>2232</v>
      </c>
      <c r="I840" s="638">
        <v>480</v>
      </c>
      <c r="J840" s="638">
        <v>0</v>
      </c>
      <c r="K840" s="639">
        <v>24</v>
      </c>
      <c r="L840" s="638">
        <f t="shared" si="455"/>
        <v>20</v>
      </c>
      <c r="M840" s="641">
        <v>46225</v>
      </c>
      <c r="N840" s="641">
        <v>46221</v>
      </c>
      <c r="O840" s="886" t="s">
        <v>3128</v>
      </c>
      <c r="P840" s="903" t="s">
        <v>100</v>
      </c>
      <c r="Q840" s="643"/>
      <c r="R840" s="903" t="s">
        <v>3461</v>
      </c>
      <c r="S840" s="925"/>
      <c r="T840" s="925"/>
      <c r="U840" s="903" t="s">
        <v>3462</v>
      </c>
      <c r="V840" s="926"/>
      <c r="W840" s="645"/>
      <c r="X840" s="647" t="s">
        <v>3463</v>
      </c>
      <c r="Y840" s="646" t="s">
        <v>3464</v>
      </c>
      <c r="Z840" s="683">
        <v>2.6134</v>
      </c>
      <c r="AA840" s="960">
        <f t="shared" si="456"/>
        <v>1254.432</v>
      </c>
      <c r="AB840" s="649">
        <v>480</v>
      </c>
      <c r="AC840" s="912">
        <f t="shared" si="469"/>
        <v>0</v>
      </c>
      <c r="AD840" s="942" t="s">
        <v>123</v>
      </c>
      <c r="AE840" s="637" t="s">
        <v>2231</v>
      </c>
      <c r="AF840" s="715" t="s">
        <v>107</v>
      </c>
      <c r="AG840" s="652" t="s">
        <v>3244</v>
      </c>
      <c r="AH840" s="646"/>
      <c r="AI840" s="699"/>
      <c r="AJ840" s="699"/>
      <c r="AK840" s="699"/>
      <c r="AL840" s="913"/>
      <c r="AM840" s="649"/>
      <c r="AN840" s="699"/>
      <c r="AO840" s="744"/>
      <c r="AP840" s="947">
        <f t="shared" si="462"/>
        <v>480</v>
      </c>
      <c r="AQ840" s="652"/>
      <c r="AR840" s="744"/>
      <c r="AS840" s="744"/>
      <c r="AT840" s="744"/>
      <c r="AU840" s="959">
        <f t="shared" si="463"/>
        <v>480</v>
      </c>
      <c r="AV840" s="652"/>
      <c r="AW840" s="744"/>
      <c r="AX840" s="744"/>
      <c r="AY840" s="652"/>
      <c r="AZ840" s="700"/>
      <c r="BA840" s="700"/>
      <c r="BB840" s="654"/>
      <c r="BC840" s="700"/>
      <c r="BD840" s="700"/>
      <c r="BE840" s="654"/>
      <c r="BF840" s="700"/>
      <c r="BG840" s="914"/>
      <c r="BH840" s="658"/>
      <c r="BI840" s="915"/>
      <c r="BJ840" s="915"/>
      <c r="BK840" s="915"/>
      <c r="BL840" s="644"/>
      <c r="BM840" s="658"/>
      <c r="BN840" s="644"/>
      <c r="BO840" s="644"/>
      <c r="BP840" s="916"/>
      <c r="BQ840" s="654"/>
      <c r="BR840" s="700"/>
      <c r="BS840" s="654"/>
      <c r="BT840" s="654"/>
      <c r="BU840" s="654"/>
      <c r="BV840" s="654"/>
      <c r="BW840" s="946" t="s">
        <v>109</v>
      </c>
      <c r="BX840" s="658">
        <f>I840</f>
        <v>480</v>
      </c>
      <c r="BY840" s="959"/>
      <c r="BZ840" s="959"/>
      <c r="CA840" s="959"/>
      <c r="CB840" s="659"/>
      <c r="CC840" s="959"/>
      <c r="CD840" s="659">
        <f t="shared" si="472"/>
        <v>480</v>
      </c>
      <c r="CE840" s="659">
        <f t="shared" si="473"/>
        <v>0</v>
      </c>
      <c r="CF840" s="917"/>
      <c r="XEN840" s="885"/>
      <c r="XEO840" s="885"/>
      <c r="XEP840" s="885"/>
      <c r="XEQ840" s="885"/>
      <c r="XER840" s="885"/>
      <c r="XES840" s="885"/>
      <c r="XET840" s="885"/>
      <c r="XEU840" s="885"/>
      <c r="XEV840" s="885"/>
      <c r="XEW840" s="885"/>
      <c r="XEX840" s="885"/>
      <c r="XEY840" s="885"/>
      <c r="XEZ840" s="885"/>
      <c r="XFA840" s="885"/>
      <c r="XFB840" s="885"/>
      <c r="XFC840" s="885"/>
      <c r="XFD840" s="885"/>
    </row>
    <row r="841" s="338" customFormat="1" ht="40" customHeight="1" spans="1:84 16346:16384">
      <c r="A841" s="632">
        <v>46171</v>
      </c>
      <c r="B841" s="633" t="s">
        <v>3458</v>
      </c>
      <c r="C841" s="634" t="s">
        <v>380</v>
      </c>
      <c r="D841" s="635">
        <v>4500209704</v>
      </c>
      <c r="E841" s="659" t="s">
        <v>3459</v>
      </c>
      <c r="F841" s="961" t="s">
        <v>3465</v>
      </c>
      <c r="G841" s="637" t="s">
        <v>1992</v>
      </c>
      <c r="H841" s="637" t="s">
        <v>1993</v>
      </c>
      <c r="I841" s="638">
        <v>480</v>
      </c>
      <c r="J841" s="638">
        <v>0</v>
      </c>
      <c r="K841" s="639">
        <v>24</v>
      </c>
      <c r="L841" s="638">
        <f t="shared" si="455"/>
        <v>20</v>
      </c>
      <c r="M841" s="641">
        <v>46225</v>
      </c>
      <c r="N841" s="641">
        <v>46221</v>
      </c>
      <c r="O841" s="886" t="s">
        <v>3206</v>
      </c>
      <c r="P841" s="903" t="s">
        <v>100</v>
      </c>
      <c r="Q841" s="643"/>
      <c r="R841" s="934" t="s">
        <v>3461</v>
      </c>
      <c r="S841" s="925"/>
      <c r="T841" s="925"/>
      <c r="U841" s="934" t="s">
        <v>3466</v>
      </c>
      <c r="V841" s="926"/>
      <c r="W841" s="645"/>
      <c r="X841" s="647" t="s">
        <v>3467</v>
      </c>
      <c r="Y841" s="646" t="s">
        <v>3464</v>
      </c>
      <c r="Z841" s="683">
        <v>2.6493</v>
      </c>
      <c r="AA841" s="960">
        <f t="shared" si="456"/>
        <v>1271.664</v>
      </c>
      <c r="AB841" s="649">
        <v>480</v>
      </c>
      <c r="AC841" s="912">
        <f t="shared" si="469"/>
        <v>0</v>
      </c>
      <c r="AD841" s="942" t="s">
        <v>123</v>
      </c>
      <c r="AE841" s="637" t="s">
        <v>1992</v>
      </c>
      <c r="AF841" s="715" t="s">
        <v>107</v>
      </c>
      <c r="AG841" s="652" t="s">
        <v>3244</v>
      </c>
      <c r="AH841" s="646"/>
      <c r="AI841" s="699"/>
      <c r="AJ841" s="699"/>
      <c r="AK841" s="699"/>
      <c r="AL841" s="913"/>
      <c r="AM841" s="649"/>
      <c r="AN841" s="699"/>
      <c r="AO841" s="744"/>
      <c r="AP841" s="947">
        <f t="shared" si="462"/>
        <v>480</v>
      </c>
      <c r="AQ841" s="652"/>
      <c r="AR841" s="744"/>
      <c r="AS841" s="744"/>
      <c r="AT841" s="744"/>
      <c r="AU841" s="959">
        <f t="shared" si="463"/>
        <v>480</v>
      </c>
      <c r="AV841" s="652"/>
      <c r="AW841" s="744"/>
      <c r="AX841" s="744"/>
      <c r="AY841" s="652"/>
      <c r="AZ841" s="700"/>
      <c r="BA841" s="700"/>
      <c r="BB841" s="654"/>
      <c r="BC841" s="700"/>
      <c r="BD841" s="700"/>
      <c r="BE841" s="654"/>
      <c r="BF841" s="700"/>
      <c r="BG841" s="914"/>
      <c r="BH841" s="658"/>
      <c r="BI841" s="915"/>
      <c r="BJ841" s="915"/>
      <c r="BK841" s="915"/>
      <c r="BL841" s="644"/>
      <c r="BM841" s="658"/>
      <c r="BN841" s="644"/>
      <c r="BO841" s="644"/>
      <c r="BP841" s="916"/>
      <c r="BQ841" s="654"/>
      <c r="BR841" s="700"/>
      <c r="BS841" s="654"/>
      <c r="BT841" s="654"/>
      <c r="BU841" s="654"/>
      <c r="BV841" s="654"/>
      <c r="BW841" s="946" t="s">
        <v>109</v>
      </c>
      <c r="BX841" s="658"/>
      <c r="BY841" s="959"/>
      <c r="BZ841" s="959"/>
      <c r="CA841" s="959">
        <v>480</v>
      </c>
      <c r="CB841" s="659"/>
      <c r="CC841" s="959"/>
      <c r="CD841" s="659">
        <v>480</v>
      </c>
      <c r="CE841" s="659">
        <v>0</v>
      </c>
      <c r="CF841" s="917"/>
      <c r="XEN841" s="885"/>
      <c r="XEO841" s="885"/>
      <c r="XEP841" s="885"/>
      <c r="XEQ841" s="885"/>
      <c r="XER841" s="885"/>
      <c r="XES841" s="885"/>
      <c r="XET841" s="885"/>
      <c r="XEU841" s="885"/>
      <c r="XEV841" s="885"/>
      <c r="XEW841" s="885"/>
      <c r="XEX841" s="885"/>
      <c r="XEY841" s="885"/>
      <c r="XEZ841" s="885"/>
      <c r="XFA841" s="885"/>
      <c r="XFB841" s="885"/>
      <c r="XFC841" s="885"/>
      <c r="XFD841" s="885"/>
    </row>
    <row r="842" s="338" customFormat="1" ht="40" customHeight="1" spans="1:84 16346:16384">
      <c r="A842" s="632">
        <v>46160</v>
      </c>
      <c r="B842" s="633" t="s">
        <v>1795</v>
      </c>
      <c r="C842" s="634" t="s">
        <v>1796</v>
      </c>
      <c r="D842" s="635">
        <v>4500203233</v>
      </c>
      <c r="E842" s="659" t="s">
        <v>3468</v>
      </c>
      <c r="F842" s="635" t="s">
        <v>3469</v>
      </c>
      <c r="G842" s="637" t="s">
        <v>111</v>
      </c>
      <c r="H842" s="637" t="s">
        <v>99</v>
      </c>
      <c r="I842" s="638">
        <v>506</v>
      </c>
      <c r="J842" s="638">
        <v>0</v>
      </c>
      <c r="K842" s="639">
        <v>22</v>
      </c>
      <c r="L842" s="638">
        <f t="shared" si="455"/>
        <v>23</v>
      </c>
      <c r="M842" s="641">
        <v>46227</v>
      </c>
      <c r="N842" s="641">
        <v>46223</v>
      </c>
      <c r="O842" s="641"/>
      <c r="P842" s="903" t="s">
        <v>100</v>
      </c>
      <c r="Q842" s="643"/>
      <c r="R842" s="903" t="s">
        <v>1676</v>
      </c>
      <c r="S842" s="641"/>
      <c r="T842" s="641"/>
      <c r="U842" s="903" t="s">
        <v>3470</v>
      </c>
      <c r="V842" s="642"/>
      <c r="W842" s="645"/>
      <c r="X842" s="647" t="s">
        <v>3471</v>
      </c>
      <c r="Y842" s="646" t="s">
        <v>1472</v>
      </c>
      <c r="Z842" s="683">
        <v>2.7947</v>
      </c>
      <c r="AA842" s="960">
        <f t="shared" si="456"/>
        <v>1414.1182</v>
      </c>
      <c r="AB842" s="649">
        <v>506</v>
      </c>
      <c r="AC842" s="912">
        <f t="shared" si="469"/>
        <v>0</v>
      </c>
      <c r="AD842" s="906" t="s">
        <v>106</v>
      </c>
      <c r="AE842" s="661" t="s">
        <v>230</v>
      </c>
      <c r="AF842" s="646" t="s">
        <v>107</v>
      </c>
      <c r="AG842" s="652" t="s">
        <v>3244</v>
      </c>
      <c r="AH842" s="646"/>
      <c r="AI842" s="701"/>
      <c r="AJ842" s="649"/>
      <c r="AK842" s="652"/>
      <c r="AL842" s="652"/>
      <c r="AM842" s="652"/>
      <c r="AN842" s="652"/>
      <c r="AO842" s="652"/>
      <c r="AP842" s="652">
        <f t="shared" si="462"/>
        <v>506</v>
      </c>
      <c r="AQ842" s="652"/>
      <c r="AR842" s="654"/>
      <c r="AS842" s="654"/>
      <c r="AT842" s="654"/>
      <c r="AU842" s="652">
        <f t="shared" si="463"/>
        <v>506</v>
      </c>
      <c r="AV842" s="644"/>
      <c r="AW842" s="658"/>
      <c r="AX842" s="644"/>
      <c r="AY842" s="644"/>
      <c r="AZ842" s="654"/>
      <c r="BA842" s="654"/>
      <c r="BB842" s="652">
        <f>I842/11</f>
        <v>46</v>
      </c>
      <c r="BC842" s="654"/>
      <c r="BD842" s="654"/>
      <c r="BE842" s="645"/>
      <c r="BF842" s="658">
        <v>115</v>
      </c>
      <c r="BG842" s="658">
        <v>138</v>
      </c>
      <c r="BH842" s="658"/>
      <c r="BI842" s="658"/>
      <c r="BJ842" s="644"/>
      <c r="BK842" s="658"/>
      <c r="BL842" s="644"/>
      <c r="BM842" s="644"/>
      <c r="BN842" s="887"/>
      <c r="BO842" s="887"/>
      <c r="BP842" s="887"/>
      <c r="BQ842" s="887"/>
      <c r="BR842" s="887"/>
      <c r="BS842" s="887"/>
      <c r="BT842" s="887"/>
      <c r="BU842" s="887"/>
      <c r="BV842" s="887"/>
      <c r="BW842" s="645" t="s">
        <v>109</v>
      </c>
      <c r="BX842" s="658">
        <f>I842/22*5</f>
        <v>115</v>
      </c>
      <c r="BY842" s="959">
        <f>I842/22*6</f>
        <v>138</v>
      </c>
      <c r="BZ842" s="959">
        <f>I842/22*6</f>
        <v>138</v>
      </c>
      <c r="CA842" s="959">
        <f>I842/22*5</f>
        <v>115</v>
      </c>
      <c r="CB842" s="659">
        <f>I842</f>
        <v>506</v>
      </c>
      <c r="CC842" s="959">
        <f>I842/11</f>
        <v>46</v>
      </c>
      <c r="CD842" s="659">
        <f t="shared" ref="CD842:CD849" si="474">SUM(BX842:CA842)</f>
        <v>506</v>
      </c>
      <c r="CE842" s="659">
        <f>I842-CD842</f>
        <v>0</v>
      </c>
      <c r="CF842" s="917"/>
      <c r="XDV842" s="885"/>
      <c r="XDW842" s="885"/>
      <c r="XDX842" s="885"/>
      <c r="XDY842" s="885"/>
      <c r="XDZ842" s="885"/>
      <c r="XEA842" s="885"/>
      <c r="XEB842" s="885"/>
      <c r="XEC842" s="885"/>
      <c r="XED842" s="885"/>
      <c r="XEE842" s="885"/>
      <c r="XEF842" s="885"/>
      <c r="XEG842" s="885"/>
      <c r="XEH842" s="885"/>
      <c r="XEI842" s="885"/>
      <c r="XEJ842" s="885"/>
      <c r="XEK842" s="885"/>
      <c r="XEL842" s="885"/>
      <c r="XEM842" s="885"/>
      <c r="XEN842" s="885"/>
      <c r="XEO842" s="885"/>
      <c r="XEP842" s="885"/>
      <c r="XEQ842" s="885"/>
      <c r="XER842" s="885"/>
      <c r="XES842" s="885"/>
      <c r="XET842" s="885"/>
      <c r="XEU842" s="885"/>
      <c r="XEV842" s="885"/>
      <c r="XEW842" s="885"/>
      <c r="XEX842" s="885"/>
      <c r="XEY842" s="885"/>
      <c r="XEZ842" s="885"/>
      <c r="XFA842" s="885"/>
      <c r="XFB842" s="885"/>
      <c r="XFC842" s="885"/>
      <c r="XFD842" s="885"/>
    </row>
    <row r="843" s="338" customFormat="1" ht="40" customHeight="1" spans="1:84 16346:16384">
      <c r="A843" s="632">
        <v>46196</v>
      </c>
      <c r="B843" s="633" t="s">
        <v>1182</v>
      </c>
      <c r="C843" s="634" t="s">
        <v>205</v>
      </c>
      <c r="D843" s="635" t="s">
        <v>3472</v>
      </c>
      <c r="E843" s="661" t="s">
        <v>3015</v>
      </c>
      <c r="F843" s="636" t="s">
        <v>3473</v>
      </c>
      <c r="G843" s="637" t="s">
        <v>98</v>
      </c>
      <c r="H843" s="637" t="s">
        <v>99</v>
      </c>
      <c r="I843" s="638">
        <v>456</v>
      </c>
      <c r="J843" s="638">
        <v>0</v>
      </c>
      <c r="K843" s="639">
        <v>24</v>
      </c>
      <c r="L843" s="640">
        <f t="shared" si="455"/>
        <v>19</v>
      </c>
      <c r="M843" s="641">
        <v>46217</v>
      </c>
      <c r="N843" s="962">
        <v>46230</v>
      </c>
      <c r="O843" s="903"/>
      <c r="P843" s="903" t="s">
        <v>100</v>
      </c>
      <c r="Q843" s="643"/>
      <c r="R843" s="934" t="s">
        <v>1793</v>
      </c>
      <c r="S843" s="926"/>
      <c r="T843" s="926"/>
      <c r="U843" s="934" t="s">
        <v>3474</v>
      </c>
      <c r="V843" s="946"/>
      <c r="W843" s="685"/>
      <c r="X843" s="647" t="s">
        <v>3475</v>
      </c>
      <c r="Y843" s="639" t="s">
        <v>3476</v>
      </c>
      <c r="Z843" s="897">
        <v>2.5455</v>
      </c>
      <c r="AA843" s="649">
        <f t="shared" si="456"/>
        <v>1160.748</v>
      </c>
      <c r="AB843" s="649">
        <v>456</v>
      </c>
      <c r="AC843" s="912">
        <f t="shared" si="469"/>
        <v>0</v>
      </c>
      <c r="AD843" s="906" t="s">
        <v>106</v>
      </c>
      <c r="AE843" s="637" t="s">
        <v>98</v>
      </c>
      <c r="AF843" s="935" t="s">
        <v>107</v>
      </c>
      <c r="AG843" s="715" t="s">
        <v>43</v>
      </c>
      <c r="AH843" s="646"/>
      <c r="AI843" s="744"/>
      <c r="AJ843" s="920"/>
      <c r="AK843" s="744"/>
      <c r="AL843" s="744"/>
      <c r="AM843" s="658">
        <f>I843</f>
        <v>456</v>
      </c>
      <c r="AN843" s="915"/>
      <c r="AO843" s="700"/>
      <c r="AP843" s="654"/>
      <c r="AQ843" s="747"/>
      <c r="AR843" s="951"/>
      <c r="AS843" s="919"/>
      <c r="AT843" s="919"/>
      <c r="AU843" s="652">
        <f t="shared" si="463"/>
        <v>456</v>
      </c>
      <c r="AV843" s="654"/>
      <c r="AW843" s="700"/>
      <c r="AX843" s="700"/>
      <c r="AY843" s="654"/>
      <c r="AZ843" s="700"/>
      <c r="BA843" s="914"/>
      <c r="BB843" s="747"/>
      <c r="BC843" s="951"/>
      <c r="BD843" s="951"/>
      <c r="BE843" s="747"/>
      <c r="BF843" s="951"/>
      <c r="BG843" s="951"/>
      <c r="BH843" s="747"/>
      <c r="BI843" s="951"/>
      <c r="BJ843" s="920"/>
      <c r="BK843" s="920"/>
      <c r="BL843" s="887"/>
      <c r="BM843" s="887"/>
      <c r="BN843" s="887"/>
      <c r="BO843" s="887"/>
      <c r="BP843" s="920"/>
      <c r="BQ843" s="887"/>
      <c r="BR843" s="920"/>
      <c r="BS843" s="887"/>
      <c r="BT843" s="887"/>
      <c r="BU843" s="887"/>
      <c r="BV843" s="887"/>
      <c r="BW843" s="645" t="s">
        <v>109</v>
      </c>
      <c r="BX843" s="747">
        <f>I843/4</f>
        <v>114</v>
      </c>
      <c r="BY843" s="747">
        <f>I843/4</f>
        <v>114</v>
      </c>
      <c r="BZ843" s="747">
        <f>I843/4</f>
        <v>114</v>
      </c>
      <c r="CA843" s="747">
        <f>I843/4</f>
        <v>114</v>
      </c>
      <c r="CB843" s="747">
        <f>I843/4</f>
        <v>114</v>
      </c>
      <c r="CC843" s="747"/>
      <c r="CD843" s="659">
        <f t="shared" si="474"/>
        <v>456</v>
      </c>
      <c r="CE843" s="659">
        <f t="shared" ref="CE843:CE899" si="475">I843-CD843</f>
        <v>0</v>
      </c>
      <c r="CF843" s="917"/>
      <c r="XDR843" s="885"/>
      <c r="XDS843" s="885"/>
      <c r="XDT843" s="888"/>
      <c r="XDU843" s="889"/>
      <c r="XDV843" s="890"/>
      <c r="XDW843" s="891"/>
      <c r="XDX843" s="949"/>
      <c r="XDY843" s="901"/>
      <c r="XDZ843" s="893"/>
      <c r="XEA843" s="893"/>
      <c r="XEB843" s="894"/>
      <c r="XEC843" s="894"/>
      <c r="XED843" s="895"/>
      <c r="XEE843" s="950"/>
      <c r="XEF843" s="896"/>
      <c r="XEG843" s="896"/>
      <c r="XEH843" s="902"/>
      <c r="XEI843" s="902"/>
      <c r="XEJ843" s="888"/>
      <c r="XEK843" s="889"/>
      <c r="XEL843" s="890"/>
      <c r="XEM843" s="891"/>
      <c r="XEN843" s="949"/>
      <c r="XEO843" s="901"/>
      <c r="XEP843" s="893"/>
      <c r="XEQ843" s="893"/>
      <c r="XER843" s="894"/>
      <c r="XES843" s="894"/>
      <c r="XET843" s="895"/>
      <c r="XEU843" s="950"/>
      <c r="XEV843" s="896"/>
      <c r="XEW843" s="896"/>
      <c r="XEX843" s="902"/>
      <c r="XEY843" s="902"/>
      <c r="XEZ843" s="902"/>
      <c r="XFA843" s="954"/>
      <c r="XFB843" s="954"/>
      <c r="XFC843" s="954"/>
      <c r="XFD843" s="958"/>
    </row>
    <row r="844" s="338" customFormat="1" ht="40" customHeight="1" spans="1:84 16346:16384">
      <c r="A844" s="632">
        <v>46183</v>
      </c>
      <c r="B844" s="633" t="s">
        <v>1182</v>
      </c>
      <c r="C844" s="634" t="s">
        <v>205</v>
      </c>
      <c r="D844" s="635">
        <v>4500211508</v>
      </c>
      <c r="E844" s="661"/>
      <c r="F844" s="636" t="s">
        <v>3477</v>
      </c>
      <c r="G844" s="637" t="s">
        <v>98</v>
      </c>
      <c r="H844" s="637" t="s">
        <v>99</v>
      </c>
      <c r="I844" s="638">
        <v>1584</v>
      </c>
      <c r="J844" s="638">
        <v>0</v>
      </c>
      <c r="K844" s="639">
        <v>24</v>
      </c>
      <c r="L844" s="640">
        <f t="shared" si="455"/>
        <v>66</v>
      </c>
      <c r="M844" s="641">
        <v>46226</v>
      </c>
      <c r="N844" s="962">
        <v>46230</v>
      </c>
      <c r="O844" s="903"/>
      <c r="P844" s="903" t="s">
        <v>100</v>
      </c>
      <c r="Q844" s="643" t="s">
        <v>1784</v>
      </c>
      <c r="R844" s="934" t="s">
        <v>102</v>
      </c>
      <c r="S844" s="926"/>
      <c r="T844" s="926"/>
      <c r="U844" s="963" t="s">
        <v>3478</v>
      </c>
      <c r="V844" s="963"/>
      <c r="W844" s="685" t="s">
        <v>3479</v>
      </c>
      <c r="X844" s="647" t="s">
        <v>3480</v>
      </c>
      <c r="Y844" s="639" t="s">
        <v>3476</v>
      </c>
      <c r="Z844" s="897">
        <v>2.5313</v>
      </c>
      <c r="AA844" s="649">
        <f t="shared" si="456"/>
        <v>4009.5792</v>
      </c>
      <c r="AB844" s="649">
        <v>1584</v>
      </c>
      <c r="AC844" s="912">
        <f t="shared" si="469"/>
        <v>0</v>
      </c>
      <c r="AD844" s="906" t="s">
        <v>123</v>
      </c>
      <c r="AE844" s="637" t="s">
        <v>98</v>
      </c>
      <c r="AF844" s="935" t="s">
        <v>107</v>
      </c>
      <c r="AG844" s="652" t="s">
        <v>3244</v>
      </c>
      <c r="AH844" s="646"/>
      <c r="AI844" s="652"/>
      <c r="AJ844" s="887"/>
      <c r="AK844" s="652"/>
      <c r="AL844" s="652"/>
      <c r="AM844" s="658">
        <f>I844</f>
        <v>1584</v>
      </c>
      <c r="AN844" s="658"/>
      <c r="AO844" s="654"/>
      <c r="AP844" s="654"/>
      <c r="AQ844" s="747"/>
      <c r="AR844" s="747"/>
      <c r="AS844" s="644"/>
      <c r="AT844" s="644"/>
      <c r="AU844" s="644">
        <f t="shared" si="463"/>
        <v>1584</v>
      </c>
      <c r="AV844" s="654"/>
      <c r="AW844" s="654"/>
      <c r="AX844" s="654"/>
      <c r="AY844" s="654"/>
      <c r="AZ844" s="654"/>
      <c r="BA844" s="645"/>
      <c r="BB844" s="747"/>
      <c r="BC844" s="747"/>
      <c r="BD844" s="747"/>
      <c r="BE844" s="747"/>
      <c r="BF844" s="747"/>
      <c r="BG844" s="747"/>
      <c r="BH844" s="747"/>
      <c r="BI844" s="747"/>
      <c r="BJ844" s="887"/>
      <c r="BK844" s="887"/>
      <c r="BL844" s="887"/>
      <c r="BM844" s="887"/>
      <c r="BN844" s="887"/>
      <c r="BO844" s="887"/>
      <c r="BP844" s="887"/>
      <c r="BQ844" s="887"/>
      <c r="BR844" s="887"/>
      <c r="BS844" s="887"/>
      <c r="BT844" s="887"/>
      <c r="BU844" s="887"/>
      <c r="BV844" s="887"/>
      <c r="BW844" s="685" t="s">
        <v>109</v>
      </c>
      <c r="BX844" s="747">
        <f>I844/4</f>
        <v>396</v>
      </c>
      <c r="BY844" s="747">
        <f>I844/4</f>
        <v>396</v>
      </c>
      <c r="BZ844" s="747">
        <f>I844/4</f>
        <v>396</v>
      </c>
      <c r="CA844" s="747">
        <f>I844/4</f>
        <v>396</v>
      </c>
      <c r="CB844" s="747">
        <f>I844/4</f>
        <v>396</v>
      </c>
      <c r="CC844" s="747"/>
      <c r="CD844" s="747">
        <f t="shared" si="474"/>
        <v>1584</v>
      </c>
      <c r="CE844" s="659">
        <f t="shared" si="475"/>
        <v>0</v>
      </c>
      <c r="CF844" s="917"/>
      <c r="XDR844" s="885"/>
      <c r="XDS844" s="885"/>
      <c r="XDT844" s="888"/>
      <c r="XDU844" s="889"/>
      <c r="XDV844" s="890"/>
      <c r="XDW844" s="891"/>
      <c r="XDX844" s="949"/>
      <c r="XDY844" s="901"/>
      <c r="XDZ844" s="893"/>
      <c r="XEA844" s="893"/>
      <c r="XEB844" s="894"/>
      <c r="XEC844" s="894"/>
      <c r="XED844" s="895"/>
      <c r="XEE844" s="950"/>
      <c r="XEF844" s="896"/>
      <c r="XEG844" s="896"/>
      <c r="XEH844" s="902"/>
      <c r="XEI844" s="902"/>
      <c r="XEJ844" s="888"/>
      <c r="XEK844" s="889"/>
      <c r="XEL844" s="890"/>
      <c r="XEM844" s="891"/>
      <c r="XEN844" s="949"/>
      <c r="XEO844" s="901"/>
      <c r="XEP844" s="893"/>
      <c r="XEQ844" s="893"/>
      <c r="XER844" s="894"/>
      <c r="XES844" s="894"/>
      <c r="XET844" s="895"/>
      <c r="XEU844" s="950"/>
      <c r="XEV844" s="896"/>
      <c r="XEW844" s="896"/>
      <c r="XEX844" s="902"/>
      <c r="XEY844" s="902"/>
      <c r="XEZ844" s="902"/>
      <c r="XFA844" s="954"/>
      <c r="XFB844" s="954"/>
      <c r="XFC844" s="964"/>
      <c r="XFD844" s="958"/>
    </row>
    <row r="845" s="338" customFormat="1" ht="40" customHeight="1" spans="1:84 16346:16384">
      <c r="A845" s="632">
        <v>46183</v>
      </c>
      <c r="B845" s="633" t="s">
        <v>350</v>
      </c>
      <c r="C845" s="634" t="s">
        <v>351</v>
      </c>
      <c r="D845" s="635" t="s">
        <v>3481</v>
      </c>
      <c r="E845" s="659"/>
      <c r="F845" s="635" t="s">
        <v>3482</v>
      </c>
      <c r="G845" s="637" t="s">
        <v>111</v>
      </c>
      <c r="H845" s="637" t="s">
        <v>99</v>
      </c>
      <c r="I845" s="638">
        <v>1210</v>
      </c>
      <c r="J845" s="638">
        <v>0</v>
      </c>
      <c r="K845" s="639">
        <v>22</v>
      </c>
      <c r="L845" s="639">
        <f t="shared" si="455"/>
        <v>55</v>
      </c>
      <c r="M845" s="641">
        <v>46234</v>
      </c>
      <c r="N845" s="641">
        <v>46230</v>
      </c>
      <c r="O845" s="641"/>
      <c r="P845" s="903" t="s">
        <v>100</v>
      </c>
      <c r="Q845" s="643" t="s">
        <v>1656</v>
      </c>
      <c r="R845" s="903" t="s">
        <v>1505</v>
      </c>
      <c r="S845" s="641"/>
      <c r="T845" s="641"/>
      <c r="U845" s="903" t="s">
        <v>3483</v>
      </c>
      <c r="V845" s="642"/>
      <c r="W845" s="685" t="s">
        <v>3484</v>
      </c>
      <c r="X845" s="647" t="s">
        <v>3485</v>
      </c>
      <c r="Y845" s="646" t="s">
        <v>1472</v>
      </c>
      <c r="Z845" s="683">
        <v>2.7449</v>
      </c>
      <c r="AA845" s="650">
        <f t="shared" si="456"/>
        <v>3321.329</v>
      </c>
      <c r="AB845" s="649">
        <v>1210</v>
      </c>
      <c r="AC845" s="912">
        <f t="shared" si="469"/>
        <v>0</v>
      </c>
      <c r="AD845" s="906" t="s">
        <v>123</v>
      </c>
      <c r="AE845" s="661" t="s">
        <v>230</v>
      </c>
      <c r="AF845" s="935" t="s">
        <v>107</v>
      </c>
      <c r="AG845" s="715" t="s">
        <v>43</v>
      </c>
      <c r="AH845" s="646"/>
      <c r="AI845" s="693"/>
      <c r="AJ845" s="693"/>
      <c r="AK845" s="693"/>
      <c r="AL845" s="936"/>
      <c r="AM845" s="649"/>
      <c r="AN845" s="693"/>
      <c r="AO845" s="882"/>
      <c r="AP845" s="652">
        <f>I845</f>
        <v>1210</v>
      </c>
      <c r="AQ845" s="652"/>
      <c r="AR845" s="882"/>
      <c r="AS845" s="882"/>
      <c r="AT845" s="882"/>
      <c r="AU845" s="652">
        <f t="shared" si="463"/>
        <v>1210</v>
      </c>
      <c r="AV845" s="652"/>
      <c r="AW845" s="882"/>
      <c r="AX845" s="882"/>
      <c r="AY845" s="652"/>
      <c r="AZ845" s="694"/>
      <c r="BA845" s="694"/>
      <c r="BB845" s="654">
        <f>I845/11</f>
        <v>110</v>
      </c>
      <c r="BC845" s="694"/>
      <c r="BD845" s="694"/>
      <c r="BE845" s="654"/>
      <c r="BF845" s="694"/>
      <c r="BG845" s="923"/>
      <c r="BH845" s="658"/>
      <c r="BI845" s="883"/>
      <c r="BJ845" s="883"/>
      <c r="BK845" s="883"/>
      <c r="BL845" s="644"/>
      <c r="BM845" s="658"/>
      <c r="BN845" s="644"/>
      <c r="BO845" s="644"/>
      <c r="BP845" s="884"/>
      <c r="BQ845" s="654"/>
      <c r="BR845" s="694"/>
      <c r="BS845" s="654"/>
      <c r="BT845" s="654"/>
      <c r="BU845" s="654"/>
      <c r="BV845" s="654"/>
      <c r="BW845" s="685" t="s">
        <v>109</v>
      </c>
      <c r="BX845" s="658">
        <f>I845/22*5</f>
        <v>275</v>
      </c>
      <c r="BY845" s="658">
        <f>I845/22*6</f>
        <v>330</v>
      </c>
      <c r="BZ845" s="658">
        <f>I845/22*6</f>
        <v>330</v>
      </c>
      <c r="CA845" s="658">
        <f>I845/22*5</f>
        <v>275</v>
      </c>
      <c r="CB845" s="644">
        <f>I845</f>
        <v>1210</v>
      </c>
      <c r="CC845" s="658">
        <f>I845/11</f>
        <v>110</v>
      </c>
      <c r="CD845" s="644">
        <f t="shared" si="474"/>
        <v>1210</v>
      </c>
      <c r="CE845" s="659">
        <f t="shared" si="475"/>
        <v>0</v>
      </c>
      <c r="CF845" s="917"/>
      <c r="XEN845" s="885"/>
      <c r="XEO845" s="885"/>
      <c r="XEP845" s="885"/>
      <c r="XEQ845" s="885"/>
      <c r="XER845" s="885"/>
      <c r="XES845" s="885"/>
      <c r="XET845" s="885"/>
      <c r="XEU845" s="885"/>
      <c r="XEV845" s="885"/>
      <c r="XEW845" s="885"/>
      <c r="XEX845" s="885"/>
      <c r="XEY845" s="885"/>
      <c r="XEZ845" s="885"/>
      <c r="XFA845" s="885"/>
      <c r="XFB845" s="885"/>
      <c r="XFC845" s="885"/>
      <c r="XFD845" s="885"/>
    </row>
    <row r="846" s="338" customFormat="1" ht="40" customHeight="1" spans="1:84 16346:16384">
      <c r="A846" s="632">
        <v>46182</v>
      </c>
      <c r="B846" s="633" t="s">
        <v>2359</v>
      </c>
      <c r="C846" s="634" t="s">
        <v>144</v>
      </c>
      <c r="D846" s="635">
        <v>4500206232</v>
      </c>
      <c r="E846" s="661">
        <v>30260576</v>
      </c>
      <c r="F846" s="636" t="s">
        <v>3486</v>
      </c>
      <c r="G846" s="637" t="s">
        <v>1431</v>
      </c>
      <c r="H846" s="637" t="s">
        <v>1432</v>
      </c>
      <c r="I846" s="638">
        <v>6840</v>
      </c>
      <c r="J846" s="638">
        <v>0</v>
      </c>
      <c r="K846" s="639">
        <v>24</v>
      </c>
      <c r="L846" s="640">
        <f t="shared" si="455"/>
        <v>285</v>
      </c>
      <c r="M846" s="641">
        <v>46234</v>
      </c>
      <c r="N846" s="937">
        <v>46237</v>
      </c>
      <c r="O846" s="903" t="s">
        <v>3487</v>
      </c>
      <c r="P846" s="903" t="s">
        <v>100</v>
      </c>
      <c r="Q846" s="643"/>
      <c r="R846" s="903" t="s">
        <v>1793</v>
      </c>
      <c r="S846" s="926"/>
      <c r="T846" s="926"/>
      <c r="U846" s="934" t="s">
        <v>3488</v>
      </c>
      <c r="V846" s="946"/>
      <c r="W846" s="685" t="s">
        <v>3484</v>
      </c>
      <c r="X846" s="647" t="s">
        <v>3489</v>
      </c>
      <c r="Y846" s="639" t="s">
        <v>202</v>
      </c>
      <c r="Z846" s="897">
        <v>2.4716</v>
      </c>
      <c r="AA846" s="649">
        <f t="shared" si="456"/>
        <v>16905.744</v>
      </c>
      <c r="AB846" s="649">
        <v>6840</v>
      </c>
      <c r="AC846" s="912">
        <f t="shared" si="469"/>
        <v>0</v>
      </c>
      <c r="AD846" s="906" t="s">
        <v>106</v>
      </c>
      <c r="AE846" s="637" t="s">
        <v>1431</v>
      </c>
      <c r="AF846" s="935" t="s">
        <v>107</v>
      </c>
      <c r="AG846" s="715" t="s">
        <v>43</v>
      </c>
      <c r="AH846" s="646"/>
      <c r="AI846" s="652"/>
      <c r="AJ846" s="887"/>
      <c r="AK846" s="652"/>
      <c r="AL846" s="652"/>
      <c r="AM846" s="658">
        <f>I846</f>
        <v>6840</v>
      </c>
      <c r="AN846" s="658"/>
      <c r="AO846" s="654"/>
      <c r="AP846" s="652"/>
      <c r="AQ846" s="747"/>
      <c r="AR846" s="747"/>
      <c r="AS846" s="644"/>
      <c r="AT846" s="644"/>
      <c r="AU846" s="965">
        <f t="shared" si="463"/>
        <v>6840</v>
      </c>
      <c r="AV846" s="654"/>
      <c r="AW846" s="654"/>
      <c r="AX846" s="654"/>
      <c r="AY846" s="654"/>
      <c r="AZ846" s="654"/>
      <c r="BA846" s="645"/>
      <c r="BB846" s="654"/>
      <c r="BC846" s="747"/>
      <c r="BD846" s="747"/>
      <c r="BE846" s="747"/>
      <c r="BF846" s="747"/>
      <c r="BG846" s="747"/>
      <c r="BH846" s="747"/>
      <c r="BI846" s="747"/>
      <c r="BJ846" s="887"/>
      <c r="BK846" s="887"/>
      <c r="BL846" s="887"/>
      <c r="BM846" s="887"/>
      <c r="BN846" s="887"/>
      <c r="BO846" s="887"/>
      <c r="BP846" s="887"/>
      <c r="BQ846" s="887"/>
      <c r="BR846" s="887"/>
      <c r="BS846" s="887"/>
      <c r="BT846" s="887"/>
      <c r="BU846" s="887"/>
      <c r="BV846" s="887"/>
      <c r="BW846" s="645" t="s">
        <v>109</v>
      </c>
      <c r="BX846" s="747">
        <f>I846/4</f>
        <v>1710</v>
      </c>
      <c r="BY846" s="747">
        <f>I846/4</f>
        <v>1710</v>
      </c>
      <c r="BZ846" s="747">
        <f>I846/4</f>
        <v>1710</v>
      </c>
      <c r="CA846" s="747">
        <f>I846/4</f>
        <v>1710</v>
      </c>
      <c r="CB846" s="747">
        <f>I846</f>
        <v>6840</v>
      </c>
      <c r="CC846" s="747"/>
      <c r="CD846" s="644">
        <f t="shared" si="474"/>
        <v>6840</v>
      </c>
      <c r="CE846" s="659">
        <f t="shared" si="475"/>
        <v>0</v>
      </c>
      <c r="CF846" s="917"/>
      <c r="XDR846" s="885"/>
      <c r="XDS846" s="885"/>
      <c r="XDT846" s="888"/>
      <c r="XDU846" s="889"/>
      <c r="XDV846" s="890"/>
      <c r="XDW846" s="891"/>
      <c r="XDX846" s="949"/>
      <c r="XDY846" s="901"/>
      <c r="XDZ846" s="893"/>
      <c r="XEA846" s="893"/>
      <c r="XEB846" s="894"/>
      <c r="XEC846" s="894"/>
      <c r="XED846" s="895"/>
      <c r="XEE846" s="950"/>
      <c r="XEF846" s="896"/>
      <c r="XEG846" s="896"/>
      <c r="XEH846" s="902"/>
      <c r="XEI846" s="902"/>
      <c r="XEJ846" s="888"/>
      <c r="XEK846" s="889"/>
      <c r="XEL846" s="890"/>
      <c r="XEM846" s="891"/>
      <c r="XEN846" s="949"/>
      <c r="XEO846" s="901"/>
      <c r="XEP846" s="893"/>
      <c r="XEQ846" s="893"/>
      <c r="XER846" s="894"/>
      <c r="XES846" s="894"/>
      <c r="XET846" s="895"/>
      <c r="XEU846" s="950"/>
      <c r="XEV846" s="896"/>
      <c r="XEW846" s="896"/>
      <c r="XEX846" s="902"/>
      <c r="XEY846" s="902"/>
      <c r="XEZ846" s="902"/>
      <c r="XFA846" s="954"/>
      <c r="XFB846" s="954"/>
      <c r="XFC846" s="954"/>
      <c r="XFD846" s="958"/>
    </row>
    <row r="847" s="338" customFormat="1" ht="40" customHeight="1" spans="1:84 16346:16384">
      <c r="A847" s="632">
        <v>46182</v>
      </c>
      <c r="B847" s="633" t="s">
        <v>1789</v>
      </c>
      <c r="C847" s="634" t="s">
        <v>380</v>
      </c>
      <c r="D847" s="635">
        <v>4500211226</v>
      </c>
      <c r="E847" s="661">
        <v>4400563565</v>
      </c>
      <c r="F847" s="636" t="s">
        <v>3490</v>
      </c>
      <c r="G847" s="637" t="s">
        <v>111</v>
      </c>
      <c r="H847" s="637" t="s">
        <v>99</v>
      </c>
      <c r="I847" s="638">
        <v>1804</v>
      </c>
      <c r="J847" s="638">
        <v>0</v>
      </c>
      <c r="K847" s="639">
        <v>22</v>
      </c>
      <c r="L847" s="640">
        <f t="shared" si="455"/>
        <v>82</v>
      </c>
      <c r="M847" s="641">
        <v>46240</v>
      </c>
      <c r="N847" s="641">
        <v>46237</v>
      </c>
      <c r="O847" s="642"/>
      <c r="P847" s="903" t="s">
        <v>100</v>
      </c>
      <c r="Q847" s="643" t="s">
        <v>1805</v>
      </c>
      <c r="R847" s="934" t="s">
        <v>3491</v>
      </c>
      <c r="S847" s="926"/>
      <c r="T847" s="926"/>
      <c r="U847" s="934" t="s">
        <v>3005</v>
      </c>
      <c r="V847" s="946"/>
      <c r="W847" s="685" t="s">
        <v>3484</v>
      </c>
      <c r="X847" s="647" t="s">
        <v>3492</v>
      </c>
      <c r="Y847" s="639" t="s">
        <v>1864</v>
      </c>
      <c r="Z847" s="897">
        <v>2.7804</v>
      </c>
      <c r="AA847" s="649">
        <f t="shared" si="456"/>
        <v>5015.8416</v>
      </c>
      <c r="AB847" s="649">
        <v>1804</v>
      </c>
      <c r="AC847" s="912">
        <f t="shared" si="469"/>
        <v>0</v>
      </c>
      <c r="AD847" s="906" t="s">
        <v>113</v>
      </c>
      <c r="AE847" s="661" t="s">
        <v>230</v>
      </c>
      <c r="AF847" s="935" t="s">
        <v>107</v>
      </c>
      <c r="AG847" s="715" t="s">
        <v>43</v>
      </c>
      <c r="AH847" s="646"/>
      <c r="AI847" s="652"/>
      <c r="AJ847" s="887"/>
      <c r="AK847" s="652"/>
      <c r="AL847" s="652"/>
      <c r="AM847" s="658"/>
      <c r="AN847" s="658"/>
      <c r="AO847" s="654"/>
      <c r="AP847" s="654">
        <f>I847</f>
        <v>1804</v>
      </c>
      <c r="AQ847" s="747"/>
      <c r="AR847" s="747"/>
      <c r="AS847" s="644"/>
      <c r="AT847" s="644"/>
      <c r="AU847" s="652">
        <f t="shared" si="463"/>
        <v>1804</v>
      </c>
      <c r="AV847" s="654"/>
      <c r="AW847" s="654"/>
      <c r="AX847" s="654"/>
      <c r="AY847" s="654"/>
      <c r="AZ847" s="654"/>
      <c r="BA847" s="645"/>
      <c r="BB847" s="747">
        <f>I847/11</f>
        <v>164</v>
      </c>
      <c r="BC847" s="747"/>
      <c r="BD847" s="747"/>
      <c r="BE847" s="747"/>
      <c r="BF847" s="747"/>
      <c r="BG847" s="747"/>
      <c r="BH847" s="747"/>
      <c r="BI847" s="747"/>
      <c r="BJ847" s="887"/>
      <c r="BK847" s="887"/>
      <c r="BL847" s="887"/>
      <c r="BM847" s="887"/>
      <c r="BN847" s="887"/>
      <c r="BO847" s="887"/>
      <c r="BP847" s="887"/>
      <c r="BQ847" s="887"/>
      <c r="BR847" s="887"/>
      <c r="BS847" s="887"/>
      <c r="BT847" s="887"/>
      <c r="BU847" s="887"/>
      <c r="BV847" s="887"/>
      <c r="BW847" s="685" t="s">
        <v>109</v>
      </c>
      <c r="BX847" s="747">
        <f>I847/22*5</f>
        <v>410</v>
      </c>
      <c r="BY847" s="747">
        <f>I847/22*6</f>
        <v>492</v>
      </c>
      <c r="BZ847" s="747">
        <f>I847/22*6</f>
        <v>492</v>
      </c>
      <c r="CA847" s="747">
        <f>I847/22*5</f>
        <v>410</v>
      </c>
      <c r="CB847" s="747">
        <f>I847</f>
        <v>1804</v>
      </c>
      <c r="CC847" s="747">
        <f>I847/11</f>
        <v>164</v>
      </c>
      <c r="CD847" s="747">
        <f t="shared" si="474"/>
        <v>1804</v>
      </c>
      <c r="CE847" s="659">
        <f t="shared" si="475"/>
        <v>0</v>
      </c>
      <c r="CF847" s="917"/>
      <c r="XDR847" s="885"/>
      <c r="XDS847" s="885"/>
      <c r="XDT847" s="888"/>
      <c r="XDU847" s="889"/>
      <c r="XDV847" s="890"/>
      <c r="XDW847" s="891"/>
      <c r="XDX847" s="949"/>
      <c r="XDY847" s="901"/>
      <c r="XDZ847" s="893"/>
      <c r="XEA847" s="893"/>
      <c r="XEB847" s="894"/>
      <c r="XEC847" s="894"/>
      <c r="XED847" s="895"/>
      <c r="XEE847" s="950"/>
      <c r="XEF847" s="896"/>
      <c r="XEG847" s="896"/>
      <c r="XEH847" s="902"/>
      <c r="XEI847" s="902"/>
      <c r="XEJ847" s="888"/>
      <c r="XEK847" s="889"/>
      <c r="XEL847" s="890"/>
      <c r="XEM847" s="891"/>
      <c r="XEN847" s="949"/>
      <c r="XEO847" s="901"/>
      <c r="XEP847" s="893"/>
      <c r="XEQ847" s="893"/>
      <c r="XER847" s="894"/>
      <c r="XES847" s="894"/>
      <c r="XET847" s="895"/>
      <c r="XEU847" s="950"/>
      <c r="XEV847" s="896"/>
      <c r="XEW847" s="896"/>
      <c r="XEX847" s="902"/>
      <c r="XEY847" s="902"/>
      <c r="XEZ847" s="902"/>
      <c r="XFA847" s="954"/>
      <c r="XFB847" s="954"/>
      <c r="XFC847" s="954"/>
      <c r="XFD847" s="958"/>
    </row>
    <row r="848" s="338" customFormat="1" ht="40" customHeight="1" spans="1:84 16346:16384">
      <c r="A848" s="632">
        <v>46185</v>
      </c>
      <c r="B848" s="633" t="s">
        <v>3493</v>
      </c>
      <c r="C848" s="634" t="s">
        <v>1896</v>
      </c>
      <c r="D848" s="635" t="s">
        <v>3494</v>
      </c>
      <c r="E848" s="661" t="s">
        <v>3495</v>
      </c>
      <c r="F848" s="636" t="s">
        <v>3496</v>
      </c>
      <c r="G848" s="637" t="s">
        <v>111</v>
      </c>
      <c r="H848" s="637" t="s">
        <v>99</v>
      </c>
      <c r="I848" s="638">
        <v>1540</v>
      </c>
      <c r="J848" s="638">
        <v>0</v>
      </c>
      <c r="K848" s="639">
        <v>22</v>
      </c>
      <c r="L848" s="640">
        <f t="shared" si="455"/>
        <v>70</v>
      </c>
      <c r="M848" s="641">
        <v>46241</v>
      </c>
      <c r="N848" s="641">
        <v>46237</v>
      </c>
      <c r="O848" s="903" t="s">
        <v>3497</v>
      </c>
      <c r="P848" s="903" t="s">
        <v>100</v>
      </c>
      <c r="Q848" s="643"/>
      <c r="R848" s="934" t="s">
        <v>3396</v>
      </c>
      <c r="S848" s="926"/>
      <c r="T848" s="926"/>
      <c r="U848" s="934" t="s">
        <v>3498</v>
      </c>
      <c r="V848" s="946"/>
      <c r="W848" s="903" t="s">
        <v>3497</v>
      </c>
      <c r="X848" s="647" t="s">
        <v>3499</v>
      </c>
      <c r="Y848" s="639" t="s">
        <v>3500</v>
      </c>
      <c r="Z848" s="897">
        <v>2.7804</v>
      </c>
      <c r="AA848" s="649">
        <f t="shared" si="456"/>
        <v>4281.816</v>
      </c>
      <c r="AB848" s="649">
        <v>1540</v>
      </c>
      <c r="AC848" s="912">
        <f t="shared" si="469"/>
        <v>0</v>
      </c>
      <c r="AD848" s="906" t="s">
        <v>123</v>
      </c>
      <c r="AE848" s="661" t="s">
        <v>230</v>
      </c>
      <c r="AF848" s="935" t="s">
        <v>107</v>
      </c>
      <c r="AG848" s="715" t="s">
        <v>43</v>
      </c>
      <c r="AH848" s="646"/>
      <c r="AI848" s="882"/>
      <c r="AJ848" s="899"/>
      <c r="AK848" s="882"/>
      <c r="AL848" s="882"/>
      <c r="AM848" s="658"/>
      <c r="AN848" s="883"/>
      <c r="AO848" s="694"/>
      <c r="AP848" s="654">
        <f>I848</f>
        <v>1540</v>
      </c>
      <c r="AQ848" s="747"/>
      <c r="AR848" s="957"/>
      <c r="AS848" s="898"/>
      <c r="AT848" s="898"/>
      <c r="AU848" s="652">
        <f t="shared" si="463"/>
        <v>1540</v>
      </c>
      <c r="AV848" s="654"/>
      <c r="AW848" s="694"/>
      <c r="AX848" s="694"/>
      <c r="AY848" s="654"/>
      <c r="AZ848" s="694"/>
      <c r="BA848" s="923"/>
      <c r="BB848" s="747">
        <f>I848/11</f>
        <v>140</v>
      </c>
      <c r="BC848" s="957"/>
      <c r="BD848" s="957"/>
      <c r="BE848" s="747"/>
      <c r="BF848" s="957"/>
      <c r="BG848" s="957"/>
      <c r="BH848" s="747"/>
      <c r="BI848" s="957"/>
      <c r="BJ848" s="899"/>
      <c r="BK848" s="899"/>
      <c r="BL848" s="887"/>
      <c r="BM848" s="887"/>
      <c r="BN848" s="887"/>
      <c r="BO848" s="887"/>
      <c r="BP848" s="899"/>
      <c r="BQ848" s="887"/>
      <c r="BR848" s="899"/>
      <c r="BS848" s="887"/>
      <c r="BT848" s="887"/>
      <c r="BU848" s="887"/>
      <c r="BV848" s="887"/>
      <c r="BW848" s="685" t="s">
        <v>109</v>
      </c>
      <c r="BX848" s="747">
        <f>I848/22*5</f>
        <v>350</v>
      </c>
      <c r="BY848" s="747">
        <f>I848/22*6</f>
        <v>420</v>
      </c>
      <c r="BZ848" s="747">
        <f>I848/22*6</f>
        <v>420</v>
      </c>
      <c r="CA848" s="747">
        <f>I848/22*5</f>
        <v>350</v>
      </c>
      <c r="CB848" s="747">
        <f>I848</f>
        <v>1540</v>
      </c>
      <c r="CC848" s="747">
        <f>I848/11</f>
        <v>140</v>
      </c>
      <c r="CD848" s="747">
        <f t="shared" si="474"/>
        <v>1540</v>
      </c>
      <c r="CE848" s="659">
        <f t="shared" si="475"/>
        <v>0</v>
      </c>
      <c r="CF848" s="917"/>
      <c r="XDR848" s="885"/>
      <c r="XDS848" s="885"/>
      <c r="XDT848" s="888"/>
      <c r="XDU848" s="889"/>
      <c r="XDV848" s="890"/>
      <c r="XDW848" s="891"/>
      <c r="XDX848" s="949"/>
      <c r="XDY848" s="901"/>
      <c r="XDZ848" s="893"/>
      <c r="XEA848" s="893"/>
      <c r="XEB848" s="894"/>
      <c r="XEC848" s="894"/>
      <c r="XED848" s="895"/>
      <c r="XEE848" s="950"/>
      <c r="XEF848" s="896"/>
      <c r="XEG848" s="896"/>
      <c r="XEH848" s="902"/>
      <c r="XEI848" s="902"/>
      <c r="XEJ848" s="888"/>
      <c r="XEK848" s="889"/>
      <c r="XEL848" s="890"/>
      <c r="XEM848" s="891"/>
      <c r="XEN848" s="949"/>
      <c r="XEO848" s="901"/>
      <c r="XEP848" s="893"/>
      <c r="XEQ848" s="893"/>
      <c r="XER848" s="894"/>
      <c r="XES848" s="894"/>
      <c r="XET848" s="895"/>
      <c r="XEU848" s="950"/>
      <c r="XEV848" s="896"/>
      <c r="XEW848" s="896"/>
      <c r="XEX848" s="902"/>
      <c r="XEY848" s="902"/>
      <c r="XEZ848" s="902"/>
      <c r="XFA848" s="954"/>
      <c r="XFB848" s="954"/>
      <c r="XFC848" s="954"/>
      <c r="XFD848" s="958"/>
    </row>
    <row r="849" s="338" customFormat="1" ht="40" customHeight="1" spans="1:84 16342:16384">
      <c r="A849" s="632">
        <v>46204</v>
      </c>
      <c r="B849" s="633" t="s">
        <v>3501</v>
      </c>
      <c r="C849" s="634" t="s">
        <v>3502</v>
      </c>
      <c r="D849" s="635" t="s">
        <v>3503</v>
      </c>
      <c r="E849" s="659" t="s">
        <v>3015</v>
      </c>
      <c r="F849" s="635" t="s">
        <v>3504</v>
      </c>
      <c r="G849" s="637" t="s">
        <v>111</v>
      </c>
      <c r="H849" s="637" t="s">
        <v>99</v>
      </c>
      <c r="I849" s="638">
        <v>506</v>
      </c>
      <c r="J849" s="638">
        <v>0</v>
      </c>
      <c r="K849" s="639">
        <v>22</v>
      </c>
      <c r="L849" s="638">
        <f t="shared" si="455"/>
        <v>23</v>
      </c>
      <c r="M849" s="641">
        <v>46241</v>
      </c>
      <c r="N849" s="641">
        <v>46237</v>
      </c>
      <c r="O849" s="886" t="s">
        <v>1843</v>
      </c>
      <c r="P849" s="903" t="s">
        <v>100</v>
      </c>
      <c r="Q849" s="643" t="s">
        <v>1843</v>
      </c>
      <c r="R849" s="934" t="s">
        <v>3505</v>
      </c>
      <c r="S849" s="641"/>
      <c r="T849" s="641"/>
      <c r="U849" s="934" t="s">
        <v>3506</v>
      </c>
      <c r="V849" s="642"/>
      <c r="W849" s="685" t="s">
        <v>3479</v>
      </c>
      <c r="X849" s="938" t="s">
        <v>3507</v>
      </c>
      <c r="Y849" s="646" t="s">
        <v>3508</v>
      </c>
      <c r="Z849" s="683">
        <v>2.7947</v>
      </c>
      <c r="AA849" s="960">
        <f t="shared" si="456"/>
        <v>1414.1182</v>
      </c>
      <c r="AB849" s="649">
        <v>506</v>
      </c>
      <c r="AC849" s="912">
        <f t="shared" si="469"/>
        <v>0</v>
      </c>
      <c r="AD849" s="906" t="s">
        <v>123</v>
      </c>
      <c r="AE849" s="661" t="s">
        <v>230</v>
      </c>
      <c r="AF849" s="935" t="s">
        <v>107</v>
      </c>
      <c r="AG849" s="715" t="s">
        <v>43</v>
      </c>
      <c r="AH849" s="646"/>
      <c r="AI849" s="744"/>
      <c r="AJ849" s="700"/>
      <c r="AK849" s="915"/>
      <c r="AL849" s="919"/>
      <c r="AM849" s="654"/>
      <c r="AN849" s="700"/>
      <c r="AO849" s="915"/>
      <c r="AP849" s="947">
        <f>I849</f>
        <v>506</v>
      </c>
      <c r="AQ849" s="644"/>
      <c r="AR849" s="966"/>
      <c r="AS849" s="966"/>
      <c r="AT849" s="966"/>
      <c r="AU849" s="652">
        <f t="shared" si="463"/>
        <v>506</v>
      </c>
      <c r="AV849" s="679"/>
      <c r="AW849" s="966"/>
      <c r="AX849" s="966"/>
      <c r="AY849" s="679"/>
      <c r="AZ849" s="966"/>
      <c r="BA849" s="966"/>
      <c r="BB849" s="747">
        <f>I849/11</f>
        <v>46</v>
      </c>
      <c r="BC849" s="966"/>
      <c r="BD849" s="966"/>
      <c r="BE849" s="679"/>
      <c r="BF849" s="966"/>
      <c r="BG849" s="966"/>
      <c r="BH849" s="679"/>
      <c r="BI849" s="966"/>
      <c r="BJ849" s="966"/>
      <c r="BK849" s="966"/>
      <c r="BL849" s="679"/>
      <c r="BM849" s="679"/>
      <c r="BN849" s="679"/>
      <c r="BO849" s="679"/>
      <c r="BP849" s="920"/>
      <c r="BQ849" s="679"/>
      <c r="BR849" s="966"/>
      <c r="BS849" s="679"/>
      <c r="BT849" s="679"/>
      <c r="BU849" s="679"/>
      <c r="BV849" s="679"/>
      <c r="BW849" s="685" t="s">
        <v>109</v>
      </c>
      <c r="BX849" s="747">
        <f>I849/22*5</f>
        <v>115</v>
      </c>
      <c r="BY849" s="747">
        <f>I849/22*6</f>
        <v>138</v>
      </c>
      <c r="BZ849" s="747">
        <f>I849/22*6</f>
        <v>138</v>
      </c>
      <c r="CA849" s="747">
        <f>I849/22*5</f>
        <v>115</v>
      </c>
      <c r="CB849" s="747">
        <f>I849</f>
        <v>506</v>
      </c>
      <c r="CC849" s="747">
        <f>I849/11</f>
        <v>46</v>
      </c>
      <c r="CD849" s="747">
        <f t="shared" si="474"/>
        <v>506</v>
      </c>
      <c r="CE849" s="659">
        <f t="shared" si="475"/>
        <v>0</v>
      </c>
      <c r="CF849" s="917"/>
      <c r="XDN849" s="967"/>
      <c r="XDO849" s="889"/>
      <c r="XDP849" s="890"/>
      <c r="XDQ849" s="891"/>
      <c r="XDR849" s="892"/>
      <c r="XDS849" s="891"/>
      <c r="XDT849" s="893"/>
      <c r="XDU849" s="893"/>
      <c r="XDV849" s="894"/>
      <c r="XDW849" s="894"/>
      <c r="XDX849" s="894"/>
      <c r="XDY849" s="894"/>
      <c r="XDZ849" s="953"/>
      <c r="XEA849" s="953"/>
      <c r="XEB849" s="953"/>
      <c r="XEC849" s="954"/>
      <c r="XED849" s="954"/>
      <c r="XEE849" s="954"/>
      <c r="XEF849" s="953"/>
      <c r="XEG849" s="954"/>
      <c r="XEH849" s="954"/>
      <c r="XEI849" s="958"/>
      <c r="XEJ849" s="967"/>
      <c r="XEK849" s="889"/>
      <c r="XEL849" s="890"/>
      <c r="XEM849" s="891"/>
      <c r="XEN849" s="892"/>
      <c r="XEO849" s="891"/>
      <c r="XEP849" s="893"/>
      <c r="XEQ849" s="893"/>
      <c r="XER849" s="894"/>
      <c r="XES849" s="894"/>
      <c r="XET849" s="894"/>
      <c r="XEU849" s="894"/>
      <c r="XEV849" s="953"/>
      <c r="XEW849" s="953"/>
      <c r="XEX849" s="953"/>
      <c r="XEY849" s="954"/>
      <c r="XEZ849" s="954"/>
      <c r="XFA849" s="954"/>
      <c r="XFB849" s="953"/>
      <c r="XFC849" s="954"/>
      <c r="XFD849" s="954"/>
    </row>
    <row r="850" s="338" customFormat="1" ht="40" customHeight="1" spans="1:84 16342:16384">
      <c r="A850" s="632">
        <v>46185</v>
      </c>
      <c r="B850" s="633" t="s">
        <v>379</v>
      </c>
      <c r="C850" s="634" t="s">
        <v>380</v>
      </c>
      <c r="D850" s="635" t="s">
        <v>3509</v>
      </c>
      <c r="E850" s="659" t="s">
        <v>3510</v>
      </c>
      <c r="F850" s="635" t="s">
        <v>3511</v>
      </c>
      <c r="G850" s="637" t="s">
        <v>1992</v>
      </c>
      <c r="H850" s="637" t="s">
        <v>1993</v>
      </c>
      <c r="I850" s="638">
        <v>480</v>
      </c>
      <c r="J850" s="638">
        <v>0</v>
      </c>
      <c r="K850" s="639">
        <v>24</v>
      </c>
      <c r="L850" s="638">
        <f t="shared" si="455"/>
        <v>20</v>
      </c>
      <c r="M850" s="641">
        <v>46237</v>
      </c>
      <c r="N850" s="641">
        <v>46233</v>
      </c>
      <c r="O850" s="886" t="s">
        <v>3206</v>
      </c>
      <c r="P850" s="903" t="s">
        <v>100</v>
      </c>
      <c r="Q850" s="643" t="s">
        <v>3512</v>
      </c>
      <c r="R850" s="934" t="s">
        <v>3461</v>
      </c>
      <c r="S850" s="925"/>
      <c r="T850" s="925"/>
      <c r="U850" s="903" t="s">
        <v>3513</v>
      </c>
      <c r="V850" s="926"/>
      <c r="W850" s="685" t="s">
        <v>3514</v>
      </c>
      <c r="X850" s="938" t="s">
        <v>3515</v>
      </c>
      <c r="Y850" s="646" t="s">
        <v>3516</v>
      </c>
      <c r="Z850" s="683">
        <v>2.6134</v>
      </c>
      <c r="AA850" s="960">
        <f t="shared" si="456"/>
        <v>1254.432</v>
      </c>
      <c r="AB850" s="649">
        <v>480</v>
      </c>
      <c r="AC850" s="912">
        <f t="shared" si="469"/>
        <v>0</v>
      </c>
      <c r="AD850" s="942" t="s">
        <v>106</v>
      </c>
      <c r="AE850" s="637" t="s">
        <v>1992</v>
      </c>
      <c r="AF850" s="715" t="s">
        <v>107</v>
      </c>
      <c r="AG850" s="715" t="s">
        <v>43</v>
      </c>
      <c r="AH850" s="646"/>
      <c r="AI850" s="649"/>
      <c r="AJ850" s="947"/>
      <c r="AK850" s="652"/>
      <c r="AL850" s="959"/>
      <c r="AM850" s="652"/>
      <c r="AN850" s="652"/>
      <c r="AO850" s="654"/>
      <c r="AP850" s="947">
        <f>I850</f>
        <v>480</v>
      </c>
      <c r="AQ850" s="658"/>
      <c r="AR850" s="644"/>
      <c r="AS850" s="658"/>
      <c r="AT850" s="644"/>
      <c r="AU850" s="652">
        <f t="shared" si="463"/>
        <v>480</v>
      </c>
      <c r="AV850" s="654"/>
      <c r="AW850" s="654"/>
      <c r="AX850" s="654"/>
      <c r="AY850" s="654"/>
      <c r="AZ850" s="654"/>
      <c r="BA850" s="946"/>
      <c r="BB850" s="658"/>
      <c r="BC850" s="959"/>
      <c r="BD850" s="959"/>
      <c r="BE850" s="959"/>
      <c r="BF850" s="659"/>
      <c r="BG850" s="959"/>
      <c r="BH850" s="659"/>
      <c r="BI850" s="659"/>
      <c r="BJ850" s="887"/>
      <c r="BK850" s="887"/>
      <c r="BL850" s="747"/>
      <c r="BM850" s="747"/>
      <c r="BN850" s="747"/>
      <c r="BO850" s="747"/>
      <c r="BP850" s="887"/>
      <c r="BQ850" s="747"/>
      <c r="BR850" s="887"/>
      <c r="BS850" s="747"/>
      <c r="BT850" s="747"/>
      <c r="BU850" s="747"/>
      <c r="BV850" s="747"/>
      <c r="BW850" s="685" t="s">
        <v>109</v>
      </c>
      <c r="BX850" s="747"/>
      <c r="BY850" s="747"/>
      <c r="BZ850" s="747"/>
      <c r="CA850" s="747">
        <v>480</v>
      </c>
      <c r="CB850" s="747"/>
      <c r="CC850" s="747"/>
      <c r="CD850" s="747">
        <v>480</v>
      </c>
      <c r="CE850" s="659">
        <f t="shared" si="475"/>
        <v>0</v>
      </c>
      <c r="CF850" s="917"/>
      <c r="XDR850" s="968"/>
      <c r="XDS850" s="968"/>
      <c r="XDT850" s="968"/>
      <c r="XDU850" s="968"/>
      <c r="XDV850" s="968"/>
      <c r="XDW850" s="968"/>
      <c r="XDX850" s="968"/>
      <c r="XDY850" s="968"/>
      <c r="XDZ850" s="968"/>
      <c r="XEA850" s="968"/>
      <c r="XEB850" s="968"/>
      <c r="XEC850" s="968"/>
      <c r="XED850" s="968"/>
      <c r="XEE850" s="968"/>
      <c r="XEF850" s="968"/>
      <c r="XEG850" s="968"/>
      <c r="XEH850" s="968"/>
      <c r="XEI850" s="968"/>
      <c r="XEJ850" s="888"/>
      <c r="XEK850" s="889"/>
      <c r="XEL850" s="890"/>
      <c r="XEM850" s="891"/>
      <c r="XEN850" s="892"/>
      <c r="XEO850" s="891"/>
      <c r="XEP850" s="893"/>
      <c r="XEQ850" s="893"/>
      <c r="XER850" s="894"/>
      <c r="XES850" s="894"/>
      <c r="XET850" s="895"/>
      <c r="XEU850" s="894"/>
      <c r="XEV850" s="896"/>
      <c r="XEW850" s="896"/>
      <c r="XEX850" s="969"/>
      <c r="XEY850" s="902"/>
      <c r="XEZ850" s="902"/>
      <c r="XFA850" s="964"/>
      <c r="XFB850" s="953"/>
      <c r="XFC850" s="964"/>
      <c r="XFD850" s="954"/>
    </row>
    <row r="851" s="338" customFormat="1" ht="40" customHeight="1" spans="1:84 16342:16384">
      <c r="A851" s="632">
        <v>46091</v>
      </c>
      <c r="B851" s="633" t="s">
        <v>1074</v>
      </c>
      <c r="C851" s="634" t="s">
        <v>380</v>
      </c>
      <c r="D851" s="635">
        <v>4500195634</v>
      </c>
      <c r="E851" s="659" t="s">
        <v>3517</v>
      </c>
      <c r="F851" s="635" t="s">
        <v>3518</v>
      </c>
      <c r="G851" s="637" t="s">
        <v>241</v>
      </c>
      <c r="H851" s="637" t="s">
        <v>99</v>
      </c>
      <c r="I851" s="638">
        <v>6050</v>
      </c>
      <c r="J851" s="638">
        <v>0</v>
      </c>
      <c r="K851" s="639">
        <v>11</v>
      </c>
      <c r="L851" s="638">
        <f t="shared" si="455"/>
        <v>550</v>
      </c>
      <c r="M851" s="641">
        <v>46244</v>
      </c>
      <c r="N851" s="641">
        <v>46240</v>
      </c>
      <c r="O851" s="641"/>
      <c r="P851" s="903" t="s">
        <v>100</v>
      </c>
      <c r="Q851" s="642"/>
      <c r="R851" s="642" t="s">
        <v>868</v>
      </c>
      <c r="S851" s="641"/>
      <c r="T851" s="641"/>
      <c r="U851" s="642" t="s">
        <v>2998</v>
      </c>
      <c r="V851" s="642"/>
      <c r="W851" s="645"/>
      <c r="X851" s="647" t="s">
        <v>3519</v>
      </c>
      <c r="Y851" s="646" t="s">
        <v>105</v>
      </c>
      <c r="Z851" s="683">
        <v>2.6821</v>
      </c>
      <c r="AA851" s="960">
        <f t="shared" si="456"/>
        <v>16226.705</v>
      </c>
      <c r="AB851" s="649">
        <v>6050</v>
      </c>
      <c r="AC851" s="912">
        <f t="shared" si="469"/>
        <v>0</v>
      </c>
      <c r="AD851" s="906" t="s">
        <v>113</v>
      </c>
      <c r="AE851" s="637" t="s">
        <v>241</v>
      </c>
      <c r="AF851" s="646" t="s">
        <v>107</v>
      </c>
      <c r="AG851" s="715" t="s">
        <v>43</v>
      </c>
      <c r="AH851" s="646"/>
      <c r="AI851" s="693"/>
      <c r="AJ851" s="693"/>
      <c r="AK851" s="693"/>
      <c r="AL851" s="701"/>
      <c r="AM851" s="649">
        <f>I851</f>
        <v>6050</v>
      </c>
      <c r="AN851" s="693"/>
      <c r="AO851" s="882"/>
      <c r="AP851" s="652"/>
      <c r="AQ851" s="652"/>
      <c r="AR851" s="882"/>
      <c r="AS851" s="882"/>
      <c r="AT851" s="652"/>
      <c r="AU851" s="652">
        <f t="shared" si="463"/>
        <v>6050</v>
      </c>
      <c r="AV851" s="652"/>
      <c r="AW851" s="882"/>
      <c r="AX851" s="652"/>
      <c r="AY851" s="652"/>
      <c r="AZ851" s="694"/>
      <c r="BA851" s="654"/>
      <c r="BB851" s="956">
        <f>I851/11</f>
        <v>550</v>
      </c>
      <c r="BC851" s="694"/>
      <c r="BD851" s="694"/>
      <c r="BE851" s="654"/>
      <c r="BF851" s="694"/>
      <c r="BG851" s="645"/>
      <c r="BH851" s="658"/>
      <c r="BI851" s="883"/>
      <c r="BJ851" s="883"/>
      <c r="BK851" s="658"/>
      <c r="BL851" s="644"/>
      <c r="BM851" s="658"/>
      <c r="BN851" s="644"/>
      <c r="BO851" s="644"/>
      <c r="BP851" s="884"/>
      <c r="BQ851" s="654"/>
      <c r="BR851" s="694"/>
      <c r="BS851" s="654"/>
      <c r="BT851" s="654"/>
      <c r="BU851" s="654"/>
      <c r="BV851" s="654"/>
      <c r="BW851" s="645" t="s">
        <v>109</v>
      </c>
      <c r="BX851" s="959">
        <f>I851/22*5</f>
        <v>1375</v>
      </c>
      <c r="BY851" s="959">
        <f>I851/22*6</f>
        <v>1650</v>
      </c>
      <c r="BZ851" s="959">
        <f>I851/22*6</f>
        <v>1650</v>
      </c>
      <c r="CA851" s="959">
        <f>I851/22*5</f>
        <v>1375</v>
      </c>
      <c r="CB851" s="659">
        <f t="shared" ref="CB851:CB856" si="476">I851</f>
        <v>6050</v>
      </c>
      <c r="CC851" s="959">
        <f>I851/11</f>
        <v>550</v>
      </c>
      <c r="CD851" s="659">
        <f t="shared" ref="CD851:CD866" si="477">SUM(BX851:CA851)</f>
        <v>6050</v>
      </c>
      <c r="CE851" s="659">
        <f t="shared" si="475"/>
        <v>0</v>
      </c>
      <c r="CF851" s="917"/>
      <c r="XEN851" s="885"/>
      <c r="XEO851" s="885"/>
      <c r="XEP851" s="885"/>
      <c r="XEQ851" s="885"/>
      <c r="XER851" s="885"/>
      <c r="XES851" s="885"/>
      <c r="XET851" s="885"/>
      <c r="XEU851" s="885"/>
      <c r="XEV851" s="885"/>
      <c r="XEW851" s="885"/>
      <c r="XEX851" s="885"/>
      <c r="XEY851" s="885"/>
      <c r="XEZ851" s="885"/>
      <c r="XFA851" s="885"/>
      <c r="XFB851" s="885"/>
      <c r="XFC851" s="885"/>
      <c r="XFD851" s="885"/>
    </row>
    <row r="852" s="338" customFormat="1" ht="40" customHeight="1" spans="1:84 16342:16384">
      <c r="A852" s="632">
        <v>46091</v>
      </c>
      <c r="B852" s="633" t="s">
        <v>1074</v>
      </c>
      <c r="C852" s="634" t="s">
        <v>380</v>
      </c>
      <c r="D852" s="635">
        <v>4500195634</v>
      </c>
      <c r="E852" s="659" t="s">
        <v>3520</v>
      </c>
      <c r="F852" s="635" t="s">
        <v>3521</v>
      </c>
      <c r="G852" s="637" t="s">
        <v>241</v>
      </c>
      <c r="H852" s="637" t="s">
        <v>99</v>
      </c>
      <c r="I852" s="638">
        <v>6050</v>
      </c>
      <c r="J852" s="638">
        <v>0</v>
      </c>
      <c r="K852" s="639">
        <v>11</v>
      </c>
      <c r="L852" s="638">
        <f t="shared" si="455"/>
        <v>550</v>
      </c>
      <c r="M852" s="641">
        <v>46244</v>
      </c>
      <c r="N852" s="641">
        <v>46240</v>
      </c>
      <c r="O852" s="641"/>
      <c r="P852" s="903" t="s">
        <v>100</v>
      </c>
      <c r="Q852" s="643" t="s">
        <v>3522</v>
      </c>
      <c r="R852" s="642" t="s">
        <v>868</v>
      </c>
      <c r="S852" s="641"/>
      <c r="T852" s="641"/>
      <c r="U852" s="642" t="s">
        <v>2998</v>
      </c>
      <c r="V852" s="642"/>
      <c r="W852" s="645"/>
      <c r="X852" s="647" t="s">
        <v>3519</v>
      </c>
      <c r="Y852" s="646" t="s">
        <v>105</v>
      </c>
      <c r="Z852" s="683">
        <v>2.6821</v>
      </c>
      <c r="AA852" s="960">
        <f t="shared" si="456"/>
        <v>16226.705</v>
      </c>
      <c r="AB852" s="649">
        <v>6050</v>
      </c>
      <c r="AC852" s="912">
        <f t="shared" si="469"/>
        <v>0</v>
      </c>
      <c r="AD852" s="906" t="s">
        <v>113</v>
      </c>
      <c r="AE852" s="637" t="s">
        <v>241</v>
      </c>
      <c r="AF852" s="646" t="s">
        <v>107</v>
      </c>
      <c r="AG852" s="715" t="s">
        <v>43</v>
      </c>
      <c r="AH852" s="646"/>
      <c r="AI852" s="693"/>
      <c r="AJ852" s="693"/>
      <c r="AK852" s="693"/>
      <c r="AL852" s="701"/>
      <c r="AM852" s="649">
        <f>I852</f>
        <v>6050</v>
      </c>
      <c r="AN852" s="693"/>
      <c r="AO852" s="882"/>
      <c r="AP852" s="652"/>
      <c r="AQ852" s="652"/>
      <c r="AR852" s="882"/>
      <c r="AS852" s="882"/>
      <c r="AT852" s="652"/>
      <c r="AU852" s="652">
        <f t="shared" si="463"/>
        <v>6050</v>
      </c>
      <c r="AV852" s="652"/>
      <c r="AW852" s="882"/>
      <c r="AX852" s="652"/>
      <c r="AY852" s="652"/>
      <c r="AZ852" s="694"/>
      <c r="BA852" s="654"/>
      <c r="BB852" s="956">
        <f>I852/11</f>
        <v>550</v>
      </c>
      <c r="BC852" s="694"/>
      <c r="BD852" s="694"/>
      <c r="BE852" s="654"/>
      <c r="BF852" s="694"/>
      <c r="BG852" s="645"/>
      <c r="BH852" s="658"/>
      <c r="BI852" s="883"/>
      <c r="BJ852" s="883"/>
      <c r="BK852" s="658"/>
      <c r="BL852" s="644"/>
      <c r="BM852" s="658"/>
      <c r="BN852" s="644"/>
      <c r="BO852" s="644"/>
      <c r="BP852" s="884"/>
      <c r="BQ852" s="654"/>
      <c r="BR852" s="694"/>
      <c r="BS852" s="654"/>
      <c r="BT852" s="654"/>
      <c r="BU852" s="654"/>
      <c r="BV852" s="654"/>
      <c r="BW852" s="645" t="s">
        <v>109</v>
      </c>
      <c r="BX852" s="959">
        <f>I852/22*5</f>
        <v>1375</v>
      </c>
      <c r="BY852" s="959">
        <f>I852/22*6</f>
        <v>1650</v>
      </c>
      <c r="BZ852" s="959">
        <f>I852/22*6</f>
        <v>1650</v>
      </c>
      <c r="CA852" s="959">
        <f>I852/22*5</f>
        <v>1375</v>
      </c>
      <c r="CB852" s="659">
        <f t="shared" si="476"/>
        <v>6050</v>
      </c>
      <c r="CC852" s="959">
        <f>I852/11</f>
        <v>550</v>
      </c>
      <c r="CD852" s="659">
        <f t="shared" si="477"/>
        <v>6050</v>
      </c>
      <c r="CE852" s="659">
        <f t="shared" si="475"/>
        <v>0</v>
      </c>
      <c r="CF852" s="917"/>
      <c r="XEN852" s="885"/>
      <c r="XEO852" s="885"/>
      <c r="XEP852" s="885"/>
      <c r="XEQ852" s="885"/>
      <c r="XER852" s="885"/>
      <c r="XES852" s="885"/>
      <c r="XET852" s="885"/>
      <c r="XEU852" s="885"/>
      <c r="XEV852" s="885"/>
      <c r="XEW852" s="885"/>
      <c r="XEX852" s="885"/>
      <c r="XEY852" s="885"/>
      <c r="XEZ852" s="885"/>
      <c r="XFA852" s="885"/>
      <c r="XFB852" s="885"/>
      <c r="XFC852" s="885"/>
      <c r="XFD852" s="885"/>
    </row>
    <row r="853" s="558" customFormat="1" ht="40" customHeight="1" spans="1:84 16342:16384">
      <c r="A853" s="717">
        <v>46174</v>
      </c>
      <c r="B853" s="718" t="s">
        <v>2804</v>
      </c>
      <c r="C853" s="719" t="s">
        <v>129</v>
      </c>
      <c r="D853" s="970">
        <v>4500210228</v>
      </c>
      <c r="E853" s="721"/>
      <c r="F853" s="720" t="s">
        <v>3523</v>
      </c>
      <c r="G853" s="722" t="s">
        <v>111</v>
      </c>
      <c r="H853" s="722" t="s">
        <v>99</v>
      </c>
      <c r="I853" s="723">
        <v>814</v>
      </c>
      <c r="J853" s="723">
        <v>0</v>
      </c>
      <c r="K853" s="724">
        <v>22</v>
      </c>
      <c r="L853" s="723">
        <f t="shared" si="455"/>
        <v>37</v>
      </c>
      <c r="M853" s="725">
        <v>46251</v>
      </c>
      <c r="N853" s="725">
        <v>46247</v>
      </c>
      <c r="O853" s="725"/>
      <c r="P853" s="903" t="s">
        <v>100</v>
      </c>
      <c r="Q853" s="727"/>
      <c r="R853" s="971" t="s">
        <v>3524</v>
      </c>
      <c r="S853" s="725"/>
      <c r="T853" s="972" t="s">
        <v>3525</v>
      </c>
      <c r="U853" s="971" t="s">
        <v>3526</v>
      </c>
      <c r="V853" s="726"/>
      <c r="W853" s="728"/>
      <c r="X853" s="973" t="s">
        <v>3527</v>
      </c>
      <c r="Y853" s="730" t="s">
        <v>818</v>
      </c>
      <c r="Z853" s="731">
        <v>2.7947</v>
      </c>
      <c r="AA853" s="974">
        <f t="shared" si="456"/>
        <v>2274.8858</v>
      </c>
      <c r="AB853" s="712">
        <v>814</v>
      </c>
      <c r="AC853" s="975">
        <f t="shared" si="469"/>
        <v>0</v>
      </c>
      <c r="AD853" s="976" t="s">
        <v>106</v>
      </c>
      <c r="AE853" s="749" t="s">
        <v>230</v>
      </c>
      <c r="AF853" s="977" t="s">
        <v>107</v>
      </c>
      <c r="AG853" s="978" t="s">
        <v>43</v>
      </c>
      <c r="AH853" s="730"/>
      <c r="AI853" s="712"/>
      <c r="AJ853" s="734"/>
      <c r="AK853" s="734"/>
      <c r="AL853" s="734"/>
      <c r="AM853" s="734"/>
      <c r="AN853" s="734"/>
      <c r="AO853" s="713"/>
      <c r="AP853" s="713">
        <f t="shared" ref="AP853:AP859" si="478">I853</f>
        <v>814</v>
      </c>
      <c r="AQ853" s="736"/>
      <c r="AR853" s="737"/>
      <c r="AS853" s="736"/>
      <c r="AT853" s="737"/>
      <c r="AU853" s="737">
        <f t="shared" si="463"/>
        <v>814</v>
      </c>
      <c r="AV853" s="713"/>
      <c r="AW853" s="713"/>
      <c r="AX853" s="713"/>
      <c r="AY853" s="713"/>
      <c r="AZ853" s="713"/>
      <c r="BA853" s="728"/>
      <c r="BB853" s="736">
        <f>I853/11</f>
        <v>74</v>
      </c>
      <c r="BC853" s="736"/>
      <c r="BD853" s="736"/>
      <c r="BE853" s="736"/>
      <c r="BF853" s="737"/>
      <c r="BG853" s="736"/>
      <c r="BH853" s="737"/>
      <c r="BI853" s="737"/>
      <c r="BJ853" s="979"/>
      <c r="BK853" s="979"/>
      <c r="BL853" s="979"/>
      <c r="BM853" s="979"/>
      <c r="BN853" s="979"/>
      <c r="BO853" s="979"/>
      <c r="BP853" s="857"/>
      <c r="BQ853" s="979"/>
      <c r="BR853" s="979"/>
      <c r="BS853" s="979"/>
      <c r="BT853" s="979"/>
      <c r="BU853" s="979"/>
      <c r="BV853" s="979"/>
      <c r="BW853" s="980" t="s">
        <v>109</v>
      </c>
      <c r="BX853" s="745">
        <f>I853/22*5</f>
        <v>185</v>
      </c>
      <c r="BY853" s="745">
        <f>I853/22*6</f>
        <v>222</v>
      </c>
      <c r="BZ853" s="745">
        <f>I853/22*6</f>
        <v>222</v>
      </c>
      <c r="CA853" s="745">
        <f>I853/22*5</f>
        <v>185</v>
      </c>
      <c r="CB853" s="745">
        <f t="shared" si="476"/>
        <v>814</v>
      </c>
      <c r="CC853" s="745">
        <f>I853/11</f>
        <v>74</v>
      </c>
      <c r="CD853" s="745">
        <f t="shared" si="477"/>
        <v>814</v>
      </c>
      <c r="CE853" s="721">
        <f t="shared" si="475"/>
        <v>0</v>
      </c>
      <c r="CF853" s="877"/>
      <c r="XEJ853" s="981"/>
      <c r="XEK853" s="860"/>
      <c r="XEL853" s="861"/>
      <c r="XEM853" s="862"/>
      <c r="XEN853" s="863"/>
      <c r="XEO853" s="862"/>
      <c r="XEP853" s="865"/>
      <c r="XEQ853" s="865"/>
      <c r="XER853" s="866"/>
      <c r="XES853" s="866"/>
      <c r="XET853" s="866"/>
      <c r="XEU853" s="866"/>
      <c r="XEV853" s="982"/>
      <c r="XEW853" s="982"/>
      <c r="XEX853" s="982"/>
      <c r="XEY853" s="983"/>
      <c r="XEZ853" s="983"/>
      <c r="XFA853" s="983"/>
      <c r="XFB853" s="982"/>
      <c r="XFC853" s="983"/>
      <c r="XFD853" s="983"/>
    </row>
    <row r="854" s="558" customFormat="1" ht="40" customHeight="1" spans="1:84 16342:16384">
      <c r="A854" s="717">
        <v>46174</v>
      </c>
      <c r="B854" s="718" t="s">
        <v>2804</v>
      </c>
      <c r="C854" s="719" t="s">
        <v>129</v>
      </c>
      <c r="D854" s="720">
        <v>4500210229</v>
      </c>
      <c r="E854" s="721"/>
      <c r="F854" s="720" t="s">
        <v>3528</v>
      </c>
      <c r="G854" s="722" t="s">
        <v>159</v>
      </c>
      <c r="H854" s="722" t="s">
        <v>99</v>
      </c>
      <c r="I854" s="723">
        <v>120</v>
      </c>
      <c r="J854" s="723">
        <v>0</v>
      </c>
      <c r="K854" s="724">
        <v>24</v>
      </c>
      <c r="L854" s="723">
        <f t="shared" si="455"/>
        <v>5</v>
      </c>
      <c r="M854" s="725">
        <v>46251</v>
      </c>
      <c r="N854" s="725">
        <v>46247</v>
      </c>
      <c r="O854" s="725"/>
      <c r="P854" s="903" t="s">
        <v>100</v>
      </c>
      <c r="Q854" s="727"/>
      <c r="R854" s="971" t="s">
        <v>3524</v>
      </c>
      <c r="S854" s="725"/>
      <c r="T854" s="972" t="s">
        <v>3525</v>
      </c>
      <c r="U854" s="971" t="s">
        <v>3526</v>
      </c>
      <c r="V854" s="971"/>
      <c r="W854" s="728"/>
      <c r="X854" s="973" t="s">
        <v>3529</v>
      </c>
      <c r="Y854" s="730" t="s">
        <v>818</v>
      </c>
      <c r="Z854" s="731">
        <v>2.6389</v>
      </c>
      <c r="AA854" s="974">
        <f t="shared" si="456"/>
        <v>316.668</v>
      </c>
      <c r="AB854" s="712">
        <v>120</v>
      </c>
      <c r="AC854" s="975">
        <f t="shared" si="469"/>
        <v>0</v>
      </c>
      <c r="AD854" s="976" t="s">
        <v>106</v>
      </c>
      <c r="AE854" s="749" t="s">
        <v>166</v>
      </c>
      <c r="AF854" s="746" t="s">
        <v>107</v>
      </c>
      <c r="AG854" s="978" t="s">
        <v>43</v>
      </c>
      <c r="AH854" s="730"/>
      <c r="AI854" s="712"/>
      <c r="AJ854" s="734"/>
      <c r="AK854" s="734"/>
      <c r="AL854" s="736"/>
      <c r="AM854" s="734"/>
      <c r="AN854" s="734"/>
      <c r="AO854" s="713"/>
      <c r="AP854" s="984">
        <f t="shared" si="478"/>
        <v>120</v>
      </c>
      <c r="AQ854" s="736"/>
      <c r="AR854" s="737"/>
      <c r="AS854" s="736"/>
      <c r="AT854" s="737"/>
      <c r="AU854" s="721">
        <f t="shared" si="463"/>
        <v>120</v>
      </c>
      <c r="AV854" s="713"/>
      <c r="AW854" s="713"/>
      <c r="AX854" s="713"/>
      <c r="AY854" s="713"/>
      <c r="AZ854" s="713"/>
      <c r="BA854" s="728"/>
      <c r="BB854" s="736"/>
      <c r="BC854" s="736"/>
      <c r="BD854" s="736"/>
      <c r="BE854" s="736"/>
      <c r="BF854" s="737"/>
      <c r="BG854" s="736"/>
      <c r="BH854" s="737"/>
      <c r="BI854" s="730"/>
      <c r="BJ854" s="979"/>
      <c r="BK854" s="979"/>
      <c r="BL854" s="979"/>
      <c r="BM854" s="979"/>
      <c r="BN854" s="979"/>
      <c r="BO854" s="979"/>
      <c r="BP854" s="857"/>
      <c r="BQ854" s="979"/>
      <c r="BR854" s="979"/>
      <c r="BS854" s="979"/>
      <c r="BT854" s="979"/>
      <c r="BU854" s="979"/>
      <c r="BV854" s="979"/>
      <c r="BW854" s="985" t="s">
        <v>109</v>
      </c>
      <c r="BX854" s="745"/>
      <c r="BY854" s="745">
        <f>I854</f>
        <v>120</v>
      </c>
      <c r="BZ854" s="745"/>
      <c r="CA854" s="745"/>
      <c r="CB854" s="745">
        <f t="shared" si="476"/>
        <v>120</v>
      </c>
      <c r="CC854" s="745"/>
      <c r="CD854" s="745">
        <f t="shared" si="477"/>
        <v>120</v>
      </c>
      <c r="CE854" s="721">
        <f t="shared" si="475"/>
        <v>0</v>
      </c>
      <c r="CF854" s="877"/>
      <c r="XDR854" s="771"/>
      <c r="XDS854" s="771"/>
      <c r="XDT854" s="771"/>
      <c r="XDU854" s="771"/>
      <c r="XDV854" s="771"/>
      <c r="XDW854" s="771"/>
      <c r="XDX854" s="771"/>
      <c r="XDY854" s="771"/>
      <c r="XDZ854" s="771"/>
      <c r="XEA854" s="771"/>
      <c r="XEB854" s="771"/>
      <c r="XEC854" s="771"/>
      <c r="XED854" s="771"/>
      <c r="XEE854" s="771"/>
      <c r="XEF854" s="771"/>
      <c r="XEG854" s="771"/>
      <c r="XEH854" s="771"/>
      <c r="XEI854" s="771"/>
      <c r="XEJ854" s="981"/>
      <c r="XEK854" s="860"/>
      <c r="XEL854" s="861"/>
      <c r="XEM854" s="862"/>
      <c r="XEN854" s="863"/>
      <c r="XEO854" s="862"/>
      <c r="XEP854" s="865"/>
      <c r="XEQ854" s="865"/>
      <c r="XER854" s="866"/>
      <c r="XES854" s="866"/>
      <c r="XET854" s="866"/>
      <c r="XEU854" s="866"/>
      <c r="XEV854" s="982"/>
      <c r="XEW854" s="982"/>
      <c r="XEX854" s="982"/>
      <c r="XEY854" s="983"/>
      <c r="XEZ854" s="983"/>
      <c r="XFA854" s="986"/>
      <c r="XFB854" s="982"/>
      <c r="XFC854" s="986"/>
      <c r="XFD854" s="986"/>
    </row>
    <row r="855" s="558" customFormat="1" ht="40" customHeight="1" spans="1:84 16342:16384">
      <c r="A855" s="717">
        <v>46174</v>
      </c>
      <c r="B855" s="718" t="s">
        <v>2804</v>
      </c>
      <c r="C855" s="719" t="s">
        <v>129</v>
      </c>
      <c r="D855" s="720">
        <v>4500210229</v>
      </c>
      <c r="E855" s="721"/>
      <c r="F855" s="720" t="s">
        <v>3530</v>
      </c>
      <c r="G855" s="722" t="s">
        <v>189</v>
      </c>
      <c r="H855" s="722" t="s">
        <v>99</v>
      </c>
      <c r="I855" s="723">
        <v>120</v>
      </c>
      <c r="J855" s="723">
        <v>0</v>
      </c>
      <c r="K855" s="724">
        <v>24</v>
      </c>
      <c r="L855" s="723">
        <f t="shared" si="455"/>
        <v>5</v>
      </c>
      <c r="M855" s="725">
        <v>46251</v>
      </c>
      <c r="N855" s="725">
        <v>46247</v>
      </c>
      <c r="O855" s="725"/>
      <c r="P855" s="903" t="s">
        <v>100</v>
      </c>
      <c r="Q855" s="727"/>
      <c r="R855" s="971" t="s">
        <v>3524</v>
      </c>
      <c r="S855" s="725"/>
      <c r="T855" s="972" t="s">
        <v>3525</v>
      </c>
      <c r="U855" s="971" t="s">
        <v>3526</v>
      </c>
      <c r="V855" s="971"/>
      <c r="W855" s="728"/>
      <c r="X855" s="973" t="s">
        <v>3529</v>
      </c>
      <c r="Y855" s="730" t="s">
        <v>818</v>
      </c>
      <c r="Z855" s="731">
        <v>2.6389</v>
      </c>
      <c r="AA855" s="974">
        <f t="shared" si="456"/>
        <v>316.668</v>
      </c>
      <c r="AB855" s="712">
        <v>120</v>
      </c>
      <c r="AC855" s="975">
        <f t="shared" si="469"/>
        <v>0</v>
      </c>
      <c r="AD855" s="976" t="s">
        <v>106</v>
      </c>
      <c r="AE855" s="722" t="s">
        <v>190</v>
      </c>
      <c r="AF855" s="977" t="s">
        <v>107</v>
      </c>
      <c r="AG855" s="978" t="s">
        <v>43</v>
      </c>
      <c r="AH855" s="730"/>
      <c r="AI855" s="712"/>
      <c r="AJ855" s="734"/>
      <c r="AK855" s="734"/>
      <c r="AL855" s="736"/>
      <c r="AM855" s="734"/>
      <c r="AN855" s="734"/>
      <c r="AO855" s="713"/>
      <c r="AP855" s="984">
        <f t="shared" si="478"/>
        <v>120</v>
      </c>
      <c r="AQ855" s="736"/>
      <c r="AR855" s="737"/>
      <c r="AS855" s="736"/>
      <c r="AT855" s="737"/>
      <c r="AU855" s="721">
        <f t="shared" si="463"/>
        <v>120</v>
      </c>
      <c r="AV855" s="713"/>
      <c r="AW855" s="713"/>
      <c r="AX855" s="713"/>
      <c r="AY855" s="713"/>
      <c r="AZ855" s="713"/>
      <c r="BA855" s="728"/>
      <c r="BB855" s="736"/>
      <c r="BC855" s="736"/>
      <c r="BD855" s="736"/>
      <c r="BE855" s="736"/>
      <c r="BF855" s="737"/>
      <c r="BG855" s="736"/>
      <c r="BH855" s="737"/>
      <c r="BI855" s="737"/>
      <c r="BJ855" s="979"/>
      <c r="BK855" s="979"/>
      <c r="BL855" s="979"/>
      <c r="BM855" s="979"/>
      <c r="BN855" s="979"/>
      <c r="BO855" s="979"/>
      <c r="BP855" s="857"/>
      <c r="BQ855" s="979"/>
      <c r="BR855" s="979"/>
      <c r="BS855" s="979"/>
      <c r="BT855" s="979"/>
      <c r="BU855" s="979"/>
      <c r="BV855" s="979"/>
      <c r="BW855" s="985" t="s">
        <v>109</v>
      </c>
      <c r="BX855" s="745"/>
      <c r="BY855" s="745"/>
      <c r="BZ855" s="745"/>
      <c r="CA855" s="745">
        <f>I855</f>
        <v>120</v>
      </c>
      <c r="CB855" s="745">
        <f t="shared" si="476"/>
        <v>120</v>
      </c>
      <c r="CC855" s="745"/>
      <c r="CD855" s="745">
        <f t="shared" si="477"/>
        <v>120</v>
      </c>
      <c r="CE855" s="721">
        <f t="shared" si="475"/>
        <v>0</v>
      </c>
      <c r="CF855" s="877"/>
      <c r="XDR855" s="771"/>
      <c r="XDS855" s="771"/>
      <c r="XDT855" s="771"/>
      <c r="XDU855" s="771"/>
      <c r="XDV855" s="771"/>
      <c r="XDW855" s="771"/>
      <c r="XDX855" s="771"/>
      <c r="XDY855" s="771"/>
      <c r="XDZ855" s="771"/>
      <c r="XEA855" s="771"/>
      <c r="XEB855" s="771"/>
      <c r="XEC855" s="771"/>
      <c r="XED855" s="771"/>
      <c r="XEE855" s="771"/>
      <c r="XEF855" s="771"/>
      <c r="XEG855" s="771"/>
      <c r="XEH855" s="771"/>
      <c r="XEI855" s="771"/>
      <c r="XEJ855" s="981"/>
      <c r="XEK855" s="860"/>
      <c r="XEL855" s="861"/>
      <c r="XEM855" s="862"/>
      <c r="XEN855" s="863"/>
      <c r="XEO855" s="862"/>
      <c r="XEP855" s="865"/>
      <c r="XEQ855" s="865"/>
      <c r="XER855" s="866"/>
      <c r="XES855" s="866"/>
      <c r="XET855" s="866"/>
      <c r="XEU855" s="866"/>
      <c r="XEV855" s="982"/>
      <c r="XEW855" s="982"/>
      <c r="XEX855" s="982"/>
      <c r="XEY855" s="983"/>
      <c r="XEZ855" s="983"/>
      <c r="XFA855" s="986"/>
      <c r="XFB855" s="982"/>
      <c r="XFC855" s="986"/>
      <c r="XFD855" s="986"/>
    </row>
    <row r="856" s="558" customFormat="1" ht="40" customHeight="1" spans="1:84 16342:16384">
      <c r="A856" s="717">
        <v>46174</v>
      </c>
      <c r="B856" s="718" t="s">
        <v>2804</v>
      </c>
      <c r="C856" s="719" t="s">
        <v>129</v>
      </c>
      <c r="D856" s="970">
        <v>4500210231</v>
      </c>
      <c r="E856" s="721"/>
      <c r="F856" s="720" t="s">
        <v>3531</v>
      </c>
      <c r="G856" s="722" t="s">
        <v>111</v>
      </c>
      <c r="H856" s="722" t="s">
        <v>99</v>
      </c>
      <c r="I856" s="723">
        <v>110</v>
      </c>
      <c r="J856" s="723">
        <v>0</v>
      </c>
      <c r="K856" s="724">
        <v>22</v>
      </c>
      <c r="L856" s="723">
        <f t="shared" si="455"/>
        <v>5</v>
      </c>
      <c r="M856" s="725">
        <v>46251</v>
      </c>
      <c r="N856" s="725">
        <v>46247</v>
      </c>
      <c r="O856" s="725"/>
      <c r="P856" s="903" t="s">
        <v>100</v>
      </c>
      <c r="Q856" s="727"/>
      <c r="R856" s="987" t="s">
        <v>1874</v>
      </c>
      <c r="S856" s="725"/>
      <c r="T856" s="988" t="s">
        <v>3532</v>
      </c>
      <c r="U856" s="989" t="s">
        <v>3533</v>
      </c>
      <c r="V856" s="726"/>
      <c r="W856" s="728"/>
      <c r="X856" s="973" t="s">
        <v>3534</v>
      </c>
      <c r="Y856" s="730" t="s">
        <v>818</v>
      </c>
      <c r="Z856" s="731">
        <v>2.7947</v>
      </c>
      <c r="AA856" s="974">
        <f t="shared" si="456"/>
        <v>307.417</v>
      </c>
      <c r="AB856" s="712">
        <v>110</v>
      </c>
      <c r="AC856" s="975">
        <f t="shared" si="469"/>
        <v>0</v>
      </c>
      <c r="AD856" s="976" t="s">
        <v>106</v>
      </c>
      <c r="AE856" s="749" t="s">
        <v>230</v>
      </c>
      <c r="AF856" s="977" t="s">
        <v>107</v>
      </c>
      <c r="AG856" s="978" t="s">
        <v>43</v>
      </c>
      <c r="AH856" s="730"/>
      <c r="AI856" s="773"/>
      <c r="AJ856" s="706"/>
      <c r="AK856" s="774"/>
      <c r="AL856" s="854"/>
      <c r="AM856" s="713"/>
      <c r="AN856" s="706"/>
      <c r="AO856" s="774"/>
      <c r="AP856" s="984">
        <f t="shared" si="478"/>
        <v>110</v>
      </c>
      <c r="AQ856" s="737"/>
      <c r="AR856" s="990"/>
      <c r="AS856" s="990"/>
      <c r="AT856" s="990"/>
      <c r="AU856" s="721">
        <f t="shared" si="463"/>
        <v>110</v>
      </c>
      <c r="AV856" s="979"/>
      <c r="AW856" s="990"/>
      <c r="AX856" s="990"/>
      <c r="AY856" s="979"/>
      <c r="AZ856" s="990"/>
      <c r="BA856" s="990"/>
      <c r="BB856" s="736">
        <f>I856/11</f>
        <v>10</v>
      </c>
      <c r="BC856" s="990"/>
      <c r="BD856" s="990"/>
      <c r="BE856" s="979"/>
      <c r="BF856" s="990"/>
      <c r="BG856" s="990"/>
      <c r="BH856" s="979"/>
      <c r="BI856" s="990"/>
      <c r="BJ856" s="990"/>
      <c r="BK856" s="990"/>
      <c r="BL856" s="979"/>
      <c r="BM856" s="979"/>
      <c r="BN856" s="979"/>
      <c r="BO856" s="979"/>
      <c r="BP856" s="871"/>
      <c r="BQ856" s="979"/>
      <c r="BR856" s="990"/>
      <c r="BS856" s="979"/>
      <c r="BT856" s="979"/>
      <c r="BU856" s="979"/>
      <c r="BV856" s="979"/>
      <c r="BW856" s="985" t="s">
        <v>109</v>
      </c>
      <c r="BX856" s="745">
        <f>I856/22*5</f>
        <v>25</v>
      </c>
      <c r="BY856" s="745">
        <f>I856/22*6</f>
        <v>30</v>
      </c>
      <c r="BZ856" s="745">
        <f>I856/22*6</f>
        <v>30</v>
      </c>
      <c r="CA856" s="745">
        <f>I856/22*5</f>
        <v>25</v>
      </c>
      <c r="CB856" s="745">
        <f t="shared" si="476"/>
        <v>110</v>
      </c>
      <c r="CC856" s="745">
        <f>I856/11</f>
        <v>10</v>
      </c>
      <c r="CD856" s="745">
        <f t="shared" si="477"/>
        <v>110</v>
      </c>
      <c r="CE856" s="721">
        <f t="shared" si="475"/>
        <v>0</v>
      </c>
      <c r="CF856" s="877"/>
      <c r="XDN856" s="981"/>
      <c r="XDO856" s="860"/>
      <c r="XDP856" s="861"/>
      <c r="XDQ856" s="862"/>
      <c r="XDR856" s="863"/>
      <c r="XDS856" s="862"/>
      <c r="XDT856" s="865"/>
      <c r="XDU856" s="865"/>
      <c r="XDV856" s="866"/>
      <c r="XDW856" s="866"/>
      <c r="XDX856" s="866"/>
      <c r="XDY856" s="866"/>
      <c r="XDZ856" s="982"/>
      <c r="XEA856" s="982"/>
      <c r="XEB856" s="982"/>
      <c r="XEC856" s="983"/>
      <c r="XED856" s="983"/>
      <c r="XEE856" s="983"/>
      <c r="XEF856" s="982"/>
      <c r="XEG856" s="983"/>
      <c r="XEH856" s="983"/>
      <c r="XEI856" s="991"/>
      <c r="XEJ856" s="981"/>
      <c r="XEK856" s="860"/>
      <c r="XEL856" s="861"/>
      <c r="XEM856" s="862"/>
      <c r="XEN856" s="863"/>
      <c r="XEO856" s="862"/>
      <c r="XEP856" s="865"/>
      <c r="XEQ856" s="865"/>
      <c r="XER856" s="866"/>
      <c r="XES856" s="866"/>
      <c r="XET856" s="866"/>
      <c r="XEU856" s="866"/>
      <c r="XEV856" s="982"/>
      <c r="XEW856" s="982"/>
      <c r="XEX856" s="982"/>
      <c r="XEY856" s="983"/>
      <c r="XEZ856" s="983"/>
      <c r="XFA856" s="983"/>
      <c r="XFB856" s="982"/>
      <c r="XFC856" s="983"/>
      <c r="XFD856" s="983"/>
    </row>
    <row r="857" s="557" customFormat="1" ht="40" customHeight="1" spans="1:84 16342:16384">
      <c r="A857" s="992">
        <v>46203</v>
      </c>
      <c r="B857" s="993" t="s">
        <v>1587</v>
      </c>
      <c r="C857" s="994" t="s">
        <v>178</v>
      </c>
      <c r="D857" s="995" t="s">
        <v>3535</v>
      </c>
      <c r="E857" s="996" t="s">
        <v>3536</v>
      </c>
      <c r="F857" s="995" t="s">
        <v>3537</v>
      </c>
      <c r="G857" s="997" t="s">
        <v>132</v>
      </c>
      <c r="H857" s="997" t="s">
        <v>99</v>
      </c>
      <c r="I857" s="998">
        <v>24</v>
      </c>
      <c r="J857" s="998">
        <v>0</v>
      </c>
      <c r="K857" s="999">
        <v>24</v>
      </c>
      <c r="L857" s="998">
        <f t="shared" si="455"/>
        <v>1</v>
      </c>
      <c r="M857" s="1000">
        <v>46245</v>
      </c>
      <c r="N857" s="1000">
        <v>46241</v>
      </c>
      <c r="O857" s="1000"/>
      <c r="P857" s="1001"/>
      <c r="Q857" s="1002" t="s">
        <v>1774</v>
      </c>
      <c r="R857" s="1003" t="s">
        <v>1775</v>
      </c>
      <c r="S857" s="1000"/>
      <c r="T857" s="1000"/>
      <c r="U857" s="1003" t="s">
        <v>2558</v>
      </c>
      <c r="V857" s="1004" t="s">
        <v>3538</v>
      </c>
      <c r="W857" s="1005"/>
      <c r="X857" s="1006" t="s">
        <v>3539</v>
      </c>
      <c r="Y857" s="1007" t="s">
        <v>734</v>
      </c>
      <c r="Z857" s="1008">
        <v>2.6389</v>
      </c>
      <c r="AA857" s="1009">
        <f t="shared" si="456"/>
        <v>63.3336</v>
      </c>
      <c r="AB857" s="1010">
        <v>24</v>
      </c>
      <c r="AC857" s="1011">
        <f t="shared" si="469"/>
        <v>0</v>
      </c>
      <c r="AD857" s="1012" t="s">
        <v>123</v>
      </c>
      <c r="AE857" s="742" t="s">
        <v>193</v>
      </c>
      <c r="AF857" s="1013" t="s">
        <v>107</v>
      </c>
      <c r="AG857" s="1014" t="s">
        <v>43</v>
      </c>
      <c r="AH857" s="1007"/>
      <c r="AI857" s="1015"/>
      <c r="AJ857" s="1016"/>
      <c r="AK857" s="1017"/>
      <c r="AL857" s="1018"/>
      <c r="AM857" s="674"/>
      <c r="AN857" s="1016"/>
      <c r="AO857" s="1017"/>
      <c r="AP857" s="1019">
        <f t="shared" si="478"/>
        <v>24</v>
      </c>
      <c r="AQ857" s="1020"/>
      <c r="AR857" s="1021"/>
      <c r="AS857" s="1021"/>
      <c r="AT857" s="1021"/>
      <c r="AU857" s="655">
        <f t="shared" si="463"/>
        <v>24</v>
      </c>
      <c r="AV857" s="1022"/>
      <c r="AW857" s="1021"/>
      <c r="AX857" s="1021"/>
      <c r="AY857" s="1022"/>
      <c r="AZ857" s="1021"/>
      <c r="BA857" s="1021"/>
      <c r="BB857" s="1023"/>
      <c r="BC857" s="1021"/>
      <c r="BD857" s="1021"/>
      <c r="BE857" s="1022"/>
      <c r="BF857" s="1021"/>
      <c r="BG857" s="1021"/>
      <c r="BH857" s="1022"/>
      <c r="BI857" s="1021"/>
      <c r="BJ857" s="1021"/>
      <c r="BK857" s="1021"/>
      <c r="BL857" s="1022"/>
      <c r="BM857" s="1022"/>
      <c r="BN857" s="1022"/>
      <c r="BO857" s="1022"/>
      <c r="BP857" s="1024"/>
      <c r="BQ857" s="1022"/>
      <c r="BR857" s="1021"/>
      <c r="BS857" s="1022"/>
      <c r="BT857" s="1022"/>
      <c r="BU857" s="1022"/>
      <c r="BV857" s="1022"/>
      <c r="BW857" s="904" t="s">
        <v>109</v>
      </c>
      <c r="BX857" s="1025">
        <f>I857</f>
        <v>24</v>
      </c>
      <c r="BY857" s="1025"/>
      <c r="BZ857" s="1025"/>
      <c r="CA857" s="1025"/>
      <c r="CB857" s="1025">
        <f t="shared" ref="CB857:CB863" si="479">I857</f>
        <v>24</v>
      </c>
      <c r="CC857" s="1025"/>
      <c r="CD857" s="1025">
        <f t="shared" si="477"/>
        <v>24</v>
      </c>
      <c r="CE857" s="996">
        <f t="shared" si="475"/>
        <v>0</v>
      </c>
      <c r="CF857" s="584"/>
      <c r="CG857" s="557"/>
      <c r="XDN857" s="1026"/>
      <c r="XDO857" s="1027"/>
      <c r="XDP857" s="1028"/>
      <c r="XDQ857" s="1029"/>
      <c r="XDR857" s="1030"/>
      <c r="XDS857" s="1029"/>
      <c r="XDT857" s="1031"/>
      <c r="XDU857" s="1031"/>
      <c r="XDV857" s="1032"/>
      <c r="XDW857" s="1032"/>
      <c r="XDX857" s="1032"/>
      <c r="XDY857" s="1032"/>
      <c r="XDZ857" s="1033"/>
      <c r="XEA857" s="1033"/>
      <c r="XEB857" s="1033"/>
      <c r="XEC857" s="1034"/>
      <c r="XED857" s="1034"/>
      <c r="XEE857" s="1034"/>
      <c r="XEF857" s="1033"/>
      <c r="XEG857" s="1034"/>
      <c r="XEH857" s="1034"/>
      <c r="XEI857" s="1035"/>
      <c r="XEJ857" s="1026"/>
      <c r="XEK857" s="1027"/>
      <c r="XEL857" s="1028"/>
      <c r="XEM857" s="1029"/>
      <c r="XEN857" s="1030"/>
      <c r="XEO857" s="1029"/>
      <c r="XEP857" s="1031"/>
      <c r="XEQ857" s="1031"/>
      <c r="XER857" s="1032"/>
      <c r="XES857" s="1032"/>
      <c r="XET857" s="1032"/>
      <c r="XEU857" s="1032"/>
      <c r="XEV857" s="1033"/>
      <c r="XEW857" s="1033"/>
      <c r="XEX857" s="1033"/>
      <c r="XEY857" s="1034"/>
      <c r="XEZ857" s="1034"/>
      <c r="XFA857" s="1034"/>
      <c r="XFB857" s="1033"/>
      <c r="XFC857" s="1034"/>
      <c r="XFD857" s="1034"/>
    </row>
    <row r="858" s="557" customFormat="1" ht="40" customHeight="1" spans="1:84 16342:16384">
      <c r="A858" s="992">
        <v>46203</v>
      </c>
      <c r="B858" s="993" t="s">
        <v>1587</v>
      </c>
      <c r="C858" s="994" t="s">
        <v>178</v>
      </c>
      <c r="D858" s="995" t="s">
        <v>3535</v>
      </c>
      <c r="E858" s="996" t="s">
        <v>3540</v>
      </c>
      <c r="F858" s="995" t="s">
        <v>3541</v>
      </c>
      <c r="G858" s="997" t="s">
        <v>189</v>
      </c>
      <c r="H858" s="997" t="s">
        <v>99</v>
      </c>
      <c r="I858" s="998">
        <v>24</v>
      </c>
      <c r="J858" s="998">
        <v>0</v>
      </c>
      <c r="K858" s="999">
        <v>24</v>
      </c>
      <c r="L858" s="998">
        <f t="shared" si="455"/>
        <v>1</v>
      </c>
      <c r="M858" s="1000">
        <v>46245</v>
      </c>
      <c r="N858" s="1000">
        <v>46241</v>
      </c>
      <c r="O858" s="1000"/>
      <c r="P858" s="1001"/>
      <c r="Q858" s="1002" t="s">
        <v>1774</v>
      </c>
      <c r="R858" s="1003" t="s">
        <v>1775</v>
      </c>
      <c r="S858" s="1000"/>
      <c r="T858" s="1000"/>
      <c r="U858" s="1003" t="s">
        <v>2558</v>
      </c>
      <c r="V858" s="1004" t="s">
        <v>3538</v>
      </c>
      <c r="W858" s="1005"/>
      <c r="X858" s="1006" t="s">
        <v>3539</v>
      </c>
      <c r="Y858" s="1007" t="s">
        <v>734</v>
      </c>
      <c r="Z858" s="1008">
        <v>2.6389</v>
      </c>
      <c r="AA858" s="1009">
        <f t="shared" si="456"/>
        <v>63.3336</v>
      </c>
      <c r="AB858" s="1010">
        <v>24</v>
      </c>
      <c r="AC858" s="1011">
        <f t="shared" si="469"/>
        <v>0</v>
      </c>
      <c r="AD858" s="1012" t="s">
        <v>123</v>
      </c>
      <c r="AE858" s="742" t="s">
        <v>190</v>
      </c>
      <c r="AF858" s="1013" t="s">
        <v>107</v>
      </c>
      <c r="AG858" s="1014" t="s">
        <v>43</v>
      </c>
      <c r="AH858" s="1007"/>
      <c r="AI858" s="1015"/>
      <c r="AJ858" s="1016"/>
      <c r="AK858" s="1017"/>
      <c r="AL858" s="1018"/>
      <c r="AM858" s="674"/>
      <c r="AN858" s="1016"/>
      <c r="AO858" s="1017"/>
      <c r="AP858" s="1019">
        <f t="shared" si="478"/>
        <v>24</v>
      </c>
      <c r="AQ858" s="1020"/>
      <c r="AR858" s="1021"/>
      <c r="AS858" s="1021"/>
      <c r="AT858" s="1021"/>
      <c r="AU858" s="655">
        <f t="shared" si="463"/>
        <v>24</v>
      </c>
      <c r="AV858" s="1022"/>
      <c r="AW858" s="1021"/>
      <c r="AX858" s="1021"/>
      <c r="AY858" s="1022"/>
      <c r="AZ858" s="1021"/>
      <c r="BA858" s="1021"/>
      <c r="BB858" s="1023"/>
      <c r="BC858" s="1021"/>
      <c r="BD858" s="1021"/>
      <c r="BE858" s="1022"/>
      <c r="BF858" s="1021"/>
      <c r="BG858" s="1021"/>
      <c r="BH858" s="1022"/>
      <c r="BI858" s="1021"/>
      <c r="BJ858" s="1021"/>
      <c r="BK858" s="1021"/>
      <c r="BL858" s="1022"/>
      <c r="BM858" s="1022"/>
      <c r="BN858" s="1022"/>
      <c r="BO858" s="1022"/>
      <c r="BP858" s="1024"/>
      <c r="BQ858" s="1022"/>
      <c r="BR858" s="1021"/>
      <c r="BS858" s="1022"/>
      <c r="BT858" s="1022"/>
      <c r="BU858" s="1022"/>
      <c r="BV858" s="1022"/>
      <c r="BW858" s="904" t="s">
        <v>109</v>
      </c>
      <c r="BX858" s="1025"/>
      <c r="BY858" s="1025"/>
      <c r="BZ858" s="1025"/>
      <c r="CA858" s="1025">
        <f>I858</f>
        <v>24</v>
      </c>
      <c r="CB858" s="1025">
        <f t="shared" si="479"/>
        <v>24</v>
      </c>
      <c r="CC858" s="1025"/>
      <c r="CD858" s="1025">
        <f t="shared" si="477"/>
        <v>24</v>
      </c>
      <c r="CE858" s="996">
        <f t="shared" si="475"/>
        <v>0</v>
      </c>
      <c r="CF858" s="584"/>
      <c r="CG858" s="557"/>
      <c r="XDN858" s="1026"/>
      <c r="XDO858" s="1027"/>
      <c r="XDP858" s="1028"/>
      <c r="XDQ858" s="1029"/>
      <c r="XDR858" s="1030"/>
      <c r="XDS858" s="1029"/>
      <c r="XDT858" s="1031"/>
      <c r="XDU858" s="1031"/>
      <c r="XDV858" s="1032"/>
      <c r="XDW858" s="1032"/>
      <c r="XDX858" s="1032"/>
      <c r="XDY858" s="1032"/>
      <c r="XDZ858" s="1033"/>
      <c r="XEA858" s="1033"/>
      <c r="XEB858" s="1033"/>
      <c r="XEC858" s="1034"/>
      <c r="XED858" s="1034"/>
      <c r="XEE858" s="1034"/>
      <c r="XEF858" s="1033"/>
      <c r="XEG858" s="1034"/>
      <c r="XEH858" s="1034"/>
      <c r="XEI858" s="1035"/>
      <c r="XEJ858" s="1026"/>
      <c r="XEK858" s="1027"/>
      <c r="XEL858" s="1028"/>
      <c r="XEM858" s="1029"/>
      <c r="XEN858" s="1030"/>
      <c r="XEO858" s="1029"/>
      <c r="XEP858" s="1031"/>
      <c r="XEQ858" s="1031"/>
      <c r="XER858" s="1032"/>
      <c r="XES858" s="1032"/>
      <c r="XET858" s="1032"/>
      <c r="XEU858" s="1032"/>
      <c r="XEV858" s="1033"/>
      <c r="XEW858" s="1033"/>
      <c r="XEX858" s="1033"/>
      <c r="XEY858" s="1034"/>
      <c r="XEZ858" s="1034"/>
      <c r="XFA858" s="1034"/>
      <c r="XFB858" s="1033"/>
      <c r="XFC858" s="1034"/>
      <c r="XFD858" s="1034"/>
    </row>
    <row r="859" s="557" customFormat="1" ht="40" customHeight="1" spans="1:84 16342:16384">
      <c r="A859" s="992">
        <v>46203</v>
      </c>
      <c r="B859" s="993" t="s">
        <v>1587</v>
      </c>
      <c r="C859" s="994" t="s">
        <v>178</v>
      </c>
      <c r="D859" s="995" t="s">
        <v>3535</v>
      </c>
      <c r="E859" s="996" t="s">
        <v>3542</v>
      </c>
      <c r="F859" s="995" t="s">
        <v>3543</v>
      </c>
      <c r="G859" s="997" t="s">
        <v>189</v>
      </c>
      <c r="H859" s="997" t="s">
        <v>99</v>
      </c>
      <c r="I859" s="998">
        <v>24</v>
      </c>
      <c r="J859" s="998">
        <v>0</v>
      </c>
      <c r="K859" s="999">
        <v>24</v>
      </c>
      <c r="L859" s="998">
        <f t="shared" si="455"/>
        <v>1</v>
      </c>
      <c r="M859" s="1000">
        <v>46245</v>
      </c>
      <c r="N859" s="1000">
        <v>46241</v>
      </c>
      <c r="O859" s="1000"/>
      <c r="P859" s="1001"/>
      <c r="Q859" s="1002" t="s">
        <v>1774</v>
      </c>
      <c r="R859" s="1003" t="s">
        <v>1775</v>
      </c>
      <c r="S859" s="1000"/>
      <c r="T859" s="1000"/>
      <c r="U859" s="1003" t="s">
        <v>2558</v>
      </c>
      <c r="V859" s="1004" t="s">
        <v>3538</v>
      </c>
      <c r="W859" s="1005"/>
      <c r="X859" s="1006" t="s">
        <v>3539</v>
      </c>
      <c r="Y859" s="1007" t="s">
        <v>734</v>
      </c>
      <c r="Z859" s="1008">
        <v>2.6389</v>
      </c>
      <c r="AA859" s="1009">
        <f t="shared" si="456"/>
        <v>63.3336</v>
      </c>
      <c r="AB859" s="1010">
        <v>24</v>
      </c>
      <c r="AC859" s="1011">
        <f t="shared" si="469"/>
        <v>0</v>
      </c>
      <c r="AD859" s="1012" t="s">
        <v>123</v>
      </c>
      <c r="AE859" s="742" t="s">
        <v>190</v>
      </c>
      <c r="AF859" s="1013" t="s">
        <v>107</v>
      </c>
      <c r="AG859" s="1014" t="s">
        <v>43</v>
      </c>
      <c r="AH859" s="1007"/>
      <c r="AI859" s="1015"/>
      <c r="AJ859" s="1016"/>
      <c r="AK859" s="1017"/>
      <c r="AL859" s="1018"/>
      <c r="AM859" s="674"/>
      <c r="AN859" s="1016"/>
      <c r="AO859" s="1017"/>
      <c r="AP859" s="1019">
        <f t="shared" si="478"/>
        <v>24</v>
      </c>
      <c r="AQ859" s="1020"/>
      <c r="AR859" s="1021"/>
      <c r="AS859" s="1021"/>
      <c r="AT859" s="1021"/>
      <c r="AU859" s="655">
        <f t="shared" si="463"/>
        <v>24</v>
      </c>
      <c r="AV859" s="1022"/>
      <c r="AW859" s="1021"/>
      <c r="AX859" s="1021"/>
      <c r="AY859" s="1022"/>
      <c r="AZ859" s="1021"/>
      <c r="BA859" s="1021"/>
      <c r="BB859" s="1023"/>
      <c r="BC859" s="1021"/>
      <c r="BD859" s="1021"/>
      <c r="BE859" s="1022"/>
      <c r="BF859" s="1021"/>
      <c r="BG859" s="1021"/>
      <c r="BH859" s="1022"/>
      <c r="BI859" s="1021"/>
      <c r="BJ859" s="1021"/>
      <c r="BK859" s="1021"/>
      <c r="BL859" s="1022"/>
      <c r="BM859" s="1022"/>
      <c r="BN859" s="1022"/>
      <c r="BO859" s="1022"/>
      <c r="BP859" s="1024"/>
      <c r="BQ859" s="1022"/>
      <c r="BR859" s="1021"/>
      <c r="BS859" s="1022"/>
      <c r="BT859" s="1022"/>
      <c r="BU859" s="1022"/>
      <c r="BV859" s="1022"/>
      <c r="BW859" s="904" t="s">
        <v>109</v>
      </c>
      <c r="BX859" s="1025"/>
      <c r="BY859" s="1025"/>
      <c r="BZ859" s="1025"/>
      <c r="CA859" s="1025">
        <f>I859</f>
        <v>24</v>
      </c>
      <c r="CB859" s="1025">
        <f t="shared" si="479"/>
        <v>24</v>
      </c>
      <c r="CC859" s="1025"/>
      <c r="CD859" s="1025">
        <f t="shared" si="477"/>
        <v>24</v>
      </c>
      <c r="CE859" s="996">
        <f t="shared" si="475"/>
        <v>0</v>
      </c>
      <c r="CF859" s="584"/>
      <c r="CG859" s="557"/>
      <c r="XDN859" s="1026"/>
      <c r="XDO859" s="1027"/>
      <c r="XDP859" s="1028"/>
      <c r="XDQ859" s="1029"/>
      <c r="XDR859" s="1030"/>
      <c r="XDS859" s="1029"/>
      <c r="XDT859" s="1031"/>
      <c r="XDU859" s="1031"/>
      <c r="XDV859" s="1032"/>
      <c r="XDW859" s="1032"/>
      <c r="XDX859" s="1032"/>
      <c r="XDY859" s="1032"/>
      <c r="XDZ859" s="1033"/>
      <c r="XEA859" s="1033"/>
      <c r="XEB859" s="1033"/>
      <c r="XEC859" s="1034"/>
      <c r="XED859" s="1034"/>
      <c r="XEE859" s="1034"/>
      <c r="XEF859" s="1033"/>
      <c r="XEG859" s="1034"/>
      <c r="XEH859" s="1034"/>
      <c r="XEI859" s="1035"/>
      <c r="XEJ859" s="1026"/>
      <c r="XEK859" s="1027"/>
      <c r="XEL859" s="1028"/>
      <c r="XEM859" s="1029"/>
      <c r="XEN859" s="1030"/>
      <c r="XEO859" s="1029"/>
      <c r="XEP859" s="1031"/>
      <c r="XEQ859" s="1031"/>
      <c r="XER859" s="1032"/>
      <c r="XES859" s="1032"/>
      <c r="XET859" s="1032"/>
      <c r="XEU859" s="1032"/>
      <c r="XEV859" s="1033"/>
      <c r="XEW859" s="1033"/>
      <c r="XEX859" s="1033"/>
      <c r="XEY859" s="1034"/>
      <c r="XEZ859" s="1034"/>
      <c r="XFA859" s="1034"/>
      <c r="XFB859" s="1033"/>
      <c r="XFC859" s="1034"/>
      <c r="XFD859" s="1034"/>
    </row>
    <row r="860" s="561" customFormat="1" ht="40" customHeight="1" spans="1:84 16342:16384">
      <c r="A860" s="992">
        <v>46142</v>
      </c>
      <c r="B860" s="993" t="s">
        <v>1002</v>
      </c>
      <c r="C860" s="994" t="s">
        <v>3544</v>
      </c>
      <c r="D860" s="995">
        <v>4500204716</v>
      </c>
      <c r="E860" s="996" t="s">
        <v>3015</v>
      </c>
      <c r="F860" s="995" t="s">
        <v>3545</v>
      </c>
      <c r="G860" s="997" t="s">
        <v>111</v>
      </c>
      <c r="H860" s="997" t="s">
        <v>99</v>
      </c>
      <c r="I860" s="998">
        <v>1210</v>
      </c>
      <c r="J860" s="998">
        <v>0</v>
      </c>
      <c r="K860" s="999">
        <v>22</v>
      </c>
      <c r="L860" s="998">
        <f t="shared" si="455"/>
        <v>55</v>
      </c>
      <c r="M860" s="1036">
        <v>46246</v>
      </c>
      <c r="N860" s="1036">
        <v>46242</v>
      </c>
      <c r="O860" s="1037"/>
      <c r="P860" s="1004"/>
      <c r="Q860" s="1002"/>
      <c r="R860" s="1004" t="s">
        <v>3546</v>
      </c>
      <c r="S860" s="1000"/>
      <c r="T860" s="1000"/>
      <c r="U860" s="1001" t="s">
        <v>3547</v>
      </c>
      <c r="V860" s="1001"/>
      <c r="W860" s="1005"/>
      <c r="X860" s="1038" t="s">
        <v>3548</v>
      </c>
      <c r="Y860" s="1007" t="s">
        <v>422</v>
      </c>
      <c r="Z860" s="1008">
        <v>2.7449</v>
      </c>
      <c r="AA860" s="1009">
        <f t="shared" si="456"/>
        <v>3321.329</v>
      </c>
      <c r="AB860" s="1010"/>
      <c r="AC860" s="1011">
        <f t="shared" si="469"/>
        <v>-1210</v>
      </c>
      <c r="AD860" s="1039" t="s">
        <v>106</v>
      </c>
      <c r="AE860" s="1040" t="s">
        <v>111</v>
      </c>
      <c r="AF860" s="1007" t="s">
        <v>107</v>
      </c>
      <c r="AG860" s="965" t="s">
        <v>3244</v>
      </c>
      <c r="AH860" s="1007"/>
      <c r="AI860" s="1010"/>
      <c r="AJ860" s="1010"/>
      <c r="AK860" s="1010"/>
      <c r="AL860" s="1041"/>
      <c r="AM860" s="1010">
        <f>I860</f>
        <v>1210</v>
      </c>
      <c r="AN860" s="1010"/>
      <c r="AO860" s="965"/>
      <c r="AP860" s="965"/>
      <c r="AQ860" s="965"/>
      <c r="AR860" s="965"/>
      <c r="AS860" s="965"/>
      <c r="AT860" s="965"/>
      <c r="AU860" s="965">
        <f t="shared" si="463"/>
        <v>1210</v>
      </c>
      <c r="AV860" s="965"/>
      <c r="AW860" s="965"/>
      <c r="AX860" s="965"/>
      <c r="AY860" s="965"/>
      <c r="AZ860" s="674"/>
      <c r="BA860" s="674"/>
      <c r="BB860" s="1042">
        <f>I860/11</f>
        <v>110</v>
      </c>
      <c r="BC860" s="674"/>
      <c r="BD860" s="674"/>
      <c r="BE860" s="674"/>
      <c r="BF860" s="674"/>
      <c r="BG860" s="1005"/>
      <c r="BH860" s="1023"/>
      <c r="BI860" s="1023"/>
      <c r="BJ860" s="1023"/>
      <c r="BK860" s="1023"/>
      <c r="BL860" s="1020"/>
      <c r="BM860" s="1023"/>
      <c r="BN860" s="1020"/>
      <c r="BO860" s="1020"/>
      <c r="BP860" s="1043"/>
      <c r="BQ860" s="674"/>
      <c r="BR860" s="674"/>
      <c r="BS860" s="674"/>
      <c r="BT860" s="674"/>
      <c r="BU860" s="674"/>
      <c r="BV860" s="674"/>
      <c r="BW860" s="1005" t="s">
        <v>109</v>
      </c>
      <c r="BX860" s="1023">
        <f>I860/22*5</f>
        <v>275</v>
      </c>
      <c r="BY860" s="1044">
        <f>I860/22*6</f>
        <v>330</v>
      </c>
      <c r="BZ860" s="1044">
        <f>I860/22*6</f>
        <v>330</v>
      </c>
      <c r="CA860" s="1044">
        <f>I860/22*5</f>
        <v>275</v>
      </c>
      <c r="CB860" s="996">
        <f t="shared" si="479"/>
        <v>1210</v>
      </c>
      <c r="CC860" s="1044">
        <f>I860/11</f>
        <v>110</v>
      </c>
      <c r="CD860" s="996">
        <f t="shared" si="477"/>
        <v>1210</v>
      </c>
      <c r="CE860" s="996">
        <f t="shared" si="475"/>
        <v>0</v>
      </c>
      <c r="CF860" s="562"/>
      <c r="XEN860" s="1045"/>
      <c r="XEO860" s="1045"/>
      <c r="XEP860" s="1045"/>
      <c r="XEQ860" s="1045"/>
      <c r="XER860" s="1045"/>
      <c r="XES860" s="1045"/>
      <c r="XET860" s="1045"/>
      <c r="XEU860" s="1045"/>
      <c r="XEV860" s="1045"/>
      <c r="XEW860" s="1045"/>
      <c r="XEX860" s="1045"/>
      <c r="XEY860" s="1045"/>
      <c r="XEZ860" s="1045"/>
      <c r="XFA860" s="1045"/>
      <c r="XFB860" s="1045"/>
      <c r="XFC860" s="1045"/>
      <c r="XFD860" s="1045"/>
    </row>
    <row r="861" s="561" customFormat="1" ht="40" customHeight="1" spans="1:84 16342:16384">
      <c r="A861" s="992">
        <v>46142</v>
      </c>
      <c r="B861" s="993" t="s">
        <v>1009</v>
      </c>
      <c r="C861" s="994" t="s">
        <v>1010</v>
      </c>
      <c r="D861" s="995">
        <v>4500204719</v>
      </c>
      <c r="E861" s="996" t="s">
        <v>3015</v>
      </c>
      <c r="F861" s="995" t="s">
        <v>3549</v>
      </c>
      <c r="G861" s="997" t="s">
        <v>111</v>
      </c>
      <c r="H861" s="997" t="s">
        <v>99</v>
      </c>
      <c r="I861" s="998">
        <v>132</v>
      </c>
      <c r="J861" s="998">
        <v>0</v>
      </c>
      <c r="K861" s="999">
        <v>22</v>
      </c>
      <c r="L861" s="998">
        <f t="shared" si="455"/>
        <v>6</v>
      </c>
      <c r="M861" s="1036">
        <v>46246</v>
      </c>
      <c r="N861" s="1036">
        <f>M861-4</f>
        <v>46242</v>
      </c>
      <c r="O861" s="1000"/>
      <c r="P861" s="1004"/>
      <c r="Q861" s="1002"/>
      <c r="R861" s="1004" t="s">
        <v>3546</v>
      </c>
      <c r="S861" s="1000"/>
      <c r="T861" s="1000"/>
      <c r="U861" s="1001" t="s">
        <v>3547</v>
      </c>
      <c r="V861" s="1001"/>
      <c r="W861" s="1005"/>
      <c r="X861" s="1006" t="s">
        <v>3550</v>
      </c>
      <c r="Y861" s="1007" t="s">
        <v>422</v>
      </c>
      <c r="Z861" s="1008">
        <v>2.7592</v>
      </c>
      <c r="AA861" s="1009">
        <f t="shared" si="456"/>
        <v>364.2144</v>
      </c>
      <c r="AB861" s="1010"/>
      <c r="AC861" s="1011">
        <f t="shared" si="469"/>
        <v>-132</v>
      </c>
      <c r="AD861" s="1039" t="s">
        <v>123</v>
      </c>
      <c r="AE861" s="1040" t="s">
        <v>111</v>
      </c>
      <c r="AF861" s="1007" t="s">
        <v>107</v>
      </c>
      <c r="AG861" s="965" t="s">
        <v>3244</v>
      </c>
      <c r="AH861" s="1007"/>
      <c r="AI861" s="1046"/>
      <c r="AJ861" s="1046"/>
      <c r="AK861" s="1046"/>
      <c r="AL861" s="1041"/>
      <c r="AM861" s="1047">
        <f>I861</f>
        <v>132</v>
      </c>
      <c r="AN861" s="1046"/>
      <c r="AO861" s="1048"/>
      <c r="AP861" s="965"/>
      <c r="AQ861" s="965"/>
      <c r="AR861" s="1048"/>
      <c r="AS861" s="1048"/>
      <c r="AT861" s="965"/>
      <c r="AU861" s="965">
        <f t="shared" si="463"/>
        <v>132</v>
      </c>
      <c r="AV861" s="965"/>
      <c r="AW861" s="1048"/>
      <c r="AX861" s="965"/>
      <c r="AY861" s="965"/>
      <c r="AZ861" s="1049"/>
      <c r="BA861" s="674"/>
      <c r="BB861" s="1042">
        <f>I861/11</f>
        <v>12</v>
      </c>
      <c r="BC861" s="1049"/>
      <c r="BD861" s="1049"/>
      <c r="BE861" s="674"/>
      <c r="BF861" s="1049"/>
      <c r="BG861" s="1005"/>
      <c r="BH861" s="1023"/>
      <c r="BI861" s="1050"/>
      <c r="BJ861" s="1050"/>
      <c r="BK861" s="1023"/>
      <c r="BL861" s="1020"/>
      <c r="BM861" s="1023"/>
      <c r="BN861" s="1020"/>
      <c r="BO861" s="1020"/>
      <c r="BP861" s="1051"/>
      <c r="BQ861" s="674"/>
      <c r="BR861" s="1049"/>
      <c r="BS861" s="674"/>
      <c r="BT861" s="674"/>
      <c r="BU861" s="674"/>
      <c r="BV861" s="674"/>
      <c r="BW861" s="1005" t="s">
        <v>109</v>
      </c>
      <c r="BX861" s="1023">
        <f>I861/22*5</f>
        <v>30</v>
      </c>
      <c r="BY861" s="1044">
        <f>I861/22*6</f>
        <v>36</v>
      </c>
      <c r="BZ861" s="1044">
        <f>I861/22*6</f>
        <v>36</v>
      </c>
      <c r="CA861" s="1044">
        <f>I861/22*5</f>
        <v>30</v>
      </c>
      <c r="CB861" s="996">
        <f t="shared" si="479"/>
        <v>132</v>
      </c>
      <c r="CC861" s="1044">
        <f>I861/11</f>
        <v>12</v>
      </c>
      <c r="CD861" s="996">
        <f t="shared" si="477"/>
        <v>132</v>
      </c>
      <c r="CE861" s="996">
        <f t="shared" si="475"/>
        <v>0</v>
      </c>
      <c r="CF861" s="562"/>
      <c r="XEN861" s="1045"/>
      <c r="XEO861" s="1045"/>
      <c r="XEP861" s="1045"/>
      <c r="XEQ861" s="1045"/>
      <c r="XER861" s="1045"/>
      <c r="XES861" s="1045"/>
      <c r="XET861" s="1045"/>
      <c r="XEU861" s="1045"/>
      <c r="XEV861" s="1045"/>
      <c r="XEW861" s="1045"/>
      <c r="XEX861" s="1045"/>
      <c r="XEY861" s="1045"/>
      <c r="XEZ861" s="1045"/>
      <c r="XFA861" s="1045"/>
      <c r="XFB861" s="1045"/>
      <c r="XFC861" s="1045"/>
      <c r="XFD861" s="1045"/>
    </row>
    <row r="862" s="561" customFormat="1" ht="40" customHeight="1" spans="1:84 16342:16384">
      <c r="A862" s="992">
        <v>46142</v>
      </c>
      <c r="B862" s="993" t="s">
        <v>1009</v>
      </c>
      <c r="C862" s="994" t="s">
        <v>3551</v>
      </c>
      <c r="D862" s="995">
        <v>4500204723</v>
      </c>
      <c r="E862" s="996" t="s">
        <v>3015</v>
      </c>
      <c r="F862" s="995" t="s">
        <v>3552</v>
      </c>
      <c r="G862" s="997" t="s">
        <v>111</v>
      </c>
      <c r="H862" s="997" t="s">
        <v>99</v>
      </c>
      <c r="I862" s="998">
        <v>726</v>
      </c>
      <c r="J862" s="998">
        <v>0</v>
      </c>
      <c r="K862" s="999">
        <v>22</v>
      </c>
      <c r="L862" s="998">
        <f t="shared" si="455"/>
        <v>33</v>
      </c>
      <c r="M862" s="1036">
        <v>46246</v>
      </c>
      <c r="N862" s="1036">
        <f>M862-4</f>
        <v>46242</v>
      </c>
      <c r="O862" s="1000"/>
      <c r="P862" s="1004"/>
      <c r="Q862" s="1002"/>
      <c r="R862" s="1004" t="s">
        <v>3546</v>
      </c>
      <c r="S862" s="1000"/>
      <c r="T862" s="1000"/>
      <c r="U862" s="1001" t="s">
        <v>3547</v>
      </c>
      <c r="V862" s="1001"/>
      <c r="W862" s="1005"/>
      <c r="X862" s="1006" t="s">
        <v>3553</v>
      </c>
      <c r="Y862" s="1007" t="s">
        <v>422</v>
      </c>
      <c r="Z862" s="1008">
        <v>2.7947</v>
      </c>
      <c r="AA862" s="1009">
        <f t="shared" si="456"/>
        <v>2028.9522</v>
      </c>
      <c r="AB862" s="1010"/>
      <c r="AC862" s="1011">
        <f t="shared" si="469"/>
        <v>-726</v>
      </c>
      <c r="AD862" s="1039" t="s">
        <v>123</v>
      </c>
      <c r="AE862" s="1040" t="s">
        <v>111</v>
      </c>
      <c r="AF862" s="1007" t="s">
        <v>107</v>
      </c>
      <c r="AG862" s="965" t="s">
        <v>3244</v>
      </c>
      <c r="AH862" s="1007"/>
      <c r="AI862" s="1046"/>
      <c r="AJ862" s="1046"/>
      <c r="AK862" s="1046"/>
      <c r="AL862" s="1041"/>
      <c r="AM862" s="1010">
        <f>I862</f>
        <v>726</v>
      </c>
      <c r="AN862" s="1046"/>
      <c r="AO862" s="1048"/>
      <c r="AP862" s="965"/>
      <c r="AQ862" s="965"/>
      <c r="AR862" s="1048"/>
      <c r="AS862" s="1048"/>
      <c r="AT862" s="965"/>
      <c r="AU862" s="965">
        <f t="shared" si="463"/>
        <v>726</v>
      </c>
      <c r="AV862" s="965"/>
      <c r="AW862" s="1048"/>
      <c r="AX862" s="965"/>
      <c r="AY862" s="965"/>
      <c r="AZ862" s="1049"/>
      <c r="BA862" s="674"/>
      <c r="BB862" s="1042">
        <f>I862/11</f>
        <v>66</v>
      </c>
      <c r="BC862" s="1049"/>
      <c r="BD862" s="1049"/>
      <c r="BE862" s="674"/>
      <c r="BF862" s="1049"/>
      <c r="BG862" s="1005"/>
      <c r="BH862" s="1023"/>
      <c r="BI862" s="1050"/>
      <c r="BJ862" s="1050"/>
      <c r="BK862" s="1023"/>
      <c r="BL862" s="1020"/>
      <c r="BM862" s="1023"/>
      <c r="BN862" s="1020"/>
      <c r="BO862" s="1020"/>
      <c r="BP862" s="1051"/>
      <c r="BQ862" s="674"/>
      <c r="BR862" s="1049"/>
      <c r="BS862" s="674"/>
      <c r="BT862" s="674"/>
      <c r="BU862" s="674"/>
      <c r="BV862" s="674"/>
      <c r="BW862" s="1005" t="s">
        <v>109</v>
      </c>
      <c r="BX862" s="1023">
        <f>I862/22*5</f>
        <v>165</v>
      </c>
      <c r="BY862" s="1044">
        <f>I862/22*6</f>
        <v>198</v>
      </c>
      <c r="BZ862" s="1044">
        <f>I862/22*6</f>
        <v>198</v>
      </c>
      <c r="CA862" s="1044">
        <f>I862/22*5</f>
        <v>165</v>
      </c>
      <c r="CB862" s="996">
        <f t="shared" si="479"/>
        <v>726</v>
      </c>
      <c r="CC862" s="1044">
        <f>I862/11</f>
        <v>66</v>
      </c>
      <c r="CD862" s="996">
        <f t="shared" si="477"/>
        <v>726</v>
      </c>
      <c r="CE862" s="996">
        <f t="shared" si="475"/>
        <v>0</v>
      </c>
      <c r="CF862" s="562"/>
      <c r="XEN862" s="1045"/>
      <c r="XEO862" s="1045"/>
      <c r="XEP862" s="1045"/>
      <c r="XEQ862" s="1045"/>
      <c r="XER862" s="1045"/>
      <c r="XES862" s="1045"/>
      <c r="XET862" s="1045"/>
      <c r="XEU862" s="1045"/>
      <c r="XEV862" s="1045"/>
      <c r="XEW862" s="1045"/>
      <c r="XEX862" s="1045"/>
      <c r="XEY862" s="1045"/>
      <c r="XEZ862" s="1045"/>
      <c r="XFA862" s="1045"/>
      <c r="XFB862" s="1045"/>
      <c r="XFC862" s="1045"/>
      <c r="XFD862" s="1045"/>
    </row>
    <row r="863" s="561" customFormat="1" ht="40" customHeight="1" spans="1:84 16342:16384">
      <c r="A863" s="992">
        <v>46224</v>
      </c>
      <c r="B863" s="993"/>
      <c r="C863" s="994"/>
      <c r="D863" s="995" t="s">
        <v>3554</v>
      </c>
      <c r="E863" s="996"/>
      <c r="F863" s="995" t="s">
        <v>3555</v>
      </c>
      <c r="G863" s="997" t="s">
        <v>111</v>
      </c>
      <c r="H863" s="998" t="s">
        <v>3556</v>
      </c>
      <c r="I863" s="1052">
        <v>440</v>
      </c>
      <c r="J863" s="998"/>
      <c r="K863" s="999"/>
      <c r="L863" s="998"/>
      <c r="M863" s="1000">
        <v>46249</v>
      </c>
      <c r="N863" s="1000">
        <v>46245</v>
      </c>
      <c r="O863" s="1000"/>
      <c r="P863" s="1004"/>
      <c r="Q863" s="1002"/>
      <c r="R863" s="1004" t="s">
        <v>3557</v>
      </c>
      <c r="S863" s="1000"/>
      <c r="T863" s="1000"/>
      <c r="U863" s="1001"/>
      <c r="V863" s="1001"/>
      <c r="W863" s="1005"/>
      <c r="X863" s="1006" t="s">
        <v>3558</v>
      </c>
      <c r="Y863" s="1007" t="s">
        <v>3559</v>
      </c>
      <c r="Z863" s="1008"/>
      <c r="AA863" s="1009"/>
      <c r="AB863" s="1010"/>
      <c r="AC863" s="1011">
        <f t="shared" si="469"/>
        <v>-440</v>
      </c>
      <c r="AD863" s="1053"/>
      <c r="AE863" s="1054" t="s">
        <v>2545</v>
      </c>
      <c r="AF863" s="1014" t="s">
        <v>2545</v>
      </c>
      <c r="AG863" s="965"/>
      <c r="AH863" s="1007"/>
      <c r="AI863" s="1046"/>
      <c r="AJ863" s="1046"/>
      <c r="AK863" s="1046"/>
      <c r="AL863" s="1055"/>
      <c r="AM863" s="1010">
        <f>I863</f>
        <v>440</v>
      </c>
      <c r="AN863" s="1046"/>
      <c r="AO863" s="1048"/>
      <c r="AP863" s="965"/>
      <c r="AQ863" s="965"/>
      <c r="AR863" s="1048"/>
      <c r="AS863" s="1048"/>
      <c r="AT863" s="1048"/>
      <c r="AU863" s="965">
        <f t="shared" si="463"/>
        <v>440</v>
      </c>
      <c r="AV863" s="965"/>
      <c r="AW863" s="1048"/>
      <c r="AX863" s="1048"/>
      <c r="AY863" s="965"/>
      <c r="AZ863" s="1049"/>
      <c r="BA863" s="1049"/>
      <c r="BB863" s="1042">
        <f>I863/11</f>
        <v>40</v>
      </c>
      <c r="BC863" s="1049"/>
      <c r="BD863" s="1049"/>
      <c r="BE863" s="674"/>
      <c r="BF863" s="1049"/>
      <c r="BG863" s="1056"/>
      <c r="BH863" s="1023"/>
      <c r="BI863" s="1050"/>
      <c r="BJ863" s="1050"/>
      <c r="BK863" s="1050"/>
      <c r="BL863" s="1020"/>
      <c r="BM863" s="1023"/>
      <c r="BN863" s="1020"/>
      <c r="BO863" s="1020"/>
      <c r="BP863" s="1051"/>
      <c r="BQ863" s="674"/>
      <c r="BR863" s="1049"/>
      <c r="BS863" s="674"/>
      <c r="BT863" s="674"/>
      <c r="BU863" s="674"/>
      <c r="BV863" s="674"/>
      <c r="BW863" s="1005" t="s">
        <v>109</v>
      </c>
      <c r="BX863" s="1057">
        <f>I863/22*5</f>
        <v>100</v>
      </c>
      <c r="BY863" s="1057">
        <f>I863/22*6</f>
        <v>120</v>
      </c>
      <c r="BZ863" s="1057">
        <f>I863/22*6</f>
        <v>120</v>
      </c>
      <c r="CA863" s="1057">
        <f>I863/22*5</f>
        <v>100</v>
      </c>
      <c r="CB863" s="1057">
        <f t="shared" si="479"/>
        <v>440</v>
      </c>
      <c r="CC863" s="1057">
        <f>I863/11</f>
        <v>40</v>
      </c>
      <c r="CD863" s="1057">
        <f t="shared" si="477"/>
        <v>440</v>
      </c>
      <c r="CE863" s="996">
        <f t="shared" si="475"/>
        <v>0</v>
      </c>
      <c r="CF863" s="562"/>
      <c r="CG863" s="561"/>
      <c r="XEN863" s="1045"/>
      <c r="XEO863" s="1045"/>
      <c r="XEP863" s="1045"/>
      <c r="XEQ863" s="1045"/>
      <c r="XER863" s="1045"/>
      <c r="XES863" s="1045"/>
      <c r="XET863" s="1045"/>
      <c r="XEU863" s="1045"/>
      <c r="XEV863" s="1045"/>
      <c r="XEW863" s="1045"/>
      <c r="XEX863" s="1045"/>
      <c r="XEY863" s="1045"/>
      <c r="XEZ863" s="1045"/>
      <c r="XFA863" s="1045"/>
      <c r="XFB863" s="1045"/>
      <c r="XFC863" s="1045"/>
      <c r="XFD863" s="1045"/>
    </row>
    <row r="864" s="557" customFormat="1" ht="40" customHeight="1" spans="1:84 16342:16384">
      <c r="A864" s="992">
        <v>46202</v>
      </c>
      <c r="B864" s="993" t="s">
        <v>379</v>
      </c>
      <c r="C864" s="994" t="s">
        <v>380</v>
      </c>
      <c r="D864" s="995" t="s">
        <v>3560</v>
      </c>
      <c r="E864" s="996" t="s">
        <v>3561</v>
      </c>
      <c r="F864" s="995" t="s">
        <v>3562</v>
      </c>
      <c r="G864" s="997" t="s">
        <v>1968</v>
      </c>
      <c r="H864" s="1058" t="s">
        <v>3563</v>
      </c>
      <c r="I864" s="998">
        <v>744</v>
      </c>
      <c r="J864" s="998">
        <v>0</v>
      </c>
      <c r="K864" s="999">
        <v>24</v>
      </c>
      <c r="L864" s="998">
        <f t="shared" ref="L860:L899" si="480">I864/K864</f>
        <v>31</v>
      </c>
      <c r="M864" s="1000">
        <v>46251</v>
      </c>
      <c r="N864" s="1000">
        <v>46247</v>
      </c>
      <c r="O864" s="310"/>
      <c r="P864" s="1001"/>
      <c r="Q864" s="1002" t="s">
        <v>3564</v>
      </c>
      <c r="R864" s="1003" t="s">
        <v>3565</v>
      </c>
      <c r="S864" s="1000"/>
      <c r="T864" s="1000"/>
      <c r="U864" s="1003" t="s">
        <v>3566</v>
      </c>
      <c r="V864" s="1001"/>
      <c r="W864" s="1005"/>
      <c r="X864" s="1006" t="s">
        <v>3567</v>
      </c>
      <c r="Y864" s="1007" t="s">
        <v>3516</v>
      </c>
      <c r="Z864" s="1008">
        <v>2.6493</v>
      </c>
      <c r="AA864" s="1009">
        <f t="shared" ref="AA860:AA899" si="481">I864*Z864</f>
        <v>1971.0792</v>
      </c>
      <c r="AB864" s="1010"/>
      <c r="AC864" s="1011">
        <f t="shared" ref="AC860:AC876" si="482">AB864-I864</f>
        <v>-744</v>
      </c>
      <c r="AD864" s="1012" t="s">
        <v>123</v>
      </c>
      <c r="AE864" s="722" t="s">
        <v>1968</v>
      </c>
      <c r="AF864" s="1013" t="s">
        <v>107</v>
      </c>
      <c r="AG864" s="1059" t="s">
        <v>43</v>
      </c>
      <c r="AH864" s="1007"/>
      <c r="AI864" s="1015"/>
      <c r="AJ864" s="1016"/>
      <c r="AK864" s="1017"/>
      <c r="AL864" s="1018"/>
      <c r="AM864" s="674"/>
      <c r="AN864" s="1016"/>
      <c r="AO864" s="1017"/>
      <c r="AP864" s="1060">
        <f>I864</f>
        <v>744</v>
      </c>
      <c r="AQ864" s="1020"/>
      <c r="AR864" s="1021"/>
      <c r="AS864" s="1021"/>
      <c r="AT864" s="1021"/>
      <c r="AU864" s="655">
        <f t="shared" si="463"/>
        <v>744</v>
      </c>
      <c r="AV864" s="1022"/>
      <c r="AW864" s="1021"/>
      <c r="AX864" s="1021"/>
      <c r="AY864" s="1022"/>
      <c r="AZ864" s="1021"/>
      <c r="BA864" s="1021"/>
      <c r="BB864" s="1023"/>
      <c r="BC864" s="1021"/>
      <c r="BD864" s="1021"/>
      <c r="BE864" s="1022"/>
      <c r="BF864" s="1021"/>
      <c r="BG864" s="1021"/>
      <c r="BH864" s="1022"/>
      <c r="BI864" s="1021"/>
      <c r="BJ864" s="1021"/>
      <c r="BK864" s="1021"/>
      <c r="BL864" s="1022"/>
      <c r="BM864" s="1022"/>
      <c r="BN864" s="1022"/>
      <c r="BO864" s="1022"/>
      <c r="BP864" s="1024"/>
      <c r="BQ864" s="1022"/>
      <c r="BR864" s="1021"/>
      <c r="BS864" s="1022"/>
      <c r="BT864" s="1022"/>
      <c r="BU864" s="1022"/>
      <c r="BV864" s="1022"/>
      <c r="BW864" s="1061" t="s">
        <v>109</v>
      </c>
      <c r="BX864" s="1025"/>
      <c r="BY864" s="1025">
        <f>I864</f>
        <v>744</v>
      </c>
      <c r="BZ864" s="1025"/>
      <c r="CA864" s="1025"/>
      <c r="CB864" s="1025"/>
      <c r="CC864" s="1025"/>
      <c r="CD864" s="1025">
        <f t="shared" si="477"/>
        <v>744</v>
      </c>
      <c r="CE864" s="996">
        <f t="shared" si="475"/>
        <v>0</v>
      </c>
      <c r="CF864" s="584"/>
      <c r="CG864" s="557"/>
      <c r="XDN864" s="1026"/>
      <c r="XDO864" s="1027"/>
      <c r="XDP864" s="1028"/>
      <c r="XDQ864" s="1029"/>
      <c r="XDR864" s="1030"/>
      <c r="XDS864" s="1029"/>
      <c r="XDT864" s="1031"/>
      <c r="XDU864" s="1031"/>
      <c r="XDV864" s="1032"/>
      <c r="XDW864" s="1032"/>
      <c r="XDX864" s="1032"/>
      <c r="XDY864" s="1032"/>
      <c r="XDZ864" s="1033"/>
      <c r="XEA864" s="1033"/>
      <c r="XEB864" s="1033"/>
      <c r="XEC864" s="1034"/>
      <c r="XED864" s="1034"/>
      <c r="XEE864" s="1034"/>
      <c r="XEF864" s="1033"/>
      <c r="XEG864" s="1034"/>
      <c r="XEH864" s="1034"/>
      <c r="XEI864" s="1035"/>
      <c r="XEJ864" s="1026"/>
      <c r="XEK864" s="1027"/>
      <c r="XEL864" s="1028"/>
      <c r="XEM864" s="1029"/>
      <c r="XEN864" s="1030"/>
      <c r="XEO864" s="1029"/>
      <c r="XEP864" s="1031"/>
      <c r="XEQ864" s="1031"/>
      <c r="XER864" s="1032"/>
      <c r="XES864" s="1032"/>
      <c r="XET864" s="1032"/>
      <c r="XEU864" s="1032"/>
      <c r="XEV864" s="1033"/>
      <c r="XEW864" s="1033"/>
      <c r="XEX864" s="1033"/>
      <c r="XEY864" s="1034"/>
      <c r="XEZ864" s="1034"/>
      <c r="XFA864" s="1034"/>
      <c r="XFB864" s="1033"/>
      <c r="XFC864" s="1034"/>
      <c r="XFD864" s="1034"/>
    </row>
    <row r="865" s="561" customFormat="1" ht="40" customHeight="1" spans="1:84 16320:16384">
      <c r="A865" s="992">
        <v>46210</v>
      </c>
      <c r="B865" s="993" t="s">
        <v>3568</v>
      </c>
      <c r="C865" s="994" t="s">
        <v>247</v>
      </c>
      <c r="D865" s="995">
        <v>4500215299</v>
      </c>
      <c r="E865" s="996" t="s">
        <v>3569</v>
      </c>
      <c r="F865" s="995" t="s">
        <v>3570</v>
      </c>
      <c r="G865" s="997" t="s">
        <v>111</v>
      </c>
      <c r="H865" s="997" t="s">
        <v>99</v>
      </c>
      <c r="I865" s="998">
        <v>814</v>
      </c>
      <c r="J865" s="998">
        <v>0</v>
      </c>
      <c r="K865" s="999">
        <v>22</v>
      </c>
      <c r="L865" s="998">
        <f t="shared" si="480"/>
        <v>37</v>
      </c>
      <c r="M865" s="1000">
        <v>46252</v>
      </c>
      <c r="N865" s="1000">
        <v>46248</v>
      </c>
      <c r="O865" s="1000"/>
      <c r="P865" s="1001"/>
      <c r="Q865" s="1002" t="s">
        <v>3571</v>
      </c>
      <c r="R865" s="1004" t="s">
        <v>1798</v>
      </c>
      <c r="S865" s="1000"/>
      <c r="T865" s="1000"/>
      <c r="U865" s="1004" t="s">
        <v>3572</v>
      </c>
      <c r="V865" s="1001"/>
      <c r="W865" s="1062" t="s">
        <v>3479</v>
      </c>
      <c r="X865" s="1006" t="s">
        <v>3573</v>
      </c>
      <c r="Y865" s="1007" t="s">
        <v>3574</v>
      </c>
      <c r="Z865" s="1008">
        <v>2.7592</v>
      </c>
      <c r="AA865" s="1009">
        <f t="shared" si="481"/>
        <v>2245.9888</v>
      </c>
      <c r="AB865" s="1010"/>
      <c r="AC865" s="1011">
        <f t="shared" si="482"/>
        <v>-814</v>
      </c>
      <c r="AD865" s="1039" t="s">
        <v>123</v>
      </c>
      <c r="AE865" s="1040" t="s">
        <v>111</v>
      </c>
      <c r="AF865" s="1013" t="s">
        <v>107</v>
      </c>
      <c r="AG865" s="1059" t="s">
        <v>43</v>
      </c>
      <c r="AH865" s="1063"/>
      <c r="AI865" s="965"/>
      <c r="AJ865" s="674"/>
      <c r="AK865" s="1023"/>
      <c r="AL865" s="1020"/>
      <c r="AM865" s="965">
        <f>I865</f>
        <v>814</v>
      </c>
      <c r="AN865" s="674"/>
      <c r="AO865" s="1023"/>
      <c r="AP865" s="1023"/>
      <c r="AQ865" s="1020"/>
      <c r="AR865" s="1022"/>
      <c r="AS865" s="1022"/>
      <c r="AT865" s="1022"/>
      <c r="AU865" s="655">
        <f t="shared" si="463"/>
        <v>814</v>
      </c>
      <c r="AV865" s="1022"/>
      <c r="AW865" s="1022"/>
      <c r="AX865" s="1022"/>
      <c r="AY865" s="563"/>
      <c r="AZ865" s="1022"/>
      <c r="BA865" s="1062"/>
      <c r="BB865" s="1007">
        <f>I865/11</f>
        <v>74</v>
      </c>
      <c r="BC865" s="1025"/>
      <c r="BD865" s="1025"/>
      <c r="BE865" s="1025"/>
      <c r="BF865" s="1025"/>
      <c r="BG865" s="1025"/>
      <c r="BH865" s="1025"/>
      <c r="BI865" s="1025"/>
      <c r="BJ865" s="563"/>
      <c r="BK865" s="563"/>
      <c r="BL865" s="563"/>
      <c r="BM865" s="563"/>
      <c r="BN865" s="563"/>
      <c r="BO865" s="563"/>
      <c r="BP865" s="563"/>
      <c r="BQ865" s="563"/>
      <c r="BR865" s="563"/>
      <c r="BS865" s="563"/>
      <c r="BT865" s="563"/>
      <c r="BU865" s="563"/>
      <c r="BV865" s="563"/>
      <c r="BW865" s="1061" t="s">
        <v>109</v>
      </c>
      <c r="BX865" s="1025">
        <f>I865/22*5</f>
        <v>185</v>
      </c>
      <c r="BY865" s="1025">
        <f>I865/22*6</f>
        <v>222</v>
      </c>
      <c r="BZ865" s="1025">
        <f>I865/22*6</f>
        <v>222</v>
      </c>
      <c r="CA865" s="1025">
        <f>I865/22*5</f>
        <v>185</v>
      </c>
      <c r="CB865" s="1025">
        <f>I865</f>
        <v>814</v>
      </c>
      <c r="CC865" s="1025">
        <f>I865/11</f>
        <v>74</v>
      </c>
      <c r="CD865" s="1025">
        <f t="shared" si="477"/>
        <v>814</v>
      </c>
      <c r="CE865" s="996">
        <f t="shared" si="475"/>
        <v>0</v>
      </c>
      <c r="XDN865" s="1026"/>
      <c r="XDO865" s="1027"/>
      <c r="XDP865" s="1028"/>
      <c r="XDQ865" s="1029"/>
      <c r="XDR865" s="1030"/>
      <c r="XDS865" s="1029"/>
      <c r="XDT865" s="1031"/>
      <c r="XDU865" s="1031"/>
      <c r="XDV865" s="1032"/>
      <c r="XDW865" s="1032"/>
      <c r="XDX865" s="1032"/>
      <c r="XDY865" s="1032"/>
      <c r="XDZ865" s="1033"/>
      <c r="XEA865" s="1033"/>
      <c r="XEB865" s="1033"/>
      <c r="XEC865" s="1034"/>
      <c r="XED865" s="1034"/>
      <c r="XEE865" s="1034"/>
      <c r="XEF865" s="1033"/>
      <c r="XEG865" s="1034"/>
      <c r="XEH865" s="1034"/>
      <c r="XEI865" s="1035"/>
      <c r="XEJ865" s="1064"/>
      <c r="XEK865" s="1027"/>
      <c r="XEL865" s="1028"/>
      <c r="XEM865" s="1029"/>
      <c r="XEN865" s="1030"/>
      <c r="XEO865" s="1029"/>
      <c r="XEP865" s="1031"/>
      <c r="XEQ865" s="1031"/>
      <c r="XER865" s="1032"/>
      <c r="XES865" s="1032"/>
      <c r="XET865" s="1065"/>
      <c r="XEU865" s="1032"/>
      <c r="XEV865" s="1066"/>
      <c r="XEW865" s="1066"/>
      <c r="XEX865" s="1066"/>
      <c r="XEY865" s="1067"/>
      <c r="XEZ865" s="1068"/>
      <c r="XFA865" s="1069"/>
      <c r="XFB865" s="1066"/>
      <c r="XFC865" s="1069"/>
      <c r="XFD865" s="1067"/>
    </row>
    <row r="866" s="561" customFormat="1" ht="40" customHeight="1" spans="1:84 16320:16384">
      <c r="A866" s="992">
        <v>46211</v>
      </c>
      <c r="B866" s="993" t="s">
        <v>3575</v>
      </c>
      <c r="C866" s="994" t="s">
        <v>129</v>
      </c>
      <c r="D866" s="995">
        <v>4500215644</v>
      </c>
      <c r="E866" s="996"/>
      <c r="F866" s="995" t="s">
        <v>3576</v>
      </c>
      <c r="G866" s="997" t="s">
        <v>111</v>
      </c>
      <c r="H866" s="997" t="s">
        <v>99</v>
      </c>
      <c r="I866" s="998">
        <v>220</v>
      </c>
      <c r="J866" s="998">
        <v>0</v>
      </c>
      <c r="K866" s="999">
        <v>22</v>
      </c>
      <c r="L866" s="998">
        <f t="shared" si="480"/>
        <v>10</v>
      </c>
      <c r="M866" s="1000">
        <v>46253</v>
      </c>
      <c r="N866" s="1000">
        <v>46249</v>
      </c>
      <c r="O866" s="312" t="s">
        <v>3577</v>
      </c>
      <c r="P866" s="1004"/>
      <c r="Q866" s="1002"/>
      <c r="R866" s="1004" t="s">
        <v>1891</v>
      </c>
      <c r="S866" s="1000"/>
      <c r="T866" s="1000"/>
      <c r="U866" s="1004" t="s">
        <v>3578</v>
      </c>
      <c r="V866" s="1001"/>
      <c r="W866" s="1062" t="s">
        <v>3479</v>
      </c>
      <c r="X866" s="1070" t="s">
        <v>3579</v>
      </c>
      <c r="Y866" s="1007" t="s">
        <v>3580</v>
      </c>
      <c r="Z866" s="1008">
        <v>2.7947</v>
      </c>
      <c r="AA866" s="1009">
        <f t="shared" si="481"/>
        <v>614.834</v>
      </c>
      <c r="AB866" s="1010"/>
      <c r="AC866" s="1011">
        <f t="shared" si="482"/>
        <v>-220</v>
      </c>
      <c r="AD866" s="1039" t="s">
        <v>106</v>
      </c>
      <c r="AE866" s="1071" t="s">
        <v>230</v>
      </c>
      <c r="AF866" s="1013" t="s">
        <v>107</v>
      </c>
      <c r="AG866" s="1059" t="s">
        <v>43</v>
      </c>
      <c r="AH866" s="1007"/>
      <c r="AI866" s="1049"/>
      <c r="AJ866" s="1050"/>
      <c r="AK866" s="1072"/>
      <c r="AL866" s="1073"/>
      <c r="AM866" s="1022"/>
      <c r="AN866" s="1073"/>
      <c r="AO866" s="1074"/>
      <c r="AP866" s="1025">
        <f>I866</f>
        <v>220</v>
      </c>
      <c r="AQ866" s="1025"/>
      <c r="AR866" s="1075"/>
      <c r="AS866" s="1075"/>
      <c r="AT866" s="1075"/>
      <c r="AU866" s="655">
        <f t="shared" si="463"/>
        <v>220</v>
      </c>
      <c r="AV866" s="563"/>
      <c r="AW866" s="1075"/>
      <c r="AX866" s="1075"/>
      <c r="AY866" s="563"/>
      <c r="AZ866" s="1075"/>
      <c r="BA866" s="1075"/>
      <c r="BB866" s="1007">
        <f>I866/11</f>
        <v>20</v>
      </c>
      <c r="BC866" s="1075"/>
      <c r="BD866" s="1075"/>
      <c r="BE866" s="563"/>
      <c r="BF866" s="1075"/>
      <c r="BG866" s="1075"/>
      <c r="BH866" s="563"/>
      <c r="BI866" s="1075"/>
      <c r="BJ866" s="1075"/>
      <c r="BK866" s="1075"/>
      <c r="BL866" s="563"/>
      <c r="BM866" s="563"/>
      <c r="BN866" s="563"/>
      <c r="BO866" s="563"/>
      <c r="BP866" s="1075"/>
      <c r="BQ866" s="563"/>
      <c r="BR866" s="1075"/>
      <c r="BS866" s="563"/>
      <c r="BT866" s="563"/>
      <c r="BU866" s="563"/>
      <c r="BV866" s="563"/>
      <c r="BW866" s="1061" t="s">
        <v>109</v>
      </c>
      <c r="BX866" s="1025">
        <f>I866/22*5</f>
        <v>50</v>
      </c>
      <c r="BY866" s="1025">
        <f>I866/22*6</f>
        <v>60</v>
      </c>
      <c r="BZ866" s="1025">
        <f>I866/22*6</f>
        <v>60</v>
      </c>
      <c r="CA866" s="1025">
        <f>I866/22*5</f>
        <v>50</v>
      </c>
      <c r="CB866" s="1025">
        <f>I866</f>
        <v>220</v>
      </c>
      <c r="CC866" s="1025">
        <f>I866/11</f>
        <v>20</v>
      </c>
      <c r="CD866" s="1025">
        <f t="shared" si="477"/>
        <v>220</v>
      </c>
      <c r="CE866" s="996">
        <f t="shared" si="475"/>
        <v>0</v>
      </c>
      <c r="XCR866" s="1026"/>
      <c r="XCS866" s="1027"/>
      <c r="XCT866" s="1028"/>
      <c r="XCU866" s="1029"/>
      <c r="XCV866" s="1030"/>
      <c r="XCW866" s="1029"/>
      <c r="XCX866" s="1031"/>
      <c r="XCY866" s="1031"/>
      <c r="XCZ866" s="1032"/>
      <c r="XDA866" s="1032"/>
      <c r="XDB866" s="1032"/>
      <c r="XDC866" s="1032"/>
      <c r="XDD866" s="1033"/>
      <c r="XDE866" s="1033"/>
      <c r="XDF866" s="1033"/>
      <c r="XDG866" s="1034"/>
      <c r="XDH866" s="1034"/>
      <c r="XDI866" s="1034"/>
      <c r="XDJ866" s="1033"/>
      <c r="XDK866" s="1034"/>
      <c r="XDL866" s="1034"/>
      <c r="XDM866" s="1035"/>
      <c r="XDN866" s="1064"/>
      <c r="XDO866" s="1027"/>
      <c r="XDP866" s="1028"/>
      <c r="XDQ866" s="1029"/>
      <c r="XDR866" s="1030"/>
      <c r="XDS866" s="1029"/>
      <c r="XDT866" s="1031"/>
      <c r="XDU866" s="1031"/>
      <c r="XDV866" s="1032"/>
      <c r="XDW866" s="1032"/>
      <c r="XDX866" s="1065"/>
      <c r="XDY866" s="1032"/>
      <c r="XDZ866" s="1066"/>
      <c r="XEA866" s="1066"/>
      <c r="XEB866" s="1066"/>
      <c r="XEC866" s="1067"/>
      <c r="XED866" s="1068"/>
      <c r="XEE866" s="1069"/>
      <c r="XEF866" s="1066"/>
      <c r="XEG866" s="1069"/>
      <c r="XEH866" s="1067"/>
      <c r="XEI866" s="1076"/>
      <c r="XEJ866" s="1064"/>
      <c r="XEK866" s="1027"/>
      <c r="XEL866" s="1028"/>
      <c r="XEM866" s="1029"/>
      <c r="XEN866" s="1030"/>
      <c r="XEO866" s="1029"/>
      <c r="XEP866" s="1031"/>
      <c r="XEQ866" s="1031"/>
      <c r="XER866" s="1032"/>
      <c r="XES866" s="1032"/>
      <c r="XET866" s="1065"/>
      <c r="XEU866" s="1032"/>
      <c r="XEV866" s="1066"/>
      <c r="XEW866" s="1066"/>
      <c r="XEX866" s="1066"/>
      <c r="XEY866" s="1067"/>
      <c r="XEZ866" s="1068"/>
      <c r="XFA866" s="1069"/>
      <c r="XFB866" s="1066"/>
      <c r="XFC866" s="1069"/>
      <c r="XFD866" s="1067"/>
    </row>
    <row r="867" s="557" customFormat="1" ht="40" customHeight="1" spans="1:84 16320:16384">
      <c r="A867" s="1077">
        <v>46162</v>
      </c>
      <c r="B867" s="1078" t="s">
        <v>1884</v>
      </c>
      <c r="C867" s="1079" t="s">
        <v>214</v>
      </c>
      <c r="D867" s="1080">
        <v>4500208038</v>
      </c>
      <c r="E867" s="1081">
        <v>70089390</v>
      </c>
      <c r="F867" s="1080" t="s">
        <v>3581</v>
      </c>
      <c r="G867" s="742" t="s">
        <v>1830</v>
      </c>
      <c r="H867" s="305" t="s">
        <v>1831</v>
      </c>
      <c r="I867" s="1082">
        <v>480</v>
      </c>
      <c r="J867" s="1082">
        <v>0</v>
      </c>
      <c r="K867" s="1083">
        <v>16</v>
      </c>
      <c r="L867" s="1083">
        <f t="shared" si="480"/>
        <v>30</v>
      </c>
      <c r="M867" s="740">
        <v>46255</v>
      </c>
      <c r="N867" s="740">
        <v>46251</v>
      </c>
      <c r="O867" s="740"/>
      <c r="P867" s="1084"/>
      <c r="Q867" s="1085"/>
      <c r="R867" s="1084" t="s">
        <v>1332</v>
      </c>
      <c r="S867" s="740"/>
      <c r="T867" s="740"/>
      <c r="U867" s="1084" t="s">
        <v>113</v>
      </c>
      <c r="V867" s="1004" t="s">
        <v>3582</v>
      </c>
      <c r="W867" s="904"/>
      <c r="X867" s="1086" t="s">
        <v>3583</v>
      </c>
      <c r="Y867" s="1087" t="s">
        <v>1522</v>
      </c>
      <c r="Z867" s="1088">
        <v>3.1397</v>
      </c>
      <c r="AA867" s="1089">
        <f t="shared" si="481"/>
        <v>1507.056</v>
      </c>
      <c r="AB867" s="651">
        <v>480</v>
      </c>
      <c r="AC867" s="1011">
        <f t="shared" si="482"/>
        <v>0</v>
      </c>
      <c r="AD867" s="1090" t="s">
        <v>106</v>
      </c>
      <c r="AE867" s="742" t="s">
        <v>1830</v>
      </c>
      <c r="AF867" s="1087" t="s">
        <v>107</v>
      </c>
      <c r="AG867" s="1059" t="s">
        <v>43</v>
      </c>
      <c r="AH867" s="1087"/>
      <c r="AI867" s="696"/>
      <c r="AJ867" s="696"/>
      <c r="AK867" s="696"/>
      <c r="AL867" s="928"/>
      <c r="AM867" s="1010">
        <f>I867*2</f>
        <v>960</v>
      </c>
      <c r="AN867" s="696"/>
      <c r="AO867" s="777"/>
      <c r="AP867" s="655"/>
      <c r="AQ867" s="655"/>
      <c r="AR867" s="777"/>
      <c r="AS867" s="777"/>
      <c r="AT867" s="929"/>
      <c r="AU867" s="655">
        <f t="shared" si="463"/>
        <v>480</v>
      </c>
      <c r="AV867" s="655"/>
      <c r="AW867" s="777"/>
      <c r="AX867" s="929"/>
      <c r="AY867" s="655"/>
      <c r="AZ867" s="697"/>
      <c r="BA867" s="930"/>
      <c r="BB867" s="656"/>
      <c r="BC867" s="697"/>
      <c r="BD867" s="697"/>
      <c r="BE867" s="656"/>
      <c r="BF867" s="697"/>
      <c r="BG867" s="931"/>
      <c r="BH867" s="905"/>
      <c r="BI867" s="778"/>
      <c r="BJ867" s="778"/>
      <c r="BK867" s="778"/>
      <c r="BL867" s="1091"/>
      <c r="BM867" s="905"/>
      <c r="BN867" s="1091"/>
      <c r="BO867" s="1091"/>
      <c r="BP867" s="779"/>
      <c r="BQ867" s="656"/>
      <c r="BR867" s="697"/>
      <c r="BS867" s="656"/>
      <c r="BT867" s="656"/>
      <c r="BU867" s="656"/>
      <c r="BV867" s="656"/>
      <c r="BW867" s="1061" t="s">
        <v>109</v>
      </c>
      <c r="BX867" s="1023">
        <f>I867/4*2</f>
        <v>240</v>
      </c>
      <c r="BY867" s="1023">
        <f>I867/4*2</f>
        <v>240</v>
      </c>
      <c r="BZ867" s="1023">
        <f>I867/4*2</f>
        <v>240</v>
      </c>
      <c r="CA867" s="1023">
        <f>I867/4*2</f>
        <v>240</v>
      </c>
      <c r="CB867" s="737"/>
      <c r="CC867" s="736"/>
      <c r="CD867" s="1025">
        <f>SUM(BX867:CB867)</f>
        <v>960</v>
      </c>
      <c r="CE867" s="996"/>
      <c r="CF867" s="584"/>
      <c r="XEN867" s="585"/>
      <c r="XEO867" s="585"/>
      <c r="XEP867" s="585"/>
      <c r="XEQ867" s="585"/>
      <c r="XER867" s="585"/>
      <c r="XES867" s="585"/>
      <c r="XET867" s="585"/>
      <c r="XEU867" s="585"/>
      <c r="XEV867" s="585"/>
      <c r="XEW867" s="585"/>
      <c r="XEX867" s="585"/>
      <c r="XEY867" s="585"/>
      <c r="XEZ867" s="585"/>
      <c r="XFA867" s="585"/>
      <c r="XFB867" s="585"/>
      <c r="XFC867" s="585"/>
      <c r="XFD867" s="585"/>
    </row>
    <row r="868" s="561" customFormat="1" ht="40" customHeight="1" spans="1:84 16320:16384">
      <c r="A868" s="1092">
        <v>46216</v>
      </c>
      <c r="B868" s="1093" t="s">
        <v>3584</v>
      </c>
      <c r="C868" s="1094" t="s">
        <v>556</v>
      </c>
      <c r="D868" s="995" t="s">
        <v>3585</v>
      </c>
      <c r="E868" s="1094"/>
      <c r="F868" s="1095" t="s">
        <v>3586</v>
      </c>
      <c r="G868" s="1094" t="s">
        <v>111</v>
      </c>
      <c r="H868" s="997" t="s">
        <v>99</v>
      </c>
      <c r="I868" s="1094">
        <v>220</v>
      </c>
      <c r="J868" s="1094">
        <v>0</v>
      </c>
      <c r="K868" s="1094">
        <v>22</v>
      </c>
      <c r="L868" s="998">
        <f t="shared" si="480"/>
        <v>10</v>
      </c>
      <c r="M868" s="1096">
        <v>46258</v>
      </c>
      <c r="N868" s="1096">
        <f>M868-4</f>
        <v>46254</v>
      </c>
      <c r="O868" s="1001"/>
      <c r="P868" s="1001"/>
      <c r="Q868" s="1002"/>
      <c r="R868" s="1003" t="s">
        <v>3587</v>
      </c>
      <c r="S868" s="1097"/>
      <c r="T868" s="1097"/>
      <c r="U868" s="1003" t="s">
        <v>113</v>
      </c>
      <c r="V868" s="1098"/>
      <c r="W868" s="1062"/>
      <c r="X868" s="1099" t="s">
        <v>3588</v>
      </c>
      <c r="Y868" s="1100" t="s">
        <v>3589</v>
      </c>
      <c r="Z868" s="1100">
        <v>2.8311</v>
      </c>
      <c r="AA868" s="1009">
        <f t="shared" si="481"/>
        <v>622.842</v>
      </c>
      <c r="AB868" s="1010">
        <v>220</v>
      </c>
      <c r="AC868" s="1011">
        <f t="shared" si="482"/>
        <v>0</v>
      </c>
      <c r="AD868" s="1003" t="s">
        <v>113</v>
      </c>
      <c r="AE868" s="661" t="s">
        <v>111</v>
      </c>
      <c r="AF868" s="1013" t="s">
        <v>107</v>
      </c>
      <c r="AG868" s="1059" t="s">
        <v>43</v>
      </c>
      <c r="AH868" s="1007"/>
      <c r="AI868" s="655"/>
      <c r="AJ868" s="564"/>
      <c r="AK868" s="655"/>
      <c r="AL868" s="655"/>
      <c r="AM868" s="1023">
        <f>I868</f>
        <v>220</v>
      </c>
      <c r="AN868" s="905"/>
      <c r="AO868" s="656"/>
      <c r="AP868" s="674"/>
      <c r="AQ868" s="1025"/>
      <c r="AR868" s="1057"/>
      <c r="AS868" s="1091"/>
      <c r="AT868" s="1091"/>
      <c r="AU868" s="655">
        <f t="shared" si="463"/>
        <v>220</v>
      </c>
      <c r="AV868" s="674"/>
      <c r="AW868" s="656"/>
      <c r="AX868" s="656"/>
      <c r="AY868" s="965"/>
      <c r="AZ868" s="656"/>
      <c r="BA868" s="904"/>
      <c r="BB868" s="1101">
        <f>I868/11</f>
        <v>20</v>
      </c>
      <c r="BC868" s="1057"/>
      <c r="BD868" s="1057"/>
      <c r="BE868" s="1025"/>
      <c r="BF868" s="1057"/>
      <c r="BG868" s="1057"/>
      <c r="BH868" s="1025"/>
      <c r="BI868" s="1057"/>
      <c r="BJ868" s="564"/>
      <c r="BK868" s="564"/>
      <c r="BL868" s="563"/>
      <c r="BM868" s="563"/>
      <c r="BN868" s="563"/>
      <c r="BO868" s="563"/>
      <c r="BP868" s="564"/>
      <c r="BQ868" s="563"/>
      <c r="BR868" s="564"/>
      <c r="BS868" s="563"/>
      <c r="BT868" s="563"/>
      <c r="BU868" s="563"/>
      <c r="BV868" s="563"/>
      <c r="BW868" s="1061" t="s">
        <v>109</v>
      </c>
      <c r="BX868" s="1025">
        <f t="shared" ref="BX868:BX875" si="483">I868/22*5</f>
        <v>50</v>
      </c>
      <c r="BY868" s="1025">
        <f t="shared" ref="BY868:BY875" si="484">I868/22*6</f>
        <v>60</v>
      </c>
      <c r="BZ868" s="1025">
        <f t="shared" ref="BZ868:BZ875" si="485">I868/22*6</f>
        <v>60</v>
      </c>
      <c r="CA868" s="1025">
        <f t="shared" ref="CA868:CA875" si="486">I868/22*5</f>
        <v>50</v>
      </c>
      <c r="CB868" s="1025">
        <f t="shared" ref="CB867:CB880" si="487">I868</f>
        <v>220</v>
      </c>
      <c r="CC868" s="1025">
        <f t="shared" ref="CC868:CC875" si="488">I868/11</f>
        <v>20</v>
      </c>
      <c r="CD868" s="1025">
        <f>SUM(BX868:CA868)</f>
        <v>220</v>
      </c>
      <c r="CE868" s="996">
        <f t="shared" si="475"/>
        <v>0</v>
      </c>
      <c r="CF868" s="562"/>
      <c r="CG868" s="561"/>
      <c r="XDR868" s="1045"/>
      <c r="XDS868" s="1045"/>
      <c r="XDT868" s="1064"/>
      <c r="XDU868" s="1027"/>
      <c r="XDV868" s="1028"/>
      <c r="XDW868" s="1029"/>
      <c r="XDX868" s="1102"/>
      <c r="XDY868" s="1103"/>
      <c r="XDZ868" s="1031"/>
      <c r="XEA868" s="1031"/>
      <c r="XEB868" s="1032"/>
      <c r="XEC868" s="1032"/>
      <c r="XED868" s="1065"/>
      <c r="XEE868" s="1104"/>
      <c r="XEF868" s="1066"/>
      <c r="XEG868" s="1066"/>
      <c r="XEH868" s="1067"/>
      <c r="XEI868" s="1067"/>
      <c r="XEJ868" s="1064"/>
      <c r="XEK868" s="1027"/>
      <c r="XEL868" s="1028"/>
      <c r="XEM868" s="1029"/>
      <c r="XEN868" s="1102"/>
      <c r="XEO868" s="1103"/>
      <c r="XEP868" s="1031"/>
      <c r="XEQ868" s="1031"/>
      <c r="XER868" s="1032"/>
      <c r="XES868" s="1032"/>
      <c r="XET868" s="1065"/>
      <c r="XEU868" s="1104"/>
      <c r="XEV868" s="1066"/>
      <c r="XEW868" s="1066"/>
      <c r="XEX868" s="1067"/>
      <c r="XEY868" s="1067"/>
      <c r="XEZ868" s="1067"/>
      <c r="XFA868" s="1034"/>
      <c r="XFB868" s="1034"/>
      <c r="XFC868" s="1034"/>
      <c r="XFD868" s="1035"/>
    </row>
    <row r="869" s="557" customFormat="1" ht="40" customHeight="1" spans="1:84 16320:16384">
      <c r="A869" s="992">
        <v>46205</v>
      </c>
      <c r="B869" s="993" t="s">
        <v>3590</v>
      </c>
      <c r="C869" s="994" t="s">
        <v>556</v>
      </c>
      <c r="D869" s="995" t="s">
        <v>3591</v>
      </c>
      <c r="E869" s="996" t="s">
        <v>3015</v>
      </c>
      <c r="F869" s="995" t="s">
        <v>3592</v>
      </c>
      <c r="G869" s="997" t="s">
        <v>111</v>
      </c>
      <c r="H869" s="997" t="s">
        <v>99</v>
      </c>
      <c r="I869" s="998">
        <v>484</v>
      </c>
      <c r="J869" s="998">
        <v>0</v>
      </c>
      <c r="K869" s="999">
        <v>22</v>
      </c>
      <c r="L869" s="998">
        <f t="shared" si="480"/>
        <v>22</v>
      </c>
      <c r="M869" s="1000">
        <v>46258</v>
      </c>
      <c r="N869" s="1000">
        <v>46254</v>
      </c>
      <c r="O869" s="1000"/>
      <c r="P869" s="1001"/>
      <c r="Q869" s="1002"/>
      <c r="R869" s="1003" t="s">
        <v>1839</v>
      </c>
      <c r="S869" s="1000"/>
      <c r="T869" s="1000"/>
      <c r="U869" s="1084" t="s">
        <v>113</v>
      </c>
      <c r="V869" s="1084"/>
      <c r="W869" s="1005"/>
      <c r="X869" s="1006" t="s">
        <v>1935</v>
      </c>
      <c r="Y869" s="1007" t="s">
        <v>3593</v>
      </c>
      <c r="Z869" s="1008">
        <v>2.7592</v>
      </c>
      <c r="AA869" s="1009">
        <f t="shared" si="481"/>
        <v>1335.4528</v>
      </c>
      <c r="AB869" s="1010">
        <v>484</v>
      </c>
      <c r="AC869" s="1011">
        <f t="shared" si="482"/>
        <v>0</v>
      </c>
      <c r="AD869" s="1084" t="s">
        <v>113</v>
      </c>
      <c r="AE869" s="1040" t="s">
        <v>111</v>
      </c>
      <c r="AF869" s="1013" t="s">
        <v>107</v>
      </c>
      <c r="AG869" s="1059" t="s">
        <v>43</v>
      </c>
      <c r="AH869" s="1007"/>
      <c r="AI869" s="1015"/>
      <c r="AJ869" s="1016"/>
      <c r="AK869" s="1017"/>
      <c r="AL869" s="1018"/>
      <c r="AM869" s="1010">
        <f>I869</f>
        <v>484</v>
      </c>
      <c r="AN869" s="1016"/>
      <c r="AO869" s="1017"/>
      <c r="AP869" s="1019"/>
      <c r="AQ869" s="1020"/>
      <c r="AR869" s="1021"/>
      <c r="AS869" s="1021"/>
      <c r="AT869" s="1021"/>
      <c r="AU869" s="655">
        <f t="shared" si="463"/>
        <v>484</v>
      </c>
      <c r="AV869" s="1022"/>
      <c r="AW869" s="1021"/>
      <c r="AX869" s="1021"/>
      <c r="AY869" s="564"/>
      <c r="AZ869" s="1021"/>
      <c r="BA869" s="1021"/>
      <c r="BB869" s="1007">
        <f>I869/11</f>
        <v>44</v>
      </c>
      <c r="BC869" s="1021"/>
      <c r="BD869" s="1021"/>
      <c r="BE869" s="1022"/>
      <c r="BF869" s="1021"/>
      <c r="BG869" s="1021"/>
      <c r="BH869" s="1022"/>
      <c r="BI869" s="1021"/>
      <c r="BJ869" s="1021"/>
      <c r="BK869" s="1021"/>
      <c r="BL869" s="1022"/>
      <c r="BM869" s="1022"/>
      <c r="BN869" s="1022"/>
      <c r="BO869" s="1022"/>
      <c r="BP869" s="1024"/>
      <c r="BQ869" s="1022"/>
      <c r="BR869" s="1021"/>
      <c r="BS869" s="1022"/>
      <c r="BT869" s="1022"/>
      <c r="BU869" s="1022"/>
      <c r="BV869" s="1022"/>
      <c r="BW869" s="1061" t="s">
        <v>109</v>
      </c>
      <c r="BX869" s="1025">
        <f t="shared" si="483"/>
        <v>110</v>
      </c>
      <c r="BY869" s="1025">
        <f t="shared" si="484"/>
        <v>132</v>
      </c>
      <c r="BZ869" s="1025">
        <f t="shared" si="485"/>
        <v>132</v>
      </c>
      <c r="CA869" s="1025">
        <f t="shared" si="486"/>
        <v>110</v>
      </c>
      <c r="CB869" s="1025">
        <f t="shared" si="487"/>
        <v>484</v>
      </c>
      <c r="CC869" s="1025">
        <f t="shared" si="488"/>
        <v>44</v>
      </c>
      <c r="CD869" s="1025">
        <f>SUM(BX869:CA869)</f>
        <v>484</v>
      </c>
      <c r="CE869" s="996">
        <f t="shared" si="475"/>
        <v>0</v>
      </c>
      <c r="CF869" s="584"/>
      <c r="XDN869" s="1026"/>
      <c r="XDO869" s="1027"/>
      <c r="XDP869" s="1028"/>
      <c r="XDQ869" s="1029"/>
      <c r="XDR869" s="1030"/>
      <c r="XDS869" s="1029"/>
      <c r="XDT869" s="1031"/>
      <c r="XDU869" s="1031"/>
      <c r="XDV869" s="1032"/>
      <c r="XDW869" s="1032"/>
      <c r="XDX869" s="1032"/>
      <c r="XDY869" s="1032"/>
      <c r="XDZ869" s="1033"/>
      <c r="XEA869" s="1033"/>
      <c r="XEB869" s="1033"/>
      <c r="XEC869" s="1034"/>
      <c r="XED869" s="1034"/>
      <c r="XEE869" s="1034"/>
      <c r="XEF869" s="1033"/>
      <c r="XEG869" s="1034"/>
      <c r="XEH869" s="1034"/>
      <c r="XEI869" s="1035"/>
      <c r="XEJ869" s="1026"/>
      <c r="XEK869" s="1027"/>
      <c r="XEL869" s="1028"/>
      <c r="XEM869" s="1029"/>
      <c r="XEN869" s="1030"/>
      <c r="XEO869" s="1029"/>
      <c r="XEP869" s="1031"/>
      <c r="XEQ869" s="1031"/>
      <c r="XER869" s="1032"/>
      <c r="XES869" s="1032"/>
      <c r="XET869" s="1032"/>
      <c r="XEU869" s="1032"/>
      <c r="XEV869" s="1033"/>
      <c r="XEW869" s="1033"/>
      <c r="XEX869" s="1033"/>
      <c r="XEY869" s="1034"/>
      <c r="XEZ869" s="1034"/>
      <c r="XFA869" s="1034"/>
      <c r="XFB869" s="1033"/>
      <c r="XFC869" s="1034"/>
      <c r="XFD869" s="1034"/>
    </row>
    <row r="870" s="561" customFormat="1" ht="40" customHeight="1" spans="1:84 16320:16384">
      <c r="A870" s="992">
        <v>46213</v>
      </c>
      <c r="B870" s="993" t="s">
        <v>3594</v>
      </c>
      <c r="C870" s="994" t="s">
        <v>380</v>
      </c>
      <c r="D870" s="995">
        <v>4500215818</v>
      </c>
      <c r="E870" s="996" t="s">
        <v>3595</v>
      </c>
      <c r="F870" s="995" t="s">
        <v>3596</v>
      </c>
      <c r="G870" s="997" t="s">
        <v>1968</v>
      </c>
      <c r="H870" s="997" t="s">
        <v>1969</v>
      </c>
      <c r="I870" s="998">
        <v>528</v>
      </c>
      <c r="J870" s="998">
        <v>0</v>
      </c>
      <c r="K870" s="999">
        <v>24</v>
      </c>
      <c r="L870" s="998">
        <f t="shared" si="480"/>
        <v>22</v>
      </c>
      <c r="M870" s="1000">
        <v>46261</v>
      </c>
      <c r="N870" s="1000">
        <v>46258</v>
      </c>
      <c r="O870" s="310" t="s">
        <v>3597</v>
      </c>
      <c r="P870" s="1001"/>
      <c r="Q870" s="1002" t="s">
        <v>3598</v>
      </c>
      <c r="R870" s="1004" t="s">
        <v>3599</v>
      </c>
      <c r="S870" s="1000"/>
      <c r="T870" s="1037" t="s">
        <v>2998</v>
      </c>
      <c r="U870" s="1003" t="s">
        <v>3600</v>
      </c>
      <c r="V870" s="1001"/>
      <c r="W870" s="1062" t="s">
        <v>3479</v>
      </c>
      <c r="X870" s="1006" t="s">
        <v>3601</v>
      </c>
      <c r="Y870" s="1007" t="s">
        <v>3602</v>
      </c>
      <c r="Z870" s="1008">
        <v>2.6134</v>
      </c>
      <c r="AA870" s="1009">
        <f t="shared" si="481"/>
        <v>1379.8752</v>
      </c>
      <c r="AB870" s="1010"/>
      <c r="AC870" s="1011">
        <f t="shared" si="482"/>
        <v>-528</v>
      </c>
      <c r="AD870" s="1012" t="s">
        <v>106</v>
      </c>
      <c r="AE870" s="722" t="s">
        <v>1968</v>
      </c>
      <c r="AF870" s="1013" t="s">
        <v>107</v>
      </c>
      <c r="AG870" s="1059" t="s">
        <v>43</v>
      </c>
      <c r="AH870" s="1007"/>
      <c r="AI870" s="674"/>
      <c r="AJ870" s="1060"/>
      <c r="AK870" s="1020"/>
      <c r="AL870" s="655"/>
      <c r="AM870" s="1022"/>
      <c r="AN870" s="1022"/>
      <c r="AO870" s="1023"/>
      <c r="AP870" s="1060">
        <f>I870</f>
        <v>528</v>
      </c>
      <c r="AQ870" s="1022"/>
      <c r="AR870" s="1022"/>
      <c r="AS870" s="1022"/>
      <c r="AT870" s="1022"/>
      <c r="AU870" s="655">
        <f t="shared" si="463"/>
        <v>528</v>
      </c>
      <c r="AV870" s="1022"/>
      <c r="AW870" s="1022"/>
      <c r="AX870" s="1022"/>
      <c r="AY870" s="1022"/>
      <c r="AZ870" s="1022"/>
      <c r="BA870" s="1061"/>
      <c r="BB870" s="1025"/>
      <c r="BC870" s="1025"/>
      <c r="BD870" s="1025"/>
      <c r="BE870" s="1025"/>
      <c r="BF870" s="1025"/>
      <c r="BG870" s="1025"/>
      <c r="BH870" s="1025"/>
      <c r="BI870" s="1025"/>
      <c r="BJ870" s="1057"/>
      <c r="BK870" s="564"/>
      <c r="BL870" s="563"/>
      <c r="BM870" s="563"/>
      <c r="BN870" s="563"/>
      <c r="BO870" s="563"/>
      <c r="BP870" s="564"/>
      <c r="BQ870" s="563"/>
      <c r="BR870" s="564"/>
      <c r="BS870" s="563"/>
      <c r="BT870" s="563"/>
      <c r="BU870" s="563"/>
      <c r="BV870" s="563"/>
      <c r="BW870" s="1061" t="s">
        <v>109</v>
      </c>
      <c r="BX870" s="1025"/>
      <c r="BY870" s="1025">
        <f>I870</f>
        <v>528</v>
      </c>
      <c r="BZ870" s="1025"/>
      <c r="CA870" s="1025"/>
      <c r="CB870" s="1025"/>
      <c r="CC870" s="1025"/>
      <c r="CD870" s="1025">
        <f>SUM(BX870:CA870)</f>
        <v>528</v>
      </c>
      <c r="CE870" s="996">
        <f t="shared" si="475"/>
        <v>0</v>
      </c>
      <c r="XCR870" s="1026"/>
      <c r="XCS870" s="1027"/>
      <c r="XCT870" s="1028"/>
      <c r="XCU870" s="1029"/>
      <c r="XCV870" s="1030"/>
      <c r="XCW870" s="1029"/>
      <c r="XCX870" s="1031"/>
      <c r="XCY870" s="1031"/>
      <c r="XCZ870" s="1032"/>
      <c r="XDA870" s="1032"/>
      <c r="XDB870" s="1032"/>
      <c r="XDC870" s="1032"/>
      <c r="XDD870" s="1033"/>
      <c r="XDE870" s="1033"/>
      <c r="XDF870" s="1033"/>
      <c r="XDG870" s="1034"/>
      <c r="XDH870" s="1034"/>
      <c r="XDI870" s="1034"/>
      <c r="XDJ870" s="1033"/>
      <c r="XDK870" s="1034"/>
      <c r="XDL870" s="1034"/>
      <c r="XDM870" s="1035"/>
      <c r="XDN870" s="1026"/>
      <c r="XDO870" s="1027"/>
      <c r="XDP870" s="1028"/>
      <c r="XDQ870" s="1029"/>
      <c r="XDR870" s="1030"/>
      <c r="XDS870" s="1029"/>
      <c r="XDT870" s="1031"/>
      <c r="XDU870" s="1031"/>
      <c r="XDV870" s="1032"/>
      <c r="XDW870" s="1032"/>
      <c r="XDX870" s="1032"/>
      <c r="XDY870" s="1032"/>
      <c r="XDZ870" s="1033"/>
      <c r="XEA870" s="1033"/>
      <c r="XEB870" s="1033"/>
      <c r="XEC870" s="1034"/>
      <c r="XED870" s="1034"/>
      <c r="XEE870" s="1034"/>
      <c r="XEF870" s="1033"/>
      <c r="XEG870" s="1034"/>
      <c r="XEH870" s="1034"/>
      <c r="XEI870" s="1035"/>
      <c r="XEJ870" s="1064"/>
      <c r="XEK870" s="1027"/>
      <c r="XEL870" s="1028"/>
      <c r="XEM870" s="1029"/>
      <c r="XEN870" s="1030"/>
      <c r="XEO870" s="1029"/>
      <c r="XEP870" s="1031"/>
      <c r="XEQ870" s="1031"/>
      <c r="XER870" s="1032"/>
      <c r="XES870" s="1032"/>
      <c r="XET870" s="1065"/>
      <c r="XEU870" s="1032"/>
      <c r="XEV870" s="1066"/>
      <c r="XEW870" s="1066"/>
      <c r="XEX870" s="1105"/>
      <c r="XEY870" s="1067"/>
      <c r="XEZ870" s="1068"/>
      <c r="XFA870" s="1106"/>
      <c r="XFB870" s="1066"/>
      <c r="XFC870" s="1106"/>
      <c r="XFD870" s="1067"/>
    </row>
    <row r="871" s="562" customFormat="1" ht="40" customHeight="1" spans="1:84 16320:16384">
      <c r="A871" s="992">
        <v>46213</v>
      </c>
      <c r="B871" s="993" t="s">
        <v>3594</v>
      </c>
      <c r="C871" s="994" t="s">
        <v>380</v>
      </c>
      <c r="D871" s="995">
        <v>4500215818</v>
      </c>
      <c r="E871" s="996" t="s">
        <v>3595</v>
      </c>
      <c r="F871" s="995" t="s">
        <v>3603</v>
      </c>
      <c r="G871" s="997" t="s">
        <v>1992</v>
      </c>
      <c r="H871" s="997" t="s">
        <v>1993</v>
      </c>
      <c r="I871" s="998">
        <v>480</v>
      </c>
      <c r="J871" s="998">
        <v>0</v>
      </c>
      <c r="K871" s="999">
        <v>24</v>
      </c>
      <c r="L871" s="998">
        <f t="shared" si="480"/>
        <v>20</v>
      </c>
      <c r="M871" s="1000">
        <v>46261</v>
      </c>
      <c r="N871" s="1000">
        <v>46258</v>
      </c>
      <c r="O871" s="310" t="s">
        <v>3604</v>
      </c>
      <c r="P871" s="1001"/>
      <c r="Q871" s="1002" t="s">
        <v>3598</v>
      </c>
      <c r="R871" s="1004" t="s">
        <v>3599</v>
      </c>
      <c r="S871" s="1107"/>
      <c r="T871" s="1108" t="s">
        <v>2998</v>
      </c>
      <c r="U871" s="1003" t="s">
        <v>3600</v>
      </c>
      <c r="V871" s="1097"/>
      <c r="W871" s="1062" t="s">
        <v>3479</v>
      </c>
      <c r="X871" s="1006" t="s">
        <v>3601</v>
      </c>
      <c r="Y871" s="1007" t="s">
        <v>3602</v>
      </c>
      <c r="Z871" s="1008">
        <v>2.6493</v>
      </c>
      <c r="AA871" s="1009">
        <f t="shared" si="481"/>
        <v>1271.664</v>
      </c>
      <c r="AB871" s="1010"/>
      <c r="AC871" s="1011">
        <f t="shared" si="482"/>
        <v>-480</v>
      </c>
      <c r="AD871" s="1012" t="s">
        <v>106</v>
      </c>
      <c r="AE871" s="997" t="s">
        <v>1992</v>
      </c>
      <c r="AF871" s="1014" t="s">
        <v>107</v>
      </c>
      <c r="AG871" s="1059" t="s">
        <v>43</v>
      </c>
      <c r="AH871" s="1007"/>
      <c r="AI871" s="965"/>
      <c r="AJ871" s="1060"/>
      <c r="AK871" s="1023"/>
      <c r="AL871" s="655"/>
      <c r="AM871" s="674"/>
      <c r="AN871" s="674"/>
      <c r="AO871" s="1023"/>
      <c r="AP871" s="1060">
        <f>I871</f>
        <v>480</v>
      </c>
      <c r="AQ871" s="996"/>
      <c r="AR871" s="1025"/>
      <c r="AS871" s="1025"/>
      <c r="AT871" s="1025"/>
      <c r="AU871" s="655">
        <f t="shared" si="463"/>
        <v>480</v>
      </c>
      <c r="AV871" s="1025"/>
      <c r="AW871" s="1025"/>
      <c r="AX871" s="1025"/>
      <c r="AY871" s="1025"/>
      <c r="AZ871" s="1025"/>
      <c r="BA871" s="1062"/>
      <c r="BB871" s="1025"/>
      <c r="BC871" s="1025"/>
      <c r="BD871" s="1025"/>
      <c r="BE871" s="1025"/>
      <c r="BF871" s="1025"/>
      <c r="BG871" s="1025"/>
      <c r="BH871" s="1025"/>
      <c r="BI871" s="1025"/>
      <c r="BJ871" s="1025"/>
      <c r="BK871" s="1025"/>
      <c r="BL871" s="1025"/>
      <c r="BM871" s="1025"/>
      <c r="BN871" s="1025"/>
      <c r="BO871" s="1025"/>
      <c r="BP871" s="1025"/>
      <c r="BQ871" s="1025"/>
      <c r="BR871" s="1025"/>
      <c r="BS871" s="1025"/>
      <c r="BT871" s="1025"/>
      <c r="BU871" s="1025"/>
      <c r="BV871" s="1025"/>
      <c r="BW871" s="1061" t="s">
        <v>109</v>
      </c>
      <c r="BX871" s="1025"/>
      <c r="BY871" s="1025"/>
      <c r="BZ871" s="1025"/>
      <c r="CA871" s="1025">
        <v>480</v>
      </c>
      <c r="CB871" s="1025"/>
      <c r="CC871" s="1025"/>
      <c r="CD871" s="1025">
        <v>480</v>
      </c>
      <c r="CE871" s="996">
        <f t="shared" si="475"/>
        <v>0</v>
      </c>
      <c r="XCV871" s="1109"/>
      <c r="XCW871" s="1109"/>
      <c r="XCX871" s="1109"/>
      <c r="XCY871" s="1109"/>
      <c r="XCZ871" s="1109"/>
      <c r="XDA871" s="1109"/>
      <c r="XDB871" s="1109"/>
      <c r="XDC871" s="1109"/>
      <c r="XDD871" s="1109"/>
      <c r="XDE871" s="1109"/>
      <c r="XDF871" s="1109"/>
      <c r="XDG871" s="1109"/>
      <c r="XDH871" s="1109"/>
      <c r="XDI871" s="1109"/>
      <c r="XDJ871" s="1109"/>
      <c r="XDK871" s="1109"/>
      <c r="XDL871" s="1109"/>
      <c r="XDM871" s="1109"/>
      <c r="XDN871" s="1064"/>
      <c r="XDO871" s="1027"/>
      <c r="XDP871" s="1028"/>
      <c r="XDQ871" s="1029"/>
      <c r="XDR871" s="1030"/>
      <c r="XDS871" s="1029"/>
      <c r="XDT871" s="1031"/>
      <c r="XDU871" s="1031"/>
      <c r="XDV871" s="1032"/>
      <c r="XDW871" s="1032"/>
      <c r="XDX871" s="1065"/>
      <c r="XDY871" s="1032"/>
      <c r="XDZ871" s="1066"/>
      <c r="XEA871" s="1066"/>
      <c r="XEB871" s="1105"/>
      <c r="XEC871" s="1067"/>
      <c r="XED871" s="1067"/>
      <c r="XEE871" s="1106"/>
      <c r="XEF871" s="1033"/>
      <c r="XEG871" s="1106"/>
      <c r="XEH871" s="1034"/>
      <c r="XEI871" s="1076"/>
      <c r="XEJ871" s="1064"/>
      <c r="XEK871" s="1027"/>
      <c r="XEL871" s="1028"/>
      <c r="XEM871" s="1029"/>
      <c r="XEN871" s="1030"/>
      <c r="XEO871" s="1029"/>
      <c r="XEP871" s="1031"/>
      <c r="XEQ871" s="1031"/>
      <c r="XER871" s="1032"/>
      <c r="XES871" s="1032"/>
      <c r="XET871" s="1065"/>
      <c r="XEU871" s="1032"/>
      <c r="XEV871" s="1066"/>
      <c r="XEW871" s="1066"/>
      <c r="XEX871" s="1105"/>
      <c r="XEY871" s="1067"/>
      <c r="XEZ871" s="1068"/>
      <c r="XFA871" s="1106"/>
      <c r="XFB871" s="1033"/>
      <c r="XFC871" s="1069"/>
      <c r="XFD871" s="1034"/>
    </row>
    <row r="872" s="557" customFormat="1" ht="40" customHeight="1" spans="1:84 16320:16384">
      <c r="A872" s="992">
        <v>46223</v>
      </c>
      <c r="B872" s="993" t="s">
        <v>1111</v>
      </c>
      <c r="C872" s="994" t="s">
        <v>556</v>
      </c>
      <c r="D872" s="995">
        <v>4500217070</v>
      </c>
      <c r="E872" s="996"/>
      <c r="F872" s="995" t="s">
        <v>3605</v>
      </c>
      <c r="G872" s="997" t="s">
        <v>111</v>
      </c>
      <c r="H872" s="997" t="s">
        <v>99</v>
      </c>
      <c r="I872" s="998">
        <v>616</v>
      </c>
      <c r="J872" s="998">
        <v>0</v>
      </c>
      <c r="K872" s="999">
        <v>22</v>
      </c>
      <c r="L872" s="998">
        <f t="shared" si="480"/>
        <v>28</v>
      </c>
      <c r="M872" s="1000">
        <v>46262</v>
      </c>
      <c r="N872" s="1000">
        <v>46258</v>
      </c>
      <c r="O872" s="1037"/>
      <c r="P872" s="1001"/>
      <c r="Q872" s="1002" t="s">
        <v>1990</v>
      </c>
      <c r="R872" s="1003" t="s">
        <v>2027</v>
      </c>
      <c r="S872" s="1000"/>
      <c r="T872" s="1000"/>
      <c r="U872" s="1004" t="s">
        <v>113</v>
      </c>
      <c r="V872" s="1084"/>
      <c r="W872" s="1005"/>
      <c r="X872" s="1038" t="s">
        <v>3606</v>
      </c>
      <c r="Y872" s="1007" t="s">
        <v>3607</v>
      </c>
      <c r="Z872" s="1008">
        <v>2.8676</v>
      </c>
      <c r="AA872" s="1009">
        <f t="shared" si="481"/>
        <v>1766.4416</v>
      </c>
      <c r="AB872" s="1010"/>
      <c r="AC872" s="1011">
        <f t="shared" ref="AC872:AC881" si="489">AB872-I872</f>
        <v>-616</v>
      </c>
      <c r="AD872" s="1004" t="s">
        <v>113</v>
      </c>
      <c r="AE872" s="661" t="s">
        <v>111</v>
      </c>
      <c r="AF872" s="1013" t="s">
        <v>107</v>
      </c>
      <c r="AG872" s="1059" t="s">
        <v>43</v>
      </c>
      <c r="AH872" s="1007"/>
      <c r="AI872" s="1010"/>
      <c r="AJ872" s="1019"/>
      <c r="AK872" s="1020"/>
      <c r="AL872" s="655"/>
      <c r="AM872" s="1010">
        <f>I872</f>
        <v>616</v>
      </c>
      <c r="AN872" s="564"/>
      <c r="AO872" s="1007"/>
      <c r="AP872" s="1022"/>
      <c r="AQ872" s="1022"/>
      <c r="AR872" s="1022"/>
      <c r="AS872" s="1022"/>
      <c r="AT872" s="1022"/>
      <c r="AU872" s="965">
        <f t="shared" si="463"/>
        <v>616</v>
      </c>
      <c r="AV872" s="1022"/>
      <c r="AW872" s="1022"/>
      <c r="AX872" s="1022"/>
      <c r="AY872" s="965"/>
      <c r="AZ872" s="1022"/>
      <c r="BA872" s="1061"/>
      <c r="BB872" s="1101">
        <f>I872/11</f>
        <v>56</v>
      </c>
      <c r="BC872" s="1025"/>
      <c r="BD872" s="1025"/>
      <c r="BE872" s="1025"/>
      <c r="BF872" s="1025"/>
      <c r="BG872" s="1025"/>
      <c r="BH872" s="1025"/>
      <c r="BI872" s="1025"/>
      <c r="BJ872" s="1057"/>
      <c r="BK872" s="564"/>
      <c r="BL872" s="564"/>
      <c r="BM872" s="564"/>
      <c r="BN872" s="564"/>
      <c r="BO872" s="564"/>
      <c r="BP872" s="564"/>
      <c r="BQ872" s="564"/>
      <c r="BR872" s="564"/>
      <c r="BS872" s="564"/>
      <c r="BT872" s="564"/>
      <c r="BU872" s="564"/>
      <c r="BV872" s="564"/>
      <c r="BW872" s="1061" t="s">
        <v>109</v>
      </c>
      <c r="BX872" s="1057">
        <f t="shared" si="483"/>
        <v>140</v>
      </c>
      <c r="BY872" s="1057">
        <f t="shared" si="484"/>
        <v>168</v>
      </c>
      <c r="BZ872" s="1057">
        <f t="shared" si="485"/>
        <v>168</v>
      </c>
      <c r="CA872" s="1057">
        <f t="shared" si="486"/>
        <v>140</v>
      </c>
      <c r="CB872" s="1057">
        <f t="shared" si="487"/>
        <v>616</v>
      </c>
      <c r="CC872" s="1057">
        <f t="shared" si="488"/>
        <v>56</v>
      </c>
      <c r="CD872" s="1057">
        <f t="shared" ref="CD872:CD882" si="490">SUM(BX872:CA872)</f>
        <v>616</v>
      </c>
      <c r="CE872" s="996">
        <f t="shared" si="475"/>
        <v>0</v>
      </c>
      <c r="XCR872" s="1026"/>
      <c r="XCS872" s="1027"/>
      <c r="XCT872" s="1028"/>
      <c r="XCU872" s="1029"/>
      <c r="XCV872" s="1030"/>
      <c r="XCW872" s="1029"/>
      <c r="XCX872" s="1031"/>
      <c r="XCY872" s="1031"/>
      <c r="XCZ872" s="1032"/>
      <c r="XDA872" s="1032"/>
      <c r="XDB872" s="1032"/>
      <c r="XDC872" s="1032"/>
      <c r="XDD872" s="1033"/>
      <c r="XDE872" s="1033"/>
      <c r="XDF872" s="1033"/>
      <c r="XDG872" s="1034"/>
      <c r="XDH872" s="1034"/>
      <c r="XDI872" s="1034"/>
      <c r="XDJ872" s="1033"/>
      <c r="XDK872" s="1034"/>
      <c r="XDL872" s="1034"/>
      <c r="XDM872" s="1035"/>
      <c r="XDN872" s="1026"/>
      <c r="XDO872" s="1027"/>
      <c r="XDP872" s="1028"/>
      <c r="XDQ872" s="1029"/>
      <c r="XDR872" s="1030"/>
      <c r="XDS872" s="1029"/>
      <c r="XDT872" s="1031"/>
      <c r="XDU872" s="1031"/>
      <c r="XDV872" s="1032"/>
      <c r="XDW872" s="1032"/>
      <c r="XDX872" s="1032"/>
      <c r="XDY872" s="1032"/>
      <c r="XDZ872" s="1033"/>
      <c r="XEA872" s="1033"/>
      <c r="XEB872" s="1033"/>
      <c r="XEC872" s="1034"/>
      <c r="XED872" s="1034"/>
      <c r="XEE872" s="1034"/>
      <c r="XEF872" s="1033"/>
      <c r="XEG872" s="1034"/>
      <c r="XEH872" s="1034"/>
      <c r="XEI872" s="1064"/>
      <c r="XEJ872" s="1027"/>
      <c r="XEK872" s="1028"/>
      <c r="XEL872" s="1029"/>
      <c r="XEM872" s="1030"/>
      <c r="XEN872" s="1029"/>
      <c r="XEO872" s="1031"/>
      <c r="XEP872" s="1031"/>
      <c r="XEQ872" s="1032"/>
      <c r="XER872" s="1032"/>
      <c r="XES872" s="1065"/>
      <c r="XET872" s="1032"/>
      <c r="XEU872" s="1066"/>
      <c r="XEV872" s="1066"/>
      <c r="XEW872" s="1066"/>
      <c r="XEX872" s="1067"/>
      <c r="XEY872" s="1068"/>
      <c r="XEZ872" s="1106"/>
      <c r="XFA872" s="1066"/>
      <c r="XFB872" s="1066"/>
      <c r="XFC872" s="1110"/>
      <c r="XFD872" s="1110"/>
    </row>
    <row r="873" s="557" customFormat="1" ht="40" customHeight="1" spans="1:84 16320:16384">
      <c r="A873" s="992">
        <v>46218</v>
      </c>
      <c r="B873" s="993" t="s">
        <v>1795</v>
      </c>
      <c r="C873" s="994" t="s">
        <v>1796</v>
      </c>
      <c r="D873" s="995">
        <v>4500216583</v>
      </c>
      <c r="E873" s="996" t="s">
        <v>3608</v>
      </c>
      <c r="F873" s="995" t="s">
        <v>3609</v>
      </c>
      <c r="G873" s="997" t="s">
        <v>111</v>
      </c>
      <c r="H873" s="997" t="s">
        <v>99</v>
      </c>
      <c r="I873" s="998">
        <v>2420</v>
      </c>
      <c r="J873" s="998">
        <v>0</v>
      </c>
      <c r="K873" s="999">
        <v>22</v>
      </c>
      <c r="L873" s="998">
        <f t="shared" si="480"/>
        <v>110</v>
      </c>
      <c r="M873" s="1000">
        <v>46262</v>
      </c>
      <c r="N873" s="1000">
        <v>46258</v>
      </c>
      <c r="O873" s="1000"/>
      <c r="P873" s="1001"/>
      <c r="Q873" s="1002"/>
      <c r="R873" s="1003" t="s">
        <v>2027</v>
      </c>
      <c r="S873" s="1000"/>
      <c r="T873" s="1000"/>
      <c r="U873" s="1004" t="s">
        <v>3610</v>
      </c>
      <c r="V873" s="1084"/>
      <c r="W873" s="1005"/>
      <c r="X873" s="1006" t="s">
        <v>3611</v>
      </c>
      <c r="Y873" s="1007" t="s">
        <v>1472</v>
      </c>
      <c r="Z873" s="1008">
        <v>2.8068</v>
      </c>
      <c r="AA873" s="1009">
        <f t="shared" si="481"/>
        <v>6792.456</v>
      </c>
      <c r="AB873" s="1010"/>
      <c r="AC873" s="1011">
        <f t="shared" si="489"/>
        <v>-2420</v>
      </c>
      <c r="AD873" s="1039" t="s">
        <v>123</v>
      </c>
      <c r="AE873" s="1071" t="s">
        <v>230</v>
      </c>
      <c r="AF873" s="1013" t="s">
        <v>107</v>
      </c>
      <c r="AG873" s="1059" t="s">
        <v>43</v>
      </c>
      <c r="AH873" s="1007"/>
      <c r="AI873" s="1010"/>
      <c r="AJ873" s="1019"/>
      <c r="AK873" s="1020"/>
      <c r="AL873" s="655"/>
      <c r="AM873" s="1022"/>
      <c r="AN873" s="564"/>
      <c r="AO873" s="1007"/>
      <c r="AP873" s="1023">
        <f>I873</f>
        <v>2420</v>
      </c>
      <c r="AQ873" s="1022"/>
      <c r="AR873" s="1022"/>
      <c r="AS873" s="1022"/>
      <c r="AT873" s="1022"/>
      <c r="AU873" s="655">
        <f t="shared" si="463"/>
        <v>2420</v>
      </c>
      <c r="AV873" s="1022"/>
      <c r="AW873" s="1022"/>
      <c r="AX873" s="1022"/>
      <c r="AY873" s="1022"/>
      <c r="AZ873" s="1022"/>
      <c r="BA873" s="1061"/>
      <c r="BB873" s="1025">
        <f>I873/11</f>
        <v>220</v>
      </c>
      <c r="BC873" s="1025"/>
      <c r="BD873" s="1025"/>
      <c r="BE873" s="1025"/>
      <c r="BF873" s="1025"/>
      <c r="BG873" s="1025"/>
      <c r="BH873" s="1025"/>
      <c r="BI873" s="1025"/>
      <c r="BJ873" s="1057"/>
      <c r="BK873" s="564"/>
      <c r="BL873" s="564"/>
      <c r="BM873" s="564"/>
      <c r="BN873" s="564"/>
      <c r="BO873" s="564"/>
      <c r="BP873" s="564"/>
      <c r="BQ873" s="564"/>
      <c r="BR873" s="564"/>
      <c r="BS873" s="564"/>
      <c r="BT873" s="564"/>
      <c r="BU873" s="564"/>
      <c r="BV873" s="564"/>
      <c r="BW873" s="1061" t="s">
        <v>109</v>
      </c>
      <c r="BX873" s="1025">
        <f t="shared" si="483"/>
        <v>550</v>
      </c>
      <c r="BY873" s="1025">
        <f t="shared" si="484"/>
        <v>660</v>
      </c>
      <c r="BZ873" s="1025">
        <f t="shared" si="485"/>
        <v>660</v>
      </c>
      <c r="CA873" s="1025">
        <f t="shared" si="486"/>
        <v>550</v>
      </c>
      <c r="CB873" s="1025">
        <f t="shared" si="487"/>
        <v>2420</v>
      </c>
      <c r="CC873" s="1025">
        <f t="shared" si="488"/>
        <v>220</v>
      </c>
      <c r="CD873" s="1025">
        <f t="shared" si="490"/>
        <v>2420</v>
      </c>
      <c r="CE873" s="996">
        <f t="shared" si="475"/>
        <v>0</v>
      </c>
      <c r="XCR873" s="1026"/>
      <c r="XCS873" s="1027"/>
      <c r="XCT873" s="1028"/>
      <c r="XCU873" s="1029"/>
      <c r="XCV873" s="1030"/>
      <c r="XCW873" s="1029"/>
      <c r="XCX873" s="1031"/>
      <c r="XCY873" s="1031"/>
      <c r="XCZ873" s="1032"/>
      <c r="XDA873" s="1032"/>
      <c r="XDB873" s="1032"/>
      <c r="XDC873" s="1032"/>
      <c r="XDD873" s="1033"/>
      <c r="XDE873" s="1033"/>
      <c r="XDF873" s="1033"/>
      <c r="XDG873" s="1034"/>
      <c r="XDH873" s="1034"/>
      <c r="XDI873" s="1034"/>
      <c r="XDJ873" s="1033"/>
      <c r="XDK873" s="1034"/>
      <c r="XDL873" s="1034"/>
      <c r="XDM873" s="1035"/>
      <c r="XDN873" s="1026"/>
      <c r="XDO873" s="1027"/>
      <c r="XDP873" s="1028"/>
      <c r="XDQ873" s="1029"/>
      <c r="XDR873" s="1030"/>
      <c r="XDS873" s="1029"/>
      <c r="XDT873" s="1031"/>
      <c r="XDU873" s="1031"/>
      <c r="XDV873" s="1032"/>
      <c r="XDW873" s="1032"/>
      <c r="XDX873" s="1032"/>
      <c r="XDY873" s="1032"/>
      <c r="XDZ873" s="1033"/>
      <c r="XEA873" s="1033"/>
      <c r="XEB873" s="1033"/>
      <c r="XEC873" s="1034"/>
      <c r="XED873" s="1034"/>
      <c r="XEE873" s="1034"/>
      <c r="XEF873" s="1033"/>
      <c r="XEG873" s="1034"/>
      <c r="XEH873" s="1034"/>
      <c r="XEI873" s="1064"/>
      <c r="XEJ873" s="1027"/>
      <c r="XEK873" s="1028"/>
      <c r="XEL873" s="1029"/>
      <c r="XEM873" s="1030"/>
      <c r="XEN873" s="1029"/>
      <c r="XEO873" s="1031"/>
      <c r="XEP873" s="1031"/>
      <c r="XEQ873" s="1032"/>
      <c r="XER873" s="1032"/>
      <c r="XES873" s="1065"/>
      <c r="XET873" s="1032"/>
      <c r="XEU873" s="1066"/>
      <c r="XEV873" s="1066"/>
      <c r="XEW873" s="1066"/>
      <c r="XEX873" s="1067"/>
      <c r="XEY873" s="1068"/>
      <c r="XEZ873" s="1106"/>
      <c r="XFA873" s="1066"/>
      <c r="XFB873" s="1066"/>
      <c r="XFC873" s="1110"/>
      <c r="XFD873" s="1110"/>
    </row>
    <row r="874" s="557" customFormat="1" ht="40" customHeight="1" spans="1:84 16320:16384">
      <c r="A874" s="992">
        <v>46204</v>
      </c>
      <c r="B874" s="993" t="s">
        <v>3612</v>
      </c>
      <c r="C874" s="994" t="s">
        <v>2595</v>
      </c>
      <c r="D874" s="1111" t="s">
        <v>3613</v>
      </c>
      <c r="E874" s="996" t="s">
        <v>3015</v>
      </c>
      <c r="F874" s="995" t="s">
        <v>3614</v>
      </c>
      <c r="G874" s="997" t="s">
        <v>111</v>
      </c>
      <c r="H874" s="997" t="s">
        <v>99</v>
      </c>
      <c r="I874" s="998">
        <v>506</v>
      </c>
      <c r="J874" s="998">
        <v>0</v>
      </c>
      <c r="K874" s="999">
        <v>22</v>
      </c>
      <c r="L874" s="998">
        <f t="shared" si="480"/>
        <v>23</v>
      </c>
      <c r="M874" s="1000">
        <v>46266</v>
      </c>
      <c r="N874" s="1000">
        <v>46262</v>
      </c>
      <c r="O874" s="1000"/>
      <c r="P874" s="1001"/>
      <c r="Q874" s="1002"/>
      <c r="R874" s="1003" t="s">
        <v>3615</v>
      </c>
      <c r="S874" s="1000"/>
      <c r="T874" s="1003" t="s">
        <v>3081</v>
      </c>
      <c r="U874" s="1003" t="s">
        <v>3616</v>
      </c>
      <c r="V874" s="1001"/>
      <c r="W874" s="1005"/>
      <c r="X874" s="1038" t="s">
        <v>3617</v>
      </c>
      <c r="Y874" s="1007" t="s">
        <v>3203</v>
      </c>
      <c r="Z874" s="1008">
        <v>2.8225</v>
      </c>
      <c r="AA874" s="1009">
        <f t="shared" si="481"/>
        <v>1428.185</v>
      </c>
      <c r="AB874" s="1010"/>
      <c r="AC874" s="1011">
        <f t="shared" si="489"/>
        <v>-506</v>
      </c>
      <c r="AD874" s="1039" t="s">
        <v>106</v>
      </c>
      <c r="AE874" s="1071" t="s">
        <v>230</v>
      </c>
      <c r="AF874" s="1013" t="s">
        <v>107</v>
      </c>
      <c r="AG874" s="1059" t="s">
        <v>43</v>
      </c>
      <c r="AH874" s="1007"/>
      <c r="AI874" s="1015"/>
      <c r="AJ874" s="1016"/>
      <c r="AK874" s="1017"/>
      <c r="AL874" s="1018"/>
      <c r="AM874" s="674"/>
      <c r="AN874" s="1016"/>
      <c r="AO874" s="1017"/>
      <c r="AP874" s="1019">
        <f>I874</f>
        <v>506</v>
      </c>
      <c r="AQ874" s="1020"/>
      <c r="AR874" s="1021"/>
      <c r="AS874" s="1021"/>
      <c r="AT874" s="1021"/>
      <c r="AU874" s="1025">
        <f>I874*2</f>
        <v>1012</v>
      </c>
      <c r="AV874" s="1022"/>
      <c r="AW874" s="1021"/>
      <c r="AX874" s="1021"/>
      <c r="AY874" s="1022"/>
      <c r="AZ874" s="1021"/>
      <c r="BA874" s="1021"/>
      <c r="BB874" s="1007">
        <f>I874/11</f>
        <v>46</v>
      </c>
      <c r="BC874" s="1021"/>
      <c r="BD874" s="1021"/>
      <c r="BE874" s="1022"/>
      <c r="BF874" s="1021"/>
      <c r="BG874" s="1021"/>
      <c r="BH874" s="1022"/>
      <c r="BI874" s="1021"/>
      <c r="BJ874" s="1021"/>
      <c r="BK874" s="1021"/>
      <c r="BL874" s="1022"/>
      <c r="BM874" s="1022"/>
      <c r="BN874" s="1022"/>
      <c r="BO874" s="1022"/>
      <c r="BP874" s="1024"/>
      <c r="BQ874" s="1022"/>
      <c r="BR874" s="1021"/>
      <c r="BS874" s="1022"/>
      <c r="BT874" s="1022"/>
      <c r="BU874" s="1022"/>
      <c r="BV874" s="1022"/>
      <c r="BW874" s="1061" t="s">
        <v>109</v>
      </c>
      <c r="BX874" s="1025">
        <f t="shared" si="483"/>
        <v>115</v>
      </c>
      <c r="BY874" s="1025">
        <f t="shared" si="484"/>
        <v>138</v>
      </c>
      <c r="BZ874" s="1025">
        <f t="shared" si="485"/>
        <v>138</v>
      </c>
      <c r="CA874" s="1025">
        <f t="shared" si="486"/>
        <v>115</v>
      </c>
      <c r="CB874" s="1025">
        <f t="shared" si="487"/>
        <v>506</v>
      </c>
      <c r="CC874" s="1025">
        <f t="shared" si="488"/>
        <v>46</v>
      </c>
      <c r="CD874" s="1025">
        <f t="shared" si="490"/>
        <v>506</v>
      </c>
      <c r="CE874" s="996">
        <f t="shared" si="475"/>
        <v>0</v>
      </c>
      <c r="CF874" s="584"/>
      <c r="CG874" s="557"/>
      <c r="XDN874" s="1026"/>
      <c r="XDO874" s="1027"/>
      <c r="XDP874" s="1028"/>
      <c r="XDQ874" s="1029"/>
      <c r="XDR874" s="1030"/>
      <c r="XDS874" s="1029"/>
      <c r="XDT874" s="1031"/>
      <c r="XDU874" s="1031"/>
      <c r="XDV874" s="1032"/>
      <c r="XDW874" s="1032"/>
      <c r="XDX874" s="1032"/>
      <c r="XDY874" s="1032"/>
      <c r="XDZ874" s="1033"/>
      <c r="XEA874" s="1033"/>
      <c r="XEB874" s="1033"/>
      <c r="XEC874" s="1034"/>
      <c r="XED874" s="1034"/>
      <c r="XEE874" s="1034"/>
      <c r="XEF874" s="1033"/>
      <c r="XEG874" s="1034"/>
      <c r="XEH874" s="1034"/>
      <c r="XEI874" s="1035"/>
      <c r="XEJ874" s="1026"/>
      <c r="XEK874" s="1027"/>
      <c r="XEL874" s="1028"/>
      <c r="XEM874" s="1029"/>
      <c r="XEN874" s="1030"/>
      <c r="XEO874" s="1029"/>
      <c r="XEP874" s="1031"/>
      <c r="XEQ874" s="1031"/>
      <c r="XER874" s="1032"/>
      <c r="XES874" s="1032"/>
      <c r="XET874" s="1032"/>
      <c r="XEU874" s="1032"/>
      <c r="XEV874" s="1033"/>
      <c r="XEW874" s="1033"/>
      <c r="XEX874" s="1033"/>
      <c r="XEY874" s="1034"/>
      <c r="XEZ874" s="1034"/>
      <c r="XFA874" s="1034"/>
      <c r="XFB874" s="1033"/>
      <c r="XFC874" s="1034"/>
      <c r="XFD874" s="1034"/>
    </row>
    <row r="875" s="557" customFormat="1" ht="40" customHeight="1" spans="1:84 16320:16384">
      <c r="A875" s="992">
        <v>46227</v>
      </c>
      <c r="B875" s="993" t="s">
        <v>3618</v>
      </c>
      <c r="C875" s="994" t="s">
        <v>144</v>
      </c>
      <c r="D875" s="995" t="s">
        <v>3619</v>
      </c>
      <c r="E875" s="1040" t="s">
        <v>3620</v>
      </c>
      <c r="F875" s="1112" t="s">
        <v>3621</v>
      </c>
      <c r="G875" s="997" t="s">
        <v>111</v>
      </c>
      <c r="H875" s="997" t="s">
        <v>99</v>
      </c>
      <c r="I875" s="998">
        <v>770</v>
      </c>
      <c r="J875" s="998">
        <v>0</v>
      </c>
      <c r="K875" s="999">
        <v>22</v>
      </c>
      <c r="L875" s="1113">
        <f t="shared" si="480"/>
        <v>35</v>
      </c>
      <c r="M875" s="1000">
        <v>46266</v>
      </c>
      <c r="N875" s="1000">
        <v>46262</v>
      </c>
      <c r="O875" s="312" t="s">
        <v>3622</v>
      </c>
      <c r="P875" s="1001"/>
      <c r="Q875" s="1002"/>
      <c r="R875" s="1003" t="s">
        <v>3623</v>
      </c>
      <c r="S875" s="1097"/>
      <c r="T875" s="1003" t="s">
        <v>3380</v>
      </c>
      <c r="U875" s="1003" t="s">
        <v>3624</v>
      </c>
      <c r="V875" s="1098"/>
      <c r="W875" s="1114" t="s">
        <v>3625</v>
      </c>
      <c r="X875" s="1006" t="s">
        <v>3626</v>
      </c>
      <c r="Y875" s="999" t="s">
        <v>3627</v>
      </c>
      <c r="Z875" s="1115">
        <v>2.8676</v>
      </c>
      <c r="AA875" s="1010">
        <f t="shared" si="481"/>
        <v>2208.052</v>
      </c>
      <c r="AB875" s="1010"/>
      <c r="AC875" s="1011">
        <f t="shared" si="489"/>
        <v>-770</v>
      </c>
      <c r="AD875" s="1039" t="s">
        <v>123</v>
      </c>
      <c r="AE875" s="1071" t="s">
        <v>230</v>
      </c>
      <c r="AF875" s="1013" t="s">
        <v>107</v>
      </c>
      <c r="AG875" s="1059" t="s">
        <v>43</v>
      </c>
      <c r="AH875" s="1007"/>
      <c r="AI875" s="777"/>
      <c r="AJ875" s="1116"/>
      <c r="AK875" s="777"/>
      <c r="AL875" s="777"/>
      <c r="AM875" s="1023"/>
      <c r="AN875" s="778"/>
      <c r="AO875" s="697"/>
      <c r="AP875" s="965">
        <f>I875</f>
        <v>770</v>
      </c>
      <c r="AQ875" s="1025"/>
      <c r="AR875" s="1117"/>
      <c r="AS875" s="1118"/>
      <c r="AT875" s="1118"/>
      <c r="AU875" s="965">
        <f>I875</f>
        <v>770</v>
      </c>
      <c r="AV875" s="674"/>
      <c r="AW875" s="697"/>
      <c r="AX875" s="697"/>
      <c r="AY875" s="674"/>
      <c r="AZ875" s="697"/>
      <c r="BA875" s="931"/>
      <c r="BB875" s="1025">
        <f>I875/11</f>
        <v>70</v>
      </c>
      <c r="BC875" s="1117"/>
      <c r="BD875" s="1117"/>
      <c r="BE875" s="1025"/>
      <c r="BF875" s="1117"/>
      <c r="BG875" s="1117"/>
      <c r="BH875" s="1025"/>
      <c r="BI875" s="1117"/>
      <c r="BJ875" s="1116"/>
      <c r="BK875" s="1116"/>
      <c r="BL875" s="563"/>
      <c r="BM875" s="563"/>
      <c r="BN875" s="563"/>
      <c r="BO875" s="563"/>
      <c r="BP875" s="1116"/>
      <c r="BQ875" s="563"/>
      <c r="BR875" s="1116"/>
      <c r="BS875" s="563"/>
      <c r="BT875" s="563"/>
      <c r="BU875" s="563"/>
      <c r="BV875" s="563"/>
      <c r="BW875" s="1061" t="s">
        <v>109</v>
      </c>
      <c r="BX875" s="1025">
        <f t="shared" si="483"/>
        <v>175</v>
      </c>
      <c r="BY875" s="1025">
        <f t="shared" si="484"/>
        <v>210</v>
      </c>
      <c r="BZ875" s="1025">
        <f t="shared" si="485"/>
        <v>210</v>
      </c>
      <c r="CA875" s="1025">
        <f t="shared" si="486"/>
        <v>175</v>
      </c>
      <c r="CB875" s="1025">
        <f t="shared" si="487"/>
        <v>770</v>
      </c>
      <c r="CC875" s="1025">
        <f t="shared" si="488"/>
        <v>70</v>
      </c>
      <c r="CD875" s="1025">
        <f t="shared" si="490"/>
        <v>770</v>
      </c>
      <c r="CE875" s="996">
        <f t="shared" si="475"/>
        <v>0</v>
      </c>
      <c r="CF875" s="562"/>
      <c r="CG875" s="557"/>
      <c r="XDR875" s="1045"/>
      <c r="XDS875" s="1045"/>
      <c r="XDT875" s="1064"/>
      <c r="XDU875" s="1027"/>
      <c r="XDV875" s="1028"/>
      <c r="XDW875" s="1029"/>
      <c r="XDX875" s="1102"/>
      <c r="XDY875" s="1103"/>
      <c r="XDZ875" s="1031"/>
      <c r="XEA875" s="1031"/>
      <c r="XEB875" s="1032"/>
      <c r="XEC875" s="1032"/>
      <c r="XED875" s="1065"/>
      <c r="XEE875" s="1104"/>
      <c r="XEF875" s="1066"/>
      <c r="XEG875" s="1066"/>
      <c r="XEH875" s="1067"/>
      <c r="XEI875" s="1067"/>
      <c r="XEJ875" s="1064"/>
      <c r="XEK875" s="1027"/>
      <c r="XEL875" s="1028"/>
      <c r="XEM875" s="1029"/>
      <c r="XEN875" s="1102"/>
      <c r="XEO875" s="1103"/>
      <c r="XEP875" s="1031"/>
      <c r="XEQ875" s="1031"/>
      <c r="XER875" s="1032"/>
      <c r="XES875" s="1032"/>
      <c r="XET875" s="1065"/>
      <c r="XEU875" s="1104"/>
      <c r="XEV875" s="1066"/>
      <c r="XEW875" s="1066"/>
      <c r="XEX875" s="1067"/>
      <c r="XEY875" s="1067"/>
      <c r="XEZ875" s="1067"/>
      <c r="XFA875" s="1034"/>
      <c r="XFB875" s="1034"/>
      <c r="XFC875" s="1034"/>
      <c r="XFD875" s="1035"/>
    </row>
    <row r="876" s="557" customFormat="1" ht="40" customHeight="1" spans="1:84 16320:16384">
      <c r="A876" s="992">
        <v>46227</v>
      </c>
      <c r="B876" s="993" t="s">
        <v>1587</v>
      </c>
      <c r="C876" s="994" t="s">
        <v>178</v>
      </c>
      <c r="D876" s="995" t="s">
        <v>3628</v>
      </c>
      <c r="E876" s="1040" t="s">
        <v>3629</v>
      </c>
      <c r="F876" s="1112" t="s">
        <v>3630</v>
      </c>
      <c r="G876" s="997" t="s">
        <v>189</v>
      </c>
      <c r="H876" s="997" t="s">
        <v>99</v>
      </c>
      <c r="I876" s="998">
        <v>24</v>
      </c>
      <c r="J876" s="998">
        <v>0</v>
      </c>
      <c r="K876" s="999">
        <v>24</v>
      </c>
      <c r="L876" s="1113">
        <f t="shared" si="480"/>
        <v>1</v>
      </c>
      <c r="M876" s="1000">
        <v>46269</v>
      </c>
      <c r="N876" s="1000">
        <v>46265</v>
      </c>
      <c r="O876" s="1001"/>
      <c r="P876" s="1001"/>
      <c r="Q876" s="1002"/>
      <c r="R876" s="1003" t="s">
        <v>3631</v>
      </c>
      <c r="S876" s="1097"/>
      <c r="T876" s="1097"/>
      <c r="U876" s="1003" t="s">
        <v>3632</v>
      </c>
      <c r="V876" s="1061" t="s">
        <v>3633</v>
      </c>
      <c r="W876" s="1062"/>
      <c r="X876" s="1038" t="s">
        <v>3634</v>
      </c>
      <c r="Y876" s="999" t="s">
        <v>734</v>
      </c>
      <c r="Z876" s="1115">
        <v>2.6389</v>
      </c>
      <c r="AA876" s="1010">
        <f t="shared" si="481"/>
        <v>63.3336</v>
      </c>
      <c r="AB876" s="1010"/>
      <c r="AC876" s="1011">
        <f t="shared" si="489"/>
        <v>-24</v>
      </c>
      <c r="AD876" s="1012" t="s">
        <v>106</v>
      </c>
      <c r="AE876" s="742" t="s">
        <v>190</v>
      </c>
      <c r="AF876" s="1013" t="s">
        <v>107</v>
      </c>
      <c r="AG876" s="1059" t="s">
        <v>43</v>
      </c>
      <c r="AH876" s="1007"/>
      <c r="AI876" s="777"/>
      <c r="AJ876" s="1116"/>
      <c r="AK876" s="777"/>
      <c r="AL876" s="777"/>
      <c r="AM876" s="1023"/>
      <c r="AN876" s="778"/>
      <c r="AO876" s="697"/>
      <c r="AP876" s="965">
        <f>I876</f>
        <v>24</v>
      </c>
      <c r="AQ876" s="1025"/>
      <c r="AR876" s="1117"/>
      <c r="AS876" s="1118"/>
      <c r="AT876" s="1118"/>
      <c r="AU876" s="965">
        <f>I876</f>
        <v>24</v>
      </c>
      <c r="AV876" s="674"/>
      <c r="AW876" s="697"/>
      <c r="AX876" s="697"/>
      <c r="AY876" s="674"/>
      <c r="AZ876" s="697"/>
      <c r="BA876" s="931"/>
      <c r="BB876" s="1025"/>
      <c r="BC876" s="1117"/>
      <c r="BD876" s="1117"/>
      <c r="BE876" s="1025"/>
      <c r="BF876" s="1117"/>
      <c r="BG876" s="1117"/>
      <c r="BH876" s="1025"/>
      <c r="BI876" s="1117"/>
      <c r="BJ876" s="1116"/>
      <c r="BK876" s="1116"/>
      <c r="BL876" s="563"/>
      <c r="BM876" s="563"/>
      <c r="BN876" s="563"/>
      <c r="BO876" s="563"/>
      <c r="BP876" s="1116"/>
      <c r="BQ876" s="563"/>
      <c r="BR876" s="1116"/>
      <c r="BS876" s="563"/>
      <c r="BT876" s="563"/>
      <c r="BU876" s="563"/>
      <c r="BV876" s="563"/>
      <c r="BW876" s="1061" t="s">
        <v>109</v>
      </c>
      <c r="BX876" s="1025"/>
      <c r="BY876" s="1025"/>
      <c r="BZ876" s="1025"/>
      <c r="CA876" s="1025">
        <f>I876</f>
        <v>24</v>
      </c>
      <c r="CB876" s="1025">
        <f t="shared" si="487"/>
        <v>24</v>
      </c>
      <c r="CC876" s="1025"/>
      <c r="CD876" s="1025">
        <f t="shared" si="490"/>
        <v>24</v>
      </c>
      <c r="CE876" s="996">
        <f t="shared" si="475"/>
        <v>0</v>
      </c>
      <c r="CF876" s="562"/>
      <c r="CG876" s="557"/>
      <c r="XDR876" s="1045"/>
      <c r="XDS876" s="1045"/>
      <c r="XDT876" s="1064"/>
      <c r="XDU876" s="1027"/>
      <c r="XDV876" s="1028"/>
      <c r="XDW876" s="1029"/>
      <c r="XDX876" s="1102"/>
      <c r="XDY876" s="1103"/>
      <c r="XDZ876" s="1031"/>
      <c r="XEA876" s="1031"/>
      <c r="XEB876" s="1032"/>
      <c r="XEC876" s="1032"/>
      <c r="XED876" s="1065"/>
      <c r="XEE876" s="1104"/>
      <c r="XEF876" s="1066"/>
      <c r="XEG876" s="1066"/>
      <c r="XEH876" s="1067"/>
      <c r="XEI876" s="1067"/>
      <c r="XEJ876" s="1064"/>
      <c r="XEK876" s="1027"/>
      <c r="XEL876" s="1028"/>
      <c r="XEM876" s="1029"/>
      <c r="XEN876" s="1102"/>
      <c r="XEO876" s="1103"/>
      <c r="XEP876" s="1031"/>
      <c r="XEQ876" s="1031"/>
      <c r="XER876" s="1032"/>
      <c r="XES876" s="1032"/>
      <c r="XET876" s="1065"/>
      <c r="XEU876" s="1104"/>
      <c r="XEV876" s="1066"/>
      <c r="XEW876" s="1066"/>
      <c r="XEX876" s="1067"/>
      <c r="XEY876" s="1067"/>
      <c r="XEZ876" s="1067"/>
      <c r="XFA876" s="1034"/>
      <c r="XFB876" s="1034"/>
      <c r="XFC876" s="1034"/>
      <c r="XFD876" s="1035"/>
    </row>
    <row r="877" s="557" customFormat="1" ht="40" customHeight="1" spans="1:84 16320:16384">
      <c r="A877" s="992">
        <v>46185</v>
      </c>
      <c r="B877" s="993" t="s">
        <v>3635</v>
      </c>
      <c r="C877" s="994" t="s">
        <v>214</v>
      </c>
      <c r="D877" s="995" t="s">
        <v>3636</v>
      </c>
      <c r="E877" s="1040" t="s">
        <v>3637</v>
      </c>
      <c r="F877" s="1112" t="s">
        <v>3638</v>
      </c>
      <c r="G877" s="997" t="s">
        <v>1830</v>
      </c>
      <c r="H877" s="997" t="s">
        <v>1831</v>
      </c>
      <c r="I877" s="998">
        <v>368</v>
      </c>
      <c r="J877" s="998">
        <v>0</v>
      </c>
      <c r="K877" s="999">
        <v>16</v>
      </c>
      <c r="L877" s="1113">
        <f t="shared" si="480"/>
        <v>23</v>
      </c>
      <c r="M877" s="1000">
        <v>46269</v>
      </c>
      <c r="N877" s="1000">
        <v>46265</v>
      </c>
      <c r="O877" s="1001"/>
      <c r="P877" s="1001"/>
      <c r="Q877" s="1002"/>
      <c r="R877" s="1003" t="s">
        <v>1718</v>
      </c>
      <c r="S877" s="1097"/>
      <c r="T877" s="1097"/>
      <c r="U877" s="1003" t="s">
        <v>113</v>
      </c>
      <c r="V877" s="1004" t="s">
        <v>3639</v>
      </c>
      <c r="W877" s="1062" t="s">
        <v>3640</v>
      </c>
      <c r="X877" s="1006" t="s">
        <v>3641</v>
      </c>
      <c r="Y877" s="999" t="s">
        <v>3642</v>
      </c>
      <c r="Z877" s="1115">
        <v>3.1397</v>
      </c>
      <c r="AA877" s="1010">
        <f t="shared" si="481"/>
        <v>1155.4096</v>
      </c>
      <c r="AB877" s="1010"/>
      <c r="AC877" s="1011">
        <f t="shared" si="489"/>
        <v>-368</v>
      </c>
      <c r="AD877" s="1039" t="s">
        <v>106</v>
      </c>
      <c r="AE877" s="742" t="s">
        <v>1830</v>
      </c>
      <c r="AF877" s="1013" t="s">
        <v>107</v>
      </c>
      <c r="AG877" s="1059" t="s">
        <v>43</v>
      </c>
      <c r="AH877" s="1007"/>
      <c r="AI877" s="777"/>
      <c r="AJ877" s="1116"/>
      <c r="AK877" s="777"/>
      <c r="AL877" s="777"/>
      <c r="AM877" s="1010">
        <f>I877*2</f>
        <v>736</v>
      </c>
      <c r="AN877" s="778"/>
      <c r="AO877" s="697"/>
      <c r="AP877" s="674"/>
      <c r="AQ877" s="1025"/>
      <c r="AR877" s="1117"/>
      <c r="AS877" s="1118"/>
      <c r="AT877" s="1118"/>
      <c r="AU877" s="1025">
        <f>I877*2</f>
        <v>736</v>
      </c>
      <c r="AV877" s="674"/>
      <c r="AW877" s="697"/>
      <c r="AX877" s="697"/>
      <c r="AY877" s="674"/>
      <c r="AZ877" s="697"/>
      <c r="BA877" s="931"/>
      <c r="BB877" s="1025"/>
      <c r="BC877" s="1117"/>
      <c r="BD877" s="1117"/>
      <c r="BE877" s="1025"/>
      <c r="BF877" s="1117"/>
      <c r="BG877" s="1117"/>
      <c r="BH877" s="1025"/>
      <c r="BI877" s="1117"/>
      <c r="BJ877" s="1116"/>
      <c r="BK877" s="1116"/>
      <c r="BL877" s="563"/>
      <c r="BM877" s="563"/>
      <c r="BN877" s="563"/>
      <c r="BO877" s="563"/>
      <c r="BP877" s="1116"/>
      <c r="BQ877" s="563"/>
      <c r="BR877" s="1116"/>
      <c r="BS877" s="563"/>
      <c r="BT877" s="563"/>
      <c r="BU877" s="563"/>
      <c r="BV877" s="563"/>
      <c r="BW877" s="1062" t="s">
        <v>109</v>
      </c>
      <c r="BX877" s="1025">
        <f>I877/4*2</f>
        <v>184</v>
      </c>
      <c r="BY877" s="1025">
        <f>I877/4*2</f>
        <v>184</v>
      </c>
      <c r="BZ877" s="1025">
        <f>I877/4*2</f>
        <v>184</v>
      </c>
      <c r="CA877" s="1025">
        <f>I877/4*2</f>
        <v>184</v>
      </c>
      <c r="CB877" s="1025">
        <f t="shared" si="487"/>
        <v>368</v>
      </c>
      <c r="CC877" s="1025"/>
      <c r="CD877" s="1025">
        <f t="shared" si="490"/>
        <v>736</v>
      </c>
      <c r="CE877" s="996">
        <f t="shared" si="475"/>
        <v>-368</v>
      </c>
      <c r="CF877" s="562"/>
      <c r="CG877" s="557"/>
      <c r="XDR877" s="1045"/>
      <c r="XDS877" s="1045"/>
      <c r="XDT877" s="1064"/>
      <c r="XDU877" s="1027"/>
      <c r="XDV877" s="1028"/>
      <c r="XDW877" s="1029"/>
      <c r="XDX877" s="1102"/>
      <c r="XDY877" s="1103"/>
      <c r="XDZ877" s="1031"/>
      <c r="XEA877" s="1031"/>
      <c r="XEB877" s="1032"/>
      <c r="XEC877" s="1032"/>
      <c r="XED877" s="1065"/>
      <c r="XEE877" s="1104"/>
      <c r="XEF877" s="1066"/>
      <c r="XEG877" s="1066"/>
      <c r="XEH877" s="1067"/>
      <c r="XEI877" s="1067"/>
      <c r="XEJ877" s="1064"/>
      <c r="XEK877" s="1027"/>
      <c r="XEL877" s="1028"/>
      <c r="XEM877" s="1029"/>
      <c r="XEN877" s="1102"/>
      <c r="XEO877" s="1103"/>
      <c r="XEP877" s="1031"/>
      <c r="XEQ877" s="1031"/>
      <c r="XER877" s="1032"/>
      <c r="XES877" s="1032"/>
      <c r="XET877" s="1065"/>
      <c r="XEU877" s="1104"/>
      <c r="XEV877" s="1066"/>
      <c r="XEW877" s="1066"/>
      <c r="XEX877" s="1067"/>
      <c r="XEY877" s="1067"/>
      <c r="XEZ877" s="1067"/>
      <c r="XFA877" s="1034"/>
      <c r="XFB877" s="1034"/>
      <c r="XFC877" s="1034"/>
      <c r="XFD877" s="1035"/>
    </row>
    <row r="878" s="557" customFormat="1" ht="40" customHeight="1" spans="1:84 16320:16384">
      <c r="A878" s="992">
        <v>46185</v>
      </c>
      <c r="B878" s="993" t="s">
        <v>3635</v>
      </c>
      <c r="C878" s="994" t="s">
        <v>214</v>
      </c>
      <c r="D878" s="995" t="s">
        <v>3636</v>
      </c>
      <c r="E878" s="1040" t="s">
        <v>3643</v>
      </c>
      <c r="F878" s="1112" t="s">
        <v>3644</v>
      </c>
      <c r="G878" s="997" t="s">
        <v>1830</v>
      </c>
      <c r="H878" s="997" t="s">
        <v>1831</v>
      </c>
      <c r="I878" s="998">
        <v>176</v>
      </c>
      <c r="J878" s="998">
        <v>0</v>
      </c>
      <c r="K878" s="999">
        <v>16</v>
      </c>
      <c r="L878" s="1113">
        <f t="shared" si="480"/>
        <v>11</v>
      </c>
      <c r="M878" s="1000">
        <v>46269</v>
      </c>
      <c r="N878" s="1000">
        <v>46265</v>
      </c>
      <c r="O878" s="1001"/>
      <c r="P878" s="1001"/>
      <c r="Q878" s="1002"/>
      <c r="R878" s="1003" t="s">
        <v>1718</v>
      </c>
      <c r="S878" s="1097"/>
      <c r="T878" s="1097"/>
      <c r="U878" s="1003" t="s">
        <v>113</v>
      </c>
      <c r="V878" s="1004" t="s">
        <v>3639</v>
      </c>
      <c r="W878" s="1062" t="s">
        <v>3640</v>
      </c>
      <c r="X878" s="1006" t="s">
        <v>3641</v>
      </c>
      <c r="Y878" s="999" t="s">
        <v>3642</v>
      </c>
      <c r="Z878" s="1115">
        <v>3.1796</v>
      </c>
      <c r="AA878" s="1010">
        <f t="shared" si="481"/>
        <v>559.6096</v>
      </c>
      <c r="AB878" s="1010"/>
      <c r="AC878" s="1011">
        <f t="shared" si="489"/>
        <v>-176</v>
      </c>
      <c r="AD878" s="1039" t="s">
        <v>123</v>
      </c>
      <c r="AE878" s="742" t="s">
        <v>1830</v>
      </c>
      <c r="AF878" s="1013" t="s">
        <v>107</v>
      </c>
      <c r="AG878" s="1059" t="s">
        <v>43</v>
      </c>
      <c r="AH878" s="1007"/>
      <c r="AI878" s="777"/>
      <c r="AJ878" s="1116"/>
      <c r="AK878" s="777"/>
      <c r="AL878" s="777"/>
      <c r="AM878" s="1010">
        <f>I878*2</f>
        <v>352</v>
      </c>
      <c r="AN878" s="778"/>
      <c r="AO878" s="697"/>
      <c r="AP878" s="674"/>
      <c r="AQ878" s="1025"/>
      <c r="AR878" s="1117"/>
      <c r="AS878" s="1118"/>
      <c r="AT878" s="1118"/>
      <c r="AU878" s="1025">
        <f>I878*2</f>
        <v>352</v>
      </c>
      <c r="AV878" s="674"/>
      <c r="AW878" s="697"/>
      <c r="AX878" s="697"/>
      <c r="AY878" s="674"/>
      <c r="AZ878" s="697"/>
      <c r="BA878" s="931"/>
      <c r="BB878" s="1025"/>
      <c r="BC878" s="1117"/>
      <c r="BD878" s="1117"/>
      <c r="BE878" s="1025"/>
      <c r="BF878" s="1117"/>
      <c r="BG878" s="1117"/>
      <c r="BH878" s="1025"/>
      <c r="BI878" s="1117"/>
      <c r="BJ878" s="1116"/>
      <c r="BK878" s="1116"/>
      <c r="BL878" s="563"/>
      <c r="BM878" s="563"/>
      <c r="BN878" s="563"/>
      <c r="BO878" s="563"/>
      <c r="BP878" s="1116"/>
      <c r="BQ878" s="563"/>
      <c r="BR878" s="1116"/>
      <c r="BS878" s="563"/>
      <c r="BT878" s="563"/>
      <c r="BU878" s="563"/>
      <c r="BV878" s="563"/>
      <c r="BW878" s="1062" t="s">
        <v>109</v>
      </c>
      <c r="BX878" s="1025">
        <f>I878/4*2</f>
        <v>88</v>
      </c>
      <c r="BY878" s="1025">
        <f>I878/4*2</f>
        <v>88</v>
      </c>
      <c r="BZ878" s="1025">
        <f>I878/4*2</f>
        <v>88</v>
      </c>
      <c r="CA878" s="1025">
        <f>I878/4*2</f>
        <v>88</v>
      </c>
      <c r="CB878" s="1025">
        <f t="shared" si="487"/>
        <v>176</v>
      </c>
      <c r="CC878" s="1025"/>
      <c r="CD878" s="1025">
        <f t="shared" si="490"/>
        <v>352</v>
      </c>
      <c r="CE878" s="996">
        <f t="shared" si="475"/>
        <v>-176</v>
      </c>
      <c r="CF878" s="562"/>
      <c r="CG878" s="557"/>
      <c r="XDR878" s="1045"/>
      <c r="XDS878" s="1045"/>
      <c r="XDT878" s="1064"/>
      <c r="XDU878" s="1027"/>
      <c r="XDV878" s="1028"/>
      <c r="XDW878" s="1029"/>
      <c r="XDX878" s="1102"/>
      <c r="XDY878" s="1103"/>
      <c r="XDZ878" s="1031"/>
      <c r="XEA878" s="1031"/>
      <c r="XEB878" s="1032"/>
      <c r="XEC878" s="1032"/>
      <c r="XED878" s="1065"/>
      <c r="XEE878" s="1104"/>
      <c r="XEF878" s="1066"/>
      <c r="XEG878" s="1066"/>
      <c r="XEH878" s="1067"/>
      <c r="XEI878" s="1067"/>
      <c r="XEJ878" s="1064"/>
      <c r="XEK878" s="1027"/>
      <c r="XEL878" s="1028"/>
      <c r="XEM878" s="1029"/>
      <c r="XEN878" s="1102"/>
      <c r="XEO878" s="1103"/>
      <c r="XEP878" s="1031"/>
      <c r="XEQ878" s="1031"/>
      <c r="XER878" s="1032"/>
      <c r="XES878" s="1032"/>
      <c r="XET878" s="1065"/>
      <c r="XEU878" s="1104"/>
      <c r="XEV878" s="1066"/>
      <c r="XEW878" s="1066"/>
      <c r="XEX878" s="1067"/>
      <c r="XEY878" s="1067"/>
      <c r="XEZ878" s="1067"/>
      <c r="XFA878" s="1034"/>
      <c r="XFB878" s="1034"/>
      <c r="XFC878" s="1034"/>
      <c r="XFD878" s="1035"/>
    </row>
    <row r="879" s="561" customFormat="1" ht="40" customHeight="1" spans="1:84 16320:16384">
      <c r="A879" s="992">
        <v>46185</v>
      </c>
      <c r="B879" s="993" t="s">
        <v>1789</v>
      </c>
      <c r="C879" s="994" t="s">
        <v>380</v>
      </c>
      <c r="D879" s="1111" t="s">
        <v>3645</v>
      </c>
      <c r="E879" s="996" t="s">
        <v>3646</v>
      </c>
      <c r="F879" s="995" t="s">
        <v>3647</v>
      </c>
      <c r="G879" s="997" t="s">
        <v>111</v>
      </c>
      <c r="H879" s="997" t="s">
        <v>99</v>
      </c>
      <c r="I879" s="998">
        <v>2200</v>
      </c>
      <c r="J879" s="998">
        <v>0</v>
      </c>
      <c r="K879" s="999">
        <v>22</v>
      </c>
      <c r="L879" s="998">
        <f t="shared" si="480"/>
        <v>100</v>
      </c>
      <c r="M879" s="1000">
        <v>46269</v>
      </c>
      <c r="N879" s="1000">
        <v>46265</v>
      </c>
      <c r="O879" s="310" t="s">
        <v>3648</v>
      </c>
      <c r="P879" s="1001"/>
      <c r="Q879" s="1002"/>
      <c r="R879" s="1004" t="s">
        <v>3396</v>
      </c>
      <c r="S879" s="1000"/>
      <c r="T879" s="1004" t="s">
        <v>3005</v>
      </c>
      <c r="U879" s="1003" t="s">
        <v>3649</v>
      </c>
      <c r="V879" s="1001"/>
      <c r="W879" s="1062" t="s">
        <v>3640</v>
      </c>
      <c r="X879" s="1006" t="s">
        <v>3492</v>
      </c>
      <c r="Y879" s="1007" t="s">
        <v>3167</v>
      </c>
      <c r="Z879" s="1008">
        <v>2.771</v>
      </c>
      <c r="AA879" s="1009">
        <f t="shared" si="481"/>
        <v>6096.2</v>
      </c>
      <c r="AB879" s="1010"/>
      <c r="AC879" s="1011">
        <f t="shared" si="489"/>
        <v>-2200</v>
      </c>
      <c r="AD879" s="1039" t="s">
        <v>106</v>
      </c>
      <c r="AE879" s="1071" t="s">
        <v>230</v>
      </c>
      <c r="AF879" s="1013" t="s">
        <v>107</v>
      </c>
      <c r="AG879" s="1059" t="s">
        <v>43</v>
      </c>
      <c r="AH879" s="1007"/>
      <c r="AI879" s="651"/>
      <c r="AJ879" s="655"/>
      <c r="AK879" s="655"/>
      <c r="AL879" s="1119"/>
      <c r="AM879" s="965"/>
      <c r="AN879" s="655"/>
      <c r="AO879" s="656"/>
      <c r="AP879" s="965">
        <f>I879</f>
        <v>2200</v>
      </c>
      <c r="AQ879" s="1023"/>
      <c r="AR879" s="1091"/>
      <c r="AS879" s="905"/>
      <c r="AT879" s="1091"/>
      <c r="AU879" s="655">
        <f>I879</f>
        <v>2200</v>
      </c>
      <c r="AV879" s="674"/>
      <c r="AW879" s="656"/>
      <c r="AX879" s="656"/>
      <c r="AY879" s="674"/>
      <c r="AZ879" s="656"/>
      <c r="BA879" s="743"/>
      <c r="BB879" s="1023">
        <f>I879/11</f>
        <v>200</v>
      </c>
      <c r="BC879" s="1120"/>
      <c r="BD879" s="1120"/>
      <c r="BE879" s="1044"/>
      <c r="BF879" s="1121"/>
      <c r="BG879" s="1120"/>
      <c r="BH879" s="996"/>
      <c r="BI879" s="1121"/>
      <c r="BJ879" s="564"/>
      <c r="BK879" s="564"/>
      <c r="BL879" s="563"/>
      <c r="BM879" s="563"/>
      <c r="BN879" s="563"/>
      <c r="BO879" s="563"/>
      <c r="BP879" s="564"/>
      <c r="BQ879" s="563"/>
      <c r="BR879" s="564"/>
      <c r="BS879" s="563"/>
      <c r="BT879" s="563"/>
      <c r="BU879" s="563"/>
      <c r="BV879" s="563"/>
      <c r="BW879" s="1062" t="s">
        <v>109</v>
      </c>
      <c r="BX879" s="1025">
        <f>I879/22*5</f>
        <v>500</v>
      </c>
      <c r="BY879" s="1025">
        <f>I879/22*6</f>
        <v>600</v>
      </c>
      <c r="BZ879" s="1025">
        <f>I879/22*6</f>
        <v>600</v>
      </c>
      <c r="CA879" s="1025">
        <f>I879/22*5</f>
        <v>500</v>
      </c>
      <c r="CB879" s="1025">
        <f t="shared" si="487"/>
        <v>2200</v>
      </c>
      <c r="CC879" s="1025">
        <f>I879/11</f>
        <v>200</v>
      </c>
      <c r="CD879" s="1025">
        <f t="shared" si="490"/>
        <v>2200</v>
      </c>
      <c r="CE879" s="996">
        <f t="shared" si="475"/>
        <v>0</v>
      </c>
      <c r="CF879" s="562"/>
      <c r="CG879" s="561"/>
      <c r="XEJ879" s="1064"/>
      <c r="XEK879" s="1027"/>
      <c r="XEL879" s="1028"/>
      <c r="XEM879" s="1029"/>
      <c r="XEN879" s="1030"/>
      <c r="XEO879" s="1029"/>
      <c r="XEP879" s="1031"/>
      <c r="XEQ879" s="1031"/>
      <c r="XER879" s="1032"/>
      <c r="XES879" s="1032"/>
      <c r="XET879" s="1065"/>
      <c r="XEU879" s="1032"/>
      <c r="XEV879" s="1066"/>
      <c r="XEW879" s="1066"/>
      <c r="XEX879" s="1066"/>
      <c r="XEY879" s="1067"/>
      <c r="XEZ879" s="1067"/>
      <c r="XFA879" s="1067"/>
      <c r="XFB879" s="1066"/>
      <c r="XFC879" s="1067"/>
      <c r="XFD879" s="1067"/>
    </row>
    <row r="880" s="557" customFormat="1" ht="40" customHeight="1" spans="1:84 16320:16384">
      <c r="A880" s="992">
        <v>46239</v>
      </c>
      <c r="B880" s="993" t="s">
        <v>3650</v>
      </c>
      <c r="C880" s="994" t="s">
        <v>380</v>
      </c>
      <c r="D880" s="995">
        <v>4500218950</v>
      </c>
      <c r="E880" s="996" t="s">
        <v>3651</v>
      </c>
      <c r="F880" s="995" t="s">
        <v>3652</v>
      </c>
      <c r="G880" s="997" t="s">
        <v>111</v>
      </c>
      <c r="H880" s="997" t="s">
        <v>99</v>
      </c>
      <c r="I880" s="998">
        <v>2200</v>
      </c>
      <c r="J880" s="998">
        <v>0</v>
      </c>
      <c r="K880" s="999">
        <v>22</v>
      </c>
      <c r="L880" s="998">
        <f t="shared" si="480"/>
        <v>100</v>
      </c>
      <c r="M880" s="1000">
        <v>46270</v>
      </c>
      <c r="N880" s="1000">
        <v>46266</v>
      </c>
      <c r="O880" s="310"/>
      <c r="P880" s="1001"/>
      <c r="Q880" s="1002"/>
      <c r="R880" s="1004" t="s">
        <v>2101</v>
      </c>
      <c r="S880" s="1000"/>
      <c r="T880" s="1004" t="s">
        <v>3653</v>
      </c>
      <c r="U880" s="1003" t="s">
        <v>3654</v>
      </c>
      <c r="V880" s="1001"/>
      <c r="W880" s="1062" t="s">
        <v>3655</v>
      </c>
      <c r="X880" s="1006" t="s">
        <v>3656</v>
      </c>
      <c r="Y880" s="1007" t="s">
        <v>3657</v>
      </c>
      <c r="Z880" s="1008">
        <v>2.8432</v>
      </c>
      <c r="AA880" s="1009">
        <f t="shared" si="481"/>
        <v>6255.04</v>
      </c>
      <c r="AB880" s="1010"/>
      <c r="AC880" s="1011">
        <f t="shared" ref="AC880:AC892" si="491">AB880-I880</f>
        <v>-2200</v>
      </c>
      <c r="AD880" s="1039"/>
      <c r="AE880" s="1040" t="s">
        <v>111</v>
      </c>
      <c r="AF880" s="1013" t="s">
        <v>107</v>
      </c>
      <c r="AG880" s="1059" t="s">
        <v>43</v>
      </c>
      <c r="AH880" s="1007"/>
      <c r="AI880" s="1122"/>
      <c r="AJ880" s="929"/>
      <c r="AK880" s="929"/>
      <c r="AL880" s="1123"/>
      <c r="AM880" s="965">
        <f>I880</f>
        <v>2200</v>
      </c>
      <c r="AN880" s="929"/>
      <c r="AO880" s="930"/>
      <c r="AP880" s="965"/>
      <c r="AQ880" s="1023"/>
      <c r="AR880" s="1124"/>
      <c r="AS880" s="1125"/>
      <c r="AT880" s="1124"/>
      <c r="AU880" s="655">
        <f>I880</f>
        <v>2200</v>
      </c>
      <c r="AV880" s="674"/>
      <c r="AW880" s="930"/>
      <c r="AX880" s="930"/>
      <c r="AY880" s="674"/>
      <c r="AZ880" s="930"/>
      <c r="BA880" s="1126"/>
      <c r="BB880" s="329">
        <f>I880/11</f>
        <v>200</v>
      </c>
      <c r="BC880" s="1127"/>
      <c r="BD880" s="1127"/>
      <c r="BE880" s="1044"/>
      <c r="BF880" s="1128"/>
      <c r="BG880" s="1127"/>
      <c r="BH880" s="996"/>
      <c r="BI880" s="1128"/>
      <c r="BJ880" s="1129"/>
      <c r="BK880" s="1129"/>
      <c r="BL880" s="563"/>
      <c r="BM880" s="563"/>
      <c r="BN880" s="563"/>
      <c r="BO880" s="563"/>
      <c r="BP880" s="1129"/>
      <c r="BQ880" s="563"/>
      <c r="BR880" s="1129"/>
      <c r="BS880" s="563"/>
      <c r="BT880" s="563"/>
      <c r="BU880" s="563"/>
      <c r="BV880" s="563"/>
      <c r="BW880" s="1062" t="s">
        <v>109</v>
      </c>
      <c r="BX880" s="1025">
        <f>I880/22*5</f>
        <v>500</v>
      </c>
      <c r="BY880" s="1025">
        <f>I880/22*6</f>
        <v>600</v>
      </c>
      <c r="BZ880" s="1025">
        <f>I880/22*6</f>
        <v>600</v>
      </c>
      <c r="CA880" s="1025">
        <f>I880/22*5</f>
        <v>500</v>
      </c>
      <c r="CB880" s="1025">
        <f t="shared" si="487"/>
        <v>2200</v>
      </c>
      <c r="CC880" s="1025">
        <f>I880/11</f>
        <v>200</v>
      </c>
      <c r="CD880" s="1025">
        <f t="shared" si="490"/>
        <v>2200</v>
      </c>
      <c r="CE880" s="996">
        <f t="shared" si="475"/>
        <v>0</v>
      </c>
      <c r="CF880" s="562"/>
      <c r="CG880" s="557"/>
      <c r="XEJ880" s="1064"/>
      <c r="XEK880" s="1027"/>
      <c r="XEL880" s="1028"/>
      <c r="XEM880" s="1029"/>
      <c r="XEN880" s="1030"/>
      <c r="XEO880" s="1029"/>
      <c r="XEP880" s="1031"/>
      <c r="XEQ880" s="1031"/>
      <c r="XER880" s="1032"/>
      <c r="XES880" s="1032"/>
      <c r="XET880" s="1065"/>
      <c r="XEU880" s="1032"/>
      <c r="XEV880" s="1066"/>
      <c r="XEW880" s="1066"/>
      <c r="XEX880" s="1066"/>
      <c r="XEY880" s="1067"/>
      <c r="XEZ880" s="1067"/>
      <c r="XFA880" s="1067"/>
      <c r="XFB880" s="1066"/>
      <c r="XFC880" s="1067"/>
      <c r="XFD880" s="1067"/>
    </row>
    <row r="881" s="561" customFormat="1" ht="40" customHeight="1" spans="1:84 16324:16384">
      <c r="A881" s="992">
        <v>46181</v>
      </c>
      <c r="B881" s="993" t="s">
        <v>94</v>
      </c>
      <c r="C881" s="994" t="s">
        <v>205</v>
      </c>
      <c r="D881" s="1111">
        <v>4500211065</v>
      </c>
      <c r="E881" s="1040" t="s">
        <v>3658</v>
      </c>
      <c r="F881" s="1112" t="s">
        <v>3659</v>
      </c>
      <c r="G881" s="997" t="s">
        <v>98</v>
      </c>
      <c r="H881" s="997" t="s">
        <v>99</v>
      </c>
      <c r="I881" s="998">
        <v>648</v>
      </c>
      <c r="J881" s="998">
        <v>0</v>
      </c>
      <c r="K881" s="999">
        <v>24</v>
      </c>
      <c r="L881" s="1113">
        <f t="shared" si="480"/>
        <v>27</v>
      </c>
      <c r="M881" s="1000">
        <v>46272</v>
      </c>
      <c r="N881" s="1000">
        <v>46268</v>
      </c>
      <c r="O881" s="563"/>
      <c r="P881" s="1001"/>
      <c r="Q881" s="1002"/>
      <c r="R881" s="1003" t="s">
        <v>3396</v>
      </c>
      <c r="S881" s="1097"/>
      <c r="T881" s="1097"/>
      <c r="U881" s="1003" t="s">
        <v>3660</v>
      </c>
      <c r="V881" s="1098"/>
      <c r="W881" s="1062" t="s">
        <v>3661</v>
      </c>
      <c r="X881" s="1006" t="s">
        <v>3662</v>
      </c>
      <c r="Y881" s="999" t="s">
        <v>972</v>
      </c>
      <c r="Z881" s="1115">
        <v>2.5455</v>
      </c>
      <c r="AA881" s="1010">
        <f t="shared" si="481"/>
        <v>1649.484</v>
      </c>
      <c r="AB881" s="1010"/>
      <c r="AC881" s="1011">
        <f t="shared" si="491"/>
        <v>-648</v>
      </c>
      <c r="AD881" s="1039" t="s">
        <v>106</v>
      </c>
      <c r="AE881" s="742" t="s">
        <v>98</v>
      </c>
      <c r="AF881" s="1013" t="s">
        <v>107</v>
      </c>
      <c r="AG881" s="1059" t="s">
        <v>43</v>
      </c>
      <c r="AH881" s="1007"/>
      <c r="AI881" s="655"/>
      <c r="AJ881" s="564"/>
      <c r="AK881" s="655"/>
      <c r="AL881" s="655"/>
      <c r="AM881" s="1023">
        <f>I881</f>
        <v>648</v>
      </c>
      <c r="AN881" s="905"/>
      <c r="AO881" s="656"/>
      <c r="AP881" s="674"/>
      <c r="AQ881" s="1025"/>
      <c r="AR881" s="1057"/>
      <c r="AS881" s="1091"/>
      <c r="AT881" s="1091"/>
      <c r="AU881" s="655">
        <f t="shared" ref="AU881:AU891" si="492">I881</f>
        <v>648</v>
      </c>
      <c r="AV881" s="674"/>
      <c r="AW881" s="656"/>
      <c r="AX881" s="656"/>
      <c r="AY881" s="674"/>
      <c r="AZ881" s="656"/>
      <c r="BA881" s="904"/>
      <c r="BB881" s="1025"/>
      <c r="BC881" s="1057"/>
      <c r="BD881" s="1057"/>
      <c r="BE881" s="1025"/>
      <c r="BF881" s="1057"/>
      <c r="BG881" s="1057"/>
      <c r="BH881" s="1025"/>
      <c r="BI881" s="1057"/>
      <c r="BJ881" s="564"/>
      <c r="BK881" s="564"/>
      <c r="BL881" s="563"/>
      <c r="BM881" s="563"/>
      <c r="BN881" s="563"/>
      <c r="BO881" s="563"/>
      <c r="BP881" s="564"/>
      <c r="BQ881" s="563"/>
      <c r="BR881" s="564"/>
      <c r="BS881" s="563"/>
      <c r="BT881" s="563"/>
      <c r="BU881" s="563"/>
      <c r="BV881" s="563"/>
      <c r="BW881" s="1062" t="s">
        <v>109</v>
      </c>
      <c r="BX881" s="1025">
        <f>I881/4</f>
        <v>162</v>
      </c>
      <c r="BY881" s="1025">
        <f>I881/4</f>
        <v>162</v>
      </c>
      <c r="BZ881" s="1025">
        <f>I881/4</f>
        <v>162</v>
      </c>
      <c r="CA881" s="1025">
        <f>I881/4</f>
        <v>162</v>
      </c>
      <c r="CB881" s="1025">
        <f>I881/4</f>
        <v>162</v>
      </c>
      <c r="CC881" s="1025"/>
      <c r="CD881" s="1025">
        <f t="shared" si="490"/>
        <v>648</v>
      </c>
      <c r="CE881" s="996">
        <f t="shared" si="475"/>
        <v>0</v>
      </c>
      <c r="CF881" s="562"/>
      <c r="CG881" s="561"/>
      <c r="XDR881" s="1045"/>
      <c r="XDS881" s="1045"/>
      <c r="XDT881" s="1064"/>
      <c r="XDU881" s="1027"/>
      <c r="XDV881" s="1028"/>
      <c r="XDW881" s="1029"/>
      <c r="XDX881" s="1102"/>
      <c r="XDY881" s="1103"/>
      <c r="XDZ881" s="1031"/>
      <c r="XEA881" s="1031"/>
      <c r="XEB881" s="1032"/>
      <c r="XEC881" s="1032"/>
      <c r="XED881" s="1065"/>
      <c r="XEE881" s="1104"/>
      <c r="XEF881" s="1066"/>
      <c r="XEG881" s="1066"/>
      <c r="XEH881" s="1067"/>
      <c r="XEI881" s="1067"/>
      <c r="XEJ881" s="1064"/>
      <c r="XEK881" s="1027"/>
      <c r="XEL881" s="1028"/>
      <c r="XEM881" s="1029"/>
      <c r="XEN881" s="1102"/>
      <c r="XEO881" s="1103"/>
      <c r="XEP881" s="1031"/>
      <c r="XEQ881" s="1031"/>
      <c r="XER881" s="1032"/>
      <c r="XES881" s="1032"/>
      <c r="XET881" s="1065"/>
      <c r="XEU881" s="1104"/>
      <c r="XEV881" s="1066"/>
      <c r="XEW881" s="1066"/>
      <c r="XEX881" s="1067"/>
      <c r="XEY881" s="1067"/>
      <c r="XEZ881" s="1067"/>
      <c r="XFA881" s="1034"/>
      <c r="XFB881" s="1034"/>
      <c r="XFC881" s="1034"/>
      <c r="XFD881" s="1035"/>
    </row>
    <row r="882" s="561" customFormat="1" ht="40" customHeight="1" spans="1:84 16324:16384">
      <c r="A882" s="992">
        <v>46181</v>
      </c>
      <c r="B882" s="993" t="s">
        <v>94</v>
      </c>
      <c r="C882" s="994" t="s">
        <v>205</v>
      </c>
      <c r="D882" s="1111">
        <v>4500211083</v>
      </c>
      <c r="E882" s="1040" t="s">
        <v>3663</v>
      </c>
      <c r="F882" s="1112" t="s">
        <v>3664</v>
      </c>
      <c r="G882" s="997" t="s">
        <v>98</v>
      </c>
      <c r="H882" s="997" t="s">
        <v>99</v>
      </c>
      <c r="I882" s="998">
        <v>264</v>
      </c>
      <c r="J882" s="998">
        <v>0</v>
      </c>
      <c r="K882" s="999">
        <v>24</v>
      </c>
      <c r="L882" s="1113">
        <f t="shared" si="480"/>
        <v>11</v>
      </c>
      <c r="M882" s="1000">
        <v>46272</v>
      </c>
      <c r="N882" s="1000">
        <v>46268</v>
      </c>
      <c r="O882" s="1130"/>
      <c r="P882" s="1001"/>
      <c r="Q882" s="1002"/>
      <c r="R882" s="1003" t="s">
        <v>3396</v>
      </c>
      <c r="S882" s="1097"/>
      <c r="T882" s="1097"/>
      <c r="U882" s="1003" t="s">
        <v>3665</v>
      </c>
      <c r="V882" s="1098"/>
      <c r="W882" s="1062" t="s">
        <v>3661</v>
      </c>
      <c r="X882" s="1006" t="s">
        <v>3666</v>
      </c>
      <c r="Y882" s="999" t="s">
        <v>972</v>
      </c>
      <c r="Z882" s="1115">
        <v>2.5455</v>
      </c>
      <c r="AA882" s="1010">
        <f t="shared" si="481"/>
        <v>672.012</v>
      </c>
      <c r="AB882" s="1010"/>
      <c r="AC882" s="1011">
        <f t="shared" si="491"/>
        <v>-264</v>
      </c>
      <c r="AD882" s="1039" t="s">
        <v>106</v>
      </c>
      <c r="AE882" s="742" t="s">
        <v>98</v>
      </c>
      <c r="AF882" s="1013" t="s">
        <v>107</v>
      </c>
      <c r="AG882" s="1059" t="s">
        <v>43</v>
      </c>
      <c r="AH882" s="1007"/>
      <c r="AI882" s="655"/>
      <c r="AJ882" s="564"/>
      <c r="AK882" s="655"/>
      <c r="AL882" s="655"/>
      <c r="AM882" s="1023">
        <f>I882</f>
        <v>264</v>
      </c>
      <c r="AN882" s="905"/>
      <c r="AO882" s="656"/>
      <c r="AP882" s="674"/>
      <c r="AQ882" s="1025"/>
      <c r="AR882" s="1057"/>
      <c r="AS882" s="1091"/>
      <c r="AT882" s="1091"/>
      <c r="AU882" s="655">
        <f t="shared" si="492"/>
        <v>264</v>
      </c>
      <c r="AV882" s="674"/>
      <c r="AW882" s="656"/>
      <c r="AX882" s="656"/>
      <c r="AY882" s="674"/>
      <c r="AZ882" s="656"/>
      <c r="BA882" s="904"/>
      <c r="BB882" s="1025"/>
      <c r="BC882" s="1057"/>
      <c r="BD882" s="1057"/>
      <c r="BE882" s="1025"/>
      <c r="BF882" s="1057"/>
      <c r="BG882" s="1057"/>
      <c r="BH882" s="1025"/>
      <c r="BI882" s="1057"/>
      <c r="BJ882" s="564"/>
      <c r="BK882" s="564"/>
      <c r="BL882" s="563"/>
      <c r="BM882" s="563"/>
      <c r="BN882" s="563"/>
      <c r="BO882" s="563"/>
      <c r="BP882" s="564"/>
      <c r="BQ882" s="563"/>
      <c r="BR882" s="564"/>
      <c r="BS882" s="563"/>
      <c r="BT882" s="563"/>
      <c r="BU882" s="563"/>
      <c r="BV882" s="563"/>
      <c r="BW882" s="1062" t="s">
        <v>109</v>
      </c>
      <c r="BX882" s="1025">
        <f>I882/4</f>
        <v>66</v>
      </c>
      <c r="BY882" s="1025">
        <f>I882/4</f>
        <v>66</v>
      </c>
      <c r="BZ882" s="1025">
        <f>I882/4</f>
        <v>66</v>
      </c>
      <c r="CA882" s="1025">
        <f>I882/4</f>
        <v>66</v>
      </c>
      <c r="CB882" s="1025">
        <f>I882/4</f>
        <v>66</v>
      </c>
      <c r="CC882" s="1025"/>
      <c r="CD882" s="1025">
        <f t="shared" si="490"/>
        <v>264</v>
      </c>
      <c r="CE882" s="996">
        <f t="shared" si="475"/>
        <v>0</v>
      </c>
      <c r="CF882" s="562"/>
      <c r="CG882" s="561"/>
      <c r="XDR882" s="1045"/>
      <c r="XDS882" s="1045"/>
      <c r="XDT882" s="1064"/>
      <c r="XDU882" s="1027"/>
      <c r="XDV882" s="1028"/>
      <c r="XDW882" s="1029"/>
      <c r="XDX882" s="1102"/>
      <c r="XDY882" s="1103"/>
      <c r="XDZ882" s="1031"/>
      <c r="XEA882" s="1031"/>
      <c r="XEB882" s="1032"/>
      <c r="XEC882" s="1032"/>
      <c r="XED882" s="1065"/>
      <c r="XEE882" s="1104"/>
      <c r="XEF882" s="1066"/>
      <c r="XEG882" s="1066"/>
      <c r="XEH882" s="1067"/>
      <c r="XEI882" s="1067"/>
      <c r="XEJ882" s="1064"/>
      <c r="XEK882" s="1027"/>
      <c r="XEL882" s="1028"/>
      <c r="XEM882" s="1029"/>
      <c r="XEN882" s="1102"/>
      <c r="XEO882" s="1103"/>
      <c r="XEP882" s="1031"/>
      <c r="XEQ882" s="1031"/>
      <c r="XER882" s="1032"/>
      <c r="XES882" s="1032"/>
      <c r="XET882" s="1065"/>
      <c r="XEU882" s="1104"/>
      <c r="XEV882" s="1066"/>
      <c r="XEW882" s="1066"/>
      <c r="XEX882" s="1067"/>
      <c r="XEY882" s="1067"/>
      <c r="XEZ882" s="1067"/>
      <c r="XFA882" s="1034"/>
      <c r="XFB882" s="1034"/>
      <c r="XFC882" s="1034"/>
      <c r="XFD882" s="1035"/>
    </row>
    <row r="883" s="557" customFormat="1" ht="40" customHeight="1" spans="1:84 16324:16384">
      <c r="A883" s="992">
        <v>46227</v>
      </c>
      <c r="B883" s="993" t="s">
        <v>3667</v>
      </c>
      <c r="C883" s="994" t="s">
        <v>144</v>
      </c>
      <c r="D883" s="995" t="s">
        <v>3668</v>
      </c>
      <c r="E883" s="1040" t="s">
        <v>3669</v>
      </c>
      <c r="F883" s="1112" t="s">
        <v>3670</v>
      </c>
      <c r="G883" s="997" t="s">
        <v>1992</v>
      </c>
      <c r="H883" s="997" t="s">
        <v>1993</v>
      </c>
      <c r="I883" s="998">
        <v>480</v>
      </c>
      <c r="J883" s="998">
        <v>0</v>
      </c>
      <c r="K883" s="999">
        <v>24</v>
      </c>
      <c r="L883" s="1113">
        <f t="shared" si="480"/>
        <v>20</v>
      </c>
      <c r="M883" s="1000">
        <v>46274</v>
      </c>
      <c r="N883" s="1000">
        <v>46270</v>
      </c>
      <c r="O883" s="312" t="s">
        <v>3671</v>
      </c>
      <c r="P883" s="1001"/>
      <c r="Q883" s="1002"/>
      <c r="R883" s="1131" t="s">
        <v>3672</v>
      </c>
      <c r="S883" s="1003"/>
      <c r="T883" s="1003" t="s">
        <v>3673</v>
      </c>
      <c r="U883" s="1003" t="s">
        <v>3674</v>
      </c>
      <c r="V883" s="1098"/>
      <c r="W883" s="1062"/>
      <c r="X883" s="1038" t="s">
        <v>3675</v>
      </c>
      <c r="Y883" s="999" t="s">
        <v>3676</v>
      </c>
      <c r="Z883" s="1115">
        <v>2.6493</v>
      </c>
      <c r="AA883" s="1010">
        <f t="shared" si="481"/>
        <v>1271.664</v>
      </c>
      <c r="AB883" s="1010"/>
      <c r="AC883" s="1011">
        <f t="shared" si="491"/>
        <v>-480</v>
      </c>
      <c r="AD883" s="1012"/>
      <c r="AE883" s="997" t="s">
        <v>1992</v>
      </c>
      <c r="AF883" s="1013" t="s">
        <v>107</v>
      </c>
      <c r="AG883" s="1059" t="s">
        <v>43</v>
      </c>
      <c r="AH883" s="1007"/>
      <c r="AI883" s="777"/>
      <c r="AJ883" s="1116"/>
      <c r="AK883" s="777"/>
      <c r="AL883" s="777"/>
      <c r="AM883" s="1023"/>
      <c r="AN883" s="778"/>
      <c r="AO883" s="697"/>
      <c r="AP883" s="965">
        <f>I883</f>
        <v>480</v>
      </c>
      <c r="AQ883" s="1025"/>
      <c r="AR883" s="1117"/>
      <c r="AS883" s="1118"/>
      <c r="AT883" s="1118"/>
      <c r="AU883" s="965">
        <f t="shared" si="492"/>
        <v>480</v>
      </c>
      <c r="AV883" s="674"/>
      <c r="AW883" s="697"/>
      <c r="AX883" s="697"/>
      <c r="AY883" s="674"/>
      <c r="AZ883" s="697"/>
      <c r="BA883" s="931"/>
      <c r="BB883" s="1025"/>
      <c r="BC883" s="1117"/>
      <c r="BD883" s="1117"/>
      <c r="BE883" s="1025"/>
      <c r="BF883" s="1117"/>
      <c r="BG883" s="1117"/>
      <c r="BH883" s="1025"/>
      <c r="BI883" s="1117"/>
      <c r="BJ883" s="1116"/>
      <c r="BK883" s="1116"/>
      <c r="BL883" s="563"/>
      <c r="BM883" s="563"/>
      <c r="BN883" s="563"/>
      <c r="BO883" s="563"/>
      <c r="BP883" s="1116"/>
      <c r="BQ883" s="563"/>
      <c r="BR883" s="1116"/>
      <c r="BS883" s="563"/>
      <c r="BT883" s="563"/>
      <c r="BU883" s="563"/>
      <c r="BV883" s="563"/>
      <c r="BW883" s="1061" t="s">
        <v>109</v>
      </c>
      <c r="BX883" s="1025"/>
      <c r="BY883" s="1025"/>
      <c r="BZ883" s="1025"/>
      <c r="CA883" s="1025">
        <v>480</v>
      </c>
      <c r="CB883" s="1025"/>
      <c r="CC883" s="1025"/>
      <c r="CD883" s="1025">
        <v>480</v>
      </c>
      <c r="CE883" s="996">
        <f t="shared" si="475"/>
        <v>0</v>
      </c>
      <c r="CF883" s="562"/>
      <c r="CG883" s="557"/>
      <c r="XDR883" s="1045"/>
      <c r="XDS883" s="1045"/>
      <c r="XDT883" s="1064"/>
      <c r="XDU883" s="1027"/>
      <c r="XDV883" s="1028"/>
      <c r="XDW883" s="1029"/>
      <c r="XDX883" s="1102"/>
      <c r="XDY883" s="1103"/>
      <c r="XDZ883" s="1031"/>
      <c r="XEA883" s="1031"/>
      <c r="XEB883" s="1032"/>
      <c r="XEC883" s="1032"/>
      <c r="XED883" s="1065"/>
      <c r="XEE883" s="1104"/>
      <c r="XEF883" s="1066"/>
      <c r="XEG883" s="1066"/>
      <c r="XEH883" s="1067"/>
      <c r="XEI883" s="1067"/>
      <c r="XEJ883" s="1064"/>
      <c r="XEK883" s="1027"/>
      <c r="XEL883" s="1028"/>
      <c r="XEM883" s="1029"/>
      <c r="XEN883" s="1102"/>
      <c r="XEO883" s="1103"/>
      <c r="XEP883" s="1031"/>
      <c r="XEQ883" s="1031"/>
      <c r="XER883" s="1032"/>
      <c r="XES883" s="1032"/>
      <c r="XET883" s="1065"/>
      <c r="XEU883" s="1104"/>
      <c r="XEV883" s="1066"/>
      <c r="XEW883" s="1066"/>
      <c r="XEX883" s="1067"/>
      <c r="XEY883" s="1067"/>
      <c r="XEZ883" s="1067"/>
      <c r="XFA883" s="1034"/>
      <c r="XFB883" s="1034"/>
      <c r="XFC883" s="1034"/>
      <c r="XFD883" s="1035"/>
    </row>
    <row r="884" s="557" customFormat="1" ht="40" customHeight="1" spans="1:84 16324:16384">
      <c r="A884" s="992">
        <v>46227</v>
      </c>
      <c r="B884" s="993" t="s">
        <v>3677</v>
      </c>
      <c r="C884" s="994" t="s">
        <v>205</v>
      </c>
      <c r="D884" s="995" t="s">
        <v>3678</v>
      </c>
      <c r="E884" s="1132">
        <v>1100036976</v>
      </c>
      <c r="F884" s="1112" t="s">
        <v>3679</v>
      </c>
      <c r="G884" s="997" t="s">
        <v>111</v>
      </c>
      <c r="H884" s="997" t="s">
        <v>99</v>
      </c>
      <c r="I884" s="998">
        <v>506</v>
      </c>
      <c r="J884" s="998">
        <v>0</v>
      </c>
      <c r="K884" s="999">
        <v>22</v>
      </c>
      <c r="L884" s="1113">
        <f t="shared" si="480"/>
        <v>23</v>
      </c>
      <c r="M884" s="1000">
        <v>46275</v>
      </c>
      <c r="N884" s="1000">
        <v>46272</v>
      </c>
      <c r="O884" s="1001"/>
      <c r="P884" s="1001"/>
      <c r="Q884" s="1002"/>
      <c r="R884" s="1003" t="s">
        <v>2027</v>
      </c>
      <c r="S884" s="1097"/>
      <c r="T884" s="1097"/>
      <c r="U884" s="1003" t="s">
        <v>3680</v>
      </c>
      <c r="V884" s="1098"/>
      <c r="W884" s="1062"/>
      <c r="X884" s="1038" t="s">
        <v>3681</v>
      </c>
      <c r="Y884" s="999" t="s">
        <v>972</v>
      </c>
      <c r="Z884" s="1115">
        <v>2.8676</v>
      </c>
      <c r="AA884" s="1010">
        <f t="shared" si="481"/>
        <v>1451.0056</v>
      </c>
      <c r="AB884" s="1010"/>
      <c r="AC884" s="1011">
        <f t="shared" si="491"/>
        <v>-506</v>
      </c>
      <c r="AD884" s="1039" t="s">
        <v>106</v>
      </c>
      <c r="AE884" s="1040" t="s">
        <v>111</v>
      </c>
      <c r="AF884" s="1013" t="s">
        <v>107</v>
      </c>
      <c r="AG884" s="1059" t="s">
        <v>43</v>
      </c>
      <c r="AH884" s="1007"/>
      <c r="AI884" s="777"/>
      <c r="AJ884" s="1116"/>
      <c r="AK884" s="777"/>
      <c r="AL884" s="777"/>
      <c r="AM884" s="1023">
        <f>I884</f>
        <v>506</v>
      </c>
      <c r="AN884" s="778"/>
      <c r="AO884" s="697"/>
      <c r="AP884" s="674"/>
      <c r="AQ884" s="1025"/>
      <c r="AR884" s="1117"/>
      <c r="AS884" s="1118"/>
      <c r="AT884" s="1118"/>
      <c r="AU884" s="965">
        <f t="shared" si="492"/>
        <v>506</v>
      </c>
      <c r="AV884" s="674"/>
      <c r="AW884" s="697"/>
      <c r="AX884" s="697"/>
      <c r="AY884" s="674"/>
      <c r="AZ884" s="697"/>
      <c r="BA884" s="931"/>
      <c r="BB884" s="1025">
        <f>I884/11</f>
        <v>46</v>
      </c>
      <c r="BC884" s="1117"/>
      <c r="BD884" s="1117"/>
      <c r="BE884" s="1025"/>
      <c r="BF884" s="1117"/>
      <c r="BG884" s="1117"/>
      <c r="BH884" s="1025"/>
      <c r="BI884" s="1117"/>
      <c r="BJ884" s="1116"/>
      <c r="BK884" s="1116"/>
      <c r="BL884" s="563"/>
      <c r="BM884" s="563"/>
      <c r="BN884" s="563"/>
      <c r="BO884" s="563"/>
      <c r="BP884" s="1116"/>
      <c r="BQ884" s="563"/>
      <c r="BR884" s="1116"/>
      <c r="BS884" s="563"/>
      <c r="BT884" s="563"/>
      <c r="BU884" s="563"/>
      <c r="BV884" s="563"/>
      <c r="BW884" s="1061" t="s">
        <v>109</v>
      </c>
      <c r="BX884" s="1025">
        <f>I884/22*5</f>
        <v>115</v>
      </c>
      <c r="BY884" s="1025">
        <f>I884/22*6</f>
        <v>138</v>
      </c>
      <c r="BZ884" s="1025">
        <f>I884/22*6</f>
        <v>138</v>
      </c>
      <c r="CA884" s="1025">
        <f>I884/22*5</f>
        <v>115</v>
      </c>
      <c r="CB884" s="1025">
        <f t="shared" ref="CB884:CB894" si="493">I884</f>
        <v>506</v>
      </c>
      <c r="CC884" s="1025">
        <f>I884/11</f>
        <v>46</v>
      </c>
      <c r="CD884" s="1025">
        <f t="shared" ref="CD884:CD899" si="494">SUM(BX884:CA884)</f>
        <v>506</v>
      </c>
      <c r="CE884" s="996">
        <f t="shared" si="475"/>
        <v>0</v>
      </c>
      <c r="CF884" s="562"/>
      <c r="CG884" s="557"/>
      <c r="XDR884" s="1045"/>
      <c r="XDS884" s="1045"/>
      <c r="XDT884" s="1064"/>
      <c r="XDU884" s="1027"/>
      <c r="XDV884" s="1028"/>
      <c r="XDW884" s="1029"/>
      <c r="XDX884" s="1102"/>
      <c r="XDY884" s="1103"/>
      <c r="XDZ884" s="1031"/>
      <c r="XEA884" s="1031"/>
      <c r="XEB884" s="1032"/>
      <c r="XEC884" s="1032"/>
      <c r="XED884" s="1065"/>
      <c r="XEE884" s="1104"/>
      <c r="XEF884" s="1066"/>
      <c r="XEG884" s="1066"/>
      <c r="XEH884" s="1067"/>
      <c r="XEI884" s="1067"/>
      <c r="XEJ884" s="1064"/>
      <c r="XEK884" s="1027"/>
      <c r="XEL884" s="1028"/>
      <c r="XEM884" s="1029"/>
      <c r="XEN884" s="1102"/>
      <c r="XEO884" s="1103"/>
      <c r="XEP884" s="1031"/>
      <c r="XEQ884" s="1031"/>
      <c r="XER884" s="1032"/>
      <c r="XES884" s="1032"/>
      <c r="XET884" s="1065"/>
      <c r="XEU884" s="1104"/>
      <c r="XEV884" s="1066"/>
      <c r="XEW884" s="1066"/>
      <c r="XEX884" s="1067"/>
      <c r="XEY884" s="1067"/>
      <c r="XEZ884" s="1067"/>
      <c r="XFA884" s="1034"/>
      <c r="XFB884" s="1034"/>
      <c r="XFC884" s="1034"/>
      <c r="XFD884" s="1035"/>
    </row>
    <row r="885" s="557" customFormat="1" ht="40" customHeight="1" spans="1:84 16324:16384">
      <c r="A885" s="1133">
        <v>46217</v>
      </c>
      <c r="B885" s="1134" t="s">
        <v>3682</v>
      </c>
      <c r="C885" s="1135" t="s">
        <v>920</v>
      </c>
      <c r="D885" s="1136" t="s">
        <v>3683</v>
      </c>
      <c r="E885" s="1137" t="s">
        <v>3684</v>
      </c>
      <c r="F885" s="1138" t="s">
        <v>3685</v>
      </c>
      <c r="G885" s="1139" t="s">
        <v>111</v>
      </c>
      <c r="H885" s="1139" t="s">
        <v>99</v>
      </c>
      <c r="I885" s="1140">
        <v>440</v>
      </c>
      <c r="J885" s="1140">
        <v>0</v>
      </c>
      <c r="K885" s="1141">
        <v>22</v>
      </c>
      <c r="L885" s="1142">
        <f t="shared" si="480"/>
        <v>20</v>
      </c>
      <c r="M885" s="1143">
        <v>46275</v>
      </c>
      <c r="N885" s="1143">
        <v>46272</v>
      </c>
      <c r="O885" s="1144"/>
      <c r="P885" s="1144"/>
      <c r="Q885" s="1145"/>
      <c r="R885" s="1146" t="s">
        <v>1961</v>
      </c>
      <c r="S885" s="1147"/>
      <c r="T885" s="1147"/>
      <c r="U885" s="1148" t="s">
        <v>3686</v>
      </c>
      <c r="V885" s="1149"/>
      <c r="W885" s="1150"/>
      <c r="X885" s="1151" t="s">
        <v>3687</v>
      </c>
      <c r="Y885" s="1141" t="s">
        <v>1472</v>
      </c>
      <c r="Z885" s="1152">
        <v>2.8676</v>
      </c>
      <c r="AA885" s="1153">
        <f t="shared" si="481"/>
        <v>1261.744</v>
      </c>
      <c r="AB885" s="1153"/>
      <c r="AC885" s="1011">
        <f t="shared" si="491"/>
        <v>-440</v>
      </c>
      <c r="AD885" s="1154" t="s">
        <v>106</v>
      </c>
      <c r="AE885" s="1155" t="s">
        <v>230</v>
      </c>
      <c r="AF885" s="1156" t="s">
        <v>107</v>
      </c>
      <c r="AG885" s="1059" t="s">
        <v>43</v>
      </c>
      <c r="AH885" s="1157"/>
      <c r="AI885" s="1158"/>
      <c r="AJ885" s="1159"/>
      <c r="AK885" s="1158"/>
      <c r="AL885" s="1158"/>
      <c r="AM885" s="1160"/>
      <c r="AN885" s="1161"/>
      <c r="AO885" s="1162"/>
      <c r="AP885" s="1160">
        <f>I885</f>
        <v>440</v>
      </c>
      <c r="AQ885" s="1163"/>
      <c r="AR885" s="1164"/>
      <c r="AS885" s="1165"/>
      <c r="AT885" s="1165"/>
      <c r="AU885" s="1166">
        <f t="shared" si="492"/>
        <v>440</v>
      </c>
      <c r="AV885" s="1167"/>
      <c r="AW885" s="1162"/>
      <c r="AX885" s="1162"/>
      <c r="AY885" s="1167"/>
      <c r="AZ885" s="1162"/>
      <c r="BA885" s="1168"/>
      <c r="BB885" s="1163">
        <f>I885/11</f>
        <v>40</v>
      </c>
      <c r="BC885" s="1163"/>
      <c r="BD885" s="1163"/>
      <c r="BE885" s="1163"/>
      <c r="BF885" s="1164"/>
      <c r="BG885" s="1164"/>
      <c r="BH885" s="1163"/>
      <c r="BI885" s="1164"/>
      <c r="BJ885" s="1159"/>
      <c r="BK885" s="1159"/>
      <c r="BL885" s="1169"/>
      <c r="BM885" s="1169"/>
      <c r="BN885" s="1169"/>
      <c r="BO885" s="1169"/>
      <c r="BP885" s="1159"/>
      <c r="BQ885" s="1169"/>
      <c r="BR885" s="1159"/>
      <c r="BS885" s="1169"/>
      <c r="BT885" s="1169"/>
      <c r="BU885" s="1169"/>
      <c r="BV885" s="1169"/>
      <c r="BW885" s="1170" t="s">
        <v>109</v>
      </c>
      <c r="BX885" s="1163">
        <f>I885/22*5</f>
        <v>100</v>
      </c>
      <c r="BY885" s="1163">
        <f>I885/22*6</f>
        <v>120</v>
      </c>
      <c r="BZ885" s="1163">
        <f>I885/22*6</f>
        <v>120</v>
      </c>
      <c r="CA885" s="1163">
        <f>I885/22*5</f>
        <v>100</v>
      </c>
      <c r="CB885" s="1163">
        <f t="shared" si="493"/>
        <v>440</v>
      </c>
      <c r="CC885" s="1163">
        <f>I885/11</f>
        <v>40</v>
      </c>
      <c r="CD885" s="1163">
        <f t="shared" si="494"/>
        <v>440</v>
      </c>
      <c r="CE885" s="1171">
        <f t="shared" si="475"/>
        <v>0</v>
      </c>
      <c r="CF885" s="562"/>
      <c r="CG885" s="557"/>
      <c r="XDR885" s="1045"/>
      <c r="XDS885" s="1045"/>
      <c r="XDT885" s="1064"/>
      <c r="XDU885" s="1027"/>
      <c r="XDV885" s="1028"/>
      <c r="XDW885" s="1029"/>
      <c r="XDX885" s="1102"/>
      <c r="XDY885" s="1103"/>
      <c r="XDZ885" s="1031"/>
      <c r="XEA885" s="1031"/>
      <c r="XEB885" s="1032"/>
      <c r="XEC885" s="1032"/>
      <c r="XED885" s="1065"/>
      <c r="XEE885" s="1104"/>
      <c r="XEF885" s="1066"/>
      <c r="XEG885" s="1066"/>
      <c r="XEH885" s="1067"/>
      <c r="XEI885" s="1067"/>
      <c r="XEJ885" s="1064"/>
      <c r="XEK885" s="1027"/>
      <c r="XEL885" s="1028"/>
      <c r="XEM885" s="1029"/>
      <c r="XEN885" s="1102"/>
      <c r="XEO885" s="1103"/>
      <c r="XEP885" s="1031"/>
      <c r="XEQ885" s="1031"/>
      <c r="XER885" s="1032"/>
      <c r="XES885" s="1032"/>
      <c r="XET885" s="1065"/>
      <c r="XEU885" s="1104"/>
      <c r="XEV885" s="1066"/>
      <c r="XEW885" s="1066"/>
      <c r="XEX885" s="1067"/>
      <c r="XEY885" s="1067"/>
      <c r="XEZ885" s="1067"/>
      <c r="XFA885" s="1034"/>
      <c r="XFB885" s="1034"/>
      <c r="XFC885" s="1034"/>
      <c r="XFD885" s="1035"/>
    </row>
    <row r="886" s="563" customFormat="1" ht="40" customHeight="1" spans="1:84 16324:16384">
      <c r="A886" s="992">
        <v>46234</v>
      </c>
      <c r="B886" s="993" t="s">
        <v>3236</v>
      </c>
      <c r="C886" s="994" t="s">
        <v>466</v>
      </c>
      <c r="D886" s="995">
        <v>4500218324</v>
      </c>
      <c r="E886" s="1040"/>
      <c r="F886" s="1112" t="s">
        <v>3688</v>
      </c>
      <c r="G886" s="997" t="s">
        <v>111</v>
      </c>
      <c r="H886" s="997" t="s">
        <v>99</v>
      </c>
      <c r="I886" s="998">
        <v>792</v>
      </c>
      <c r="J886" s="998">
        <v>0</v>
      </c>
      <c r="K886" s="999">
        <v>22</v>
      </c>
      <c r="L886" s="1113">
        <f t="shared" si="480"/>
        <v>36</v>
      </c>
      <c r="M886" s="1000">
        <v>46275</v>
      </c>
      <c r="N886" s="1000">
        <v>46272</v>
      </c>
      <c r="O886" s="1001"/>
      <c r="P886" s="1001"/>
      <c r="Q886" s="1002"/>
      <c r="R886" s="1003" t="s">
        <v>1961</v>
      </c>
      <c r="S886" s="1097"/>
      <c r="T886" s="1097"/>
      <c r="U886" s="1004" t="s">
        <v>3689</v>
      </c>
      <c r="V886" s="1098"/>
      <c r="W886" s="1062"/>
      <c r="X886" s="1006" t="s">
        <v>3241</v>
      </c>
      <c r="Y886" s="999" t="s">
        <v>3690</v>
      </c>
      <c r="Z886" s="1115">
        <v>2.8676</v>
      </c>
      <c r="AA886" s="1010">
        <f t="shared" si="481"/>
        <v>2271.1392</v>
      </c>
      <c r="AB886" s="1010"/>
      <c r="AC886" s="1011">
        <f t="shared" si="491"/>
        <v>-792</v>
      </c>
      <c r="AD886" s="1039" t="s">
        <v>106</v>
      </c>
      <c r="AE886" s="1040" t="s">
        <v>111</v>
      </c>
      <c r="AF886" s="1013" t="s">
        <v>107</v>
      </c>
      <c r="AG886" s="1059" t="s">
        <v>43</v>
      </c>
      <c r="AH886" s="1007"/>
      <c r="AI886" s="1017"/>
      <c r="AJ886" s="1017"/>
      <c r="AK886" s="1172"/>
      <c r="AL886" s="929"/>
      <c r="AM886" s="965">
        <f>I886</f>
        <v>792</v>
      </c>
      <c r="AN886" s="1016"/>
      <c r="AO886" s="1172"/>
      <c r="AP886" s="1025"/>
      <c r="AQ886" s="1025"/>
      <c r="AR886" s="1024"/>
      <c r="AS886" s="1024"/>
      <c r="AT886" s="1024"/>
      <c r="AU886" s="655">
        <f t="shared" si="492"/>
        <v>792</v>
      </c>
      <c r="AW886" s="1024"/>
      <c r="AX886" s="1024"/>
      <c r="AY886" s="1025"/>
      <c r="AZ886" s="1024"/>
      <c r="BA886" s="1173"/>
      <c r="BB886" s="339">
        <f>I886/11</f>
        <v>72</v>
      </c>
      <c r="BC886" s="1172"/>
      <c r="BD886" s="1172"/>
      <c r="BE886" s="1025"/>
      <c r="BF886" s="1172"/>
      <c r="BG886" s="1172"/>
      <c r="BH886" s="1025"/>
      <c r="BI886" s="1174"/>
      <c r="BJ886" s="1172"/>
      <c r="BK886" s="1129"/>
      <c r="BL886" s="563"/>
      <c r="BM886" s="563"/>
      <c r="BN886" s="563"/>
      <c r="BO886" s="563"/>
      <c r="BP886" s="1129"/>
      <c r="BQ886" s="563"/>
      <c r="BR886" s="1129"/>
      <c r="BS886" s="563"/>
      <c r="BT886" s="563"/>
      <c r="BU886" s="563"/>
      <c r="BV886" s="563"/>
      <c r="BW886" s="1175" t="s">
        <v>109</v>
      </c>
      <c r="BX886" s="1025">
        <f>I886/22*5</f>
        <v>180</v>
      </c>
      <c r="BY886" s="1025">
        <f>I886/22*6</f>
        <v>216</v>
      </c>
      <c r="BZ886" s="1025">
        <f>I886/22*6</f>
        <v>216</v>
      </c>
      <c r="CA886" s="1025">
        <f>I886/22*5</f>
        <v>180</v>
      </c>
      <c r="CB886" s="1025">
        <f t="shared" si="493"/>
        <v>792</v>
      </c>
      <c r="CC886" s="1025">
        <f>I886/11</f>
        <v>72</v>
      </c>
      <c r="CD886" s="1025">
        <f t="shared" si="494"/>
        <v>792</v>
      </c>
      <c r="CE886" s="1025">
        <f t="shared" si="475"/>
        <v>0</v>
      </c>
      <c r="XCV886" s="1176"/>
      <c r="XCW886" s="1176"/>
      <c r="XCX886" s="992"/>
      <c r="XCY886" s="993"/>
      <c r="XCZ886" s="994"/>
      <c r="XDA886" s="995"/>
      <c r="XDB886" s="1040"/>
      <c r="XDC886" s="1112"/>
      <c r="XDD886" s="997"/>
      <c r="XDE886" s="997"/>
      <c r="XDF886" s="998"/>
      <c r="XDG886" s="998"/>
      <c r="XDH886" s="999"/>
      <c r="XDI886" s="1113"/>
      <c r="XDJ886" s="1000"/>
      <c r="XDK886" s="1000"/>
      <c r="XDL886" s="1001"/>
      <c r="XDM886" s="1001"/>
      <c r="XDN886" s="992"/>
      <c r="XDO886" s="993"/>
      <c r="XDP886" s="994"/>
      <c r="XDQ886" s="995"/>
      <c r="XDR886" s="1040"/>
      <c r="XDS886" s="1112"/>
      <c r="XDT886" s="997"/>
      <c r="XDU886" s="997"/>
      <c r="XDV886" s="998"/>
      <c r="XDW886" s="998"/>
      <c r="XDX886" s="999"/>
      <c r="XDY886" s="1113"/>
      <c r="XDZ886" s="1000"/>
      <c r="XEA886" s="1000"/>
      <c r="XEB886" s="1001"/>
      <c r="XEC886" s="1001"/>
      <c r="XED886" s="1001"/>
      <c r="XEE886" s="1097"/>
      <c r="XEF886" s="1097"/>
      <c r="XEG886" s="1097"/>
      <c r="XEH886" s="1098"/>
      <c r="XEI886" s="992"/>
      <c r="XEJ886" s="993"/>
      <c r="XEK886" s="994"/>
      <c r="XEL886" s="995"/>
      <c r="XEM886" s="1040"/>
      <c r="XEN886" s="1112"/>
      <c r="XEO886" s="997"/>
      <c r="XEP886" s="997"/>
      <c r="XEQ886" s="998"/>
      <c r="XER886" s="998"/>
      <c r="XES886" s="999"/>
      <c r="XET886" s="1113"/>
      <c r="XEU886" s="1000"/>
      <c r="XEV886" s="1000"/>
      <c r="XEW886" s="1001"/>
      <c r="XEX886" s="1001"/>
      <c r="XEY886" s="1002"/>
      <c r="XEZ886" s="1003"/>
      <c r="XFA886" s="1097"/>
      <c r="XFB886" s="1097"/>
      <c r="XFC886" s="1004"/>
      <c r="XFD886" s="1098"/>
    </row>
    <row r="887" s="557" customFormat="1" ht="40" customHeight="1" spans="1:84 16324:16384">
      <c r="A887" s="1177">
        <v>46091</v>
      </c>
      <c r="B887" s="1178" t="s">
        <v>1074</v>
      </c>
      <c r="C887" s="1179" t="s">
        <v>380</v>
      </c>
      <c r="D887" s="1180">
        <v>4500195635</v>
      </c>
      <c r="E887" s="1181" t="s">
        <v>3520</v>
      </c>
      <c r="F887" s="1180" t="s">
        <v>3518</v>
      </c>
      <c r="G887" s="1182" t="s">
        <v>241</v>
      </c>
      <c r="H887" s="1182" t="s">
        <v>99</v>
      </c>
      <c r="I887" s="1183">
        <v>6050</v>
      </c>
      <c r="J887" s="1183">
        <v>0</v>
      </c>
      <c r="K887" s="1184">
        <v>11</v>
      </c>
      <c r="L887" s="1184">
        <f t="shared" si="480"/>
        <v>550</v>
      </c>
      <c r="M887" s="1185">
        <v>46279</v>
      </c>
      <c r="N887" s="1185">
        <v>46276</v>
      </c>
      <c r="O887" s="1185"/>
      <c r="P887" s="1186"/>
      <c r="Q887" s="1187"/>
      <c r="R887" s="1186" t="s">
        <v>868</v>
      </c>
      <c r="S887" s="1185"/>
      <c r="T887" s="1186" t="s">
        <v>2998</v>
      </c>
      <c r="U887" s="1148" t="s">
        <v>113</v>
      </c>
      <c r="V887" s="1186"/>
      <c r="W887" s="1188"/>
      <c r="X887" s="1189" t="s">
        <v>3519</v>
      </c>
      <c r="Y887" s="1190" t="s">
        <v>105</v>
      </c>
      <c r="Z887" s="1191">
        <v>2.6821</v>
      </c>
      <c r="AA887" s="1192">
        <f t="shared" si="481"/>
        <v>16226.705</v>
      </c>
      <c r="AB887" s="1193"/>
      <c r="AC887" s="1011">
        <f t="shared" si="491"/>
        <v>-6050</v>
      </c>
      <c r="AD887" s="1192"/>
      <c r="AE887" s="1182" t="s">
        <v>241</v>
      </c>
      <c r="AF887" s="1190" t="s">
        <v>107</v>
      </c>
      <c r="AG887" s="1166"/>
      <c r="AH887" s="1190"/>
      <c r="AI887" s="1194"/>
      <c r="AJ887" s="1194"/>
      <c r="AK887" s="1194"/>
      <c r="AL887" s="1195"/>
      <c r="AM887" s="1193">
        <f>I887</f>
        <v>6050</v>
      </c>
      <c r="AN887" s="1194"/>
      <c r="AO887" s="1158"/>
      <c r="AP887" s="1166"/>
      <c r="AQ887" s="1166"/>
      <c r="AR887" s="1158"/>
      <c r="AS887" s="1158"/>
      <c r="AT887" s="1166"/>
      <c r="AU887" s="1166">
        <f t="shared" si="492"/>
        <v>6050</v>
      </c>
      <c r="AV887" s="1166"/>
      <c r="AW887" s="1158"/>
      <c r="AX887" s="1166"/>
      <c r="AY887" s="1166"/>
      <c r="AZ887" s="1162"/>
      <c r="BA887" s="1196"/>
      <c r="BB887" s="1197">
        <f>I887/11</f>
        <v>550</v>
      </c>
      <c r="BC887" s="1162"/>
      <c r="BD887" s="1162"/>
      <c r="BE887" s="1196"/>
      <c r="BF887" s="1162"/>
      <c r="BG887" s="1188"/>
      <c r="BH887" s="1198"/>
      <c r="BI887" s="1161"/>
      <c r="BJ887" s="1161"/>
      <c r="BK887" s="1198"/>
      <c r="BL887" s="1199"/>
      <c r="BM887" s="1198"/>
      <c r="BN887" s="1199"/>
      <c r="BO887" s="1199"/>
      <c r="BP887" s="1200"/>
      <c r="BQ887" s="1196"/>
      <c r="BR887" s="1162"/>
      <c r="BS887" s="1196"/>
      <c r="BT887" s="1196"/>
      <c r="BU887" s="1196"/>
      <c r="BV887" s="1196"/>
      <c r="BW887" s="1170" t="s">
        <v>109</v>
      </c>
      <c r="BX887" s="1198">
        <f>I887/22*5</f>
        <v>1375</v>
      </c>
      <c r="BY887" s="1198">
        <f>I887/22*6</f>
        <v>1650</v>
      </c>
      <c r="BZ887" s="1198">
        <f>I887/22*6</f>
        <v>1650</v>
      </c>
      <c r="CA887" s="1198">
        <f>I887/22*5</f>
        <v>1375</v>
      </c>
      <c r="CB887" s="1199">
        <f t="shared" si="493"/>
        <v>6050</v>
      </c>
      <c r="CC887" s="1198">
        <f>I887/11</f>
        <v>550</v>
      </c>
      <c r="CD887" s="1199">
        <f t="shared" si="494"/>
        <v>6050</v>
      </c>
      <c r="CE887" s="1171">
        <f t="shared" si="475"/>
        <v>0</v>
      </c>
    </row>
    <row r="888" s="564" customFormat="1" ht="40" customHeight="1" spans="1:84 16324:16384">
      <c r="A888" s="992">
        <v>46238</v>
      </c>
      <c r="B888" s="993" t="s">
        <v>3691</v>
      </c>
      <c r="C888" s="994" t="s">
        <v>169</v>
      </c>
      <c r="D888" s="995" t="s">
        <v>3692</v>
      </c>
      <c r="E888" s="1040" t="s">
        <v>3693</v>
      </c>
      <c r="F888" s="1112" t="s">
        <v>3694</v>
      </c>
      <c r="G888" s="997" t="s">
        <v>241</v>
      </c>
      <c r="H888" s="997" t="s">
        <v>99</v>
      </c>
      <c r="I888" s="998">
        <v>5500</v>
      </c>
      <c r="J888" s="998">
        <v>0</v>
      </c>
      <c r="K888" s="999">
        <v>11</v>
      </c>
      <c r="L888" s="1113">
        <f t="shared" si="480"/>
        <v>500</v>
      </c>
      <c r="M888" s="1000">
        <v>46280</v>
      </c>
      <c r="N888" s="1000">
        <v>46276</v>
      </c>
      <c r="O888" s="1001"/>
      <c r="P888" s="1001"/>
      <c r="Q888" s="1002"/>
      <c r="R888" s="1003" t="s">
        <v>3695</v>
      </c>
      <c r="S888" s="1097"/>
      <c r="T888" s="1003" t="s">
        <v>3029</v>
      </c>
      <c r="U888" s="1003" t="s">
        <v>3696</v>
      </c>
      <c r="V888" s="1098"/>
      <c r="W888" s="314" t="s">
        <v>3697</v>
      </c>
      <c r="X888" s="1006" t="s">
        <v>3698</v>
      </c>
      <c r="Y888" s="999" t="s">
        <v>3699</v>
      </c>
      <c r="Z888" s="1115">
        <v>2.7141</v>
      </c>
      <c r="AA888" s="1010">
        <f t="shared" si="481"/>
        <v>14927.55</v>
      </c>
      <c r="AB888" s="1010"/>
      <c r="AC888" s="1011">
        <f t="shared" si="491"/>
        <v>-5500</v>
      </c>
      <c r="AD888" s="1039" t="s">
        <v>123</v>
      </c>
      <c r="AE888" s="764" t="s">
        <v>597</v>
      </c>
      <c r="AF888" s="1013" t="s">
        <v>107</v>
      </c>
      <c r="AG888" s="1007"/>
      <c r="AH888" s="1007"/>
      <c r="AI888" s="1023"/>
      <c r="AJ888" s="965"/>
      <c r="AK888" s="1025"/>
      <c r="AL888" s="655"/>
      <c r="AM888" s="674"/>
      <c r="AN888" s="674"/>
      <c r="AO888" s="1025"/>
      <c r="AP888" s="1025">
        <f>I888</f>
        <v>5500</v>
      </c>
      <c r="AQ888" s="1025"/>
      <c r="AR888" s="563"/>
      <c r="AS888" s="563"/>
      <c r="AT888" s="563"/>
      <c r="AU888" s="1025">
        <f t="shared" si="492"/>
        <v>5500</v>
      </c>
      <c r="AV888" s="563"/>
      <c r="AW888" s="563"/>
      <c r="AX888" s="563"/>
      <c r="AY888" s="563"/>
      <c r="AZ888" s="563"/>
      <c r="BA888" s="1061"/>
      <c r="BB888" s="1025">
        <f>I888/11</f>
        <v>500</v>
      </c>
      <c r="BC888" s="1025"/>
      <c r="BD888" s="1025"/>
      <c r="BE888" s="1025"/>
      <c r="BF888" s="1025"/>
      <c r="BG888" s="1025"/>
      <c r="BH888" s="1025"/>
      <c r="BI888" s="1025"/>
      <c r="BJ888" s="1025"/>
      <c r="BK888" s="563"/>
      <c r="BL888" s="563"/>
      <c r="BM888" s="563"/>
      <c r="BN888" s="563"/>
      <c r="BO888" s="563"/>
      <c r="BP888" s="563"/>
      <c r="BQ888" s="563"/>
      <c r="BR888" s="563"/>
      <c r="BS888" s="563"/>
      <c r="BT888" s="563"/>
      <c r="BU888" s="563"/>
      <c r="BV888" s="563"/>
      <c r="BW888" s="1170" t="s">
        <v>109</v>
      </c>
      <c r="BX888" s="1025">
        <f>I888/22*5</f>
        <v>1250</v>
      </c>
      <c r="BY888" s="1025">
        <f>I888/22*6</f>
        <v>1500</v>
      </c>
      <c r="BZ888" s="1025">
        <f>I888/22*6</f>
        <v>1500</v>
      </c>
      <c r="CA888" s="1025">
        <f>I888/22*5</f>
        <v>1250</v>
      </c>
      <c r="CB888" s="1025">
        <f t="shared" si="493"/>
        <v>5500</v>
      </c>
      <c r="CC888" s="1025">
        <f>I888/11</f>
        <v>500</v>
      </c>
      <c r="CD888" s="1025">
        <f t="shared" si="494"/>
        <v>5500</v>
      </c>
      <c r="CE888" s="1025">
        <f t="shared" si="475"/>
        <v>0</v>
      </c>
      <c r="CF888" s="1057"/>
      <c r="CG888" s="564"/>
      <c r="XCV888" s="1176"/>
      <c r="XCW888" s="1176"/>
      <c r="XCX888" s="992"/>
      <c r="XCY888" s="993"/>
      <c r="XCZ888" s="994"/>
      <c r="XDA888" s="995"/>
      <c r="XDB888" s="1040"/>
      <c r="XDC888" s="1112"/>
      <c r="XDD888" s="997"/>
      <c r="XDE888" s="997"/>
      <c r="XDF888" s="998"/>
      <c r="XDG888" s="998"/>
      <c r="XDH888" s="999"/>
      <c r="XDI888" s="1113"/>
      <c r="XDJ888" s="1000"/>
      <c r="XDK888" s="1000"/>
      <c r="XDL888" s="1001"/>
      <c r="XDM888" s="1001"/>
      <c r="XDN888" s="992"/>
      <c r="XDO888" s="993"/>
      <c r="XDP888" s="994"/>
      <c r="XDQ888" s="995"/>
      <c r="XDR888" s="1040"/>
      <c r="XDS888" s="1112"/>
      <c r="XDT888" s="997"/>
      <c r="XDU888" s="997"/>
      <c r="XDV888" s="998"/>
      <c r="XDW888" s="998"/>
      <c r="XDX888" s="999"/>
      <c r="XDY888" s="1113"/>
      <c r="XDZ888" s="1000"/>
      <c r="XEA888" s="1000"/>
      <c r="XEB888" s="1001"/>
      <c r="XEC888" s="1001"/>
      <c r="XED888" s="1001"/>
      <c r="XEE888" s="1097"/>
      <c r="XEF888" s="1097"/>
      <c r="XEG888" s="1097"/>
      <c r="XEH888" s="1098"/>
      <c r="XEI888" s="992"/>
      <c r="XEJ888" s="993"/>
      <c r="XEK888" s="994"/>
      <c r="XEL888" s="995"/>
      <c r="XEM888" s="1040"/>
      <c r="XEN888" s="1112"/>
      <c r="XEO888" s="997"/>
      <c r="XEP888" s="997"/>
      <c r="XEQ888" s="998"/>
      <c r="XER888" s="998"/>
      <c r="XES888" s="999"/>
      <c r="XET888" s="1113"/>
      <c r="XEU888" s="1000"/>
      <c r="XEV888" s="1000"/>
      <c r="XEW888" s="1001"/>
      <c r="XEX888" s="1001"/>
      <c r="XEY888" s="1002"/>
      <c r="XEZ888" s="1003"/>
      <c r="XFA888" s="1097"/>
      <c r="XFB888" s="1097"/>
      <c r="XFC888" s="1003"/>
      <c r="XFD888" s="1098"/>
    </row>
    <row r="889" s="564" customFormat="1" ht="40" customHeight="1" spans="1:84 16324:16384">
      <c r="A889" s="992">
        <v>46234</v>
      </c>
      <c r="B889" s="993" t="s">
        <v>3700</v>
      </c>
      <c r="C889" s="994" t="s">
        <v>144</v>
      </c>
      <c r="D889" s="995">
        <v>4500210717</v>
      </c>
      <c r="E889" s="1040">
        <v>30260587</v>
      </c>
      <c r="F889" s="1112" t="s">
        <v>3701</v>
      </c>
      <c r="G889" s="997" t="s">
        <v>1431</v>
      </c>
      <c r="H889" s="997" t="s">
        <v>1432</v>
      </c>
      <c r="I889" s="998">
        <v>1416</v>
      </c>
      <c r="J889" s="998">
        <v>0</v>
      </c>
      <c r="K889" s="999">
        <v>24</v>
      </c>
      <c r="L889" s="1113">
        <f t="shared" si="480"/>
        <v>59</v>
      </c>
      <c r="M889" s="1000">
        <v>46281</v>
      </c>
      <c r="N889" s="1000">
        <v>46277</v>
      </c>
      <c r="O889" s="312" t="s">
        <v>3702</v>
      </c>
      <c r="P889" s="1001"/>
      <c r="Q889" s="1002"/>
      <c r="R889" s="1003" t="s">
        <v>3703</v>
      </c>
      <c r="S889" s="1097"/>
      <c r="T889" s="1003" t="s">
        <v>3380</v>
      </c>
      <c r="U889" s="1003" t="s">
        <v>3704</v>
      </c>
      <c r="V889" s="1098"/>
      <c r="W889" s="1062"/>
      <c r="X889" s="1006" t="s">
        <v>3705</v>
      </c>
      <c r="Y889" s="999" t="s">
        <v>3627</v>
      </c>
      <c r="Z889" s="1115">
        <v>2.4997</v>
      </c>
      <c r="AA889" s="1010">
        <f t="shared" si="481"/>
        <v>3539.5752</v>
      </c>
      <c r="AB889" s="1010"/>
      <c r="AC889" s="1011">
        <f t="shared" si="491"/>
        <v>-1416</v>
      </c>
      <c r="AD889" s="1039"/>
      <c r="AE889" s="637" t="s">
        <v>1431</v>
      </c>
      <c r="AF889" s="1013" t="s">
        <v>107</v>
      </c>
      <c r="AG889" s="1007"/>
      <c r="AH889" s="1007"/>
      <c r="AI889" s="929"/>
      <c r="AJ889" s="1129"/>
      <c r="AK889" s="929"/>
      <c r="AL889" s="929"/>
      <c r="AM889" s="1023">
        <f>I889</f>
        <v>1416</v>
      </c>
      <c r="AN889" s="1125"/>
      <c r="AO889" s="930"/>
      <c r="AP889" s="674"/>
      <c r="AQ889" s="1025"/>
      <c r="AR889" s="1201"/>
      <c r="AS889" s="1124"/>
      <c r="AT889" s="1124"/>
      <c r="AU889" s="965">
        <f t="shared" si="492"/>
        <v>1416</v>
      </c>
      <c r="AV889" s="674"/>
      <c r="AW889" s="930"/>
      <c r="AX889" s="930"/>
      <c r="AY889" s="674"/>
      <c r="AZ889" s="930"/>
      <c r="BA889" s="1202"/>
      <c r="BB889" s="1025"/>
      <c r="BC889" s="1201"/>
      <c r="BD889" s="1201"/>
      <c r="BE889" s="1025"/>
      <c r="BF889" s="1201"/>
      <c r="BG889" s="1201"/>
      <c r="BH889" s="1025"/>
      <c r="BI889" s="1201"/>
      <c r="BJ889" s="1129"/>
      <c r="BK889" s="1129"/>
      <c r="BL889" s="563"/>
      <c r="BM889" s="563"/>
      <c r="BN889" s="563"/>
      <c r="BO889" s="563"/>
      <c r="BP889" s="1129"/>
      <c r="BQ889" s="563"/>
      <c r="BR889" s="1129"/>
      <c r="BS889" s="563"/>
      <c r="BT889" s="563"/>
      <c r="BU889" s="563"/>
      <c r="BV889" s="563"/>
      <c r="BW889" s="1170" t="s">
        <v>109</v>
      </c>
      <c r="BX889" s="1025">
        <f>I889/4</f>
        <v>354</v>
      </c>
      <c r="BY889" s="1025">
        <f>I889/4</f>
        <v>354</v>
      </c>
      <c r="BZ889" s="1025">
        <f>I889/4</f>
        <v>354</v>
      </c>
      <c r="CA889" s="1025">
        <f>I889/4</f>
        <v>354</v>
      </c>
      <c r="CB889" s="1025">
        <f t="shared" si="493"/>
        <v>1416</v>
      </c>
      <c r="CC889" s="1025"/>
      <c r="CD889" s="1025">
        <f t="shared" si="494"/>
        <v>1416</v>
      </c>
      <c r="CE889" s="996">
        <f t="shared" si="475"/>
        <v>0</v>
      </c>
      <c r="CF889" s="1025"/>
      <c r="XDR889" s="1176"/>
      <c r="XDS889" s="1176"/>
      <c r="XDT889" s="992"/>
      <c r="XDU889" s="993"/>
      <c r="XDV889" s="994"/>
      <c r="XDW889" s="995"/>
      <c r="XDX889" s="1040"/>
      <c r="XDY889" s="1112"/>
      <c r="XDZ889" s="997"/>
      <c r="XEA889" s="997"/>
      <c r="XEB889" s="998"/>
      <c r="XEC889" s="998"/>
      <c r="XED889" s="999"/>
      <c r="XEE889" s="1113"/>
      <c r="XEF889" s="1000"/>
      <c r="XEG889" s="1000"/>
      <c r="XEH889" s="1001"/>
      <c r="XEI889" s="1001"/>
      <c r="XEJ889" s="992"/>
      <c r="XEK889" s="993"/>
      <c r="XEL889" s="994"/>
      <c r="XEM889" s="995"/>
      <c r="XEN889" s="1040"/>
      <c r="XEO889" s="1112"/>
      <c r="XEP889" s="997"/>
      <c r="XEQ889" s="997"/>
      <c r="XER889" s="998"/>
      <c r="XES889" s="998"/>
      <c r="XET889" s="999"/>
      <c r="XEU889" s="1113"/>
      <c r="XEV889" s="1000"/>
      <c r="XEW889" s="1000"/>
      <c r="XEX889" s="1001"/>
      <c r="XEY889" s="1001"/>
      <c r="XEZ889" s="1001"/>
      <c r="XFA889" s="1097"/>
      <c r="XFB889" s="1097"/>
      <c r="XFC889" s="1097"/>
      <c r="XFD889" s="1098"/>
    </row>
    <row r="890" s="564" customFormat="1" ht="40" customHeight="1" spans="1:84 16324:16384">
      <c r="A890" s="992">
        <v>46237</v>
      </c>
      <c r="B890" s="993" t="s">
        <v>2091</v>
      </c>
      <c r="C890" s="994" t="s">
        <v>214</v>
      </c>
      <c r="D890" s="995">
        <v>4500218444</v>
      </c>
      <c r="E890" s="1040">
        <v>37070</v>
      </c>
      <c r="F890" s="1112" t="s">
        <v>3706</v>
      </c>
      <c r="G890" s="997" t="s">
        <v>111</v>
      </c>
      <c r="H890" s="997" t="s">
        <v>99</v>
      </c>
      <c r="I890" s="998">
        <v>1980</v>
      </c>
      <c r="J890" s="998">
        <v>0</v>
      </c>
      <c r="K890" s="999">
        <v>22</v>
      </c>
      <c r="L890" s="1113">
        <f t="shared" si="480"/>
        <v>90</v>
      </c>
      <c r="M890" s="1000">
        <v>46281</v>
      </c>
      <c r="N890" s="1000">
        <v>46277</v>
      </c>
      <c r="O890" s="1001"/>
      <c r="P890" s="1001"/>
      <c r="Q890" s="1002"/>
      <c r="R890" s="1003" t="s">
        <v>2033</v>
      </c>
      <c r="S890" s="1097"/>
      <c r="T890" s="1097"/>
      <c r="U890" s="1003" t="s">
        <v>113</v>
      </c>
      <c r="V890" s="1098"/>
      <c r="W890" s="1062"/>
      <c r="X890" s="1006" t="s">
        <v>3707</v>
      </c>
      <c r="Y890" s="999" t="s">
        <v>2096</v>
      </c>
      <c r="Z890" s="1115">
        <v>1.7118</v>
      </c>
      <c r="AA890" s="1010">
        <f t="shared" si="481"/>
        <v>3389.364</v>
      </c>
      <c r="AB890" s="1010"/>
      <c r="AC890" s="1011">
        <f t="shared" si="491"/>
        <v>-1980</v>
      </c>
      <c r="AD890" s="1039"/>
      <c r="AE890" s="1040" t="s">
        <v>111</v>
      </c>
      <c r="AF890" s="1013" t="s">
        <v>107</v>
      </c>
      <c r="AG890" s="1007"/>
      <c r="AH890" s="1007"/>
      <c r="AI890" s="1023"/>
      <c r="AJ890" s="965"/>
      <c r="AK890" s="1025"/>
      <c r="AL890" s="655"/>
      <c r="AM890" s="965">
        <f>I890</f>
        <v>1980</v>
      </c>
      <c r="AN890" s="674"/>
      <c r="AO890" s="1025"/>
      <c r="AP890" s="1025"/>
      <c r="AQ890" s="1025"/>
      <c r="AR890" s="563"/>
      <c r="AS890" s="563"/>
      <c r="AT890" s="563"/>
      <c r="AU890" s="1025">
        <f t="shared" si="492"/>
        <v>1980</v>
      </c>
      <c r="AV890" s="563"/>
      <c r="AW890" s="563"/>
      <c r="AX890" s="563"/>
      <c r="AY890" s="563"/>
      <c r="AZ890" s="563"/>
      <c r="BA890" s="1061"/>
      <c r="BB890" s="339">
        <f>I890/11</f>
        <v>180</v>
      </c>
      <c r="BC890" s="1025"/>
      <c r="BD890" s="1025"/>
      <c r="BE890" s="1025"/>
      <c r="BF890" s="1025"/>
      <c r="BG890" s="1025"/>
      <c r="BH890" s="1025"/>
      <c r="BI890" s="1025"/>
      <c r="BJ890" s="1025"/>
      <c r="BK890" s="563"/>
      <c r="BL890" s="563"/>
      <c r="BM890" s="563"/>
      <c r="BN890" s="563"/>
      <c r="BO890" s="563"/>
      <c r="BP890" s="563"/>
      <c r="BQ890" s="563"/>
      <c r="BR890" s="563"/>
      <c r="BS890" s="563"/>
      <c r="BT890" s="563"/>
      <c r="BU890" s="563"/>
      <c r="BV890" s="563"/>
      <c r="BW890" s="1170" t="s">
        <v>109</v>
      </c>
      <c r="BX890" s="1025">
        <f>I890/22*5</f>
        <v>450</v>
      </c>
      <c r="BY890" s="1025">
        <f>I890/22*6</f>
        <v>540</v>
      </c>
      <c r="BZ890" s="1025">
        <f>I890/22*6</f>
        <v>540</v>
      </c>
      <c r="CA890" s="1025">
        <f>I890/22*5</f>
        <v>450</v>
      </c>
      <c r="CB890" s="1025">
        <f t="shared" si="493"/>
        <v>1980</v>
      </c>
      <c r="CC890" s="1025">
        <f>I890/11</f>
        <v>180</v>
      </c>
      <c r="CD890" s="1025">
        <f t="shared" si="494"/>
        <v>1980</v>
      </c>
      <c r="CE890" s="1025">
        <f t="shared" si="475"/>
        <v>0</v>
      </c>
      <c r="CF890" s="1057"/>
      <c r="CG890" s="564"/>
      <c r="XCV890" s="1176"/>
      <c r="XCW890" s="1176"/>
      <c r="XCX890" s="992"/>
      <c r="XCY890" s="993"/>
      <c r="XCZ890" s="994"/>
      <c r="XDA890" s="995"/>
      <c r="XDB890" s="1040"/>
      <c r="XDC890" s="1112"/>
      <c r="XDD890" s="997"/>
      <c r="XDE890" s="997"/>
      <c r="XDF890" s="998"/>
      <c r="XDG890" s="998"/>
      <c r="XDH890" s="999"/>
      <c r="XDI890" s="1113"/>
      <c r="XDJ890" s="1000"/>
      <c r="XDK890" s="1000"/>
      <c r="XDL890" s="1001"/>
      <c r="XDM890" s="1001"/>
      <c r="XDN890" s="992"/>
      <c r="XDO890" s="993"/>
      <c r="XDP890" s="994"/>
      <c r="XDQ890" s="995"/>
      <c r="XDR890" s="1040"/>
      <c r="XDS890" s="1112"/>
      <c r="XDT890" s="997"/>
      <c r="XDU890" s="997"/>
      <c r="XDV890" s="998"/>
      <c r="XDW890" s="998"/>
      <c r="XDX890" s="999"/>
      <c r="XDY890" s="1113"/>
      <c r="XDZ890" s="1000"/>
      <c r="XEA890" s="1000"/>
      <c r="XEB890" s="1001"/>
      <c r="XEC890" s="1001"/>
      <c r="XED890" s="1001"/>
      <c r="XEE890" s="1097"/>
      <c r="XEF890" s="1097"/>
      <c r="XEG890" s="1097"/>
      <c r="XEH890" s="1098"/>
      <c r="XEI890" s="992"/>
      <c r="XEJ890" s="993"/>
      <c r="XEK890" s="994"/>
      <c r="XEL890" s="995"/>
      <c r="XEM890" s="1040"/>
      <c r="XEN890" s="1112"/>
      <c r="XEO890" s="997"/>
      <c r="XEP890" s="997"/>
      <c r="XEQ890" s="998"/>
      <c r="XER890" s="998"/>
      <c r="XES890" s="999"/>
      <c r="XET890" s="1113"/>
      <c r="XEU890" s="1000"/>
      <c r="XEV890" s="1000"/>
      <c r="XEW890" s="1001"/>
      <c r="XEX890" s="1001"/>
      <c r="XEY890" s="1002"/>
      <c r="XEZ890" s="1003"/>
      <c r="XFA890" s="1097"/>
      <c r="XFB890" s="1097"/>
      <c r="XFC890" s="1003"/>
      <c r="XFD890" s="1098"/>
    </row>
    <row r="891" s="564" customFormat="1" ht="40" customHeight="1" spans="1:84 16324:16384">
      <c r="A891" s="1077">
        <v>46231</v>
      </c>
      <c r="B891" s="1078" t="s">
        <v>2534</v>
      </c>
      <c r="C891" s="1079" t="s">
        <v>214</v>
      </c>
      <c r="D891" s="1080">
        <v>4500217954</v>
      </c>
      <c r="E891" s="1121">
        <v>84007087</v>
      </c>
      <c r="F891" s="1080" t="s">
        <v>3708</v>
      </c>
      <c r="G891" s="742" t="s">
        <v>241</v>
      </c>
      <c r="H891" s="742" t="s">
        <v>99</v>
      </c>
      <c r="I891" s="1082">
        <v>1496</v>
      </c>
      <c r="J891" s="1082">
        <v>0</v>
      </c>
      <c r="K891" s="1083">
        <v>11</v>
      </c>
      <c r="L891" s="1083">
        <f t="shared" si="480"/>
        <v>136</v>
      </c>
      <c r="M891" s="740">
        <v>46283</v>
      </c>
      <c r="N891" s="740">
        <v>46279</v>
      </c>
      <c r="O891" s="740"/>
      <c r="P891" s="1084"/>
      <c r="Q891" s="1085"/>
      <c r="R891" s="1003" t="s">
        <v>3709</v>
      </c>
      <c r="S891" s="740"/>
      <c r="T891" s="1084"/>
      <c r="U891" s="1004" t="s">
        <v>113</v>
      </c>
      <c r="V891" s="1084"/>
      <c r="W891" s="1062" t="s">
        <v>3479</v>
      </c>
      <c r="X891" s="1086" t="s">
        <v>3710</v>
      </c>
      <c r="Y891" s="1087" t="s">
        <v>377</v>
      </c>
      <c r="Z891" s="1088">
        <v>1.6651</v>
      </c>
      <c r="AA891" s="1089">
        <f t="shared" si="481"/>
        <v>2490.9896</v>
      </c>
      <c r="AB891" s="651"/>
      <c r="AC891" s="1011">
        <f t="shared" si="491"/>
        <v>-1496</v>
      </c>
      <c r="AD891" s="1089"/>
      <c r="AE891" s="742" t="s">
        <v>241</v>
      </c>
      <c r="AF891" s="1013" t="s">
        <v>107</v>
      </c>
      <c r="AG891" s="655"/>
      <c r="AH891" s="1087"/>
      <c r="AI891" s="696"/>
      <c r="AJ891" s="696"/>
      <c r="AK891" s="696"/>
      <c r="AL891" s="945"/>
      <c r="AM891" s="651">
        <f>I891</f>
        <v>1496</v>
      </c>
      <c r="AN891" s="696"/>
      <c r="AO891" s="777"/>
      <c r="AP891" s="655"/>
      <c r="AQ891" s="655"/>
      <c r="AR891" s="777"/>
      <c r="AS891" s="777"/>
      <c r="AT891" s="777"/>
      <c r="AU891" s="655">
        <f t="shared" si="492"/>
        <v>1496</v>
      </c>
      <c r="AV891" s="655"/>
      <c r="AW891" s="777"/>
      <c r="AX891" s="777"/>
      <c r="AY891" s="655"/>
      <c r="AZ891" s="697"/>
      <c r="BA891" s="697"/>
      <c r="BB891" s="339">
        <f>I891/11</f>
        <v>136</v>
      </c>
      <c r="BC891" s="697"/>
      <c r="BD891" s="697"/>
      <c r="BE891" s="656"/>
      <c r="BF891" s="697"/>
      <c r="BG891" s="931"/>
      <c r="BH891" s="905"/>
      <c r="BI891" s="778"/>
      <c r="BJ891" s="778"/>
      <c r="BK891" s="778"/>
      <c r="BL891" s="1091"/>
      <c r="BM891" s="905"/>
      <c r="BN891" s="1091"/>
      <c r="BO891" s="1091"/>
      <c r="BP891" s="779"/>
      <c r="BQ891" s="656"/>
      <c r="BR891" s="697"/>
      <c r="BS891" s="656"/>
      <c r="BT891" s="656"/>
      <c r="BU891" s="656"/>
      <c r="BV891" s="656"/>
      <c r="BW891" s="1170" t="s">
        <v>109</v>
      </c>
      <c r="BX891" s="905">
        <f>I891/22*5</f>
        <v>340</v>
      </c>
      <c r="BY891" s="905">
        <f>I891/22*6</f>
        <v>408</v>
      </c>
      <c r="BZ891" s="905">
        <f>I891/22*6</f>
        <v>408</v>
      </c>
      <c r="CA891" s="905">
        <f>I891/22*5</f>
        <v>340</v>
      </c>
      <c r="CB891" s="1091">
        <f t="shared" si="493"/>
        <v>1496</v>
      </c>
      <c r="CC891" s="905">
        <f>I891/11</f>
        <v>136</v>
      </c>
      <c r="CD891" s="1091">
        <f t="shared" si="494"/>
        <v>1496</v>
      </c>
      <c r="CE891" s="996">
        <f t="shared" si="475"/>
        <v>0</v>
      </c>
      <c r="CF891" s="1057"/>
      <c r="XEN891" s="1203"/>
      <c r="XEO891" s="1203"/>
      <c r="XEP891" s="1203"/>
      <c r="XEQ891" s="1203"/>
      <c r="XER891" s="1203"/>
      <c r="XES891" s="1203"/>
      <c r="XET891" s="1203"/>
      <c r="XEU891" s="1203"/>
      <c r="XEV891" s="1203"/>
      <c r="XEW891" s="1203"/>
      <c r="XEX891" s="1203"/>
      <c r="XEY891" s="1203"/>
      <c r="XEZ891" s="1203"/>
      <c r="XFA891" s="1203"/>
      <c r="XFB891" s="1203"/>
      <c r="XFC891" s="1203"/>
      <c r="XFD891" s="1203"/>
    </row>
    <row r="892" s="564" customFormat="1" ht="40" customHeight="1" spans="1:84 16324:16384">
      <c r="A892" s="992">
        <v>46185</v>
      </c>
      <c r="B892" s="993" t="s">
        <v>1884</v>
      </c>
      <c r="C892" s="994" t="s">
        <v>214</v>
      </c>
      <c r="D892" s="995" t="s">
        <v>3711</v>
      </c>
      <c r="E892" s="1040" t="s">
        <v>3712</v>
      </c>
      <c r="F892" s="1112" t="s">
        <v>3713</v>
      </c>
      <c r="G892" s="997" t="s">
        <v>1830</v>
      </c>
      <c r="H892" s="997" t="s">
        <v>1831</v>
      </c>
      <c r="I892" s="998">
        <v>480</v>
      </c>
      <c r="J892" s="998">
        <v>0</v>
      </c>
      <c r="K892" s="999">
        <v>16</v>
      </c>
      <c r="L892" s="1113">
        <f t="shared" si="480"/>
        <v>30</v>
      </c>
      <c r="M892" s="1000">
        <v>46283</v>
      </c>
      <c r="N892" s="1000">
        <v>46279</v>
      </c>
      <c r="O892" s="1001"/>
      <c r="P892" s="1001"/>
      <c r="Q892" s="1002"/>
      <c r="R892" s="1003" t="s">
        <v>3396</v>
      </c>
      <c r="S892" s="1097"/>
      <c r="T892" s="1097"/>
      <c r="U892" s="1003" t="s">
        <v>113</v>
      </c>
      <c r="V892" s="1061" t="s">
        <v>3714</v>
      </c>
      <c r="W892" s="1062" t="s">
        <v>3640</v>
      </c>
      <c r="X892" s="1006" t="s">
        <v>3715</v>
      </c>
      <c r="Y892" s="999" t="s">
        <v>2717</v>
      </c>
      <c r="Z892" s="1115">
        <v>3.1397</v>
      </c>
      <c r="AA892" s="1010">
        <f t="shared" si="481"/>
        <v>1507.056</v>
      </c>
      <c r="AB892" s="1010"/>
      <c r="AC892" s="1011">
        <f t="shared" si="491"/>
        <v>-480</v>
      </c>
      <c r="AD892" s="1039" t="s">
        <v>106</v>
      </c>
      <c r="AE892" s="742" t="s">
        <v>1830</v>
      </c>
      <c r="AF892" s="1013" t="s">
        <v>107</v>
      </c>
      <c r="AG892" s="1007"/>
      <c r="AH892" s="1007"/>
      <c r="AI892" s="777"/>
      <c r="AJ892" s="1116"/>
      <c r="AK892" s="777"/>
      <c r="AL892" s="777"/>
      <c r="AM892" s="1010">
        <f>I892*2</f>
        <v>960</v>
      </c>
      <c r="AN892" s="778"/>
      <c r="AO892" s="697"/>
      <c r="AP892" s="674"/>
      <c r="AQ892" s="1025"/>
      <c r="AR892" s="1117"/>
      <c r="AS892" s="1118"/>
      <c r="AT892" s="1118"/>
      <c r="AU892" s="1025">
        <f>I892*2</f>
        <v>960</v>
      </c>
      <c r="AV892" s="674"/>
      <c r="AW892" s="697"/>
      <c r="AX892" s="697"/>
      <c r="AY892" s="674"/>
      <c r="AZ892" s="697"/>
      <c r="BA892" s="931"/>
      <c r="BB892" s="1025"/>
      <c r="BC892" s="1117"/>
      <c r="BD892" s="1117"/>
      <c r="BE892" s="1025"/>
      <c r="BF892" s="1117"/>
      <c r="BG892" s="1117"/>
      <c r="BH892" s="1025"/>
      <c r="BI892" s="1117"/>
      <c r="BJ892" s="1116"/>
      <c r="BK892" s="1116"/>
      <c r="BL892" s="563"/>
      <c r="BM892" s="563"/>
      <c r="BN892" s="563"/>
      <c r="BO892" s="563"/>
      <c r="BP892" s="1116"/>
      <c r="BQ892" s="563"/>
      <c r="BR892" s="1116"/>
      <c r="BS892" s="563"/>
      <c r="BT892" s="563"/>
      <c r="BU892" s="563"/>
      <c r="BV892" s="563"/>
      <c r="BW892" s="1170" t="s">
        <v>109</v>
      </c>
      <c r="BX892" s="1025">
        <f>I892/4*2</f>
        <v>240</v>
      </c>
      <c r="BY892" s="1025">
        <f>I892/4*2</f>
        <v>240</v>
      </c>
      <c r="BZ892" s="1025">
        <f>I892/4*2</f>
        <v>240</v>
      </c>
      <c r="CA892" s="1025">
        <f>I892/4*2</f>
        <v>240</v>
      </c>
      <c r="CB892" s="1025">
        <f t="shared" si="493"/>
        <v>480</v>
      </c>
      <c r="CC892" s="1025"/>
      <c r="CD892" s="1025">
        <f t="shared" si="494"/>
        <v>960</v>
      </c>
      <c r="CE892" s="996">
        <f t="shared" si="475"/>
        <v>-480</v>
      </c>
      <c r="CF892" s="1025"/>
      <c r="XDR892" s="1176"/>
      <c r="XDS892" s="1176"/>
      <c r="XDT892" s="992"/>
      <c r="XDU892" s="993"/>
      <c r="XDV892" s="994"/>
      <c r="XDW892" s="995"/>
      <c r="XDX892" s="1040"/>
      <c r="XDY892" s="1112"/>
      <c r="XDZ892" s="997"/>
      <c r="XEA892" s="997"/>
      <c r="XEB892" s="998"/>
      <c r="XEC892" s="998"/>
      <c r="XED892" s="999"/>
      <c r="XEE892" s="1113"/>
      <c r="XEF892" s="1000"/>
      <c r="XEG892" s="1000"/>
      <c r="XEH892" s="1001"/>
      <c r="XEI892" s="1001"/>
      <c r="XEJ892" s="992"/>
      <c r="XEK892" s="993"/>
      <c r="XEL892" s="994"/>
      <c r="XEM892" s="995"/>
      <c r="XEN892" s="1040"/>
      <c r="XEO892" s="1112"/>
      <c r="XEP892" s="997"/>
      <c r="XEQ892" s="997"/>
      <c r="XER892" s="998"/>
      <c r="XES892" s="998"/>
      <c r="XET892" s="999"/>
      <c r="XEU892" s="1113"/>
      <c r="XEV892" s="1000"/>
      <c r="XEW892" s="1000"/>
      <c r="XEX892" s="1001"/>
      <c r="XEY892" s="1001"/>
      <c r="XEZ892" s="1001"/>
      <c r="XFA892" s="1097"/>
      <c r="XFB892" s="1097"/>
      <c r="XFC892" s="1097"/>
      <c r="XFD892" s="1098"/>
    </row>
    <row r="893" s="557" customFormat="1" ht="40" customHeight="1" spans="1:84 16324:16384">
      <c r="A893" s="992">
        <v>46248</v>
      </c>
      <c r="B893" s="993" t="s">
        <v>3716</v>
      </c>
      <c r="C893" s="994" t="s">
        <v>129</v>
      </c>
      <c r="D893" s="995">
        <v>4500220001</v>
      </c>
      <c r="E893" s="1040"/>
      <c r="F893" s="1112" t="s">
        <v>3717</v>
      </c>
      <c r="G893" s="997" t="s">
        <v>159</v>
      </c>
      <c r="H893" s="997" t="s">
        <v>99</v>
      </c>
      <c r="I893" s="998">
        <v>72</v>
      </c>
      <c r="J893" s="998">
        <v>0</v>
      </c>
      <c r="K893" s="999">
        <v>24</v>
      </c>
      <c r="L893" s="1113">
        <f t="shared" si="480"/>
        <v>3</v>
      </c>
      <c r="M893" s="1000">
        <v>46283</v>
      </c>
      <c r="N893" s="1000">
        <v>46279</v>
      </c>
      <c r="O893" s="1001"/>
      <c r="P893" s="1001"/>
      <c r="Q893" s="1002"/>
      <c r="R893" s="1003" t="s">
        <v>2048</v>
      </c>
      <c r="S893" s="1097"/>
      <c r="T893" s="1003" t="s">
        <v>3718</v>
      </c>
      <c r="U893" s="1003" t="s">
        <v>3719</v>
      </c>
      <c r="V893" s="1061"/>
      <c r="W893" s="1062" t="s">
        <v>3479</v>
      </c>
      <c r="X893" s="1006" t="s">
        <v>3720</v>
      </c>
      <c r="Y893" s="999" t="s">
        <v>3721</v>
      </c>
      <c r="Z893" s="1115">
        <v>2.6389</v>
      </c>
      <c r="AA893" s="1010">
        <f t="shared" si="481"/>
        <v>190.0008</v>
      </c>
      <c r="AB893" s="1010"/>
      <c r="AC893" s="1011">
        <f t="shared" ref="AC893:AC899" si="495">AB893-I893</f>
        <v>-72</v>
      </c>
      <c r="AD893" s="1039"/>
      <c r="AE893" s="749" t="s">
        <v>166</v>
      </c>
      <c r="AF893" s="1013" t="s">
        <v>107</v>
      </c>
      <c r="AG893" s="1007"/>
      <c r="AH893" s="1007"/>
      <c r="AI893" s="655"/>
      <c r="AJ893" s="564"/>
      <c r="AK893" s="655"/>
      <c r="AL893" s="655"/>
      <c r="AM893" s="1010"/>
      <c r="AN893" s="905"/>
      <c r="AO893" s="656"/>
      <c r="AP893" s="965">
        <f>I893</f>
        <v>72</v>
      </c>
      <c r="AQ893" s="1025"/>
      <c r="AR893" s="1057"/>
      <c r="AS893" s="1091"/>
      <c r="AT893" s="1091"/>
      <c r="AU893" s="1025">
        <f>I893*2</f>
        <v>144</v>
      </c>
      <c r="AV893" s="674"/>
      <c r="AW893" s="656"/>
      <c r="AX893" s="656"/>
      <c r="AY893" s="674"/>
      <c r="AZ893" s="656"/>
      <c r="BA893" s="904"/>
      <c r="BB893" s="1025"/>
      <c r="BC893" s="1057"/>
      <c r="BD893" s="1057"/>
      <c r="BE893" s="1025"/>
      <c r="BF893" s="1057"/>
      <c r="BG893" s="1057"/>
      <c r="BH893" s="1025"/>
      <c r="BI893" s="1057"/>
      <c r="BJ893" s="564"/>
      <c r="BK893" s="564"/>
      <c r="BL893" s="563"/>
      <c r="BM893" s="563"/>
      <c r="BN893" s="563"/>
      <c r="BO893" s="563"/>
      <c r="BP893" s="564"/>
      <c r="BQ893" s="563"/>
      <c r="BR893" s="564"/>
      <c r="BS893" s="563"/>
      <c r="BT893" s="563"/>
      <c r="BU893" s="563"/>
      <c r="BV893" s="563"/>
      <c r="BW893" s="1170" t="s">
        <v>109</v>
      </c>
      <c r="BX893" s="1025"/>
      <c r="BY893" s="1025">
        <f>I893</f>
        <v>72</v>
      </c>
      <c r="BZ893" s="1025"/>
      <c r="CA893" s="1025"/>
      <c r="CB893" s="1025">
        <f t="shared" si="493"/>
        <v>72</v>
      </c>
      <c r="CC893" s="1025"/>
      <c r="CD893" s="1025">
        <f t="shared" si="494"/>
        <v>72</v>
      </c>
      <c r="CE893" s="996">
        <f t="shared" si="475"/>
        <v>0</v>
      </c>
      <c r="CF893" s="1025"/>
      <c r="CG893" s="557"/>
      <c r="XCV893" s="564"/>
      <c r="XCW893" s="564"/>
      <c r="XCX893" s="564"/>
      <c r="XCY893" s="564"/>
      <c r="XCZ893" s="564"/>
      <c r="XDA893" s="564"/>
      <c r="XDB893" s="564"/>
      <c r="XDC893" s="564"/>
      <c r="XDD893" s="564"/>
      <c r="XDE893" s="564"/>
      <c r="XDF893" s="564"/>
      <c r="XDG893" s="564"/>
      <c r="XDH893" s="564"/>
      <c r="XDI893" s="564"/>
      <c r="XDJ893" s="564"/>
      <c r="XDK893" s="564"/>
      <c r="XDL893" s="564"/>
      <c r="XDM893" s="564"/>
      <c r="XDN893" s="564"/>
      <c r="XDO893" s="564"/>
      <c r="XDP893" s="564"/>
      <c r="XDQ893" s="564"/>
      <c r="XDR893" s="1176"/>
      <c r="XDS893" s="1176"/>
      <c r="XDT893" s="992"/>
      <c r="XDU893" s="993"/>
      <c r="XDV893" s="994"/>
      <c r="XDW893" s="995"/>
      <c r="XDX893" s="1040"/>
      <c r="XDY893" s="1112"/>
      <c r="XDZ893" s="997"/>
      <c r="XEA893" s="997"/>
      <c r="XEB893" s="998"/>
      <c r="XEC893" s="998"/>
      <c r="XED893" s="999"/>
      <c r="XEE893" s="1113"/>
      <c r="XEF893" s="1000"/>
      <c r="XEG893" s="1000"/>
      <c r="XEH893" s="1001"/>
      <c r="XEI893" s="1001"/>
      <c r="XEJ893" s="992"/>
      <c r="XEK893" s="993"/>
      <c r="XEL893" s="994"/>
      <c r="XEM893" s="995"/>
      <c r="XEN893" s="1040"/>
      <c r="XEO893" s="1112"/>
      <c r="XEP893" s="997"/>
      <c r="XEQ893" s="997"/>
      <c r="XER893" s="998"/>
      <c r="XES893" s="998"/>
      <c r="XET893" s="999"/>
      <c r="XEU893" s="1113"/>
      <c r="XEV893" s="1000"/>
      <c r="XEW893" s="1000"/>
      <c r="XEX893" s="1001"/>
      <c r="XEY893" s="1001"/>
      <c r="XEZ893" s="1001"/>
      <c r="XFA893" s="1097"/>
      <c r="XFB893" s="1097"/>
      <c r="XFC893" s="1097"/>
      <c r="XFD893" s="1098"/>
    </row>
    <row r="894" s="557" customFormat="1" ht="40" customHeight="1" spans="1:84 16324:16384">
      <c r="A894" s="992">
        <v>46248</v>
      </c>
      <c r="B894" s="993" t="s">
        <v>3716</v>
      </c>
      <c r="C894" s="994" t="s">
        <v>129</v>
      </c>
      <c r="D894" s="995">
        <v>4500220001</v>
      </c>
      <c r="E894" s="1040"/>
      <c r="F894" s="1112" t="s">
        <v>3722</v>
      </c>
      <c r="G894" s="997" t="s">
        <v>189</v>
      </c>
      <c r="H894" s="997" t="s">
        <v>99</v>
      </c>
      <c r="I894" s="998">
        <v>72</v>
      </c>
      <c r="J894" s="998">
        <v>0</v>
      </c>
      <c r="K894" s="999">
        <v>24</v>
      </c>
      <c r="L894" s="1113">
        <f t="shared" si="480"/>
        <v>3</v>
      </c>
      <c r="M894" s="1000">
        <v>46283</v>
      </c>
      <c r="N894" s="1000">
        <v>46279</v>
      </c>
      <c r="O894" s="1001"/>
      <c r="P894" s="1001"/>
      <c r="Q894" s="1002"/>
      <c r="R894" s="1003" t="s">
        <v>2048</v>
      </c>
      <c r="S894" s="1097"/>
      <c r="T894" s="1003" t="s">
        <v>3718</v>
      </c>
      <c r="U894" s="1003" t="s">
        <v>3719</v>
      </c>
      <c r="V894" s="1061"/>
      <c r="W894" s="1062" t="s">
        <v>3479</v>
      </c>
      <c r="X894" s="1006" t="s">
        <v>3720</v>
      </c>
      <c r="Y894" s="999" t="s">
        <v>3721</v>
      </c>
      <c r="Z894" s="1115">
        <v>2.6389</v>
      </c>
      <c r="AA894" s="1010">
        <f t="shared" si="481"/>
        <v>190.0008</v>
      </c>
      <c r="AB894" s="1010"/>
      <c r="AC894" s="1011">
        <f t="shared" si="495"/>
        <v>-72</v>
      </c>
      <c r="AD894" s="1039"/>
      <c r="AE894" s="742" t="s">
        <v>190</v>
      </c>
      <c r="AF894" s="1013" t="s">
        <v>107</v>
      </c>
      <c r="AG894" s="1007"/>
      <c r="AH894" s="1007"/>
      <c r="AI894" s="655"/>
      <c r="AJ894" s="564"/>
      <c r="AK894" s="655"/>
      <c r="AL894" s="655"/>
      <c r="AM894" s="1010"/>
      <c r="AN894" s="905"/>
      <c r="AO894" s="656"/>
      <c r="AP894" s="965">
        <f>I894</f>
        <v>72</v>
      </c>
      <c r="AQ894" s="1025"/>
      <c r="AR894" s="1057"/>
      <c r="AS894" s="1091"/>
      <c r="AT894" s="1091"/>
      <c r="AU894" s="1025">
        <f>I894*2</f>
        <v>144</v>
      </c>
      <c r="AV894" s="674"/>
      <c r="AW894" s="656"/>
      <c r="AX894" s="656"/>
      <c r="AY894" s="674"/>
      <c r="AZ894" s="656"/>
      <c r="BA894" s="904"/>
      <c r="BB894" s="1025"/>
      <c r="BC894" s="1057"/>
      <c r="BD894" s="1057"/>
      <c r="BE894" s="1025"/>
      <c r="BF894" s="1057"/>
      <c r="BG894" s="1057"/>
      <c r="BH894" s="1025"/>
      <c r="BI894" s="1057"/>
      <c r="BJ894" s="564"/>
      <c r="BK894" s="564"/>
      <c r="BL894" s="563"/>
      <c r="BM894" s="563"/>
      <c r="BN894" s="563"/>
      <c r="BO894" s="563"/>
      <c r="BP894" s="564"/>
      <c r="BQ894" s="563"/>
      <c r="BR894" s="564"/>
      <c r="BS894" s="563"/>
      <c r="BT894" s="563"/>
      <c r="BU894" s="563"/>
      <c r="BV894" s="563"/>
      <c r="BW894" s="1170" t="s">
        <v>109</v>
      </c>
      <c r="BX894" s="1025"/>
      <c r="BY894" s="1025"/>
      <c r="BZ894" s="1025"/>
      <c r="CA894" s="1025">
        <f>I894</f>
        <v>72</v>
      </c>
      <c r="CB894" s="1025">
        <f t="shared" si="493"/>
        <v>72</v>
      </c>
      <c r="CC894" s="1025"/>
      <c r="CD894" s="1025">
        <f t="shared" si="494"/>
        <v>72</v>
      </c>
      <c r="CE894" s="996">
        <f t="shared" si="475"/>
        <v>0</v>
      </c>
      <c r="CF894" s="1025"/>
      <c r="CG894" s="557"/>
      <c r="XCV894" s="564"/>
      <c r="XCW894" s="564"/>
      <c r="XCX894" s="564"/>
      <c r="XCY894" s="564"/>
      <c r="XCZ894" s="564"/>
      <c r="XDA894" s="564"/>
      <c r="XDB894" s="564"/>
      <c r="XDC894" s="564"/>
      <c r="XDD894" s="564"/>
      <c r="XDE894" s="564"/>
      <c r="XDF894" s="564"/>
      <c r="XDG894" s="564"/>
      <c r="XDH894" s="564"/>
      <c r="XDI894" s="564"/>
      <c r="XDJ894" s="564"/>
      <c r="XDK894" s="564"/>
      <c r="XDL894" s="564"/>
      <c r="XDM894" s="564"/>
      <c r="XDN894" s="564"/>
      <c r="XDO894" s="564"/>
      <c r="XDP894" s="564"/>
      <c r="XDQ894" s="564"/>
      <c r="XDR894" s="1176"/>
      <c r="XDS894" s="1176"/>
      <c r="XDT894" s="992"/>
      <c r="XDU894" s="993"/>
      <c r="XDV894" s="994"/>
      <c r="XDW894" s="995"/>
      <c r="XDX894" s="1040"/>
      <c r="XDY894" s="1112"/>
      <c r="XDZ894" s="997"/>
      <c r="XEA894" s="997"/>
      <c r="XEB894" s="998"/>
      <c r="XEC894" s="998"/>
      <c r="XED894" s="999"/>
      <c r="XEE894" s="1113"/>
      <c r="XEF894" s="1000"/>
      <c r="XEG894" s="1000"/>
      <c r="XEH894" s="1001"/>
      <c r="XEI894" s="1001"/>
      <c r="XEJ894" s="992"/>
      <c r="XEK894" s="993"/>
      <c r="XEL894" s="994"/>
      <c r="XEM894" s="995"/>
      <c r="XEN894" s="1040"/>
      <c r="XEO894" s="1112"/>
      <c r="XEP894" s="997"/>
      <c r="XEQ894" s="997"/>
      <c r="XER894" s="998"/>
      <c r="XES894" s="998"/>
      <c r="XET894" s="999"/>
      <c r="XEU894" s="1113"/>
      <c r="XEV894" s="1000"/>
      <c r="XEW894" s="1000"/>
      <c r="XEX894" s="1001"/>
      <c r="XEY894" s="1001"/>
      <c r="XEZ894" s="1001"/>
      <c r="XFA894" s="1097"/>
      <c r="XFB894" s="1097"/>
      <c r="XFC894" s="1097"/>
      <c r="XFD894" s="1098"/>
    </row>
    <row r="895" s="557" customFormat="1" ht="40" customHeight="1" spans="1:84 16324:16384">
      <c r="A895" s="992">
        <v>46241</v>
      </c>
      <c r="B895" s="993" t="s">
        <v>3723</v>
      </c>
      <c r="C895" s="994" t="s">
        <v>144</v>
      </c>
      <c r="D895" s="995">
        <v>4500218996</v>
      </c>
      <c r="E895" s="1040" t="s">
        <v>3724</v>
      </c>
      <c r="F895" s="1112" t="s">
        <v>3725</v>
      </c>
      <c r="G895" s="997" t="s">
        <v>2611</v>
      </c>
      <c r="H895" s="1058" t="s">
        <v>3726</v>
      </c>
      <c r="I895" s="998">
        <v>216</v>
      </c>
      <c r="J895" s="998">
        <v>0</v>
      </c>
      <c r="K895" s="999">
        <v>24</v>
      </c>
      <c r="L895" s="1113">
        <f t="shared" si="480"/>
        <v>9</v>
      </c>
      <c r="M895" s="1000">
        <v>46289</v>
      </c>
      <c r="N895" s="1000">
        <v>46286</v>
      </c>
      <c r="O895" s="312" t="s">
        <v>3727</v>
      </c>
      <c r="P895" s="1001"/>
      <c r="Q895" s="1002"/>
      <c r="R895" s="1003" t="s">
        <v>3728</v>
      </c>
      <c r="S895" s="1097"/>
      <c r="T895" s="1003" t="s">
        <v>3729</v>
      </c>
      <c r="U895" s="1003" t="s">
        <v>3730</v>
      </c>
      <c r="V895" s="1061" t="s">
        <v>3731</v>
      </c>
      <c r="W895" s="1062"/>
      <c r="X895" s="1006" t="s">
        <v>3732</v>
      </c>
      <c r="Y895" s="999" t="s">
        <v>3733</v>
      </c>
      <c r="Z895" s="1115">
        <v>2.6134</v>
      </c>
      <c r="AA895" s="1010">
        <f t="shared" si="481"/>
        <v>564.4944</v>
      </c>
      <c r="AB895" s="1010"/>
      <c r="AC895" s="1011">
        <f t="shared" si="495"/>
        <v>-216</v>
      </c>
      <c r="AD895" s="1039"/>
      <c r="AE895" s="722" t="s">
        <v>2611</v>
      </c>
      <c r="AF895" s="1013" t="s">
        <v>107</v>
      </c>
      <c r="AG895" s="1007"/>
      <c r="AH895" s="1007"/>
      <c r="AI895" s="1017"/>
      <c r="AJ895" s="1015"/>
      <c r="AK895" s="1172"/>
      <c r="AL895" s="929"/>
      <c r="AM895" s="965"/>
      <c r="AN895" s="1016"/>
      <c r="AO895" s="1172"/>
      <c r="AP895" s="1025">
        <f>I895</f>
        <v>216</v>
      </c>
      <c r="AQ895" s="1025"/>
      <c r="AR895" s="1024"/>
      <c r="AS895" s="1024"/>
      <c r="AT895" s="1024"/>
      <c r="AU895" s="1025">
        <f>I895</f>
        <v>216</v>
      </c>
      <c r="AV895" s="563"/>
      <c r="AW895" s="1024"/>
      <c r="AX895" s="1024"/>
      <c r="AY895" s="563"/>
      <c r="AZ895" s="1024"/>
      <c r="BA895" s="1173"/>
      <c r="BB895" s="339"/>
      <c r="BC895" s="1172"/>
      <c r="BD895" s="1172"/>
      <c r="BE895" s="1025"/>
      <c r="BF895" s="1172"/>
      <c r="BG895" s="1172"/>
      <c r="BH895" s="1025"/>
      <c r="BI895" s="1172"/>
      <c r="BJ895" s="1172"/>
      <c r="BK895" s="1024"/>
      <c r="BL895" s="563"/>
      <c r="BM895" s="563"/>
      <c r="BN895" s="563"/>
      <c r="BO895" s="563"/>
      <c r="BP895" s="1024"/>
      <c r="BQ895" s="563"/>
      <c r="BR895" s="1024"/>
      <c r="BS895" s="563"/>
      <c r="BT895" s="563"/>
      <c r="BU895" s="563"/>
      <c r="BV895" s="563"/>
      <c r="BW895" s="1170" t="s">
        <v>109</v>
      </c>
      <c r="BX895" s="1025"/>
      <c r="BY895" s="1025"/>
      <c r="BZ895" s="1025">
        <f>I895</f>
        <v>216</v>
      </c>
      <c r="CA895" s="1025"/>
      <c r="CB895" s="1025"/>
      <c r="CC895" s="1025"/>
      <c r="CD895" s="1025">
        <f t="shared" si="494"/>
        <v>216</v>
      </c>
      <c r="CE895" s="1025">
        <f t="shared" si="475"/>
        <v>0</v>
      </c>
      <c r="CF895" s="1057"/>
      <c r="CG895" s="557"/>
      <c r="XCV895" s="1176"/>
      <c r="XCW895" s="1176"/>
      <c r="XCX895" s="992"/>
      <c r="XCY895" s="993"/>
      <c r="XCZ895" s="994"/>
      <c r="XDA895" s="995"/>
      <c r="XDB895" s="1040"/>
      <c r="XDC895" s="1112"/>
      <c r="XDD895" s="997"/>
      <c r="XDE895" s="997"/>
      <c r="XDF895" s="998"/>
      <c r="XDG895" s="998"/>
      <c r="XDH895" s="999"/>
      <c r="XDI895" s="1113"/>
      <c r="XDJ895" s="1000"/>
      <c r="XDK895" s="1000"/>
      <c r="XDL895" s="1001"/>
      <c r="XDM895" s="1001"/>
      <c r="XDN895" s="992"/>
      <c r="XDO895" s="993"/>
      <c r="XDP895" s="994"/>
      <c r="XDQ895" s="995"/>
      <c r="XDR895" s="1040"/>
      <c r="XDS895" s="1112"/>
      <c r="XDT895" s="997"/>
      <c r="XDU895" s="997"/>
      <c r="XDV895" s="998"/>
      <c r="XDW895" s="998"/>
      <c r="XDX895" s="999"/>
      <c r="XDY895" s="1113"/>
      <c r="XDZ895" s="1000"/>
      <c r="XEA895" s="1000"/>
      <c r="XEB895" s="1001"/>
      <c r="XEC895" s="1001"/>
      <c r="XED895" s="1001"/>
      <c r="XEE895" s="1097"/>
      <c r="XEF895" s="1097"/>
      <c r="XEG895" s="1097"/>
      <c r="XEH895" s="1098"/>
      <c r="XEI895" s="992"/>
      <c r="XEJ895" s="993"/>
      <c r="XEK895" s="994"/>
      <c r="XEL895" s="995"/>
      <c r="XEM895" s="1040"/>
      <c r="XEN895" s="1112"/>
      <c r="XEO895" s="997"/>
      <c r="XEP895" s="997"/>
      <c r="XEQ895" s="998"/>
      <c r="XER895" s="998"/>
      <c r="XES895" s="999"/>
      <c r="XET895" s="1113"/>
      <c r="XEU895" s="1000"/>
      <c r="XEV895" s="1000"/>
      <c r="XEW895" s="1001"/>
      <c r="XEX895" s="1001"/>
      <c r="XEY895" s="1002"/>
      <c r="XEZ895" s="1003"/>
      <c r="XFA895" s="1097"/>
      <c r="XFB895" s="1097"/>
      <c r="XFC895" s="1003"/>
      <c r="XFD895" s="1098"/>
    </row>
    <row r="896" s="557" customFormat="1" ht="40" customHeight="1" spans="1:84 16324:16384">
      <c r="A896" s="992">
        <v>46241</v>
      </c>
      <c r="B896" s="993" t="s">
        <v>3723</v>
      </c>
      <c r="C896" s="994" t="s">
        <v>144</v>
      </c>
      <c r="D896" s="995">
        <v>4500218996</v>
      </c>
      <c r="E896" s="1040" t="s">
        <v>3734</v>
      </c>
      <c r="F896" s="1112" t="s">
        <v>3735</v>
      </c>
      <c r="G896" s="997" t="s">
        <v>1968</v>
      </c>
      <c r="H896" s="1058" t="s">
        <v>3736</v>
      </c>
      <c r="I896" s="998">
        <v>336</v>
      </c>
      <c r="J896" s="998">
        <v>0</v>
      </c>
      <c r="K896" s="999">
        <v>24</v>
      </c>
      <c r="L896" s="1113">
        <f t="shared" si="480"/>
        <v>14</v>
      </c>
      <c r="M896" s="1000">
        <v>46289</v>
      </c>
      <c r="N896" s="1000">
        <v>46286</v>
      </c>
      <c r="O896" s="312" t="s">
        <v>3597</v>
      </c>
      <c r="P896" s="1004" t="s">
        <v>3737</v>
      </c>
      <c r="Q896" s="1002"/>
      <c r="R896" s="1003" t="s">
        <v>3728</v>
      </c>
      <c r="S896" s="1097"/>
      <c r="T896" s="1003" t="s">
        <v>3729</v>
      </c>
      <c r="U896" s="1003" t="s">
        <v>3730</v>
      </c>
      <c r="V896" s="1061" t="s">
        <v>3731</v>
      </c>
      <c r="W896" s="1062"/>
      <c r="X896" s="1006" t="s">
        <v>3732</v>
      </c>
      <c r="Y896" s="999" t="s">
        <v>3733</v>
      </c>
      <c r="Z896" s="1115">
        <v>2.6493</v>
      </c>
      <c r="AA896" s="1010">
        <f t="shared" si="481"/>
        <v>890.1648</v>
      </c>
      <c r="AB896" s="1010"/>
      <c r="AC896" s="1011">
        <f t="shared" si="495"/>
        <v>-336</v>
      </c>
      <c r="AD896" s="1039"/>
      <c r="AE896" s="722" t="s">
        <v>1968</v>
      </c>
      <c r="AF896" s="1013" t="s">
        <v>107</v>
      </c>
      <c r="AG896" s="1007"/>
      <c r="AH896" s="1007"/>
      <c r="AI896" s="1017"/>
      <c r="AJ896" s="1015"/>
      <c r="AK896" s="1172"/>
      <c r="AL896" s="929"/>
      <c r="AM896" s="965"/>
      <c r="AN896" s="1016"/>
      <c r="AO896" s="1172"/>
      <c r="AP896" s="1025">
        <f>I896</f>
        <v>336</v>
      </c>
      <c r="AQ896" s="1025"/>
      <c r="AR896" s="1024"/>
      <c r="AS896" s="1024"/>
      <c r="AT896" s="1024"/>
      <c r="AU896" s="1025">
        <f>I896</f>
        <v>336</v>
      </c>
      <c r="AV896" s="563"/>
      <c r="AW896" s="1024"/>
      <c r="AX896" s="1024"/>
      <c r="AY896" s="563"/>
      <c r="AZ896" s="1024"/>
      <c r="BA896" s="1173"/>
      <c r="BB896" s="339"/>
      <c r="BC896" s="1172"/>
      <c r="BD896" s="1172"/>
      <c r="BE896" s="1025"/>
      <c r="BF896" s="1172"/>
      <c r="BG896" s="1172"/>
      <c r="BH896" s="1025"/>
      <c r="BI896" s="1172"/>
      <c r="BJ896" s="1172"/>
      <c r="BK896" s="1024"/>
      <c r="BL896" s="563"/>
      <c r="BM896" s="563"/>
      <c r="BN896" s="563"/>
      <c r="BO896" s="563"/>
      <c r="BP896" s="1024"/>
      <c r="BQ896" s="563"/>
      <c r="BR896" s="1024"/>
      <c r="BS896" s="563"/>
      <c r="BT896" s="563"/>
      <c r="BU896" s="563"/>
      <c r="BV896" s="563"/>
      <c r="BW896" s="1170" t="s">
        <v>109</v>
      </c>
      <c r="BX896" s="1025"/>
      <c r="BY896" s="1025">
        <f>I896</f>
        <v>336</v>
      </c>
      <c r="BZ896" s="1025"/>
      <c r="CA896" s="1025"/>
      <c r="CB896" s="1025"/>
      <c r="CC896" s="1025"/>
      <c r="CD896" s="1025">
        <f t="shared" si="494"/>
        <v>336</v>
      </c>
      <c r="CE896" s="1025">
        <f t="shared" si="475"/>
        <v>0</v>
      </c>
      <c r="CF896" s="1057"/>
      <c r="CG896" s="557"/>
      <c r="XCV896" s="1176"/>
      <c r="XCW896" s="1176"/>
      <c r="XCX896" s="992"/>
      <c r="XCY896" s="993"/>
      <c r="XCZ896" s="994"/>
      <c r="XDA896" s="995"/>
      <c r="XDB896" s="1040"/>
      <c r="XDC896" s="1112"/>
      <c r="XDD896" s="997"/>
      <c r="XDE896" s="997"/>
      <c r="XDF896" s="998"/>
      <c r="XDG896" s="998"/>
      <c r="XDH896" s="999"/>
      <c r="XDI896" s="1113"/>
      <c r="XDJ896" s="1000"/>
      <c r="XDK896" s="1000"/>
      <c r="XDL896" s="1001"/>
      <c r="XDM896" s="1001"/>
      <c r="XDN896" s="992"/>
      <c r="XDO896" s="993"/>
      <c r="XDP896" s="994"/>
      <c r="XDQ896" s="995"/>
      <c r="XDR896" s="1040"/>
      <c r="XDS896" s="1112"/>
      <c r="XDT896" s="997"/>
      <c r="XDU896" s="997"/>
      <c r="XDV896" s="998"/>
      <c r="XDW896" s="998"/>
      <c r="XDX896" s="999"/>
      <c r="XDY896" s="1113"/>
      <c r="XDZ896" s="1000"/>
      <c r="XEA896" s="1000"/>
      <c r="XEB896" s="1001"/>
      <c r="XEC896" s="1001"/>
      <c r="XED896" s="1001"/>
      <c r="XEE896" s="1097"/>
      <c r="XEF896" s="1097"/>
      <c r="XEG896" s="1097"/>
      <c r="XEH896" s="1098"/>
      <c r="XEI896" s="992"/>
      <c r="XEJ896" s="993"/>
      <c r="XEK896" s="994"/>
      <c r="XEL896" s="995"/>
      <c r="XEM896" s="1040"/>
      <c r="XEN896" s="1112"/>
      <c r="XEO896" s="997"/>
      <c r="XEP896" s="997"/>
      <c r="XEQ896" s="998"/>
      <c r="XER896" s="998"/>
      <c r="XES896" s="999"/>
      <c r="XET896" s="1113"/>
      <c r="XEU896" s="1000"/>
      <c r="XEV896" s="1000"/>
      <c r="XEW896" s="1001"/>
      <c r="XEX896" s="1001"/>
      <c r="XEY896" s="1002"/>
      <c r="XEZ896" s="1003"/>
      <c r="XFA896" s="1097"/>
      <c r="XFB896" s="1097"/>
      <c r="XFC896" s="1003"/>
      <c r="XFD896" s="1098"/>
    </row>
    <row r="897" s="561" customFormat="1" ht="40" customHeight="1" spans="1:84 16346:16384">
      <c r="A897" s="1204">
        <v>46181</v>
      </c>
      <c r="B897" s="1205" t="s">
        <v>94</v>
      </c>
      <c r="C897" s="1206" t="s">
        <v>205</v>
      </c>
      <c r="D897" s="1207">
        <v>4500211160</v>
      </c>
      <c r="E897" s="1208" t="s">
        <v>3658</v>
      </c>
      <c r="F897" s="1209" t="s">
        <v>3738</v>
      </c>
      <c r="G897" s="1210" t="s">
        <v>98</v>
      </c>
      <c r="H897" s="1210" t="s">
        <v>99</v>
      </c>
      <c r="I897" s="1211">
        <v>648</v>
      </c>
      <c r="J897" s="1211">
        <v>0</v>
      </c>
      <c r="K897" s="1212">
        <v>24</v>
      </c>
      <c r="L897" s="1213">
        <f t="shared" si="480"/>
        <v>27</v>
      </c>
      <c r="M897" s="1214">
        <v>46303</v>
      </c>
      <c r="N897" s="1214">
        <v>46300</v>
      </c>
      <c r="O897" s="1215"/>
      <c r="P897" s="1215"/>
      <c r="Q897" s="1216"/>
      <c r="R897" s="1217" t="s">
        <v>3396</v>
      </c>
      <c r="S897" s="1218"/>
      <c r="T897" s="1218"/>
      <c r="U897" s="1217" t="s">
        <v>3739</v>
      </c>
      <c r="V897" s="1219"/>
      <c r="W897" s="1220" t="s">
        <v>3661</v>
      </c>
      <c r="X897" s="1221" t="s">
        <v>3740</v>
      </c>
      <c r="Y897" s="1212" t="s">
        <v>972</v>
      </c>
      <c r="Z897" s="1222">
        <v>2.5455</v>
      </c>
      <c r="AA897" s="1223">
        <f t="shared" si="481"/>
        <v>1649.484</v>
      </c>
      <c r="AB897" s="1223"/>
      <c r="AC897" s="1011">
        <f t="shared" si="495"/>
        <v>-648</v>
      </c>
      <c r="AD897" s="1224" t="s">
        <v>106</v>
      </c>
      <c r="AE897" s="1225" t="s">
        <v>98</v>
      </c>
      <c r="AF897" s="1226" t="s">
        <v>107</v>
      </c>
      <c r="AG897" s="1227"/>
      <c r="AH897" s="1227"/>
      <c r="AI897" s="1228"/>
      <c r="AJ897" s="1229"/>
      <c r="AK897" s="1228"/>
      <c r="AL897" s="1228"/>
      <c r="AM897" s="1230">
        <f>I897</f>
        <v>648</v>
      </c>
      <c r="AN897" s="1231"/>
      <c r="AO897" s="1232"/>
      <c r="AP897" s="1233"/>
      <c r="AQ897" s="1234"/>
      <c r="AR897" s="1235"/>
      <c r="AS897" s="1236"/>
      <c r="AT897" s="1236"/>
      <c r="AU897" s="1228">
        <f>I897</f>
        <v>648</v>
      </c>
      <c r="AV897" s="1233"/>
      <c r="AW897" s="1232"/>
      <c r="AX897" s="1232"/>
      <c r="AY897" s="1233"/>
      <c r="AZ897" s="1232"/>
      <c r="BA897" s="1237"/>
      <c r="BB897" s="1234"/>
      <c r="BC897" s="1235"/>
      <c r="BD897" s="1235"/>
      <c r="BE897" s="1234"/>
      <c r="BF897" s="1235"/>
      <c r="BG897" s="1235"/>
      <c r="BH897" s="1234"/>
      <c r="BI897" s="1235"/>
      <c r="BJ897" s="1229"/>
      <c r="BK897" s="1229"/>
      <c r="BL897" s="1238"/>
      <c r="BM897" s="1238"/>
      <c r="BN897" s="1238"/>
      <c r="BO897" s="1238"/>
      <c r="BP897" s="1229"/>
      <c r="BQ897" s="1238"/>
      <c r="BR897" s="1229"/>
      <c r="BS897" s="1239"/>
      <c r="BT897" s="1239"/>
      <c r="BU897" s="1239"/>
      <c r="BV897" s="1239"/>
      <c r="BW897" s="1170" t="s">
        <v>109</v>
      </c>
      <c r="BX897" s="1240">
        <f>I897/4</f>
        <v>162</v>
      </c>
      <c r="BY897" s="1240">
        <f>I897/4</f>
        <v>162</v>
      </c>
      <c r="BZ897" s="1240">
        <f>I897/4</f>
        <v>162</v>
      </c>
      <c r="CA897" s="1240">
        <f>I897/4</f>
        <v>162</v>
      </c>
      <c r="CB897" s="1240">
        <f>I897/4</f>
        <v>162</v>
      </c>
      <c r="CC897" s="1240"/>
      <c r="CD897" s="1240">
        <f t="shared" si="494"/>
        <v>648</v>
      </c>
      <c r="CE897" s="1241">
        <f t="shared" si="475"/>
        <v>0</v>
      </c>
      <c r="CF897" s="562"/>
      <c r="CG897" s="561"/>
      <c r="XDR897" s="1045"/>
      <c r="XDS897" s="1045"/>
      <c r="XDT897" s="1064"/>
      <c r="XDU897" s="1027"/>
      <c r="XDV897" s="1028"/>
      <c r="XDW897" s="1029"/>
      <c r="XDX897" s="1102"/>
      <c r="XDY897" s="1103"/>
      <c r="XDZ897" s="1031"/>
      <c r="XEA897" s="1031"/>
      <c r="XEB897" s="1032"/>
      <c r="XEC897" s="1032"/>
      <c r="XED897" s="1065"/>
      <c r="XEE897" s="1104"/>
      <c r="XEF897" s="1066"/>
      <c r="XEG897" s="1066"/>
      <c r="XEH897" s="1067"/>
      <c r="XEI897" s="1067"/>
      <c r="XEJ897" s="1064"/>
      <c r="XEK897" s="1027"/>
      <c r="XEL897" s="1028"/>
      <c r="XEM897" s="1029"/>
      <c r="XEN897" s="1102"/>
      <c r="XEO897" s="1103"/>
      <c r="XEP897" s="1031"/>
      <c r="XEQ897" s="1031"/>
      <c r="XER897" s="1032"/>
      <c r="XES897" s="1032"/>
      <c r="XET897" s="1065"/>
      <c r="XEU897" s="1104"/>
      <c r="XEV897" s="1066"/>
      <c r="XEW897" s="1066"/>
      <c r="XEX897" s="1067"/>
      <c r="XEY897" s="1067"/>
      <c r="XEZ897" s="1067"/>
      <c r="XFA897" s="1034"/>
      <c r="XFB897" s="1034"/>
      <c r="XFC897" s="1034"/>
      <c r="XFD897" s="1035"/>
    </row>
    <row r="898" s="563" customFormat="1" ht="40" customHeight="1" spans="1:84 16346:16384">
      <c r="A898" s="992">
        <v>46181</v>
      </c>
      <c r="B898" s="993" t="s">
        <v>94</v>
      </c>
      <c r="C898" s="994" t="s">
        <v>205</v>
      </c>
      <c r="D898" s="1111">
        <v>4500211176</v>
      </c>
      <c r="E898" s="1040" t="s">
        <v>3663</v>
      </c>
      <c r="F898" s="1112" t="s">
        <v>3741</v>
      </c>
      <c r="G898" s="997" t="s">
        <v>98</v>
      </c>
      <c r="H898" s="997" t="s">
        <v>99</v>
      </c>
      <c r="I898" s="998">
        <v>240</v>
      </c>
      <c r="J898" s="998">
        <v>0</v>
      </c>
      <c r="K898" s="999">
        <v>24</v>
      </c>
      <c r="L898" s="1113">
        <f t="shared" si="480"/>
        <v>10</v>
      </c>
      <c r="M898" s="1000">
        <v>46303</v>
      </c>
      <c r="N898" s="1000">
        <v>46300</v>
      </c>
      <c r="O898" s="1001"/>
      <c r="P898" s="1001"/>
      <c r="Q898" s="1002"/>
      <c r="R898" s="1003" t="s">
        <v>3396</v>
      </c>
      <c r="S898" s="1097"/>
      <c r="T898" s="1097"/>
      <c r="U898" s="1003" t="s">
        <v>3739</v>
      </c>
      <c r="V898" s="1098"/>
      <c r="W898" s="1062" t="s">
        <v>3661</v>
      </c>
      <c r="X898" s="1006" t="s">
        <v>3666</v>
      </c>
      <c r="Y898" s="999" t="s">
        <v>972</v>
      </c>
      <c r="Z898" s="1115">
        <v>2.5455</v>
      </c>
      <c r="AA898" s="1010">
        <f t="shared" si="481"/>
        <v>610.92</v>
      </c>
      <c r="AB898" s="1010"/>
      <c r="AC898" s="1011">
        <f t="shared" si="495"/>
        <v>-240</v>
      </c>
      <c r="AD898" s="1039" t="s">
        <v>123</v>
      </c>
      <c r="AE898" s="742" t="s">
        <v>98</v>
      </c>
      <c r="AF898" s="1013" t="s">
        <v>107</v>
      </c>
      <c r="AG898" s="1007"/>
      <c r="AH898" s="1007"/>
      <c r="AI898" s="1166"/>
      <c r="AJ898" s="1242"/>
      <c r="AK898" s="1166"/>
      <c r="AL898" s="1166"/>
      <c r="AM898" s="1023">
        <f>I898</f>
        <v>240</v>
      </c>
      <c r="AN898" s="1198"/>
      <c r="AO898" s="1196"/>
      <c r="AP898" s="674"/>
      <c r="AQ898" s="1025"/>
      <c r="AR898" s="1243"/>
      <c r="AS898" s="1199"/>
      <c r="AT898" s="1199"/>
      <c r="AU898" s="655">
        <f>I898</f>
        <v>240</v>
      </c>
      <c r="AV898" s="674"/>
      <c r="AW898" s="1196"/>
      <c r="AX898" s="1196"/>
      <c r="AY898" s="674"/>
      <c r="AZ898" s="1196"/>
      <c r="BA898" s="1188"/>
      <c r="BB898" s="1025"/>
      <c r="BC898" s="1243"/>
      <c r="BD898" s="1243"/>
      <c r="BE898" s="1025"/>
      <c r="BF898" s="1243"/>
      <c r="BG898" s="1243"/>
      <c r="BH898" s="1025"/>
      <c r="BI898" s="1243"/>
      <c r="BJ898" s="1242"/>
      <c r="BK898" s="1242"/>
      <c r="BL898" s="563"/>
      <c r="BM898" s="563"/>
      <c r="BN898" s="563"/>
      <c r="BO898" s="563"/>
      <c r="BP898" s="1242"/>
      <c r="BQ898" s="563"/>
      <c r="BR898" s="1242"/>
      <c r="BS898" s="563"/>
      <c r="BT898" s="563"/>
      <c r="BU898" s="563"/>
      <c r="BV898" s="563"/>
      <c r="BW898" s="563" t="s">
        <v>109</v>
      </c>
      <c r="BX898" s="1025">
        <f>I898/4</f>
        <v>60</v>
      </c>
      <c r="BY898" s="1025">
        <f>I898/4</f>
        <v>60</v>
      </c>
      <c r="BZ898" s="1025">
        <f>I898/4</f>
        <v>60</v>
      </c>
      <c r="CA898" s="1025">
        <f>I898/4</f>
        <v>60</v>
      </c>
      <c r="CB898" s="1025">
        <f>I898/4</f>
        <v>60</v>
      </c>
      <c r="CC898" s="1025"/>
      <c r="CD898" s="1025">
        <f t="shared" si="494"/>
        <v>240</v>
      </c>
      <c r="CE898" s="996">
        <f t="shared" si="475"/>
        <v>0</v>
      </c>
      <c r="CF898" s="1025"/>
      <c r="CG898" s="563"/>
      <c r="XDR898" s="1176"/>
      <c r="XDS898" s="1176"/>
      <c r="XDT898" s="992"/>
      <c r="XDU898" s="993"/>
      <c r="XDV898" s="994"/>
      <c r="XDW898" s="995"/>
      <c r="XDX898" s="1040"/>
      <c r="XDY898" s="1112"/>
      <c r="XDZ898" s="997"/>
      <c r="XEA898" s="997"/>
      <c r="XEB898" s="998"/>
      <c r="XEC898" s="998"/>
      <c r="XED898" s="999"/>
      <c r="XEE898" s="1113"/>
      <c r="XEF898" s="1000"/>
      <c r="XEG898" s="1000"/>
      <c r="XEH898" s="1001"/>
      <c r="XEI898" s="1001"/>
      <c r="XEJ898" s="992"/>
      <c r="XEK898" s="993"/>
      <c r="XEL898" s="994"/>
      <c r="XEM898" s="995"/>
      <c r="XEN898" s="1040"/>
      <c r="XEO898" s="1112"/>
      <c r="XEP898" s="997"/>
      <c r="XEQ898" s="997"/>
      <c r="XER898" s="998"/>
      <c r="XES898" s="998"/>
      <c r="XET898" s="999"/>
      <c r="XEU898" s="1113"/>
      <c r="XEV898" s="1000"/>
      <c r="XEW898" s="1000"/>
      <c r="XEX898" s="1001"/>
      <c r="XEY898" s="1001"/>
      <c r="XEZ898" s="1001"/>
      <c r="XFA898" s="1097"/>
      <c r="XFB898" s="1097"/>
      <c r="XFC898" s="1097"/>
      <c r="XFD898" s="1098"/>
    </row>
    <row r="899" s="563" customFormat="1" ht="40" customHeight="1" spans="1:84 16346:16384">
      <c r="A899" s="992">
        <v>46232</v>
      </c>
      <c r="B899" s="993" t="s">
        <v>3742</v>
      </c>
      <c r="C899" s="994" t="s">
        <v>129</v>
      </c>
      <c r="D899" s="995" t="s">
        <v>3743</v>
      </c>
      <c r="E899" s="1040"/>
      <c r="F899" s="1112" t="s">
        <v>3744</v>
      </c>
      <c r="G899" s="997" t="s">
        <v>111</v>
      </c>
      <c r="H899" s="997" t="s">
        <v>99</v>
      </c>
      <c r="I899" s="998">
        <v>2068</v>
      </c>
      <c r="J899" s="998">
        <v>0</v>
      </c>
      <c r="K899" s="999">
        <v>22</v>
      </c>
      <c r="L899" s="1113">
        <f t="shared" si="480"/>
        <v>94</v>
      </c>
      <c r="M899" s="1036">
        <v>46310</v>
      </c>
      <c r="N899" s="1244">
        <v>46307</v>
      </c>
      <c r="O899" s="1001"/>
      <c r="P899" s="1001"/>
      <c r="Q899" s="1002"/>
      <c r="R899" s="1003" t="s">
        <v>2038</v>
      </c>
      <c r="S899" s="1097"/>
      <c r="T899" s="1097"/>
      <c r="U899" s="1003" t="s">
        <v>3745</v>
      </c>
      <c r="V899" s="1098"/>
      <c r="W899" s="1062" t="s">
        <v>3479</v>
      </c>
      <c r="X899" s="1006" t="s">
        <v>3746</v>
      </c>
      <c r="Y899" s="999" t="s">
        <v>422</v>
      </c>
      <c r="Z899" s="1115">
        <v>2.8068</v>
      </c>
      <c r="AA899" s="1010">
        <f t="shared" si="481"/>
        <v>5804.4624</v>
      </c>
      <c r="AB899" s="1010"/>
      <c r="AC899" s="1011">
        <f t="shared" si="495"/>
        <v>-2068</v>
      </c>
      <c r="AD899" s="1039"/>
      <c r="AE899" s="1071" t="s">
        <v>230</v>
      </c>
      <c r="AF899" s="1013" t="s">
        <v>107</v>
      </c>
      <c r="AG899" s="1007"/>
      <c r="AH899" s="1007"/>
      <c r="AI899" s="1245"/>
      <c r="AJ899" s="1246"/>
      <c r="AK899" s="1245"/>
      <c r="AL899" s="1245"/>
      <c r="AM899" s="1023"/>
      <c r="AN899" s="1247"/>
      <c r="AO899" s="1248"/>
      <c r="AP899" s="965">
        <f>I899</f>
        <v>2068</v>
      </c>
      <c r="AQ899" s="1025"/>
      <c r="AR899" s="1249"/>
      <c r="AS899" s="1250"/>
      <c r="AT899" s="1250"/>
      <c r="AU899" s="655">
        <f>I899</f>
        <v>2068</v>
      </c>
      <c r="AV899" s="674"/>
      <c r="AW899" s="1248"/>
      <c r="AX899" s="1248"/>
      <c r="AY899" s="674"/>
      <c r="AZ899" s="1248"/>
      <c r="BA899" s="1251"/>
      <c r="BB899" s="1025">
        <f>I899/11</f>
        <v>188</v>
      </c>
      <c r="BC899" s="1249"/>
      <c r="BD899" s="1249"/>
      <c r="BE899" s="1025"/>
      <c r="BF899" s="1249"/>
      <c r="BG899" s="1249"/>
      <c r="BH899" s="1025"/>
      <c r="BI899" s="1249"/>
      <c r="BJ899" s="1246"/>
      <c r="BK899" s="1246"/>
      <c r="BL899" s="563"/>
      <c r="BM899" s="563"/>
      <c r="BN899" s="563"/>
      <c r="BO899" s="563"/>
      <c r="BP899" s="1246"/>
      <c r="BQ899" s="563"/>
      <c r="BR899" s="1246"/>
      <c r="BS899" s="563"/>
      <c r="BT899" s="563"/>
      <c r="BU899" s="563"/>
      <c r="BV899" s="563"/>
      <c r="BW899" s="1061" t="s">
        <v>109</v>
      </c>
      <c r="BX899" s="1025">
        <f>I899/22*5</f>
        <v>470</v>
      </c>
      <c r="BY899" s="1025">
        <f>I899/22*6</f>
        <v>564</v>
      </c>
      <c r="BZ899" s="1025">
        <f>I899/22*6</f>
        <v>564</v>
      </c>
      <c r="CA899" s="1025">
        <f>I899/22*5</f>
        <v>470</v>
      </c>
      <c r="CB899" s="1025">
        <f>I899</f>
        <v>2068</v>
      </c>
      <c r="CC899" s="1025">
        <f>I899/11</f>
        <v>188</v>
      </c>
      <c r="CD899" s="1025">
        <f t="shared" si="494"/>
        <v>2068</v>
      </c>
      <c r="CE899" s="1025">
        <f t="shared" si="475"/>
        <v>0</v>
      </c>
      <c r="CF899" s="1025"/>
      <c r="CG899" s="563"/>
      <c r="XDR899" s="1176"/>
      <c r="XDS899" s="1176"/>
      <c r="XDT899" s="992"/>
      <c r="XDU899" s="993"/>
      <c r="XDV899" s="994"/>
      <c r="XDW899" s="995"/>
      <c r="XDX899" s="1040"/>
      <c r="XDY899" s="1112"/>
      <c r="XDZ899" s="997"/>
      <c r="XEA899" s="997"/>
      <c r="XEB899" s="998"/>
      <c r="XEC899" s="998"/>
      <c r="XED899" s="999"/>
      <c r="XEE899" s="1113"/>
      <c r="XEF899" s="1000"/>
      <c r="XEG899" s="1000"/>
      <c r="XEH899" s="1001"/>
      <c r="XEI899" s="1001"/>
      <c r="XEJ899" s="992"/>
      <c r="XEK899" s="993"/>
      <c r="XEL899" s="994"/>
      <c r="XEM899" s="995"/>
      <c r="XEN899" s="1040"/>
      <c r="XEO899" s="1112"/>
      <c r="XEP899" s="997"/>
      <c r="XEQ899" s="997"/>
      <c r="XER899" s="998"/>
      <c r="XES899" s="998"/>
      <c r="XET899" s="999"/>
      <c r="XEU899" s="1113"/>
      <c r="XEV899" s="1000"/>
      <c r="XEW899" s="1000"/>
      <c r="XEX899" s="1001"/>
      <c r="XEY899" s="1001"/>
      <c r="XEZ899" s="1001"/>
      <c r="XFA899" s="1097"/>
      <c r="XFB899" s="1097"/>
      <c r="XFC899" s="1097"/>
      <c r="XFD899" s="1098"/>
    </row>
    <row r="900" s="561" customFormat="1" ht="40" customHeight="1" spans="1:84 16346:16384">
      <c r="A900" s="1064"/>
      <c r="B900" s="1027"/>
      <c r="C900" s="1028"/>
      <c r="D900" s="1029"/>
      <c r="E900" s="1102"/>
      <c r="F900" s="1103"/>
      <c r="G900" s="1031"/>
      <c r="H900" s="1031"/>
      <c r="I900" s="1032"/>
      <c r="J900" s="1032"/>
      <c r="K900" s="1065"/>
      <c r="L900" s="1104"/>
      <c r="M900" s="1066"/>
      <c r="N900" s="1066"/>
      <c r="O900" s="1067"/>
      <c r="P900" s="1067"/>
      <c r="Q900" s="1068"/>
      <c r="R900" s="1106"/>
      <c r="S900" s="1034"/>
      <c r="T900" s="1034"/>
      <c r="U900" s="1106"/>
      <c r="V900" s="1035"/>
      <c r="W900" s="1252"/>
      <c r="X900" s="1253"/>
      <c r="Y900" s="1065"/>
      <c r="Z900" s="1254"/>
      <c r="AA900" s="1255"/>
      <c r="AB900" s="1255"/>
      <c r="AC900" s="1256"/>
      <c r="AD900" s="1257"/>
      <c r="AE900" s="1258"/>
      <c r="AF900" s="1109"/>
      <c r="AG900" s="1259"/>
      <c r="AH900" s="1259"/>
      <c r="AI900" s="1260"/>
      <c r="AJ900" s="557"/>
      <c r="AK900" s="1260"/>
      <c r="AL900" s="1260"/>
      <c r="AM900" s="1261"/>
      <c r="AN900" s="1262"/>
      <c r="AO900" s="1263"/>
      <c r="AP900" s="1264"/>
      <c r="AQ900" s="562"/>
      <c r="AR900" s="584"/>
      <c r="AS900" s="1265"/>
      <c r="AT900" s="1265"/>
      <c r="AU900" s="1260"/>
      <c r="AV900" s="1264"/>
      <c r="AW900" s="1263"/>
      <c r="AX900" s="1263"/>
      <c r="AY900" s="1264"/>
      <c r="AZ900" s="1263"/>
      <c r="BA900" s="1266"/>
      <c r="BB900" s="562"/>
      <c r="BC900" s="584"/>
      <c r="BD900" s="584"/>
      <c r="BE900" s="562"/>
      <c r="BF900" s="584"/>
      <c r="BG900" s="584"/>
      <c r="BH900" s="562"/>
      <c r="BI900" s="584"/>
      <c r="BJ900" s="557"/>
      <c r="BK900" s="557"/>
      <c r="BL900" s="561"/>
      <c r="BM900" s="561"/>
      <c r="BN900" s="561"/>
      <c r="BO900" s="561"/>
      <c r="BP900" s="557"/>
      <c r="BQ900" s="561"/>
      <c r="BR900" s="557"/>
      <c r="BS900" s="561"/>
      <c r="BT900" s="561"/>
      <c r="BU900" s="561"/>
      <c r="BV900" s="561"/>
      <c r="BW900" s="561"/>
      <c r="BX900" s="562"/>
      <c r="BY900" s="562"/>
      <c r="BZ900" s="562"/>
      <c r="CA900" s="562"/>
      <c r="CB900" s="562"/>
      <c r="CC900" s="562"/>
      <c r="CD900" s="562"/>
      <c r="CE900" s="562"/>
      <c r="CF900" s="562"/>
      <c r="XDR900" s="1045"/>
      <c r="XDS900" s="1045"/>
      <c r="XDT900" s="1064"/>
      <c r="XDU900" s="1027"/>
      <c r="XDV900" s="1028"/>
      <c r="XDW900" s="1029"/>
      <c r="XDX900" s="1102"/>
      <c r="XDY900" s="1103"/>
      <c r="XDZ900" s="1031"/>
      <c r="XEA900" s="1031"/>
      <c r="XEB900" s="1032"/>
      <c r="XEC900" s="1032"/>
      <c r="XED900" s="1065"/>
      <c r="XEE900" s="1104"/>
      <c r="XEF900" s="1066"/>
      <c r="XEG900" s="1066"/>
      <c r="XEH900" s="1067"/>
      <c r="XEI900" s="1067"/>
      <c r="XEJ900" s="1064"/>
      <c r="XEK900" s="1027"/>
      <c r="XEL900" s="1028"/>
      <c r="XEM900" s="1029"/>
      <c r="XEN900" s="1102"/>
      <c r="XEO900" s="1103"/>
      <c r="XEP900" s="1031"/>
      <c r="XEQ900" s="1031"/>
      <c r="XER900" s="1032"/>
      <c r="XES900" s="1032"/>
      <c r="XET900" s="1065"/>
      <c r="XEU900" s="1104"/>
      <c r="XEV900" s="1066"/>
      <c r="XEW900" s="1066"/>
      <c r="XEX900" s="1067"/>
      <c r="XEY900" s="1067"/>
      <c r="XEZ900" s="1067"/>
      <c r="XFA900" s="1034"/>
      <c r="XFB900" s="1034"/>
      <c r="XFC900" s="1034"/>
      <c r="XFD900" s="1035"/>
    </row>
    <row r="901" s="561" customFormat="1" ht="40" customHeight="1" spans="1:84 16346:16384">
      <c r="A901" s="1064"/>
      <c r="B901" s="1027"/>
      <c r="C901" s="1028"/>
      <c r="D901" s="1029"/>
      <c r="E901" s="1102"/>
      <c r="F901" s="1103"/>
      <c r="G901" s="1031"/>
      <c r="H901" s="1031"/>
      <c r="I901" s="1032"/>
      <c r="J901" s="1032"/>
      <c r="K901" s="1065"/>
      <c r="L901" s="1104"/>
      <c r="M901" s="1066"/>
      <c r="N901" s="1066"/>
      <c r="O901" s="1067"/>
      <c r="P901" s="1067"/>
      <c r="Q901" s="1068"/>
      <c r="R901" s="1106"/>
      <c r="S901" s="1034"/>
      <c r="T901" s="1034"/>
      <c r="U901" s="1106"/>
      <c r="V901" s="1035"/>
      <c r="W901" s="1252"/>
      <c r="X901" s="1253"/>
      <c r="Y901" s="1065"/>
      <c r="Z901" s="1254"/>
      <c r="AA901" s="1255"/>
      <c r="AB901" s="1255"/>
      <c r="AC901" s="1256"/>
      <c r="AD901" s="1257"/>
      <c r="AE901" s="1258"/>
      <c r="AF901" s="1109"/>
      <c r="AG901" s="1259"/>
      <c r="AH901" s="1259"/>
      <c r="AI901" s="1260"/>
      <c r="AJ901" s="557"/>
      <c r="AK901" s="1260"/>
      <c r="AL901" s="1260"/>
      <c r="AM901" s="1261"/>
      <c r="AN901" s="1262"/>
      <c r="AO901" s="1263"/>
      <c r="AP901" s="1264"/>
      <c r="AQ901" s="562"/>
      <c r="AR901" s="584"/>
      <c r="AS901" s="1265"/>
      <c r="AT901" s="1265"/>
      <c r="AU901" s="1260"/>
      <c r="AV901" s="1264"/>
      <c r="AW901" s="1263"/>
      <c r="AX901" s="1263"/>
      <c r="AY901" s="1264"/>
      <c r="AZ901" s="1263"/>
      <c r="BA901" s="1266"/>
      <c r="BB901" s="562"/>
      <c r="BC901" s="584"/>
      <c r="BD901" s="584"/>
      <c r="BE901" s="562"/>
      <c r="BF901" s="584"/>
      <c r="BG901" s="584"/>
      <c r="BH901" s="562"/>
      <c r="BI901" s="584"/>
      <c r="BJ901" s="557"/>
      <c r="BK901" s="557"/>
      <c r="BL901" s="561"/>
      <c r="BM901" s="561"/>
      <c r="BN901" s="561"/>
      <c r="BO901" s="561"/>
      <c r="BP901" s="557"/>
      <c r="BQ901" s="561"/>
      <c r="BR901" s="557"/>
      <c r="BS901" s="561"/>
      <c r="BT901" s="561"/>
      <c r="BU901" s="561"/>
      <c r="BV901" s="561"/>
      <c r="BW901" s="561"/>
      <c r="BX901" s="562"/>
      <c r="BY901" s="562"/>
      <c r="BZ901" s="562"/>
      <c r="CA901" s="562"/>
      <c r="CB901" s="562"/>
      <c r="CC901" s="562"/>
      <c r="CD901" s="562"/>
      <c r="CE901" s="562"/>
      <c r="CF901" s="562"/>
      <c r="XDR901" s="1045"/>
      <c r="XDS901" s="1045"/>
      <c r="XDT901" s="1064"/>
      <c r="XDU901" s="1027"/>
      <c r="XDV901" s="1028"/>
      <c r="XDW901" s="1029"/>
      <c r="XDX901" s="1102"/>
      <c r="XDY901" s="1103"/>
      <c r="XDZ901" s="1031"/>
      <c r="XEA901" s="1031"/>
      <c r="XEB901" s="1032"/>
      <c r="XEC901" s="1032"/>
      <c r="XED901" s="1065"/>
      <c r="XEE901" s="1104"/>
      <c r="XEF901" s="1066"/>
      <c r="XEG901" s="1066"/>
      <c r="XEH901" s="1067"/>
      <c r="XEI901" s="1067"/>
      <c r="XEJ901" s="1064"/>
      <c r="XEK901" s="1027"/>
      <c r="XEL901" s="1028"/>
      <c r="XEM901" s="1029"/>
      <c r="XEN901" s="1102"/>
      <c r="XEO901" s="1103"/>
      <c r="XEP901" s="1031"/>
      <c r="XEQ901" s="1031"/>
      <c r="XER901" s="1032"/>
      <c r="XES901" s="1032"/>
      <c r="XET901" s="1065"/>
      <c r="XEU901" s="1104"/>
      <c r="XEV901" s="1066"/>
      <c r="XEW901" s="1066"/>
      <c r="XEX901" s="1067"/>
      <c r="XEY901" s="1067"/>
      <c r="XEZ901" s="1067"/>
      <c r="XFA901" s="1034"/>
      <c r="XFB901" s="1034"/>
      <c r="XFC901" s="1034"/>
      <c r="XFD901" s="1035"/>
    </row>
    <row r="902" s="338" customFormat="1" ht="40" customHeight="1" spans="1:84 16346:16384">
      <c r="A902" s="888"/>
      <c r="B902" s="889"/>
      <c r="C902" s="890"/>
      <c r="D902" s="891"/>
      <c r="E902" s="892"/>
      <c r="F902" s="892"/>
      <c r="G902" s="893"/>
      <c r="H902" s="893"/>
      <c r="I902" s="892"/>
      <c r="J902" s="894"/>
      <c r="K902" s="894"/>
      <c r="L902" s="894"/>
      <c r="M902" s="953"/>
      <c r="N902" s="953"/>
      <c r="O902" s="953"/>
      <c r="P902" s="954"/>
      <c r="Q902" s="1267"/>
      <c r="R902" s="953"/>
      <c r="S902" s="953"/>
      <c r="T902" s="953"/>
      <c r="U902" s="1268"/>
      <c r="V902" s="1268"/>
      <c r="W902" s="917"/>
      <c r="X902" s="1269"/>
      <c r="Y902" s="917"/>
      <c r="Z902" s="917"/>
      <c r="AA902" s="1270"/>
      <c r="AB902" s="1271"/>
      <c r="AC902" s="1270"/>
      <c r="AD902" s="1270"/>
      <c r="AE902" s="892"/>
      <c r="AF902" s="1272"/>
      <c r="AG902" s="1272"/>
      <c r="AH902" s="917"/>
      <c r="AI902" s="1273"/>
      <c r="AJ902" s="1273"/>
      <c r="AK902" s="1273"/>
      <c r="AL902" s="1271"/>
      <c r="AM902" s="1271"/>
      <c r="AN902" s="1273"/>
      <c r="AO902" s="1271"/>
      <c r="AP902" s="1274"/>
      <c r="AQ902" s="1275"/>
      <c r="AR902" s="1271"/>
      <c r="AS902" s="1273"/>
      <c r="AT902" s="1271"/>
      <c r="AU902" s="1271"/>
      <c r="AV902" s="1276"/>
      <c r="AW902" s="1277"/>
      <c r="AX902" s="1276"/>
      <c r="AY902" s="1276"/>
      <c r="AZ902" s="1277"/>
      <c r="BA902" s="1276"/>
      <c r="BB902" s="1276"/>
      <c r="BC902" s="1277"/>
      <c r="BD902" s="1277"/>
      <c r="BE902" s="1276"/>
      <c r="BF902" s="1277"/>
      <c r="BG902" s="1276"/>
      <c r="BH902" s="1276"/>
      <c r="BI902" s="1277"/>
      <c r="BJ902" s="1277"/>
      <c r="BK902" s="1276"/>
      <c r="BL902" s="1276"/>
      <c r="BM902" s="1276"/>
      <c r="BN902" s="1276"/>
      <c r="BO902" s="1276"/>
      <c r="BP902" s="1277"/>
      <c r="BQ902" s="1276" t="s">
        <v>1299</v>
      </c>
      <c r="BR902" s="1277"/>
      <c r="BS902" s="1276"/>
      <c r="BT902" s="1276"/>
      <c r="BU902" s="1276"/>
      <c r="BV902" s="1276"/>
      <c r="BW902" s="1278"/>
      <c r="BX902" s="892"/>
      <c r="BY902" s="892"/>
      <c r="BZ902" s="892"/>
      <c r="CA902" s="892"/>
      <c r="CB902" s="892"/>
      <c r="CC902" s="892"/>
      <c r="CD902" s="892"/>
      <c r="CE902" s="892"/>
    </row>
    <row r="903" s="557" customFormat="1" ht="39" customHeight="1" spans="1:84 16346:16384">
      <c r="A903" s="565"/>
      <c r="B903" s="566"/>
      <c r="C903" s="566"/>
      <c r="D903" s="567"/>
      <c r="E903" s="568"/>
      <c r="F903" s="566"/>
      <c r="G903" s="566"/>
      <c r="H903" s="568"/>
      <c r="I903" s="568"/>
      <c r="J903" s="568"/>
      <c r="K903" s="568"/>
      <c r="L903" s="568"/>
      <c r="M903" s="568"/>
      <c r="N903" s="569"/>
      <c r="O903" s="568"/>
      <c r="P903" s="566"/>
      <c r="Q903" s="570"/>
      <c r="R903" s="568"/>
      <c r="S903" s="568"/>
      <c r="T903" s="568"/>
      <c r="U903" s="1279"/>
      <c r="V903" s="1280"/>
      <c r="W903" s="568"/>
      <c r="X903" s="571"/>
      <c r="Y903" s="572"/>
      <c r="Z903" s="572"/>
      <c r="AA903" s="572"/>
      <c r="AB903" s="573"/>
      <c r="AC903" s="572"/>
      <c r="AD903" s="569"/>
      <c r="AE903" s="568"/>
      <c r="AF903" s="572"/>
      <c r="AG903" s="572"/>
      <c r="AH903" s="572"/>
      <c r="AI903" s="574">
        <f t="shared" ref="AI903:BG903" si="496">SUM(AI4:AI902)</f>
        <v>0</v>
      </c>
      <c r="AJ903" s="574">
        <f t="shared" si="496"/>
        <v>0</v>
      </c>
      <c r="AK903" s="574">
        <f t="shared" si="496"/>
        <v>0</v>
      </c>
      <c r="AL903" s="1265">
        <f t="shared" si="496"/>
        <v>448054</v>
      </c>
      <c r="AM903" s="1265">
        <f t="shared" si="496"/>
        <v>196234</v>
      </c>
      <c r="AN903" s="1281">
        <f t="shared" si="496"/>
        <v>0</v>
      </c>
      <c r="AO903" s="1281">
        <f t="shared" si="496"/>
        <v>176091</v>
      </c>
      <c r="AP903" s="1265">
        <f t="shared" si="496"/>
        <v>179069</v>
      </c>
      <c r="AQ903" s="1265">
        <f t="shared" si="496"/>
        <v>0</v>
      </c>
      <c r="AR903" s="1281">
        <f t="shared" si="496"/>
        <v>0</v>
      </c>
      <c r="AS903" s="1281">
        <f t="shared" si="496"/>
        <v>0</v>
      </c>
      <c r="AT903" s="1265">
        <f t="shared" si="496"/>
        <v>597549</v>
      </c>
      <c r="AU903" s="1265">
        <f t="shared" si="496"/>
        <v>370523</v>
      </c>
      <c r="AV903" s="1265">
        <f t="shared" si="496"/>
        <v>34626</v>
      </c>
      <c r="AW903" s="1281">
        <f t="shared" si="496"/>
        <v>0</v>
      </c>
      <c r="AX903" s="1265">
        <f t="shared" si="496"/>
        <v>18928</v>
      </c>
      <c r="AY903" s="1265">
        <f t="shared" si="496"/>
        <v>4587</v>
      </c>
      <c r="AZ903" s="1281">
        <f t="shared" si="496"/>
        <v>0</v>
      </c>
      <c r="BA903" s="1265">
        <f t="shared" si="496"/>
        <v>12732</v>
      </c>
      <c r="BB903" s="1265">
        <f t="shared" si="496"/>
        <v>17280</v>
      </c>
      <c r="BC903" s="1281">
        <f t="shared" si="496"/>
        <v>0</v>
      </c>
      <c r="BD903" s="1281">
        <f t="shared" si="496"/>
        <v>0</v>
      </c>
      <c r="BE903" s="1265">
        <f t="shared" si="496"/>
        <v>2500</v>
      </c>
      <c r="BF903" s="1281">
        <f t="shared" si="496"/>
        <v>925</v>
      </c>
      <c r="BG903" s="1262">
        <f t="shared" si="496"/>
        <v>4560.14285714286</v>
      </c>
      <c r="BH903" s="1262"/>
      <c r="BI903" s="1281">
        <f t="shared" ref="BI903:BN903" si="497">SUM(BI4:BI902)</f>
        <v>0</v>
      </c>
      <c r="BJ903" s="1281">
        <f t="shared" si="497"/>
        <v>0</v>
      </c>
      <c r="BK903" s="1265">
        <f t="shared" si="497"/>
        <v>5905</v>
      </c>
      <c r="BL903" s="1265">
        <f t="shared" si="497"/>
        <v>4210</v>
      </c>
      <c r="BM903" s="566">
        <f t="shared" si="497"/>
        <v>0</v>
      </c>
      <c r="BN903" s="566">
        <f t="shared" si="497"/>
        <v>1320</v>
      </c>
      <c r="BO903" s="566"/>
      <c r="BP903" s="574">
        <f t="shared" ref="BP903:BV903" si="498">SUM(BP4:BP902)</f>
        <v>0</v>
      </c>
      <c r="BQ903" s="566">
        <f t="shared" si="498"/>
        <v>0</v>
      </c>
      <c r="BR903" s="574">
        <f t="shared" si="498"/>
        <v>0</v>
      </c>
      <c r="BS903" s="566">
        <f t="shared" si="498"/>
        <v>800</v>
      </c>
      <c r="BT903" s="566">
        <f t="shared" si="498"/>
        <v>0</v>
      </c>
      <c r="BU903" s="566">
        <f t="shared" si="498"/>
        <v>10</v>
      </c>
      <c r="BV903" s="566">
        <f t="shared" si="498"/>
        <v>3455</v>
      </c>
      <c r="BW903" s="566"/>
      <c r="BX903" s="583">
        <f t="shared" ref="BX903:CD903" si="499">SUM(BX4:BX902)</f>
        <v>233064.409090909</v>
      </c>
      <c r="BY903" s="583">
        <f t="shared" si="499"/>
        <v>268571.590909091</v>
      </c>
      <c r="BZ903" s="583">
        <f t="shared" si="499"/>
        <v>256643.590909091</v>
      </c>
      <c r="CA903" s="583">
        <f t="shared" si="499"/>
        <v>240376.409090909</v>
      </c>
      <c r="CB903" s="583">
        <f t="shared" si="499"/>
        <v>917424</v>
      </c>
      <c r="CC903" s="1282">
        <f t="shared" si="499"/>
        <v>58601</v>
      </c>
      <c r="CD903" s="1282">
        <f t="shared" si="499"/>
        <v>998656</v>
      </c>
      <c r="CE903" s="566"/>
    </row>
    <row r="904" s="557" customFormat="1" ht="26" customHeight="1" spans="1:84 16346:16384">
      <c r="A904" s="565"/>
      <c r="B904" s="566"/>
      <c r="C904" s="566"/>
      <c r="D904" s="567"/>
      <c r="E904" s="568"/>
      <c r="F904" s="566"/>
      <c r="G904" s="566"/>
      <c r="H904" s="568"/>
      <c r="I904" s="565">
        <f>SUBTOTAL(9,I366:I903)</f>
        <v>5500</v>
      </c>
      <c r="J904" s="565"/>
      <c r="K904" s="565"/>
      <c r="L904" s="568"/>
      <c r="M904" s="569"/>
      <c r="O904" s="568"/>
      <c r="P904" s="566"/>
      <c r="Q904" s="570"/>
      <c r="R904" s="568"/>
      <c r="S904" s="568"/>
      <c r="T904" s="568"/>
      <c r="U904" s="1279"/>
      <c r="V904" s="1280"/>
      <c r="W904" s="568"/>
      <c r="X904" s="571"/>
      <c r="Y904" s="572"/>
      <c r="Z904" s="572"/>
      <c r="AA904" s="1283"/>
      <c r="AB904" s="573"/>
      <c r="AC904" s="572"/>
      <c r="AD904" s="569"/>
      <c r="AE904" s="568"/>
      <c r="AF904" s="572"/>
      <c r="AG904" s="572"/>
      <c r="AH904" s="572"/>
      <c r="AI904" s="574"/>
      <c r="AJ904" s="574"/>
      <c r="AK904" s="574"/>
      <c r="AL904" s="566"/>
      <c r="AM904" s="566"/>
      <c r="AN904" s="574"/>
      <c r="AO904" s="566"/>
      <c r="AP904" s="566"/>
      <c r="AQ904" s="566"/>
      <c r="AR904" s="566"/>
      <c r="AS904" s="574"/>
      <c r="AT904" s="566"/>
      <c r="AU904" s="566"/>
      <c r="AV904" s="566"/>
      <c r="AW904" s="574"/>
      <c r="AX904" s="566"/>
      <c r="AY904" s="566"/>
      <c r="AZ904" s="574"/>
      <c r="BA904" s="566"/>
      <c r="BB904" s="566"/>
      <c r="BC904" s="574"/>
      <c r="BD904" s="574"/>
      <c r="BE904" s="566"/>
      <c r="BF904" s="574"/>
      <c r="BG904" s="566"/>
      <c r="BH904" s="566"/>
      <c r="BI904" s="574"/>
      <c r="BJ904" s="574"/>
      <c r="BK904" s="566"/>
      <c r="BL904" s="566"/>
      <c r="BM904" s="566"/>
      <c r="BN904" s="566"/>
      <c r="BO904" s="566"/>
      <c r="BP904" s="574"/>
      <c r="BQ904" s="566"/>
      <c r="BR904" s="574"/>
      <c r="BS904" s="566"/>
      <c r="BT904" s="566"/>
      <c r="BU904" s="566"/>
      <c r="BV904" s="1284"/>
      <c r="BW904" s="1284"/>
      <c r="BX904" s="1284"/>
      <c r="BY904" s="1284"/>
      <c r="BZ904" s="1284"/>
      <c r="CA904" s="1284"/>
      <c r="CB904" s="1284"/>
      <c r="CC904" s="1284"/>
      <c r="CD904" s="892"/>
      <c r="CE904" s="892"/>
    </row>
    <row r="905" s="557" customFormat="1" ht="26" customHeight="1" spans="1:84 16346:16384">
      <c r="A905" s="565"/>
      <c r="B905" s="566"/>
      <c r="C905" s="566"/>
      <c r="D905" s="567"/>
      <c r="E905" s="568"/>
      <c r="F905" s="566"/>
      <c r="G905" s="566"/>
      <c r="H905" s="568"/>
      <c r="I905" s="565"/>
      <c r="J905" s="565"/>
      <c r="K905" s="565"/>
      <c r="L905" s="568"/>
      <c r="M905" s="568"/>
      <c r="N905" s="569"/>
      <c r="O905" s="568"/>
      <c r="P905" s="566"/>
      <c r="Q905" s="570"/>
      <c r="R905" s="568"/>
      <c r="S905" s="568"/>
      <c r="T905" s="568"/>
      <c r="U905" s="1279"/>
      <c r="V905" s="1280"/>
      <c r="W905" s="568"/>
      <c r="X905" s="571"/>
      <c r="Y905" s="572"/>
      <c r="Z905" s="572"/>
      <c r="AA905" s="572"/>
      <c r="AB905" s="573"/>
      <c r="AC905" s="572"/>
      <c r="AD905" s="569"/>
      <c r="AE905" s="568"/>
      <c r="AF905" s="572"/>
      <c r="AG905" s="572"/>
      <c r="AH905" s="572"/>
      <c r="AI905" s="574"/>
      <c r="AJ905" s="574"/>
      <c r="AK905" s="574"/>
      <c r="AL905" s="566"/>
      <c r="AM905" s="566"/>
      <c r="AN905" s="574"/>
      <c r="AO905" s="566"/>
      <c r="AP905" s="566"/>
      <c r="AQ905" s="566"/>
      <c r="AR905" s="566"/>
      <c r="AS905" s="574"/>
      <c r="AT905" s="566"/>
      <c r="AU905" s="566"/>
      <c r="AV905" s="566"/>
      <c r="AW905" s="574"/>
      <c r="AX905" s="566"/>
      <c r="AY905" s="566"/>
      <c r="AZ905" s="574"/>
      <c r="BA905" s="566"/>
      <c r="BB905" s="566"/>
      <c r="BC905" s="574"/>
      <c r="BD905" s="574"/>
      <c r="BE905" s="566"/>
      <c r="BF905" s="574"/>
      <c r="BG905" s="566"/>
      <c r="BH905" s="566"/>
      <c r="BI905" s="574"/>
      <c r="BJ905" s="574"/>
      <c r="BK905" s="566"/>
      <c r="BL905" s="566"/>
      <c r="BM905" s="566"/>
      <c r="BN905" s="566"/>
      <c r="BO905" s="566"/>
      <c r="BP905" s="574"/>
      <c r="BQ905" s="566"/>
      <c r="BR905" s="574"/>
      <c r="BS905" s="566"/>
      <c r="BT905" s="566"/>
      <c r="BU905" s="566"/>
      <c r="BV905" s="566"/>
      <c r="BW905" s="566"/>
      <c r="BX905" s="566"/>
      <c r="BY905" s="583"/>
      <c r="BZ905" s="583"/>
      <c r="CA905" s="583"/>
      <c r="CB905" s="583"/>
      <c r="CC905" s="1282"/>
      <c r="CD905" s="1282"/>
      <c r="CE905" s="566"/>
    </row>
    <row r="906" s="557" customFormat="1" ht="26" customHeight="1" spans="1:84 16346:16384">
      <c r="A906" s="565"/>
      <c r="B906" s="566"/>
      <c r="C906" s="566"/>
      <c r="D906" s="567"/>
      <c r="E906" s="568"/>
      <c r="F906" s="566"/>
      <c r="G906" s="566"/>
      <c r="H906" s="568"/>
      <c r="I906" s="565"/>
      <c r="J906" s="565"/>
      <c r="K906" s="565"/>
      <c r="L906" s="568"/>
      <c r="M906" s="568"/>
      <c r="N906" s="569"/>
      <c r="O906" s="568"/>
      <c r="P906" s="566"/>
      <c r="Q906" s="570"/>
      <c r="R906" s="568"/>
      <c r="S906" s="568"/>
      <c r="T906" s="568"/>
      <c r="U906" s="1279"/>
      <c r="V906" s="1280"/>
      <c r="W906" s="568"/>
      <c r="X906" s="571"/>
      <c r="Y906" s="572"/>
      <c r="Z906" s="572"/>
      <c r="AA906" s="572"/>
      <c r="AB906" s="573"/>
      <c r="AC906" s="572"/>
      <c r="AD906" s="569"/>
      <c r="AE906" s="568"/>
      <c r="AF906" s="572"/>
      <c r="AG906" s="572"/>
      <c r="AH906" s="572"/>
      <c r="AI906" s="574"/>
      <c r="AJ906" s="574"/>
      <c r="AK906" s="574"/>
      <c r="AL906" s="566"/>
      <c r="AM906" s="566"/>
      <c r="AN906" s="574"/>
      <c r="AO906" s="566"/>
      <c r="AP906" s="566"/>
      <c r="AQ906" s="566"/>
      <c r="AR906" s="566"/>
      <c r="AS906" s="574"/>
      <c r="AT906" s="566"/>
      <c r="AU906" s="566"/>
      <c r="AV906" s="566"/>
      <c r="AW906" s="574"/>
      <c r="AX906" s="566"/>
      <c r="AY906" s="566"/>
      <c r="AZ906" s="574"/>
      <c r="BA906" s="566"/>
      <c r="BB906" s="566"/>
      <c r="BC906" s="574"/>
      <c r="BD906" s="574"/>
      <c r="BE906" s="566"/>
      <c r="BF906" s="574"/>
      <c r="BG906" s="566"/>
      <c r="BH906" s="566"/>
      <c r="BI906" s="574"/>
      <c r="BJ906" s="574"/>
      <c r="BK906" s="566"/>
      <c r="BL906" s="566"/>
      <c r="BM906" s="566"/>
      <c r="BN906" s="566"/>
      <c r="BO906" s="566"/>
      <c r="BP906" s="574"/>
      <c r="BQ906" s="566"/>
      <c r="BR906" s="574"/>
      <c r="BS906" s="566"/>
      <c r="BT906" s="566"/>
      <c r="BU906" s="566"/>
      <c r="BV906" s="566"/>
      <c r="BW906" s="566"/>
      <c r="BX906" s="566"/>
      <c r="BY906" s="583"/>
      <c r="BZ906" s="583"/>
      <c r="CA906" s="583"/>
      <c r="CB906" s="583"/>
      <c r="CC906" s="1282"/>
      <c r="CD906" s="1282"/>
      <c r="CE906" s="566"/>
    </row>
    <row r="907" s="557" customFormat="1" ht="26" customHeight="1" spans="1:84 16346:16384">
      <c r="A907" s="565"/>
      <c r="B907" s="566"/>
      <c r="C907" s="566"/>
      <c r="D907" s="567"/>
      <c r="E907" s="568"/>
      <c r="F907" s="566"/>
      <c r="G907" s="566"/>
      <c r="H907" s="568"/>
      <c r="I907" s="1285"/>
      <c r="J907" s="568"/>
      <c r="K907" s="568"/>
      <c r="L907" s="568"/>
      <c r="M907" s="568"/>
      <c r="N907" s="566"/>
      <c r="O907" s="566"/>
      <c r="P907" s="1283"/>
      <c r="Q907" s="1286"/>
      <c r="R907" s="566"/>
      <c r="S907" s="1287"/>
      <c r="T907" s="1287"/>
      <c r="U907" s="566"/>
      <c r="V907" s="566"/>
      <c r="W907" s="572"/>
      <c r="X907" s="571"/>
      <c r="Y907" s="572"/>
      <c r="Z907" s="572"/>
      <c r="AA907" s="572"/>
      <c r="AB907" s="573"/>
      <c r="AC907" s="572"/>
      <c r="AD907" s="572"/>
      <c r="AE907" s="568"/>
      <c r="AF907" s="566"/>
      <c r="AG907" s="566"/>
      <c r="AH907" s="572"/>
      <c r="AI907" s="575"/>
      <c r="AJ907" s="575"/>
      <c r="AK907" s="575"/>
      <c r="AL907" s="566"/>
      <c r="AM907" s="566"/>
      <c r="AN907" s="1288"/>
      <c r="AO907" s="576"/>
      <c r="AP907" s="576"/>
      <c r="AQ907" s="579"/>
      <c r="AR907" s="1289"/>
      <c r="AS907" s="582"/>
      <c r="AT907" s="580"/>
      <c r="AU907" s="580"/>
      <c r="AV907" s="580"/>
      <c r="AW907" s="582"/>
      <c r="AX907" s="580"/>
      <c r="AY907" s="580"/>
      <c r="AZ907" s="582"/>
      <c r="BA907" s="580"/>
      <c r="BB907" s="580"/>
      <c r="BC907" s="582"/>
      <c r="BD907" s="582"/>
      <c r="BE907" s="580"/>
      <c r="BF907" s="582"/>
      <c r="BG907" s="580"/>
      <c r="BH907" s="580"/>
      <c r="BI907" s="582"/>
      <c r="BJ907" s="582"/>
      <c r="BK907" s="580"/>
      <c r="BL907" s="580"/>
      <c r="BM907" s="580"/>
      <c r="BN907" s="580"/>
      <c r="BO907" s="580"/>
      <c r="BP907" s="582"/>
      <c r="BQ907" s="580"/>
      <c r="BR907" s="582"/>
      <c r="BS907" s="580"/>
      <c r="BT907" s="580"/>
      <c r="BU907" s="580"/>
      <c r="BV907" s="580"/>
      <c r="BW907" s="1290"/>
      <c r="BX907" s="566"/>
      <c r="BY907" s="566"/>
      <c r="BZ907" s="583"/>
      <c r="CA907" s="579"/>
      <c r="CB907" s="568"/>
      <c r="CC907" s="568"/>
      <c r="CD907" s="568"/>
      <c r="CE907" s="584"/>
    </row>
    <row r="908" ht="26" customHeight="1" spans="1:84 16346:16384">
      <c r="I908" s="566"/>
      <c r="J908" s="566"/>
      <c r="N908" s="566"/>
      <c r="O908" s="566"/>
      <c r="P908" s="572"/>
      <c r="Q908" s="1286"/>
      <c r="S908" s="1287"/>
      <c r="T908" s="1287"/>
      <c r="W908" s="572"/>
      <c r="AF908" s="566"/>
      <c r="AG908" s="566"/>
      <c r="AI908" s="575"/>
      <c r="AJ908" s="575"/>
      <c r="AK908" s="575"/>
      <c r="AN908" s="1288"/>
      <c r="AO908" s="576"/>
      <c r="AP908" s="576"/>
      <c r="AQ908" s="579"/>
      <c r="AR908" s="1289"/>
      <c r="AS908" s="582"/>
      <c r="AT908" s="580"/>
      <c r="AU908" s="580"/>
      <c r="AW908" s="582"/>
      <c r="BW908" s="1290"/>
      <c r="BZ908" s="583"/>
      <c r="CA908" s="579"/>
      <c r="CB908" s="568"/>
      <c r="CE908" s="584"/>
      <c r="CF908" s="557"/>
    </row>
    <row r="909" ht="26" customHeight="1" spans="1:84 16346:16384">
      <c r="N909" s="568"/>
      <c r="O909" s="566"/>
      <c r="P909" s="572"/>
      <c r="Q909" s="1286"/>
      <c r="S909" s="1287"/>
      <c r="T909" s="1287"/>
      <c r="AB909" s="572"/>
      <c r="AD909" s="573"/>
      <c r="AH909" s="566"/>
      <c r="AI909" s="575"/>
      <c r="AJ909" s="575"/>
      <c r="AK909" s="575"/>
      <c r="AN909" s="1288"/>
      <c r="AO909" s="576"/>
      <c r="AP909" s="576"/>
      <c r="AQ909" s="579"/>
      <c r="AR909" s="1289"/>
      <c r="AS909" s="582"/>
      <c r="AT909" s="580"/>
      <c r="AU909" s="580"/>
      <c r="AW909" s="582"/>
      <c r="BW909" s="1290"/>
      <c r="BZ909" s="583"/>
      <c r="CA909" s="579"/>
      <c r="CB909" s="568"/>
      <c r="CE909" s="584"/>
      <c r="CF909" s="557"/>
    </row>
    <row r="910" ht="26" customHeight="1" spans="1:84 16346:16384">
      <c r="N910" s="566"/>
      <c r="O910" s="572"/>
      <c r="P910" s="568"/>
      <c r="Q910" s="1286"/>
      <c r="R910" s="1287"/>
      <c r="V910" s="572"/>
      <c r="AB910" s="572"/>
      <c r="AD910" s="573"/>
      <c r="AH910" s="566"/>
      <c r="AI910" s="575"/>
      <c r="AJ910" s="1288"/>
      <c r="AK910" s="1288"/>
      <c r="AL910" s="576"/>
      <c r="AM910" s="576"/>
      <c r="AN910" s="578"/>
      <c r="AO910" s="579"/>
      <c r="AP910" s="579"/>
      <c r="AQ910" s="580"/>
      <c r="AR910" s="1289"/>
      <c r="AS910" s="581"/>
      <c r="AT910" s="580"/>
      <c r="AU910" s="580"/>
      <c r="AW910" s="582"/>
      <c r="BV910" s="1290"/>
      <c r="BW910" s="1291"/>
      <c r="BY910" s="583"/>
      <c r="BZ910" s="579"/>
      <c r="CA910" s="568"/>
      <c r="CB910" s="568"/>
      <c r="CD910" s="584"/>
      <c r="CE910" s="584"/>
      <c r="CF910" s="557"/>
    </row>
    <row r="911" ht="26" customHeight="1" spans="1:84 16346:16384">
      <c r="N911" s="566"/>
      <c r="O911" s="572"/>
      <c r="P911" s="568"/>
      <c r="Q911" s="1286"/>
      <c r="R911" s="1287"/>
      <c r="V911" s="572"/>
      <c r="W911" s="572"/>
      <c r="AF911" s="566"/>
      <c r="AG911" s="566"/>
      <c r="AH911" s="566"/>
      <c r="AI911" s="575"/>
      <c r="AJ911" s="1288"/>
      <c r="AK911" s="1288"/>
      <c r="AL911" s="576"/>
      <c r="AM911" s="576"/>
      <c r="AN911" s="578"/>
      <c r="AO911" s="579"/>
      <c r="AP911" s="579"/>
      <c r="AQ911" s="580"/>
      <c r="AR911" s="1289"/>
      <c r="AS911" s="581"/>
      <c r="AT911" s="580"/>
      <c r="AU911" s="580"/>
      <c r="AW911" s="582"/>
      <c r="BV911" s="1290"/>
      <c r="BW911" s="566"/>
      <c r="BY911" s="583"/>
      <c r="BZ911" s="579"/>
      <c r="CA911" s="568"/>
      <c r="CB911" s="568"/>
      <c r="CD911" s="584"/>
      <c r="CE911" s="584"/>
      <c r="CF911" s="557"/>
    </row>
    <row r="912" ht="26" customHeight="1" spans="1:84 16346:16384">
      <c r="N912" s="568"/>
      <c r="O912" s="566"/>
      <c r="P912" s="572"/>
      <c r="Q912" s="1286"/>
      <c r="S912" s="1287"/>
      <c r="T912" s="1287"/>
      <c r="W912" s="572"/>
      <c r="AG912" s="566"/>
      <c r="AJ912" s="575"/>
      <c r="AK912" s="575"/>
      <c r="AN912" s="1288"/>
      <c r="AO912" s="576"/>
      <c r="AP912" s="576"/>
      <c r="AQ912" s="579"/>
      <c r="AS912" s="582"/>
      <c r="AT912" s="580"/>
      <c r="AU912" s="580"/>
      <c r="AW912" s="582"/>
      <c r="BW912" s="1290"/>
      <c r="BZ912" s="583"/>
      <c r="CA912" s="579"/>
      <c r="CB912" s="568"/>
      <c r="CE912" s="584"/>
      <c r="CF912" s="557"/>
    </row>
    <row r="913" ht="26" customHeight="1" spans="9:84">
      <c r="N913" s="568"/>
      <c r="O913" s="566"/>
      <c r="P913" s="572"/>
      <c r="Q913" s="1286"/>
      <c r="S913" s="1287"/>
      <c r="T913" s="1287"/>
      <c r="W913" s="572"/>
      <c r="AG913" s="566"/>
      <c r="AJ913" s="575"/>
      <c r="AK913" s="575"/>
      <c r="AN913" s="1288"/>
      <c r="AO913" s="576"/>
      <c r="AP913" s="576"/>
      <c r="AQ913" s="579"/>
      <c r="AS913" s="582"/>
      <c r="AT913" s="580"/>
      <c r="AU913" s="580"/>
      <c r="AW913" s="582"/>
      <c r="BW913" s="1290"/>
      <c r="BZ913" s="583"/>
      <c r="CA913" s="579"/>
      <c r="CB913" s="568"/>
      <c r="CE913" s="584"/>
      <c r="CF913" s="557"/>
    </row>
    <row r="914" ht="26" customHeight="1" spans="9:84">
      <c r="N914" s="568"/>
      <c r="O914" s="566"/>
      <c r="P914" s="572"/>
      <c r="Q914" s="1286"/>
      <c r="S914" s="1287"/>
      <c r="T914" s="1287"/>
      <c r="W914" s="572"/>
      <c r="AG914" s="566"/>
      <c r="AJ914" s="575"/>
      <c r="AK914" s="575"/>
      <c r="AN914" s="1288"/>
      <c r="AO914" s="576"/>
      <c r="AP914" s="576"/>
      <c r="AQ914" s="579"/>
      <c r="AS914" s="582"/>
      <c r="AT914" s="580"/>
      <c r="AU914" s="580"/>
      <c r="AW914" s="582"/>
      <c r="BJ914" s="580"/>
      <c r="BO914" s="1289"/>
      <c r="BP914" s="580"/>
      <c r="BQ914" s="1289"/>
      <c r="BR914" s="580"/>
      <c r="BV914" s="1290"/>
      <c r="BW914" s="566"/>
      <c r="BY914" s="583"/>
      <c r="BZ914" s="579"/>
      <c r="CA914" s="568"/>
      <c r="CB914" s="568"/>
      <c r="CD914" s="584"/>
      <c r="CF914" s="557"/>
    </row>
    <row r="915" ht="26" customHeight="1" spans="9:84">
      <c r="M915" s="572"/>
      <c r="N915" s="566"/>
      <c r="O915" s="572"/>
      <c r="Q915" s="1292"/>
      <c r="S915" s="566"/>
      <c r="T915" s="566"/>
      <c r="U915" s="576"/>
      <c r="V915" s="576"/>
      <c r="W915" s="572"/>
      <c r="AE915" s="584" t="s">
        <v>3747</v>
      </c>
      <c r="AG915" s="566"/>
      <c r="AJ915" s="575"/>
      <c r="AK915" s="575"/>
      <c r="AN915" s="1288"/>
      <c r="AO915" s="576"/>
      <c r="AP915" s="576"/>
      <c r="AQ915" s="579"/>
      <c r="AS915" s="582"/>
      <c r="AT915" s="580"/>
      <c r="AU915" s="580"/>
      <c r="AW915" s="582"/>
      <c r="BW915" s="1290"/>
      <c r="BZ915" s="583"/>
      <c r="CA915" s="579"/>
      <c r="CB915" s="568"/>
      <c r="CE915" s="584"/>
      <c r="CF915" s="557"/>
    </row>
    <row r="916" ht="26" customHeight="1" spans="9:84">
      <c r="N916" s="568"/>
      <c r="O916" s="566"/>
      <c r="P916" s="572"/>
      <c r="Q916" s="1286"/>
      <c r="S916" s="1287"/>
      <c r="T916" s="1287"/>
      <c r="W916" s="572"/>
      <c r="AE916" s="1293">
        <v>45015</v>
      </c>
      <c r="AQ916" s="579"/>
      <c r="AS916" s="582"/>
      <c r="AT916" s="580"/>
      <c r="AU916" s="580"/>
      <c r="AW916" s="582"/>
      <c r="BW916" s="1290"/>
      <c r="BZ916" s="583"/>
      <c r="CA916" s="579"/>
      <c r="CB916" s="568"/>
      <c r="CE916" s="584"/>
      <c r="CF916" s="557"/>
    </row>
    <row r="917" ht="26" customHeight="1" spans="9:84">
      <c r="N917" s="568"/>
      <c r="O917" s="566"/>
      <c r="P917" s="572"/>
      <c r="Q917" s="1286"/>
      <c r="S917" s="1287"/>
      <c r="T917" s="1287"/>
      <c r="W917" s="572"/>
      <c r="AE917" s="1293">
        <v>45019</v>
      </c>
      <c r="AG917" s="566"/>
      <c r="AJ917" s="575"/>
      <c r="AK917" s="575"/>
      <c r="AN917" s="1288"/>
      <c r="AO917" s="576"/>
      <c r="AP917" s="576"/>
      <c r="AQ917" s="579"/>
      <c r="AS917" s="582"/>
      <c r="AT917" s="580"/>
      <c r="AU917" s="580"/>
      <c r="AW917" s="582"/>
      <c r="BW917" s="1290"/>
      <c r="BZ917" s="583"/>
      <c r="CA917" s="579"/>
      <c r="CB917" s="568"/>
      <c r="CE917" s="584"/>
      <c r="CF917" s="557"/>
    </row>
    <row r="918" ht="26" customHeight="1" spans="9:84">
      <c r="N918" s="568"/>
      <c r="O918" s="566"/>
      <c r="P918" s="572"/>
      <c r="Q918" s="1286"/>
      <c r="S918" s="1287"/>
      <c r="T918" s="1287"/>
      <c r="W918" s="572"/>
      <c r="AE918" s="1293">
        <v>45019</v>
      </c>
      <c r="AG918" s="566"/>
      <c r="AJ918" s="575"/>
      <c r="AK918" s="575"/>
      <c r="AN918" s="1288"/>
      <c r="AO918" s="576"/>
      <c r="AP918" s="576"/>
      <c r="AQ918" s="579"/>
      <c r="AS918" s="582"/>
      <c r="AT918" s="580"/>
      <c r="AU918" s="580"/>
      <c r="AW918" s="582"/>
      <c r="BW918" s="1290"/>
      <c r="BZ918" s="583"/>
      <c r="CA918" s="579"/>
      <c r="CB918" s="568"/>
      <c r="CE918" s="584"/>
      <c r="CF918" s="557"/>
    </row>
    <row r="919" ht="26" customHeight="1" spans="9:84">
      <c r="L919" s="568" t="s">
        <v>3748</v>
      </c>
      <c r="N919" s="568"/>
      <c r="O919" s="566"/>
      <c r="P919" s="572"/>
      <c r="Q919" s="1286"/>
      <c r="S919" s="1287"/>
      <c r="T919" s="1287"/>
      <c r="W919" s="572"/>
      <c r="AE919" s="1293">
        <v>45033</v>
      </c>
      <c r="AG919" s="566"/>
      <c r="AJ919" s="575"/>
      <c r="AK919" s="575"/>
      <c r="AN919" s="1288"/>
      <c r="AO919" s="576"/>
      <c r="AP919" s="576"/>
      <c r="AQ919" s="579"/>
      <c r="AS919" s="582"/>
      <c r="AT919" s="580"/>
      <c r="AU919" s="580"/>
      <c r="AW919" s="582"/>
      <c r="BW919" s="1290"/>
      <c r="BZ919" s="583"/>
      <c r="CA919" s="579"/>
      <c r="CB919" s="568"/>
      <c r="CE919" s="584"/>
      <c r="CF919" s="557"/>
    </row>
    <row r="920" ht="26" customHeight="1" spans="9:84">
      <c r="I920" s="566"/>
      <c r="J920" s="566"/>
      <c r="N920" s="1294"/>
      <c r="U920" s="1287"/>
      <c r="AE920" s="1293">
        <v>45063</v>
      </c>
      <c r="CF920" s="557"/>
    </row>
    <row r="921" ht="26" customHeight="1" spans="9:84">
      <c r="U921" s="1287"/>
      <c r="CF921" s="557"/>
    </row>
    <row r="922" ht="26" customHeight="1" spans="9:84">
      <c r="U922" s="1287"/>
      <c r="CF922" s="557"/>
    </row>
    <row r="923" ht="26" customHeight="1" spans="9:84">
      <c r="U923" s="1287"/>
      <c r="CF923" s="557"/>
    </row>
    <row r="924" ht="26" customHeight="1" spans="9:84">
      <c r="U924" s="1287"/>
      <c r="CF924" s="557"/>
    </row>
    <row r="925" ht="26" customHeight="1" spans="9:84">
      <c r="U925" s="1287"/>
      <c r="CF925" s="557"/>
    </row>
    <row r="926" ht="26" customHeight="1" spans="9:84">
      <c r="U926" s="1287"/>
      <c r="CF926" s="557"/>
    </row>
    <row r="927" ht="26" customHeight="1" spans="9:84">
      <c r="P927" s="568"/>
      <c r="Q927" s="1286"/>
      <c r="R927" s="1287"/>
      <c r="V927" s="572"/>
      <c r="W927" s="572"/>
      <c r="AF927" s="566"/>
      <c r="AG927" s="566"/>
      <c r="AH927" s="566"/>
      <c r="AI927" s="1288"/>
      <c r="AJ927" s="1288"/>
      <c r="AK927" s="1288"/>
      <c r="AL927" s="576"/>
      <c r="AM927" s="576"/>
      <c r="AN927" s="1295"/>
      <c r="AO927" s="579"/>
      <c r="AP927" s="579"/>
      <c r="AQ927" s="579"/>
      <c r="AR927" s="580"/>
      <c r="AS927" s="581"/>
      <c r="AT927" s="580"/>
      <c r="AU927" s="580"/>
      <c r="AW927" s="582"/>
      <c r="BW927" s="566"/>
      <c r="BY927" s="583"/>
      <c r="BZ927" s="579"/>
      <c r="CA927" s="579"/>
      <c r="CC927" s="584"/>
      <c r="CE927" s="584"/>
      <c r="CF927" s="557"/>
    </row>
    <row r="928" ht="26" customHeight="1" spans="9:84">
      <c r="P928" s="568"/>
      <c r="Q928" s="1286"/>
      <c r="R928" s="1287"/>
      <c r="V928" s="572"/>
      <c r="W928" s="572"/>
      <c r="AF928" s="566"/>
      <c r="AG928" s="566"/>
      <c r="AH928" s="566"/>
      <c r="AI928" s="1288"/>
      <c r="AJ928" s="1288"/>
      <c r="AK928" s="1288"/>
      <c r="AL928" s="576"/>
      <c r="AM928" s="576"/>
      <c r="AN928" s="1295"/>
      <c r="AO928" s="579"/>
      <c r="AP928" s="579"/>
      <c r="AQ928" s="579"/>
      <c r="AR928" s="580"/>
      <c r="AS928" s="581"/>
      <c r="AT928" s="580"/>
      <c r="AU928" s="580"/>
      <c r="AW928" s="582"/>
      <c r="BW928" s="566"/>
      <c r="BY928" s="583"/>
      <c r="BZ928" s="579"/>
      <c r="CA928" s="579"/>
      <c r="CC928" s="584"/>
      <c r="CE928" s="584"/>
      <c r="CF928" s="557"/>
    </row>
    <row r="929" ht="26" customHeight="1" spans="16:84">
      <c r="P929" s="568"/>
      <c r="Q929" s="1296"/>
      <c r="U929" s="572"/>
      <c r="V929" s="572"/>
      <c r="W929" s="572"/>
      <c r="AA929" s="566"/>
      <c r="AC929" s="566"/>
      <c r="AD929" s="566"/>
      <c r="AF929" s="576"/>
      <c r="AG929" s="576"/>
      <c r="AH929" s="566"/>
      <c r="AI929" s="1295"/>
      <c r="AJ929" s="1295"/>
      <c r="AK929" s="1295"/>
      <c r="AL929" s="579"/>
      <c r="AM929" s="579"/>
      <c r="AN929" s="578"/>
      <c r="AO929" s="579"/>
      <c r="AP929" s="579"/>
      <c r="AQ929" s="580"/>
      <c r="AR929" s="1289"/>
      <c r="AS929" s="582"/>
      <c r="AT929" s="580"/>
      <c r="AU929" s="580"/>
      <c r="AW929" s="582"/>
      <c r="BV929" s="1290"/>
      <c r="BW929" s="566"/>
      <c r="BX929" s="583"/>
      <c r="BY929" s="579"/>
      <c r="BZ929" s="579"/>
      <c r="CA929" s="579"/>
      <c r="CB929" s="566"/>
      <c r="CC929" s="584"/>
      <c r="CD929" s="584"/>
      <c r="CE929" s="584"/>
      <c r="CF929" s="557"/>
    </row>
    <row r="930" spans="16:84">
      <c r="P930" s="568"/>
      <c r="Q930" s="1296"/>
      <c r="U930" s="572"/>
      <c r="V930" s="572"/>
      <c r="W930" s="572"/>
      <c r="AA930" s="566"/>
      <c r="AC930" s="566"/>
      <c r="AD930" s="566"/>
      <c r="AF930" s="576"/>
      <c r="AG930" s="576"/>
      <c r="AH930" s="566"/>
      <c r="AI930" s="1295"/>
      <c r="AJ930" s="1295"/>
      <c r="AK930" s="1295"/>
      <c r="AL930" s="579"/>
      <c r="AM930" s="579"/>
      <c r="AN930" s="578"/>
      <c r="AO930" s="579"/>
      <c r="AP930" s="579"/>
      <c r="AQ930" s="580"/>
      <c r="AR930" s="1289"/>
      <c r="AS930" s="582"/>
      <c r="AT930" s="580"/>
      <c r="AU930" s="580"/>
      <c r="AW930" s="582"/>
      <c r="BV930" s="1290"/>
      <c r="BW930" s="566"/>
      <c r="BX930" s="583"/>
      <c r="BY930" s="579"/>
      <c r="BZ930" s="579"/>
      <c r="CA930" s="579"/>
      <c r="CB930" s="566"/>
      <c r="CC930" s="584"/>
      <c r="CD930" s="584"/>
      <c r="CE930" s="584"/>
      <c r="CF930" s="557"/>
    </row>
    <row r="931" spans="16:84">
      <c r="P931" s="568"/>
      <c r="Q931" s="1286"/>
      <c r="R931" s="1287"/>
      <c r="V931" s="572"/>
      <c r="W931" s="572"/>
      <c r="AF931" s="566"/>
      <c r="AG931" s="566"/>
      <c r="AH931" s="566"/>
      <c r="AI931" s="1288"/>
      <c r="AJ931" s="1288"/>
      <c r="AK931" s="1288"/>
      <c r="AL931" s="576"/>
      <c r="AM931" s="576"/>
      <c r="AN931" s="1295"/>
      <c r="AO931" s="579"/>
      <c r="AP931" s="579"/>
      <c r="AQ931" s="579"/>
      <c r="AR931" s="580"/>
      <c r="AS931" s="581"/>
      <c r="AT931" s="580"/>
      <c r="AU931" s="580"/>
      <c r="AW931" s="582"/>
      <c r="BW931" s="566"/>
      <c r="BY931" s="583"/>
      <c r="BZ931" s="579"/>
      <c r="CA931" s="579"/>
      <c r="CC931" s="584"/>
      <c r="CE931" s="584"/>
      <c r="CF931" s="557"/>
    </row>
    <row r="932" spans="16:84">
      <c r="U932" s="1287"/>
      <c r="CF932" s="557"/>
    </row>
    <row r="933" spans="16:84">
      <c r="U933" s="1287"/>
      <c r="CF933" s="557"/>
    </row>
    <row r="934" spans="16:84">
      <c r="U934" s="1287"/>
      <c r="CF934" s="557"/>
    </row>
    <row r="935" spans="16:84">
      <c r="U935" s="1287"/>
      <c r="CF935" s="557"/>
    </row>
    <row r="936" spans="16:84">
      <c r="U936" s="1287"/>
      <c r="CF936" s="557"/>
    </row>
    <row r="937" spans="16:84">
      <c r="U937" s="1287"/>
      <c r="CF937" s="557"/>
    </row>
    <row r="938" spans="16:84">
      <c r="U938" s="1287"/>
      <c r="AE938" s="568">
        <v>4000</v>
      </c>
      <c r="CF938" s="557"/>
    </row>
    <row r="939" spans="16:84">
      <c r="U939" s="1287"/>
      <c r="CF939" s="557"/>
    </row>
    <row r="940" spans="16:84">
      <c r="U940" s="1287"/>
      <c r="CF940" s="557"/>
    </row>
    <row r="941" spans="16:84">
      <c r="U941" s="1287"/>
      <c r="CF941" s="557"/>
    </row>
    <row r="942" spans="16:84">
      <c r="U942" s="1287"/>
      <c r="CF942" s="557"/>
    </row>
    <row r="943" spans="16:84">
      <c r="U943" s="1287"/>
      <c r="CF943" s="557"/>
    </row>
    <row r="944" spans="16:84">
      <c r="U944" s="1287"/>
      <c r="CF944" s="557"/>
    </row>
    <row r="945" spans="21:84">
      <c r="U945" s="1287"/>
      <c r="CF945" s="557"/>
    </row>
    <row r="946" spans="21:84">
      <c r="U946" s="1287"/>
      <c r="CF946" s="557"/>
    </row>
    <row r="947" spans="21:84">
      <c r="U947" s="1287"/>
      <c r="CF947" s="557"/>
    </row>
    <row r="948" spans="21:84">
      <c r="U948" s="1287"/>
      <c r="CF948" s="557"/>
    </row>
    <row r="949" spans="21:84">
      <c r="U949" s="1287"/>
      <c r="CF949" s="557"/>
    </row>
    <row r="950" spans="21:84">
      <c r="U950" s="1287"/>
      <c r="CF950" s="557"/>
    </row>
    <row r="951" spans="21:84">
      <c r="U951" s="1287"/>
      <c r="CF951" s="557"/>
    </row>
    <row r="952" spans="21:84">
      <c r="U952" s="1287"/>
      <c r="CF952" s="557"/>
    </row>
    <row r="953" spans="21:84">
      <c r="U953" s="1287"/>
      <c r="CF953" s="557"/>
    </row>
    <row r="954" spans="21:84">
      <c r="U954" s="1287"/>
      <c r="CF954" s="557"/>
    </row>
    <row r="955" spans="21:84">
      <c r="U955" s="1287"/>
      <c r="CF955" s="557"/>
    </row>
    <row r="956" spans="21:84">
      <c r="U956" s="1287"/>
      <c r="CF956" s="557"/>
    </row>
    <row r="957" spans="21:84">
      <c r="U957" s="1287"/>
      <c r="CF957" s="557"/>
    </row>
    <row r="958" spans="21:84">
      <c r="U958" s="1287"/>
      <c r="CF958" s="557"/>
    </row>
    <row r="959" spans="21:84">
      <c r="U959" s="1287"/>
      <c r="CF959" s="557"/>
    </row>
    <row r="960" spans="21:84">
      <c r="U960" s="1287"/>
      <c r="CF960" s="557"/>
    </row>
    <row r="961" spans="21:84">
      <c r="U961" s="1287"/>
      <c r="CF961" s="557"/>
    </row>
    <row r="962" spans="21:84">
      <c r="U962" s="1287"/>
      <c r="CF962" s="557"/>
    </row>
    <row r="963" spans="21:84">
      <c r="U963" s="1287"/>
      <c r="CF963" s="557"/>
    </row>
    <row r="964" spans="21:84">
      <c r="U964" s="1287"/>
      <c r="CF964" s="557"/>
    </row>
    <row r="965" spans="21:84">
      <c r="U965" s="1287"/>
      <c r="CF965" s="557"/>
    </row>
    <row r="966" spans="21:84">
      <c r="U966" s="1287"/>
      <c r="CF966" s="557"/>
    </row>
    <row r="967" spans="21:84">
      <c r="U967" s="1287"/>
      <c r="CF967" s="557"/>
    </row>
    <row r="968" spans="21:84">
      <c r="U968" s="1287"/>
      <c r="CF968" s="557"/>
    </row>
    <row r="969" spans="21:84">
      <c r="U969" s="1287"/>
      <c r="CF969" s="557"/>
    </row>
    <row r="970" spans="21:84">
      <c r="U970" s="1287"/>
      <c r="CF970" s="557"/>
    </row>
    <row r="971" spans="21:84">
      <c r="U971" s="1287"/>
      <c r="CF971" s="557"/>
    </row>
    <row r="972" spans="21:84">
      <c r="U972" s="1287"/>
      <c r="CF972" s="557"/>
    </row>
    <row r="973" spans="21:84">
      <c r="U973" s="1287"/>
      <c r="CF973" s="557"/>
    </row>
    <row r="974" spans="21:84">
      <c r="U974" s="1287"/>
      <c r="CF974" s="557"/>
    </row>
    <row r="975" spans="21:84">
      <c r="U975" s="1287"/>
      <c r="CF975" s="557"/>
    </row>
    <row r="976" spans="21:84">
      <c r="U976" s="1287"/>
      <c r="CF976" s="557"/>
    </row>
    <row r="977" spans="21:84">
      <c r="U977" s="1287"/>
      <c r="CF977" s="557"/>
    </row>
    <row r="978" spans="21:84">
      <c r="U978" s="1287"/>
      <c r="CF978" s="557"/>
    </row>
    <row r="979" spans="21:84">
      <c r="U979" s="1287"/>
      <c r="CF979" s="557"/>
    </row>
    <row r="980" spans="21:84">
      <c r="U980" s="1287"/>
      <c r="CF980" s="557"/>
    </row>
    <row r="981" spans="21:84">
      <c r="U981" s="1287"/>
      <c r="CF981" s="557"/>
    </row>
    <row r="982" spans="21:84">
      <c r="U982" s="1287"/>
      <c r="CF982" s="557"/>
    </row>
    <row r="983" spans="21:84">
      <c r="U983" s="1287"/>
      <c r="CF983" s="557"/>
    </row>
    <row r="984" spans="21:84">
      <c r="U984" s="1287"/>
      <c r="CF984" s="557"/>
    </row>
    <row r="985" spans="21:84">
      <c r="U985" s="1287"/>
      <c r="CF985" s="557"/>
    </row>
    <row r="986" spans="21:84">
      <c r="U986" s="1287"/>
      <c r="CF986" s="557"/>
    </row>
    <row r="987" spans="21:84">
      <c r="U987" s="1287"/>
      <c r="CF987" s="557"/>
    </row>
    <row r="988" spans="21:84">
      <c r="U988" s="1287"/>
      <c r="CF988" s="557"/>
    </row>
    <row r="989" spans="21:84">
      <c r="U989" s="1287"/>
      <c r="CF989" s="557"/>
    </row>
    <row r="990" spans="21:84">
      <c r="U990" s="1287"/>
      <c r="CF990" s="557"/>
    </row>
    <row r="991" spans="21:84">
      <c r="U991" s="1287"/>
      <c r="CF991" s="557"/>
    </row>
    <row r="992" spans="21:84">
      <c r="U992" s="1287"/>
      <c r="CF992" s="557"/>
    </row>
    <row r="993" spans="21:84">
      <c r="U993" s="1287"/>
      <c r="CF993" s="557"/>
    </row>
    <row r="994" spans="21:84">
      <c r="U994" s="1287"/>
      <c r="CF994" s="557"/>
    </row>
    <row r="995" spans="21:84">
      <c r="U995" s="1287"/>
      <c r="CF995" s="557"/>
    </row>
    <row r="996" spans="21:84">
      <c r="U996" s="1287"/>
      <c r="CF996" s="557"/>
    </row>
    <row r="997" spans="21:84">
      <c r="U997" s="1287"/>
      <c r="CF997" s="557"/>
    </row>
    <row r="998" spans="21:84">
      <c r="U998" s="1287"/>
      <c r="CF998" s="557"/>
    </row>
    <row r="999" spans="21:84">
      <c r="U999" s="1287"/>
      <c r="CF999" s="557"/>
    </row>
    <row r="1000" spans="21:84">
      <c r="U1000" s="1287"/>
      <c r="CF1000" s="557"/>
    </row>
    <row r="1001" spans="21:84">
      <c r="U1001" s="1287"/>
      <c r="CF1001" s="557"/>
    </row>
    <row r="1002" spans="21:84">
      <c r="U1002" s="1287"/>
      <c r="CF1002" s="557"/>
    </row>
    <row r="1003" spans="21:84">
      <c r="U1003" s="1287"/>
      <c r="CF1003" s="557"/>
    </row>
    <row r="1004" spans="21:84">
      <c r="CF1004" s="557"/>
    </row>
    <row r="1005" spans="21:84">
      <c r="CF1005" s="557"/>
    </row>
    <row r="1006" spans="21:84">
      <c r="U1006" s="1287"/>
      <c r="CF1006" s="557"/>
    </row>
    <row r="1007" spans="21:84">
      <c r="CF1007" s="557"/>
    </row>
    <row r="1008" spans="21:84">
      <c r="CF1008" s="557"/>
    </row>
    <row r="1009" spans="21:84">
      <c r="CF1009" s="557"/>
    </row>
    <row r="1010" spans="21:84">
      <c r="CF1010" s="557"/>
    </row>
    <row r="1011" spans="21:84">
      <c r="CF1011" s="557"/>
    </row>
    <row r="1012" spans="21:84">
      <c r="U1012" s="607"/>
      <c r="CF1012" s="557"/>
    </row>
    <row r="1013" spans="21:84">
      <c r="CF1013" s="557"/>
    </row>
    <row r="1014" spans="21:84">
      <c r="CF1014" s="557"/>
    </row>
    <row r="1015" spans="21:84">
      <c r="CF1015" s="557"/>
    </row>
    <row r="1016" spans="21:84">
      <c r="CF1016" s="557"/>
    </row>
    <row r="1017" spans="21:84">
      <c r="CF1017" s="557"/>
    </row>
    <row r="1018" spans="21:84">
      <c r="CF1018" s="557"/>
    </row>
    <row r="1019" spans="21:84">
      <c r="CF1019" s="557"/>
    </row>
    <row r="1020" spans="21:84">
      <c r="CF1020" s="557"/>
    </row>
    <row r="1021" spans="21:84">
      <c r="CF1021" s="557"/>
    </row>
    <row r="1022" spans="21:84">
      <c r="CF1022" s="557"/>
    </row>
    <row r="1023" spans="21:84">
      <c r="U1023" s="1297"/>
      <c r="CF1023" s="557"/>
    </row>
    <row r="1024" spans="21:84">
      <c r="U1024" s="1297"/>
      <c r="CF1024" s="557"/>
    </row>
    <row r="1025" spans="21:84">
      <c r="U1025" s="1298"/>
      <c r="CF1025" s="557"/>
    </row>
    <row r="1026" spans="21:84">
      <c r="CF1026" s="557"/>
    </row>
    <row r="1027" spans="21:84">
      <c r="CF1027" s="557"/>
    </row>
    <row r="1028" spans="21:84">
      <c r="CF1028" s="557"/>
    </row>
    <row r="1029" spans="21:84">
      <c r="CF1029" s="557"/>
    </row>
    <row r="1030" spans="21:84">
      <c r="U1030" s="1287"/>
      <c r="CF1030" s="557"/>
    </row>
    <row r="1031" spans="21:84">
      <c r="U1031" s="1287"/>
      <c r="CF1031" s="557"/>
    </row>
    <row r="1032" spans="21:84">
      <c r="U1032" s="1287"/>
      <c r="CF1032" s="557"/>
    </row>
    <row r="1033" spans="21:84">
      <c r="U1033" s="1287"/>
      <c r="CF1033" s="557"/>
    </row>
    <row r="1034" spans="21:84">
      <c r="U1034" s="1287"/>
      <c r="CF1034" s="557"/>
    </row>
    <row r="1035" spans="21:84">
      <c r="U1035" s="1287"/>
      <c r="CF1035" s="557"/>
    </row>
    <row r="1036" spans="21:84">
      <c r="U1036" s="1287"/>
      <c r="CF1036" s="557"/>
    </row>
    <row r="1037" spans="21:84">
      <c r="U1037" s="1287"/>
      <c r="CF1037" s="557"/>
    </row>
    <row r="1038" spans="21:84">
      <c r="U1038" s="1287"/>
      <c r="CF1038" s="557"/>
    </row>
    <row r="1039" spans="21:84">
      <c r="U1039" s="1287"/>
      <c r="CF1039" s="557"/>
    </row>
    <row r="1040" spans="21:84">
      <c r="U1040" s="1287"/>
      <c r="CF1040" s="557"/>
    </row>
    <row r="1041" spans="21:84">
      <c r="U1041" s="1287"/>
      <c r="CF1041" s="557"/>
    </row>
    <row r="1042" spans="21:84">
      <c r="U1042" s="1287"/>
      <c r="CF1042" s="557"/>
    </row>
    <row r="1043" spans="21:84">
      <c r="U1043" s="1287"/>
      <c r="CF1043" s="557"/>
    </row>
    <row r="1044" spans="21:84">
      <c r="U1044" s="1287"/>
      <c r="CF1044" s="557"/>
    </row>
    <row r="1045" spans="21:84">
      <c r="U1045" s="1287"/>
      <c r="CF1045" s="557"/>
    </row>
    <row r="1046" spans="21:84">
      <c r="U1046" s="1287"/>
      <c r="CF1046" s="557"/>
    </row>
    <row r="1047" spans="21:84">
      <c r="U1047" s="1287"/>
      <c r="CF1047" s="557"/>
    </row>
    <row r="1048" spans="21:84">
      <c r="U1048" s="1287"/>
      <c r="CF1048" s="557"/>
    </row>
    <row r="1049" spans="21:84">
      <c r="U1049" s="1287"/>
      <c r="CF1049" s="557"/>
    </row>
    <row r="1050" spans="21:84">
      <c r="CF1050" s="557"/>
    </row>
    <row r="1051" spans="21:84">
      <c r="U1051" s="1287"/>
      <c r="CF1051" s="557"/>
    </row>
    <row r="1052" spans="21:84">
      <c r="U1052" s="1297"/>
      <c r="CF1052" s="557"/>
    </row>
    <row r="1053" spans="21:84">
      <c r="U1053" s="1287"/>
      <c r="CF1053" s="557"/>
    </row>
    <row r="1054" spans="21:84">
      <c r="U1054" s="1287"/>
      <c r="CF1054" s="557"/>
    </row>
    <row r="1055" spans="21:84">
      <c r="U1055" s="1287"/>
      <c r="CF1055" s="557"/>
    </row>
    <row r="1056" spans="21:84">
      <c r="U1056" s="1287"/>
      <c r="CF1056" s="557"/>
    </row>
    <row r="1057" spans="21:84">
      <c r="U1057" s="1287"/>
      <c r="CF1057" s="557"/>
    </row>
    <row r="1058" spans="21:84">
      <c r="U1058" s="1287"/>
      <c r="CF1058" s="557"/>
    </row>
    <row r="1059" spans="21:84">
      <c r="U1059" s="1287"/>
      <c r="CF1059" s="557"/>
    </row>
    <row r="1060" spans="21:84">
      <c r="U1060" s="1287"/>
      <c r="CF1060" s="557"/>
    </row>
    <row r="1061" spans="21:84">
      <c r="U1061" s="1287"/>
      <c r="CF1061" s="557"/>
    </row>
    <row r="1062" spans="21:84">
      <c r="U1062" s="1287"/>
      <c r="CF1062" s="557"/>
    </row>
    <row r="1063" spans="21:84">
      <c r="U1063" s="1287"/>
      <c r="CF1063" s="557"/>
    </row>
    <row r="1064" spans="21:84">
      <c r="U1064" s="1287"/>
      <c r="CF1064" s="557"/>
    </row>
    <row r="1065" spans="21:84">
      <c r="U1065" s="1287"/>
      <c r="CF1065" s="557"/>
    </row>
    <row r="1066" spans="21:84">
      <c r="U1066" s="1287"/>
      <c r="CF1066" s="557"/>
    </row>
    <row r="1067" spans="21:84">
      <c r="U1067" s="1287"/>
      <c r="CF1067" s="557"/>
    </row>
    <row r="1068" spans="21:84">
      <c r="U1068" s="1287"/>
      <c r="CF1068" s="557"/>
    </row>
    <row r="1069" spans="21:84">
      <c r="U1069" s="1287"/>
      <c r="CF1069" s="557"/>
    </row>
    <row r="1070" spans="21:84">
      <c r="U1070" s="1287"/>
      <c r="CF1070" s="557"/>
    </row>
    <row r="1071" spans="21:84">
      <c r="U1071" s="1287"/>
      <c r="CF1071" s="557"/>
    </row>
    <row r="1072" spans="21:84">
      <c r="U1072" s="1287"/>
      <c r="CF1072" s="557"/>
    </row>
    <row r="1073" spans="21:84">
      <c r="U1073" s="1287"/>
      <c r="CF1073" s="557"/>
    </row>
    <row r="1074" spans="21:84">
      <c r="U1074" s="1287"/>
      <c r="CF1074" s="557"/>
    </row>
    <row r="1075" spans="21:84">
      <c r="U1075" s="1287"/>
      <c r="CF1075" s="557"/>
    </row>
    <row r="1076" spans="21:84">
      <c r="U1076" s="1287"/>
      <c r="CF1076" s="557"/>
    </row>
    <row r="1077" spans="21:84">
      <c r="U1077" s="1287"/>
      <c r="CF1077" s="557"/>
    </row>
    <row r="1078" spans="21:84">
      <c r="U1078" s="1287"/>
      <c r="CF1078" s="557"/>
    </row>
    <row r="1079" spans="21:84">
      <c r="U1079" s="1287"/>
      <c r="CF1079" s="557"/>
    </row>
    <row r="1080" spans="21:84">
      <c r="U1080" s="1287"/>
      <c r="CF1080" s="557"/>
    </row>
    <row r="1081" spans="21:84">
      <c r="U1081" s="1287"/>
      <c r="CF1081" s="557"/>
    </row>
    <row r="1082" spans="21:84">
      <c r="U1082" s="1287"/>
      <c r="CF1082" s="557"/>
    </row>
    <row r="1083" spans="21:84">
      <c r="U1083" s="1287"/>
      <c r="CF1083" s="557"/>
    </row>
    <row r="1084" spans="21:84">
      <c r="U1084" s="1287"/>
      <c r="CF1084" s="557"/>
    </row>
    <row r="1085" spans="21:84">
      <c r="U1085" s="1287"/>
      <c r="CF1085" s="557"/>
    </row>
    <row r="1086" spans="21:84">
      <c r="U1086" s="1287"/>
      <c r="CF1086" s="557"/>
    </row>
    <row r="1087" spans="21:84">
      <c r="U1087" s="1287"/>
      <c r="CF1087" s="557"/>
    </row>
    <row r="1088" spans="21:84">
      <c r="U1088" s="1287"/>
      <c r="CF1088" s="557"/>
    </row>
    <row r="1089" spans="21:84">
      <c r="U1089" s="1287"/>
      <c r="CF1089" s="557"/>
    </row>
    <row r="1090" spans="21:84">
      <c r="U1090" s="1287"/>
      <c r="CF1090" s="557"/>
    </row>
    <row r="1091" spans="21:84">
      <c r="U1091" s="1287"/>
      <c r="CF1091" s="557"/>
    </row>
    <row r="1092" spans="21:84">
      <c r="U1092" s="1287"/>
      <c r="CF1092" s="557"/>
    </row>
    <row r="1093" spans="21:84">
      <c r="U1093" s="1287"/>
      <c r="CF1093" s="557"/>
    </row>
    <row r="1094" spans="21:84">
      <c r="U1094" s="1287"/>
      <c r="CF1094" s="557"/>
    </row>
    <row r="1095" spans="21:84">
      <c r="U1095" s="1287"/>
      <c r="CF1095" s="557"/>
    </row>
    <row r="1096" spans="21:84">
      <c r="U1096" s="1287"/>
      <c r="CF1096" s="557"/>
    </row>
    <row r="1097" spans="21:84">
      <c r="U1097" s="1287"/>
      <c r="CF1097" s="557"/>
    </row>
    <row r="1098" spans="21:84">
      <c r="U1098" s="1287"/>
      <c r="CF1098" s="557"/>
    </row>
    <row r="1099" spans="21:84">
      <c r="U1099" s="1287"/>
      <c r="CF1099" s="557"/>
    </row>
    <row r="1100" spans="21:84">
      <c r="U1100" s="1287"/>
      <c r="CF1100" s="557"/>
    </row>
    <row r="1101" spans="21:84">
      <c r="U1101" s="1287"/>
      <c r="CF1101" s="557"/>
    </row>
    <row r="1102" spans="21:84">
      <c r="U1102" s="1287"/>
      <c r="CF1102" s="557"/>
    </row>
    <row r="1103" spans="21:84">
      <c r="U1103" s="1287"/>
      <c r="CF1103" s="557"/>
    </row>
    <row r="1104" spans="21:84">
      <c r="U1104" s="1287"/>
      <c r="CF1104" s="557"/>
    </row>
    <row r="1105" spans="21:84">
      <c r="U1105" s="1287"/>
      <c r="CF1105" s="557"/>
    </row>
    <row r="1106" spans="21:84">
      <c r="U1106" s="1287"/>
      <c r="CF1106" s="557"/>
    </row>
    <row r="1107" spans="21:84">
      <c r="U1107" s="1287"/>
      <c r="CF1107" s="557"/>
    </row>
    <row r="1108" spans="21:84">
      <c r="U1108" s="1287"/>
      <c r="CF1108" s="557"/>
    </row>
    <row r="1109" spans="21:84">
      <c r="U1109" s="1287"/>
      <c r="CF1109" s="557"/>
    </row>
    <row r="1110" spans="21:84">
      <c r="U1110" s="1287"/>
      <c r="CF1110" s="557"/>
    </row>
    <row r="1111" spans="21:84">
      <c r="U1111" s="1287"/>
      <c r="CF1111" s="557"/>
    </row>
    <row r="1112" spans="21:84">
      <c r="U1112" s="1287"/>
      <c r="CF1112" s="557"/>
    </row>
    <row r="1113" spans="21:84">
      <c r="U1113" s="1287"/>
      <c r="CF1113" s="557"/>
    </row>
    <row r="1114" spans="21:84">
      <c r="U1114" s="1287"/>
      <c r="CF1114" s="557"/>
    </row>
    <row r="1115" spans="21:84">
      <c r="U1115" s="1287"/>
      <c r="CF1115" s="557"/>
    </row>
    <row r="1116" spans="21:84">
      <c r="U1116" s="1287"/>
      <c r="CF1116" s="557"/>
    </row>
    <row r="1117" spans="21:84">
      <c r="U1117" s="1287"/>
      <c r="CF1117" s="557"/>
    </row>
    <row r="1118" spans="21:84">
      <c r="U1118" s="1287"/>
      <c r="CF1118" s="557"/>
    </row>
    <row r="1119" spans="21:84">
      <c r="U1119" s="1287"/>
      <c r="CF1119" s="557"/>
    </row>
    <row r="1120" spans="21:84">
      <c r="U1120" s="1287"/>
      <c r="CF1120" s="557"/>
    </row>
    <row r="1121" spans="21:84">
      <c r="U1121" s="1287"/>
      <c r="CF1121" s="557"/>
    </row>
    <row r="1122" spans="21:84">
      <c r="U1122" s="1287"/>
      <c r="CF1122" s="557"/>
    </row>
    <row r="1123" spans="21:84">
      <c r="U1123" s="1287"/>
      <c r="CF1123" s="557"/>
    </row>
    <row r="1124" spans="21:84">
      <c r="U1124" s="1287"/>
      <c r="CF1124" s="557"/>
    </row>
    <row r="1125" spans="21:84">
      <c r="U1125" s="1287"/>
      <c r="CF1125" s="557"/>
    </row>
    <row r="1126" spans="21:84">
      <c r="U1126" s="1287"/>
      <c r="CF1126" s="557"/>
    </row>
    <row r="1127" spans="21:84">
      <c r="U1127" s="1287"/>
      <c r="CF1127" s="557"/>
    </row>
    <row r="1128" spans="21:84">
      <c r="U1128" s="1287"/>
      <c r="CF1128" s="557"/>
    </row>
    <row r="1129" spans="21:84">
      <c r="U1129" s="1287"/>
      <c r="CF1129" s="557"/>
    </row>
    <row r="1130" spans="21:84">
      <c r="U1130" s="1287"/>
      <c r="CF1130" s="557"/>
    </row>
    <row r="1131" spans="21:84">
      <c r="U1131" s="1287"/>
      <c r="CF1131" s="557"/>
    </row>
    <row r="1132" spans="21:84">
      <c r="U1132" s="1287"/>
      <c r="CF1132" s="557"/>
    </row>
    <row r="1133" spans="21:84">
      <c r="U1133" s="1287"/>
      <c r="CF1133" s="557"/>
    </row>
    <row r="1134" spans="21:84">
      <c r="U1134" s="1287"/>
      <c r="CF1134" s="557"/>
    </row>
    <row r="1135" spans="21:84">
      <c r="U1135" s="1287"/>
      <c r="CF1135" s="557"/>
    </row>
    <row r="1136" spans="21:84">
      <c r="U1136" s="1287"/>
      <c r="CF1136" s="557"/>
    </row>
    <row r="1137" spans="21:84">
      <c r="U1137" s="1287"/>
      <c r="CF1137" s="557"/>
    </row>
    <row r="1138" spans="21:84">
      <c r="U1138" s="1287"/>
      <c r="CF1138" s="557"/>
    </row>
    <row r="1139" spans="21:84">
      <c r="U1139" s="1287"/>
      <c r="CF1139" s="557"/>
    </row>
    <row r="1140" spans="21:84">
      <c r="U1140" s="1287"/>
      <c r="CF1140" s="557"/>
    </row>
    <row r="1141" spans="21:84">
      <c r="U1141" s="1287"/>
      <c r="CF1141" s="557"/>
    </row>
    <row r="1142" spans="21:84">
      <c r="U1142" s="1287"/>
      <c r="CF1142" s="557"/>
    </row>
    <row r="1143" spans="21:84">
      <c r="U1143" s="1287"/>
      <c r="CF1143" s="557"/>
    </row>
    <row r="1144" spans="21:84">
      <c r="U1144" s="1287"/>
      <c r="CF1144" s="557"/>
    </row>
    <row r="1145" spans="21:84">
      <c r="U1145" s="1297"/>
      <c r="CF1145" s="557"/>
    </row>
    <row r="1146" spans="21:84">
      <c r="U1146" s="1287"/>
      <c r="CF1146" s="557"/>
    </row>
    <row r="1147" spans="21:84">
      <c r="U1147" s="1287"/>
      <c r="CF1147" s="557"/>
    </row>
    <row r="1148" spans="21:84">
      <c r="U1148" s="1287"/>
      <c r="CF1148" s="557"/>
    </row>
    <row r="1149" spans="21:84">
      <c r="U1149" s="1287"/>
      <c r="CF1149" s="557"/>
    </row>
    <row r="1150" spans="21:84">
      <c r="U1150" s="1287"/>
      <c r="CF1150" s="557"/>
    </row>
    <row r="1151" spans="21:84">
      <c r="U1151" s="1287"/>
      <c r="CF1151" s="557"/>
    </row>
    <row r="1152" spans="21:84">
      <c r="U1152" s="1287"/>
      <c r="CF1152" s="557"/>
    </row>
    <row r="1153" spans="21:84">
      <c r="U1153" s="1287"/>
      <c r="CF1153" s="557"/>
    </row>
    <row r="1154" spans="21:84">
      <c r="U1154" s="1287"/>
      <c r="CF1154" s="557"/>
    </row>
    <row r="1155" spans="21:84">
      <c r="U1155" s="1287"/>
      <c r="CF1155" s="557"/>
    </row>
    <row r="1156" spans="21:84">
      <c r="U1156" s="1287"/>
      <c r="CF1156" s="557"/>
    </row>
    <row r="1157" spans="21:84">
      <c r="U1157" s="1287"/>
      <c r="CF1157" s="557"/>
    </row>
    <row r="1158" spans="21:84">
      <c r="U1158" s="1287"/>
      <c r="CF1158" s="557"/>
    </row>
    <row r="1159" spans="21:84">
      <c r="U1159" s="1287"/>
      <c r="CF1159" s="557"/>
    </row>
    <row r="1160" spans="21:84">
      <c r="U1160" s="1287"/>
      <c r="CF1160" s="557"/>
    </row>
    <row r="1161" spans="21:84">
      <c r="U1161" s="1287"/>
      <c r="CF1161" s="557"/>
    </row>
    <row r="1162" spans="21:84">
      <c r="U1162" s="1287"/>
      <c r="CF1162" s="557"/>
    </row>
    <row r="1163" spans="21:84">
      <c r="U1163" s="1287"/>
      <c r="CF1163" s="557"/>
    </row>
    <row r="1164" spans="21:84">
      <c r="U1164" s="1287"/>
      <c r="CF1164" s="557"/>
    </row>
    <row r="1165" spans="21:84">
      <c r="U1165" s="1287"/>
      <c r="CF1165" s="557"/>
    </row>
    <row r="1166" spans="21:84">
      <c r="U1166" s="1287"/>
      <c r="CF1166" s="557"/>
    </row>
    <row r="1167" spans="21:84">
      <c r="U1167" s="1287"/>
      <c r="CF1167" s="557"/>
    </row>
    <row r="1168" spans="21:84">
      <c r="U1168" s="1287"/>
      <c r="CF1168" s="557"/>
    </row>
    <row r="1169" spans="21:84">
      <c r="U1169" s="1287"/>
      <c r="CF1169" s="557"/>
    </row>
    <row r="1170" spans="21:84">
      <c r="U1170" s="1287"/>
      <c r="CF1170" s="557"/>
    </row>
    <row r="1171" spans="21:84">
      <c r="U1171" s="1287"/>
      <c r="CF1171" s="557"/>
    </row>
    <row r="1172" spans="21:84">
      <c r="U1172" s="1287"/>
      <c r="CF1172" s="557"/>
    </row>
    <row r="1173" spans="21:84">
      <c r="U1173" s="1287"/>
      <c r="CF1173" s="557"/>
    </row>
    <row r="1174" spans="21:84">
      <c r="U1174" s="1287"/>
      <c r="CF1174" s="557"/>
    </row>
    <row r="1175" spans="21:84">
      <c r="U1175" s="1287"/>
      <c r="CF1175" s="557"/>
    </row>
    <row r="1176" spans="21:84">
      <c r="U1176" s="1287"/>
      <c r="CF1176" s="557"/>
    </row>
    <row r="1177" spans="21:84">
      <c r="U1177" s="1287"/>
      <c r="CF1177" s="557"/>
    </row>
    <row r="1178" spans="21:84">
      <c r="U1178" s="1297"/>
      <c r="CF1178" s="557"/>
    </row>
    <row r="1179" spans="21:84">
      <c r="U1179" s="1287"/>
      <c r="CF1179" s="557"/>
    </row>
    <row r="1180" spans="21:84">
      <c r="U1180" s="1287"/>
      <c r="CF1180" s="557"/>
    </row>
    <row r="1181" spans="21:84">
      <c r="U1181" s="1287"/>
      <c r="CF1181" s="557"/>
    </row>
    <row r="1182" spans="21:84">
      <c r="U1182" s="1287"/>
      <c r="CF1182" s="557"/>
    </row>
    <row r="1183" spans="21:84">
      <c r="U1183" s="1287"/>
      <c r="CF1183" s="557"/>
    </row>
    <row r="1184" spans="21:84">
      <c r="U1184" s="1287"/>
      <c r="CF1184" s="557"/>
    </row>
    <row r="1185" spans="21:84">
      <c r="U1185" s="1287"/>
      <c r="CF1185" s="557"/>
    </row>
    <row r="1186" spans="21:84">
      <c r="U1186" s="1287"/>
      <c r="CF1186" s="557"/>
    </row>
    <row r="1187" spans="21:84">
      <c r="U1187" s="1287"/>
      <c r="CF1187" s="557"/>
    </row>
    <row r="1188" spans="21:84">
      <c r="U1188" s="1287"/>
      <c r="CF1188" s="557"/>
    </row>
    <row r="1189" spans="21:84">
      <c r="U1189" s="1287"/>
      <c r="CF1189" s="557"/>
    </row>
    <row r="1190" spans="21:84">
      <c r="U1190" s="1287"/>
      <c r="CF1190" s="557"/>
    </row>
    <row r="1191" spans="21:84">
      <c r="U1191" s="1287"/>
      <c r="CF1191" s="557"/>
    </row>
    <row r="1192" spans="21:84">
      <c r="U1192" s="1287"/>
      <c r="CF1192" s="557"/>
    </row>
    <row r="1193" spans="21:84">
      <c r="U1193" s="1287"/>
      <c r="CF1193" s="557"/>
    </row>
    <row r="1194" spans="21:84">
      <c r="U1194" s="1287"/>
      <c r="CF1194" s="557"/>
    </row>
    <row r="1195" spans="21:84">
      <c r="U1195" s="1287"/>
      <c r="CF1195" s="557"/>
    </row>
    <row r="1196" spans="21:84">
      <c r="U1196" s="1287"/>
      <c r="CF1196" s="557"/>
    </row>
    <row r="1197" spans="21:84">
      <c r="U1197" s="1287"/>
      <c r="CF1197" s="557"/>
    </row>
    <row r="1198" spans="21:84">
      <c r="U1198" s="1287"/>
      <c r="CF1198" s="557"/>
    </row>
    <row r="1199" spans="21:84">
      <c r="U1199" s="1287"/>
      <c r="CF1199" s="557"/>
    </row>
    <row r="1200" spans="21:84">
      <c r="U1200" s="1287"/>
      <c r="CF1200" s="557"/>
    </row>
    <row r="1201" spans="21:84">
      <c r="U1201" s="1287"/>
      <c r="CF1201" s="557"/>
    </row>
    <row r="1202" spans="21:84">
      <c r="U1202" s="1287"/>
      <c r="CF1202" s="557"/>
    </row>
    <row r="1203" spans="21:84">
      <c r="U1203" s="1287"/>
      <c r="CF1203" s="557"/>
    </row>
    <row r="1204" spans="21:84">
      <c r="U1204" s="1287"/>
      <c r="CF1204" s="557"/>
    </row>
    <row r="1205" spans="21:84">
      <c r="U1205" s="1287"/>
      <c r="CF1205" s="557"/>
    </row>
    <row r="1206" spans="21:84">
      <c r="U1206" s="1287"/>
      <c r="CF1206" s="557"/>
    </row>
    <row r="1207" spans="21:84">
      <c r="U1207" s="1287"/>
      <c r="CF1207" s="557"/>
    </row>
    <row r="1208" spans="21:84">
      <c r="U1208" s="1287"/>
      <c r="CF1208" s="557"/>
    </row>
    <row r="1209" spans="21:84">
      <c r="U1209" s="1287"/>
      <c r="CF1209" s="557"/>
    </row>
    <row r="1210" spans="21:84">
      <c r="U1210" s="1287"/>
      <c r="CF1210" s="557"/>
    </row>
    <row r="1211" spans="21:84">
      <c r="U1211" s="1287"/>
      <c r="CF1211" s="557"/>
    </row>
    <row r="1212" spans="21:84">
      <c r="U1212" s="1287"/>
      <c r="CF1212" s="557"/>
    </row>
    <row r="1213" spans="21:84">
      <c r="U1213" s="1287"/>
      <c r="CF1213" s="557"/>
    </row>
    <row r="1214" spans="21:84">
      <c r="U1214" s="1287"/>
      <c r="CF1214" s="557"/>
    </row>
    <row r="1215" spans="21:84">
      <c r="U1215" s="1287"/>
      <c r="CF1215" s="557"/>
    </row>
    <row r="1216" spans="21:84">
      <c r="U1216" s="1287"/>
      <c r="CF1216" s="557"/>
    </row>
    <row r="1217" spans="21:84">
      <c r="U1217" s="1287"/>
      <c r="CF1217" s="557"/>
    </row>
    <row r="1218" spans="21:84">
      <c r="U1218" s="1287"/>
      <c r="CF1218" s="557"/>
    </row>
    <row r="1219" spans="21:84">
      <c r="U1219" s="1287"/>
      <c r="CF1219" s="557"/>
    </row>
    <row r="1220" spans="21:84">
      <c r="U1220" s="1287"/>
      <c r="CF1220" s="557"/>
    </row>
    <row r="1221" spans="21:84">
      <c r="U1221" s="1287"/>
      <c r="CF1221" s="557"/>
    </row>
    <row r="1222" spans="21:84">
      <c r="U1222" s="1287"/>
      <c r="CF1222" s="557"/>
    </row>
    <row r="1223" spans="21:84">
      <c r="U1223" s="1287"/>
      <c r="CF1223" s="557"/>
    </row>
    <row r="1224" spans="21:84">
      <c r="U1224" s="1287"/>
      <c r="CF1224" s="557"/>
    </row>
    <row r="1225" spans="21:84">
      <c r="U1225" s="1287"/>
      <c r="CF1225" s="557"/>
    </row>
    <row r="1226" spans="21:84">
      <c r="U1226" s="1287"/>
      <c r="CF1226" s="557"/>
    </row>
    <row r="1227" spans="21:84">
      <c r="U1227" s="1287"/>
      <c r="CF1227" s="557"/>
    </row>
    <row r="1228" spans="21:84">
      <c r="U1228" s="1287"/>
      <c r="CF1228" s="557"/>
    </row>
    <row r="1229" spans="21:84">
      <c r="U1229" s="1287"/>
      <c r="CF1229" s="557"/>
    </row>
    <row r="1230" spans="21:84">
      <c r="U1230" s="1287"/>
      <c r="CF1230" s="557"/>
    </row>
    <row r="1231" spans="21:84">
      <c r="U1231" s="1287"/>
      <c r="CF1231" s="557"/>
    </row>
    <row r="1232" spans="21:84">
      <c r="U1232" s="1287"/>
      <c r="CF1232" s="557"/>
    </row>
    <row r="1233" spans="21:84">
      <c r="U1233" s="1287"/>
      <c r="CF1233" s="557"/>
    </row>
    <row r="1234" spans="21:84">
      <c r="U1234" s="1287"/>
      <c r="CF1234" s="557"/>
    </row>
    <row r="1235" spans="21:84">
      <c r="U1235" s="1287"/>
      <c r="CF1235" s="557"/>
    </row>
    <row r="1236" spans="21:84">
      <c r="U1236" s="1287"/>
      <c r="CF1236" s="557"/>
    </row>
    <row r="1237" spans="21:84">
      <c r="U1237" s="1287"/>
      <c r="CF1237" s="557"/>
    </row>
    <row r="1238" spans="21:84">
      <c r="U1238" s="1287"/>
      <c r="CF1238" s="557"/>
    </row>
    <row r="1239" spans="21:84">
      <c r="U1239" s="1287"/>
      <c r="CF1239" s="557"/>
    </row>
    <row r="1240" spans="21:84">
      <c r="U1240" s="1287"/>
      <c r="CF1240" s="557"/>
    </row>
    <row r="1241" spans="21:84">
      <c r="U1241" s="1287"/>
      <c r="CF1241" s="557"/>
    </row>
    <row r="1242" spans="21:84">
      <c r="U1242" s="1287"/>
      <c r="CF1242" s="557"/>
    </row>
    <row r="1243" spans="21:84">
      <c r="U1243" s="1287"/>
      <c r="CF1243" s="557"/>
    </row>
    <row r="1244" spans="21:84">
      <c r="U1244" s="1287"/>
      <c r="CF1244" s="557"/>
    </row>
    <row r="1245" spans="21:84">
      <c r="U1245" s="1287"/>
      <c r="CF1245" s="557"/>
    </row>
    <row r="1246" spans="21:84">
      <c r="U1246" s="1287"/>
      <c r="CF1246" s="557"/>
    </row>
    <row r="1247" spans="21:84">
      <c r="U1247" s="1287"/>
      <c r="CF1247" s="557"/>
    </row>
    <row r="1248" spans="21:84">
      <c r="U1248" s="1287"/>
      <c r="CF1248" s="557"/>
    </row>
    <row r="1249" spans="21:84">
      <c r="U1249" s="1287"/>
      <c r="CF1249" s="557"/>
    </row>
    <row r="1250" spans="21:84">
      <c r="U1250" s="1287"/>
      <c r="CF1250" s="557"/>
    </row>
    <row r="1251" spans="21:84">
      <c r="U1251" s="1287"/>
      <c r="CF1251" s="557"/>
    </row>
    <row r="1252" spans="21:84">
      <c r="U1252" s="1287"/>
      <c r="CF1252" s="557"/>
    </row>
    <row r="1253" spans="21:84">
      <c r="U1253" s="1287"/>
      <c r="CF1253" s="557"/>
    </row>
    <row r="1254" spans="21:84">
      <c r="U1254" s="1287"/>
      <c r="CF1254" s="557"/>
    </row>
    <row r="1255" spans="21:84">
      <c r="U1255" s="1287"/>
      <c r="CF1255" s="557"/>
    </row>
    <row r="1256" spans="21:84">
      <c r="U1256" s="1287"/>
      <c r="CF1256" s="557"/>
    </row>
    <row r="1257" spans="21:84">
      <c r="U1257" s="1287"/>
      <c r="CF1257" s="557"/>
    </row>
    <row r="1258" spans="21:84">
      <c r="U1258" s="1287"/>
      <c r="CF1258" s="557"/>
    </row>
    <row r="1259" spans="21:84">
      <c r="U1259" s="1287"/>
      <c r="CF1259" s="557"/>
    </row>
    <row r="1260" spans="21:84">
      <c r="U1260" s="1287"/>
      <c r="CF1260" s="557"/>
    </row>
    <row r="1261" spans="21:84">
      <c r="U1261" s="1287"/>
      <c r="CF1261" s="557"/>
    </row>
    <row r="1262" spans="21:84">
      <c r="U1262" s="1287"/>
      <c r="CF1262" s="557"/>
    </row>
    <row r="1263" spans="21:84">
      <c r="U1263" s="1287"/>
      <c r="CF1263" s="557"/>
    </row>
    <row r="1264" spans="21:84">
      <c r="U1264" s="1287"/>
      <c r="CF1264" s="557"/>
    </row>
    <row r="1265" spans="21:84">
      <c r="U1265" s="1287"/>
      <c r="CF1265" s="557"/>
    </row>
    <row r="1266" spans="21:84">
      <c r="U1266" s="1287"/>
      <c r="CF1266" s="557"/>
    </row>
    <row r="1267" spans="21:84">
      <c r="U1267" s="1287"/>
      <c r="CF1267" s="557"/>
    </row>
    <row r="1268" spans="21:84">
      <c r="U1268" s="1287"/>
      <c r="CF1268" s="557"/>
    </row>
    <row r="1269" spans="21:84">
      <c r="U1269" s="1287"/>
      <c r="CF1269" s="557"/>
    </row>
    <row r="1270" spans="21:84">
      <c r="U1270" s="1287"/>
      <c r="CF1270" s="557"/>
    </row>
    <row r="1271" spans="21:84">
      <c r="U1271" s="1287"/>
      <c r="CF1271" s="557"/>
    </row>
    <row r="1272" spans="21:84">
      <c r="U1272" s="1287"/>
      <c r="CF1272" s="557"/>
    </row>
    <row r="1273" spans="21:84">
      <c r="U1273" s="1287"/>
      <c r="CF1273" s="557"/>
    </row>
    <row r="1274" spans="21:84">
      <c r="U1274" s="1287"/>
      <c r="CF1274" s="557"/>
    </row>
    <row r="1275" spans="21:84">
      <c r="U1275" s="1287"/>
      <c r="CF1275" s="557"/>
    </row>
    <row r="1276" spans="21:84">
      <c r="U1276" s="1287"/>
      <c r="CF1276" s="557"/>
    </row>
    <row r="1277" spans="21:84">
      <c r="U1277" s="1287"/>
      <c r="CF1277" s="557"/>
    </row>
    <row r="1278" spans="21:84">
      <c r="U1278" s="1287"/>
      <c r="CF1278" s="557"/>
    </row>
    <row r="1279" spans="21:84">
      <c r="U1279" s="1287"/>
      <c r="CF1279" s="557"/>
    </row>
    <row r="1280" spans="21:84">
      <c r="U1280" s="1287"/>
      <c r="CF1280" s="557"/>
    </row>
    <row r="1281" spans="21:84">
      <c r="U1281" s="1287"/>
      <c r="CF1281" s="557"/>
    </row>
    <row r="1282" spans="21:84">
      <c r="U1282" s="1297"/>
      <c r="CF1282" s="557"/>
    </row>
    <row r="1283" spans="21:84">
      <c r="U1283" s="1287"/>
      <c r="CF1283" s="557"/>
    </row>
    <row r="1284" spans="21:84">
      <c r="U1284" s="1287"/>
      <c r="CF1284" s="557"/>
    </row>
    <row r="1285" spans="21:84">
      <c r="U1285" s="1287"/>
      <c r="CF1285" s="557"/>
    </row>
    <row r="1286" spans="21:84">
      <c r="U1286" s="1287"/>
      <c r="CF1286" s="557"/>
    </row>
    <row r="1287" spans="21:84">
      <c r="U1287" s="1287"/>
      <c r="CF1287" s="557"/>
    </row>
    <row r="1288" spans="21:84">
      <c r="U1288" s="1287"/>
      <c r="CF1288" s="557"/>
    </row>
    <row r="1289" spans="21:84">
      <c r="U1289" s="1287"/>
      <c r="CF1289" s="557"/>
    </row>
    <row r="1290" spans="21:84">
      <c r="U1290" s="572"/>
      <c r="CF1290" s="557"/>
    </row>
    <row r="1291" spans="21:84">
      <c r="U1291" s="572"/>
      <c r="CF1291" s="557"/>
    </row>
    <row r="1292" spans="21:84">
      <c r="U1292" s="572"/>
      <c r="CF1292" s="557"/>
    </row>
    <row r="1293" spans="21:84">
      <c r="U1293" s="572"/>
      <c r="CF1293" s="557"/>
    </row>
    <row r="1294" spans="21:84">
      <c r="U1294" s="572"/>
      <c r="CF1294" s="557"/>
    </row>
    <row r="1295" spans="21:84">
      <c r="U1295" s="572"/>
      <c r="CF1295" s="557"/>
    </row>
    <row r="1296" spans="21:84">
      <c r="U1296" s="572"/>
      <c r="CF1296" s="557"/>
    </row>
    <row r="1297" spans="21:84">
      <c r="U1297" s="572"/>
      <c r="CF1297" s="557"/>
    </row>
    <row r="1298" spans="21:84">
      <c r="U1298" s="572"/>
      <c r="CF1298" s="557"/>
    </row>
    <row r="1299" spans="21:84">
      <c r="U1299" s="572"/>
      <c r="CF1299" s="557"/>
    </row>
    <row r="1300" spans="21:84">
      <c r="U1300" s="572"/>
      <c r="CF1300" s="557"/>
    </row>
    <row r="1301" spans="21:84">
      <c r="U1301" s="572"/>
      <c r="CF1301" s="557"/>
    </row>
    <row r="1302" spans="21:84">
      <c r="U1302" s="572"/>
      <c r="CF1302" s="557"/>
    </row>
    <row r="1303" spans="21:84">
      <c r="U1303" s="572"/>
      <c r="CF1303" s="557"/>
    </row>
    <row r="1304" spans="21:84">
      <c r="U1304" s="572"/>
      <c r="CF1304" s="557"/>
    </row>
    <row r="1305" spans="21:84">
      <c r="U1305" s="572"/>
      <c r="CF1305" s="557"/>
    </row>
    <row r="1306" spans="21:84">
      <c r="U1306" s="572"/>
      <c r="CF1306" s="557"/>
    </row>
    <row r="1307" spans="21:84">
      <c r="U1307" s="572"/>
      <c r="CF1307" s="557"/>
    </row>
    <row r="1308" spans="21:84">
      <c r="U1308" s="572"/>
      <c r="CF1308" s="557"/>
    </row>
    <row r="1309" spans="21:84">
      <c r="U1309" s="572"/>
      <c r="CF1309" s="557"/>
    </row>
    <row r="1310" spans="21:84">
      <c r="U1310" s="572"/>
      <c r="CF1310" s="557"/>
    </row>
    <row r="1311" spans="21:84">
      <c r="U1311" s="572"/>
      <c r="CF1311" s="557"/>
    </row>
    <row r="1312" spans="21:84">
      <c r="U1312" s="572"/>
      <c r="CF1312" s="557"/>
    </row>
    <row r="1313" spans="8:84">
      <c r="U1313" s="572"/>
      <c r="CF1313" s="557"/>
    </row>
    <row r="1314" spans="8:84">
      <c r="U1314" s="572"/>
      <c r="CF1314" s="557"/>
    </row>
    <row r="1315" spans="8:84">
      <c r="U1315" s="572"/>
      <c r="CF1315" s="557"/>
    </row>
    <row r="1316" spans="8:84">
      <c r="U1316" s="572"/>
      <c r="CF1316" s="557"/>
    </row>
    <row r="1317" spans="8:84">
      <c r="U1317" s="572"/>
      <c r="CF1317" s="557"/>
    </row>
    <row r="1318" spans="8:84">
      <c r="U1318" s="572"/>
      <c r="CF1318" s="557"/>
    </row>
    <row r="1319" spans="8:84">
      <c r="U1319" s="572"/>
      <c r="CF1319" s="557"/>
    </row>
    <row r="1320" spans="8:84">
      <c r="U1320" s="572"/>
      <c r="CF1320" s="557"/>
    </row>
    <row r="1321" spans="8:84">
      <c r="U1321" s="572"/>
      <c r="CF1321" s="557"/>
    </row>
    <row r="1322" spans="8:84">
      <c r="U1322" s="572"/>
      <c r="CF1322" s="557"/>
    </row>
    <row r="1323" spans="8:84">
      <c r="U1323" s="572"/>
      <c r="CF1323" s="557"/>
    </row>
    <row r="1324" spans="8:84">
      <c r="U1324" s="572"/>
      <c r="CF1324" s="557"/>
    </row>
    <row r="1325" spans="8:84">
      <c r="U1325" s="572"/>
      <c r="CF1325" s="557"/>
    </row>
    <row r="1326" spans="8:84">
      <c r="U1326" s="572"/>
      <c r="CF1326" s="557"/>
    </row>
    <row r="1327" spans="8:84">
      <c r="H1327" s="1031"/>
    </row>
  </sheetData>
  <sheetProtection formatCells="0" formatColumns="0" formatRows="0" insertRows="0" insertColumns="0" insertHyperlinks="0" deleteColumns="0" deleteRows="0" sort="0" autoFilter="0" pivotTables="0"/>
  <protectedRanges>
    <protectedRange sqref="AB$1:AD$1048576" name="Range1"/>
    <protectedRange sqref="A$1:AA$1048576 AE$1:CE$1048576" name="Range2"/>
  </protectedRanges>
  <autoFilter xmlns:etc="http://www.wps.cn/officeDocument/2017/etCustomData" ref="A3:XFD1327" etc:filterBottomFollowUsedRange="1">
    <extLst/>
  </autoFilter>
  <sortState ref="A4:CE446">
    <sortCondition ref="AD423"/>
  </sortState>
  <mergeCells count="8">
    <mergeCell ref="AL2:AP2"/>
    <mergeCell ref="AT2:AU2"/>
    <mergeCell ref="AX2:AY2"/>
    <mergeCell ref="BA2:BB2"/>
    <mergeCell ref="AD448:AD456"/>
    <mergeCell ref="AD517:AD525"/>
    <mergeCell ref="AD640:AD648"/>
    <mergeCell ref="AD681:AD685"/>
  </mergeCells>
  <conditionalFormatting sqref="R3:T3">
    <cfRule type="cellIs" dxfId="0" priority="1436" operator="equal">
      <formula>"欠"</formula>
    </cfRule>
  </conditionalFormatting>
  <conditionalFormatting sqref="U3">
    <cfRule type="cellIs" dxfId="0" priority="1435" operator="equal">
      <formula>"欠"</formula>
    </cfRule>
  </conditionalFormatting>
  <conditionalFormatting sqref="U10">
    <cfRule type="containsText" dxfId="1" priority="1367" operator="between" text="欠">
      <formula>NOT(ISERROR(SEARCH("欠",U10)))</formula>
    </cfRule>
  </conditionalFormatting>
  <conditionalFormatting sqref="V10">
    <cfRule type="containsText" dxfId="1" priority="1313" operator="between" text="欠">
      <formula>NOT(ISERROR(SEARCH("欠",V10)))</formula>
    </cfRule>
  </conditionalFormatting>
  <conditionalFormatting sqref="U11">
    <cfRule type="containsText" dxfId="1" priority="1366" operator="between" text="欠">
      <formula>NOT(ISERROR(SEARCH("欠",U11)))</formula>
    </cfRule>
  </conditionalFormatting>
  <conditionalFormatting sqref="V11">
    <cfRule type="containsText" dxfId="1" priority="1312" operator="between" text="欠">
      <formula>NOT(ISERROR(SEARCH("欠",V11)))</formula>
    </cfRule>
  </conditionalFormatting>
  <conditionalFormatting sqref="U12">
    <cfRule type="containsText" dxfId="1" priority="1365" operator="between" text="欠">
      <formula>NOT(ISERROR(SEARCH("欠",U12)))</formula>
    </cfRule>
  </conditionalFormatting>
  <conditionalFormatting sqref="V12">
    <cfRule type="containsText" dxfId="1" priority="1311" operator="between" text="欠">
      <formula>NOT(ISERROR(SEARCH("欠",V12)))</formula>
    </cfRule>
  </conditionalFormatting>
  <conditionalFormatting sqref="V13">
    <cfRule type="containsText" dxfId="1" priority="1308" operator="between" text="欠">
      <formula>NOT(ISERROR(SEARCH("欠",V13)))</formula>
    </cfRule>
  </conditionalFormatting>
  <conditionalFormatting sqref="V14">
    <cfRule type="containsText" dxfId="1" priority="1307" operator="between" text="欠">
      <formula>NOT(ISERROR(SEARCH("欠",V14)))</formula>
    </cfRule>
  </conditionalFormatting>
  <conditionalFormatting sqref="V15">
    <cfRule type="containsText" dxfId="1" priority="1306" operator="between" text="欠">
      <formula>NOT(ISERROR(SEARCH("欠",V15)))</formula>
    </cfRule>
  </conditionalFormatting>
  <conditionalFormatting sqref="U18">
    <cfRule type="containsText" dxfId="1" priority="1363" operator="between" text="欠">
      <formula>NOT(ISERROR(SEARCH("欠",U18)))</formula>
    </cfRule>
  </conditionalFormatting>
  <conditionalFormatting sqref="V18">
    <cfRule type="containsText" dxfId="1" priority="1309" operator="between" text="欠">
      <formula>NOT(ISERROR(SEARCH("欠",V18)))</formula>
    </cfRule>
  </conditionalFormatting>
  <conditionalFormatting sqref="V19">
    <cfRule type="containsText" dxfId="1" priority="1303" operator="between" text="欠">
      <formula>NOT(ISERROR(SEARCH("欠",V19)))</formula>
    </cfRule>
  </conditionalFormatting>
  <conditionalFormatting sqref="U28">
    <cfRule type="containsText" dxfId="1" priority="1287" operator="between" text="欠">
      <formula>NOT(ISERROR(SEARCH("欠",U28)))</formula>
    </cfRule>
  </conditionalFormatting>
  <conditionalFormatting sqref="V28">
    <cfRule type="containsText" dxfId="1" priority="1300" operator="between" text="欠">
      <formula>NOT(ISERROR(SEARCH("欠",V28)))</formula>
    </cfRule>
  </conditionalFormatting>
  <conditionalFormatting sqref="U30">
    <cfRule type="containsText" dxfId="1" priority="1259" operator="between" text="欠">
      <formula>NOT(ISERROR(SEARCH("欠",U30)))</formula>
    </cfRule>
  </conditionalFormatting>
  <conditionalFormatting sqref="V30">
    <cfRule type="containsText" dxfId="1" priority="1237" operator="between" text="欠">
      <formula>NOT(ISERROR(SEARCH("欠",V30)))</formula>
    </cfRule>
  </conditionalFormatting>
  <conditionalFormatting sqref="U31">
    <cfRule type="containsText" dxfId="1" priority="1355" operator="between" text="欠">
      <formula>NOT(ISERROR(SEARCH("欠",U31)))</formula>
    </cfRule>
  </conditionalFormatting>
  <conditionalFormatting sqref="V31">
    <cfRule type="containsText" dxfId="1" priority="1301" operator="between" text="欠">
      <formula>NOT(ISERROR(SEARCH("欠",V31)))</formula>
    </cfRule>
  </conditionalFormatting>
  <conditionalFormatting sqref="R32">
    <cfRule type="containsText" dxfId="1" priority="1207" operator="between" text="欠">
      <formula>NOT(ISERROR(SEARCH("欠",R32)))</formula>
    </cfRule>
  </conditionalFormatting>
  <conditionalFormatting sqref="U32">
    <cfRule type="containsText" dxfId="1" priority="1205" operator="between" text="欠">
      <formula>NOT(ISERROR(SEARCH("欠",U32)))</formula>
    </cfRule>
  </conditionalFormatting>
  <conditionalFormatting sqref="V32">
    <cfRule type="containsText" dxfId="1" priority="1209" operator="between" text="欠">
      <formula>NOT(ISERROR(SEARCH("欠",V32)))</formula>
    </cfRule>
  </conditionalFormatting>
  <conditionalFormatting sqref="U34">
    <cfRule type="containsText" dxfId="1" priority="1256" operator="between" text="欠">
      <formula>NOT(ISERROR(SEARCH("欠",U34)))</formula>
    </cfRule>
  </conditionalFormatting>
  <conditionalFormatting sqref="V34">
    <cfRule type="containsText" dxfId="1" priority="1231" operator="between" text="欠">
      <formula>NOT(ISERROR(SEARCH("欠",V34)))</formula>
    </cfRule>
  </conditionalFormatting>
  <conditionalFormatting sqref="U43">
    <cfRule type="containsText" dxfId="1" priority="1364" operator="between" text="欠">
      <formula>NOT(ISERROR(SEARCH("欠",U43)))</formula>
    </cfRule>
  </conditionalFormatting>
  <conditionalFormatting sqref="V43">
    <cfRule type="containsText" dxfId="1" priority="1310" operator="between" text="欠">
      <formula>NOT(ISERROR(SEARCH("欠",V43)))</formula>
    </cfRule>
  </conditionalFormatting>
  <conditionalFormatting sqref="U46">
    <cfRule type="containsText" dxfId="1" priority="1258" operator="between" text="欠">
      <formula>NOT(ISERROR(SEARCH("欠",U46)))</formula>
    </cfRule>
  </conditionalFormatting>
  <conditionalFormatting sqref="R49">
    <cfRule type="containsText" dxfId="1" priority="1169" operator="between" text="欠">
      <formula>NOT(ISERROR(SEARCH("欠",R49)))</formula>
    </cfRule>
  </conditionalFormatting>
  <conditionalFormatting sqref="U49">
    <cfRule type="containsText" dxfId="1" priority="1167" operator="between" text="欠">
      <formula>NOT(ISERROR(SEARCH("欠",U49)))</formula>
    </cfRule>
  </conditionalFormatting>
  <conditionalFormatting sqref="V49">
    <cfRule type="containsText" dxfId="1" priority="1165" operator="between" text="欠">
      <formula>NOT(ISERROR(SEARCH("欠",V49)))</formula>
    </cfRule>
  </conditionalFormatting>
  <conditionalFormatting sqref="U50:V50">
    <cfRule type="containsText" dxfId="1" priority="1405" operator="between" text="欠">
      <formula>NOT(ISERROR(SEARCH("欠",U50)))</formula>
    </cfRule>
  </conditionalFormatting>
  <conditionalFormatting sqref="AD52">
    <cfRule type="containsText" dxfId="1" priority="1162" operator="between" text="欠">
      <formula>NOT(ISERROR(SEARCH("欠",AD52)))</formula>
    </cfRule>
  </conditionalFormatting>
  <conditionalFormatting sqref="U53">
    <cfRule type="containsText" dxfId="1" priority="1344" operator="between" text="欠">
      <formula>NOT(ISERROR(SEARCH("欠",U53)))</formula>
    </cfRule>
  </conditionalFormatting>
  <conditionalFormatting sqref="V53">
    <cfRule type="containsText" dxfId="1" priority="1290" operator="between" text="欠">
      <formula>NOT(ISERROR(SEARCH("欠",V53)))</formula>
    </cfRule>
  </conditionalFormatting>
  <conditionalFormatting sqref="U54">
    <cfRule type="containsText" dxfId="1" priority="1217" operator="between" text="欠">
      <formula>NOT(ISERROR(SEARCH("欠",U54)))</formula>
    </cfRule>
  </conditionalFormatting>
  <conditionalFormatting sqref="U60">
    <cfRule type="containsText" dxfId="1" priority="1215" operator="between" text="欠">
      <formula>NOT(ISERROR(SEARCH("欠",U60)))</formula>
    </cfRule>
  </conditionalFormatting>
  <conditionalFormatting sqref="U75">
    <cfRule type="containsText" dxfId="1" priority="1271" operator="between" text="欠">
      <formula>NOT(ISERROR(SEARCH("欠",U75)))</formula>
    </cfRule>
  </conditionalFormatting>
  <conditionalFormatting sqref="R85:U85">
    <cfRule type="containsText" dxfId="1" priority="1157" operator="between" text="欠">
      <formula>NOT(ISERROR(SEARCH("欠",R85)))</formula>
    </cfRule>
  </conditionalFormatting>
  <conditionalFormatting sqref="Q87">
    <cfRule type="containsText" dxfId="1" priority="1111" operator="between" text="欠">
      <formula>NOT(ISERROR(SEARCH("欠",Q87)))</formula>
    </cfRule>
  </conditionalFormatting>
  <conditionalFormatting sqref="R91:U91">
    <cfRule type="containsText" dxfId="1" priority="1163" operator="between" text="欠">
      <formula>NOT(ISERROR(SEARCH("欠",R91)))</formula>
    </cfRule>
  </conditionalFormatting>
  <conditionalFormatting sqref="S95:T95">
    <cfRule type="containsText" dxfId="1" priority="1143" operator="between" text="欠">
      <formula>NOT(ISERROR(SEARCH("欠",S95)))</formula>
    </cfRule>
  </conditionalFormatting>
  <conditionalFormatting sqref="S96:T96">
    <cfRule type="containsText" dxfId="1" priority="1142" operator="between" text="欠">
      <formula>NOT(ISERROR(SEARCH("欠",S96)))</formula>
    </cfRule>
  </conditionalFormatting>
  <conditionalFormatting sqref="R106">
    <cfRule type="containsText" dxfId="1" priority="1135" operator="between" text="欠">
      <formula>NOT(ISERROR(SEARCH("欠",R106)))</formula>
    </cfRule>
  </conditionalFormatting>
  <conditionalFormatting sqref="V110">
    <cfRule type="containsText" dxfId="1" priority="1133" operator="between" text="欠">
      <formula>NOT(ISERROR(SEARCH("欠",V110)))</formula>
    </cfRule>
  </conditionalFormatting>
  <conditionalFormatting sqref="R111">
    <cfRule type="containsText" dxfId="1" priority="1110" operator="between" text="欠">
      <formula>NOT(ISERROR(SEARCH("欠",R111)))</formula>
    </cfRule>
  </conditionalFormatting>
  <conditionalFormatting sqref="S111:U111">
    <cfRule type="containsText" dxfId="1" priority="1108" operator="between" text="欠">
      <formula>NOT(ISERROR(SEARCH("欠",S111)))</formula>
    </cfRule>
  </conditionalFormatting>
  <conditionalFormatting sqref="V111">
    <cfRule type="containsText" dxfId="1" priority="1106" operator="between" text="欠">
      <formula>NOT(ISERROR(SEARCH("欠",V111)))</formula>
    </cfRule>
  </conditionalFormatting>
  <conditionalFormatting sqref="R112:U112">
    <cfRule type="containsText" dxfId="1" priority="1098" operator="between" text="欠">
      <formula>NOT(ISERROR(SEARCH("欠",R112)))</formula>
    </cfRule>
  </conditionalFormatting>
  <conditionalFormatting sqref="V113">
    <cfRule type="containsText" dxfId="1" priority="1305" operator="between" text="欠">
      <formula>NOT(ISERROR(SEARCH("欠",V113)))</formula>
    </cfRule>
  </conditionalFormatting>
  <conditionalFormatting sqref="R123">
    <cfRule type="containsText" dxfId="1" priority="1131" operator="between" text="欠">
      <formula>NOT(ISERROR(SEARCH("欠",R123)))</formula>
    </cfRule>
  </conditionalFormatting>
  <conditionalFormatting sqref="S123:U123">
    <cfRule type="containsText" dxfId="1" priority="1129" operator="between" text="欠">
      <formula>NOT(ISERROR(SEARCH("欠",S123)))</formula>
    </cfRule>
  </conditionalFormatting>
  <conditionalFormatting sqref="V123">
    <cfRule type="containsText" dxfId="1" priority="1127" operator="between" text="欠">
      <formula>NOT(ISERROR(SEARCH("欠",V123)))</formula>
    </cfRule>
  </conditionalFormatting>
  <conditionalFormatting sqref="S127:T127">
    <cfRule type="containsText" dxfId="1" priority="1119" operator="between" text="欠">
      <formula>NOT(ISERROR(SEARCH("欠",S127)))</formula>
    </cfRule>
  </conditionalFormatting>
  <conditionalFormatting sqref="S128:T128">
    <cfRule type="containsText" dxfId="1" priority="1117" operator="between" text="欠">
      <formula>NOT(ISERROR(SEARCH("欠",S128)))</formula>
    </cfRule>
  </conditionalFormatting>
  <conditionalFormatting sqref="S129:T129">
    <cfRule type="containsText" dxfId="1" priority="1115" operator="between" text="欠">
      <formula>NOT(ISERROR(SEARCH("欠",S129)))</formula>
    </cfRule>
  </conditionalFormatting>
  <conditionalFormatting sqref="R139:U139">
    <cfRule type="containsText" dxfId="1" priority="1091" operator="between" text="欠">
      <formula>NOT(ISERROR(SEARCH("欠",R139)))</formula>
    </cfRule>
  </conditionalFormatting>
  <conditionalFormatting sqref="V150">
    <cfRule type="containsText" dxfId="1" priority="1089" operator="between" text="欠">
      <formula>NOT(ISERROR(SEARCH("欠",V150)))</formula>
    </cfRule>
  </conditionalFormatting>
  <conditionalFormatting sqref="W152">
    <cfRule type="containsText" dxfId="1" priority="1066" operator="between" text="欠">
      <formula>NOT(ISERROR(SEARCH("欠",W152)))</formula>
    </cfRule>
  </conditionalFormatting>
  <conditionalFormatting sqref="V159">
    <cfRule type="containsText" dxfId="1" priority="1075" operator="between" text="欠">
      <formula>NOT(ISERROR(SEARCH("欠",V159)))</formula>
    </cfRule>
  </conditionalFormatting>
  <conditionalFormatting sqref="AD176">
    <cfRule type="containsText" dxfId="1" priority="1049" operator="between" text="欠">
      <formula>NOT(ISERROR(SEARCH("欠",AD176)))</formula>
    </cfRule>
  </conditionalFormatting>
  <conditionalFormatting sqref="R178">
    <cfRule type="containsText" dxfId="1" priority="1058" operator="between" text="欠">
      <formula>NOT(ISERROR(SEARCH("欠",R178)))</formula>
    </cfRule>
  </conditionalFormatting>
  <conditionalFormatting sqref="R179">
    <cfRule type="containsText" dxfId="1" priority="1057" operator="between" text="欠">
      <formula>NOT(ISERROR(SEARCH("欠",R179)))</formula>
    </cfRule>
  </conditionalFormatting>
  <conditionalFormatting sqref="U182">
    <cfRule type="containsText" dxfId="1" priority="1035" operator="between" text="欠">
      <formula>NOT(ISERROR(SEARCH("欠",U182)))</formula>
    </cfRule>
  </conditionalFormatting>
  <conditionalFormatting sqref="R202">
    <cfRule type="containsText" dxfId="1" priority="1065" operator="between" text="欠">
      <formula>NOT(ISERROR(SEARCH("欠",R202)))</formula>
    </cfRule>
  </conditionalFormatting>
  <conditionalFormatting sqref="W215">
    <cfRule type="containsText" dxfId="1" priority="1054" operator="between" text="欠">
      <formula>NOT(ISERROR(SEARCH("欠",W215)))</formula>
    </cfRule>
  </conditionalFormatting>
  <conditionalFormatting sqref="U218">
    <cfRule type="containsText" dxfId="1" priority="1048" operator="between" text="欠">
      <formula>NOT(ISERROR(SEARCH("欠",U218)))</formula>
    </cfRule>
  </conditionalFormatting>
  <conditionalFormatting sqref="AD219">
    <cfRule type="containsText" dxfId="1" priority="1045" operator="between" text="欠">
      <formula>NOT(ISERROR(SEARCH("欠",AD219)))</formula>
    </cfRule>
  </conditionalFormatting>
  <conditionalFormatting sqref="R225">
    <cfRule type="containsText" dxfId="1" priority="1053" operator="between" text="欠">
      <formula>NOT(ISERROR(SEARCH("欠",R225)))</formula>
    </cfRule>
  </conditionalFormatting>
  <conditionalFormatting sqref="R227">
    <cfRule type="containsText" dxfId="1" priority="1036" operator="between" text="欠">
      <formula>NOT(ISERROR(SEARCH("欠",R227)))</formula>
    </cfRule>
  </conditionalFormatting>
  <conditionalFormatting sqref="V227">
    <cfRule type="containsText" dxfId="1" priority="1038" operator="between" text="欠">
      <formula>NOT(ISERROR(SEARCH("欠",V227)))</formula>
    </cfRule>
  </conditionalFormatting>
  <conditionalFormatting sqref="R228">
    <cfRule type="containsText" dxfId="1" priority="1063" operator="between" text="欠">
      <formula>NOT(ISERROR(SEARCH("欠",R228)))</formula>
    </cfRule>
  </conditionalFormatting>
  <conditionalFormatting sqref="R229">
    <cfRule type="containsText" dxfId="1" priority="1004" operator="between" text="欠">
      <formula>NOT(ISERROR(SEARCH("欠",R229)))</formula>
    </cfRule>
  </conditionalFormatting>
  <conditionalFormatting sqref="U229">
    <cfRule type="containsText" dxfId="1" priority="1003" operator="between" text="欠">
      <formula>NOT(ISERROR(SEARCH("欠",U229)))</formula>
    </cfRule>
  </conditionalFormatting>
  <conditionalFormatting sqref="V229">
    <cfRule type="containsText" dxfId="1" priority="1005" operator="between" text="欠">
      <formula>NOT(ISERROR(SEARCH("欠",V229)))</formula>
    </cfRule>
  </conditionalFormatting>
  <conditionalFormatting sqref="R230">
    <cfRule type="containsText" dxfId="1" priority="970" operator="between" text="欠">
      <formula>NOT(ISERROR(SEARCH("欠",R230)))</formula>
    </cfRule>
  </conditionalFormatting>
  <conditionalFormatting sqref="U230">
    <cfRule type="containsText" dxfId="1" priority="969" operator="between" text="欠">
      <formula>NOT(ISERROR(SEARCH("欠",U230)))</formula>
    </cfRule>
  </conditionalFormatting>
  <conditionalFormatting sqref="V230">
    <cfRule type="containsText" dxfId="1" priority="981" operator="between" text="欠">
      <formula>NOT(ISERROR(SEARCH("欠",V230)))</formula>
    </cfRule>
  </conditionalFormatting>
  <conditionalFormatting sqref="R231">
    <cfRule type="containsText" dxfId="1" priority="976" operator="between" text="欠">
      <formula>NOT(ISERROR(SEARCH("欠",R231)))</formula>
    </cfRule>
  </conditionalFormatting>
  <conditionalFormatting sqref="U231">
    <cfRule type="containsText" dxfId="1" priority="975" operator="between" text="欠">
      <formula>NOT(ISERROR(SEARCH("欠",U231)))</formula>
    </cfRule>
  </conditionalFormatting>
  <conditionalFormatting sqref="V231">
    <cfRule type="containsText" dxfId="1" priority="977" operator="between" text="欠">
      <formula>NOT(ISERROR(SEARCH("欠",V231)))</formula>
    </cfRule>
  </conditionalFormatting>
  <conditionalFormatting sqref="V232">
    <cfRule type="containsText" dxfId="1" priority="1028" operator="between" text="欠">
      <formula>NOT(ISERROR(SEARCH("欠",V232)))</formula>
    </cfRule>
  </conditionalFormatting>
  <conditionalFormatting sqref="V233">
    <cfRule type="containsText" dxfId="1" priority="1027" operator="between" text="欠">
      <formula>NOT(ISERROR(SEARCH("欠",V233)))</formula>
    </cfRule>
  </conditionalFormatting>
  <conditionalFormatting sqref="V234">
    <cfRule type="containsText" dxfId="1" priority="1026" operator="between" text="欠">
      <formula>NOT(ISERROR(SEARCH("欠",V234)))</formula>
    </cfRule>
  </conditionalFormatting>
  <conditionalFormatting sqref="V235">
    <cfRule type="containsText" dxfId="1" priority="1025" operator="between" text="欠">
      <formula>NOT(ISERROR(SEARCH("欠",V235)))</formula>
    </cfRule>
  </conditionalFormatting>
  <conditionalFormatting sqref="R237">
    <cfRule type="containsText" dxfId="1" priority="1023" operator="between" text="欠">
      <formula>NOT(ISERROR(SEARCH("欠",R237)))</formula>
    </cfRule>
  </conditionalFormatting>
  <conditionalFormatting sqref="U237">
    <cfRule type="containsText" dxfId="1" priority="1017" operator="between" text="欠">
      <formula>NOT(ISERROR(SEARCH("欠",U237)))</formula>
    </cfRule>
  </conditionalFormatting>
  <conditionalFormatting sqref="V237">
    <cfRule type="containsText" dxfId="1" priority="1029" operator="between" text="欠">
      <formula>NOT(ISERROR(SEARCH("欠",V237)))</formula>
    </cfRule>
  </conditionalFormatting>
  <conditionalFormatting sqref="U238">
    <cfRule type="containsText" dxfId="1" priority="1012" operator="between" text="欠">
      <formula>NOT(ISERROR(SEARCH("欠",U238)))</formula>
    </cfRule>
  </conditionalFormatting>
  <conditionalFormatting sqref="V238">
    <cfRule type="containsText" dxfId="1" priority="1024" operator="between" text="欠">
      <formula>NOT(ISERROR(SEARCH("欠",V238)))</formula>
    </cfRule>
  </conditionalFormatting>
  <conditionalFormatting sqref="U257">
    <cfRule type="containsText" dxfId="1" priority="995" operator="between" text="欠">
      <formula>NOT(ISERROR(SEARCH("欠",U257)))</formula>
    </cfRule>
  </conditionalFormatting>
  <conditionalFormatting sqref="V257">
    <cfRule type="containsText" dxfId="1" priority="996" operator="between" text="欠">
      <formula>NOT(ISERROR(SEARCH("欠",V257)))</formula>
    </cfRule>
  </conditionalFormatting>
  <conditionalFormatting sqref="R261">
    <cfRule type="containsText" dxfId="1" priority="1001" operator="between" text="欠">
      <formula>NOT(ISERROR(SEARCH("欠",R261)))</formula>
    </cfRule>
  </conditionalFormatting>
  <conditionalFormatting sqref="U261">
    <cfRule type="containsText" dxfId="1" priority="1008" operator="between" text="欠">
      <formula>NOT(ISERROR(SEARCH("欠",U261)))</formula>
    </cfRule>
  </conditionalFormatting>
  <conditionalFormatting sqref="V261">
    <cfRule type="containsText" dxfId="1" priority="1009" operator="between" text="欠">
      <formula>NOT(ISERROR(SEARCH("欠",V261)))</formula>
    </cfRule>
  </conditionalFormatting>
  <conditionalFormatting sqref="R263">
    <cfRule type="containsText" dxfId="1" priority="993" operator="between" text="欠">
      <formula>NOT(ISERROR(SEARCH("欠",R263)))</formula>
    </cfRule>
  </conditionalFormatting>
  <conditionalFormatting sqref="V263">
    <cfRule type="containsText" dxfId="1" priority="1007" operator="between" text="欠">
      <formula>NOT(ISERROR(SEARCH("欠",V263)))</formula>
    </cfRule>
  </conditionalFormatting>
  <conditionalFormatting sqref="R266">
    <cfRule type="containsText" dxfId="1" priority="988" operator="between" text="欠">
      <formula>NOT(ISERROR(SEARCH("欠",R266)))</formula>
    </cfRule>
  </conditionalFormatting>
  <conditionalFormatting sqref="U266">
    <cfRule type="containsText" dxfId="1" priority="987" operator="between" text="欠">
      <formula>NOT(ISERROR(SEARCH("欠",U266)))</formula>
    </cfRule>
  </conditionalFormatting>
  <conditionalFormatting sqref="V266">
    <cfRule type="containsText" dxfId="1" priority="986" operator="between" text="欠">
      <formula>NOT(ISERROR(SEARCH("欠",V266)))</formula>
    </cfRule>
  </conditionalFormatting>
  <conditionalFormatting sqref="R268">
    <cfRule type="containsText" dxfId="1" priority="992" operator="between" text="欠">
      <formula>NOT(ISERROR(SEARCH("欠",R268)))</formula>
    </cfRule>
  </conditionalFormatting>
  <conditionalFormatting sqref="U268">
    <cfRule type="containsText" dxfId="1" priority="991" operator="between" text="欠">
      <formula>NOT(ISERROR(SEARCH("欠",U268)))</formula>
    </cfRule>
  </conditionalFormatting>
  <conditionalFormatting sqref="V268">
    <cfRule type="containsText" dxfId="1" priority="990" operator="between" text="欠">
      <formula>NOT(ISERROR(SEARCH("欠",V268)))</formula>
    </cfRule>
  </conditionalFormatting>
  <conditionalFormatting sqref="R274">
    <cfRule type="containsText" dxfId="1" priority="985" operator="between" text="欠">
      <formula>NOT(ISERROR(SEARCH("欠",R274)))</formula>
    </cfRule>
  </conditionalFormatting>
  <conditionalFormatting sqref="U274">
    <cfRule type="containsText" dxfId="1" priority="984" operator="between" text="欠">
      <formula>NOT(ISERROR(SEARCH("欠",U274)))</formula>
    </cfRule>
  </conditionalFormatting>
  <conditionalFormatting sqref="U275">
    <cfRule type="containsText" dxfId="1" priority="974" operator="between" text="欠">
      <formula>NOT(ISERROR(SEARCH("欠",U275)))</formula>
    </cfRule>
  </conditionalFormatting>
  <conditionalFormatting sqref="R324">
    <cfRule type="containsText" dxfId="1" priority="1056" operator="between" text="欠">
      <formula>NOT(ISERROR(SEARCH("欠",R324)))</formula>
    </cfRule>
  </conditionalFormatting>
  <conditionalFormatting sqref="R348">
    <cfRule type="containsText" dxfId="1" priority="913" operator="between" text="欠">
      <formula>NOT(ISERROR(SEARCH("欠",R348)))</formula>
    </cfRule>
  </conditionalFormatting>
  <conditionalFormatting sqref="U348">
    <cfRule type="containsText" dxfId="1" priority="912" operator="between" text="欠">
      <formula>NOT(ISERROR(SEARCH("欠",U348)))</formula>
    </cfRule>
  </conditionalFormatting>
  <conditionalFormatting sqref="V354">
    <cfRule type="containsText" dxfId="1" priority="734" operator="between" text="欠">
      <formula>NOT(ISERROR(SEARCH("欠",V354)))</formula>
    </cfRule>
  </conditionalFormatting>
  <conditionalFormatting sqref="R355">
    <cfRule type="containsText" dxfId="1" priority="964" operator="between" text="欠">
      <formula>NOT(ISERROR(SEARCH("欠",R355)))</formula>
    </cfRule>
  </conditionalFormatting>
  <conditionalFormatting sqref="S357:T357">
    <cfRule type="containsText" dxfId="1" priority="762" operator="between" text="欠">
      <formula>NOT(ISERROR(SEARCH("欠",S357)))</formula>
    </cfRule>
  </conditionalFormatting>
  <conditionalFormatting sqref="U357">
    <cfRule type="containsText" dxfId="1" priority="760" operator="between" text="欠">
      <formula>NOT(ISERROR(SEARCH("欠",U357)))</formula>
    </cfRule>
  </conditionalFormatting>
  <conditionalFormatting sqref="V357">
    <cfRule type="containsText" dxfId="1" priority="763" operator="between" text="欠">
      <formula>NOT(ISERROR(SEARCH("欠",V357)))</formula>
    </cfRule>
  </conditionalFormatting>
  <conditionalFormatting sqref="R365">
    <cfRule type="containsText" dxfId="1" priority="749" operator="between" text="欠">
      <formula>NOT(ISERROR(SEARCH("欠",R365)))</formula>
    </cfRule>
  </conditionalFormatting>
  <conditionalFormatting sqref="U365">
    <cfRule type="containsText" dxfId="1" priority="748" operator="between" text="欠">
      <formula>NOT(ISERROR(SEARCH("欠",U365)))</formula>
    </cfRule>
  </conditionalFormatting>
  <conditionalFormatting sqref="V365">
    <cfRule type="containsText" dxfId="1" priority="750" operator="between" text="欠">
      <formula>NOT(ISERROR(SEARCH("欠",V365)))</formula>
    </cfRule>
  </conditionalFormatting>
  <conditionalFormatting sqref="R367">
    <cfRule type="containsText" dxfId="1" priority="756" operator="between" text="欠">
      <formula>NOT(ISERROR(SEARCH("欠",R367)))</formula>
    </cfRule>
  </conditionalFormatting>
  <conditionalFormatting sqref="U367">
    <cfRule type="containsText" dxfId="1" priority="755" operator="between" text="欠">
      <formula>NOT(ISERROR(SEARCH("欠",U367)))</formula>
    </cfRule>
  </conditionalFormatting>
  <conditionalFormatting sqref="V367">
    <cfRule type="containsText" dxfId="1" priority="757" operator="between" text="欠">
      <formula>NOT(ISERROR(SEARCH("欠",V367)))</formula>
    </cfRule>
  </conditionalFormatting>
  <conditionalFormatting sqref="U390">
    <cfRule type="containsText" dxfId="1" priority="742" operator="between" text="欠">
      <formula>NOT(ISERROR(SEARCH("欠",U390)))</formula>
    </cfRule>
  </conditionalFormatting>
  <conditionalFormatting sqref="U395">
    <cfRule type="containsText" dxfId="1" priority="764" operator="between" text="欠">
      <formula>NOT(ISERROR(SEARCH("欠",U395)))</formula>
    </cfRule>
  </conditionalFormatting>
  <conditionalFormatting sqref="V398">
    <cfRule type="containsText" dxfId="1" priority="735" operator="between" text="欠">
      <formula>NOT(ISERROR(SEARCH("欠",V398)))</formula>
    </cfRule>
  </conditionalFormatting>
  <conditionalFormatting sqref="S401:T401">
    <cfRule type="containsText" dxfId="1" priority="732" operator="between" text="欠">
      <formula>NOT(ISERROR(SEARCH("欠",S401)))</formula>
    </cfRule>
  </conditionalFormatting>
  <conditionalFormatting sqref="U401">
    <cfRule type="containsText" dxfId="1" priority="730" operator="between" text="欠">
      <formula>NOT(ISERROR(SEARCH("欠",U401)))</formula>
    </cfRule>
  </conditionalFormatting>
  <conditionalFormatting sqref="V401">
    <cfRule type="containsText" dxfId="1" priority="733" operator="between" text="欠">
      <formula>NOT(ISERROR(SEARCH("欠",V401)))</formula>
    </cfRule>
  </conditionalFormatting>
  <conditionalFormatting sqref="R417">
    <cfRule type="containsText" dxfId="1" priority="681" operator="between" text="欠">
      <formula>NOT(ISERROR(SEARCH("欠",R417)))</formula>
    </cfRule>
  </conditionalFormatting>
  <conditionalFormatting sqref="U417">
    <cfRule type="containsText" dxfId="1" priority="679" operator="between" text="欠">
      <formula>NOT(ISERROR(SEARCH("欠",U417)))</formula>
    </cfRule>
  </conditionalFormatting>
  <conditionalFormatting sqref="V417">
    <cfRule type="containsText" dxfId="1" priority="677" operator="between" text="欠">
      <formula>NOT(ISERROR(SEARCH("欠",V417)))</formula>
    </cfRule>
  </conditionalFormatting>
  <conditionalFormatting sqref="R423">
    <cfRule type="containsText" dxfId="1" priority="665" operator="between" text="欠">
      <formula>NOT(ISERROR(SEARCH("欠",R423)))</formula>
    </cfRule>
  </conditionalFormatting>
  <conditionalFormatting sqref="U423">
    <cfRule type="containsText" dxfId="0" priority="662" operator="between" text="欠">
      <formula>NOT(ISERROR(SEARCH("欠",U423)))</formula>
    </cfRule>
  </conditionalFormatting>
  <conditionalFormatting sqref="V423">
    <cfRule type="containsText" dxfId="1" priority="664" operator="between" text="欠">
      <formula>NOT(ISERROR(SEARCH("欠",V423)))</formula>
    </cfRule>
  </conditionalFormatting>
  <conditionalFormatting sqref="R424">
    <cfRule type="containsText" dxfId="1" priority="675" operator="between" text="欠">
      <formula>NOT(ISERROR(SEARCH("欠",R424)))</formula>
    </cfRule>
  </conditionalFormatting>
  <conditionalFormatting sqref="U424">
    <cfRule type="containsText" dxfId="1" priority="673" operator="between" text="欠">
      <formula>NOT(ISERROR(SEARCH("欠",U424)))</formula>
    </cfRule>
  </conditionalFormatting>
  <conditionalFormatting sqref="V424">
    <cfRule type="containsText" dxfId="1" priority="674" operator="between" text="欠">
      <formula>NOT(ISERROR(SEARCH("欠",V424)))</formula>
    </cfRule>
  </conditionalFormatting>
  <conditionalFormatting sqref="AD424">
    <cfRule type="containsText" dxfId="1" priority="659" operator="between" text="欠">
      <formula>NOT(ISERROR(SEARCH("欠",AD424)))</formula>
    </cfRule>
  </conditionalFormatting>
  <conditionalFormatting sqref="R428">
    <cfRule type="containsText" dxfId="1" priority="728" operator="between" text="欠">
      <formula>NOT(ISERROR(SEARCH("欠",R428)))</formula>
    </cfRule>
  </conditionalFormatting>
  <conditionalFormatting sqref="R429">
    <cfRule type="containsText" dxfId="1" priority="690" operator="between" text="欠">
      <formula>NOT(ISERROR(SEARCH("欠",R429)))</formula>
    </cfRule>
  </conditionalFormatting>
  <conditionalFormatting sqref="U429">
    <cfRule type="containsText" dxfId="1" priority="682" operator="between" text="欠">
      <formula>NOT(ISERROR(SEARCH("欠",U429)))</formula>
    </cfRule>
  </conditionalFormatting>
  <conditionalFormatting sqref="V429">
    <cfRule type="containsText" dxfId="1" priority="686" operator="between" text="欠">
      <formula>NOT(ISERROR(SEARCH("欠",V429)))</formula>
    </cfRule>
  </conditionalFormatting>
  <conditionalFormatting sqref="U432">
    <cfRule type="containsText" dxfId="1" priority="666" operator="between" text="欠">
      <formula>NOT(ISERROR(SEARCH("欠",U432)))</formula>
    </cfRule>
  </conditionalFormatting>
  <conditionalFormatting sqref="V434">
    <cfRule type="containsText" dxfId="1" priority="670" operator="between" text="欠">
      <formula>NOT(ISERROR(SEARCH("欠",V434)))</formula>
    </cfRule>
  </conditionalFormatting>
  <conditionalFormatting sqref="V447">
    <cfRule type="containsText" dxfId="1" priority="729" operator="between" text="欠">
      <formula>NOT(ISERROR(SEARCH("欠",V447)))</formula>
    </cfRule>
  </conditionalFormatting>
  <conditionalFormatting sqref="U474">
    <cfRule type="containsText" dxfId="1" priority="653" operator="between" text="欠">
      <formula>NOT(ISERROR(SEARCH("欠",U474)))</formula>
    </cfRule>
  </conditionalFormatting>
  <conditionalFormatting sqref="R475">
    <cfRule type="containsText" dxfId="1" priority="661" operator="between" text="欠">
      <formula>NOT(ISERROR(SEARCH("欠",R475)))</formula>
    </cfRule>
  </conditionalFormatting>
  <conditionalFormatting sqref="U494">
    <cfRule type="containsText" dxfId="1" priority="633" operator="between" text="欠">
      <formula>NOT(ISERROR(SEARCH("欠",U494)))</formula>
    </cfRule>
  </conditionalFormatting>
  <conditionalFormatting sqref="V494">
    <cfRule type="containsText" dxfId="1" priority="634" operator="between" text="欠">
      <formula>NOT(ISERROR(SEARCH("欠",V494)))</formula>
    </cfRule>
  </conditionalFormatting>
  <conditionalFormatting sqref="R500">
    <cfRule type="containsText" dxfId="1" priority="626" operator="between" text="欠">
      <formula>NOT(ISERROR(SEARCH("欠",R500)))</formula>
    </cfRule>
  </conditionalFormatting>
  <conditionalFormatting sqref="R503">
    <cfRule type="containsText" dxfId="1" priority="616" operator="between" text="欠">
      <formula>NOT(ISERROR(SEARCH("欠",R503)))</formula>
    </cfRule>
  </conditionalFormatting>
  <conditionalFormatting sqref="U503">
    <cfRule type="containsText" dxfId="1" priority="615" operator="between" text="欠">
      <formula>NOT(ISERROR(SEARCH("欠",U503)))</formula>
    </cfRule>
  </conditionalFormatting>
  <conditionalFormatting sqref="V503">
    <cfRule type="containsText" dxfId="1" priority="614" operator="between" text="欠">
      <formula>NOT(ISERROR(SEARCH("欠",V503)))</formula>
    </cfRule>
  </conditionalFormatting>
  <conditionalFormatting sqref="V507">
    <cfRule type="containsText" dxfId="1" priority="646" operator="between" text="欠">
      <formula>NOT(ISERROR(SEARCH("欠",V507)))</formula>
    </cfRule>
  </conditionalFormatting>
  <conditionalFormatting sqref="R509">
    <cfRule type="containsText" dxfId="1" priority="618" operator="between" text="欠">
      <formula>NOT(ISERROR(SEARCH("欠",R509)))</formula>
    </cfRule>
  </conditionalFormatting>
  <conditionalFormatting sqref="R512">
    <cfRule type="containsText" dxfId="1" priority="576" operator="between" text="欠">
      <formula>NOT(ISERROR(SEARCH("欠",R512)))</formula>
    </cfRule>
  </conditionalFormatting>
  <conditionalFormatting sqref="U512">
    <cfRule type="containsText" dxfId="1" priority="574" operator="between" text="欠">
      <formula>NOT(ISERROR(SEARCH("欠",U512)))</formula>
    </cfRule>
  </conditionalFormatting>
  <conditionalFormatting sqref="V512">
    <cfRule type="containsText" dxfId="1" priority="575" operator="between" text="欠">
      <formula>NOT(ISERROR(SEARCH("欠",V512)))</formula>
    </cfRule>
  </conditionalFormatting>
  <conditionalFormatting sqref="R515">
    <cfRule type="containsText" dxfId="1" priority="630" operator="between" text="欠">
      <formula>NOT(ISERROR(SEARCH("欠",R515)))</formula>
    </cfRule>
  </conditionalFormatting>
  <conditionalFormatting sqref="V515">
    <cfRule type="containsText" dxfId="1" priority="632" operator="between" text="欠">
      <formula>NOT(ISERROR(SEARCH("欠",V515)))</formula>
    </cfRule>
  </conditionalFormatting>
  <conditionalFormatting sqref="V533">
    <cfRule type="containsText" dxfId="1" priority="610" operator="between" text="欠">
      <formula>NOT(ISERROR(SEARCH("欠",V533)))</formula>
    </cfRule>
  </conditionalFormatting>
  <conditionalFormatting sqref="V534">
    <cfRule type="containsText" dxfId="1" priority="607" operator="between" text="欠">
      <formula>NOT(ISERROR(SEARCH("欠",V534)))</formula>
    </cfRule>
  </conditionalFormatting>
  <conditionalFormatting sqref="U536">
    <cfRule type="containsText" dxfId="1" priority="579" operator="between" text="欠">
      <formula>NOT(ISERROR(SEARCH("欠",U536)))</formula>
    </cfRule>
  </conditionalFormatting>
  <conditionalFormatting sqref="V536">
    <cfRule type="containsText" dxfId="1" priority="577" operator="between" text="欠">
      <formula>NOT(ISERROR(SEARCH("欠",V536)))</formula>
    </cfRule>
  </conditionalFormatting>
  <conditionalFormatting sqref="U543">
    <cfRule type="containsText" dxfId="1" priority="569" operator="between" text="欠">
      <formula>NOT(ISERROR(SEARCH("欠",U543)))</formula>
    </cfRule>
  </conditionalFormatting>
  <conditionalFormatting sqref="V543">
    <cfRule type="containsText" dxfId="1" priority="570" operator="between" text="欠">
      <formula>NOT(ISERROR(SEARCH("欠",V543)))</formula>
    </cfRule>
  </conditionalFormatting>
  <conditionalFormatting sqref="U547">
    <cfRule type="containsText" dxfId="1" priority="557" operator="between" text="欠">
      <formula>NOT(ISERROR(SEARCH("欠",U547)))</formula>
    </cfRule>
  </conditionalFormatting>
  <conditionalFormatting sqref="V547">
    <cfRule type="containsText" dxfId="1" priority="558" operator="between" text="欠">
      <formula>NOT(ISERROR(SEARCH("欠",V547)))</formula>
    </cfRule>
  </conditionalFormatting>
  <conditionalFormatting sqref="R548">
    <cfRule type="containsText" dxfId="1" priority="580" operator="between" text="欠">
      <formula>NOT(ISERROR(SEARCH("欠",R548)))</formula>
    </cfRule>
  </conditionalFormatting>
  <conditionalFormatting sqref="U548">
    <cfRule type="containsText" dxfId="1" priority="581" operator="between" text="欠">
      <formula>NOT(ISERROR(SEARCH("欠",U548)))</formula>
    </cfRule>
  </conditionalFormatting>
  <conditionalFormatting sqref="V548">
    <cfRule type="containsText" dxfId="1" priority="582" operator="between" text="欠">
      <formula>NOT(ISERROR(SEARCH("欠",V548)))</formula>
    </cfRule>
  </conditionalFormatting>
  <conditionalFormatting sqref="U550">
    <cfRule type="containsText" dxfId="1" priority="532" operator="between" text="欠">
      <formula>NOT(ISERROR(SEARCH("欠",U550)))</formula>
    </cfRule>
  </conditionalFormatting>
  <conditionalFormatting sqref="V550">
    <cfRule type="containsText" dxfId="1" priority="533" operator="between" text="欠">
      <formula>NOT(ISERROR(SEARCH("欠",V550)))</formula>
    </cfRule>
  </conditionalFormatting>
  <conditionalFormatting sqref="R553">
    <cfRule type="containsText" dxfId="1" priority="592" operator="between" text="欠">
      <formula>NOT(ISERROR(SEARCH("欠",R553)))</formula>
    </cfRule>
  </conditionalFormatting>
  <conditionalFormatting sqref="U553">
    <cfRule type="containsText" dxfId="1" priority="593" operator="between" text="欠">
      <formula>NOT(ISERROR(SEARCH("欠",U553)))</formula>
    </cfRule>
  </conditionalFormatting>
  <conditionalFormatting sqref="V553">
    <cfRule type="containsText" dxfId="1" priority="594" operator="between" text="欠">
      <formula>NOT(ISERROR(SEARCH("欠",V553)))</formula>
    </cfRule>
  </conditionalFormatting>
  <conditionalFormatting sqref="U566">
    <cfRule type="containsText" dxfId="1" priority="523" operator="between" text="欠">
      <formula>NOT(ISERROR(SEARCH("欠",U566)))</formula>
    </cfRule>
  </conditionalFormatting>
  <conditionalFormatting sqref="V566">
    <cfRule type="containsText" dxfId="1" priority="524" operator="between" text="欠">
      <formula>NOT(ISERROR(SEARCH("欠",V566)))</formula>
    </cfRule>
  </conditionalFormatting>
  <conditionalFormatting sqref="R567">
    <cfRule type="containsText" dxfId="1" priority="514" operator="between" text="欠">
      <formula>NOT(ISERROR(SEARCH("欠",R567)))</formula>
    </cfRule>
  </conditionalFormatting>
  <conditionalFormatting sqref="U567">
    <cfRule type="containsText" dxfId="1" priority="515" operator="between" text="欠">
      <formula>NOT(ISERROR(SEARCH("欠",U567)))</formula>
    </cfRule>
  </conditionalFormatting>
  <conditionalFormatting sqref="V567">
    <cfRule type="containsText" dxfId="1" priority="516" operator="between" text="欠">
      <formula>NOT(ISERROR(SEARCH("欠",V567)))</formula>
    </cfRule>
  </conditionalFormatting>
  <conditionalFormatting sqref="U578">
    <cfRule type="containsText" dxfId="1" priority="510" operator="between" text="欠">
      <formula>NOT(ISERROR(SEARCH("欠",U578)))</formula>
    </cfRule>
  </conditionalFormatting>
  <conditionalFormatting sqref="V578">
    <cfRule type="containsText" dxfId="1" priority="511" operator="between" text="欠">
      <formula>NOT(ISERROR(SEARCH("欠",V578)))</formula>
    </cfRule>
  </conditionalFormatting>
  <conditionalFormatting sqref="U579">
    <cfRule type="containsText" dxfId="1" priority="453" operator="between" text="欠">
      <formula>NOT(ISERROR(SEARCH("欠",U579)))</formula>
    </cfRule>
  </conditionalFormatting>
  <conditionalFormatting sqref="V579">
    <cfRule type="containsText" dxfId="1" priority="454" operator="between" text="欠">
      <formula>NOT(ISERROR(SEARCH("欠",V579)))</formula>
    </cfRule>
  </conditionalFormatting>
  <conditionalFormatting sqref="R586">
    <cfRule type="containsText" dxfId="1" priority="517" operator="between" text="欠">
      <formula>NOT(ISERROR(SEARCH("欠",R586)))</formula>
    </cfRule>
  </conditionalFormatting>
  <conditionalFormatting sqref="V586">
    <cfRule type="containsText" dxfId="1" priority="530" operator="between" text="欠">
      <formula>NOT(ISERROR(SEARCH("欠",V586)))</formula>
    </cfRule>
  </conditionalFormatting>
  <conditionalFormatting sqref="S599:T599">
    <cfRule type="containsText" dxfId="1" priority="460" operator="between" text="欠">
      <formula>NOT(ISERROR(SEARCH("欠",S599)))</formula>
    </cfRule>
  </conditionalFormatting>
  <conditionalFormatting sqref="S600:T600">
    <cfRule type="containsText" dxfId="1" priority="459" operator="between" text="欠">
      <formula>NOT(ISERROR(SEARCH("欠",S600)))</formula>
    </cfRule>
  </conditionalFormatting>
  <conditionalFormatting sqref="Q601">
    <cfRule type="containsText" dxfId="1" priority="409" operator="between" text="欠">
      <formula>NOT(ISERROR(SEARCH("欠",Q601)))</formula>
    </cfRule>
  </conditionalFormatting>
  <conditionalFormatting sqref="S601:T601">
    <cfRule type="containsText" dxfId="1" priority="458" operator="between" text="欠">
      <formula>NOT(ISERROR(SEARCH("欠",S601)))</formula>
    </cfRule>
  </conditionalFormatting>
  <conditionalFormatting sqref="Q602">
    <cfRule type="containsText" dxfId="1" priority="467" operator="between" text="欠">
      <formula>NOT(ISERROR(SEARCH("欠",Q602)))</formula>
    </cfRule>
  </conditionalFormatting>
  <conditionalFormatting sqref="S602:T602">
    <cfRule type="containsText" dxfId="1" priority="457" operator="between" text="欠">
      <formula>NOT(ISERROR(SEARCH("欠",S602)))</formula>
    </cfRule>
  </conditionalFormatting>
  <conditionalFormatting sqref="Q603">
    <cfRule type="containsText" dxfId="1" priority="466" operator="between" text="欠">
      <formula>NOT(ISERROR(SEARCH("欠",Q603)))</formula>
    </cfRule>
  </conditionalFormatting>
  <conditionalFormatting sqref="S603:T603">
    <cfRule type="containsText" dxfId="1" priority="456" operator="between" text="欠">
      <formula>NOT(ISERROR(SEARCH("欠",S603)))</formula>
    </cfRule>
  </conditionalFormatting>
  <conditionalFormatting sqref="U604">
    <cfRule type="containsText" dxfId="1" priority="600" operator="between" text="欠">
      <formula>NOT(ISERROR(SEARCH("欠",U604)))</formula>
    </cfRule>
  </conditionalFormatting>
  <conditionalFormatting sqref="V604">
    <cfRule type="containsText" dxfId="1" priority="601" operator="between" text="欠">
      <formula>NOT(ISERROR(SEARCH("欠",V604)))</formula>
    </cfRule>
  </conditionalFormatting>
  <conditionalFormatting sqref="R605">
    <cfRule type="containsText" dxfId="1" priority="506" operator="between" text="欠">
      <formula>NOT(ISERROR(SEARCH("欠",R605)))</formula>
    </cfRule>
  </conditionalFormatting>
  <conditionalFormatting sqref="U605">
    <cfRule type="containsText" dxfId="1" priority="507" operator="between" text="欠">
      <formula>NOT(ISERROR(SEARCH("欠",U605)))</formula>
    </cfRule>
  </conditionalFormatting>
  <conditionalFormatting sqref="V605">
    <cfRule type="containsText" dxfId="1" priority="508" operator="between" text="欠">
      <formula>NOT(ISERROR(SEARCH("欠",V605)))</formula>
    </cfRule>
  </conditionalFormatting>
  <conditionalFormatting sqref="V606">
    <cfRule type="containsText" dxfId="1" priority="404" operator="between" text="欠">
      <formula>NOT(ISERROR(SEARCH("欠",V606)))</formula>
    </cfRule>
  </conditionalFormatting>
  <conditionalFormatting sqref="U611">
    <cfRule type="containsText" dxfId="1" priority="408" operator="between" text="欠">
      <formula>NOT(ISERROR(SEARCH("欠",U611)))</formula>
    </cfRule>
  </conditionalFormatting>
  <conditionalFormatting sqref="R651">
    <cfRule type="containsText" dxfId="1" priority="397" operator="between" text="欠">
      <formula>NOT(ISERROR(SEARCH("欠",R651)))</formula>
    </cfRule>
  </conditionalFormatting>
  <conditionalFormatting sqref="U651">
    <cfRule type="containsText" dxfId="1" priority="398" operator="between" text="欠">
      <formula>NOT(ISERROR(SEARCH("欠",U651)))</formula>
    </cfRule>
  </conditionalFormatting>
  <conditionalFormatting sqref="V651">
    <cfRule type="containsText" dxfId="1" priority="399" operator="between" text="欠">
      <formula>NOT(ISERROR(SEARCH("欠",V651)))</formula>
    </cfRule>
  </conditionalFormatting>
  <conditionalFormatting sqref="R652">
    <cfRule type="containsText" dxfId="1" priority="394" operator="between" text="欠">
      <formula>NOT(ISERROR(SEARCH("欠",R652)))</formula>
    </cfRule>
  </conditionalFormatting>
  <conditionalFormatting sqref="U652">
    <cfRule type="containsText" dxfId="1" priority="395" operator="between" text="欠">
      <formula>NOT(ISERROR(SEARCH("欠",U652)))</formula>
    </cfRule>
  </conditionalFormatting>
  <conditionalFormatting sqref="V652">
    <cfRule type="containsText" dxfId="1" priority="396" operator="between" text="欠">
      <formula>NOT(ISERROR(SEARCH("欠",V652)))</formula>
    </cfRule>
  </conditionalFormatting>
  <conditionalFormatting sqref="R677">
    <cfRule type="containsText" dxfId="1" priority="383" operator="between" text="欠">
      <formula>NOT(ISERROR(SEARCH("欠",R677)))</formula>
    </cfRule>
  </conditionalFormatting>
  <conditionalFormatting sqref="S680:T680">
    <cfRule type="containsText" dxfId="1" priority="379" operator="between" text="欠">
      <formula>NOT(ISERROR(SEARCH("欠",S680)))</formula>
    </cfRule>
  </conditionalFormatting>
  <conditionalFormatting sqref="U680">
    <cfRule type="containsText" dxfId="1" priority="377" operator="between" text="欠">
      <formula>NOT(ISERROR(SEARCH("欠",U680)))</formula>
    </cfRule>
  </conditionalFormatting>
  <conditionalFormatting sqref="U697">
    <cfRule type="containsText" dxfId="1" priority="331" operator="between" text="欠">
      <formula>NOT(ISERROR(SEARCH("欠",U697)))</formula>
    </cfRule>
  </conditionalFormatting>
  <conditionalFormatting sqref="U700">
    <cfRule type="containsText" dxfId="1" priority="322" operator="between" text="欠">
      <formula>NOT(ISERROR(SEARCH("欠",U700)))</formula>
    </cfRule>
  </conditionalFormatting>
  <conditionalFormatting sqref="V700">
    <cfRule type="containsText" dxfId="1" priority="316" operator="between" text="欠">
      <formula>NOT(ISERROR(SEARCH("欠",V700)))</formula>
    </cfRule>
  </conditionalFormatting>
  <conditionalFormatting sqref="U701">
    <cfRule type="containsText" dxfId="1" priority="321" operator="between" text="欠">
      <formula>NOT(ISERROR(SEARCH("欠",U701)))</formula>
    </cfRule>
  </conditionalFormatting>
  <conditionalFormatting sqref="V701">
    <cfRule type="containsText" dxfId="1" priority="315" operator="between" text="欠">
      <formula>NOT(ISERROR(SEARCH("欠",V701)))</formula>
    </cfRule>
  </conditionalFormatting>
  <conditionalFormatting sqref="R703">
    <cfRule type="containsText" dxfId="1" priority="381" operator="between" text="欠">
      <formula>NOT(ISERROR(SEARCH("欠",R703)))</formula>
    </cfRule>
  </conditionalFormatting>
  <conditionalFormatting sqref="U703">
    <cfRule type="containsText" dxfId="1" priority="380" operator="between" text="欠">
      <formula>NOT(ISERROR(SEARCH("欠",U703)))</formula>
    </cfRule>
  </conditionalFormatting>
  <conditionalFormatting sqref="U704">
    <cfRule type="containsText" dxfId="1" priority="341" operator="between" text="欠">
      <formula>NOT(ISERROR(SEARCH("欠",U704)))</formula>
    </cfRule>
  </conditionalFormatting>
  <conditionalFormatting sqref="V705">
    <cfRule type="containsText" dxfId="1" priority="306" operator="between" text="欠">
      <formula>NOT(ISERROR(SEARCH("欠",V705)))</formula>
    </cfRule>
  </conditionalFormatting>
  <conditionalFormatting sqref="V706">
    <cfRule type="containsText" dxfId="1" priority="305" operator="between" text="欠">
      <formula>NOT(ISERROR(SEARCH("欠",V706)))</formula>
    </cfRule>
  </conditionalFormatting>
  <conditionalFormatting sqref="R707">
    <cfRule type="containsText" dxfId="1" priority="307" operator="between" text="欠">
      <formula>NOT(ISERROR(SEARCH("欠",R707)))</formula>
    </cfRule>
  </conditionalFormatting>
  <conditionalFormatting sqref="U707">
    <cfRule type="containsText" dxfId="1" priority="310" operator="between" text="欠">
      <formula>NOT(ISERROR(SEARCH("欠",U707)))</formula>
    </cfRule>
  </conditionalFormatting>
  <conditionalFormatting sqref="V707">
    <cfRule type="containsText" dxfId="1" priority="304" operator="between" text="欠">
      <formula>NOT(ISERROR(SEARCH("欠",V707)))</formula>
    </cfRule>
  </conditionalFormatting>
  <conditionalFormatting sqref="U708">
    <cfRule type="containsText" dxfId="1" priority="345" operator="between" text="欠">
      <formula>NOT(ISERROR(SEARCH("欠",U708)))</formula>
    </cfRule>
  </conditionalFormatting>
  <conditionalFormatting sqref="U709">
    <cfRule type="containsText" dxfId="1" priority="332" operator="between" text="欠">
      <formula>NOT(ISERROR(SEARCH("欠",U709)))</formula>
    </cfRule>
  </conditionalFormatting>
  <conditionalFormatting sqref="U711">
    <cfRule type="containsText" dxfId="1" priority="340" operator="between" text="欠">
      <formula>NOT(ISERROR(SEARCH("欠",U711)))</formula>
    </cfRule>
  </conditionalFormatting>
  <conditionalFormatting sqref="U712">
    <cfRule type="containsText" dxfId="1" priority="344" operator="between" text="欠">
      <formula>NOT(ISERROR(SEARCH("欠",U712)))</formula>
    </cfRule>
  </conditionalFormatting>
  <conditionalFormatting sqref="U713">
    <cfRule type="containsText" dxfId="1" priority="334" operator="between" text="欠">
      <formula>NOT(ISERROR(SEARCH("欠",U713)))</formula>
    </cfRule>
  </conditionalFormatting>
  <conditionalFormatting sqref="V713">
    <cfRule type="containsText" dxfId="1" priority="335" operator="between" text="欠">
      <formula>NOT(ISERROR(SEARCH("欠",V713)))</formula>
    </cfRule>
  </conditionalFormatting>
  <conditionalFormatting sqref="R715">
    <cfRule type="containsText" dxfId="1" priority="263" operator="between" text="欠">
      <formula>NOT(ISERROR(SEARCH("欠",R715)))</formula>
    </cfRule>
  </conditionalFormatting>
  <conditionalFormatting sqref="U715">
    <cfRule type="containsText" dxfId="1" priority="268" operator="between" text="欠">
      <formula>NOT(ISERROR(SEARCH("欠",U715)))</formula>
    </cfRule>
  </conditionalFormatting>
  <conditionalFormatting sqref="V715">
    <cfRule type="containsText" dxfId="1" priority="269" operator="between" text="欠">
      <formula>NOT(ISERROR(SEARCH("欠",V715)))</formula>
    </cfRule>
  </conditionalFormatting>
  <conditionalFormatting sqref="U716">
    <cfRule type="containsText" dxfId="1" priority="287" operator="between" text="欠">
      <formula>NOT(ISERROR(SEARCH("欠",U716)))</formula>
    </cfRule>
  </conditionalFormatting>
  <conditionalFormatting sqref="V716">
    <cfRule type="containsText" dxfId="1" priority="283" operator="between" text="欠">
      <formula>NOT(ISERROR(SEARCH("欠",V716)))</formula>
    </cfRule>
  </conditionalFormatting>
  <conditionalFormatting sqref="U719">
    <cfRule type="containsText" dxfId="1" priority="302" operator="between" text="欠">
      <formula>NOT(ISERROR(SEARCH("欠",U719)))</formula>
    </cfRule>
  </conditionalFormatting>
  <conditionalFormatting sqref="V719">
    <cfRule type="containsText" dxfId="1" priority="296" operator="between" text="欠">
      <formula>NOT(ISERROR(SEARCH("欠",V719)))</formula>
    </cfRule>
  </conditionalFormatting>
  <conditionalFormatting sqref="R720">
    <cfRule type="containsText" dxfId="1" priority="262" operator="between" text="欠">
      <formula>NOT(ISERROR(SEARCH("欠",R720)))</formula>
    </cfRule>
  </conditionalFormatting>
  <conditionalFormatting sqref="U720">
    <cfRule type="containsText" dxfId="1" priority="260" operator="between" text="欠">
      <formula>NOT(ISERROR(SEARCH("欠",U720)))</formula>
    </cfRule>
  </conditionalFormatting>
  <conditionalFormatting sqref="V720">
    <cfRule type="containsText" dxfId="1" priority="261" operator="between" text="欠">
      <formula>NOT(ISERROR(SEARCH("欠",V720)))</formula>
    </cfRule>
  </conditionalFormatting>
  <conditionalFormatting sqref="U721">
    <cfRule type="containsText" dxfId="1" priority="337" operator="between" text="欠">
      <formula>NOT(ISERROR(SEARCH("欠",U721)))</formula>
    </cfRule>
  </conditionalFormatting>
  <conditionalFormatting sqref="AD721">
    <cfRule type="containsText" dxfId="1" priority="129" operator="between" text="欠">
      <formula>NOT(ISERROR(SEARCH("欠",AD721)))</formula>
    </cfRule>
  </conditionalFormatting>
  <conditionalFormatting sqref="U722">
    <cfRule type="containsText" dxfId="1" priority="294" operator="between" text="欠">
      <formula>NOT(ISERROR(SEARCH("欠",U722)))</formula>
    </cfRule>
  </conditionalFormatting>
  <conditionalFormatting sqref="V722">
    <cfRule type="containsText" dxfId="1" priority="292" operator="between" text="欠">
      <formula>NOT(ISERROR(SEARCH("欠",V722)))</formula>
    </cfRule>
  </conditionalFormatting>
  <conditionalFormatting sqref="R723">
    <cfRule type="containsText" dxfId="1" priority="300" operator="between" text="欠">
      <formula>NOT(ISERROR(SEARCH("欠",R723)))</formula>
    </cfRule>
  </conditionalFormatting>
  <conditionalFormatting sqref="U723">
    <cfRule type="containsText" dxfId="1" priority="303" operator="between" text="欠">
      <formula>NOT(ISERROR(SEARCH("欠",U723)))</formula>
    </cfRule>
  </conditionalFormatting>
  <conditionalFormatting sqref="V723">
    <cfRule type="containsText" dxfId="1" priority="297" operator="between" text="欠">
      <formula>NOT(ISERROR(SEARCH("欠",V723)))</formula>
    </cfRule>
  </conditionalFormatting>
  <conditionalFormatting sqref="U724">
    <cfRule type="containsText" dxfId="1" priority="288" operator="between" text="欠">
      <formula>NOT(ISERROR(SEARCH("欠",U724)))</formula>
    </cfRule>
  </conditionalFormatting>
  <conditionalFormatting sqref="V724">
    <cfRule type="containsText" dxfId="1" priority="284" operator="between" text="欠">
      <formula>NOT(ISERROR(SEARCH("欠",V724)))</formula>
    </cfRule>
  </conditionalFormatting>
  <conditionalFormatting sqref="R725">
    <cfRule type="containsText" dxfId="1" priority="291" operator="between" text="欠">
      <formula>NOT(ISERROR(SEARCH("欠",R725)))</formula>
    </cfRule>
  </conditionalFormatting>
  <conditionalFormatting sqref="U725">
    <cfRule type="containsText" dxfId="1" priority="301" operator="between" text="欠">
      <formula>NOT(ISERROR(SEARCH("欠",U725)))</formula>
    </cfRule>
  </conditionalFormatting>
  <conditionalFormatting sqref="V725">
    <cfRule type="containsText" dxfId="1" priority="295" operator="between" text="欠">
      <formula>NOT(ISERROR(SEARCH("欠",V725)))</formula>
    </cfRule>
  </conditionalFormatting>
  <conditionalFormatting sqref="V728">
    <cfRule type="containsText" dxfId="1" priority="272" operator="between" text="欠">
      <formula>NOT(ISERROR(SEARCH("欠",V728)))</formula>
    </cfRule>
  </conditionalFormatting>
  <conditionalFormatting sqref="U729">
    <cfRule type="containsText" dxfId="1" priority="259" operator="between" text="欠">
      <formula>NOT(ISERROR(SEARCH("欠",U729)))</formula>
    </cfRule>
  </conditionalFormatting>
  <conditionalFormatting sqref="V729">
    <cfRule type="containsText" dxfId="1" priority="251" operator="between" text="欠">
      <formula>NOT(ISERROR(SEARCH("欠",V729)))</formula>
    </cfRule>
  </conditionalFormatting>
  <conditionalFormatting sqref="V730">
    <cfRule type="containsText" dxfId="1" priority="250" operator="between" text="欠">
      <formula>NOT(ISERROR(SEARCH("欠",V730)))</formula>
    </cfRule>
  </conditionalFormatting>
  <conditionalFormatting sqref="V731">
    <cfRule type="containsText" dxfId="1" priority="249" operator="between" text="欠">
      <formula>NOT(ISERROR(SEARCH("欠",V731)))</formula>
    </cfRule>
  </conditionalFormatting>
  <conditionalFormatting sqref="U732">
    <cfRule type="containsText" dxfId="1" priority="21" operator="between" text="欠">
      <formula>NOT(ISERROR(SEARCH("欠",U732)))</formula>
    </cfRule>
  </conditionalFormatting>
  <conditionalFormatting sqref="V732">
    <cfRule type="containsText" dxfId="1" priority="19" operator="between" text="欠">
      <formula>NOT(ISERROR(SEARCH("欠",V732)))</formula>
    </cfRule>
  </conditionalFormatting>
  <conditionalFormatting sqref="U733">
    <cfRule type="containsText" dxfId="1" priority="246" operator="between" text="欠">
      <formula>NOT(ISERROR(SEARCH("欠",U733)))</formula>
    </cfRule>
  </conditionalFormatting>
  <conditionalFormatting sqref="V733">
    <cfRule type="containsText" dxfId="1" priority="242" operator="between" text="欠">
      <formula>NOT(ISERROR(SEARCH("欠",V733)))</formula>
    </cfRule>
  </conditionalFormatting>
  <conditionalFormatting sqref="R734">
    <cfRule type="containsText" dxfId="1" priority="317" operator="between" text="欠">
      <formula>NOT(ISERROR(SEARCH("欠",R734)))</formula>
    </cfRule>
  </conditionalFormatting>
  <conditionalFormatting sqref="U734">
    <cfRule type="containsText" dxfId="1" priority="313" operator="between" text="欠">
      <formula>NOT(ISERROR(SEARCH("欠",U734)))</formula>
    </cfRule>
  </conditionalFormatting>
  <conditionalFormatting sqref="V734">
    <cfRule type="containsText" dxfId="1" priority="314" operator="between" text="欠">
      <formula>NOT(ISERROR(SEARCH("欠",V734)))</formula>
    </cfRule>
  </conditionalFormatting>
  <conditionalFormatting sqref="AD734">
    <cfRule type="containsText" dxfId="1" priority="128" operator="between" text="欠">
      <formula>NOT(ISERROR(SEARCH("欠",AD734)))</formula>
    </cfRule>
  </conditionalFormatting>
  <conditionalFormatting sqref="O735">
    <cfRule type="containsText" dxfId="1" priority="270" operator="between" text="欠">
      <formula>NOT(ISERROR(SEARCH("欠",O735)))</formula>
    </cfRule>
  </conditionalFormatting>
  <conditionalFormatting sqref="U735">
    <cfRule type="containsText" dxfId="1" priority="277" operator="between" text="欠">
      <formula>NOT(ISERROR(SEARCH("欠",U735)))</formula>
    </cfRule>
  </conditionalFormatting>
  <conditionalFormatting sqref="V735">
    <cfRule type="containsText" dxfId="1" priority="221" operator="between" text="欠">
      <formula>NOT(ISERROR(SEARCH("欠",V735)))</formula>
    </cfRule>
  </conditionalFormatting>
  <conditionalFormatting sqref="U736">
    <cfRule type="containsText" dxfId="1" priority="216" operator="between" text="欠">
      <formula>NOT(ISERROR(SEARCH("欠",U736)))</formula>
    </cfRule>
  </conditionalFormatting>
  <conditionalFormatting sqref="V736">
    <cfRule type="containsText" dxfId="1" priority="217" operator="between" text="欠">
      <formula>NOT(ISERROR(SEARCH("欠",V736)))</formula>
    </cfRule>
  </conditionalFormatting>
  <conditionalFormatting sqref="AD736">
    <cfRule type="containsText" dxfId="1" priority="127" operator="between" text="欠">
      <formula>NOT(ISERROR(SEARCH("欠",AD736)))</formula>
    </cfRule>
  </conditionalFormatting>
  <conditionalFormatting sqref="V737">
    <cfRule type="containsText" dxfId="1" priority="145" operator="between" text="欠">
      <formula>NOT(ISERROR(SEARCH("欠",V737)))</formula>
    </cfRule>
  </conditionalFormatting>
  <conditionalFormatting sqref="V738">
    <cfRule type="containsText" dxfId="1" priority="140" operator="between" text="欠">
      <formula>NOT(ISERROR(SEARCH("欠",V738)))</formula>
    </cfRule>
  </conditionalFormatting>
  <conditionalFormatting sqref="XEM738">
    <cfRule type="containsText" dxfId="1" priority="141" operator="between" text="欠">
      <formula>NOT(ISERROR(SEARCH("欠",XEM738)))</formula>
    </cfRule>
  </conditionalFormatting>
  <conditionalFormatting sqref="R739">
    <cfRule type="containsText" dxfId="1" priority="265" operator="between" text="欠">
      <formula>NOT(ISERROR(SEARCH("欠",R739)))</formula>
    </cfRule>
  </conditionalFormatting>
  <conditionalFormatting sqref="U739">
    <cfRule type="containsText" dxfId="1" priority="266" operator="between" text="欠">
      <formula>NOT(ISERROR(SEARCH("欠",U739)))</formula>
    </cfRule>
  </conditionalFormatting>
  <conditionalFormatting sqref="V739">
    <cfRule type="containsText" dxfId="1" priority="264" operator="between" text="欠">
      <formula>NOT(ISERROR(SEARCH("欠",V739)))</formula>
    </cfRule>
  </conditionalFormatting>
  <conditionalFormatting sqref="R740">
    <cfRule type="containsText" dxfId="1" priority="252" operator="between" text="欠">
      <formula>NOT(ISERROR(SEARCH("欠",R740)))</formula>
    </cfRule>
  </conditionalFormatting>
  <conditionalFormatting sqref="U740">
    <cfRule type="containsText" dxfId="1" priority="256" operator="between" text="欠">
      <formula>NOT(ISERROR(SEARCH("欠",U740)))</formula>
    </cfRule>
  </conditionalFormatting>
  <conditionalFormatting sqref="V740">
    <cfRule type="containsText" dxfId="1" priority="248" operator="between" text="欠">
      <formula>NOT(ISERROR(SEARCH("欠",V740)))</formula>
    </cfRule>
  </conditionalFormatting>
  <conditionalFormatting sqref="U743">
    <cfRule type="containsText" dxfId="1" priority="323" operator="between" text="欠">
      <formula>NOT(ISERROR(SEARCH("欠",U743)))</formula>
    </cfRule>
  </conditionalFormatting>
  <conditionalFormatting sqref="R746">
    <cfRule type="containsText" dxfId="1" priority="137" operator="between" text="欠">
      <formula>NOT(ISERROR(SEARCH("欠",R746)))</formula>
    </cfRule>
  </conditionalFormatting>
  <conditionalFormatting sqref="U746">
    <cfRule type="containsText" dxfId="1" priority="138" operator="between" text="欠">
      <formula>NOT(ISERROR(SEARCH("欠",U746)))</formula>
    </cfRule>
  </conditionalFormatting>
  <conditionalFormatting sqref="V746">
    <cfRule type="containsText" dxfId="1" priority="136" operator="between" text="欠">
      <formula>NOT(ISERROR(SEARCH("欠",V746)))</formula>
    </cfRule>
  </conditionalFormatting>
  <conditionalFormatting sqref="U747">
    <cfRule type="containsText" dxfId="1" priority="247" operator="between" text="欠">
      <formula>NOT(ISERROR(SEARCH("欠",U747)))</formula>
    </cfRule>
  </conditionalFormatting>
  <conditionalFormatting sqref="V747">
    <cfRule type="containsText" dxfId="1" priority="243" operator="between" text="欠">
      <formula>NOT(ISERROR(SEARCH("欠",V747)))</formula>
    </cfRule>
  </conditionalFormatting>
  <conditionalFormatting sqref="U748">
    <cfRule type="containsText" dxfId="1" priority="48" operator="between" text="欠">
      <formula>NOT(ISERROR(SEARCH("欠",U748)))</formula>
    </cfRule>
  </conditionalFormatting>
  <conditionalFormatting sqref="V748">
    <cfRule type="containsText" dxfId="1" priority="44" operator="between" text="欠">
      <formula>NOT(ISERROR(SEARCH("欠",V748)))</formula>
    </cfRule>
  </conditionalFormatting>
  <conditionalFormatting sqref="O749">
    <cfRule type="containsText" dxfId="1" priority="224" operator="between" text="欠">
      <formula>NOT(ISERROR(SEARCH("欠",O749)))</formula>
    </cfRule>
  </conditionalFormatting>
  <conditionalFormatting sqref="U749">
    <cfRule type="containsText" dxfId="1" priority="227" operator="between" text="欠">
      <formula>NOT(ISERROR(SEARCH("欠",U749)))</formula>
    </cfRule>
  </conditionalFormatting>
  <conditionalFormatting sqref="XFD749">
    <cfRule type="containsText" dxfId="1" priority="223" operator="between" text="欠">
      <formula>NOT(ISERROR(SEARCH("欠",XFD749)))</formula>
    </cfRule>
  </conditionalFormatting>
  <conditionalFormatting sqref="U750">
    <cfRule type="containsText" dxfId="1" priority="49" operator="between" text="欠">
      <formula>NOT(ISERROR(SEARCH("欠",U750)))</formula>
    </cfRule>
  </conditionalFormatting>
  <conditionalFormatting sqref="U751">
    <cfRule type="containsText" dxfId="1" priority="50" operator="between" text="欠">
      <formula>NOT(ISERROR(SEARCH("欠",U751)))</formula>
    </cfRule>
  </conditionalFormatting>
  <conditionalFormatting sqref="R752">
    <cfRule type="containsText" dxfId="1" priority="33" operator="between" text="欠">
      <formula>NOT(ISERROR(SEARCH("欠",R752)))</formula>
    </cfRule>
  </conditionalFormatting>
  <conditionalFormatting sqref="U752">
    <cfRule type="containsText" dxfId="1" priority="36" operator="between" text="欠">
      <formula>NOT(ISERROR(SEARCH("欠",U752)))</formula>
    </cfRule>
  </conditionalFormatting>
  <conditionalFormatting sqref="V752">
    <cfRule type="containsText" dxfId="1" priority="30" operator="between" text="欠">
      <formula>NOT(ISERROR(SEARCH("欠",V752)))</formula>
    </cfRule>
  </conditionalFormatting>
  <conditionalFormatting sqref="R753">
    <cfRule type="containsText" dxfId="1" priority="40" operator="between" text="欠">
      <formula>NOT(ISERROR(SEARCH("欠",R753)))</formula>
    </cfRule>
  </conditionalFormatting>
  <conditionalFormatting sqref="U753">
    <cfRule type="containsText" dxfId="1" priority="42" operator="between" text="欠">
      <formula>NOT(ISERROR(SEARCH("欠",U753)))</formula>
    </cfRule>
  </conditionalFormatting>
  <conditionalFormatting sqref="V753">
    <cfRule type="containsText" dxfId="1" priority="38" operator="between" text="欠">
      <formula>NOT(ISERROR(SEARCH("欠",V753)))</formula>
    </cfRule>
  </conditionalFormatting>
  <conditionalFormatting sqref="XFA753">
    <cfRule type="containsText" dxfId="1" priority="39" operator="between" text="欠">
      <formula>NOT(ISERROR(SEARCH("欠",XFA753)))</formula>
    </cfRule>
  </conditionalFormatting>
  <conditionalFormatting sqref="XFC753">
    <cfRule type="containsText" dxfId="1" priority="41" operator="between" text="欠">
      <formula>NOT(ISERROR(SEARCH("欠",XFC753)))</formula>
    </cfRule>
  </conditionalFormatting>
  <conditionalFormatting sqref="XFD753">
    <cfRule type="containsText" dxfId="1" priority="37" operator="between" text="欠">
      <formula>NOT(ISERROR(SEARCH("欠",XFD753)))</formula>
    </cfRule>
  </conditionalFormatting>
  <conditionalFormatting sqref="U754">
    <cfRule type="containsText" dxfId="1" priority="47" operator="between" text="欠">
      <formula>NOT(ISERROR(SEARCH("欠",U754)))</formula>
    </cfRule>
  </conditionalFormatting>
  <conditionalFormatting sqref="R755">
    <cfRule type="containsText" dxfId="1" priority="102" operator="between" text="欠">
      <formula>NOT(ISERROR(SEARCH("欠",R755)))</formula>
    </cfRule>
  </conditionalFormatting>
  <conditionalFormatting sqref="U755">
    <cfRule type="containsText" dxfId="1" priority="123" operator="between" text="欠">
      <formula>NOT(ISERROR(SEARCH("欠",U755)))</formula>
    </cfRule>
  </conditionalFormatting>
  <conditionalFormatting sqref="U757">
    <cfRule type="containsText" dxfId="1" priority="212" operator="between" text="欠">
      <formula>NOT(ISERROR(SEARCH("欠",U757)))</formula>
    </cfRule>
  </conditionalFormatting>
  <conditionalFormatting sqref="XEM759">
    <cfRule type="containsText" dxfId="1" priority="205" operator="between" text="欠">
      <formula>NOT(ISERROR(SEARCH("欠",XEM759)))</formula>
    </cfRule>
  </conditionalFormatting>
  <conditionalFormatting sqref="XDU760">
    <cfRule type="containsText" dxfId="1" priority="199" operator="between" text="欠">
      <formula>NOT(ISERROR(SEARCH("欠",XDU760)))</formula>
    </cfRule>
  </conditionalFormatting>
  <conditionalFormatting sqref="XEM760">
    <cfRule type="containsText" dxfId="1" priority="200" operator="between" text="欠">
      <formula>NOT(ISERROR(SEARCH("欠",XEM760)))</formula>
    </cfRule>
  </conditionalFormatting>
  <conditionalFormatting sqref="XDC761">
    <cfRule type="containsText" dxfId="1" priority="192" operator="between" text="欠">
      <formula>NOT(ISERROR(SEARCH("欠",XDC761)))</formula>
    </cfRule>
  </conditionalFormatting>
  <conditionalFormatting sqref="XDU761">
    <cfRule type="containsText" dxfId="1" priority="193" operator="between" text="欠">
      <formula>NOT(ISERROR(SEARCH("欠",XDU761)))</formula>
    </cfRule>
  </conditionalFormatting>
  <conditionalFormatting sqref="XEM761">
    <cfRule type="containsText" dxfId="1" priority="194" operator="between" text="欠">
      <formula>NOT(ISERROR(SEARCH("欠",XEM761)))</formula>
    </cfRule>
  </conditionalFormatting>
  <conditionalFormatting sqref="XCK762">
    <cfRule type="containsText" dxfId="1" priority="184" operator="between" text="欠">
      <formula>NOT(ISERROR(SEARCH("欠",XCK762)))</formula>
    </cfRule>
  </conditionalFormatting>
  <conditionalFormatting sqref="XDC762">
    <cfRule type="containsText" dxfId="1" priority="185" operator="between" text="欠">
      <formula>NOT(ISERROR(SEARCH("欠",XDC762)))</formula>
    </cfRule>
  </conditionalFormatting>
  <conditionalFormatting sqref="XDU762">
    <cfRule type="containsText" dxfId="1" priority="186" operator="between" text="欠">
      <formula>NOT(ISERROR(SEARCH("欠",XDU762)))</formula>
    </cfRule>
  </conditionalFormatting>
  <conditionalFormatting sqref="XEM762">
    <cfRule type="containsText" dxfId="1" priority="187" operator="between" text="欠">
      <formula>NOT(ISERROR(SEARCH("欠",XEM762)))</formula>
    </cfRule>
  </conditionalFormatting>
  <conditionalFormatting sqref="XBS763">
    <cfRule type="containsText" dxfId="1" priority="175" operator="between" text="欠">
      <formula>NOT(ISERROR(SEARCH("欠",XBS763)))</formula>
    </cfRule>
  </conditionalFormatting>
  <conditionalFormatting sqref="XCK763">
    <cfRule type="containsText" dxfId="1" priority="176" operator="between" text="欠">
      <formula>NOT(ISERROR(SEARCH("欠",XCK763)))</formula>
    </cfRule>
  </conditionalFormatting>
  <conditionalFormatting sqref="XDC763">
    <cfRule type="containsText" dxfId="1" priority="177" operator="between" text="欠">
      <formula>NOT(ISERROR(SEARCH("欠",XDC763)))</formula>
    </cfRule>
  </conditionalFormatting>
  <conditionalFormatting sqref="XDU763">
    <cfRule type="containsText" dxfId="1" priority="178" operator="between" text="欠">
      <formula>NOT(ISERROR(SEARCH("欠",XDU763)))</formula>
    </cfRule>
  </conditionalFormatting>
  <conditionalFormatting sqref="XEM763">
    <cfRule type="containsText" dxfId="1" priority="179" operator="between" text="欠">
      <formula>NOT(ISERROR(SEARCH("欠",XEM763)))</formula>
    </cfRule>
  </conditionalFormatting>
  <conditionalFormatting sqref="XBA764">
    <cfRule type="containsText" dxfId="1" priority="165" operator="between" text="欠">
      <formula>NOT(ISERROR(SEARCH("欠",XBA764)))</formula>
    </cfRule>
  </conditionalFormatting>
  <conditionalFormatting sqref="XBS764">
    <cfRule type="containsText" dxfId="1" priority="166" operator="between" text="欠">
      <formula>NOT(ISERROR(SEARCH("欠",XBS764)))</formula>
    </cfRule>
  </conditionalFormatting>
  <conditionalFormatting sqref="XCK764">
    <cfRule type="containsText" dxfId="1" priority="167" operator="between" text="欠">
      <formula>NOT(ISERROR(SEARCH("欠",XCK764)))</formula>
    </cfRule>
  </conditionalFormatting>
  <conditionalFormatting sqref="XDC764">
    <cfRule type="containsText" dxfId="1" priority="168" operator="between" text="欠">
      <formula>NOT(ISERROR(SEARCH("欠",XDC764)))</formula>
    </cfRule>
  </conditionalFormatting>
  <conditionalFormatting sqref="XDU764">
    <cfRule type="containsText" dxfId="1" priority="169" operator="between" text="欠">
      <formula>NOT(ISERROR(SEARCH("欠",XDU764)))</formula>
    </cfRule>
  </conditionalFormatting>
  <conditionalFormatting sqref="XEM764">
    <cfRule type="containsText" dxfId="1" priority="170" operator="between" text="欠">
      <formula>NOT(ISERROR(SEARCH("欠",XEM764)))</formula>
    </cfRule>
  </conditionalFormatting>
  <conditionalFormatting sqref="XAI765">
    <cfRule type="containsText" dxfId="1" priority="154" operator="between" text="欠">
      <formula>NOT(ISERROR(SEARCH("欠",XAI765)))</formula>
    </cfRule>
  </conditionalFormatting>
  <conditionalFormatting sqref="XBA765">
    <cfRule type="containsText" dxfId="1" priority="155" operator="between" text="欠">
      <formula>NOT(ISERROR(SEARCH("欠",XBA765)))</formula>
    </cfRule>
  </conditionalFormatting>
  <conditionalFormatting sqref="XBS765">
    <cfRule type="containsText" dxfId="1" priority="156" operator="between" text="欠">
      <formula>NOT(ISERROR(SEARCH("欠",XBS765)))</formula>
    </cfRule>
  </conditionalFormatting>
  <conditionalFormatting sqref="XCK765">
    <cfRule type="containsText" dxfId="1" priority="157" operator="between" text="欠">
      <formula>NOT(ISERROR(SEARCH("欠",XCK765)))</formula>
    </cfRule>
  </conditionalFormatting>
  <conditionalFormatting sqref="XDC765">
    <cfRule type="containsText" dxfId="1" priority="158" operator="between" text="欠">
      <formula>NOT(ISERROR(SEARCH("欠",XDC765)))</formula>
    </cfRule>
  </conditionalFormatting>
  <conditionalFormatting sqref="XDU765">
    <cfRule type="containsText" dxfId="1" priority="159" operator="between" text="欠">
      <formula>NOT(ISERROR(SEARCH("欠",XDU765)))</formula>
    </cfRule>
  </conditionalFormatting>
  <conditionalFormatting sqref="XEM765">
    <cfRule type="containsText" dxfId="1" priority="160" operator="between" text="欠">
      <formula>NOT(ISERROR(SEARCH("欠",XEM765)))</formula>
    </cfRule>
  </conditionalFormatting>
  <conditionalFormatting sqref="U787">
    <cfRule type="containsText" dxfId="1" priority="35" operator="between" text="欠">
      <formula>NOT(ISERROR(SEARCH("欠",U787)))</formula>
    </cfRule>
  </conditionalFormatting>
  <conditionalFormatting sqref="U788">
    <cfRule type="containsText" dxfId="1" priority="34" operator="between" text="欠">
      <formula>NOT(ISERROR(SEARCH("欠",U788)))</formula>
    </cfRule>
  </conditionalFormatting>
  <conditionalFormatting sqref="R797">
    <cfRule type="containsText" dxfId="1" priority="25" operator="between" text="欠">
      <formula>NOT(ISERROR(SEARCH("欠",R797)))</formula>
    </cfRule>
  </conditionalFormatting>
  <conditionalFormatting sqref="U797">
    <cfRule type="containsText" dxfId="1" priority="27" operator="between" text="欠">
      <formula>NOT(ISERROR(SEARCH("欠",U797)))</formula>
    </cfRule>
  </conditionalFormatting>
  <conditionalFormatting sqref="XFA797">
    <cfRule type="containsText" dxfId="1" priority="24" operator="between" text="欠">
      <formula>NOT(ISERROR(SEARCH("欠",XFA797)))</formula>
    </cfRule>
  </conditionalFormatting>
  <conditionalFormatting sqref="XFC797">
    <cfRule type="containsText" dxfId="1" priority="26" operator="between" text="欠">
      <formula>NOT(ISERROR(SEARCH("欠",XFC797)))</formula>
    </cfRule>
  </conditionalFormatting>
  <conditionalFormatting sqref="XFD797">
    <cfRule type="containsText" dxfId="1" priority="22" operator="between" text="欠">
      <formula>NOT(ISERROR(SEARCH("欠",XFD797)))</formula>
    </cfRule>
  </conditionalFormatting>
  <conditionalFormatting sqref="R798">
    <cfRule type="containsText" dxfId="1" priority="229" operator="between" text="欠">
      <formula>NOT(ISERROR(SEARCH("欠",R798)))</formula>
    </cfRule>
  </conditionalFormatting>
  <conditionalFormatting sqref="U798">
    <cfRule type="containsText" dxfId="1" priority="230" operator="between" text="欠">
      <formula>NOT(ISERROR(SEARCH("欠",U798)))</formula>
    </cfRule>
  </conditionalFormatting>
  <conditionalFormatting sqref="V798">
    <cfRule type="containsText" dxfId="1" priority="228" operator="between" text="欠">
      <formula>NOT(ISERROR(SEARCH("欠",V798)))</formula>
    </cfRule>
  </conditionalFormatting>
  <conditionalFormatting sqref="R799">
    <cfRule type="containsText" dxfId="1" priority="214" operator="between" text="欠">
      <formula>NOT(ISERROR(SEARCH("欠",R799)))</formula>
    </cfRule>
  </conditionalFormatting>
  <conditionalFormatting sqref="U799">
    <cfRule type="containsText" dxfId="1" priority="215" operator="between" text="欠">
      <formula>NOT(ISERROR(SEARCH("欠",U799)))</formula>
    </cfRule>
  </conditionalFormatting>
  <conditionalFormatting sqref="V799">
    <cfRule type="containsText" dxfId="1" priority="213" operator="between" text="欠">
      <formula>NOT(ISERROR(SEARCH("欠",V799)))</formula>
    </cfRule>
  </conditionalFormatting>
  <conditionalFormatting sqref="V860">
    <cfRule type="containsText" dxfId="1" priority="235" operator="between" text="欠">
      <formula>NOT(ISERROR(SEARCH("欠",V860)))</formula>
    </cfRule>
  </conditionalFormatting>
  <conditionalFormatting sqref="V861">
    <cfRule type="containsText" dxfId="1" priority="234" operator="between" text="欠">
      <formula>NOT(ISERROR(SEARCH("欠",V861)))</formula>
    </cfRule>
  </conditionalFormatting>
  <conditionalFormatting sqref="O$1:O$1048576">
    <cfRule type="containsText" dxfId="2" priority="3" operator="between" text="后延">
      <formula>NOT(ISERROR(SEARCH("后延",O1)))</formula>
    </cfRule>
  </conditionalFormatting>
  <conditionalFormatting sqref="Q$1:Q$1048576">
    <cfRule type="containsText" dxfId="3" priority="8" operator="between" text="出">
      <formula>NOT(ISERROR(SEARCH("出",Q1)))</formula>
    </cfRule>
  </conditionalFormatting>
  <conditionalFormatting sqref="Q599:Q600">
    <cfRule type="containsText" dxfId="1" priority="413" operator="between" text="欠">
      <formula>NOT(ISERROR(SEARCH("欠",Q599)))</formula>
    </cfRule>
  </conditionalFormatting>
  <conditionalFormatting sqref="R83:R84">
    <cfRule type="containsText" dxfId="1" priority="1197" operator="between" text="欠">
      <formula>NOT(ISERROR(SEARCH("欠",R83)))</formula>
    </cfRule>
  </conditionalFormatting>
  <conditionalFormatting sqref="R98:R101">
    <cfRule type="containsText" dxfId="1" priority="1138" operator="between" text="欠">
      <formula>NOT(ISERROR(SEARCH("欠",R98)))</formula>
    </cfRule>
  </conditionalFormatting>
  <conditionalFormatting sqref="R280:R284">
    <cfRule type="containsText" dxfId="1" priority="910" operator="between" text="欠">
      <formula>NOT(ISERROR(SEARCH("欠",R280)))</formula>
    </cfRule>
  </conditionalFormatting>
  <conditionalFormatting sqref="R285:R291">
    <cfRule type="containsText" dxfId="1" priority="889" operator="between" text="欠">
      <formula>NOT(ISERROR(SEARCH("欠",R285)))</formula>
    </cfRule>
  </conditionalFormatting>
  <conditionalFormatting sqref="R292:R300">
    <cfRule type="containsText" dxfId="1" priority="868" operator="between" text="欠">
      <formula>NOT(ISERROR(SEARCH("欠",R292)))</formula>
    </cfRule>
  </conditionalFormatting>
  <conditionalFormatting sqref="R301:R309">
    <cfRule type="containsText" dxfId="1" priority="859" operator="between" text="欠">
      <formula>NOT(ISERROR(SEARCH("欠",R301)))</formula>
    </cfRule>
  </conditionalFormatting>
  <conditionalFormatting sqref="R310:R323">
    <cfRule type="containsText" dxfId="1" priority="850" operator="between" text="欠">
      <formula>NOT(ISERROR(SEARCH("欠",R310)))</formula>
    </cfRule>
  </conditionalFormatting>
  <conditionalFormatting sqref="R326:R331">
    <cfRule type="containsText" dxfId="1" priority="955" operator="between" text="欠">
      <formula>NOT(ISERROR(SEARCH("欠",R326)))</formula>
    </cfRule>
  </conditionalFormatting>
  <conditionalFormatting sqref="R332:R338">
    <cfRule type="containsText" dxfId="1" priority="938" operator="between" text="欠">
      <formula>NOT(ISERROR(SEARCH("欠",R332)))</formula>
    </cfRule>
  </conditionalFormatting>
  <conditionalFormatting sqref="R339:R347">
    <cfRule type="containsText" dxfId="1" priority="922" operator="between" text="欠">
      <formula>NOT(ISERROR(SEARCH("欠",R339)))</formula>
    </cfRule>
  </conditionalFormatting>
  <conditionalFormatting sqref="R412:R413">
    <cfRule type="containsText" dxfId="1" priority="1060" operator="between" text="欠">
      <formula>NOT(ISERROR(SEARCH("欠",R412)))</formula>
    </cfRule>
  </conditionalFormatting>
  <conditionalFormatting sqref="R419:R422">
    <cfRule type="containsText" dxfId="1" priority="717" operator="between" text="欠">
      <formula>NOT(ISERROR(SEARCH("欠",R419)))</formula>
    </cfRule>
  </conditionalFormatting>
  <conditionalFormatting sqref="R425:R427">
    <cfRule type="containsText" dxfId="1" priority="693" operator="between" text="欠">
      <formula>NOT(ISERROR(SEARCH("欠",R425)))</formula>
    </cfRule>
  </conditionalFormatting>
  <conditionalFormatting sqref="R448:R458">
    <cfRule type="containsText" dxfId="1" priority="660" operator="between" text="欠">
      <formula>NOT(ISERROR(SEARCH("欠",R448)))</formula>
    </cfRule>
  </conditionalFormatting>
  <conditionalFormatting sqref="R482:R486">
    <cfRule type="containsText" dxfId="1" priority="650" operator="between" text="欠">
      <formula>NOT(ISERROR(SEARCH("欠",R482)))</formula>
    </cfRule>
  </conditionalFormatting>
  <conditionalFormatting sqref="R496:R499">
    <cfRule type="containsText" dxfId="1" priority="625" operator="between" text="欠">
      <formula>NOT(ISERROR(SEARCH("欠",R496)))</formula>
    </cfRule>
  </conditionalFormatting>
  <conditionalFormatting sqref="R536:R537">
    <cfRule type="containsText" dxfId="1" priority="578" operator="between" text="欠">
      <formula>NOT(ISERROR(SEARCH("欠",R536)))</formula>
    </cfRule>
  </conditionalFormatting>
  <conditionalFormatting sqref="R554:R558">
    <cfRule type="containsText" dxfId="1" priority="560" operator="between" text="欠">
      <formula>NOT(ISERROR(SEARCH("欠",R554)))</formula>
    </cfRule>
  </conditionalFormatting>
  <conditionalFormatting sqref="R564:R565">
    <cfRule type="containsText" dxfId="1" priority="535" operator="between" text="欠">
      <formula>NOT(ISERROR(SEARCH("欠",R564)))</formula>
    </cfRule>
  </conditionalFormatting>
  <conditionalFormatting sqref="R568:R572">
    <cfRule type="containsText" dxfId="1" priority="555" operator="between" text="欠">
      <formula>NOT(ISERROR(SEARCH("欠",R568)))</formula>
    </cfRule>
  </conditionalFormatting>
  <conditionalFormatting sqref="R587:R588">
    <cfRule type="containsText" dxfId="1" priority="525" operator="between" text="欠">
      <formula>NOT(ISERROR(SEARCH("欠",R587)))</formula>
    </cfRule>
  </conditionalFormatting>
  <conditionalFormatting sqref="R589:R597">
    <cfRule type="containsText" dxfId="1" priority="479" operator="between" text="欠">
      <formula>NOT(ISERROR(SEARCH("欠",R589)))</formula>
    </cfRule>
  </conditionalFormatting>
  <conditionalFormatting sqref="R612:R624">
    <cfRule type="containsText" dxfId="1" priority="426" operator="between" text="欠">
      <formula>NOT(ISERROR(SEARCH("欠",R612)))</formula>
    </cfRule>
  </conditionalFormatting>
  <conditionalFormatting sqref="R625:R626">
    <cfRule type="containsText" dxfId="1" priority="410" operator="between" text="欠">
      <formula>NOT(ISERROR(SEARCH("欠",R625)))</formula>
    </cfRule>
  </conditionalFormatting>
  <conditionalFormatting sqref="R662:R666">
    <cfRule type="containsText" dxfId="1" priority="384" operator="between" text="欠">
      <formula>NOT(ISERROR(SEARCH("欠",R662)))</formula>
    </cfRule>
  </conditionalFormatting>
  <conditionalFormatting sqref="R700:R701">
    <cfRule type="containsText" dxfId="1" priority="319" operator="between" text="欠">
      <formula>NOT(ISERROR(SEARCH("欠",R700)))</formula>
    </cfRule>
  </conditionalFormatting>
  <conditionalFormatting sqref="R705:R706">
    <cfRule type="containsText" dxfId="1" priority="309" operator="between" text="欠">
      <formula>NOT(ISERROR(SEARCH("欠",R705)))</formula>
    </cfRule>
  </conditionalFormatting>
  <conditionalFormatting sqref="R726:R727">
    <cfRule type="containsText" dxfId="1" priority="353" operator="between" text="欠">
      <formula>NOT(ISERROR(SEARCH("欠",R726)))</formula>
    </cfRule>
  </conditionalFormatting>
  <conditionalFormatting sqref="R729:R731">
    <cfRule type="containsText" dxfId="1" priority="255" operator="between" text="欠">
      <formula>NOT(ISERROR(SEARCH("欠",R729)))</formula>
    </cfRule>
  </conditionalFormatting>
  <conditionalFormatting sqref="R735:R736">
    <cfRule type="containsText" dxfId="1" priority="232" operator="between" text="欠">
      <formula>NOT(ISERROR(SEARCH("欠",R735)))</formula>
    </cfRule>
  </conditionalFormatting>
  <conditionalFormatting sqref="R737:R738">
    <cfRule type="containsText" dxfId="1" priority="147" operator="between" text="欠">
      <formula>NOT(ISERROR(SEARCH("欠",R737)))</formula>
    </cfRule>
  </conditionalFormatting>
  <conditionalFormatting sqref="R750:R751">
    <cfRule type="containsText" dxfId="1" priority="55" operator="between" text="欠">
      <formula>NOT(ISERROR(SEARCH("欠",R750)))</formula>
    </cfRule>
  </conditionalFormatting>
  <conditionalFormatting sqref="R757:R765">
    <cfRule type="containsText" dxfId="1" priority="211" operator="between" text="欠">
      <formula>NOT(ISERROR(SEARCH("欠",R757)))</formula>
    </cfRule>
  </conditionalFormatting>
  <conditionalFormatting sqref="R766:R785">
    <cfRule type="containsText" dxfId="1" priority="59" operator="between" text="欠">
      <formula>NOT(ISERROR(SEARCH("欠",R766)))</formula>
    </cfRule>
  </conditionalFormatting>
  <conditionalFormatting sqref="R788:R789">
    <cfRule type="containsText" dxfId="1" priority="32" operator="between" text="欠">
      <formula>NOT(ISERROR(SEARCH("欠",R788)))</formula>
    </cfRule>
  </conditionalFormatting>
  <conditionalFormatting sqref="R809:R811">
    <cfRule type="containsText" dxfId="1" priority="222" operator="between" text="欠">
      <formula>NOT(ISERROR(SEARCH("欠",R809)))</formula>
    </cfRule>
  </conditionalFormatting>
  <conditionalFormatting sqref="R863:R901">
    <cfRule type="containsText" dxfId="1" priority="125" operator="between" text="欠">
      <formula>NOT(ISERROR(SEARCH("欠",R863)))</formula>
    </cfRule>
  </conditionalFormatting>
  <conditionalFormatting sqref="T$1:T$1048576">
    <cfRule type="containsText" dxfId="2" priority="2" operator="between" text="欠">
      <formula>NOT(ISERROR(SEARCH("欠",T1)))</formula>
    </cfRule>
  </conditionalFormatting>
  <conditionalFormatting sqref="U76:U79">
    <cfRule type="containsText" dxfId="1" priority="1174" operator="between" text="欠">
      <formula>NOT(ISERROR(SEARCH("欠",U76)))</formula>
    </cfRule>
  </conditionalFormatting>
  <conditionalFormatting sqref="U83:U84">
    <cfRule type="containsText" dxfId="1" priority="1199" operator="between" text="欠">
      <formula>NOT(ISERROR(SEARCH("欠",U83)))</formula>
    </cfRule>
  </conditionalFormatting>
  <conditionalFormatting sqref="U232:U235">
    <cfRule type="containsText" dxfId="1" priority="1016" operator="between" text="欠">
      <formula>NOT(ISERROR(SEARCH("欠",U232)))</formula>
    </cfRule>
  </conditionalFormatting>
  <conditionalFormatting sqref="U259:U260">
    <cfRule type="containsText" dxfId="1" priority="998" operator="between" text="欠">
      <formula>NOT(ISERROR(SEARCH("欠",U259)))</formula>
    </cfRule>
  </conditionalFormatting>
  <conditionalFormatting sqref="U280:U284">
    <cfRule type="containsText" dxfId="1" priority="903" operator="between" text="欠">
      <formula>NOT(ISERROR(SEARCH("欠",U280)))</formula>
    </cfRule>
  </conditionalFormatting>
  <conditionalFormatting sqref="U285:U291">
    <cfRule type="containsText" dxfId="1" priority="882" operator="between" text="欠">
      <formula>NOT(ISERROR(SEARCH("欠",U285)))</formula>
    </cfRule>
  </conditionalFormatting>
  <conditionalFormatting sqref="U292:U300">
    <cfRule type="containsText" dxfId="1" priority="836" operator="between" text="欠">
      <formula>NOT(ISERROR(SEARCH("欠",U292)))</formula>
    </cfRule>
  </conditionalFormatting>
  <conditionalFormatting sqref="U301:U309">
    <cfRule type="containsText" dxfId="1" priority="827" operator="between" text="欠">
      <formula>NOT(ISERROR(SEARCH("欠",U301)))</formula>
    </cfRule>
  </conditionalFormatting>
  <conditionalFormatting sqref="U310:U323">
    <cfRule type="containsText" dxfId="1" priority="818" operator="between" text="欠">
      <formula>NOT(ISERROR(SEARCH("欠",U310)))</formula>
    </cfRule>
  </conditionalFormatting>
  <conditionalFormatting sqref="U326:U331">
    <cfRule type="containsText" dxfId="1" priority="963" operator="between" text="欠">
      <formula>NOT(ISERROR(SEARCH("欠",U326)))</formula>
    </cfRule>
  </conditionalFormatting>
  <conditionalFormatting sqref="U332:U338">
    <cfRule type="containsText" dxfId="1" priority="946" operator="between" text="欠">
      <formula>NOT(ISERROR(SEARCH("欠",U332)))</formula>
    </cfRule>
  </conditionalFormatting>
  <conditionalFormatting sqref="U339:U347">
    <cfRule type="containsText" dxfId="1" priority="931" operator="between" text="欠">
      <formula>NOT(ISERROR(SEARCH("欠",U339)))</formula>
    </cfRule>
  </conditionalFormatting>
  <conditionalFormatting sqref="U393:U394">
    <cfRule type="containsText" dxfId="1" priority="738" operator="between" text="欠">
      <formula>NOT(ISERROR(SEARCH("欠",U393)))</formula>
    </cfRule>
  </conditionalFormatting>
  <conditionalFormatting sqref="U419:U422">
    <cfRule type="containsText" dxfId="1" priority="672" operator="between" text="欠">
      <formula>NOT(ISERROR(SEARCH("欠",U419)))</formula>
    </cfRule>
  </conditionalFormatting>
  <conditionalFormatting sqref="U425:U427">
    <cfRule type="containsText" dxfId="1" priority="685" operator="between" text="欠">
      <formula>NOT(ISERROR(SEARCH("欠",U425)))</formula>
    </cfRule>
  </conditionalFormatting>
  <conditionalFormatting sqref="U434:U435">
    <cfRule type="containsText" dxfId="1" priority="669" operator="between" text="欠">
      <formula>NOT(ISERROR(SEARCH("欠",U434)))</formula>
    </cfRule>
  </conditionalFormatting>
  <conditionalFormatting sqref="U482:U483">
    <cfRule type="containsText" dxfId="1" priority="648" operator="between" text="欠">
      <formula>NOT(ISERROR(SEARCH("欠",U482)))</formula>
    </cfRule>
  </conditionalFormatting>
  <conditionalFormatting sqref="U488:U489">
    <cfRule type="containsText" dxfId="1" priority="639" operator="between" text="欠">
      <formula>NOT(ISERROR(SEARCH("欠",U488)))</formula>
    </cfRule>
  </conditionalFormatting>
  <conditionalFormatting sqref="U544:U546">
    <cfRule type="containsText" dxfId="1" priority="572" operator="between" text="欠">
      <formula>NOT(ISERROR(SEARCH("欠",U544)))</formula>
    </cfRule>
  </conditionalFormatting>
  <conditionalFormatting sqref="U554:U558">
    <cfRule type="containsText" dxfId="1" priority="562" operator="between" text="欠">
      <formula>NOT(ISERROR(SEARCH("欠",U554)))</formula>
    </cfRule>
  </conditionalFormatting>
  <conditionalFormatting sqref="U564:U565">
    <cfRule type="containsText" dxfId="1" priority="537" operator="between" text="欠">
      <formula>NOT(ISERROR(SEARCH("欠",U564)))</formula>
    </cfRule>
  </conditionalFormatting>
  <conditionalFormatting sqref="U568:U572">
    <cfRule type="containsText" dxfId="1" priority="543" operator="between" text="欠">
      <formula>NOT(ISERROR(SEARCH("欠",U568)))</formula>
    </cfRule>
  </conditionalFormatting>
  <conditionalFormatting sqref="U573:U576">
    <cfRule type="containsText" dxfId="1" priority="541" operator="between" text="欠">
      <formula>NOT(ISERROR(SEARCH("欠",U573)))</formula>
    </cfRule>
  </conditionalFormatting>
  <conditionalFormatting sqref="U582:U585">
    <cfRule type="containsText" dxfId="1" priority="504" operator="between" text="欠">
      <formula>NOT(ISERROR(SEARCH("欠",U582)))</formula>
    </cfRule>
  </conditionalFormatting>
  <conditionalFormatting sqref="U586:U588">
    <cfRule type="containsText" dxfId="1" priority="529" operator="between" text="欠">
      <formula>NOT(ISERROR(SEARCH("欠",U586)))</formula>
    </cfRule>
  </conditionalFormatting>
  <conditionalFormatting sqref="U589:U597">
    <cfRule type="containsText" dxfId="1" priority="488" operator="between" text="欠">
      <formula>NOT(ISERROR(SEARCH("欠",U589)))</formula>
    </cfRule>
  </conditionalFormatting>
  <conditionalFormatting sqref="U599:U603">
    <cfRule type="containsText" dxfId="1" priority="465" operator="between" text="欠">
      <formula>NOT(ISERROR(SEARCH("欠",U599)))</formula>
    </cfRule>
  </conditionalFormatting>
  <conditionalFormatting sqref="U612:U624">
    <cfRule type="containsText" dxfId="1" priority="439" operator="between" text="欠">
      <formula>NOT(ISERROR(SEARCH("欠",U612)))</formula>
    </cfRule>
  </conditionalFormatting>
  <conditionalFormatting sqref="U625:U626">
    <cfRule type="containsText" dxfId="1" priority="411" operator="between" text="欠">
      <formula>NOT(ISERROR(SEARCH("欠",U625)))</formula>
    </cfRule>
  </conditionalFormatting>
  <conditionalFormatting sqref="U654:U666">
    <cfRule type="containsText" dxfId="1" priority="386" operator="between" text="欠">
      <formula>NOT(ISERROR(SEARCH("欠",U654)))</formula>
    </cfRule>
  </conditionalFormatting>
  <conditionalFormatting sqref="U667:U668">
    <cfRule type="containsText" dxfId="1" priority="392" operator="between" text="欠">
      <formula>NOT(ISERROR(SEARCH("欠",U667)))</formula>
    </cfRule>
  </conditionalFormatting>
  <conditionalFormatting sqref="U705:U706">
    <cfRule type="containsText" dxfId="1" priority="312" operator="between" text="欠">
      <formula>NOT(ISERROR(SEARCH("欠",U705)))</formula>
    </cfRule>
  </conditionalFormatting>
  <conditionalFormatting sqref="U726:U727">
    <cfRule type="containsText" dxfId="1" priority="355" operator="between" text="欠">
      <formula>NOT(ISERROR(SEARCH("欠",U726)))</formula>
    </cfRule>
  </conditionalFormatting>
  <conditionalFormatting sqref="U728:U729">
    <cfRule type="containsText" dxfId="1" priority="279" operator="between" text="欠">
      <formula>NOT(ISERROR(SEARCH("欠",U728)))</formula>
    </cfRule>
  </conditionalFormatting>
  <conditionalFormatting sqref="U730:U731">
    <cfRule type="containsText" dxfId="1" priority="258" operator="between" text="欠">
      <formula>NOT(ISERROR(SEARCH("欠",U730)))</formula>
    </cfRule>
  </conditionalFormatting>
  <conditionalFormatting sqref="U737:U738">
    <cfRule type="containsText" dxfId="1" priority="148" operator="between" text="欠">
      <formula>NOT(ISERROR(SEARCH("欠",U737)))</formula>
    </cfRule>
  </conditionalFormatting>
  <conditionalFormatting sqref="U741:U742">
    <cfRule type="containsText" dxfId="1" priority="349" operator="between" text="欠">
      <formula>NOT(ISERROR(SEARCH("欠",U741)))</formula>
    </cfRule>
  </conditionalFormatting>
  <conditionalFormatting sqref="U758:U765">
    <cfRule type="containsText" dxfId="1" priority="150" operator="between" text="欠">
      <formula>NOT(ISERROR(SEARCH("欠",U758)))</formula>
    </cfRule>
  </conditionalFormatting>
  <conditionalFormatting sqref="U766:U785">
    <cfRule type="containsText" dxfId="1" priority="60" operator="between" text="欠">
      <formula>NOT(ISERROR(SEARCH("欠",U766)))</formula>
    </cfRule>
  </conditionalFormatting>
  <conditionalFormatting sqref="U809:U811">
    <cfRule type="containsText" dxfId="1" priority="220" operator="between" text="欠">
      <formula>NOT(ISERROR(SEARCH("欠",U809)))</formula>
    </cfRule>
  </conditionalFormatting>
  <conditionalFormatting sqref="U860:U901">
    <cfRule type="containsText" dxfId="1" priority="126" operator="between" text="欠">
      <formula>NOT(ISERROR(SEARCH("欠",U860)))</formula>
    </cfRule>
  </conditionalFormatting>
  <conditionalFormatting sqref="U860:U863">
    <cfRule type="containsText" dxfId="1" priority="241" operator="between" text="欠">
      <formula>NOT(ISERROR(SEARCH("欠",U860)))</formula>
    </cfRule>
  </conditionalFormatting>
  <conditionalFormatting sqref="V$1:V$1048576">
    <cfRule type="containsText" dxfId="2" priority="1" operator="between" text="欠">
      <formula>NOT(ISERROR(SEARCH("欠",V1)))</formula>
    </cfRule>
  </conditionalFormatting>
  <conditionalFormatting sqref="V8:V9">
    <cfRule type="containsText" dxfId="1" priority="1397" operator="between" text="欠">
      <formula>NOT(ISERROR(SEARCH("欠",V8)))</formula>
    </cfRule>
  </conditionalFormatting>
  <conditionalFormatting sqref="V35:V40">
    <cfRule type="containsText" dxfId="1" priority="1295" operator="between" text="欠">
      <formula>NOT(ISERROR(SEARCH("欠",V35)))</formula>
    </cfRule>
  </conditionalFormatting>
  <conditionalFormatting sqref="V46:V47">
    <cfRule type="containsText" dxfId="1" priority="1233" operator="between" text="欠">
      <formula>NOT(ISERROR(SEARCH("欠",V46)))</formula>
    </cfRule>
  </conditionalFormatting>
  <conditionalFormatting sqref="V76:V79">
    <cfRule type="containsText" dxfId="1" priority="1182" operator="between" text="欠">
      <formula>NOT(ISERROR(SEARCH("欠",V76)))</formula>
    </cfRule>
  </conditionalFormatting>
  <conditionalFormatting sqref="V83:V84">
    <cfRule type="containsText" dxfId="1" priority="1195" operator="between" text="欠">
      <formula>NOT(ISERROR(SEARCH("欠",V83)))</formula>
    </cfRule>
  </conditionalFormatting>
  <conditionalFormatting sqref="V131:V132">
    <cfRule type="containsText" dxfId="1" priority="1095" operator="between" text="欠">
      <formula>NOT(ISERROR(SEARCH("欠",V131)))</formula>
    </cfRule>
  </conditionalFormatting>
  <conditionalFormatting sqref="V217:V218">
    <cfRule type="containsText" dxfId="1" priority="1046" operator="between" text="欠">
      <formula>NOT(ISERROR(SEARCH("欠",V217)))</formula>
    </cfRule>
  </conditionalFormatting>
  <conditionalFormatting sqref="V259:V260">
    <cfRule type="containsText" dxfId="1" priority="999" operator="between" text="欠">
      <formula>NOT(ISERROR(SEARCH("欠",V259)))</formula>
    </cfRule>
  </conditionalFormatting>
  <conditionalFormatting sqref="V280:V291">
    <cfRule type="containsText" dxfId="1" priority="769" operator="between" text="欠">
      <formula>NOT(ISERROR(SEARCH("欠",V280)))</formula>
    </cfRule>
  </conditionalFormatting>
  <conditionalFormatting sqref="V292:V323">
    <cfRule type="containsText" dxfId="1" priority="768" operator="between" text="欠">
      <formula>NOT(ISERROR(SEARCH("欠",V292)))</formula>
    </cfRule>
  </conditionalFormatting>
  <conditionalFormatting sqref="V326:V347">
    <cfRule type="containsText" dxfId="1" priority="766" operator="between" text="欠">
      <formula>NOT(ISERROR(SEARCH("欠",V326)))</formula>
    </cfRule>
  </conditionalFormatting>
  <conditionalFormatting sqref="V348:V349">
    <cfRule type="containsText" dxfId="1" priority="911" operator="between" text="欠">
      <formula>NOT(ISERROR(SEARCH("欠",V348)))</formula>
    </cfRule>
  </conditionalFormatting>
  <conditionalFormatting sqref="V391:V392">
    <cfRule type="containsText" dxfId="1" priority="747" operator="between" text="欠">
      <formula>NOT(ISERROR(SEARCH("欠",V391)))</formula>
    </cfRule>
  </conditionalFormatting>
  <conditionalFormatting sqref="V396:V397">
    <cfRule type="containsText" dxfId="1" priority="725" operator="between" text="欠">
      <formula>NOT(ISERROR(SEARCH("欠",V396)))</formula>
    </cfRule>
  </conditionalFormatting>
  <conditionalFormatting sqref="V419:V422">
    <cfRule type="containsText" dxfId="1" priority="713" operator="between" text="欠">
      <formula>NOT(ISERROR(SEARCH("欠",V419)))</formula>
    </cfRule>
  </conditionalFormatting>
  <conditionalFormatting sqref="V425:V427">
    <cfRule type="containsText" dxfId="1" priority="689" operator="between" text="欠">
      <formula>NOT(ISERROR(SEARCH("欠",V425)))</formula>
    </cfRule>
  </conditionalFormatting>
  <conditionalFormatting sqref="V439:V445">
    <cfRule type="containsText" dxfId="1" priority="721" operator="between" text="欠">
      <formula>NOT(ISERROR(SEARCH("欠",V439)))</formula>
    </cfRule>
  </conditionalFormatting>
  <conditionalFormatting sqref="V482:V486">
    <cfRule type="containsText" dxfId="1" priority="649" operator="between" text="欠">
      <formula>NOT(ISERROR(SEARCH("欠",V482)))</formula>
    </cfRule>
  </conditionalFormatting>
  <conditionalFormatting sqref="V504:V505">
    <cfRule type="containsText" dxfId="1" priority="598" operator="between" text="欠">
      <formula>NOT(ISERROR(SEARCH("欠",V504)))</formula>
    </cfRule>
  </conditionalFormatting>
  <conditionalFormatting sqref="V513:V514">
    <cfRule type="containsText" dxfId="1" priority="619" operator="between" text="欠">
      <formula>NOT(ISERROR(SEARCH("欠",V513)))</formula>
    </cfRule>
  </conditionalFormatting>
  <conditionalFormatting sqref="V539:V540">
    <cfRule type="containsText" dxfId="1" priority="622" operator="between" text="欠">
      <formula>NOT(ISERROR(SEARCH("欠",V539)))</formula>
    </cfRule>
  </conditionalFormatting>
  <conditionalFormatting sqref="V544:V546">
    <cfRule type="containsText" dxfId="1" priority="573" operator="between" text="欠">
      <formula>NOT(ISERROR(SEARCH("欠",V544)))</formula>
    </cfRule>
  </conditionalFormatting>
  <conditionalFormatting sqref="V554:V558">
    <cfRule type="containsText" dxfId="1" priority="564" operator="between" text="欠">
      <formula>NOT(ISERROR(SEARCH("欠",V554)))</formula>
    </cfRule>
  </conditionalFormatting>
  <conditionalFormatting sqref="V564:V565">
    <cfRule type="containsText" dxfId="1" priority="512" operator="between" text="欠">
      <formula>NOT(ISERROR(SEARCH("欠",V564)))</formula>
    </cfRule>
  </conditionalFormatting>
  <conditionalFormatting sqref="V568:V572">
    <cfRule type="containsText" dxfId="1" priority="551" operator="between" text="欠">
      <formula>NOT(ISERROR(SEARCH("欠",V568)))</formula>
    </cfRule>
  </conditionalFormatting>
  <conditionalFormatting sqref="V573:V576">
    <cfRule type="containsText" dxfId="1" priority="542" operator="between" text="欠">
      <formula>NOT(ISERROR(SEARCH("欠",V573)))</formula>
    </cfRule>
  </conditionalFormatting>
  <conditionalFormatting sqref="V582:V585">
    <cfRule type="containsText" dxfId="1" priority="505" operator="between" text="欠">
      <formula>NOT(ISERROR(SEARCH("欠",V582)))</formula>
    </cfRule>
  </conditionalFormatting>
  <conditionalFormatting sqref="V587:V588">
    <cfRule type="containsText" dxfId="1" priority="513" operator="between" text="欠">
      <formula>NOT(ISERROR(SEARCH("欠",V587)))</formula>
    </cfRule>
  </conditionalFormatting>
  <conditionalFormatting sqref="V612:V624">
    <cfRule type="containsText" dxfId="1" priority="403" operator="between" text="欠">
      <formula>NOT(ISERROR(SEARCH("欠",V612)))</formula>
    </cfRule>
  </conditionalFormatting>
  <conditionalFormatting sqref="V625:V626">
    <cfRule type="containsText" dxfId="1" priority="412" operator="between" text="欠">
      <formula>NOT(ISERROR(SEARCH("欠",V625)))</formula>
    </cfRule>
  </conditionalFormatting>
  <conditionalFormatting sqref="V688:V694">
    <cfRule type="containsText" dxfId="1" priority="375" operator="between" text="欠">
      <formula>NOT(ISERROR(SEARCH("欠",V688)))</formula>
    </cfRule>
  </conditionalFormatting>
  <conditionalFormatting sqref="V726:V727">
    <cfRule type="containsText" dxfId="1" priority="351" operator="between" text="欠">
      <formula>NOT(ISERROR(SEARCH("欠",V726)))</formula>
    </cfRule>
  </conditionalFormatting>
  <conditionalFormatting sqref="V750:V751">
    <cfRule type="containsText" dxfId="1" priority="51" operator="between" text="欠">
      <formula>NOT(ISERROR(SEARCH("欠",V750)))</formula>
    </cfRule>
  </conditionalFormatting>
  <conditionalFormatting sqref="V757:V765">
    <cfRule type="containsText" dxfId="1" priority="139" operator="between" text="欠">
      <formula>NOT(ISERROR(SEARCH("欠",V757)))</formula>
    </cfRule>
  </conditionalFormatting>
  <conditionalFormatting sqref="V766:V785">
    <cfRule type="containsText" dxfId="1" priority="58" operator="between" text="欠">
      <formula>NOT(ISERROR(SEARCH("欠",V766)))</formula>
    </cfRule>
  </conditionalFormatting>
  <conditionalFormatting sqref="V789:V796">
    <cfRule type="containsText" dxfId="1" priority="9" operator="between" text="欠">
      <formula>NOT(ISERROR(SEARCH("欠",V789)))</formula>
    </cfRule>
  </conditionalFormatting>
  <conditionalFormatting sqref="V814:V839">
    <cfRule type="containsText" dxfId="1" priority="12" operator="between" text="欠">
      <formula>NOT(ISERROR(SEARCH("欠",V814)))</formula>
    </cfRule>
  </conditionalFormatting>
  <conditionalFormatting sqref="V862:V863">
    <cfRule type="containsText" dxfId="1" priority="233" operator="between" text="欠">
      <formula>NOT(ISERROR(SEARCH("欠",V862)))</formula>
    </cfRule>
  </conditionalFormatting>
  <conditionalFormatting sqref="V879:V883">
    <cfRule type="containsText" dxfId="1" priority="124" operator="between" text="欠">
      <formula>NOT(ISERROR(SEARCH("欠",V879)))</formula>
    </cfRule>
  </conditionalFormatting>
  <conditionalFormatting sqref="AD229:AD230">
    <cfRule type="containsText" dxfId="1" priority="989" operator="between" text="欠">
      <formula>NOT(ISERROR(SEARCH("欠",AD229)))</formula>
    </cfRule>
  </conditionalFormatting>
  <conditionalFormatting sqref="R50 R43 R8:R9 R16:R17">
    <cfRule type="containsText" dxfId="1" priority="1409" operator="between" text="欠">
      <formula>NOT(ISERROR(SEARCH("欠",R8)))</formula>
    </cfRule>
  </conditionalFormatting>
  <conditionalFormatting sqref="U8:U9 U17">
    <cfRule type="containsText" dxfId="1" priority="1407" operator="between" text="欠">
      <formula>NOT(ISERROR(SEARCH("欠",U8)))</formula>
    </cfRule>
  </conditionalFormatting>
  <conditionalFormatting sqref="U13:U15 U35:U40">
    <cfRule type="containsText" dxfId="1" priority="1211" operator="between" text="欠">
      <formula>NOT(ISERROR(SEARCH("欠",U13)))</formula>
    </cfRule>
  </conditionalFormatting>
  <conditionalFormatting sqref="R19:R25 R399:R408 R349:R350 R357 R264 R271 R276:R279 R122 R176:R177 R113 R29">
    <cfRule type="containsText" dxfId="1" priority="1423" operator="between" text="欠">
      <formula>NOT(ISERROR(SEARCH("欠",R19)))</formula>
    </cfRule>
  </conditionalFormatting>
  <conditionalFormatting sqref="U19:U25 U29">
    <cfRule type="containsText" dxfId="1" priority="1357" operator="between" text="欠">
      <formula>NOT(ISERROR(SEARCH("欠",U19)))</formula>
    </cfRule>
  </conditionalFormatting>
  <conditionalFormatting sqref="V20:V25 V29">
    <cfRule type="containsText" dxfId="1" priority="1302" operator="between" text="欠">
      <formula>NOT(ISERROR(SEARCH("欠",V20)))</formula>
    </cfRule>
  </conditionalFormatting>
  <conditionalFormatting sqref="R30 R60 R44 R33:R42 R75 R54 R26:R27 R46:R47">
    <cfRule type="containsText" dxfId="1" priority="1273" operator="between" text="欠">
      <formula>NOT(ISERROR(SEARCH("欠",R26)))</formula>
    </cfRule>
  </conditionalFormatting>
  <conditionalFormatting sqref="U26:U27 U41:U42">
    <cfRule type="containsText" dxfId="1" priority="1223" operator="between" text="欠">
      <formula>NOT(ISERROR(SEARCH("欠",U26)))</formula>
    </cfRule>
  </conditionalFormatting>
  <conditionalFormatting sqref="V26:V27 V41:V42">
    <cfRule type="containsText" dxfId="1" priority="1235" operator="between" text="欠">
      <formula>NOT(ISERROR(SEARCH("欠",V26)))</formula>
    </cfRule>
  </conditionalFormatting>
  <conditionalFormatting sqref="R31 R55:R58 R48 R45 R52:R53 R28">
    <cfRule type="containsText" dxfId="1" priority="1421" operator="between" text="欠">
      <formula>NOT(ISERROR(SEARCH("欠",R28)))</formula>
    </cfRule>
  </conditionalFormatting>
  <conditionalFormatting sqref="U33 U44 U47">
    <cfRule type="containsText" dxfId="1" priority="1257" operator="between" text="欠">
      <formula>NOT(ISERROR(SEARCH("欠",U33)))</formula>
    </cfRule>
  </conditionalFormatting>
  <conditionalFormatting sqref="V33 V44">
    <cfRule type="containsText" dxfId="1" priority="1232" operator="between" text="欠">
      <formula>NOT(ISERROR(SEARCH("欠",V33)))</formula>
    </cfRule>
  </conditionalFormatting>
  <conditionalFormatting sqref="U45 U48">
    <cfRule type="containsText" dxfId="1" priority="1348" operator="between" text="欠">
      <formula>NOT(ISERROR(SEARCH("欠",U45)))</formula>
    </cfRule>
  </conditionalFormatting>
  <conditionalFormatting sqref="V45 V48">
    <cfRule type="containsText" dxfId="1" priority="1294" operator="between" text="欠">
      <formula>NOT(ISERROR(SEARCH("欠",V45)))</formula>
    </cfRule>
  </conditionalFormatting>
  <conditionalFormatting sqref="R51 R210 R215 R107 R102:R103">
    <cfRule type="containsText" dxfId="1" priority="1269" operator="between" text="欠">
      <formula>NOT(ISERROR(SEARCH("欠",R51)))</formula>
    </cfRule>
  </conditionalFormatting>
  <conditionalFormatting sqref="U51 U102:U103 U106:U107 U210 U212:U217 U222:U224">
    <cfRule type="containsText" dxfId="1" priority="1253" operator="between" text="欠">
      <formula>NOT(ISERROR(SEARCH("欠",U51)))</formula>
    </cfRule>
  </conditionalFormatting>
  <conditionalFormatting sqref="V51 V210 V212 V215 V220:V225 V228 V236 V253:V256 V262 V363:V364 V368">
    <cfRule type="containsText" dxfId="1" priority="1228" operator="between" text="欠">
      <formula>NOT(ISERROR(SEARCH("欠",V51)))</formula>
    </cfRule>
  </conditionalFormatting>
  <conditionalFormatting sqref="U52 U55:U58">
    <cfRule type="containsText" dxfId="1" priority="1345" operator="between" text="欠">
      <formula>NOT(ISERROR(SEARCH("欠",U52)))</formula>
    </cfRule>
  </conditionalFormatting>
  <conditionalFormatting sqref="V52 V55:V58">
    <cfRule type="containsText" dxfId="1" priority="1291" operator="between" text="欠">
      <formula>NOT(ISERROR(SEARCH("欠",V52)))</formula>
    </cfRule>
  </conditionalFormatting>
  <conditionalFormatting sqref="V54 V60">
    <cfRule type="containsText" dxfId="1" priority="1225" operator="between" text="欠">
      <formula>NOT(ISERROR(SEARCH("欠",V54)))</formula>
    </cfRule>
  </conditionalFormatting>
  <conditionalFormatting sqref="R61:R70 R76:R79 R59">
    <cfRule type="containsText" dxfId="1" priority="1279" operator="between" text="欠">
      <formula>NOT(ISERROR(SEARCH("欠",R59)))</formula>
    </cfRule>
  </conditionalFormatting>
  <conditionalFormatting sqref="U59 U61:U70">
    <cfRule type="containsText" dxfId="1" priority="1275" operator="between" text="欠">
      <formula>NOT(ISERROR(SEARCH("欠",U59)))</formula>
    </cfRule>
  </conditionalFormatting>
  <conditionalFormatting sqref="V59 V61:V70">
    <cfRule type="containsText" dxfId="1" priority="1277" operator="between" text="欠">
      <formula>NOT(ISERROR(SEARCH("欠",V59)))</formula>
    </cfRule>
  </conditionalFormatting>
  <conditionalFormatting sqref="R80:U80 R82:U82 S83:T84 R89:U90 S102:T103 R104:U104 R105 S107:T107 R110">
    <cfRule type="containsText" dxfId="1" priority="1411" operator="between" text="欠">
      <formula>NOT(ISERROR(SEARCH("欠",R80)))</formula>
    </cfRule>
  </conditionalFormatting>
  <conditionalFormatting sqref="R86:U88 R92:U92">
    <cfRule type="containsText" dxfId="1" priority="1159" operator="between" text="欠">
      <formula>NOT(ISERROR(SEARCH("欠",R86)))</formula>
    </cfRule>
  </conditionalFormatting>
  <conditionalFormatting sqref="R93:U93 R94:R97 U146:U147">
    <cfRule type="containsText" dxfId="1" priority="1155" operator="between" text="欠">
      <formula>NOT(ISERROR(SEARCH("欠",R93)))</formula>
    </cfRule>
  </conditionalFormatting>
  <conditionalFormatting sqref="S94:U94 U95:U97">
    <cfRule type="containsText" dxfId="1" priority="1150" operator="between" text="欠">
      <formula>NOT(ISERROR(SEARCH("欠",S94)))</formula>
    </cfRule>
  </conditionalFormatting>
  <conditionalFormatting sqref="S97:T97 S98:U101">
    <cfRule type="containsText" dxfId="1" priority="1141" operator="between" text="欠">
      <formula>NOT(ISERROR(SEARCH("欠",S97)))</formula>
    </cfRule>
  </conditionalFormatting>
  <conditionalFormatting sqref="S105:U105 S106:T106 S110:U110">
    <cfRule type="containsText" dxfId="1" priority="1201" operator="between" text="欠">
      <formula>NOT(ISERROR(SEARCH("欠",S105)))</formula>
    </cfRule>
  </conditionalFormatting>
  <conditionalFormatting sqref="R108:U109 R120:U121 R124:U126 R127:R132 U127:U132 R133:U138 R140:U145 R146:T147 R148:U148 S149:T149 R150:U150 S151:T151 R153:U153 R159:U159">
    <cfRule type="containsText" dxfId="1" priority="1139" operator="between" text="欠">
      <formula>NOT(ISERROR(SEARCH("欠",R108)))</formula>
    </cfRule>
  </conditionalFormatting>
  <conditionalFormatting sqref="U113 U122 U176:U179 U187 U202 U219 U264:U265 U267 U271 U276:U279 U349:U351 U353:U354 U399:U400 U402:U408">
    <cfRule type="containsText" dxfId="1" priority="1359" operator="between" text="欠">
      <formula>NOT(ISERROR(SEARCH("欠",U113)))</formula>
    </cfRule>
  </conditionalFormatting>
  <conditionalFormatting sqref="R114:U119 U149 U151">
    <cfRule type="containsText" dxfId="1" priority="1097" operator="between" text="欠">
      <formula>NOT(ISERROR(SEARCH("欠",R114)))</formula>
    </cfRule>
  </conditionalFormatting>
  <conditionalFormatting sqref="V122 V176:V179 V182 V202 V219 V264:V265 V267 V269 V271:V273 V276:V279 V350:V352 V355:V356 V362 V395">
    <cfRule type="containsText" dxfId="1" priority="1304" operator="between" text="欠">
      <formula>NOT(ISERROR(SEARCH("欠",V122)))</formula>
    </cfRule>
  </conditionalFormatting>
  <conditionalFormatting sqref="S130:T132">
    <cfRule type="containsText" dxfId="1" priority="1113" operator="between" text="欠">
      <formula>NOT(ISERROR(SEARCH("欠",S130)))</formula>
    </cfRule>
  </conditionalFormatting>
  <conditionalFormatting sqref="R149 R151">
    <cfRule type="containsText" dxfId="1" priority="1079" operator="between" text="欠">
      <formula>NOT(ISERROR(SEARCH("欠",R149)))</formula>
    </cfRule>
  </conditionalFormatting>
  <conditionalFormatting sqref="R166:R169 R211 R219 R258 R187 R240 R173:R174 R182 R154 R156:R158 R152">
    <cfRule type="containsText" dxfId="1" priority="1069" operator="between" text="欠">
      <formula>NOT(ISERROR(SEARCH("欠",R152)))</formula>
    </cfRule>
  </conditionalFormatting>
  <conditionalFormatting sqref="S152:T152 S154:T154 S211:T211">
    <cfRule type="containsText" dxfId="1" priority="1071" operator="between" text="欠">
      <formula>NOT(ISERROR(SEARCH("欠",S152)))</formula>
    </cfRule>
  </conditionalFormatting>
  <conditionalFormatting sqref="U152 U154 U211">
    <cfRule type="containsText" dxfId="1" priority="1073" operator="between" text="欠">
      <formula>NOT(ISERROR(SEARCH("欠",U152)))</formula>
    </cfRule>
  </conditionalFormatting>
  <conditionalFormatting sqref="S166:S169 R368 T363:T364 R363:R364 T228 T225 R236 R220:R221 T236 R203:T209 S187 R188:T201 R183:T186 T253:T256 R255 S258 R175:T175 S240:T240 R170:T172 T220:T221 R155:S155 S156:S158 T262 R160:S165 R180:T181 S173:T174">
    <cfRule type="containsText" dxfId="1" priority="1081" operator="between" text="欠">
      <formula>NOT(ISERROR(SEARCH("欠",R155)))</formula>
    </cfRule>
  </conditionalFormatting>
  <conditionalFormatting sqref="U155:U158 U160:U169 U258">
    <cfRule type="containsText" dxfId="1" priority="1068" operator="between" text="欠">
      <formula>NOT(ISERROR(SEARCH("欠",U155)))</formula>
    </cfRule>
  </conditionalFormatting>
  <conditionalFormatting sqref="V155:V158 V160:V171 V175 V183:V201 V203:V209 V258">
    <cfRule type="containsText" dxfId="1" priority="1077" operator="between" text="欠">
      <formula>NOT(ISERROR(SEARCH("欠",V155)))</formula>
    </cfRule>
  </conditionalFormatting>
  <conditionalFormatting sqref="AD172 AD180:AD181">
    <cfRule type="containsText" dxfId="1" priority="1050" operator="between" text="欠">
      <formula>NOT(ISERROR(SEARCH("欠",AD172)))</formula>
    </cfRule>
  </conditionalFormatting>
  <conditionalFormatting sqref="O211 O215">
    <cfRule type="containsText" dxfId="1" priority="1052" operator="between" text="欠">
      <formula>NOT(ISERROR(SEARCH("欠",O211)))</formula>
    </cfRule>
  </conditionalFormatting>
  <conditionalFormatting sqref="R216:R218 R222:R224 R212:R214">
    <cfRule type="containsText" dxfId="1" priority="1064" operator="between" text="欠">
      <formula>NOT(ISERROR(SEARCH("欠",R212)))</formula>
    </cfRule>
  </conditionalFormatting>
  <conditionalFormatting sqref="V213:V214 V216">
    <cfRule type="containsText" dxfId="1" priority="1051" operator="between" text="欠">
      <formula>NOT(ISERROR(SEARCH("欠",V213)))</formula>
    </cfRule>
  </conditionalFormatting>
  <conditionalFormatting sqref="R226 R270">
    <cfRule type="containsText" dxfId="1" priority="1039" operator="between" text="欠">
      <formula>NOT(ISERROR(SEARCH("欠",R226)))</formula>
    </cfRule>
  </conditionalFormatting>
  <conditionalFormatting sqref="U226:U227 U270">
    <cfRule type="containsText" dxfId="1" priority="1040" operator="between" text="欠">
      <formula>NOT(ISERROR(SEARCH("欠",U226)))</formula>
    </cfRule>
  </conditionalFormatting>
  <conditionalFormatting sqref="V226 V270">
    <cfRule type="containsText" dxfId="1" priority="1041" operator="between" text="欠">
      <formula>NOT(ISERROR(SEARCH("欠",V226)))</formula>
    </cfRule>
  </conditionalFormatting>
  <conditionalFormatting sqref="R232:R235 R238:R239">
    <cfRule type="containsText" dxfId="1" priority="1002" operator="between" text="欠">
      <formula>NOT(ISERROR(SEARCH("欠",R232)))</formula>
    </cfRule>
  </conditionalFormatting>
  <conditionalFormatting sqref="U239 U241:U252">
    <cfRule type="containsText" dxfId="1" priority="1030" operator="between" text="欠">
      <formula>NOT(ISERROR(SEARCH("欠",U239)))</formula>
    </cfRule>
  </conditionalFormatting>
  <conditionalFormatting sqref="V239 V241:V252">
    <cfRule type="containsText" dxfId="1" priority="1032" operator="between" text="欠">
      <formula>NOT(ISERROR(SEARCH("欠",V239)))</formula>
    </cfRule>
  </conditionalFormatting>
  <conditionalFormatting sqref="R241:R254 R262 R265 R256:R257">
    <cfRule type="containsText" dxfId="1" priority="1031" operator="between" text="欠">
      <formula>NOT(ISERROR(SEARCH("欠",R241)))</formula>
    </cfRule>
  </conditionalFormatting>
  <conditionalFormatting sqref="R259:R260 R267">
    <cfRule type="containsText" dxfId="1" priority="997" operator="between" text="欠">
      <formula>NOT(ISERROR(SEARCH("欠",R259)))</formula>
    </cfRule>
  </conditionalFormatting>
  <conditionalFormatting sqref="U263 U269 U272:U273 U325 U352">
    <cfRule type="containsText" dxfId="1" priority="1006" operator="between" text="欠">
      <formula>NOT(ISERROR(SEARCH("欠",U263)))</formula>
    </cfRule>
  </conditionalFormatting>
  <conditionalFormatting sqref="O269 O273">
    <cfRule type="containsText" dxfId="1" priority="982" operator="between" text="欠">
      <formula>NOT(ISERROR(SEARCH("欠",O269)))</formula>
    </cfRule>
  </conditionalFormatting>
  <conditionalFormatting sqref="R272:R273 R351:R352 R325 R269">
    <cfRule type="containsText" dxfId="1" priority="1000" operator="between" text="欠">
      <formula>NOT(ISERROR(SEARCH("欠",R269)))</formula>
    </cfRule>
  </conditionalFormatting>
  <conditionalFormatting sqref="V274 V353">
    <cfRule type="containsText" dxfId="1" priority="983" operator="between" text="欠">
      <formula>NOT(ISERROR(SEARCH("欠",V274)))</formula>
    </cfRule>
  </conditionalFormatting>
  <conditionalFormatting sqref="R275 R353">
    <cfRule type="containsText" dxfId="1" priority="973" operator="between" text="欠">
      <formula>NOT(ISERROR(SEARCH("欠",R275)))</formula>
    </cfRule>
  </conditionalFormatting>
  <conditionalFormatting sqref="U324 U358:U361 U370:U383 U412:U413">
    <cfRule type="containsText" dxfId="1" priority="1419" operator="between" text="欠">
      <formula>NOT(ISERROR(SEARCH("欠",U324)))</formula>
    </cfRule>
  </conditionalFormatting>
  <conditionalFormatting sqref="R354 R370:R383 R358:R361">
    <cfRule type="containsText" dxfId="1" priority="1062" operator="between" text="欠">
      <formula>NOT(ISERROR(SEARCH("欠",R354)))</formula>
    </cfRule>
  </conditionalFormatting>
  <conditionalFormatting sqref="S355:U355 U356 U362 U368">
    <cfRule type="containsText" dxfId="1" priority="965" operator="between" text="欠">
      <formula>NOT(ISERROR(SEARCH("欠",S355)))</formula>
    </cfRule>
  </conditionalFormatting>
  <conditionalFormatting sqref="R356 R362">
    <cfRule type="containsText" dxfId="1" priority="966" operator="between" text="欠">
      <formula>NOT(ISERROR(SEARCH("欠",R356)))</formula>
    </cfRule>
  </conditionalFormatting>
  <conditionalFormatting sqref="S356:T356 S362:T362 S395:T395">
    <cfRule type="containsText" dxfId="1" priority="967" operator="between" text="欠">
      <formula>NOT(ISERROR(SEARCH("欠",S356)))</formula>
    </cfRule>
  </conditionalFormatting>
  <conditionalFormatting sqref="R366 R395">
    <cfRule type="containsText" dxfId="1" priority="765" operator="between" text="欠">
      <formula>NOT(ISERROR(SEARCH("欠",R366)))</formula>
    </cfRule>
  </conditionalFormatting>
  <conditionalFormatting sqref="S366:U366 S369:U369">
    <cfRule type="containsText" dxfId="1" priority="771" operator="between" text="欠">
      <formula>NOT(ISERROR(SEARCH("欠",S366)))</formula>
    </cfRule>
  </conditionalFormatting>
  <conditionalFormatting sqref="V366 V369">
    <cfRule type="containsText" dxfId="1" priority="772" operator="between" text="欠">
      <formula>NOT(ISERROR(SEARCH("欠",V366)))</formula>
    </cfRule>
  </conditionalFormatting>
  <conditionalFormatting sqref="R384 R387 R369">
    <cfRule type="containsText" dxfId="1" priority="745" operator="between" text="欠">
      <formula>NOT(ISERROR(SEARCH("欠",R369)))</formula>
    </cfRule>
  </conditionalFormatting>
  <conditionalFormatting sqref="U384 U387:U388 U396:U397 U430:U431 U433 U436:U473 U475 U487 U511 U516 U526 U531:U532 U542 U559:U561 U606:U610 U627:U633 U686:U687">
    <cfRule type="containsText" dxfId="1" priority="723" operator="between" text="欠">
      <formula>NOT(ISERROR(SEARCH("欠",U384)))</formula>
    </cfRule>
  </conditionalFormatting>
  <conditionalFormatting sqref="V384 V387:V388">
    <cfRule type="containsText" dxfId="1" priority="724" operator="between" text="欠">
      <formula>NOT(ISERROR(SEARCH("欠",V384)))</formula>
    </cfRule>
  </conditionalFormatting>
  <conditionalFormatting sqref="R385:R386 U385:U386 R389 U389">
    <cfRule type="containsText" dxfId="1" priority="758" operator="between" text="欠">
      <formula>NOT(ISERROR(SEARCH("欠",R385)))</formula>
    </cfRule>
  </conditionalFormatting>
  <conditionalFormatting sqref="V385:V386 V389">
    <cfRule type="containsText" dxfId="1" priority="759" operator="between" text="欠">
      <formula>NOT(ISERROR(SEARCH("欠",V385)))</formula>
    </cfRule>
  </conditionalFormatting>
  <conditionalFormatting sqref="R415:R416 R541 R531:R532 R516 R538 R511 R396:R398 R418 R390 R487 R459:R473 R430:R446 R388">
    <cfRule type="containsText" dxfId="1" priority="743" operator="between" text="欠">
      <formula>NOT(ISERROR(SEARCH("欠",R388)))</formula>
    </cfRule>
  </conditionalFormatting>
  <conditionalFormatting sqref="R391:R392 U391:U392">
    <cfRule type="containsText" dxfId="1" priority="746" operator="between" text="欠">
      <formula>NOT(ISERROR(SEARCH("欠",R391)))</formula>
    </cfRule>
  </conditionalFormatting>
  <conditionalFormatting sqref="R393:R394 R447">
    <cfRule type="containsText" dxfId="1" priority="739" operator="between" text="欠">
      <formula>NOT(ISERROR(SEARCH("欠",R393)))</formula>
    </cfRule>
  </conditionalFormatting>
  <conditionalFormatting sqref="U398 U428">
    <cfRule type="containsText" dxfId="1" priority="744" operator="between" text="欠">
      <formula>NOT(ISERROR(SEARCH("欠",U398)))</formula>
    </cfRule>
  </conditionalFormatting>
  <conditionalFormatting sqref="R409:R411 R414">
    <cfRule type="containsText" dxfId="1" priority="752" operator="between" text="欠">
      <formula>NOT(ISERROR(SEARCH("欠",R409)))</formula>
    </cfRule>
  </conditionalFormatting>
  <conditionalFormatting sqref="S409:T411 S414:T414">
    <cfRule type="containsText" dxfId="1" priority="753" operator="between" text="欠">
      <formula>NOT(ISERROR(SEARCH("欠",S409)))</formula>
    </cfRule>
  </conditionalFormatting>
  <conditionalFormatting sqref="U409:U411 U414">
    <cfRule type="containsText" dxfId="1" priority="751" operator="between" text="欠">
      <formula>NOT(ISERROR(SEARCH("欠",U409)))</formula>
    </cfRule>
  </conditionalFormatting>
  <conditionalFormatting sqref="V409:V411 V414">
    <cfRule type="containsText" dxfId="1" priority="754" operator="between" text="欠">
      <formula>NOT(ISERROR(SEARCH("欠",V409)))</formula>
    </cfRule>
  </conditionalFormatting>
  <conditionalFormatting sqref="U415:U416 U418">
    <cfRule type="containsText" dxfId="1" priority="722" operator="between" text="欠">
      <formula>NOT(ISERROR(SEARCH("欠",U415)))</formula>
    </cfRule>
  </conditionalFormatting>
  <conditionalFormatting sqref="V415:V416 V418 V430:V431 V433 V436:V438 V446 V448:V473 V475 V487 V511 V516 V526 V531:V532 V542 V559:V561 V607:V611 V627:V633 V686:V687">
    <cfRule type="containsText" dxfId="1" priority="726" operator="between" text="欠">
      <formula>NOT(ISERROR(SEARCH("欠",V415)))</formula>
    </cfRule>
  </conditionalFormatting>
  <conditionalFormatting sqref="V432 V435">
    <cfRule type="containsText" dxfId="1" priority="667" operator="between" text="欠">
      <formula>NOT(ISERROR(SEARCH("欠",V432)))</formula>
    </cfRule>
  </conditionalFormatting>
  <conditionalFormatting sqref="R476:R481 R474">
    <cfRule type="containsText" dxfId="1" priority="655" operator="between" text="欠">
      <formula>NOT(ISERROR(SEARCH("欠",R474)))</formula>
    </cfRule>
  </conditionalFormatting>
  <conditionalFormatting sqref="V474 V476:V481">
    <cfRule type="containsText" dxfId="1" priority="654" operator="between" text="欠">
      <formula>NOT(ISERROR(SEARCH("欠",V474)))</formula>
    </cfRule>
  </conditionalFormatting>
  <conditionalFormatting sqref="U476:U481 U484:U486">
    <cfRule type="containsText" dxfId="1" priority="652" operator="between" text="欠">
      <formula>NOT(ISERROR(SEARCH("欠",U476)))</formula>
    </cfRule>
  </conditionalFormatting>
  <conditionalFormatting sqref="R488:R489 R504:R506">
    <cfRule type="containsText" dxfId="1" priority="641" operator="between" text="欠">
      <formula>NOT(ISERROR(SEARCH("欠",R488)))</formula>
    </cfRule>
  </conditionalFormatting>
  <conditionalFormatting sqref="V488:V489 V506 V509:V510">
    <cfRule type="containsText" dxfId="1" priority="640" operator="between" text="欠">
      <formula>NOT(ISERROR(SEARCH("欠",V488)))</formula>
    </cfRule>
  </conditionalFormatting>
  <conditionalFormatting sqref="R490:R492 R549 R494">
    <cfRule type="containsText" dxfId="1" priority="635" operator="between" text="欠">
      <formula>NOT(ISERROR(SEARCH("欠",R490)))</formula>
    </cfRule>
  </conditionalFormatting>
  <conditionalFormatting sqref="U490:U492 U496:U500 U515 U549 U551:U552">
    <cfRule type="containsText" dxfId="1" priority="636" operator="between" text="欠">
      <formula>NOT(ISERROR(SEARCH("欠",U490)))</formula>
    </cfRule>
  </conditionalFormatting>
  <conditionalFormatting sqref="V490:V492 V496:V500 V549 V551:V552">
    <cfRule type="containsText" dxfId="1" priority="637" operator="between" text="欠">
      <formula>NOT(ISERROR(SEARCH("欠",V490)))</formula>
    </cfRule>
  </conditionalFormatting>
  <conditionalFormatting sqref="R493 R501 R495">
    <cfRule type="containsText" dxfId="1" priority="627" operator="between" text="欠">
      <formula>NOT(ISERROR(SEARCH("欠",R493)))</formula>
    </cfRule>
  </conditionalFormatting>
  <conditionalFormatting sqref="U493 U495 U501">
    <cfRule type="containsText" dxfId="1" priority="628" operator="between" text="欠">
      <formula>NOT(ISERROR(SEARCH("欠",U493)))</formula>
    </cfRule>
  </conditionalFormatting>
  <conditionalFormatting sqref="V493 V495 V501">
    <cfRule type="containsText" dxfId="1" priority="629" operator="between" text="欠">
      <formula>NOT(ISERROR(SEARCH("欠",V493)))</formula>
    </cfRule>
  </conditionalFormatting>
  <conditionalFormatting sqref="R510 R507:R508 R502">
    <cfRule type="containsText" dxfId="1" priority="647" operator="between" text="欠">
      <formula>NOT(ISERROR(SEARCH("欠",R502)))</formula>
    </cfRule>
  </conditionalFormatting>
  <conditionalFormatting sqref="U502 U504:U510">
    <cfRule type="containsText" dxfId="1" priority="645" operator="between" text="欠">
      <formula>NOT(ISERROR(SEARCH("欠",U502)))</formula>
    </cfRule>
  </conditionalFormatting>
  <conditionalFormatting sqref="V502 V508">
    <cfRule type="containsText" dxfId="1" priority="643" operator="between" text="欠">
      <formula>NOT(ISERROR(SEARCH("欠",V502)))</formula>
    </cfRule>
  </conditionalFormatting>
  <conditionalFormatting sqref="R513:R514 R539:R540">
    <cfRule type="containsText" dxfId="1" priority="617" operator="between" text="欠">
      <formula>NOT(ISERROR(SEARCH("欠",R513)))</formula>
    </cfRule>
  </conditionalFormatting>
  <conditionalFormatting sqref="U513:U514 U539:U540">
    <cfRule type="containsText" dxfId="1" priority="624" operator="between" text="欠">
      <formula>NOT(ISERROR(SEARCH("欠",U513)))</formula>
    </cfRule>
  </conditionalFormatting>
  <conditionalFormatting sqref="R517:R525 R527:R530">
    <cfRule type="containsText" dxfId="1" priority="595" operator="between" text="欠">
      <formula>NOT(ISERROR(SEARCH("欠",R517)))</formula>
    </cfRule>
  </conditionalFormatting>
  <conditionalFormatting sqref="U517:U525 U527:U530">
    <cfRule type="containsText" dxfId="1" priority="596" operator="between" text="欠">
      <formula>NOT(ISERROR(SEARCH("欠",U517)))</formula>
    </cfRule>
  </conditionalFormatting>
  <conditionalFormatting sqref="V517:V525 V527:V530">
    <cfRule type="containsText" dxfId="1" priority="597" operator="between" text="欠">
      <formula>NOT(ISERROR(SEARCH("欠",V517)))</formula>
    </cfRule>
  </conditionalFormatting>
  <conditionalFormatting sqref="R606:R611 R686:R687 R627:R633 R526 R559:R561 R542">
    <cfRule type="containsText" dxfId="1" priority="651" operator="between" text="欠">
      <formula>NOT(ISERROR(SEARCH("欠",R526)))</formula>
    </cfRule>
  </conditionalFormatting>
  <conditionalFormatting sqref="R604 R533:R535">
    <cfRule type="containsText" dxfId="1" priority="611" operator="between" text="欠">
      <formula>NOT(ISERROR(SEARCH("欠",R533)))</formula>
    </cfRule>
  </conditionalFormatting>
  <conditionalFormatting sqref="U533:U535 U537:U538 U541">
    <cfRule type="containsText" dxfId="1" priority="612" operator="between" text="欠">
      <formula>NOT(ISERROR(SEARCH("欠",U533)))</formula>
    </cfRule>
  </conditionalFormatting>
  <conditionalFormatting sqref="V535 V537:V538 V541">
    <cfRule type="containsText" dxfId="1" priority="604" operator="between" text="欠">
      <formula>NOT(ISERROR(SEARCH("欠",V535)))</formula>
    </cfRule>
  </conditionalFormatting>
  <conditionalFormatting sqref="R543 R551:R552 R547 R562">
    <cfRule type="containsText" dxfId="1" priority="568" operator="between" text="欠">
      <formula>NOT(ISERROR(SEARCH("欠",R543)))</formula>
    </cfRule>
  </conditionalFormatting>
  <conditionalFormatting sqref="R544:R546 R550">
    <cfRule type="containsText" dxfId="1" priority="571" operator="between" text="欠">
      <formula>NOT(ISERROR(SEARCH("欠",R544)))</formula>
    </cfRule>
  </conditionalFormatting>
  <conditionalFormatting sqref="U562:U563 U598">
    <cfRule type="containsText" dxfId="1" priority="561" operator="between" text="欠">
      <formula>NOT(ISERROR(SEARCH("欠",U562)))</formula>
    </cfRule>
  </conditionalFormatting>
  <conditionalFormatting sqref="V562:V563 V598">
    <cfRule type="containsText" dxfId="1" priority="563" operator="between" text="欠">
      <formula>NOT(ISERROR(SEARCH("欠",V562)))</formula>
    </cfRule>
  </conditionalFormatting>
  <conditionalFormatting sqref="R598 R563">
    <cfRule type="containsText" dxfId="1" priority="559" operator="between" text="欠">
      <formula>NOT(ISERROR(SEARCH("欠",R563)))</formula>
    </cfRule>
  </conditionalFormatting>
  <conditionalFormatting sqref="R566 R573:R575">
    <cfRule type="containsText" dxfId="1" priority="518" operator="between" text="欠">
      <formula>NOT(ISERROR(SEARCH("欠",R566)))</formula>
    </cfRule>
  </conditionalFormatting>
  <conditionalFormatting sqref="R576 R578">
    <cfRule type="containsText" dxfId="1" priority="509" operator="between" text="欠">
      <formula>NOT(ISERROR(SEARCH("欠",R576)))</formula>
    </cfRule>
  </conditionalFormatting>
  <conditionalFormatting sqref="R580:R582 R577">
    <cfRule type="containsText" dxfId="1" priority="519" operator="between" text="欠">
      <formula>NOT(ISERROR(SEARCH("欠",R577)))</formula>
    </cfRule>
  </conditionalFormatting>
  <conditionalFormatting sqref="U577 U580:U581">
    <cfRule type="containsText" dxfId="1" priority="520" operator="between" text="欠">
      <formula>NOT(ISERROR(SEARCH("欠",U577)))</formula>
    </cfRule>
  </conditionalFormatting>
  <conditionalFormatting sqref="V577 V580:V581">
    <cfRule type="containsText" dxfId="1" priority="521" operator="between" text="欠">
      <formula>NOT(ISERROR(SEARCH("欠",V577)))</formula>
    </cfRule>
  </conditionalFormatting>
  <conditionalFormatting sqref="R583:R585 R579">
    <cfRule type="containsText" dxfId="1" priority="455" operator="between" text="欠">
      <formula>NOT(ISERROR(SEARCH("欠",R579)))</formula>
    </cfRule>
  </conditionalFormatting>
  <conditionalFormatting sqref="V589:V597 V599:V603">
    <cfRule type="containsText" dxfId="1" priority="497" operator="between" text="欠">
      <formula>NOT(ISERROR(SEARCH("欠",V589)))</formula>
    </cfRule>
  </conditionalFormatting>
  <conditionalFormatting sqref="R634:R637 R659:R660 R639">
    <cfRule type="containsText" dxfId="1" priority="405" operator="between" text="欠">
      <formula>NOT(ISERROR(SEARCH("欠",R634)))</formula>
    </cfRule>
  </conditionalFormatting>
  <conditionalFormatting sqref="U634:U637 U639">
    <cfRule type="containsText" dxfId="1" priority="406" operator="between" text="欠">
      <formula>NOT(ISERROR(SEARCH("欠",U634)))</formula>
    </cfRule>
  </conditionalFormatting>
  <conditionalFormatting sqref="V634:V637 V639">
    <cfRule type="containsText" dxfId="1" priority="407" operator="between" text="欠">
      <formula>NOT(ISERROR(SEARCH("欠",V634)))</formula>
    </cfRule>
  </conditionalFormatting>
  <conditionalFormatting sqref="R640:R650 R678:R679 R653 R638">
    <cfRule type="containsText" dxfId="1" priority="400" operator="between" text="欠">
      <formula>NOT(ISERROR(SEARCH("欠",R638)))</formula>
    </cfRule>
  </conditionalFormatting>
  <conditionalFormatting sqref="U638 U640:U650 U653 U669:U679 U681:U685 U695:U696 U744:U745 U790 U794:U901">
    <cfRule type="containsText" dxfId="1" priority="401" operator="between" text="欠">
      <formula>NOT(ISERROR(SEARCH("欠",U638)))</formula>
    </cfRule>
  </conditionalFormatting>
  <conditionalFormatting sqref="V638 V640:V650 V653 V678:V679">
    <cfRule type="containsText" dxfId="1" priority="402" operator="between" text="欠">
      <formula>NOT(ISERROR(SEARCH("欠",V638)))</formula>
    </cfRule>
  </conditionalFormatting>
  <conditionalFormatting sqref="R654:R658 R661">
    <cfRule type="containsText" dxfId="1" priority="385" operator="between" text="欠">
      <formula>NOT(ISERROR(SEARCH("欠",R654)))</formula>
    </cfRule>
  </conditionalFormatting>
  <conditionalFormatting sqref="V654:V677 V681:V685 V695:V696 V744:V745 V801:V807 V840:V875">
    <cfRule type="containsText" dxfId="1" priority="387" operator="between" text="欠">
      <formula>NOT(ISERROR(SEARCH("欠",V654)))</formula>
    </cfRule>
  </conditionalFormatting>
  <conditionalFormatting sqref="R667:R676 R681:R685 R695:R696 R744:R745 R790 R794:R901">
    <cfRule type="containsText" dxfId="1" priority="391" operator="between" text="欠">
      <formula>NOT(ISERROR(SEARCH("欠",R667)))</formula>
    </cfRule>
  </conditionalFormatting>
  <conditionalFormatting sqref="R680 R688:R694">
    <cfRule type="containsText" dxfId="1" priority="378" operator="between" text="欠">
      <formula>NOT(ISERROR(SEARCH("欠",R680)))</formula>
    </cfRule>
  </conditionalFormatting>
  <conditionalFormatting sqref="U688:U694 U702 U710">
    <cfRule type="containsText" dxfId="1" priority="376" operator="between" text="欠">
      <formula>NOT(ISERROR(SEARCH("欠",U688)))</formula>
    </cfRule>
  </conditionalFormatting>
  <conditionalFormatting sqref="R697 R713 R721 R743">
    <cfRule type="containsText" dxfId="1" priority="324" operator="between" text="欠">
      <formula>NOT(ISERROR(SEARCH("欠",R697)))</formula>
    </cfRule>
  </conditionalFormatting>
  <conditionalFormatting sqref="R698:R699 R717:R718">
    <cfRule type="containsText" dxfId="1" priority="382" operator="between" text="欠">
      <formula>NOT(ISERROR(SEARCH("欠",R698)))</formula>
    </cfRule>
  </conditionalFormatting>
  <conditionalFormatting sqref="R714 R702 R710">
    <cfRule type="containsText" dxfId="1" priority="356" operator="between" text="欠">
      <formula>NOT(ISERROR(SEARCH("欠",R702)))</formula>
    </cfRule>
  </conditionalFormatting>
  <conditionalFormatting sqref="R704 R708:R709 R711:R712 R741:R742">
    <cfRule type="containsText" dxfId="1" priority="339" operator="between" text="欠">
      <formula>NOT(ISERROR(SEARCH("欠",R704)))</formula>
    </cfRule>
  </conditionalFormatting>
  <conditionalFormatting sqref="R716 R724">
    <cfRule type="containsText" dxfId="1" priority="285" operator="between" text="欠">
      <formula>NOT(ISERROR(SEARCH("欠",R716)))</formula>
    </cfRule>
  </conditionalFormatting>
  <conditionalFormatting sqref="R719 R722">
    <cfRule type="containsText" dxfId="1" priority="299" operator="between" text="欠">
      <formula>NOT(ISERROR(SEARCH("欠",R719)))</formula>
    </cfRule>
  </conditionalFormatting>
  <conditionalFormatting sqref="R728:R729 R736 R749">
    <cfRule type="containsText" dxfId="1" priority="276" operator="between" text="欠">
      <formula>NOT(ISERROR(SEARCH("欠",R728)))</formula>
    </cfRule>
  </conditionalFormatting>
  <conditionalFormatting sqref="R747 R844:R847">
    <cfRule type="containsText" dxfId="1" priority="231" operator="between" text="欠">
      <formula>NOT(ISERROR(SEARCH("欠",R747)))</formula>
    </cfRule>
  </conditionalFormatting>
  <conditionalFormatting sqref="R748 R754">
    <cfRule type="containsText" dxfId="1" priority="46" operator="between" text="欠">
      <formula>NOT(ISERROR(SEARCH("欠",R748)))</formula>
    </cfRule>
  </conditionalFormatting>
  <conditionalFormatting sqref="V749 V840:V842">
    <cfRule type="containsText" dxfId="1" priority="225" operator="between" text="欠">
      <formula>NOT(ISERROR(SEARCH("欠",V749)))</formula>
    </cfRule>
  </conditionalFormatting>
  <conditionalFormatting sqref="R786 R800">
    <cfRule type="containsText" dxfId="1" priority="131" operator="between" text="欠">
      <formula>NOT(ISERROR(SEARCH("欠",R786)))</formula>
    </cfRule>
  </conditionalFormatting>
  <conditionalFormatting sqref="U786 U800">
    <cfRule type="containsText" dxfId="1" priority="132" operator="between" text="欠">
      <formula>NOT(ISERROR(SEARCH("欠",U786)))</formula>
    </cfRule>
  </conditionalFormatting>
  <conditionalFormatting sqref="V796:V805 V813">
    <cfRule type="containsText" dxfId="1" priority="130" operator="between" text="欠">
      <formula>NOT(ISERROR(SEARCH("欠",V796)))</formula>
    </cfRule>
  </conditionalFormatting>
  <conditionalFormatting sqref="S840:T842">
    <cfRule type="containsText" dxfId="1" priority="10" operator="between" text="欠">
      <formula>NOT(ISERROR(SEARCH("欠",S840)))</formula>
    </cfRule>
    <cfRule type="containsText" dxfId="1" priority="11" operator="between" text="欠">
      <formula>NOT(ISERROR(SEARCH("欠",S840)))</formula>
    </cfRule>
  </conditionalFormatting>
  <pageMargins left="0" right="0.0784722222222222" top="0.306944444444444" bottom="0.306944444444444" header="0.5" footer="0.5"/>
  <pageSetup paperSize="9" scale="10" fitToWidth="0" orientation="landscape" horizontalDpi="600"/>
  <headerFooter alignWithMargins="0" scaleWithDoc="0"/>
  <ignoredErrors>
    <ignoredError sqref="BX89:CA92"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
  <sheetViews>
    <sheetView zoomScale="115" zoomScaleNormal="115" workbookViewId="0">
      <selection activeCell="B25" sqref="B25"/>
    </sheetView>
  </sheetViews>
  <sheetFormatPr defaultColWidth="8.8" defaultRowHeight="14.25"/>
  <cols>
    <col min="1" max="1" width="8.8" customWidth="1"/>
    <col min="2" max="2" width="14.8666666666667" customWidth="1"/>
    <col min="3" max="5" width="3.825" customWidth="1"/>
    <col min="6" max="7" width="9.1" customWidth="1"/>
    <col min="8" max="14" width="8.8" customWidth="1"/>
  </cols>
  <sheetData>
    <row r="1" spans="1:13">
      <c r="A1" s="537" t="s">
        <v>3749</v>
      </c>
      <c r="B1" s="537"/>
      <c r="C1" s="538" t="s">
        <v>3750</v>
      </c>
      <c r="D1" s="539"/>
      <c r="E1" s="540"/>
      <c r="F1" s="541" t="s">
        <v>3751</v>
      </c>
      <c r="G1" s="541" t="s">
        <v>3752</v>
      </c>
      <c r="H1" s="541" t="s">
        <v>3753</v>
      </c>
      <c r="I1" s="542" t="s">
        <v>3754</v>
      </c>
      <c r="J1" s="542"/>
      <c r="K1" s="542"/>
      <c r="L1" s="542"/>
      <c r="M1" s="541" t="s">
        <v>3755</v>
      </c>
    </row>
    <row r="2" spans="1:13">
      <c r="A2" s="537" t="s">
        <v>3756</v>
      </c>
      <c r="B2" s="537"/>
      <c r="C2" s="541" t="s">
        <v>3757</v>
      </c>
      <c r="D2" s="541" t="s">
        <v>3758</v>
      </c>
      <c r="E2" s="541" t="s">
        <v>3759</v>
      </c>
      <c r="F2" s="543">
        <v>44853</v>
      </c>
      <c r="G2" s="543">
        <v>44897</v>
      </c>
      <c r="H2" s="543">
        <v>45005</v>
      </c>
      <c r="I2" s="544">
        <v>45039</v>
      </c>
      <c r="J2" s="544"/>
      <c r="K2" s="544"/>
      <c r="L2" s="544"/>
      <c r="M2" s="541"/>
    </row>
    <row r="3" spans="1:13">
      <c r="A3" s="537" t="s">
        <v>3760</v>
      </c>
      <c r="B3" s="537"/>
      <c r="C3" s="537"/>
      <c r="D3" s="537"/>
      <c r="E3" s="537"/>
      <c r="F3" s="543">
        <v>44995</v>
      </c>
      <c r="G3" s="543">
        <v>45021</v>
      </c>
      <c r="H3" s="543">
        <v>45095</v>
      </c>
      <c r="I3" s="544">
        <v>45143</v>
      </c>
      <c r="J3" s="544"/>
      <c r="K3" s="544"/>
      <c r="L3" s="544"/>
      <c r="M3" s="541"/>
    </row>
    <row r="4" spans="1:13">
      <c r="A4" s="545"/>
      <c r="B4" s="546" t="s">
        <v>3761</v>
      </c>
      <c r="C4" s="547"/>
      <c r="D4" s="547"/>
      <c r="E4" s="547"/>
      <c r="F4" s="548">
        <f t="shared" ref="F4:H4" si="0">SUM(F6:F9)</f>
        <v>120000</v>
      </c>
      <c r="G4" s="548">
        <f t="shared" si="0"/>
        <v>80000</v>
      </c>
      <c r="H4" s="548">
        <f t="shared" si="0"/>
        <v>106000</v>
      </c>
      <c r="I4" s="548">
        <v>136000</v>
      </c>
      <c r="J4" s="548"/>
      <c r="K4" s="548"/>
      <c r="L4" s="548"/>
      <c r="M4" s="549">
        <f t="shared" ref="M4:M9" si="1">SUM(F4:I4)</f>
        <v>442000</v>
      </c>
    </row>
    <row r="5" spans="1:13">
      <c r="A5" s="550" t="s">
        <v>3762</v>
      </c>
      <c r="B5" s="551"/>
      <c r="C5" s="552"/>
      <c r="D5" s="552"/>
      <c r="E5" s="552"/>
      <c r="F5" s="553">
        <f>SUM(F4:F4)</f>
        <v>120000</v>
      </c>
      <c r="G5" s="553">
        <f>SUM(G4:G4)</f>
        <v>80000</v>
      </c>
      <c r="H5" s="553">
        <f>SUM(H4:H4)</f>
        <v>106000</v>
      </c>
      <c r="I5" s="553">
        <v>136000</v>
      </c>
      <c r="J5" s="553"/>
      <c r="K5" s="553"/>
      <c r="L5" s="553"/>
      <c r="M5" s="553">
        <f>SUM(M4:M4)</f>
        <v>442000</v>
      </c>
    </row>
    <row r="6" spans="1:13">
      <c r="A6" s="554" t="s">
        <v>3763</v>
      </c>
      <c r="B6" s="546" t="s">
        <v>3764</v>
      </c>
      <c r="C6" s="547">
        <v>6</v>
      </c>
      <c r="D6" s="547">
        <v>5</v>
      </c>
      <c r="E6" s="547">
        <v>6</v>
      </c>
      <c r="F6" s="548">
        <v>30000</v>
      </c>
      <c r="G6" s="548">
        <v>20000</v>
      </c>
      <c r="H6" s="548">
        <v>20000</v>
      </c>
      <c r="I6" s="548">
        <v>23000</v>
      </c>
      <c r="J6" s="548"/>
      <c r="K6" s="548"/>
      <c r="L6" s="548"/>
      <c r="M6" s="549">
        <f t="shared" si="1"/>
        <v>93000</v>
      </c>
    </row>
    <row r="7" spans="1:13">
      <c r="A7" s="545"/>
      <c r="B7" s="546" t="s">
        <v>3765</v>
      </c>
      <c r="C7" s="547">
        <v>6</v>
      </c>
      <c r="D7" s="547">
        <v>6</v>
      </c>
      <c r="E7" s="547">
        <v>8</v>
      </c>
      <c r="F7" s="548">
        <v>30000</v>
      </c>
      <c r="G7" s="548">
        <v>20000</v>
      </c>
      <c r="H7" s="548">
        <v>41000</v>
      </c>
      <c r="I7" s="548">
        <v>62000</v>
      </c>
      <c r="J7" s="548"/>
      <c r="K7" s="548"/>
      <c r="L7" s="548"/>
      <c r="M7" s="549">
        <f t="shared" si="1"/>
        <v>153000</v>
      </c>
    </row>
    <row r="8" spans="1:13">
      <c r="A8" s="545"/>
      <c r="B8" s="546" t="s">
        <v>3766</v>
      </c>
      <c r="C8" s="547">
        <v>6</v>
      </c>
      <c r="D8" s="547">
        <v>6</v>
      </c>
      <c r="E8" s="547">
        <v>8</v>
      </c>
      <c r="F8" s="548">
        <v>30000</v>
      </c>
      <c r="G8" s="548">
        <v>20000</v>
      </c>
      <c r="H8" s="548">
        <v>25000</v>
      </c>
      <c r="I8" s="548">
        <v>28000</v>
      </c>
      <c r="J8" s="548"/>
      <c r="K8" s="548"/>
      <c r="L8" s="548"/>
      <c r="M8" s="549">
        <f t="shared" si="1"/>
        <v>103000</v>
      </c>
    </row>
    <row r="9" spans="1:13">
      <c r="A9" s="545"/>
      <c r="B9" s="555" t="s">
        <v>3767</v>
      </c>
      <c r="C9" s="547">
        <v>6</v>
      </c>
      <c r="D9" s="547">
        <v>5</v>
      </c>
      <c r="E9" s="547">
        <v>7</v>
      </c>
      <c r="F9" s="548">
        <v>30000</v>
      </c>
      <c r="G9" s="548">
        <v>20000</v>
      </c>
      <c r="H9" s="548">
        <v>20000</v>
      </c>
      <c r="I9" s="548">
        <v>23000</v>
      </c>
      <c r="J9" s="548"/>
      <c r="K9" s="548"/>
      <c r="L9" s="548"/>
      <c r="M9" s="549">
        <f t="shared" si="1"/>
        <v>93000</v>
      </c>
    </row>
    <row r="10" spans="1:13">
      <c r="A10" s="550" t="s">
        <v>3762</v>
      </c>
      <c r="B10" s="551"/>
      <c r="C10" s="552">
        <f t="shared" ref="C10:J10" si="2">SUM(C6:C9)</f>
        <v>24</v>
      </c>
      <c r="D10" s="552">
        <f t="shared" si="2"/>
        <v>22</v>
      </c>
      <c r="E10" s="552">
        <f t="shared" si="2"/>
        <v>29</v>
      </c>
      <c r="F10" s="553">
        <f t="shared" si="2"/>
        <v>120000</v>
      </c>
      <c r="G10" s="553">
        <f t="shared" si="2"/>
        <v>80000</v>
      </c>
      <c r="H10" s="553">
        <f t="shared" si="2"/>
        <v>106000</v>
      </c>
      <c r="I10" s="553">
        <v>136000</v>
      </c>
      <c r="J10" s="553"/>
      <c r="K10" s="553"/>
      <c r="L10" s="553"/>
      <c r="M10" s="553">
        <f>SUM(M6:M9)</f>
        <v>442000</v>
      </c>
    </row>
    <row r="11" ht="14" customHeight="1" spans="1:13">
      <c r="A11" s="545" t="s">
        <v>3768</v>
      </c>
      <c r="B11" s="546" t="s">
        <v>3769</v>
      </c>
      <c r="C11" s="547"/>
      <c r="D11" s="547"/>
      <c r="E11" s="547"/>
      <c r="F11" s="548"/>
      <c r="G11" s="548"/>
      <c r="H11" s="548">
        <v>20000</v>
      </c>
      <c r="I11" s="548"/>
      <c r="J11" s="548"/>
      <c r="K11" s="548"/>
      <c r="L11" s="548"/>
      <c r="M11" s="549">
        <f>SUM(F11:I11)</f>
        <v>20000</v>
      </c>
    </row>
    <row r="12" spans="1:13">
      <c r="A12" s="550" t="s">
        <v>3762</v>
      </c>
      <c r="B12" s="551"/>
      <c r="C12" s="552"/>
      <c r="D12" s="552"/>
      <c r="E12" s="552"/>
      <c r="F12" s="553">
        <f>SUM(F11:F11)</f>
        <v>0</v>
      </c>
      <c r="G12" s="553">
        <f>SUM(G11:G11)</f>
        <v>0</v>
      </c>
      <c r="H12" s="553">
        <f>SUM(H11:H11)</f>
        <v>20000</v>
      </c>
      <c r="I12" s="553">
        <v>0</v>
      </c>
      <c r="J12" s="553"/>
      <c r="K12" s="553"/>
      <c r="L12" s="553"/>
      <c r="M12" s="553">
        <f>SUM(M11:M11)</f>
        <v>20000</v>
      </c>
    </row>
  </sheetData>
  <sheetProtection formatCells="0" formatColumns="0" formatRows="0" insertRows="0" insertColumns="0" insertHyperlinks="0" deleteColumns="0" deleteRows="0" sort="0" autoFilter="0" pivotTables="0"/>
  <mergeCells count="2">
    <mergeCell ref="C1:E1"/>
    <mergeCell ref="A6:A9"/>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283"/>
  <sheetViews>
    <sheetView zoomScale="85" zoomScaleNormal="85" topLeftCell="B1" workbookViewId="0">
      <pane xSplit="3" ySplit="3" topLeftCell="V258" activePane="bottomRight" state="frozen"/>
      <selection/>
      <selection pane="topRight"/>
      <selection pane="bottomLeft"/>
      <selection pane="bottomRight" activeCell="P263" sqref="P263"/>
    </sheetView>
  </sheetViews>
  <sheetFormatPr defaultColWidth="8.8" defaultRowHeight="14.25"/>
  <cols>
    <col min="1" max="1" width="13.7" style="442" customWidth="1"/>
    <col min="2" max="2" width="13.175" style="442" customWidth="1"/>
    <col min="3" max="3" width="12.9916666666667" style="442" customWidth="1"/>
    <col min="4" max="4" width="12.7083333333333" customWidth="1"/>
    <col min="5" max="5" width="11.85" hidden="1" customWidth="1"/>
    <col min="6" max="7" width="13.1333333333333" hidden="1" customWidth="1"/>
    <col min="8" max="9" width="13.1333333333333" customWidth="1"/>
    <col min="10" max="11" width="13.1333333333333" hidden="1" customWidth="1"/>
    <col min="12" max="12" width="13.1333333333333" customWidth="1"/>
    <col min="13" max="14" width="13.8583333333333" hidden="1" customWidth="1"/>
    <col min="15" max="17" width="13.8583333333333" customWidth="1"/>
    <col min="18" max="18" width="11.85" hidden="1" customWidth="1"/>
    <col min="19" max="20" width="11.85" customWidth="1"/>
    <col min="21" max="21" width="11.85" hidden="1" customWidth="1"/>
    <col min="22" max="22" width="11.85" customWidth="1"/>
    <col min="23" max="23" width="11.85" style="442" customWidth="1"/>
    <col min="24" max="24" width="15.875" hidden="1" customWidth="1"/>
    <col min="25" max="25" width="12.7083333333333" hidden="1" customWidth="1"/>
    <col min="26" max="27" width="15.7083333333333" customWidth="1"/>
    <col min="28" max="28" width="11.5" hidden="1" customWidth="1"/>
    <col min="29" max="29" width="11.5" customWidth="1"/>
    <col min="30" max="31" width="11.5" hidden="1" customWidth="1"/>
    <col min="32" max="35" width="11.5" customWidth="1"/>
    <col min="36" max="36" width="11.5" hidden="1" customWidth="1"/>
    <col min="37" max="37" width="10.5666666666667" customWidth="1"/>
    <col min="38" max="38" width="11.5" hidden="1" customWidth="1"/>
    <col min="39" max="39" width="11.5" customWidth="1"/>
    <col min="42" max="43" width="10.9333333333333" customWidth="1"/>
    <col min="44" max="44" width="28.4666666666667" style="443" customWidth="1"/>
    <col min="45" max="45" width="8.8" style="442"/>
    <col min="46" max="46" width="11.6"/>
  </cols>
  <sheetData>
    <row r="1" ht="15" spans="1:45">
      <c r="A1" s="444" t="s">
        <v>3770</v>
      </c>
      <c r="B1" s="445"/>
      <c r="C1" s="445"/>
      <c r="D1" s="445"/>
      <c r="E1" s="445"/>
      <c r="F1" s="445"/>
      <c r="G1" s="445"/>
      <c r="H1" s="445"/>
      <c r="I1" s="445"/>
      <c r="J1" s="445"/>
      <c r="K1" s="445"/>
      <c r="L1" s="445"/>
      <c r="M1" s="445"/>
      <c r="N1" s="445"/>
      <c r="O1" s="445"/>
      <c r="P1" s="445"/>
      <c r="Q1" s="445"/>
      <c r="R1" s="445"/>
      <c r="S1" s="445"/>
      <c r="T1" s="445"/>
      <c r="U1" s="445"/>
      <c r="V1" s="445"/>
      <c r="W1" s="445"/>
      <c r="X1" s="445"/>
      <c r="Y1" s="445"/>
      <c r="Z1" s="445"/>
      <c r="AA1" s="445"/>
      <c r="AB1" s="445"/>
      <c r="AC1" s="445"/>
      <c r="AD1" s="445"/>
      <c r="AE1" s="445"/>
      <c r="AF1" s="445"/>
      <c r="AG1" s="445"/>
      <c r="AH1" s="445"/>
      <c r="AI1" s="445"/>
      <c r="AJ1" s="445"/>
      <c r="AK1" s="445"/>
      <c r="AL1" s="445"/>
      <c r="AM1" s="445"/>
      <c r="AN1" s="445"/>
      <c r="AO1" s="445"/>
      <c r="AP1" s="445"/>
      <c r="AQ1" s="446"/>
      <c r="AR1" s="447"/>
    </row>
    <row r="2" ht="26" customHeight="1" spans="1:45">
      <c r="A2" s="448" t="s">
        <v>3771</v>
      </c>
      <c r="B2" s="448"/>
      <c r="C2" s="449" t="s">
        <v>3772</v>
      </c>
      <c r="D2" s="450" t="s">
        <v>3773</v>
      </c>
      <c r="E2" s="451" t="s">
        <v>3774</v>
      </c>
      <c r="F2" s="451"/>
      <c r="G2" s="451"/>
      <c r="H2" s="451"/>
      <c r="I2" s="451"/>
      <c r="J2" s="451" t="s">
        <v>3774</v>
      </c>
      <c r="K2" s="451"/>
      <c r="L2" s="451"/>
      <c r="M2" s="451" t="s">
        <v>3774</v>
      </c>
      <c r="N2" s="451"/>
      <c r="O2" s="451"/>
      <c r="P2" s="451"/>
      <c r="Q2" s="451"/>
      <c r="R2" s="451" t="s">
        <v>3775</v>
      </c>
      <c r="S2" s="451"/>
      <c r="T2" s="451"/>
      <c r="U2" s="451" t="s">
        <v>3775</v>
      </c>
      <c r="V2" s="452"/>
      <c r="W2" s="452"/>
      <c r="X2" s="452" t="s">
        <v>3776</v>
      </c>
      <c r="Y2" s="453"/>
      <c r="Z2" s="453"/>
      <c r="AA2" s="453"/>
      <c r="AB2" s="453"/>
      <c r="AC2" s="453"/>
      <c r="AD2" s="453"/>
      <c r="AE2" s="453"/>
      <c r="AF2" s="453"/>
      <c r="AG2" s="453"/>
      <c r="AH2" s="453"/>
      <c r="AI2" s="453"/>
      <c r="AJ2" s="453"/>
      <c r="AK2" s="453"/>
      <c r="AL2" s="453"/>
      <c r="AM2" s="453"/>
      <c r="AN2" s="454"/>
      <c r="AO2" s="454"/>
      <c r="AP2" s="451" t="s">
        <v>3775</v>
      </c>
      <c r="AQ2" s="451" t="s">
        <v>3775</v>
      </c>
      <c r="AR2" s="447"/>
    </row>
    <row r="3" s="437" customFormat="1" ht="47.25" spans="1:45">
      <c r="A3" s="455"/>
      <c r="B3" s="455"/>
      <c r="C3" s="456"/>
      <c r="D3" s="457"/>
      <c r="E3" s="458" t="s">
        <v>3777</v>
      </c>
      <c r="F3" s="458" t="s">
        <v>3778</v>
      </c>
      <c r="G3" s="458" t="s">
        <v>3779</v>
      </c>
      <c r="H3" s="458" t="s">
        <v>3780</v>
      </c>
      <c r="I3" s="459" t="s">
        <v>3781</v>
      </c>
      <c r="J3" s="458" t="s">
        <v>3782</v>
      </c>
      <c r="K3" s="458" t="s">
        <v>3783</v>
      </c>
      <c r="L3" s="459" t="s">
        <v>3784</v>
      </c>
      <c r="M3" s="460" t="s">
        <v>3785</v>
      </c>
      <c r="N3" s="461" t="s">
        <v>3786</v>
      </c>
      <c r="O3" s="460" t="s">
        <v>3787</v>
      </c>
      <c r="P3" s="461" t="s">
        <v>3788</v>
      </c>
      <c r="Q3" s="462" t="s">
        <v>3789</v>
      </c>
      <c r="R3" s="463" t="s">
        <v>3790</v>
      </c>
      <c r="S3" s="463" t="s">
        <v>3791</v>
      </c>
      <c r="T3" s="464" t="s">
        <v>3792</v>
      </c>
      <c r="U3" s="463" t="s">
        <v>3793</v>
      </c>
      <c r="V3" s="463" t="s">
        <v>3794</v>
      </c>
      <c r="W3" s="464" t="s">
        <v>3795</v>
      </c>
      <c r="X3" s="463" t="s">
        <v>3796</v>
      </c>
      <c r="Y3" s="463" t="s">
        <v>3797</v>
      </c>
      <c r="Z3" s="465" t="s">
        <v>3798</v>
      </c>
      <c r="AA3" s="464" t="s">
        <v>3799</v>
      </c>
      <c r="AB3" s="463" t="s">
        <v>3800</v>
      </c>
      <c r="AC3" s="465" t="s">
        <v>3801</v>
      </c>
      <c r="AD3" s="463" t="s">
        <v>3802</v>
      </c>
      <c r="AE3" s="463" t="s">
        <v>3803</v>
      </c>
      <c r="AF3" s="465" t="s">
        <v>3804</v>
      </c>
      <c r="AG3" s="464" t="s">
        <v>3805</v>
      </c>
      <c r="AH3" s="463" t="s">
        <v>3806</v>
      </c>
      <c r="AI3" s="463" t="s">
        <v>3807</v>
      </c>
      <c r="AJ3" s="463" t="s">
        <v>78</v>
      </c>
      <c r="AK3" s="465" t="s">
        <v>79</v>
      </c>
      <c r="AL3" s="463" t="s">
        <v>80</v>
      </c>
      <c r="AM3" s="465" t="s">
        <v>81</v>
      </c>
      <c r="AN3" s="463" t="s">
        <v>3808</v>
      </c>
      <c r="AO3" s="463" t="s">
        <v>3809</v>
      </c>
      <c r="AP3" s="466" t="s">
        <v>3810</v>
      </c>
      <c r="AQ3" s="466" t="s">
        <v>3811</v>
      </c>
      <c r="AR3" s="467" t="s">
        <v>3812</v>
      </c>
      <c r="AS3" s="468"/>
    </row>
    <row r="4" s="437" customFormat="1" ht="16" customHeight="1" spans="1:45">
      <c r="A4" s="455"/>
      <c r="B4" s="455"/>
      <c r="C4" s="456"/>
      <c r="D4" s="457"/>
      <c r="E4" s="455" t="s">
        <v>3813</v>
      </c>
      <c r="F4" s="455" t="s">
        <v>3814</v>
      </c>
      <c r="G4" s="455"/>
      <c r="H4" s="455"/>
      <c r="I4" s="455"/>
      <c r="J4" s="455" t="s">
        <v>3813</v>
      </c>
      <c r="K4" s="455"/>
      <c r="L4" s="455"/>
      <c r="M4" s="455" t="s">
        <v>3813</v>
      </c>
      <c r="N4" s="455" t="s">
        <v>3814</v>
      </c>
      <c r="O4" s="455"/>
      <c r="P4" s="455"/>
      <c r="Q4" s="455"/>
      <c r="R4" s="455" t="s">
        <v>3813</v>
      </c>
      <c r="S4" s="455"/>
      <c r="T4" s="455"/>
      <c r="U4" s="455" t="s">
        <v>3813</v>
      </c>
      <c r="V4" s="455"/>
      <c r="W4" s="455"/>
      <c r="X4" s="455" t="s">
        <v>3813</v>
      </c>
      <c r="Y4" s="455"/>
      <c r="Z4" s="455"/>
      <c r="AA4" s="455"/>
      <c r="AB4" s="455" t="s">
        <v>3813</v>
      </c>
      <c r="AC4" s="455"/>
      <c r="AD4" s="455" t="s">
        <v>3813</v>
      </c>
      <c r="AE4" s="455"/>
      <c r="AF4" s="455"/>
      <c r="AG4" s="455"/>
      <c r="AH4" s="455" t="s">
        <v>3813</v>
      </c>
      <c r="AI4" s="455"/>
      <c r="AJ4" s="455" t="s">
        <v>3813</v>
      </c>
      <c r="AK4" s="455"/>
      <c r="AL4" s="455"/>
      <c r="AM4" s="455"/>
      <c r="AN4" s="455"/>
      <c r="AO4" s="455"/>
      <c r="AP4" s="455"/>
      <c r="AQ4" s="455"/>
      <c r="AR4" s="447"/>
      <c r="AS4" s="468"/>
    </row>
    <row r="5" s="437" customFormat="1" ht="16" customHeight="1" spans="1:45">
      <c r="A5" s="469">
        <v>44923</v>
      </c>
      <c r="B5" s="469"/>
      <c r="C5" s="470">
        <v>1000012936</v>
      </c>
      <c r="D5" s="471" t="s">
        <v>3815</v>
      </c>
      <c r="E5" s="455">
        <v>80000</v>
      </c>
      <c r="F5" s="455"/>
      <c r="G5" s="455"/>
      <c r="H5" s="455"/>
      <c r="I5" s="455"/>
      <c r="J5" s="455"/>
      <c r="K5" s="455"/>
      <c r="L5" s="455"/>
      <c r="M5" s="455"/>
      <c r="N5" s="455"/>
      <c r="O5" s="455"/>
      <c r="P5" s="455"/>
      <c r="Q5" s="455"/>
      <c r="R5" s="455"/>
      <c r="S5" s="455"/>
      <c r="T5" s="455"/>
      <c r="U5" s="455"/>
      <c r="V5" s="455"/>
      <c r="W5" s="455"/>
      <c r="X5" s="472"/>
      <c r="Y5" s="472"/>
      <c r="Z5" s="472"/>
      <c r="AA5" s="472"/>
      <c r="AB5" s="472"/>
      <c r="AC5" s="472"/>
      <c r="AD5" s="455"/>
      <c r="AE5" s="455"/>
      <c r="AF5" s="455"/>
      <c r="AG5" s="455"/>
      <c r="AH5" s="455"/>
      <c r="AI5" s="455"/>
      <c r="AJ5" s="455"/>
      <c r="AK5" s="455"/>
      <c r="AL5" s="455"/>
      <c r="AM5" s="455"/>
      <c r="AN5" s="455"/>
      <c r="AO5" s="455"/>
      <c r="AP5" s="455"/>
      <c r="AQ5" s="455"/>
      <c r="AR5" s="447"/>
      <c r="AS5" s="468"/>
    </row>
    <row r="6" s="437" customFormat="1" ht="16" customHeight="1" spans="1:45">
      <c r="A6" s="469">
        <v>44923</v>
      </c>
      <c r="B6" s="469"/>
      <c r="C6" s="470">
        <v>1000012937</v>
      </c>
      <c r="D6" s="471" t="s">
        <v>3815</v>
      </c>
      <c r="E6" s="455"/>
      <c r="F6" s="455"/>
      <c r="G6" s="455"/>
      <c r="H6" s="455"/>
      <c r="I6" s="455"/>
      <c r="J6" s="455"/>
      <c r="K6" s="455"/>
      <c r="L6" s="455"/>
      <c r="M6" s="455">
        <v>80000</v>
      </c>
      <c r="N6" s="455"/>
      <c r="O6" s="455"/>
      <c r="P6" s="455"/>
      <c r="Q6" s="455"/>
      <c r="R6" s="455"/>
      <c r="S6" s="455"/>
      <c r="T6" s="455"/>
      <c r="U6" s="455"/>
      <c r="V6" s="455"/>
      <c r="W6" s="455"/>
      <c r="X6" s="472"/>
      <c r="Y6" s="472"/>
      <c r="Z6" s="472"/>
      <c r="AA6" s="472"/>
      <c r="AB6" s="472"/>
      <c r="AC6" s="472"/>
      <c r="AD6" s="455"/>
      <c r="AE6" s="455"/>
      <c r="AF6" s="455"/>
      <c r="AG6" s="455"/>
      <c r="AH6" s="455"/>
      <c r="AI6" s="455"/>
      <c r="AJ6" s="455"/>
      <c r="AK6" s="455"/>
      <c r="AL6" s="455"/>
      <c r="AM6" s="455"/>
      <c r="AN6" s="455"/>
      <c r="AO6" s="455"/>
      <c r="AP6" s="455"/>
      <c r="AQ6" s="455"/>
      <c r="AR6" s="447"/>
      <c r="AS6" s="468"/>
    </row>
    <row r="7" s="437" customFormat="1" ht="16" customHeight="1" spans="1:45">
      <c r="A7" s="469">
        <v>44923</v>
      </c>
      <c r="B7" s="469"/>
      <c r="C7" s="470">
        <v>1000012938</v>
      </c>
      <c r="D7" s="471" t="s">
        <v>3815</v>
      </c>
      <c r="E7" s="455"/>
      <c r="F7" s="455"/>
      <c r="G7" s="455"/>
      <c r="H7" s="455"/>
      <c r="I7" s="455"/>
      <c r="J7" s="455"/>
      <c r="K7" s="455"/>
      <c r="L7" s="455"/>
      <c r="M7" s="455"/>
      <c r="N7" s="455"/>
      <c r="O7" s="455"/>
      <c r="P7" s="455"/>
      <c r="Q7" s="455"/>
      <c r="R7" s="455">
        <v>2000</v>
      </c>
      <c r="S7" s="455"/>
      <c r="T7" s="455"/>
      <c r="U7" s="455"/>
      <c r="V7" s="455"/>
      <c r="W7" s="455"/>
      <c r="X7" s="472"/>
      <c r="Y7" s="472"/>
      <c r="Z7" s="472"/>
      <c r="AA7" s="472"/>
      <c r="AB7" s="472"/>
      <c r="AC7" s="472"/>
      <c r="AD7" s="455"/>
      <c r="AE7" s="455"/>
      <c r="AF7" s="455"/>
      <c r="AG7" s="455"/>
      <c r="AH7" s="455"/>
      <c r="AI7" s="455"/>
      <c r="AJ7" s="455"/>
      <c r="AK7" s="455"/>
      <c r="AL7" s="455"/>
      <c r="AM7" s="455"/>
      <c r="AN7" s="455"/>
      <c r="AO7" s="455"/>
      <c r="AP7" s="455"/>
      <c r="AQ7" s="455"/>
      <c r="AR7" s="447"/>
      <c r="AS7" s="468"/>
    </row>
    <row r="8" s="437" customFormat="1" ht="16" customHeight="1" spans="1:45">
      <c r="A8" s="469"/>
      <c r="B8" s="469"/>
      <c r="C8" s="470"/>
      <c r="D8" s="471"/>
      <c r="E8" s="455"/>
      <c r="F8" s="455"/>
      <c r="G8" s="455"/>
      <c r="H8" s="455"/>
      <c r="I8" s="455"/>
      <c r="J8" s="455"/>
      <c r="K8" s="455"/>
      <c r="L8" s="455"/>
      <c r="M8" s="455"/>
      <c r="N8" s="455"/>
      <c r="O8" s="455"/>
      <c r="P8" s="455"/>
      <c r="Q8" s="455"/>
      <c r="R8" s="455"/>
      <c r="S8" s="455"/>
      <c r="T8" s="455"/>
      <c r="U8" s="455"/>
      <c r="V8" s="455"/>
      <c r="W8" s="455"/>
      <c r="X8" s="472">
        <v>730</v>
      </c>
      <c r="Y8" s="472"/>
      <c r="Z8" s="472"/>
      <c r="AA8" s="472"/>
      <c r="AB8" s="472"/>
      <c r="AC8" s="472"/>
      <c r="AD8" s="455"/>
      <c r="AE8" s="455"/>
      <c r="AF8" s="455"/>
      <c r="AG8" s="455"/>
      <c r="AH8" s="455"/>
      <c r="AI8" s="455"/>
      <c r="AJ8" s="455"/>
      <c r="AK8" s="455"/>
      <c r="AL8" s="455"/>
      <c r="AM8" s="455"/>
      <c r="AN8" s="455"/>
      <c r="AO8" s="455"/>
      <c r="AP8" s="455"/>
      <c r="AQ8" s="455"/>
      <c r="AR8" s="447" t="s">
        <v>3816</v>
      </c>
      <c r="AS8" s="468"/>
    </row>
    <row r="9" s="437" customFormat="1" ht="16" customHeight="1" spans="1:45">
      <c r="A9" s="469">
        <v>44992</v>
      </c>
      <c r="B9" s="469">
        <v>44992</v>
      </c>
      <c r="C9" s="470" t="s">
        <v>3817</v>
      </c>
      <c r="D9" s="471" t="s">
        <v>3815</v>
      </c>
      <c r="E9" s="455"/>
      <c r="F9" s="455"/>
      <c r="G9" s="455"/>
      <c r="H9" s="455"/>
      <c r="I9" s="455"/>
      <c r="J9" s="455">
        <v>50000</v>
      </c>
      <c r="K9" s="455"/>
      <c r="L9" s="455"/>
      <c r="M9" s="455"/>
      <c r="N9" s="455"/>
      <c r="O9" s="455"/>
      <c r="P9" s="455"/>
      <c r="Q9" s="455"/>
      <c r="R9" s="455"/>
      <c r="S9" s="455"/>
      <c r="T9" s="455"/>
      <c r="U9" s="455"/>
      <c r="V9" s="455"/>
      <c r="W9" s="455"/>
      <c r="X9" s="472"/>
      <c r="Y9" s="472"/>
      <c r="Z9" s="472"/>
      <c r="AA9" s="472"/>
      <c r="AB9" s="472"/>
      <c r="AC9" s="472"/>
      <c r="AD9" s="455"/>
      <c r="AE9" s="455"/>
      <c r="AF9" s="455"/>
      <c r="AG9" s="455"/>
      <c r="AH9" s="455"/>
      <c r="AI9" s="455"/>
      <c r="AJ9" s="455"/>
      <c r="AK9" s="455"/>
      <c r="AL9" s="455"/>
      <c r="AM9" s="455"/>
      <c r="AN9" s="455"/>
      <c r="AO9" s="455"/>
      <c r="AP9" s="455"/>
      <c r="AQ9" s="455"/>
      <c r="AR9" s="447"/>
      <c r="AS9" s="468"/>
    </row>
    <row r="10" s="437" customFormat="1" ht="16" customHeight="1" spans="1:45">
      <c r="A10" s="469">
        <v>44992</v>
      </c>
      <c r="B10" s="469">
        <v>44992</v>
      </c>
      <c r="C10" s="470" t="s">
        <v>3818</v>
      </c>
      <c r="D10" s="471" t="s">
        <v>3815</v>
      </c>
      <c r="E10" s="455"/>
      <c r="F10" s="455"/>
      <c r="G10" s="455"/>
      <c r="H10" s="455"/>
      <c r="I10" s="455"/>
      <c r="J10" s="455"/>
      <c r="K10" s="455"/>
      <c r="L10" s="455"/>
      <c r="M10" s="455"/>
      <c r="N10" s="455">
        <v>50000</v>
      </c>
      <c r="O10" s="455"/>
      <c r="P10" s="455"/>
      <c r="Q10" s="455"/>
      <c r="R10" s="455"/>
      <c r="S10" s="455"/>
      <c r="T10" s="455"/>
      <c r="U10" s="455"/>
      <c r="V10" s="455"/>
      <c r="W10" s="455"/>
      <c r="X10" s="472"/>
      <c r="Y10" s="472"/>
      <c r="Z10" s="472"/>
      <c r="AA10" s="472"/>
      <c r="AB10" s="472"/>
      <c r="AC10" s="472"/>
      <c r="AD10" s="455"/>
      <c r="AE10" s="455"/>
      <c r="AF10" s="455"/>
      <c r="AG10" s="455"/>
      <c r="AH10" s="455"/>
      <c r="AI10" s="455"/>
      <c r="AJ10" s="455"/>
      <c r="AK10" s="455"/>
      <c r="AL10" s="455"/>
      <c r="AM10" s="455"/>
      <c r="AN10" s="455"/>
      <c r="AO10" s="455"/>
      <c r="AP10" s="455"/>
      <c r="AQ10" s="455"/>
      <c r="AR10" s="447"/>
      <c r="AS10" s="468"/>
    </row>
    <row r="11" s="437" customFormat="1" ht="16" customHeight="1" spans="1:45">
      <c r="A11" s="469">
        <v>44992</v>
      </c>
      <c r="B11" s="469">
        <v>44992</v>
      </c>
      <c r="C11" s="470" t="s">
        <v>3819</v>
      </c>
      <c r="D11" s="471" t="s">
        <v>3815</v>
      </c>
      <c r="E11" s="455"/>
      <c r="F11" s="455"/>
      <c r="G11" s="455"/>
      <c r="H11" s="455"/>
      <c r="I11" s="455"/>
      <c r="J11" s="455"/>
      <c r="K11" s="455"/>
      <c r="L11" s="455"/>
      <c r="M11" s="455"/>
      <c r="N11" s="455"/>
      <c r="O11" s="455"/>
      <c r="P11" s="455"/>
      <c r="Q11" s="455"/>
      <c r="R11" s="455"/>
      <c r="S11" s="455"/>
      <c r="T11" s="455"/>
      <c r="U11" s="455">
        <v>2000</v>
      </c>
      <c r="V11" s="455"/>
      <c r="W11" s="455"/>
      <c r="X11" s="472"/>
      <c r="Y11" s="472"/>
      <c r="Z11" s="472"/>
      <c r="AA11" s="472"/>
      <c r="AB11" s="472"/>
      <c r="AC11" s="472"/>
      <c r="AD11" s="455"/>
      <c r="AE11" s="455"/>
      <c r="AF11" s="455"/>
      <c r="AG11" s="455"/>
      <c r="AH11" s="455"/>
      <c r="AI11" s="455"/>
      <c r="AJ11" s="455"/>
      <c r="AK11" s="455"/>
      <c r="AL11" s="455"/>
      <c r="AM11" s="455"/>
      <c r="AN11" s="455"/>
      <c r="AO11" s="455"/>
      <c r="AP11" s="455"/>
      <c r="AQ11" s="455"/>
      <c r="AR11" s="447"/>
      <c r="AS11" s="468"/>
    </row>
    <row r="12" s="437" customFormat="1" ht="16" customHeight="1" spans="1:45">
      <c r="A12" s="469"/>
      <c r="B12" s="469">
        <v>45002</v>
      </c>
      <c r="C12" s="470"/>
      <c r="D12" s="471" t="s">
        <v>3820</v>
      </c>
      <c r="E12" s="455"/>
      <c r="F12" s="455"/>
      <c r="G12" s="455"/>
      <c r="H12" s="455"/>
      <c r="I12" s="455"/>
      <c r="J12" s="455"/>
      <c r="K12" s="455"/>
      <c r="L12" s="455"/>
      <c r="M12" s="455"/>
      <c r="N12" s="455"/>
      <c r="O12" s="455"/>
      <c r="P12" s="455"/>
      <c r="Q12" s="455"/>
      <c r="R12" s="455"/>
      <c r="S12" s="455"/>
      <c r="T12" s="455"/>
      <c r="U12" s="455"/>
      <c r="V12" s="455"/>
      <c r="W12" s="455"/>
      <c r="X12" s="472">
        <f>2882+166</f>
        <v>3048</v>
      </c>
      <c r="Y12" s="472"/>
      <c r="Z12" s="472"/>
      <c r="AA12" s="472"/>
      <c r="AB12" s="472"/>
      <c r="AC12" s="472"/>
      <c r="AD12" s="455"/>
      <c r="AE12" s="455"/>
      <c r="AF12" s="455"/>
      <c r="AG12" s="455"/>
      <c r="AH12" s="455"/>
      <c r="AI12" s="455"/>
      <c r="AJ12" s="455"/>
      <c r="AK12" s="455"/>
      <c r="AL12" s="455"/>
      <c r="AM12" s="455"/>
      <c r="AN12" s="455"/>
      <c r="AO12" s="455"/>
      <c r="AP12" s="455"/>
      <c r="AQ12" s="455"/>
      <c r="AR12" s="447" t="s">
        <v>3821</v>
      </c>
      <c r="AS12" s="468"/>
    </row>
    <row r="13" s="437" customFormat="1" ht="16" customHeight="1" spans="1:45">
      <c r="A13" s="469">
        <v>45006</v>
      </c>
      <c r="B13" s="469"/>
      <c r="C13" s="470">
        <v>1000013551</v>
      </c>
      <c r="D13" s="471"/>
      <c r="E13" s="455"/>
      <c r="F13" s="455"/>
      <c r="G13" s="455"/>
      <c r="H13" s="455"/>
      <c r="I13" s="455"/>
      <c r="J13" s="455"/>
      <c r="K13" s="455"/>
      <c r="L13" s="455"/>
      <c r="M13" s="455"/>
      <c r="N13" s="455"/>
      <c r="O13" s="455"/>
      <c r="P13" s="455"/>
      <c r="Q13" s="455"/>
      <c r="R13" s="455"/>
      <c r="S13" s="455"/>
      <c r="T13" s="455"/>
      <c r="U13" s="455"/>
      <c r="V13" s="455"/>
      <c r="W13" s="455"/>
      <c r="X13" s="472"/>
      <c r="Y13" s="472"/>
      <c r="Z13" s="472"/>
      <c r="AA13" s="472"/>
      <c r="AB13" s="472"/>
      <c r="AC13" s="472"/>
      <c r="AD13" s="455"/>
      <c r="AE13" s="455"/>
      <c r="AF13" s="455"/>
      <c r="AG13" s="455"/>
      <c r="AH13" s="455">
        <v>1932</v>
      </c>
      <c r="AI13" s="455"/>
      <c r="AJ13" s="455"/>
      <c r="AK13" s="455"/>
      <c r="AL13" s="455"/>
      <c r="AM13" s="455"/>
      <c r="AN13" s="455"/>
      <c r="AO13" s="455"/>
      <c r="AP13" s="455"/>
      <c r="AQ13" s="455"/>
      <c r="AR13" s="447" t="s">
        <v>3822</v>
      </c>
      <c r="AS13" s="468"/>
    </row>
    <row r="14" s="437" customFormat="1" ht="16" customHeight="1" spans="1:45">
      <c r="A14" s="469">
        <v>45020</v>
      </c>
      <c r="B14" s="469"/>
      <c r="C14" s="470"/>
      <c r="D14" s="471" t="s">
        <v>3823</v>
      </c>
      <c r="E14" s="455"/>
      <c r="F14" s="455"/>
      <c r="G14" s="455"/>
      <c r="H14" s="455"/>
      <c r="I14" s="455"/>
      <c r="J14" s="455"/>
      <c r="K14" s="455"/>
      <c r="L14" s="455"/>
      <c r="M14" s="455"/>
      <c r="N14" s="455"/>
      <c r="O14" s="455"/>
      <c r="P14" s="455"/>
      <c r="Q14" s="455"/>
      <c r="R14" s="455"/>
      <c r="S14" s="455"/>
      <c r="T14" s="455"/>
      <c r="U14" s="455"/>
      <c r="V14" s="455"/>
      <c r="W14" s="455"/>
      <c r="X14" s="472"/>
      <c r="Y14" s="472"/>
      <c r="Z14" s="472"/>
      <c r="AA14" s="472"/>
      <c r="AB14" s="472"/>
      <c r="AC14" s="472"/>
      <c r="AD14" s="455">
        <v>2548</v>
      </c>
      <c r="AE14" s="455"/>
      <c r="AF14" s="455"/>
      <c r="AG14" s="455"/>
      <c r="AH14" s="455"/>
      <c r="AI14" s="455"/>
      <c r="AJ14" s="455"/>
      <c r="AK14" s="455"/>
      <c r="AL14" s="455"/>
      <c r="AM14" s="455"/>
      <c r="AN14" s="455"/>
      <c r="AO14" s="455"/>
      <c r="AP14" s="455"/>
      <c r="AQ14" s="455"/>
      <c r="AR14" s="447" t="s">
        <v>3824</v>
      </c>
      <c r="AS14" s="468"/>
    </row>
    <row r="15" s="437" customFormat="1" ht="16" customHeight="1" spans="1:45">
      <c r="A15" s="469">
        <v>45020</v>
      </c>
      <c r="B15" s="469"/>
      <c r="C15" s="470" t="s">
        <v>3825</v>
      </c>
      <c r="D15" s="471" t="s">
        <v>3815</v>
      </c>
      <c r="E15" s="455"/>
      <c r="F15" s="455">
        <v>50000</v>
      </c>
      <c r="G15" s="455"/>
      <c r="H15" s="455"/>
      <c r="I15" s="455"/>
      <c r="J15" s="455"/>
      <c r="K15" s="455"/>
      <c r="L15" s="455"/>
      <c r="M15" s="455"/>
      <c r="N15" s="455"/>
      <c r="O15" s="455"/>
      <c r="P15" s="455"/>
      <c r="Q15" s="455"/>
      <c r="R15" s="455"/>
      <c r="S15" s="455"/>
      <c r="T15" s="455"/>
      <c r="U15" s="455"/>
      <c r="V15" s="455"/>
      <c r="W15" s="455"/>
      <c r="X15" s="472"/>
      <c r="Y15" s="472"/>
      <c r="Z15" s="472"/>
      <c r="AA15" s="472"/>
      <c r="AB15" s="472"/>
      <c r="AC15" s="472"/>
      <c r="AD15" s="455"/>
      <c r="AE15" s="455"/>
      <c r="AF15" s="455"/>
      <c r="AG15" s="455"/>
      <c r="AH15" s="455"/>
      <c r="AI15" s="455"/>
      <c r="AJ15" s="455"/>
      <c r="AK15" s="455"/>
      <c r="AL15" s="455"/>
      <c r="AM15" s="455"/>
      <c r="AN15" s="455"/>
      <c r="AO15" s="455"/>
      <c r="AP15" s="455"/>
      <c r="AQ15" s="455"/>
      <c r="AR15" s="447"/>
      <c r="AS15" s="468"/>
    </row>
    <row r="16" s="437" customFormat="1" ht="16" customHeight="1" spans="1:45">
      <c r="A16" s="469">
        <v>45020</v>
      </c>
      <c r="B16" s="469"/>
      <c r="C16" s="470" t="s">
        <v>3826</v>
      </c>
      <c r="D16" s="471" t="s">
        <v>3815</v>
      </c>
      <c r="E16" s="455"/>
      <c r="F16" s="455"/>
      <c r="G16" s="455"/>
      <c r="H16" s="455"/>
      <c r="I16" s="455"/>
      <c r="J16" s="455"/>
      <c r="K16" s="455"/>
      <c r="L16" s="455"/>
      <c r="M16" s="455"/>
      <c r="N16" s="455">
        <v>50000</v>
      </c>
      <c r="O16" s="455"/>
      <c r="P16" s="455"/>
      <c r="Q16" s="455"/>
      <c r="R16" s="455"/>
      <c r="S16" s="455"/>
      <c r="T16" s="455"/>
      <c r="U16" s="455"/>
      <c r="V16" s="455"/>
      <c r="W16" s="455"/>
      <c r="X16" s="472"/>
      <c r="Y16" s="472"/>
      <c r="Z16" s="472"/>
      <c r="AA16" s="472"/>
      <c r="AB16" s="472"/>
      <c r="AC16" s="472"/>
      <c r="AD16" s="455"/>
      <c r="AE16" s="455"/>
      <c r="AF16" s="455"/>
      <c r="AG16" s="455"/>
      <c r="AH16" s="455"/>
      <c r="AI16" s="455"/>
      <c r="AJ16" s="455"/>
      <c r="AK16" s="455"/>
      <c r="AL16" s="455"/>
      <c r="AM16" s="455"/>
      <c r="AN16" s="455"/>
      <c r="AO16" s="455"/>
      <c r="AP16" s="455"/>
      <c r="AQ16" s="455"/>
      <c r="AR16" s="447"/>
      <c r="AS16" s="468"/>
    </row>
    <row r="17" s="437" customFormat="1" ht="16" customHeight="1" spans="1:45">
      <c r="A17" s="469">
        <v>45020</v>
      </c>
      <c r="B17" s="469"/>
      <c r="C17" s="470" t="s">
        <v>3827</v>
      </c>
      <c r="D17" s="471" t="s">
        <v>3815</v>
      </c>
      <c r="E17" s="455"/>
      <c r="F17" s="455"/>
      <c r="G17" s="455"/>
      <c r="H17" s="455"/>
      <c r="I17" s="455"/>
      <c r="J17" s="455"/>
      <c r="K17" s="455"/>
      <c r="L17" s="455"/>
      <c r="M17" s="455"/>
      <c r="N17" s="455"/>
      <c r="O17" s="455"/>
      <c r="P17" s="455"/>
      <c r="Q17" s="455"/>
      <c r="R17" s="455">
        <v>3000</v>
      </c>
      <c r="S17" s="455"/>
      <c r="T17" s="455"/>
      <c r="U17" s="455"/>
      <c r="V17" s="455"/>
      <c r="W17" s="455"/>
      <c r="X17" s="472"/>
      <c r="Y17" s="472"/>
      <c r="Z17" s="472"/>
      <c r="AA17" s="472"/>
      <c r="AB17" s="472"/>
      <c r="AC17" s="472"/>
      <c r="AD17" s="455"/>
      <c r="AE17" s="455"/>
      <c r="AF17" s="455"/>
      <c r="AG17" s="455"/>
      <c r="AH17" s="455"/>
      <c r="AI17" s="455"/>
      <c r="AJ17" s="455"/>
      <c r="AK17" s="455"/>
      <c r="AL17" s="455"/>
      <c r="AM17" s="455"/>
      <c r="AN17" s="455"/>
      <c r="AO17" s="455"/>
      <c r="AP17" s="455"/>
      <c r="AQ17" s="455"/>
      <c r="AR17" s="447"/>
      <c r="AS17" s="468"/>
    </row>
    <row r="18" s="437" customFormat="1" ht="16" customHeight="1" spans="1:45">
      <c r="A18" s="469">
        <v>45020</v>
      </c>
      <c r="B18" s="469"/>
      <c r="C18" s="470" t="s">
        <v>3828</v>
      </c>
      <c r="D18" s="471" t="s">
        <v>3815</v>
      </c>
      <c r="E18" s="455"/>
      <c r="F18" s="455"/>
      <c r="G18" s="455"/>
      <c r="H18" s="455"/>
      <c r="I18" s="455"/>
      <c r="J18" s="455"/>
      <c r="K18" s="455"/>
      <c r="L18" s="455"/>
      <c r="M18" s="455"/>
      <c r="N18" s="455"/>
      <c r="O18" s="455"/>
      <c r="P18" s="455"/>
      <c r="Q18" s="455"/>
      <c r="R18" s="455"/>
      <c r="S18" s="455"/>
      <c r="T18" s="455"/>
      <c r="U18" s="455">
        <v>2000</v>
      </c>
      <c r="V18" s="455"/>
      <c r="W18" s="455"/>
      <c r="X18" s="472"/>
      <c r="Y18" s="472"/>
      <c r="Z18" s="472"/>
      <c r="AA18" s="472"/>
      <c r="AB18" s="472"/>
      <c r="AC18" s="472"/>
      <c r="AD18" s="455"/>
      <c r="AE18" s="455"/>
      <c r="AF18" s="455"/>
      <c r="AG18" s="455"/>
      <c r="AH18" s="455"/>
      <c r="AI18" s="455"/>
      <c r="AJ18" s="455"/>
      <c r="AK18" s="455"/>
      <c r="AL18" s="455"/>
      <c r="AM18" s="455"/>
      <c r="AN18" s="455"/>
      <c r="AO18" s="455"/>
      <c r="AP18" s="455"/>
      <c r="AQ18" s="455"/>
      <c r="AR18" s="447"/>
      <c r="AS18" s="468"/>
    </row>
    <row r="19" s="437" customFormat="1" ht="16" customHeight="1" spans="1:45">
      <c r="A19" s="469"/>
      <c r="B19" s="469"/>
      <c r="C19" s="470">
        <v>1000013945</v>
      </c>
      <c r="D19" s="471" t="s">
        <v>3829</v>
      </c>
      <c r="E19" s="455"/>
      <c r="F19" s="455"/>
      <c r="G19" s="455"/>
      <c r="H19" s="455"/>
      <c r="I19" s="455"/>
      <c r="J19" s="455"/>
      <c r="K19" s="455"/>
      <c r="L19" s="455"/>
      <c r="M19" s="455"/>
      <c r="N19" s="455"/>
      <c r="O19" s="455"/>
      <c r="P19" s="455"/>
      <c r="Q19" s="455"/>
      <c r="R19" s="455" t="s">
        <v>1299</v>
      </c>
      <c r="S19" s="455"/>
      <c r="T19" s="455"/>
      <c r="U19" s="455"/>
      <c r="V19" s="455"/>
      <c r="W19" s="455"/>
      <c r="X19" s="472"/>
      <c r="Y19" s="472"/>
      <c r="Z19" s="472"/>
      <c r="AA19" s="472"/>
      <c r="AB19" s="472"/>
      <c r="AC19" s="472"/>
      <c r="AD19" s="455"/>
      <c r="AE19" s="455"/>
      <c r="AF19" s="455"/>
      <c r="AG19" s="455"/>
      <c r="AH19" s="455"/>
      <c r="AI19" s="455"/>
      <c r="AJ19" s="455"/>
      <c r="AK19" s="455"/>
      <c r="AL19" s="455"/>
      <c r="AM19" s="455"/>
      <c r="AN19" s="455">
        <v>30000</v>
      </c>
      <c r="AO19" s="455"/>
      <c r="AP19" s="455"/>
      <c r="AQ19" s="455"/>
      <c r="AR19" s="447" t="s">
        <v>3830</v>
      </c>
      <c r="AS19" s="468"/>
    </row>
    <row r="20" s="437" customFormat="1" ht="16" customHeight="1" spans="1:45">
      <c r="A20" s="469"/>
      <c r="B20" s="469"/>
      <c r="C20" s="470">
        <v>1000013946</v>
      </c>
      <c r="D20" s="471" t="s">
        <v>3829</v>
      </c>
      <c r="E20" s="455"/>
      <c r="F20" s="455"/>
      <c r="G20" s="455"/>
      <c r="H20" s="455"/>
      <c r="I20" s="455"/>
      <c r="J20" s="455"/>
      <c r="K20" s="455"/>
      <c r="L20" s="455"/>
      <c r="M20" s="455"/>
      <c r="N20" s="455"/>
      <c r="O20" s="455"/>
      <c r="P20" s="455"/>
      <c r="Q20" s="455"/>
      <c r="R20" s="455"/>
      <c r="S20" s="455"/>
      <c r="T20" s="455"/>
      <c r="U20" s="455"/>
      <c r="V20" s="455"/>
      <c r="W20" s="455"/>
      <c r="X20" s="472"/>
      <c r="Y20" s="472"/>
      <c r="Z20" s="472"/>
      <c r="AA20" s="472"/>
      <c r="AB20" s="472"/>
      <c r="AC20" s="472"/>
      <c r="AD20" s="455"/>
      <c r="AE20" s="455"/>
      <c r="AF20" s="455"/>
      <c r="AG20" s="455"/>
      <c r="AH20" s="455"/>
      <c r="AI20" s="455"/>
      <c r="AJ20" s="455"/>
      <c r="AK20" s="455"/>
      <c r="AL20" s="455"/>
      <c r="AM20" s="455"/>
      <c r="AN20" s="455"/>
      <c r="AO20" s="455">
        <v>1603</v>
      </c>
      <c r="AP20" s="455"/>
      <c r="AQ20" s="455"/>
      <c r="AR20" s="447" t="s">
        <v>3831</v>
      </c>
      <c r="AS20" s="468"/>
    </row>
    <row r="21" s="437" customFormat="1" ht="16" customHeight="1" spans="1:45">
      <c r="A21" s="469">
        <v>45037</v>
      </c>
      <c r="B21" s="469">
        <v>45037</v>
      </c>
      <c r="C21" s="470" t="s">
        <v>3832</v>
      </c>
      <c r="D21" s="471" t="s">
        <v>3815</v>
      </c>
      <c r="E21" s="455"/>
      <c r="F21" s="455">
        <v>50000</v>
      </c>
      <c r="G21" s="455"/>
      <c r="H21" s="455"/>
      <c r="I21" s="455"/>
      <c r="J21" s="455"/>
      <c r="K21" s="455"/>
      <c r="L21" s="455"/>
      <c r="M21" s="455"/>
      <c r="N21" s="455"/>
      <c r="O21" s="455"/>
      <c r="P21" s="455"/>
      <c r="Q21" s="455"/>
      <c r="R21" s="455"/>
      <c r="S21" s="455"/>
      <c r="T21" s="455"/>
      <c r="U21" s="455"/>
      <c r="V21" s="455"/>
      <c r="W21" s="455"/>
      <c r="X21" s="472"/>
      <c r="Y21" s="472"/>
      <c r="Z21" s="472"/>
      <c r="AA21" s="472"/>
      <c r="AB21" s="472"/>
      <c r="AC21" s="472"/>
      <c r="AD21" s="455"/>
      <c r="AE21" s="455"/>
      <c r="AF21" s="455"/>
      <c r="AG21" s="455"/>
      <c r="AH21" s="455"/>
      <c r="AI21" s="455"/>
      <c r="AJ21" s="455"/>
      <c r="AK21" s="455"/>
      <c r="AL21" s="455"/>
      <c r="AM21" s="455"/>
      <c r="AN21" s="455"/>
      <c r="AO21" s="455"/>
      <c r="AP21" s="455"/>
      <c r="AQ21" s="455"/>
      <c r="AR21" s="447"/>
      <c r="AS21" s="468"/>
    </row>
    <row r="22" s="437" customFormat="1" ht="16" customHeight="1" spans="1:45">
      <c r="A22" s="469">
        <v>45037</v>
      </c>
      <c r="B22" s="469">
        <v>45037</v>
      </c>
      <c r="C22" s="470" t="s">
        <v>3833</v>
      </c>
      <c r="D22" s="471" t="s">
        <v>3815</v>
      </c>
      <c r="E22" s="455"/>
      <c r="F22" s="455"/>
      <c r="G22" s="455"/>
      <c r="H22" s="455"/>
      <c r="I22" s="455"/>
      <c r="J22" s="455">
        <v>30000</v>
      </c>
      <c r="K22" s="455"/>
      <c r="L22" s="455"/>
      <c r="M22" s="455"/>
      <c r="N22" s="455"/>
      <c r="O22" s="455"/>
      <c r="P22" s="455"/>
      <c r="Q22" s="455"/>
      <c r="R22" s="455"/>
      <c r="S22" s="455"/>
      <c r="T22" s="455"/>
      <c r="U22" s="455"/>
      <c r="V22" s="455"/>
      <c r="W22" s="455"/>
      <c r="X22" s="472"/>
      <c r="Y22" s="472"/>
      <c r="Z22" s="472"/>
      <c r="AA22" s="472"/>
      <c r="AB22" s="472"/>
      <c r="AC22" s="472"/>
      <c r="AD22" s="455"/>
      <c r="AE22" s="455"/>
      <c r="AF22" s="455"/>
      <c r="AG22" s="455"/>
      <c r="AH22" s="455"/>
      <c r="AI22" s="455"/>
      <c r="AJ22" s="455"/>
      <c r="AK22" s="455"/>
      <c r="AL22" s="455"/>
      <c r="AM22" s="455"/>
      <c r="AN22" s="455"/>
      <c r="AO22" s="455"/>
      <c r="AP22" s="455"/>
      <c r="AQ22" s="455"/>
      <c r="AR22" s="447"/>
      <c r="AS22" s="468"/>
    </row>
    <row r="23" s="437" customFormat="1" ht="16" customHeight="1" spans="1:45">
      <c r="A23" s="469">
        <v>45037</v>
      </c>
      <c r="B23" s="469">
        <v>45037</v>
      </c>
      <c r="C23" s="470" t="s">
        <v>3834</v>
      </c>
      <c r="D23" s="471" t="s">
        <v>3815</v>
      </c>
      <c r="E23" s="455"/>
      <c r="F23" s="455"/>
      <c r="G23" s="455"/>
      <c r="H23" s="455"/>
      <c r="I23" s="455"/>
      <c r="J23" s="455"/>
      <c r="K23" s="455"/>
      <c r="L23" s="455"/>
      <c r="M23" s="455"/>
      <c r="N23" s="455">
        <v>100000</v>
      </c>
      <c r="O23" s="455"/>
      <c r="P23" s="455"/>
      <c r="Q23" s="455"/>
      <c r="R23" s="455"/>
      <c r="S23" s="455"/>
      <c r="T23" s="455"/>
      <c r="U23" s="455"/>
      <c r="V23" s="455"/>
      <c r="W23" s="455"/>
      <c r="X23" s="472"/>
      <c r="Y23" s="472"/>
      <c r="Z23" s="472"/>
      <c r="AA23" s="472"/>
      <c r="AB23" s="472"/>
      <c r="AC23" s="472"/>
      <c r="AD23" s="455"/>
      <c r="AE23" s="455"/>
      <c r="AF23" s="455"/>
      <c r="AG23" s="455"/>
      <c r="AH23" s="455"/>
      <c r="AI23" s="455"/>
      <c r="AJ23" s="455"/>
      <c r="AK23" s="455"/>
      <c r="AL23" s="455"/>
      <c r="AM23" s="455"/>
      <c r="AN23" s="455"/>
      <c r="AO23" s="455"/>
      <c r="AP23" s="455"/>
      <c r="AQ23" s="455"/>
      <c r="AR23" s="447"/>
      <c r="AS23" s="468"/>
    </row>
    <row r="24" s="437" customFormat="1" ht="16" customHeight="1" spans="1:45">
      <c r="A24" s="469">
        <v>45037</v>
      </c>
      <c r="B24" s="469">
        <v>45037</v>
      </c>
      <c r="C24" s="470" t="s">
        <v>3835</v>
      </c>
      <c r="D24" s="471" t="s">
        <v>3815</v>
      </c>
      <c r="E24" s="455"/>
      <c r="F24" s="455"/>
      <c r="G24" s="455"/>
      <c r="H24" s="455"/>
      <c r="I24" s="455"/>
      <c r="J24" s="455"/>
      <c r="K24" s="455"/>
      <c r="L24" s="455"/>
      <c r="M24" s="455"/>
      <c r="N24" s="455"/>
      <c r="O24" s="455"/>
      <c r="P24" s="455"/>
      <c r="Q24" s="455"/>
      <c r="R24" s="455">
        <v>5000</v>
      </c>
      <c r="S24" s="455"/>
      <c r="T24" s="455"/>
      <c r="U24" s="455"/>
      <c r="V24" s="455"/>
      <c r="W24" s="455"/>
      <c r="X24" s="472"/>
      <c r="Y24" s="472"/>
      <c r="Z24" s="472"/>
      <c r="AA24" s="472"/>
      <c r="AB24" s="472"/>
      <c r="AC24" s="472"/>
      <c r="AD24" s="455"/>
      <c r="AE24" s="455"/>
      <c r="AF24" s="455"/>
      <c r="AG24" s="455"/>
      <c r="AH24" s="455"/>
      <c r="AI24" s="455"/>
      <c r="AJ24" s="455"/>
      <c r="AK24" s="455"/>
      <c r="AL24" s="455"/>
      <c r="AM24" s="455"/>
      <c r="AN24" s="455"/>
      <c r="AO24" s="455"/>
      <c r="AP24" s="455"/>
      <c r="AQ24" s="455"/>
      <c r="AR24" s="447"/>
      <c r="AS24" s="468"/>
    </row>
    <row r="25" s="437" customFormat="1" ht="16" customHeight="1" spans="1:45">
      <c r="A25" s="469">
        <v>45037</v>
      </c>
      <c r="B25" s="469">
        <v>45037</v>
      </c>
      <c r="C25" s="470" t="s">
        <v>3836</v>
      </c>
      <c r="D25" s="471" t="s">
        <v>3815</v>
      </c>
      <c r="E25" s="455"/>
      <c r="F25" s="455"/>
      <c r="G25" s="455"/>
      <c r="H25" s="455"/>
      <c r="I25" s="455"/>
      <c r="J25" s="455"/>
      <c r="K25" s="455"/>
      <c r="L25" s="455"/>
      <c r="M25" s="455"/>
      <c r="N25" s="455"/>
      <c r="O25" s="455"/>
      <c r="P25" s="455"/>
      <c r="Q25" s="455"/>
      <c r="R25" s="455"/>
      <c r="S25" s="455"/>
      <c r="T25" s="455"/>
      <c r="U25" s="455">
        <v>2000</v>
      </c>
      <c r="V25" s="455"/>
      <c r="W25" s="455"/>
      <c r="X25" s="472"/>
      <c r="Y25" s="472"/>
      <c r="Z25" s="472"/>
      <c r="AA25" s="472"/>
      <c r="AB25" s="472"/>
      <c r="AC25" s="472"/>
      <c r="AD25" s="455"/>
      <c r="AE25" s="455"/>
      <c r="AF25" s="455"/>
      <c r="AG25" s="455"/>
      <c r="AH25" s="455"/>
      <c r="AI25" s="455"/>
      <c r="AJ25" s="455"/>
      <c r="AK25" s="455"/>
      <c r="AL25" s="455"/>
      <c r="AM25" s="455"/>
      <c r="AN25" s="455"/>
      <c r="AO25" s="455"/>
      <c r="AP25" s="455"/>
      <c r="AQ25" s="455"/>
      <c r="AR25" s="447"/>
      <c r="AS25" s="468"/>
    </row>
    <row r="26" s="437" customFormat="1" ht="16" customHeight="1" spans="1:45">
      <c r="A26" s="469">
        <v>45037</v>
      </c>
      <c r="B26" s="469">
        <v>45042</v>
      </c>
      <c r="C26" s="470">
        <v>10000114110</v>
      </c>
      <c r="D26" s="471" t="s">
        <v>3815</v>
      </c>
      <c r="E26" s="455"/>
      <c r="F26" s="455"/>
      <c r="G26" s="455"/>
      <c r="H26" s="455"/>
      <c r="I26" s="455"/>
      <c r="J26" s="455"/>
      <c r="K26" s="455"/>
      <c r="L26" s="455"/>
      <c r="M26" s="455"/>
      <c r="N26" s="455"/>
      <c r="O26" s="455"/>
      <c r="P26" s="455"/>
      <c r="Q26" s="455"/>
      <c r="R26" s="455"/>
      <c r="S26" s="455"/>
      <c r="T26" s="455"/>
      <c r="U26" s="455"/>
      <c r="V26" s="455"/>
      <c r="W26" s="455"/>
      <c r="X26" s="472"/>
      <c r="Y26" s="472"/>
      <c r="Z26" s="472"/>
      <c r="AA26" s="472"/>
      <c r="AB26" s="472"/>
      <c r="AC26" s="472"/>
      <c r="AD26" s="455"/>
      <c r="AE26" s="455"/>
      <c r="AF26" s="455"/>
      <c r="AG26" s="455"/>
      <c r="AH26" s="455"/>
      <c r="AI26" s="455"/>
      <c r="AJ26" s="455"/>
      <c r="AK26" s="455"/>
      <c r="AL26" s="455"/>
      <c r="AM26" s="455"/>
      <c r="AN26" s="455"/>
      <c r="AO26" s="455"/>
      <c r="AP26" s="455"/>
      <c r="AQ26" s="455">
        <v>300</v>
      </c>
      <c r="AR26" s="447"/>
      <c r="AS26" s="468"/>
    </row>
    <row r="27" s="437" customFormat="1" ht="16" customHeight="1" spans="1:45">
      <c r="A27" s="469"/>
      <c r="B27" s="469"/>
      <c r="C27" s="470"/>
      <c r="D27" s="471"/>
      <c r="E27" s="455"/>
      <c r="F27" s="455"/>
      <c r="G27" s="455"/>
      <c r="H27" s="455"/>
      <c r="I27" s="455"/>
      <c r="J27" s="455"/>
      <c r="K27" s="455"/>
      <c r="L27" s="455"/>
      <c r="M27" s="455"/>
      <c r="N27" s="455"/>
      <c r="O27" s="455"/>
      <c r="P27" s="455"/>
      <c r="Q27" s="455"/>
      <c r="R27" s="455"/>
      <c r="S27" s="455"/>
      <c r="T27" s="455"/>
      <c r="U27" s="455"/>
      <c r="V27" s="455"/>
      <c r="W27" s="455"/>
      <c r="X27" s="472"/>
      <c r="Y27" s="472"/>
      <c r="Z27" s="472"/>
      <c r="AA27" s="472"/>
      <c r="AB27" s="472">
        <v>448</v>
      </c>
      <c r="AC27" s="472"/>
      <c r="AD27" s="455"/>
      <c r="AE27" s="455"/>
      <c r="AF27" s="455"/>
      <c r="AG27" s="455"/>
      <c r="AH27" s="455"/>
      <c r="AI27" s="455"/>
      <c r="AJ27" s="455"/>
      <c r="AK27" s="455"/>
      <c r="AL27" s="455"/>
      <c r="AM27" s="455"/>
      <c r="AN27" s="455"/>
      <c r="AO27" s="455"/>
      <c r="AP27" s="455"/>
      <c r="AQ27" s="455"/>
      <c r="AR27" s="447"/>
      <c r="AS27" s="468"/>
    </row>
    <row r="28" s="437" customFormat="1" ht="16" customHeight="1" spans="1:45">
      <c r="A28" s="469"/>
      <c r="B28" s="469"/>
      <c r="C28" s="470">
        <v>1000014104</v>
      </c>
      <c r="D28" s="471" t="s">
        <v>3820</v>
      </c>
      <c r="E28" s="455"/>
      <c r="F28" s="455"/>
      <c r="G28" s="455"/>
      <c r="H28" s="455"/>
      <c r="I28" s="455"/>
      <c r="J28" s="455"/>
      <c r="K28" s="455"/>
      <c r="L28" s="455"/>
      <c r="M28" s="455"/>
      <c r="N28" s="455"/>
      <c r="O28" s="455"/>
      <c r="P28" s="455"/>
      <c r="Q28" s="455"/>
      <c r="R28" s="455"/>
      <c r="S28" s="455"/>
      <c r="T28" s="455"/>
      <c r="U28" s="455"/>
      <c r="V28" s="455"/>
      <c r="W28" s="455"/>
      <c r="X28" s="472"/>
      <c r="Y28" s="472"/>
      <c r="Z28" s="472"/>
      <c r="AA28" s="472"/>
      <c r="AB28" s="472"/>
      <c r="AC28" s="472"/>
      <c r="AD28" s="455"/>
      <c r="AE28" s="455"/>
      <c r="AF28" s="455"/>
      <c r="AG28" s="455"/>
      <c r="AH28" s="455">
        <v>4256</v>
      </c>
      <c r="AI28" s="455"/>
      <c r="AJ28" s="455"/>
      <c r="AK28" s="455"/>
      <c r="AL28" s="455"/>
      <c r="AM28" s="455"/>
      <c r="AN28" s="455"/>
      <c r="AO28" s="455"/>
      <c r="AP28" s="455"/>
      <c r="AQ28" s="455"/>
      <c r="AR28" s="447" t="s">
        <v>3837</v>
      </c>
      <c r="AS28" s="468"/>
    </row>
    <row r="29" s="437" customFormat="1" ht="16" customHeight="1" spans="1:45">
      <c r="A29" s="469"/>
      <c r="B29" s="469"/>
      <c r="C29" s="470">
        <v>1000014159</v>
      </c>
      <c r="D29" s="471" t="s">
        <v>3829</v>
      </c>
      <c r="E29" s="455"/>
      <c r="F29" s="455"/>
      <c r="G29" s="455"/>
      <c r="H29" s="455"/>
      <c r="I29" s="455"/>
      <c r="J29" s="455"/>
      <c r="K29" s="455"/>
      <c r="L29" s="455"/>
      <c r="M29" s="455"/>
      <c r="N29" s="455"/>
      <c r="O29" s="455"/>
      <c r="P29" s="455"/>
      <c r="Q29" s="455"/>
      <c r="R29" s="455"/>
      <c r="S29" s="455"/>
      <c r="T29" s="455"/>
      <c r="U29" s="455"/>
      <c r="V29" s="455"/>
      <c r="W29" s="455"/>
      <c r="X29" s="472"/>
      <c r="Y29" s="472"/>
      <c r="Z29" s="472"/>
      <c r="AA29" s="472"/>
      <c r="AB29" s="472">
        <v>1140</v>
      </c>
      <c r="AC29" s="472"/>
      <c r="AD29" s="455"/>
      <c r="AE29" s="455"/>
      <c r="AF29" s="455"/>
      <c r="AG29" s="455"/>
      <c r="AH29" s="455"/>
      <c r="AI29" s="455"/>
      <c r="AJ29" s="455"/>
      <c r="AK29" s="455"/>
      <c r="AL29" s="455"/>
      <c r="AM29" s="455"/>
      <c r="AN29" s="455"/>
      <c r="AO29" s="455"/>
      <c r="AP29" s="455"/>
      <c r="AQ29" s="455"/>
      <c r="AR29" s="447" t="s">
        <v>3838</v>
      </c>
      <c r="AS29" s="468"/>
    </row>
    <row r="30" s="437" customFormat="1" ht="16" customHeight="1" spans="1:45">
      <c r="A30" s="469"/>
      <c r="B30" s="469">
        <v>45044</v>
      </c>
      <c r="C30" s="470" t="s">
        <v>3839</v>
      </c>
      <c r="D30" s="471" t="s">
        <v>3815</v>
      </c>
      <c r="E30" s="455"/>
      <c r="F30" s="455">
        <v>100000</v>
      </c>
      <c r="G30" s="455"/>
      <c r="H30" s="455"/>
      <c r="I30" s="455"/>
      <c r="J30" s="455"/>
      <c r="K30" s="455"/>
      <c r="L30" s="455"/>
      <c r="M30" s="455"/>
      <c r="N30" s="455"/>
      <c r="O30" s="455"/>
      <c r="P30" s="455"/>
      <c r="Q30" s="455"/>
      <c r="R30" s="455"/>
      <c r="S30" s="455"/>
      <c r="T30" s="455"/>
      <c r="U30" s="455"/>
      <c r="V30" s="455"/>
      <c r="W30" s="455"/>
      <c r="X30" s="472"/>
      <c r="Y30" s="472"/>
      <c r="Z30" s="472"/>
      <c r="AA30" s="472"/>
      <c r="AB30" s="472"/>
      <c r="AC30" s="472"/>
      <c r="AD30" s="455"/>
      <c r="AE30" s="455"/>
      <c r="AF30" s="455"/>
      <c r="AG30" s="455"/>
      <c r="AH30" s="455"/>
      <c r="AI30" s="455"/>
      <c r="AJ30" s="455"/>
      <c r="AK30" s="455"/>
      <c r="AL30" s="455"/>
      <c r="AM30" s="455"/>
      <c r="AN30" s="455"/>
      <c r="AO30" s="455"/>
      <c r="AP30" s="455"/>
      <c r="AQ30" s="455"/>
      <c r="AR30" s="447"/>
      <c r="AS30" s="468"/>
    </row>
    <row r="31" s="437" customFormat="1" ht="16" customHeight="1" spans="1:45">
      <c r="A31" s="469"/>
      <c r="B31" s="469">
        <v>45044</v>
      </c>
      <c r="C31" s="470" t="s">
        <v>3840</v>
      </c>
      <c r="D31" s="471" t="s">
        <v>3815</v>
      </c>
      <c r="E31" s="455"/>
      <c r="F31" s="455"/>
      <c r="G31" s="455"/>
      <c r="H31" s="455"/>
      <c r="I31" s="455"/>
      <c r="J31" s="455"/>
      <c r="K31" s="455"/>
      <c r="L31" s="455"/>
      <c r="M31" s="455"/>
      <c r="N31" s="455">
        <v>100000</v>
      </c>
      <c r="O31" s="455"/>
      <c r="P31" s="455"/>
      <c r="Q31" s="455"/>
      <c r="R31" s="455"/>
      <c r="S31" s="455"/>
      <c r="T31" s="455"/>
      <c r="U31" s="455"/>
      <c r="V31" s="455"/>
      <c r="W31" s="455"/>
      <c r="X31" s="472"/>
      <c r="Y31" s="472"/>
      <c r="Z31" s="472"/>
      <c r="AA31" s="472"/>
      <c r="AB31" s="472"/>
      <c r="AC31" s="472"/>
      <c r="AD31" s="455"/>
      <c r="AE31" s="455"/>
      <c r="AF31" s="455"/>
      <c r="AG31" s="455"/>
      <c r="AH31" s="455"/>
      <c r="AI31" s="455"/>
      <c r="AJ31" s="455"/>
      <c r="AK31" s="455"/>
      <c r="AL31" s="455"/>
      <c r="AM31" s="455"/>
      <c r="AN31" s="455"/>
      <c r="AO31" s="455"/>
      <c r="AP31" s="455"/>
      <c r="AQ31" s="455"/>
      <c r="AR31" s="447"/>
      <c r="AS31" s="468"/>
    </row>
    <row r="32" s="437" customFormat="1" ht="16" customHeight="1" spans="1:45">
      <c r="A32" s="469"/>
      <c r="B32" s="469">
        <v>45042</v>
      </c>
      <c r="C32" s="470" t="s">
        <v>3841</v>
      </c>
      <c r="D32" s="471" t="s">
        <v>3815</v>
      </c>
      <c r="E32" s="455"/>
      <c r="F32" s="455"/>
      <c r="G32" s="455"/>
      <c r="H32" s="455"/>
      <c r="I32" s="455"/>
      <c r="J32" s="455"/>
      <c r="K32" s="455"/>
      <c r="L32" s="455"/>
      <c r="M32" s="455"/>
      <c r="N32" s="455"/>
      <c r="O32" s="455"/>
      <c r="P32" s="455"/>
      <c r="Q32" s="455"/>
      <c r="R32" s="455"/>
      <c r="S32" s="455"/>
      <c r="T32" s="455"/>
      <c r="U32" s="455"/>
      <c r="V32" s="455"/>
      <c r="W32" s="455"/>
      <c r="X32" s="472"/>
      <c r="Y32" s="472"/>
      <c r="Z32" s="472"/>
      <c r="AA32" s="472"/>
      <c r="AB32" s="472"/>
      <c r="AC32" s="472"/>
      <c r="AD32" s="455"/>
      <c r="AE32" s="455"/>
      <c r="AF32" s="455"/>
      <c r="AG32" s="455"/>
      <c r="AH32" s="455"/>
      <c r="AI32" s="455"/>
      <c r="AJ32" s="455"/>
      <c r="AK32" s="455"/>
      <c r="AL32" s="455"/>
      <c r="AM32" s="455"/>
      <c r="AN32" s="455"/>
      <c r="AO32" s="455"/>
      <c r="AP32" s="455">
        <v>300</v>
      </c>
      <c r="AQ32" s="455"/>
      <c r="AR32" s="447"/>
      <c r="AS32" s="468"/>
    </row>
    <row r="33" s="437" customFormat="1" ht="16" customHeight="1" spans="1:45">
      <c r="A33" s="469"/>
      <c r="B33" s="469">
        <v>45055</v>
      </c>
      <c r="C33" s="470">
        <v>1000014298</v>
      </c>
      <c r="D33" s="471" t="s">
        <v>3823</v>
      </c>
      <c r="E33" s="455"/>
      <c r="F33" s="455"/>
      <c r="G33" s="455"/>
      <c r="H33" s="455"/>
      <c r="I33" s="455"/>
      <c r="J33" s="455"/>
      <c r="K33" s="455"/>
      <c r="L33" s="455"/>
      <c r="M33" s="455"/>
      <c r="N33" s="455"/>
      <c r="O33" s="455"/>
      <c r="P33" s="455"/>
      <c r="Q33" s="455"/>
      <c r="R33" s="455"/>
      <c r="S33" s="455"/>
      <c r="T33" s="455"/>
      <c r="U33" s="455"/>
      <c r="V33" s="455"/>
      <c r="W33" s="455"/>
      <c r="X33" s="472"/>
      <c r="Y33" s="472"/>
      <c r="Z33" s="472"/>
      <c r="AA33" s="472"/>
      <c r="AB33" s="472"/>
      <c r="AC33" s="472"/>
      <c r="AD33" s="455">
        <v>917</v>
      </c>
      <c r="AE33" s="455"/>
      <c r="AF33" s="455"/>
      <c r="AG33" s="455"/>
      <c r="AH33" s="455"/>
      <c r="AI33" s="455"/>
      <c r="AJ33" s="455"/>
      <c r="AK33" s="455"/>
      <c r="AL33" s="455"/>
      <c r="AM33" s="455"/>
      <c r="AN33" s="455"/>
      <c r="AO33" s="455"/>
      <c r="AP33" s="455"/>
      <c r="AQ33" s="455"/>
      <c r="AR33" s="1300" t="s">
        <v>3842</v>
      </c>
      <c r="AS33" s="468"/>
    </row>
    <row r="34" s="437" customFormat="1" ht="16" customHeight="1" spans="1:45">
      <c r="A34" s="469"/>
      <c r="B34" s="469">
        <v>45061</v>
      </c>
      <c r="C34" s="470">
        <v>1000014386</v>
      </c>
      <c r="D34" s="471" t="s">
        <v>3820</v>
      </c>
      <c r="E34" s="455"/>
      <c r="F34" s="455"/>
      <c r="G34" s="455"/>
      <c r="H34" s="455"/>
      <c r="I34" s="455"/>
      <c r="J34" s="455"/>
      <c r="K34" s="455"/>
      <c r="L34" s="455"/>
      <c r="M34" s="455"/>
      <c r="N34" s="455"/>
      <c r="O34" s="455"/>
      <c r="P34" s="455"/>
      <c r="Q34" s="455"/>
      <c r="R34" s="455"/>
      <c r="S34" s="455"/>
      <c r="T34" s="455"/>
      <c r="U34" s="455"/>
      <c r="V34" s="455"/>
      <c r="W34" s="455"/>
      <c r="X34" s="472"/>
      <c r="Y34" s="472"/>
      <c r="Z34" s="472"/>
      <c r="AA34" s="472"/>
      <c r="AB34" s="472"/>
      <c r="AC34" s="472"/>
      <c r="AD34" s="455"/>
      <c r="AE34" s="455"/>
      <c r="AF34" s="455"/>
      <c r="AG34" s="455"/>
      <c r="AH34" s="455"/>
      <c r="AI34" s="455"/>
      <c r="AJ34" s="455"/>
      <c r="AK34" s="455"/>
      <c r="AL34" s="455">
        <v>1780</v>
      </c>
      <c r="AM34" s="455"/>
      <c r="AN34" s="455"/>
      <c r="AO34" s="455"/>
      <c r="AP34" s="455"/>
      <c r="AQ34" s="455"/>
      <c r="AR34" s="473" t="s">
        <v>3843</v>
      </c>
      <c r="AS34" s="468"/>
    </row>
    <row r="35" s="437" customFormat="1" ht="16" customHeight="1" spans="1:45">
      <c r="A35" s="469"/>
      <c r="B35" s="469">
        <v>45072</v>
      </c>
      <c r="C35" s="470">
        <v>1000014579</v>
      </c>
      <c r="D35" s="471" t="s">
        <v>3829</v>
      </c>
      <c r="E35" s="455"/>
      <c r="F35" s="455"/>
      <c r="G35" s="455"/>
      <c r="H35" s="455"/>
      <c r="I35" s="455"/>
      <c r="J35" s="455"/>
      <c r="K35" s="455"/>
      <c r="L35" s="455"/>
      <c r="M35" s="455"/>
      <c r="N35" s="455"/>
      <c r="O35" s="455"/>
      <c r="P35" s="455"/>
      <c r="Q35" s="455"/>
      <c r="R35" s="455"/>
      <c r="S35" s="455"/>
      <c r="T35" s="455"/>
      <c r="U35" s="455"/>
      <c r="V35" s="455"/>
      <c r="W35" s="455"/>
      <c r="X35" s="472"/>
      <c r="Y35" s="472"/>
      <c r="Z35" s="472"/>
      <c r="AA35" s="472"/>
      <c r="AB35" s="472"/>
      <c r="AC35" s="472"/>
      <c r="AD35" s="455"/>
      <c r="AE35" s="455"/>
      <c r="AF35" s="455"/>
      <c r="AG35" s="455"/>
      <c r="AH35" s="455"/>
      <c r="AI35" s="455"/>
      <c r="AJ35" s="455"/>
      <c r="AK35" s="455"/>
      <c r="AL35" s="455"/>
      <c r="AM35" s="455"/>
      <c r="AN35" s="455">
        <v>30000</v>
      </c>
      <c r="AO35" s="455"/>
      <c r="AP35" s="455"/>
      <c r="AQ35" s="455"/>
      <c r="AR35" s="447" t="s">
        <v>3844</v>
      </c>
      <c r="AS35" s="468"/>
    </row>
    <row r="36" s="437" customFormat="1" ht="16" customHeight="1" spans="1:45">
      <c r="A36" s="469"/>
      <c r="B36" s="469">
        <v>45072</v>
      </c>
      <c r="C36" s="470">
        <v>1000014580</v>
      </c>
      <c r="D36" s="471" t="s">
        <v>3829</v>
      </c>
      <c r="E36" s="455"/>
      <c r="F36" s="455"/>
      <c r="G36" s="455"/>
      <c r="H36" s="455"/>
      <c r="I36" s="455"/>
      <c r="J36" s="455"/>
      <c r="K36" s="455"/>
      <c r="L36" s="455"/>
      <c r="M36" s="455"/>
      <c r="N36" s="455"/>
      <c r="O36" s="455"/>
      <c r="P36" s="455"/>
      <c r="Q36" s="455"/>
      <c r="R36" s="455"/>
      <c r="S36" s="455"/>
      <c r="T36" s="455"/>
      <c r="U36" s="455"/>
      <c r="V36" s="455"/>
      <c r="W36" s="455"/>
      <c r="X36" s="472"/>
      <c r="Y36" s="472"/>
      <c r="Z36" s="472"/>
      <c r="AA36" s="472"/>
      <c r="AB36" s="472"/>
      <c r="AC36" s="472"/>
      <c r="AD36" s="455"/>
      <c r="AE36" s="455"/>
      <c r="AF36" s="455"/>
      <c r="AG36" s="455"/>
      <c r="AH36" s="455"/>
      <c r="AI36" s="455"/>
      <c r="AJ36" s="455"/>
      <c r="AK36" s="455"/>
      <c r="AL36" s="455"/>
      <c r="AM36" s="455"/>
      <c r="AN36" s="455"/>
      <c r="AO36" s="455">
        <v>951</v>
      </c>
      <c r="AP36" s="455"/>
      <c r="AQ36" s="455"/>
      <c r="AR36" s="447" t="s">
        <v>3845</v>
      </c>
      <c r="AS36" s="468"/>
    </row>
    <row r="37" s="437" customFormat="1" ht="16" customHeight="1" spans="1:45">
      <c r="A37" s="469"/>
      <c r="B37" s="469">
        <v>45072</v>
      </c>
      <c r="C37" s="470">
        <v>1000014558</v>
      </c>
      <c r="D37" s="471" t="s">
        <v>3820</v>
      </c>
      <c r="E37" s="455"/>
      <c r="F37" s="455"/>
      <c r="G37" s="455"/>
      <c r="H37" s="455"/>
      <c r="I37" s="455"/>
      <c r="J37" s="455"/>
      <c r="K37" s="455"/>
      <c r="L37" s="455"/>
      <c r="M37" s="455"/>
      <c r="N37" s="455"/>
      <c r="O37" s="455"/>
      <c r="P37" s="455"/>
      <c r="Q37" s="455"/>
      <c r="R37" s="455"/>
      <c r="S37" s="455"/>
      <c r="T37" s="455"/>
      <c r="U37" s="455"/>
      <c r="V37" s="455"/>
      <c r="W37" s="455"/>
      <c r="X37" s="472"/>
      <c r="Y37" s="472"/>
      <c r="Z37" s="472"/>
      <c r="AA37" s="472"/>
      <c r="AB37" s="472"/>
      <c r="AC37" s="472"/>
      <c r="AD37" s="455"/>
      <c r="AE37" s="455"/>
      <c r="AF37" s="455"/>
      <c r="AG37" s="455"/>
      <c r="AH37" s="455">
        <v>9408</v>
      </c>
      <c r="AI37" s="455"/>
      <c r="AJ37" s="455"/>
      <c r="AK37" s="455"/>
      <c r="AL37" s="455"/>
      <c r="AM37" s="455"/>
      <c r="AN37" s="455"/>
      <c r="AO37" s="455"/>
      <c r="AP37" s="455"/>
      <c r="AQ37" s="455"/>
      <c r="AR37" s="474" t="s">
        <v>3846</v>
      </c>
      <c r="AS37" s="468"/>
    </row>
    <row r="38" s="437" customFormat="1" ht="16" customHeight="1" spans="1:45">
      <c r="A38" s="469"/>
      <c r="B38" s="469">
        <v>45079</v>
      </c>
      <c r="C38" s="470"/>
      <c r="D38" s="471" t="s">
        <v>3823</v>
      </c>
      <c r="E38" s="455"/>
      <c r="F38" s="455"/>
      <c r="G38" s="455"/>
      <c r="H38" s="455"/>
      <c r="I38" s="455"/>
      <c r="J38" s="455"/>
      <c r="K38" s="455"/>
      <c r="L38" s="455"/>
      <c r="M38" s="455"/>
      <c r="N38" s="455"/>
      <c r="O38" s="455"/>
      <c r="P38" s="455"/>
      <c r="Q38" s="455"/>
      <c r="R38" s="455"/>
      <c r="S38" s="455"/>
      <c r="T38" s="455"/>
      <c r="U38" s="455"/>
      <c r="V38" s="455"/>
      <c r="W38" s="455"/>
      <c r="X38" s="472"/>
      <c r="Y38" s="472"/>
      <c r="Z38" s="472"/>
      <c r="AA38" s="472"/>
      <c r="AB38" s="472"/>
      <c r="AC38" s="472"/>
      <c r="AD38" s="455"/>
      <c r="AE38" s="455">
        <v>583</v>
      </c>
      <c r="AF38" s="455"/>
      <c r="AG38" s="455"/>
      <c r="AH38" s="455"/>
      <c r="AI38" s="455"/>
      <c r="AJ38" s="455"/>
      <c r="AK38" s="455"/>
      <c r="AL38" s="455"/>
      <c r="AM38" s="455"/>
      <c r="AN38" s="455"/>
      <c r="AO38" s="455"/>
      <c r="AP38" s="455"/>
      <c r="AQ38" s="455"/>
      <c r="AR38" s="447" t="s">
        <v>3847</v>
      </c>
      <c r="AS38" s="468"/>
    </row>
    <row r="39" s="437" customFormat="1" ht="16" customHeight="1" spans="1:45">
      <c r="A39" s="469"/>
      <c r="B39" s="469">
        <v>45084</v>
      </c>
      <c r="C39" s="470">
        <v>1000014710</v>
      </c>
      <c r="D39" s="471" t="s">
        <v>3820</v>
      </c>
      <c r="E39" s="455"/>
      <c r="F39" s="455"/>
      <c r="G39" s="455"/>
      <c r="H39" s="455"/>
      <c r="I39" s="455"/>
      <c r="J39" s="455"/>
      <c r="K39" s="455"/>
      <c r="L39" s="455"/>
      <c r="M39" s="455"/>
      <c r="N39" s="455"/>
      <c r="O39" s="455"/>
      <c r="P39" s="455"/>
      <c r="Q39" s="455"/>
      <c r="R39" s="455"/>
      <c r="S39" s="455"/>
      <c r="T39" s="455"/>
      <c r="U39" s="455"/>
      <c r="V39" s="455"/>
      <c r="W39" s="455"/>
      <c r="X39" s="472"/>
      <c r="Y39" s="472"/>
      <c r="Z39" s="472"/>
      <c r="AA39" s="472"/>
      <c r="AB39" s="472"/>
      <c r="AC39" s="472"/>
      <c r="AD39" s="455"/>
      <c r="AE39" s="455"/>
      <c r="AF39" s="455"/>
      <c r="AG39" s="455"/>
      <c r="AH39" s="455">
        <v>9354</v>
      </c>
      <c r="AI39" s="455"/>
      <c r="AJ39" s="455"/>
      <c r="AK39" s="455"/>
      <c r="AL39" s="455"/>
      <c r="AM39" s="455"/>
      <c r="AN39" s="455"/>
      <c r="AO39" s="455"/>
      <c r="AP39" s="455"/>
      <c r="AQ39" s="455"/>
      <c r="AR39" s="447" t="s">
        <v>3848</v>
      </c>
      <c r="AS39" s="468"/>
    </row>
    <row r="40" s="437" customFormat="1" ht="16" customHeight="1" spans="1:45">
      <c r="A40" s="469"/>
      <c r="B40" s="469">
        <v>45093</v>
      </c>
      <c r="C40" s="470" t="s">
        <v>3849</v>
      </c>
      <c r="D40" s="471" t="s">
        <v>3815</v>
      </c>
      <c r="E40" s="455"/>
      <c r="F40" s="455">
        <v>60000</v>
      </c>
      <c r="G40" s="455"/>
      <c r="H40" s="455"/>
      <c r="I40" s="455"/>
      <c r="J40" s="455"/>
      <c r="K40" s="455"/>
      <c r="L40" s="455"/>
      <c r="M40" s="455"/>
      <c r="N40" s="455"/>
      <c r="O40" s="455"/>
      <c r="P40" s="455"/>
      <c r="Q40" s="455"/>
      <c r="R40" s="455"/>
      <c r="S40" s="455"/>
      <c r="T40" s="455"/>
      <c r="U40" s="455"/>
      <c r="V40" s="455"/>
      <c r="W40" s="455"/>
      <c r="X40" s="472"/>
      <c r="Y40" s="472"/>
      <c r="Z40" s="472"/>
      <c r="AA40" s="472"/>
      <c r="AB40" s="472"/>
      <c r="AC40" s="472"/>
      <c r="AD40" s="455"/>
      <c r="AE40" s="455"/>
      <c r="AF40" s="455"/>
      <c r="AG40" s="455"/>
      <c r="AH40" s="455"/>
      <c r="AI40" s="455"/>
      <c r="AJ40" s="455"/>
      <c r="AK40" s="455"/>
      <c r="AL40" s="455"/>
      <c r="AM40" s="455"/>
      <c r="AN40" s="455"/>
      <c r="AO40" s="455"/>
      <c r="AP40" s="455"/>
      <c r="AQ40" s="455"/>
      <c r="AR40" s="447"/>
      <c r="AS40" s="468"/>
    </row>
    <row r="41" s="437" customFormat="1" ht="16" customHeight="1" spans="1:45">
      <c r="A41" s="469"/>
      <c r="B41" s="469">
        <v>45093</v>
      </c>
      <c r="C41" s="470" t="s">
        <v>3850</v>
      </c>
      <c r="D41" s="471" t="s">
        <v>3815</v>
      </c>
      <c r="E41" s="455"/>
      <c r="F41" s="455"/>
      <c r="G41" s="455"/>
      <c r="H41" s="455"/>
      <c r="I41" s="455"/>
      <c r="J41" s="455"/>
      <c r="K41" s="455"/>
      <c r="L41" s="455"/>
      <c r="M41" s="455"/>
      <c r="N41" s="455">
        <v>40000</v>
      </c>
      <c r="O41" s="455"/>
      <c r="P41" s="455"/>
      <c r="Q41" s="455"/>
      <c r="R41" s="455"/>
      <c r="S41" s="455"/>
      <c r="T41" s="455"/>
      <c r="U41" s="455"/>
      <c r="V41" s="455"/>
      <c r="W41" s="455"/>
      <c r="X41" s="472"/>
      <c r="Y41" s="472"/>
      <c r="Z41" s="472"/>
      <c r="AA41" s="472"/>
      <c r="AB41" s="472"/>
      <c r="AC41" s="472"/>
      <c r="AD41" s="455"/>
      <c r="AE41" s="455"/>
      <c r="AF41" s="455"/>
      <c r="AG41" s="455"/>
      <c r="AH41" s="455"/>
      <c r="AI41" s="455"/>
      <c r="AJ41" s="455"/>
      <c r="AK41" s="455"/>
      <c r="AL41" s="455"/>
      <c r="AM41" s="455"/>
      <c r="AN41" s="455"/>
      <c r="AO41" s="455"/>
      <c r="AP41" s="455"/>
      <c r="AQ41" s="455"/>
      <c r="AR41" s="447"/>
      <c r="AS41" s="468"/>
    </row>
    <row r="42" s="26" customFormat="1" ht="15.75" spans="1:45">
      <c r="A42" s="475"/>
      <c r="B42" s="475">
        <v>45106</v>
      </c>
      <c r="C42" s="476" t="s">
        <v>3851</v>
      </c>
      <c r="D42" s="477" t="s">
        <v>3815</v>
      </c>
      <c r="E42" s="472"/>
      <c r="F42" s="472">
        <v>100000</v>
      </c>
      <c r="G42" s="472"/>
      <c r="H42" s="472"/>
      <c r="I42" s="472"/>
      <c r="J42" s="472"/>
      <c r="K42" s="472"/>
      <c r="L42" s="472"/>
      <c r="M42" s="472"/>
      <c r="N42" s="472"/>
      <c r="O42" s="472"/>
      <c r="P42" s="472"/>
      <c r="Q42" s="472"/>
      <c r="R42" s="472"/>
      <c r="S42" s="472"/>
      <c r="T42" s="472"/>
      <c r="U42" s="472"/>
      <c r="V42" s="472"/>
      <c r="W42" s="472"/>
      <c r="X42" s="472"/>
      <c r="Y42" s="472"/>
      <c r="Z42" s="472"/>
      <c r="AA42" s="472"/>
      <c r="AB42" s="472"/>
      <c r="AC42" s="472"/>
      <c r="AD42" s="472"/>
      <c r="AE42" s="472"/>
      <c r="AF42" s="472"/>
      <c r="AG42" s="472"/>
      <c r="AH42" s="472"/>
      <c r="AI42" s="472"/>
      <c r="AJ42" s="472"/>
      <c r="AK42" s="472"/>
      <c r="AL42" s="472"/>
      <c r="AM42" s="472"/>
      <c r="AN42" s="472"/>
      <c r="AO42" s="472"/>
      <c r="AP42" s="472"/>
      <c r="AQ42" s="472"/>
      <c r="AR42" s="478"/>
      <c r="AS42" s="479"/>
    </row>
    <row r="43" s="26" customFormat="1" ht="15.75" spans="1:45">
      <c r="A43" s="475"/>
      <c r="B43" s="475">
        <v>45106</v>
      </c>
      <c r="C43" s="476" t="s">
        <v>3852</v>
      </c>
      <c r="D43" s="477" t="s">
        <v>3815</v>
      </c>
      <c r="E43" s="472"/>
      <c r="F43" s="472"/>
      <c r="G43" s="472"/>
      <c r="H43" s="472"/>
      <c r="I43" s="472"/>
      <c r="J43" s="472"/>
      <c r="K43" s="472"/>
      <c r="L43" s="472"/>
      <c r="M43" s="472"/>
      <c r="N43" s="472">
        <v>100000</v>
      </c>
      <c r="O43" s="472"/>
      <c r="P43" s="472"/>
      <c r="Q43" s="472"/>
      <c r="R43" s="472"/>
      <c r="S43" s="472"/>
      <c r="T43" s="472"/>
      <c r="U43" s="472"/>
      <c r="V43" s="472"/>
      <c r="W43" s="472"/>
      <c r="X43" s="472"/>
      <c r="Y43" s="472"/>
      <c r="Z43" s="472"/>
      <c r="AA43" s="472"/>
      <c r="AB43" s="472"/>
      <c r="AC43" s="472"/>
      <c r="AD43" s="472"/>
      <c r="AE43" s="472"/>
      <c r="AF43" s="472"/>
      <c r="AG43" s="472"/>
      <c r="AH43" s="472"/>
      <c r="AI43" s="472"/>
      <c r="AJ43" s="472"/>
      <c r="AK43" s="472"/>
      <c r="AL43" s="472"/>
      <c r="AM43" s="472"/>
      <c r="AN43" s="472"/>
      <c r="AO43" s="472"/>
      <c r="AP43" s="472"/>
      <c r="AQ43" s="472"/>
      <c r="AR43" s="478"/>
      <c r="AS43" s="479"/>
    </row>
    <row r="44" s="26" customFormat="1" ht="15.75" spans="1:45">
      <c r="A44" s="475"/>
      <c r="B44" s="475"/>
      <c r="C44" s="476"/>
      <c r="D44" s="477"/>
      <c r="E44" s="472"/>
      <c r="F44" s="472"/>
      <c r="G44" s="472"/>
      <c r="H44" s="472"/>
      <c r="I44" s="472"/>
      <c r="J44" s="472"/>
      <c r="K44" s="472"/>
      <c r="L44" s="472"/>
      <c r="M44" s="472"/>
      <c r="N44" s="472"/>
      <c r="O44" s="472"/>
      <c r="P44" s="472"/>
      <c r="Q44" s="472"/>
      <c r="R44" s="472"/>
      <c r="S44" s="472"/>
      <c r="T44" s="472"/>
      <c r="U44" s="472"/>
      <c r="V44" s="472"/>
      <c r="W44" s="472"/>
      <c r="X44" s="472"/>
      <c r="Y44" s="472"/>
      <c r="Z44" s="472"/>
      <c r="AA44" s="472"/>
      <c r="AB44" s="472"/>
      <c r="AC44" s="472"/>
      <c r="AD44" s="472"/>
      <c r="AE44" s="472"/>
      <c r="AF44" s="472"/>
      <c r="AG44" s="472"/>
      <c r="AH44" s="472"/>
      <c r="AI44" s="472"/>
      <c r="AJ44" s="472">
        <v>2565</v>
      </c>
      <c r="AK44" s="472"/>
      <c r="AL44" s="472"/>
      <c r="AM44" s="472"/>
      <c r="AN44" s="472"/>
      <c r="AO44" s="472"/>
      <c r="AP44" s="472"/>
      <c r="AQ44" s="472"/>
      <c r="AR44" s="478"/>
      <c r="AS44" s="479"/>
    </row>
    <row r="45" s="26" customFormat="1" ht="15.75" spans="1:45">
      <c r="A45" s="475"/>
      <c r="B45" s="475"/>
      <c r="C45" s="476"/>
      <c r="D45" s="477"/>
      <c r="E45" s="472"/>
      <c r="F45" s="472"/>
      <c r="G45" s="472"/>
      <c r="H45" s="472"/>
      <c r="I45" s="472"/>
      <c r="J45" s="472"/>
      <c r="K45" s="472"/>
      <c r="L45" s="472"/>
      <c r="M45" s="472"/>
      <c r="N45" s="472"/>
      <c r="O45" s="472"/>
      <c r="P45" s="472"/>
      <c r="Q45" s="472"/>
      <c r="R45" s="472"/>
      <c r="S45" s="472"/>
      <c r="T45" s="472"/>
      <c r="U45" s="472"/>
      <c r="V45" s="472"/>
      <c r="W45" s="472"/>
      <c r="X45" s="472"/>
      <c r="Y45" s="472"/>
      <c r="Z45" s="472"/>
      <c r="AA45" s="472"/>
      <c r="AB45" s="472"/>
      <c r="AC45" s="472"/>
      <c r="AD45" s="472"/>
      <c r="AE45" s="472"/>
      <c r="AF45" s="472"/>
      <c r="AG45" s="472"/>
      <c r="AH45" s="472"/>
      <c r="AI45" s="472"/>
      <c r="AJ45" s="472">
        <v>764</v>
      </c>
      <c r="AK45" s="472"/>
      <c r="AL45" s="472"/>
      <c r="AM45" s="472"/>
      <c r="AN45" s="472"/>
      <c r="AO45" s="472"/>
      <c r="AP45" s="472"/>
      <c r="AQ45" s="472"/>
      <c r="AR45" s="472">
        <v>4500103607</v>
      </c>
      <c r="AS45" s="479"/>
    </row>
    <row r="46" s="26" customFormat="1" ht="15.75" spans="1:45">
      <c r="A46" s="475"/>
      <c r="B46" s="475"/>
      <c r="C46" s="476"/>
      <c r="D46" s="477"/>
      <c r="E46" s="472"/>
      <c r="F46" s="472"/>
      <c r="G46" s="472"/>
      <c r="H46" s="472"/>
      <c r="I46" s="472"/>
      <c r="J46" s="472"/>
      <c r="K46" s="472"/>
      <c r="L46" s="472"/>
      <c r="M46" s="472"/>
      <c r="N46" s="472"/>
      <c r="O46" s="472"/>
      <c r="P46" s="472"/>
      <c r="Q46" s="472"/>
      <c r="R46" s="472"/>
      <c r="S46" s="472"/>
      <c r="T46" s="472"/>
      <c r="U46" s="472"/>
      <c r="V46" s="472"/>
      <c r="W46" s="472"/>
      <c r="X46" s="472"/>
      <c r="Y46" s="472"/>
      <c r="Z46" s="472"/>
      <c r="AA46" s="472"/>
      <c r="AB46" s="472"/>
      <c r="AC46" s="472"/>
      <c r="AD46" s="472"/>
      <c r="AE46" s="472"/>
      <c r="AF46" s="472"/>
      <c r="AG46" s="472"/>
      <c r="AH46" s="472"/>
      <c r="AI46" s="472"/>
      <c r="AJ46" s="472">
        <v>150</v>
      </c>
      <c r="AK46" s="472"/>
      <c r="AL46" s="472"/>
      <c r="AM46" s="472"/>
      <c r="AN46" s="472"/>
      <c r="AO46" s="472"/>
      <c r="AP46" s="472"/>
      <c r="AQ46" s="472"/>
      <c r="AR46" s="472">
        <v>4500106355</v>
      </c>
      <c r="AS46" s="479"/>
    </row>
    <row r="47" s="26" customFormat="1" ht="17" customHeight="1" spans="1:45">
      <c r="A47" s="475"/>
      <c r="B47" s="475">
        <v>45111</v>
      </c>
      <c r="C47" s="476"/>
      <c r="D47" s="477" t="s">
        <v>3823</v>
      </c>
      <c r="E47" s="472"/>
      <c r="F47" s="472"/>
      <c r="G47" s="472"/>
      <c r="H47" s="472"/>
      <c r="I47" s="472"/>
      <c r="J47" s="472"/>
      <c r="K47" s="472"/>
      <c r="L47" s="472"/>
      <c r="M47" s="472"/>
      <c r="N47" s="472"/>
      <c r="O47" s="472"/>
      <c r="P47" s="472"/>
      <c r="Q47" s="472"/>
      <c r="R47" s="472"/>
      <c r="S47" s="472"/>
      <c r="T47" s="472"/>
      <c r="U47" s="472"/>
      <c r="V47" s="472"/>
      <c r="W47" s="472"/>
      <c r="X47" s="472"/>
      <c r="Y47" s="472"/>
      <c r="Z47" s="472"/>
      <c r="AA47" s="472"/>
      <c r="AB47" s="472"/>
      <c r="AC47" s="472"/>
      <c r="AD47" s="472"/>
      <c r="AE47" s="472">
        <v>500</v>
      </c>
      <c r="AF47" s="472"/>
      <c r="AG47" s="472"/>
      <c r="AH47" s="472"/>
      <c r="AI47" s="472"/>
      <c r="AJ47" s="472"/>
      <c r="AK47" s="472"/>
      <c r="AL47" s="472"/>
      <c r="AM47" s="472"/>
      <c r="AN47" s="472"/>
      <c r="AO47" s="472"/>
      <c r="AP47" s="472"/>
      <c r="AQ47" s="472"/>
      <c r="AR47" s="478" t="s">
        <v>3853</v>
      </c>
      <c r="AS47" s="479"/>
    </row>
    <row r="48" s="26" customFormat="1" ht="16" customHeight="1" spans="1:45">
      <c r="A48" s="475"/>
      <c r="B48" s="475">
        <v>45111</v>
      </c>
      <c r="C48" s="476">
        <v>1000015256</v>
      </c>
      <c r="D48" s="477" t="s">
        <v>3854</v>
      </c>
      <c r="E48" s="472"/>
      <c r="F48" s="472"/>
      <c r="G48" s="472"/>
      <c r="H48" s="472"/>
      <c r="I48" s="472"/>
      <c r="J48" s="472"/>
      <c r="K48" s="472"/>
      <c r="L48" s="472"/>
      <c r="M48" s="472"/>
      <c r="N48" s="472"/>
      <c r="O48" s="472"/>
      <c r="P48" s="472"/>
      <c r="Q48" s="472"/>
      <c r="R48" s="472"/>
      <c r="S48" s="472"/>
      <c r="T48" s="472"/>
      <c r="U48" s="472"/>
      <c r="V48" s="472"/>
      <c r="W48" s="472"/>
      <c r="X48" s="472"/>
      <c r="Y48" s="472"/>
      <c r="Z48" s="472"/>
      <c r="AA48" s="472"/>
      <c r="AB48" s="472"/>
      <c r="AC48" s="472"/>
      <c r="AD48" s="472"/>
      <c r="AE48" s="472"/>
      <c r="AF48" s="472"/>
      <c r="AG48" s="472"/>
      <c r="AH48" s="472">
        <v>7672</v>
      </c>
      <c r="AI48" s="472"/>
      <c r="AJ48" s="472"/>
      <c r="AK48" s="472"/>
      <c r="AL48" s="472"/>
      <c r="AM48" s="472"/>
      <c r="AN48" s="472"/>
      <c r="AO48" s="472"/>
      <c r="AP48" s="472"/>
      <c r="AQ48" s="472"/>
      <c r="AR48" s="478" t="s">
        <v>3855</v>
      </c>
      <c r="AS48" s="479"/>
    </row>
    <row r="49" s="26" customFormat="1" ht="15.75" spans="1:45">
      <c r="A49" s="475"/>
      <c r="B49" s="475">
        <v>45111</v>
      </c>
      <c r="C49" s="476" t="s">
        <v>3856</v>
      </c>
      <c r="D49" s="477" t="s">
        <v>3815</v>
      </c>
      <c r="E49" s="472"/>
      <c r="F49" s="472"/>
      <c r="G49" s="472"/>
      <c r="H49" s="472"/>
      <c r="I49" s="472"/>
      <c r="J49" s="472"/>
      <c r="K49" s="472"/>
      <c r="L49" s="472"/>
      <c r="M49" s="472"/>
      <c r="N49" s="472"/>
      <c r="O49" s="472"/>
      <c r="P49" s="472"/>
      <c r="Q49" s="472"/>
      <c r="R49" s="472"/>
      <c r="S49" s="472"/>
      <c r="T49" s="472"/>
      <c r="U49" s="472">
        <v>1500</v>
      </c>
      <c r="V49" s="472"/>
      <c r="W49" s="472"/>
      <c r="X49" s="472"/>
      <c r="Y49" s="472"/>
      <c r="Z49" s="472"/>
      <c r="AA49" s="472"/>
      <c r="AB49" s="472"/>
      <c r="AC49" s="472"/>
      <c r="AD49" s="472"/>
      <c r="AE49" s="472"/>
      <c r="AF49" s="472"/>
      <c r="AG49" s="472"/>
      <c r="AH49" s="472"/>
      <c r="AI49" s="472"/>
      <c r="AJ49" s="472"/>
      <c r="AK49" s="472"/>
      <c r="AL49" s="472"/>
      <c r="AM49" s="472"/>
      <c r="AN49" s="472"/>
      <c r="AO49" s="472"/>
      <c r="AP49" s="472"/>
      <c r="AQ49" s="472"/>
      <c r="AR49" s="478"/>
      <c r="AS49" s="479"/>
    </row>
    <row r="50" s="26" customFormat="1" ht="19" customHeight="1" spans="1:45">
      <c r="A50" s="475"/>
      <c r="B50" s="475">
        <v>45118</v>
      </c>
      <c r="C50" s="476">
        <v>1000015377</v>
      </c>
      <c r="D50" s="477" t="s">
        <v>3857</v>
      </c>
      <c r="E50" s="472"/>
      <c r="F50" s="472"/>
      <c r="G50" s="472"/>
      <c r="H50" s="472"/>
      <c r="I50" s="472"/>
      <c r="J50" s="472"/>
      <c r="K50" s="472"/>
      <c r="L50" s="472"/>
      <c r="M50" s="472"/>
      <c r="N50" s="472"/>
      <c r="O50" s="472"/>
      <c r="P50" s="472"/>
      <c r="Q50" s="472"/>
      <c r="R50" s="472"/>
      <c r="S50" s="472"/>
      <c r="T50" s="472"/>
      <c r="U50" s="472"/>
      <c r="V50" s="472"/>
      <c r="W50" s="472"/>
      <c r="X50" s="472"/>
      <c r="Y50" s="472">
        <v>732</v>
      </c>
      <c r="Z50" s="472"/>
      <c r="AA50" s="472"/>
      <c r="AB50" s="472"/>
      <c r="AC50" s="472"/>
      <c r="AD50" s="472"/>
      <c r="AE50" s="472"/>
      <c r="AF50" s="472"/>
      <c r="AG50" s="472"/>
      <c r="AH50" s="472"/>
      <c r="AI50" s="472"/>
      <c r="AJ50" s="472"/>
      <c r="AK50" s="472"/>
      <c r="AL50" s="472"/>
      <c r="AM50" s="472"/>
      <c r="AN50" s="472"/>
      <c r="AO50" s="472"/>
      <c r="AP50" s="472"/>
      <c r="AQ50" s="472"/>
      <c r="AR50" s="478" t="s">
        <v>3858</v>
      </c>
      <c r="AS50" s="479"/>
    </row>
    <row r="51" s="26" customFormat="1" ht="19" customHeight="1" spans="1:45">
      <c r="A51" s="475"/>
      <c r="B51" s="475">
        <v>45121</v>
      </c>
      <c r="C51" s="476" t="s">
        <v>3859</v>
      </c>
      <c r="D51" s="477" t="s">
        <v>3815</v>
      </c>
      <c r="E51" s="472"/>
      <c r="F51" s="472"/>
      <c r="G51" s="472"/>
      <c r="H51" s="472"/>
      <c r="I51" s="472"/>
      <c r="J51" s="472"/>
      <c r="K51" s="472"/>
      <c r="L51" s="472"/>
      <c r="M51" s="472"/>
      <c r="N51" s="472">
        <v>50000</v>
      </c>
      <c r="O51" s="472"/>
      <c r="P51" s="472"/>
      <c r="Q51" s="472"/>
      <c r="R51" s="472"/>
      <c r="S51" s="472"/>
      <c r="T51" s="472"/>
      <c r="U51" s="472"/>
      <c r="V51" s="472"/>
      <c r="W51" s="472"/>
      <c r="X51" s="472"/>
      <c r="Y51" s="472"/>
      <c r="Z51" s="472"/>
      <c r="AA51" s="472"/>
      <c r="AB51" s="472"/>
      <c r="AC51" s="472"/>
      <c r="AD51" s="472"/>
      <c r="AE51" s="472"/>
      <c r="AF51" s="472"/>
      <c r="AG51" s="472"/>
      <c r="AH51" s="472"/>
      <c r="AI51" s="472"/>
      <c r="AJ51" s="472"/>
      <c r="AK51" s="472"/>
      <c r="AL51" s="472"/>
      <c r="AM51" s="472"/>
      <c r="AN51" s="472"/>
      <c r="AO51" s="472"/>
      <c r="AP51" s="472"/>
      <c r="AQ51" s="472"/>
      <c r="AR51" s="478"/>
      <c r="AS51" s="479"/>
    </row>
    <row r="52" s="26" customFormat="1" ht="19" customHeight="1" spans="1:45">
      <c r="A52" s="475"/>
      <c r="B52" s="475">
        <v>45121</v>
      </c>
      <c r="C52" s="476" t="s">
        <v>3860</v>
      </c>
      <c r="D52" s="477" t="s">
        <v>3815</v>
      </c>
      <c r="E52" s="472"/>
      <c r="F52" s="472"/>
      <c r="G52" s="472"/>
      <c r="H52" s="472"/>
      <c r="I52" s="472"/>
      <c r="J52" s="472"/>
      <c r="K52" s="472"/>
      <c r="L52" s="472"/>
      <c r="M52" s="472"/>
      <c r="N52" s="472"/>
      <c r="O52" s="472"/>
      <c r="P52" s="472"/>
      <c r="Q52" s="472"/>
      <c r="R52" s="472">
        <v>1000</v>
      </c>
      <c r="S52" s="472"/>
      <c r="T52" s="472"/>
      <c r="U52" s="472"/>
      <c r="V52" s="472"/>
      <c r="W52" s="472"/>
      <c r="X52" s="472"/>
      <c r="Y52" s="472"/>
      <c r="Z52" s="472"/>
      <c r="AA52" s="472"/>
      <c r="AB52" s="472"/>
      <c r="AC52" s="472"/>
      <c r="AD52" s="472"/>
      <c r="AE52" s="472"/>
      <c r="AF52" s="472"/>
      <c r="AG52" s="472"/>
      <c r="AH52" s="472"/>
      <c r="AI52" s="472"/>
      <c r="AJ52" s="472"/>
      <c r="AK52" s="472"/>
      <c r="AL52" s="472"/>
      <c r="AM52" s="472"/>
      <c r="AN52" s="472"/>
      <c r="AO52" s="472"/>
      <c r="AP52" s="472"/>
      <c r="AQ52" s="472"/>
      <c r="AR52" s="478"/>
      <c r="AS52" s="479"/>
    </row>
    <row r="53" s="26" customFormat="1" ht="19" customHeight="1" spans="1:45">
      <c r="A53" s="475"/>
      <c r="B53" s="475">
        <v>45121</v>
      </c>
      <c r="C53" s="476" t="s">
        <v>3861</v>
      </c>
      <c r="D53" s="477" t="s">
        <v>3815</v>
      </c>
      <c r="E53" s="472"/>
      <c r="F53" s="472"/>
      <c r="G53" s="472"/>
      <c r="H53" s="472"/>
      <c r="I53" s="472"/>
      <c r="J53" s="472"/>
      <c r="K53" s="472"/>
      <c r="L53" s="472"/>
      <c r="M53" s="472"/>
      <c r="N53" s="472"/>
      <c r="O53" s="472"/>
      <c r="P53" s="472"/>
      <c r="Q53" s="472"/>
      <c r="R53" s="472"/>
      <c r="S53" s="472"/>
      <c r="T53" s="472"/>
      <c r="U53" s="472">
        <v>500</v>
      </c>
      <c r="V53" s="472"/>
      <c r="W53" s="472"/>
      <c r="X53" s="472"/>
      <c r="Y53" s="472"/>
      <c r="Z53" s="472"/>
      <c r="AA53" s="472"/>
      <c r="AB53" s="472"/>
      <c r="AC53" s="472"/>
      <c r="AD53" s="472"/>
      <c r="AE53" s="472"/>
      <c r="AF53" s="472"/>
      <c r="AG53" s="472"/>
      <c r="AH53" s="472"/>
      <c r="AI53" s="472"/>
      <c r="AJ53" s="472"/>
      <c r="AK53" s="472"/>
      <c r="AL53" s="472"/>
      <c r="AM53" s="472"/>
      <c r="AN53" s="472"/>
      <c r="AO53" s="472"/>
      <c r="AP53" s="472"/>
      <c r="AQ53" s="472"/>
      <c r="AR53" s="478"/>
      <c r="AS53" s="479"/>
    </row>
    <row r="54" s="26" customFormat="1" ht="19" customHeight="1" spans="1:45">
      <c r="A54" s="475"/>
      <c r="B54" s="475">
        <v>45121</v>
      </c>
      <c r="C54" s="476"/>
      <c r="D54" s="477" t="s">
        <v>3823</v>
      </c>
      <c r="E54" s="472"/>
      <c r="F54" s="472"/>
      <c r="G54" s="472"/>
      <c r="H54" s="472"/>
      <c r="I54" s="472"/>
      <c r="J54" s="472"/>
      <c r="K54" s="472"/>
      <c r="L54" s="472"/>
      <c r="M54" s="472"/>
      <c r="N54" s="472"/>
      <c r="O54" s="472"/>
      <c r="P54" s="472"/>
      <c r="Q54" s="472"/>
      <c r="R54" s="472"/>
      <c r="S54" s="472"/>
      <c r="T54" s="472"/>
      <c r="U54" s="472"/>
      <c r="V54" s="472"/>
      <c r="W54" s="472"/>
      <c r="X54" s="472"/>
      <c r="Y54" s="472"/>
      <c r="Z54" s="472"/>
      <c r="AA54" s="472"/>
      <c r="AB54" s="472"/>
      <c r="AC54" s="472"/>
      <c r="AD54" s="472"/>
      <c r="AE54" s="472">
        <v>1667</v>
      </c>
      <c r="AF54" s="472"/>
      <c r="AG54" s="472"/>
      <c r="AH54" s="472"/>
      <c r="AI54" s="472"/>
      <c r="AJ54" s="472"/>
      <c r="AK54" s="472"/>
      <c r="AL54" s="472"/>
      <c r="AM54" s="472"/>
      <c r="AN54" s="472"/>
      <c r="AO54" s="472"/>
      <c r="AP54" s="472"/>
      <c r="AQ54" s="472"/>
      <c r="AR54" s="480" t="s">
        <v>3862</v>
      </c>
      <c r="AS54" s="479"/>
    </row>
    <row r="55" s="26" customFormat="1" ht="19" customHeight="1" spans="1:45">
      <c r="A55" s="475"/>
      <c r="B55" s="475">
        <v>45124</v>
      </c>
      <c r="C55" s="476"/>
      <c r="D55" s="477" t="s">
        <v>3823</v>
      </c>
      <c r="E55" s="472"/>
      <c r="F55" s="472"/>
      <c r="G55" s="472"/>
      <c r="H55" s="472"/>
      <c r="I55" s="472"/>
      <c r="J55" s="472"/>
      <c r="K55" s="472"/>
      <c r="L55" s="472"/>
      <c r="M55" s="472"/>
      <c r="N55" s="472"/>
      <c r="O55" s="472"/>
      <c r="P55" s="472"/>
      <c r="Q55" s="472"/>
      <c r="R55" s="472"/>
      <c r="S55" s="472"/>
      <c r="T55" s="472"/>
      <c r="U55" s="472"/>
      <c r="V55" s="472"/>
      <c r="W55" s="472"/>
      <c r="X55" s="472"/>
      <c r="Y55" s="472"/>
      <c r="Z55" s="472"/>
      <c r="AA55" s="472"/>
      <c r="AB55" s="472"/>
      <c r="AC55" s="472"/>
      <c r="AD55" s="472"/>
      <c r="AE55" s="472"/>
      <c r="AF55" s="472"/>
      <c r="AG55" s="472"/>
      <c r="AH55" s="472"/>
      <c r="AI55" s="472"/>
      <c r="AJ55" s="472">
        <v>2014</v>
      </c>
      <c r="AK55" s="472"/>
      <c r="AL55" s="472"/>
      <c r="AM55" s="472"/>
      <c r="AN55" s="472"/>
      <c r="AO55" s="472"/>
      <c r="AP55" s="472"/>
      <c r="AQ55" s="472"/>
      <c r="AR55" s="478" t="s">
        <v>3863</v>
      </c>
      <c r="AS55" s="479"/>
    </row>
    <row r="56" s="26" customFormat="1" ht="19" customHeight="1" spans="1:45">
      <c r="A56" s="475"/>
      <c r="B56" s="475">
        <v>45125</v>
      </c>
      <c r="C56" s="476">
        <v>1000015478</v>
      </c>
      <c r="D56" s="477" t="s">
        <v>3854</v>
      </c>
      <c r="E56" s="472"/>
      <c r="F56" s="472"/>
      <c r="G56" s="472"/>
      <c r="H56" s="472"/>
      <c r="I56" s="472"/>
      <c r="J56" s="472"/>
      <c r="K56" s="472"/>
      <c r="L56" s="472"/>
      <c r="M56" s="472"/>
      <c r="N56" s="472"/>
      <c r="O56" s="472"/>
      <c r="P56" s="472"/>
      <c r="Q56" s="472"/>
      <c r="R56" s="472"/>
      <c r="S56" s="472"/>
      <c r="T56" s="472"/>
      <c r="U56" s="472"/>
      <c r="V56" s="472"/>
      <c r="W56" s="472"/>
      <c r="X56" s="472"/>
      <c r="Y56" s="472"/>
      <c r="Z56" s="472"/>
      <c r="AA56" s="472"/>
      <c r="AB56" s="472"/>
      <c r="AC56" s="472"/>
      <c r="AD56" s="472"/>
      <c r="AE56" s="472"/>
      <c r="AF56" s="472"/>
      <c r="AG56" s="472"/>
      <c r="AH56" s="472"/>
      <c r="AI56" s="472"/>
      <c r="AJ56" s="472"/>
      <c r="AK56" s="472"/>
      <c r="AL56" s="472"/>
      <c r="AM56" s="472"/>
      <c r="AN56" s="472">
        <v>30000</v>
      </c>
      <c r="AO56" s="472"/>
      <c r="AP56" s="472"/>
      <c r="AQ56" s="472"/>
      <c r="AR56" s="478" t="s">
        <v>3864</v>
      </c>
      <c r="AS56" s="479"/>
    </row>
    <row r="57" s="26" customFormat="1" ht="19" customHeight="1" spans="1:45">
      <c r="A57" s="475"/>
      <c r="B57" s="475">
        <v>45128</v>
      </c>
      <c r="C57" s="476">
        <v>1000015564</v>
      </c>
      <c r="D57" s="477" t="s">
        <v>3854</v>
      </c>
      <c r="E57" s="472"/>
      <c r="F57" s="472"/>
      <c r="G57" s="472"/>
      <c r="H57" s="472"/>
      <c r="I57" s="472"/>
      <c r="J57" s="472"/>
      <c r="K57" s="472"/>
      <c r="L57" s="472"/>
      <c r="M57" s="472"/>
      <c r="N57" s="472"/>
      <c r="O57" s="472"/>
      <c r="P57" s="472"/>
      <c r="Q57" s="472"/>
      <c r="R57" s="472"/>
      <c r="S57" s="472"/>
      <c r="T57" s="472"/>
      <c r="U57" s="472"/>
      <c r="V57" s="472"/>
      <c r="W57" s="472"/>
      <c r="X57" s="472"/>
      <c r="Y57" s="472"/>
      <c r="Z57" s="472"/>
      <c r="AA57" s="472"/>
      <c r="AB57" s="472"/>
      <c r="AC57" s="472"/>
      <c r="AD57" s="472"/>
      <c r="AE57" s="472"/>
      <c r="AF57" s="472"/>
      <c r="AG57" s="472"/>
      <c r="AH57" s="472"/>
      <c r="AI57" s="472"/>
      <c r="AJ57" s="472"/>
      <c r="AK57" s="472"/>
      <c r="AL57" s="472"/>
      <c r="AM57" s="472"/>
      <c r="AN57" s="472"/>
      <c r="AO57" s="472">
        <v>690</v>
      </c>
      <c r="AP57" s="472"/>
      <c r="AQ57" s="472"/>
      <c r="AR57" s="481" t="s">
        <v>3865</v>
      </c>
      <c r="AS57" s="479"/>
    </row>
    <row r="58" s="26" customFormat="1" ht="19" customHeight="1" spans="1:45">
      <c r="A58" s="475"/>
      <c r="B58" s="475">
        <v>45131</v>
      </c>
      <c r="C58" s="482" t="s">
        <v>3866</v>
      </c>
      <c r="D58" s="477" t="s">
        <v>3815</v>
      </c>
      <c r="E58" s="472"/>
      <c r="F58" s="472"/>
      <c r="G58" s="472"/>
      <c r="H58" s="472"/>
      <c r="I58" s="472"/>
      <c r="J58" s="472"/>
      <c r="K58" s="472"/>
      <c r="L58" s="472"/>
      <c r="M58" s="472"/>
      <c r="N58" s="472"/>
      <c r="O58" s="472"/>
      <c r="P58" s="472"/>
      <c r="Q58" s="472"/>
      <c r="R58" s="472"/>
      <c r="S58" s="472"/>
      <c r="T58" s="472"/>
      <c r="U58" s="483">
        <f>500-121</f>
        <v>379</v>
      </c>
      <c r="V58" s="483"/>
      <c r="W58" s="483"/>
      <c r="X58" s="472"/>
      <c r="Y58" s="472"/>
      <c r="Z58" s="472"/>
      <c r="AA58" s="472"/>
      <c r="AB58" s="472"/>
      <c r="AC58" s="472"/>
      <c r="AD58" s="472"/>
      <c r="AE58" s="472"/>
      <c r="AF58" s="472"/>
      <c r="AG58" s="472"/>
      <c r="AH58" s="472"/>
      <c r="AI58" s="472"/>
      <c r="AJ58" s="472"/>
      <c r="AK58" s="472"/>
      <c r="AL58" s="472"/>
      <c r="AM58" s="472"/>
      <c r="AN58" s="472"/>
      <c r="AO58" s="472"/>
      <c r="AP58" s="472"/>
      <c r="AQ58" s="472"/>
      <c r="AR58" s="478"/>
      <c r="AS58" s="479"/>
    </row>
    <row r="59" s="26" customFormat="1" ht="19" customHeight="1" spans="1:45">
      <c r="A59" s="475"/>
      <c r="B59" s="475">
        <v>45135</v>
      </c>
      <c r="C59" s="484">
        <v>1000015714</v>
      </c>
      <c r="D59" s="477" t="s">
        <v>3823</v>
      </c>
      <c r="E59" s="472"/>
      <c r="F59" s="472"/>
      <c r="G59" s="472"/>
      <c r="H59" s="472"/>
      <c r="I59" s="472"/>
      <c r="J59" s="472"/>
      <c r="K59" s="472"/>
      <c r="L59" s="472"/>
      <c r="M59" s="472"/>
      <c r="N59" s="472"/>
      <c r="O59" s="472"/>
      <c r="P59" s="472"/>
      <c r="Q59" s="472"/>
      <c r="R59" s="472"/>
      <c r="S59" s="472"/>
      <c r="T59" s="472"/>
      <c r="U59" s="472"/>
      <c r="V59" s="472"/>
      <c r="W59" s="472"/>
      <c r="X59" s="472"/>
      <c r="Y59" s="472"/>
      <c r="Z59" s="472"/>
      <c r="AA59" s="472"/>
      <c r="AB59" s="472"/>
      <c r="AC59" s="472"/>
      <c r="AD59" s="472"/>
      <c r="AE59" s="472">
        <v>3842</v>
      </c>
      <c r="AF59" s="472"/>
      <c r="AG59" s="472"/>
      <c r="AH59" s="472"/>
      <c r="AI59" s="472"/>
      <c r="AJ59" s="472"/>
      <c r="AK59" s="472"/>
      <c r="AL59" s="472"/>
      <c r="AM59" s="472"/>
      <c r="AN59" s="472"/>
      <c r="AO59" s="472"/>
      <c r="AP59" s="472"/>
      <c r="AQ59" s="472"/>
      <c r="AR59" s="478" t="s">
        <v>3867</v>
      </c>
      <c r="AS59" s="479"/>
    </row>
    <row r="60" s="26" customFormat="1" ht="19" customHeight="1" spans="1:45">
      <c r="A60" s="475"/>
      <c r="B60" s="475">
        <v>45145</v>
      </c>
      <c r="C60" s="484" t="s">
        <v>3868</v>
      </c>
      <c r="D60" s="477" t="s">
        <v>3815</v>
      </c>
      <c r="E60" s="472"/>
      <c r="F60" s="472">
        <v>100000</v>
      </c>
      <c r="G60" s="472"/>
      <c r="H60" s="472"/>
      <c r="I60" s="472"/>
      <c r="J60" s="472"/>
      <c r="K60" s="472"/>
      <c r="L60" s="472"/>
      <c r="M60" s="472"/>
      <c r="N60" s="472"/>
      <c r="O60" s="472"/>
      <c r="P60" s="472"/>
      <c r="Q60" s="472"/>
      <c r="R60" s="472"/>
      <c r="S60" s="472"/>
      <c r="T60" s="472"/>
      <c r="U60" s="472"/>
      <c r="V60" s="472"/>
      <c r="W60" s="472"/>
      <c r="X60" s="472"/>
      <c r="Y60" s="472"/>
      <c r="Z60" s="472"/>
      <c r="AA60" s="472"/>
      <c r="AB60" s="472"/>
      <c r="AC60" s="472"/>
      <c r="AD60" s="472"/>
      <c r="AE60" s="472"/>
      <c r="AF60" s="472"/>
      <c r="AG60" s="472"/>
      <c r="AH60" s="472"/>
      <c r="AI60" s="472"/>
      <c r="AJ60" s="472"/>
      <c r="AK60" s="472"/>
      <c r="AL60" s="472"/>
      <c r="AM60" s="472"/>
      <c r="AN60" s="472"/>
      <c r="AO60" s="472"/>
      <c r="AP60" s="472"/>
      <c r="AQ60" s="472"/>
      <c r="AR60" s="478"/>
      <c r="AS60" s="479"/>
    </row>
    <row r="61" s="26" customFormat="1" ht="19" customHeight="1" spans="1:45">
      <c r="A61" s="475"/>
      <c r="B61" s="475">
        <v>45145</v>
      </c>
      <c r="C61" s="484" t="s">
        <v>3869</v>
      </c>
      <c r="D61" s="477" t="s">
        <v>3815</v>
      </c>
      <c r="E61" s="472"/>
      <c r="F61" s="472"/>
      <c r="G61" s="472"/>
      <c r="H61" s="472"/>
      <c r="I61" s="472"/>
      <c r="J61" s="472"/>
      <c r="K61" s="472"/>
      <c r="L61" s="472"/>
      <c r="M61" s="472"/>
      <c r="N61" s="472">
        <v>100000</v>
      </c>
      <c r="O61" s="472"/>
      <c r="P61" s="472"/>
      <c r="Q61" s="472"/>
      <c r="R61" s="472"/>
      <c r="S61" s="472"/>
      <c r="T61" s="472"/>
      <c r="U61" s="472"/>
      <c r="V61" s="472"/>
      <c r="W61" s="472"/>
      <c r="X61" s="472"/>
      <c r="Y61" s="472"/>
      <c r="Z61" s="472"/>
      <c r="AA61" s="472"/>
      <c r="AB61" s="472"/>
      <c r="AC61" s="472"/>
      <c r="AD61" s="472"/>
      <c r="AE61" s="472"/>
      <c r="AF61" s="472"/>
      <c r="AG61" s="472"/>
      <c r="AH61" s="472"/>
      <c r="AI61" s="472"/>
      <c r="AJ61" s="472"/>
      <c r="AK61" s="472"/>
      <c r="AL61" s="472"/>
      <c r="AM61" s="472"/>
      <c r="AN61" s="472"/>
      <c r="AO61" s="472"/>
      <c r="AP61" s="472"/>
      <c r="AQ61" s="472"/>
      <c r="AR61" s="478"/>
      <c r="AS61" s="479"/>
    </row>
    <row r="62" s="26" customFormat="1" ht="19" customHeight="1" spans="1:45">
      <c r="A62" s="475"/>
      <c r="B62" s="475">
        <v>45145</v>
      </c>
      <c r="C62" s="484" t="s">
        <v>3870</v>
      </c>
      <c r="D62" s="477" t="s">
        <v>3815</v>
      </c>
      <c r="E62" s="472"/>
      <c r="F62" s="472"/>
      <c r="G62" s="472"/>
      <c r="H62" s="472"/>
      <c r="I62" s="472"/>
      <c r="J62" s="472"/>
      <c r="K62" s="472"/>
      <c r="L62" s="472"/>
      <c r="M62" s="472"/>
      <c r="N62" s="472"/>
      <c r="O62" s="472"/>
      <c r="P62" s="472"/>
      <c r="Q62" s="472"/>
      <c r="R62" s="472">
        <v>3000</v>
      </c>
      <c r="S62" s="472"/>
      <c r="T62" s="472"/>
      <c r="U62" s="472"/>
      <c r="V62" s="472"/>
      <c r="W62" s="472"/>
      <c r="X62" s="472"/>
      <c r="Y62" s="472"/>
      <c r="Z62" s="472"/>
      <c r="AA62" s="472"/>
      <c r="AB62" s="472"/>
      <c r="AC62" s="472"/>
      <c r="AD62" s="472"/>
      <c r="AE62" s="472"/>
      <c r="AF62" s="472"/>
      <c r="AG62" s="472"/>
      <c r="AH62" s="472"/>
      <c r="AI62" s="472"/>
      <c r="AJ62" s="472"/>
      <c r="AK62" s="472"/>
      <c r="AL62" s="472"/>
      <c r="AM62" s="472"/>
      <c r="AN62" s="472"/>
      <c r="AO62" s="472"/>
      <c r="AP62" s="472"/>
      <c r="AQ62" s="472"/>
      <c r="AR62" s="478"/>
      <c r="AS62" s="479"/>
    </row>
    <row r="63" s="26" customFormat="1" ht="19" customHeight="1" spans="1:45">
      <c r="A63" s="475"/>
      <c r="B63" s="475">
        <v>45140</v>
      </c>
      <c r="C63" s="484"/>
      <c r="D63" s="477" t="s">
        <v>3871</v>
      </c>
      <c r="E63" s="472"/>
      <c r="F63" s="472"/>
      <c r="G63" s="472"/>
      <c r="H63" s="472"/>
      <c r="I63" s="472"/>
      <c r="J63" s="472"/>
      <c r="K63" s="472"/>
      <c r="L63" s="472"/>
      <c r="M63" s="472"/>
      <c r="N63" s="472"/>
      <c r="O63" s="472"/>
      <c r="P63" s="472"/>
      <c r="Q63" s="472"/>
      <c r="R63" s="472"/>
      <c r="S63" s="472"/>
      <c r="T63" s="472"/>
      <c r="U63" s="472"/>
      <c r="V63" s="472"/>
      <c r="W63" s="472"/>
      <c r="X63" s="472"/>
      <c r="Y63" s="472"/>
      <c r="Z63" s="472"/>
      <c r="AA63" s="472"/>
      <c r="AB63" s="472"/>
      <c r="AC63" s="472"/>
      <c r="AD63" s="472"/>
      <c r="AE63" s="472"/>
      <c r="AF63" s="472"/>
      <c r="AG63" s="472"/>
      <c r="AH63" s="472">
        <v>4336</v>
      </c>
      <c r="AI63" s="472"/>
      <c r="AJ63" s="472"/>
      <c r="AK63" s="472"/>
      <c r="AL63" s="472"/>
      <c r="AM63" s="472"/>
      <c r="AN63" s="472"/>
      <c r="AO63" s="472"/>
      <c r="AP63" s="472"/>
      <c r="AQ63" s="472"/>
      <c r="AR63" s="478" t="s">
        <v>3872</v>
      </c>
      <c r="AS63" s="479"/>
    </row>
    <row r="64" s="26" customFormat="1" ht="19" customHeight="1" spans="1:45">
      <c r="A64" s="475"/>
      <c r="B64" s="475">
        <v>45146</v>
      </c>
      <c r="C64" s="484"/>
      <c r="D64" s="477" t="s">
        <v>3873</v>
      </c>
      <c r="E64" s="472"/>
      <c r="F64" s="472"/>
      <c r="G64" s="472"/>
      <c r="H64" s="472"/>
      <c r="I64" s="472"/>
      <c r="J64" s="472"/>
      <c r="K64" s="472"/>
      <c r="L64" s="472"/>
      <c r="M64" s="472"/>
      <c r="N64" s="472"/>
      <c r="O64" s="472"/>
      <c r="P64" s="472"/>
      <c r="Q64" s="472"/>
      <c r="R64" s="472"/>
      <c r="S64" s="472"/>
      <c r="T64" s="472"/>
      <c r="U64" s="472"/>
      <c r="V64" s="472"/>
      <c r="W64" s="472"/>
      <c r="X64" s="472"/>
      <c r="Y64" s="472">
        <f>1000+250</f>
        <v>1250</v>
      </c>
      <c r="Z64" s="472"/>
      <c r="AA64" s="472"/>
      <c r="AB64" s="472"/>
      <c r="AC64" s="472"/>
      <c r="AD64" s="472"/>
      <c r="AE64" s="472"/>
      <c r="AF64" s="472"/>
      <c r="AG64" s="472"/>
      <c r="AH64" s="472"/>
      <c r="AI64" s="472"/>
      <c r="AJ64" s="472"/>
      <c r="AK64" s="472"/>
      <c r="AL64" s="472"/>
      <c r="AM64" s="472"/>
      <c r="AN64" s="472"/>
      <c r="AO64" s="472"/>
      <c r="AP64" s="472"/>
      <c r="AQ64" s="472"/>
      <c r="AR64" s="478" t="s">
        <v>3874</v>
      </c>
      <c r="AS64" s="479"/>
    </row>
    <row r="65" s="26" customFormat="1" ht="19" customHeight="1" spans="1:45">
      <c r="A65" s="475"/>
      <c r="B65" s="475">
        <v>45148</v>
      </c>
      <c r="C65" s="484">
        <v>1000015910</v>
      </c>
      <c r="D65" s="477" t="s">
        <v>3875</v>
      </c>
      <c r="E65" s="472"/>
      <c r="F65" s="472"/>
      <c r="G65" s="472"/>
      <c r="H65" s="472"/>
      <c r="I65" s="472"/>
      <c r="J65" s="472"/>
      <c r="K65" s="472"/>
      <c r="L65" s="472"/>
      <c r="M65" s="472"/>
      <c r="N65" s="472"/>
      <c r="O65" s="472"/>
      <c r="P65" s="472"/>
      <c r="Q65" s="472"/>
      <c r="R65" s="472"/>
      <c r="S65" s="472"/>
      <c r="T65" s="472"/>
      <c r="U65" s="472"/>
      <c r="V65" s="472"/>
      <c r="W65" s="472"/>
      <c r="X65" s="472"/>
      <c r="Y65" s="472"/>
      <c r="Z65" s="472"/>
      <c r="AA65" s="472"/>
      <c r="AB65" s="472"/>
      <c r="AC65" s="472"/>
      <c r="AD65" s="472"/>
      <c r="AE65" s="472"/>
      <c r="AF65" s="472"/>
      <c r="AG65" s="472"/>
      <c r="AH65" s="472"/>
      <c r="AI65" s="472"/>
      <c r="AJ65" s="472"/>
      <c r="AK65" s="472"/>
      <c r="AL65" s="472"/>
      <c r="AM65" s="472"/>
      <c r="AN65" s="472"/>
      <c r="AO65" s="472">
        <v>500</v>
      </c>
      <c r="AP65" s="472"/>
      <c r="AQ65" s="472"/>
      <c r="AR65" s="478">
        <v>4500110481</v>
      </c>
      <c r="AS65" s="479"/>
    </row>
    <row r="66" s="26" customFormat="1" ht="19" customHeight="1" spans="1:45">
      <c r="A66" s="475"/>
      <c r="B66" s="475">
        <v>45152</v>
      </c>
      <c r="C66" s="484"/>
      <c r="D66" s="477" t="s">
        <v>3823</v>
      </c>
      <c r="E66" s="472"/>
      <c r="F66" s="472"/>
      <c r="G66" s="472"/>
      <c r="H66" s="472"/>
      <c r="I66" s="472"/>
      <c r="J66" s="472"/>
      <c r="K66" s="472"/>
      <c r="L66" s="472"/>
      <c r="M66" s="472"/>
      <c r="N66" s="472"/>
      <c r="O66" s="472"/>
      <c r="P66" s="472"/>
      <c r="Q66" s="472"/>
      <c r="R66" s="472"/>
      <c r="S66" s="472"/>
      <c r="T66" s="472"/>
      <c r="U66" s="472"/>
      <c r="V66" s="472"/>
      <c r="W66" s="472"/>
      <c r="X66" s="472"/>
      <c r="Y66" s="472"/>
      <c r="Z66" s="472"/>
      <c r="AA66" s="472"/>
      <c r="AB66" s="472"/>
      <c r="AC66" s="472"/>
      <c r="AD66" s="472"/>
      <c r="AE66" s="472">
        <v>1775</v>
      </c>
      <c r="AF66" s="472"/>
      <c r="AG66" s="472"/>
      <c r="AH66" s="472"/>
      <c r="AI66" s="472"/>
      <c r="AJ66" s="472"/>
      <c r="AK66" s="472"/>
      <c r="AL66" s="472"/>
      <c r="AM66" s="472"/>
      <c r="AN66" s="472"/>
      <c r="AO66" s="472"/>
      <c r="AP66" s="472"/>
      <c r="AQ66" s="472"/>
      <c r="AR66" s="478" t="s">
        <v>3876</v>
      </c>
      <c r="AS66" s="479" t="s">
        <v>3877</v>
      </c>
    </row>
    <row r="67" s="26" customFormat="1" ht="19" customHeight="1" spans="1:45">
      <c r="A67" s="475"/>
      <c r="B67" s="475">
        <v>45153</v>
      </c>
      <c r="C67" s="484" t="s">
        <v>3878</v>
      </c>
      <c r="D67" s="477" t="s">
        <v>3815</v>
      </c>
      <c r="E67" s="472"/>
      <c r="F67" s="472"/>
      <c r="G67" s="472">
        <v>100000</v>
      </c>
      <c r="H67" s="472"/>
      <c r="I67" s="472"/>
      <c r="J67" s="472"/>
      <c r="K67" s="472"/>
      <c r="L67" s="472"/>
      <c r="M67" s="472"/>
      <c r="N67" s="472"/>
      <c r="O67" s="472"/>
      <c r="P67" s="472"/>
      <c r="Q67" s="472"/>
      <c r="R67" s="472"/>
      <c r="S67" s="472"/>
      <c r="T67" s="472"/>
      <c r="U67" s="472"/>
      <c r="V67" s="472"/>
      <c r="W67" s="472"/>
      <c r="X67" s="472"/>
      <c r="Y67" s="472"/>
      <c r="Z67" s="472"/>
      <c r="AA67" s="472"/>
      <c r="AB67" s="472"/>
      <c r="AC67" s="472"/>
      <c r="AD67" s="472"/>
      <c r="AE67" s="472"/>
      <c r="AF67" s="472"/>
      <c r="AG67" s="472"/>
      <c r="AH67" s="472"/>
      <c r="AI67" s="472"/>
      <c r="AJ67" s="472"/>
      <c r="AK67" s="472"/>
      <c r="AL67" s="472"/>
      <c r="AM67" s="472"/>
      <c r="AN67" s="472"/>
      <c r="AO67" s="472"/>
      <c r="AP67" s="472"/>
      <c r="AQ67" s="472"/>
      <c r="AR67" s="478"/>
      <c r="AS67" s="479"/>
    </row>
    <row r="68" s="26" customFormat="1" ht="19" customHeight="1" spans="1:45">
      <c r="A68" s="475"/>
      <c r="B68" s="475">
        <v>45153</v>
      </c>
      <c r="C68" s="484" t="s">
        <v>3879</v>
      </c>
      <c r="D68" s="477" t="s">
        <v>3815</v>
      </c>
      <c r="E68" s="472"/>
      <c r="F68" s="472"/>
      <c r="G68" s="472"/>
      <c r="H68" s="472"/>
      <c r="I68" s="472"/>
      <c r="J68" s="472"/>
      <c r="K68" s="472"/>
      <c r="L68" s="472"/>
      <c r="M68" s="472"/>
      <c r="N68" s="472"/>
      <c r="O68" s="472">
        <v>100000</v>
      </c>
      <c r="P68" s="472"/>
      <c r="Q68" s="472"/>
      <c r="R68" s="472"/>
      <c r="S68" s="472"/>
      <c r="T68" s="472"/>
      <c r="U68" s="472"/>
      <c r="V68" s="472"/>
      <c r="W68" s="472"/>
      <c r="X68" s="472"/>
      <c r="Y68" s="472"/>
      <c r="Z68" s="472"/>
      <c r="AA68" s="472"/>
      <c r="AB68" s="472"/>
      <c r="AC68" s="472"/>
      <c r="AD68" s="472"/>
      <c r="AE68" s="472"/>
      <c r="AF68" s="472"/>
      <c r="AG68" s="472"/>
      <c r="AH68" s="472"/>
      <c r="AI68" s="472"/>
      <c r="AJ68" s="472"/>
      <c r="AK68" s="472"/>
      <c r="AL68" s="472"/>
      <c r="AM68" s="472"/>
      <c r="AN68" s="472"/>
      <c r="AO68" s="472"/>
      <c r="AP68" s="472"/>
      <c r="AQ68" s="472"/>
      <c r="AR68" s="478"/>
      <c r="AS68" s="479"/>
    </row>
    <row r="69" s="26" customFormat="1" ht="19" customHeight="1" spans="1:45">
      <c r="A69" s="475"/>
      <c r="B69" s="475">
        <v>45153</v>
      </c>
      <c r="C69" s="484" t="s">
        <v>3880</v>
      </c>
      <c r="D69" s="477" t="s">
        <v>3815</v>
      </c>
      <c r="E69" s="472"/>
      <c r="F69" s="472"/>
      <c r="G69" s="472"/>
      <c r="H69" s="472"/>
      <c r="I69" s="472"/>
      <c r="J69" s="472"/>
      <c r="K69" s="472"/>
      <c r="L69" s="472"/>
      <c r="M69" s="472"/>
      <c r="N69" s="472"/>
      <c r="O69" s="472"/>
      <c r="P69" s="472"/>
      <c r="Q69" s="472"/>
      <c r="R69" s="472">
        <f>2000+48</f>
        <v>2048</v>
      </c>
      <c r="S69" s="472"/>
      <c r="T69" s="472"/>
      <c r="U69" s="472"/>
      <c r="V69" s="472"/>
      <c r="W69" s="472"/>
      <c r="X69" s="472"/>
      <c r="Y69" s="472"/>
      <c r="Z69" s="472"/>
      <c r="AA69" s="472"/>
      <c r="AB69" s="472"/>
      <c r="AC69" s="472"/>
      <c r="AD69" s="472"/>
      <c r="AE69" s="472"/>
      <c r="AF69" s="472"/>
      <c r="AG69" s="472"/>
      <c r="AH69" s="472"/>
      <c r="AI69" s="472"/>
      <c r="AJ69" s="472"/>
      <c r="AK69" s="472"/>
      <c r="AL69" s="472"/>
      <c r="AM69" s="472"/>
      <c r="AN69" s="472"/>
      <c r="AO69" s="472"/>
      <c r="AP69" s="472"/>
      <c r="AQ69" s="472"/>
      <c r="AR69" s="478"/>
      <c r="AS69" s="479"/>
    </row>
    <row r="70" s="26" customFormat="1" ht="19" customHeight="1" spans="1:45">
      <c r="A70" s="475"/>
      <c r="B70" s="475">
        <v>45159</v>
      </c>
      <c r="C70" s="484"/>
      <c r="D70" s="477"/>
      <c r="E70" s="472"/>
      <c r="F70" s="472"/>
      <c r="G70" s="472"/>
      <c r="H70" s="472"/>
      <c r="I70" s="472"/>
      <c r="J70" s="472"/>
      <c r="K70" s="472"/>
      <c r="L70" s="472"/>
      <c r="M70" s="472"/>
      <c r="N70" s="472"/>
      <c r="O70" s="472"/>
      <c r="P70" s="472"/>
      <c r="Q70" s="472"/>
      <c r="R70" s="472"/>
      <c r="S70" s="472"/>
      <c r="T70" s="472"/>
      <c r="U70" s="472"/>
      <c r="V70" s="472"/>
      <c r="W70" s="472"/>
      <c r="X70" s="472"/>
      <c r="Y70" s="472"/>
      <c r="Z70" s="472"/>
      <c r="AA70" s="472"/>
      <c r="AB70" s="472"/>
      <c r="AC70" s="472"/>
      <c r="AD70" s="472"/>
      <c r="AE70" s="472"/>
      <c r="AF70" s="472"/>
      <c r="AG70" s="472"/>
      <c r="AH70" s="472"/>
      <c r="AI70" s="472"/>
      <c r="AJ70" s="472">
        <f>500+132</f>
        <v>632</v>
      </c>
      <c r="AK70" s="472"/>
      <c r="AL70" s="472"/>
      <c r="AM70" s="472"/>
      <c r="AN70" s="472"/>
      <c r="AO70" s="472"/>
      <c r="AP70" s="472"/>
      <c r="AQ70" s="472"/>
      <c r="AR70" s="478">
        <v>4500111182</v>
      </c>
      <c r="AS70" s="479"/>
    </row>
    <row r="71" s="26" customFormat="1" ht="19" customHeight="1" spans="1:45">
      <c r="A71" s="475"/>
      <c r="B71" s="475">
        <v>45166</v>
      </c>
      <c r="C71" s="484"/>
      <c r="D71" s="477"/>
      <c r="E71" s="472"/>
      <c r="F71" s="472"/>
      <c r="G71" s="472"/>
      <c r="H71" s="472"/>
      <c r="I71" s="472"/>
      <c r="J71" s="472"/>
      <c r="K71" s="472"/>
      <c r="L71" s="472"/>
      <c r="M71" s="472"/>
      <c r="N71" s="472"/>
      <c r="O71" s="472"/>
      <c r="P71" s="472"/>
      <c r="Q71" s="472"/>
      <c r="R71" s="472"/>
      <c r="S71" s="472"/>
      <c r="T71" s="472"/>
      <c r="U71" s="472"/>
      <c r="V71" s="472"/>
      <c r="W71" s="472"/>
      <c r="X71" s="472"/>
      <c r="Y71" s="472"/>
      <c r="Z71" s="472"/>
      <c r="AA71" s="472"/>
      <c r="AB71" s="472">
        <v>500</v>
      </c>
      <c r="AC71" s="472"/>
      <c r="AD71" s="472"/>
      <c r="AE71" s="472"/>
      <c r="AF71" s="472"/>
      <c r="AG71" s="472"/>
      <c r="AH71" s="472"/>
      <c r="AI71" s="472"/>
      <c r="AJ71" s="472"/>
      <c r="AK71" s="472"/>
      <c r="AL71" s="472"/>
      <c r="AM71" s="472"/>
      <c r="AN71" s="472"/>
      <c r="AO71" s="472"/>
      <c r="AP71" s="472"/>
      <c r="AQ71" s="472"/>
      <c r="AR71" s="478">
        <v>4500111360</v>
      </c>
      <c r="AS71" s="479"/>
    </row>
    <row r="72" s="26" customFormat="1" ht="19" customHeight="1" spans="1:45">
      <c r="A72" s="475"/>
      <c r="B72" s="475">
        <v>45166</v>
      </c>
      <c r="C72" s="484"/>
      <c r="D72" s="477"/>
      <c r="E72" s="472"/>
      <c r="F72" s="472"/>
      <c r="G72" s="472"/>
      <c r="H72" s="472"/>
      <c r="I72" s="472"/>
      <c r="J72" s="472"/>
      <c r="K72" s="472"/>
      <c r="L72" s="472"/>
      <c r="M72" s="472"/>
      <c r="N72" s="472"/>
      <c r="O72" s="472"/>
      <c r="P72" s="472"/>
      <c r="Q72" s="472"/>
      <c r="R72" s="472"/>
      <c r="S72" s="472"/>
      <c r="T72" s="472"/>
      <c r="U72" s="472"/>
      <c r="V72" s="472"/>
      <c r="W72" s="472"/>
      <c r="X72" s="472"/>
      <c r="Y72" s="472"/>
      <c r="Z72" s="472"/>
      <c r="AA72" s="472"/>
      <c r="AB72" s="472"/>
      <c r="AC72" s="472"/>
      <c r="AD72" s="472"/>
      <c r="AE72" s="472"/>
      <c r="AF72" s="472"/>
      <c r="AG72" s="472"/>
      <c r="AH72" s="472"/>
      <c r="AI72" s="472"/>
      <c r="AJ72" s="472"/>
      <c r="AK72" s="472"/>
      <c r="AL72" s="472">
        <v>560</v>
      </c>
      <c r="AM72" s="472"/>
      <c r="AN72" s="472"/>
      <c r="AO72" s="472"/>
      <c r="AP72" s="472"/>
      <c r="AQ72" s="472"/>
      <c r="AR72" s="478">
        <v>4500111831</v>
      </c>
      <c r="AS72" s="479"/>
    </row>
    <row r="73" s="26" customFormat="1" ht="19" customHeight="1" spans="1:45">
      <c r="A73" s="475"/>
      <c r="B73" s="475">
        <v>45168</v>
      </c>
      <c r="C73" s="484"/>
      <c r="D73" s="477"/>
      <c r="E73" s="472"/>
      <c r="F73" s="472"/>
      <c r="G73" s="472"/>
      <c r="H73" s="472"/>
      <c r="I73" s="472"/>
      <c r="J73" s="472"/>
      <c r="K73" s="472"/>
      <c r="L73" s="472"/>
      <c r="M73" s="472"/>
      <c r="N73" s="472"/>
      <c r="O73" s="472"/>
      <c r="P73" s="472"/>
      <c r="Q73" s="472"/>
      <c r="R73" s="472"/>
      <c r="S73" s="472"/>
      <c r="T73" s="472"/>
      <c r="U73" s="472"/>
      <c r="V73" s="472"/>
      <c r="W73" s="472"/>
      <c r="X73" s="472"/>
      <c r="Y73" s="472"/>
      <c r="Z73" s="472"/>
      <c r="AA73" s="472"/>
      <c r="AB73" s="472"/>
      <c r="AC73" s="472"/>
      <c r="AD73" s="472"/>
      <c r="AE73" s="472"/>
      <c r="AF73" s="472"/>
      <c r="AG73" s="472"/>
      <c r="AH73" s="472">
        <v>3240</v>
      </c>
      <c r="AI73" s="472"/>
      <c r="AJ73" s="472"/>
      <c r="AK73" s="472"/>
      <c r="AL73" s="472"/>
      <c r="AM73" s="472"/>
      <c r="AN73" s="472"/>
      <c r="AO73" s="472"/>
      <c r="AP73" s="472"/>
      <c r="AQ73" s="472"/>
      <c r="AR73" s="478">
        <v>4500112236</v>
      </c>
      <c r="AS73" s="479"/>
    </row>
    <row r="74" s="26" customFormat="1" ht="19" customHeight="1" spans="1:45">
      <c r="A74" s="475"/>
      <c r="B74" s="475">
        <v>45169</v>
      </c>
      <c r="C74" s="484" t="s">
        <v>3881</v>
      </c>
      <c r="D74" s="477" t="s">
        <v>3815</v>
      </c>
      <c r="E74" s="472"/>
      <c r="F74" s="472"/>
      <c r="G74" s="472"/>
      <c r="H74" s="472"/>
      <c r="I74" s="472"/>
      <c r="J74" s="472"/>
      <c r="K74" s="472"/>
      <c r="L74" s="472"/>
      <c r="M74" s="472"/>
      <c r="N74" s="472"/>
      <c r="O74" s="472"/>
      <c r="P74" s="472"/>
      <c r="Q74" s="472"/>
      <c r="R74" s="472"/>
      <c r="S74" s="472"/>
      <c r="T74" s="472"/>
      <c r="U74" s="472"/>
      <c r="V74" s="472">
        <v>500</v>
      </c>
      <c r="W74" s="472"/>
      <c r="X74" s="472"/>
      <c r="Y74" s="472"/>
      <c r="Z74" s="472"/>
      <c r="AA74" s="472"/>
      <c r="AB74" s="472"/>
      <c r="AC74" s="472"/>
      <c r="AD74" s="472"/>
      <c r="AE74" s="472"/>
      <c r="AF74" s="472"/>
      <c r="AG74" s="472"/>
      <c r="AH74" s="472"/>
      <c r="AI74" s="472"/>
      <c r="AJ74" s="472"/>
      <c r="AK74" s="472"/>
      <c r="AL74" s="472"/>
      <c r="AM74" s="472"/>
      <c r="AN74" s="472"/>
      <c r="AO74" s="472"/>
      <c r="AP74" s="472"/>
      <c r="AQ74" s="472"/>
      <c r="AR74" s="478"/>
      <c r="AS74" s="479"/>
    </row>
    <row r="75" s="26" customFormat="1" ht="19" customHeight="1" spans="1:45">
      <c r="A75" s="475"/>
      <c r="B75" s="485">
        <v>45176</v>
      </c>
      <c r="C75" s="484">
        <v>1000016275</v>
      </c>
      <c r="D75" s="477"/>
      <c r="E75" s="472"/>
      <c r="F75" s="472"/>
      <c r="G75" s="472"/>
      <c r="H75" s="472"/>
      <c r="I75" s="472"/>
      <c r="J75" s="472"/>
      <c r="K75" s="472"/>
      <c r="L75" s="472"/>
      <c r="M75" s="472"/>
      <c r="N75" s="472"/>
      <c r="O75" s="472"/>
      <c r="P75" s="472"/>
      <c r="Q75" s="472"/>
      <c r="R75" s="472"/>
      <c r="S75" s="472"/>
      <c r="T75" s="472"/>
      <c r="U75" s="472"/>
      <c r="V75" s="472"/>
      <c r="W75" s="472"/>
      <c r="X75" s="472"/>
      <c r="Y75" s="472"/>
      <c r="Z75" s="472"/>
      <c r="AA75" s="472"/>
      <c r="AB75" s="472"/>
      <c r="AC75" s="472"/>
      <c r="AD75" s="472"/>
      <c r="AE75" s="472"/>
      <c r="AF75" s="486">
        <v>1750</v>
      </c>
      <c r="AG75" s="486"/>
      <c r="AH75" s="472"/>
      <c r="AI75" s="472"/>
      <c r="AJ75" s="472"/>
      <c r="AK75" s="472"/>
      <c r="AL75" s="472"/>
      <c r="AM75" s="472"/>
      <c r="AN75" s="472"/>
      <c r="AO75" s="472"/>
      <c r="AP75" s="472"/>
      <c r="AQ75" s="472"/>
      <c r="AR75" s="478" t="s">
        <v>3882</v>
      </c>
      <c r="AS75" s="479"/>
    </row>
    <row r="76" s="26" customFormat="1" ht="19" customHeight="1" spans="1:45">
      <c r="A76" s="475"/>
      <c r="B76" s="475">
        <v>45180</v>
      </c>
      <c r="C76" s="484" t="s">
        <v>3883</v>
      </c>
      <c r="D76" s="477" t="s">
        <v>3815</v>
      </c>
      <c r="E76" s="472"/>
      <c r="F76" s="472"/>
      <c r="G76" s="472"/>
      <c r="H76" s="472"/>
      <c r="I76" s="472"/>
      <c r="J76" s="472">
        <v>30000</v>
      </c>
      <c r="K76" s="472"/>
      <c r="L76" s="472"/>
      <c r="M76" s="472"/>
      <c r="N76" s="472"/>
      <c r="O76" s="472"/>
      <c r="P76" s="472"/>
      <c r="Q76" s="472"/>
      <c r="R76" s="472"/>
      <c r="S76" s="472"/>
      <c r="T76" s="472"/>
      <c r="U76" s="472"/>
      <c r="V76" s="472"/>
      <c r="W76" s="472"/>
      <c r="X76" s="472"/>
      <c r="Y76" s="472"/>
      <c r="Z76" s="472"/>
      <c r="AA76" s="472"/>
      <c r="AB76" s="472"/>
      <c r="AC76" s="472"/>
      <c r="AD76" s="472"/>
      <c r="AE76" s="472"/>
      <c r="AF76" s="486"/>
      <c r="AG76" s="486"/>
      <c r="AH76" s="472"/>
      <c r="AI76" s="472"/>
      <c r="AJ76" s="472"/>
      <c r="AK76" s="472"/>
      <c r="AL76" s="472"/>
      <c r="AM76" s="472"/>
      <c r="AN76" s="472"/>
      <c r="AO76" s="472"/>
      <c r="AP76" s="472"/>
      <c r="AQ76" s="472"/>
      <c r="AR76" s="478"/>
      <c r="AS76" s="479"/>
    </row>
    <row r="77" s="26" customFormat="1" ht="19" customHeight="1" spans="1:45">
      <c r="A77" s="475"/>
      <c r="B77" s="475">
        <v>45180</v>
      </c>
      <c r="C77" s="484" t="s">
        <v>3884</v>
      </c>
      <c r="D77" s="477" t="s">
        <v>3815</v>
      </c>
      <c r="E77" s="472"/>
      <c r="F77" s="472"/>
      <c r="G77" s="472"/>
      <c r="H77" s="472"/>
      <c r="I77" s="472"/>
      <c r="J77" s="472"/>
      <c r="K77" s="472"/>
      <c r="L77" s="472"/>
      <c r="M77" s="472"/>
      <c r="N77" s="472"/>
      <c r="O77" s="472"/>
      <c r="P77" s="472"/>
      <c r="Q77" s="472"/>
      <c r="R77" s="472"/>
      <c r="S77" s="472"/>
      <c r="T77" s="472"/>
      <c r="U77" s="472"/>
      <c r="V77" s="472">
        <v>1000</v>
      </c>
      <c r="W77" s="472"/>
      <c r="X77" s="472"/>
      <c r="Y77" s="472"/>
      <c r="Z77" s="472"/>
      <c r="AA77" s="472"/>
      <c r="AB77" s="472"/>
      <c r="AC77" s="472"/>
      <c r="AD77" s="472"/>
      <c r="AE77" s="472"/>
      <c r="AF77" s="486"/>
      <c r="AG77" s="486"/>
      <c r="AH77" s="472"/>
      <c r="AI77" s="472"/>
      <c r="AJ77" s="472"/>
      <c r="AK77" s="472"/>
      <c r="AL77" s="472"/>
      <c r="AM77" s="472"/>
      <c r="AN77" s="472"/>
      <c r="AO77" s="472"/>
      <c r="AP77" s="472"/>
      <c r="AQ77" s="472"/>
      <c r="AR77" s="478"/>
      <c r="AS77" s="479"/>
    </row>
    <row r="78" s="26" customFormat="1" ht="19" customHeight="1" spans="1:45">
      <c r="A78" s="475"/>
      <c r="B78" s="475">
        <v>45187</v>
      </c>
      <c r="C78" s="484">
        <v>1000016439</v>
      </c>
      <c r="D78" s="477" t="s">
        <v>3815</v>
      </c>
      <c r="E78" s="472"/>
      <c r="F78" s="472"/>
      <c r="G78" s="472"/>
      <c r="H78" s="472"/>
      <c r="I78" s="472"/>
      <c r="J78" s="472"/>
      <c r="K78" s="472"/>
      <c r="L78" s="472"/>
      <c r="M78" s="472"/>
      <c r="N78" s="472"/>
      <c r="O78" s="472"/>
      <c r="P78" s="472"/>
      <c r="Q78" s="472"/>
      <c r="R78" s="472"/>
      <c r="S78" s="472">
        <v>1000</v>
      </c>
      <c r="T78" s="472"/>
      <c r="U78" s="472"/>
      <c r="V78" s="472"/>
      <c r="W78" s="472"/>
      <c r="X78" s="472"/>
      <c r="Y78" s="472"/>
      <c r="Z78" s="472"/>
      <c r="AA78" s="472"/>
      <c r="AB78" s="472"/>
      <c r="AC78" s="472"/>
      <c r="AD78" s="472"/>
      <c r="AE78" s="472"/>
      <c r="AF78" s="486"/>
      <c r="AG78" s="486"/>
      <c r="AH78" s="472"/>
      <c r="AI78" s="472"/>
      <c r="AJ78" s="472"/>
      <c r="AK78" s="472"/>
      <c r="AL78" s="472"/>
      <c r="AM78" s="472"/>
      <c r="AN78" s="472"/>
      <c r="AO78" s="472"/>
      <c r="AP78" s="472"/>
      <c r="AQ78" s="472"/>
      <c r="AR78" s="478"/>
      <c r="AS78" s="479"/>
    </row>
    <row r="79" s="26" customFormat="1" ht="19" customHeight="1" spans="1:45">
      <c r="A79" s="475"/>
      <c r="B79" s="475">
        <v>45187</v>
      </c>
      <c r="C79" s="484">
        <v>1000016443</v>
      </c>
      <c r="D79" s="477" t="s">
        <v>3885</v>
      </c>
      <c r="E79" s="472"/>
      <c r="F79" s="472"/>
      <c r="G79" s="472"/>
      <c r="H79" s="472"/>
      <c r="I79" s="472"/>
      <c r="J79" s="472"/>
      <c r="K79" s="472"/>
      <c r="L79" s="472"/>
      <c r="M79" s="472"/>
      <c r="N79" s="472"/>
      <c r="O79" s="472"/>
      <c r="P79" s="472"/>
      <c r="Q79" s="472"/>
      <c r="R79" s="472"/>
      <c r="S79" s="472"/>
      <c r="T79" s="472"/>
      <c r="U79" s="472"/>
      <c r="V79" s="472"/>
      <c r="W79" s="472"/>
      <c r="X79" s="472"/>
      <c r="Y79" s="472"/>
      <c r="Z79" s="472"/>
      <c r="AA79" s="472"/>
      <c r="AB79" s="472">
        <v>1260</v>
      </c>
      <c r="AC79" s="472"/>
      <c r="AD79" s="472"/>
      <c r="AE79" s="472"/>
      <c r="AF79" s="486"/>
      <c r="AG79" s="486"/>
      <c r="AH79" s="472"/>
      <c r="AI79" s="472"/>
      <c r="AJ79" s="472"/>
      <c r="AK79" s="472"/>
      <c r="AL79" s="472"/>
      <c r="AM79" s="472"/>
      <c r="AN79" s="472"/>
      <c r="AO79" s="472"/>
      <c r="AP79" s="472"/>
      <c r="AQ79" s="472"/>
      <c r="AR79" s="478" t="s">
        <v>3886</v>
      </c>
      <c r="AS79" s="479"/>
    </row>
    <row r="80" s="26" customFormat="1" ht="19" customHeight="1" spans="1:45">
      <c r="A80" s="475"/>
      <c r="B80" s="487">
        <v>45206</v>
      </c>
      <c r="C80" s="476">
        <v>1000016585</v>
      </c>
      <c r="D80" s="477"/>
      <c r="E80" s="472"/>
      <c r="F80" s="472"/>
      <c r="G80" s="472"/>
      <c r="H80" s="472"/>
      <c r="I80" s="472"/>
      <c r="J80" s="472"/>
      <c r="K80" s="472"/>
      <c r="L80" s="472"/>
      <c r="M80" s="472"/>
      <c r="N80" s="472"/>
      <c r="O80" s="472"/>
      <c r="P80" s="472"/>
      <c r="Q80" s="472"/>
      <c r="R80" s="472"/>
      <c r="S80" s="472"/>
      <c r="T80" s="472"/>
      <c r="U80" s="472"/>
      <c r="V80" s="472"/>
      <c r="W80" s="472"/>
      <c r="X80" s="472"/>
      <c r="Y80" s="472"/>
      <c r="Z80" s="472">
        <v>500</v>
      </c>
      <c r="AA80" s="472"/>
      <c r="AB80" s="472"/>
      <c r="AC80" s="472"/>
      <c r="AD80" s="472"/>
      <c r="AE80" s="472"/>
      <c r="AF80" s="486"/>
      <c r="AG80" s="486"/>
      <c r="AH80" s="472"/>
      <c r="AI80" s="472"/>
      <c r="AJ80" s="472"/>
      <c r="AK80" s="472"/>
      <c r="AL80" s="472"/>
      <c r="AM80" s="472"/>
      <c r="AN80" s="472"/>
      <c r="AO80" s="472"/>
      <c r="AP80" s="472"/>
      <c r="AQ80" s="472"/>
      <c r="AR80" s="478" t="s">
        <v>3887</v>
      </c>
      <c r="AS80" s="479">
        <f>Z80-358-142</f>
        <v>0</v>
      </c>
    </row>
    <row r="81" s="26" customFormat="1" ht="19" customHeight="1" spans="1:45">
      <c r="A81" s="475"/>
      <c r="B81" s="487">
        <v>45206</v>
      </c>
      <c r="C81" s="476">
        <v>1000016587</v>
      </c>
      <c r="D81" s="477"/>
      <c r="E81" s="472"/>
      <c r="F81" s="472"/>
      <c r="G81" s="472"/>
      <c r="H81" s="472"/>
      <c r="I81" s="472"/>
      <c r="J81" s="472"/>
      <c r="K81" s="472"/>
      <c r="L81" s="472"/>
      <c r="M81" s="472"/>
      <c r="N81" s="472"/>
      <c r="O81" s="472"/>
      <c r="P81" s="472"/>
      <c r="Q81" s="472"/>
      <c r="R81" s="472"/>
      <c r="S81" s="472"/>
      <c r="T81" s="472"/>
      <c r="U81" s="472"/>
      <c r="V81" s="472"/>
      <c r="W81" s="472"/>
      <c r="X81" s="472"/>
      <c r="Y81" s="472"/>
      <c r="Z81" s="472"/>
      <c r="AA81" s="472"/>
      <c r="AB81" s="472"/>
      <c r="AC81" s="472"/>
      <c r="AD81" s="472"/>
      <c r="AE81" s="472"/>
      <c r="AF81" s="486"/>
      <c r="AG81" s="486"/>
      <c r="AH81" s="472">
        <f>4212-8</f>
        <v>4204</v>
      </c>
      <c r="AI81" s="472"/>
      <c r="AJ81" s="472"/>
      <c r="AK81" s="472"/>
      <c r="AL81" s="472"/>
      <c r="AM81" s="472"/>
      <c r="AN81" s="472"/>
      <c r="AO81" s="472"/>
      <c r="AP81" s="472"/>
      <c r="AQ81" s="472"/>
      <c r="AR81" s="478" t="s">
        <v>3888</v>
      </c>
      <c r="AS81" s="479"/>
    </row>
    <row r="82" s="26" customFormat="1" ht="19" customHeight="1" spans="1:45">
      <c r="A82" s="475"/>
      <c r="B82" s="487">
        <v>45211</v>
      </c>
      <c r="C82" s="476">
        <v>1000016678</v>
      </c>
      <c r="D82" s="477"/>
      <c r="E82" s="472"/>
      <c r="F82" s="472"/>
      <c r="G82" s="472"/>
      <c r="H82" s="472"/>
      <c r="I82" s="472"/>
      <c r="J82" s="472"/>
      <c r="K82" s="472"/>
      <c r="L82" s="472"/>
      <c r="M82" s="472"/>
      <c r="N82" s="472"/>
      <c r="O82" s="472"/>
      <c r="P82" s="472"/>
      <c r="Q82" s="472"/>
      <c r="R82" s="472"/>
      <c r="S82" s="472"/>
      <c r="T82" s="472"/>
      <c r="U82" s="472"/>
      <c r="V82" s="472"/>
      <c r="W82" s="472"/>
      <c r="X82" s="472"/>
      <c r="Y82" s="472"/>
      <c r="Z82" s="472"/>
      <c r="AA82" s="472"/>
      <c r="AB82" s="472"/>
      <c r="AC82" s="472"/>
      <c r="AD82" s="472"/>
      <c r="AE82" s="472"/>
      <c r="AF82" s="486">
        <v>500</v>
      </c>
      <c r="AG82" s="486"/>
      <c r="AH82" s="472"/>
      <c r="AI82" s="472"/>
      <c r="AJ82" s="472"/>
      <c r="AK82" s="472"/>
      <c r="AL82" s="472"/>
      <c r="AM82" s="472"/>
      <c r="AN82" s="472"/>
      <c r="AO82" s="472"/>
      <c r="AP82" s="472"/>
      <c r="AQ82" s="472"/>
      <c r="AR82" s="478" t="s">
        <v>3889</v>
      </c>
      <c r="AS82" s="479"/>
    </row>
    <row r="83" s="26" customFormat="1" ht="19" customHeight="1" spans="1:45">
      <c r="A83" s="475"/>
      <c r="B83" s="487">
        <v>45215</v>
      </c>
      <c r="C83" s="476">
        <v>1000016741</v>
      </c>
      <c r="D83" s="477"/>
      <c r="E83" s="472"/>
      <c r="F83" s="472"/>
      <c r="G83" s="472"/>
      <c r="H83" s="472"/>
      <c r="I83" s="472"/>
      <c r="J83" s="472"/>
      <c r="K83" s="472"/>
      <c r="L83" s="472"/>
      <c r="M83" s="472"/>
      <c r="N83" s="472"/>
      <c r="O83" s="472"/>
      <c r="P83" s="472"/>
      <c r="Q83" s="472"/>
      <c r="R83" s="472"/>
      <c r="S83" s="472"/>
      <c r="T83" s="472"/>
      <c r="U83" s="472"/>
      <c r="V83" s="472"/>
      <c r="W83" s="472"/>
      <c r="X83" s="472"/>
      <c r="Y83" s="472"/>
      <c r="Z83" s="472"/>
      <c r="AA83" s="472"/>
      <c r="AB83" s="472"/>
      <c r="AC83" s="472">
        <v>500</v>
      </c>
      <c r="AD83" s="472"/>
      <c r="AE83" s="472"/>
      <c r="AF83" s="486"/>
      <c r="AG83" s="486"/>
      <c r="AH83" s="472"/>
      <c r="AI83" s="472"/>
      <c r="AJ83" s="472"/>
      <c r="AK83" s="472"/>
      <c r="AL83" s="472"/>
      <c r="AM83" s="472"/>
      <c r="AN83" s="472"/>
      <c r="AO83" s="472"/>
      <c r="AP83" s="472"/>
      <c r="AQ83" s="472"/>
      <c r="AR83" s="478" t="s">
        <v>3890</v>
      </c>
      <c r="AS83" s="479"/>
    </row>
    <row r="84" s="26" customFormat="1" ht="19" customHeight="1" spans="1:45">
      <c r="A84" s="475"/>
      <c r="B84" s="487">
        <v>45218</v>
      </c>
      <c r="C84" s="488">
        <v>1000016793</v>
      </c>
      <c r="D84" s="477"/>
      <c r="E84" s="472"/>
      <c r="F84" s="472"/>
      <c r="G84" s="472"/>
      <c r="H84" s="472"/>
      <c r="I84" s="472"/>
      <c r="J84" s="472"/>
      <c r="K84" s="472"/>
      <c r="L84" s="472"/>
      <c r="M84" s="472"/>
      <c r="N84" s="472"/>
      <c r="O84" s="472"/>
      <c r="P84" s="472"/>
      <c r="Q84" s="472"/>
      <c r="R84" s="472"/>
      <c r="S84" s="472"/>
      <c r="T84" s="472"/>
      <c r="U84" s="472"/>
      <c r="V84" s="472"/>
      <c r="W84" s="472"/>
      <c r="X84" s="472"/>
      <c r="Y84" s="472"/>
      <c r="Z84" s="472"/>
      <c r="AA84" s="472"/>
      <c r="AB84" s="472"/>
      <c r="AC84" s="472"/>
      <c r="AD84" s="472"/>
      <c r="AE84" s="472"/>
      <c r="AF84" s="486"/>
      <c r="AG84" s="486"/>
      <c r="AH84" s="472"/>
      <c r="AI84" s="472"/>
      <c r="AJ84" s="472"/>
      <c r="AK84" s="472"/>
      <c r="AL84" s="472"/>
      <c r="AM84" s="472"/>
      <c r="AN84" s="472"/>
      <c r="AO84" s="486">
        <v>500</v>
      </c>
      <c r="AP84" s="472"/>
      <c r="AQ84" s="472"/>
      <c r="AR84" s="489" t="s">
        <v>3891</v>
      </c>
      <c r="AS84" s="479"/>
    </row>
    <row r="85" s="26" customFormat="1" ht="19" customHeight="1" spans="1:45">
      <c r="A85" s="475"/>
      <c r="B85" s="487">
        <v>45219</v>
      </c>
      <c r="C85" s="476"/>
      <c r="D85" s="477"/>
      <c r="E85" s="472"/>
      <c r="F85" s="472"/>
      <c r="G85" s="472"/>
      <c r="H85" s="472"/>
      <c r="I85" s="472"/>
      <c r="J85" s="472"/>
      <c r="K85" s="472"/>
      <c r="L85" s="472"/>
      <c r="M85" s="472"/>
      <c r="N85" s="472"/>
      <c r="O85" s="472"/>
      <c r="P85" s="472"/>
      <c r="Q85" s="472"/>
      <c r="R85" s="472"/>
      <c r="S85" s="472"/>
      <c r="T85" s="472"/>
      <c r="U85" s="472"/>
      <c r="V85" s="472"/>
      <c r="W85" s="472"/>
      <c r="X85" s="472"/>
      <c r="Y85" s="472"/>
      <c r="Z85" s="472"/>
      <c r="AA85" s="472"/>
      <c r="AB85" s="472"/>
      <c r="AC85" s="472"/>
      <c r="AD85" s="472"/>
      <c r="AE85" s="472"/>
      <c r="AF85" s="486">
        <v>3167</v>
      </c>
      <c r="AG85" s="486"/>
      <c r="AH85" s="472"/>
      <c r="AI85" s="472"/>
      <c r="AJ85" s="472"/>
      <c r="AK85" s="472"/>
      <c r="AL85" s="472"/>
      <c r="AM85" s="472"/>
      <c r="AN85" s="472"/>
      <c r="AO85" s="472"/>
      <c r="AP85" s="472"/>
      <c r="AQ85" s="472"/>
      <c r="AR85" s="489" t="s">
        <v>3892</v>
      </c>
      <c r="AS85" s="479"/>
    </row>
    <row r="86" s="26" customFormat="1" ht="19" customHeight="1" spans="1:45">
      <c r="A86" s="475"/>
      <c r="B86" s="475">
        <v>45222</v>
      </c>
      <c r="C86" s="476">
        <v>1000016845</v>
      </c>
      <c r="D86" s="477"/>
      <c r="E86" s="472"/>
      <c r="F86" s="472"/>
      <c r="G86" s="472"/>
      <c r="H86" s="472">
        <v>60000</v>
      </c>
      <c r="I86" s="472"/>
      <c r="J86" s="472"/>
      <c r="K86" s="472"/>
      <c r="L86" s="472"/>
      <c r="M86" s="472"/>
      <c r="N86" s="472"/>
      <c r="O86" s="472"/>
      <c r="P86" s="472"/>
      <c r="Q86" s="472"/>
      <c r="R86" s="472"/>
      <c r="S86" s="472"/>
      <c r="T86" s="472"/>
      <c r="U86" s="472"/>
      <c r="V86" s="472"/>
      <c r="W86" s="472"/>
      <c r="X86" s="472"/>
      <c r="Y86" s="472"/>
      <c r="Z86" s="472"/>
      <c r="AA86" s="472"/>
      <c r="AB86" s="472"/>
      <c r="AC86" s="472"/>
      <c r="AD86" s="472"/>
      <c r="AE86" s="472"/>
      <c r="AF86" s="486"/>
      <c r="AG86" s="486"/>
      <c r="AH86" s="472"/>
      <c r="AI86" s="472"/>
      <c r="AJ86" s="472"/>
      <c r="AK86" s="472"/>
      <c r="AL86" s="472"/>
      <c r="AM86" s="472"/>
      <c r="AN86" s="472"/>
      <c r="AO86" s="472"/>
      <c r="AP86" s="472"/>
      <c r="AQ86" s="472"/>
      <c r="AR86" s="489"/>
      <c r="AS86" s="479"/>
    </row>
    <row r="87" s="26" customFormat="1" ht="19" customHeight="1" spans="1:45">
      <c r="A87" s="475"/>
      <c r="B87" s="475">
        <v>45222</v>
      </c>
      <c r="C87" s="476">
        <v>1000016846</v>
      </c>
      <c r="D87" s="477"/>
      <c r="E87" s="472"/>
      <c r="F87" s="472"/>
      <c r="G87" s="472"/>
      <c r="H87" s="472"/>
      <c r="I87" s="472"/>
      <c r="J87" s="472"/>
      <c r="K87" s="472"/>
      <c r="L87" s="472"/>
      <c r="M87" s="472"/>
      <c r="N87" s="472"/>
      <c r="O87" s="472">
        <v>60000</v>
      </c>
      <c r="P87" s="472"/>
      <c r="Q87" s="472"/>
      <c r="R87" s="472"/>
      <c r="S87" s="472"/>
      <c r="T87" s="472"/>
      <c r="U87" s="472"/>
      <c r="V87" s="472"/>
      <c r="W87" s="472"/>
      <c r="X87" s="472"/>
      <c r="Y87" s="472"/>
      <c r="Z87" s="472"/>
      <c r="AA87" s="472"/>
      <c r="AB87" s="472"/>
      <c r="AC87" s="472"/>
      <c r="AD87" s="472"/>
      <c r="AE87" s="472"/>
      <c r="AF87" s="486"/>
      <c r="AG87" s="486"/>
      <c r="AH87" s="472"/>
      <c r="AI87" s="472"/>
      <c r="AJ87" s="472"/>
      <c r="AK87" s="472"/>
      <c r="AL87" s="472"/>
      <c r="AM87" s="472"/>
      <c r="AN87" s="472"/>
      <c r="AO87" s="472"/>
      <c r="AP87" s="472"/>
      <c r="AQ87" s="472"/>
      <c r="AR87" s="489"/>
      <c r="AS87" s="479"/>
    </row>
    <row r="88" s="26" customFormat="1" ht="19" customHeight="1" spans="1:45">
      <c r="A88" s="475"/>
      <c r="B88" s="475">
        <v>45222</v>
      </c>
      <c r="C88" s="476">
        <v>1000016847</v>
      </c>
      <c r="D88" s="477"/>
      <c r="E88" s="472"/>
      <c r="F88" s="472"/>
      <c r="G88" s="472"/>
      <c r="H88" s="472"/>
      <c r="I88" s="472"/>
      <c r="J88" s="472"/>
      <c r="K88" s="472"/>
      <c r="L88" s="472"/>
      <c r="M88" s="472"/>
      <c r="N88" s="472"/>
      <c r="O88" s="472"/>
      <c r="P88" s="472"/>
      <c r="Q88" s="472"/>
      <c r="R88" s="472"/>
      <c r="S88" s="472">
        <v>1000</v>
      </c>
      <c r="T88" s="472"/>
      <c r="U88" s="472"/>
      <c r="V88" s="472"/>
      <c r="W88" s="472"/>
      <c r="X88" s="472"/>
      <c r="Y88" s="472"/>
      <c r="Z88" s="472"/>
      <c r="AA88" s="472"/>
      <c r="AB88" s="472"/>
      <c r="AC88" s="472"/>
      <c r="AD88" s="472"/>
      <c r="AE88" s="472"/>
      <c r="AF88" s="486"/>
      <c r="AG88" s="486"/>
      <c r="AH88" s="472"/>
      <c r="AI88" s="472"/>
      <c r="AJ88" s="472"/>
      <c r="AK88" s="472"/>
      <c r="AL88" s="472"/>
      <c r="AM88" s="472"/>
      <c r="AN88" s="472"/>
      <c r="AO88" s="472"/>
      <c r="AP88" s="472"/>
      <c r="AQ88" s="472"/>
      <c r="AR88" s="489"/>
      <c r="AS88" s="479"/>
    </row>
    <row r="89" s="26" customFormat="1" ht="19" customHeight="1" spans="1:45">
      <c r="A89" s="475"/>
      <c r="B89" s="475">
        <v>45222</v>
      </c>
      <c r="C89" s="476">
        <v>1000016848</v>
      </c>
      <c r="D89" s="477"/>
      <c r="E89" s="472"/>
      <c r="F89" s="472"/>
      <c r="G89" s="472"/>
      <c r="H89" s="472"/>
      <c r="I89" s="472"/>
      <c r="J89" s="472"/>
      <c r="K89" s="472"/>
      <c r="L89" s="472"/>
      <c r="M89" s="472"/>
      <c r="N89" s="472"/>
      <c r="O89" s="472"/>
      <c r="P89" s="472"/>
      <c r="Q89" s="472"/>
      <c r="R89" s="472"/>
      <c r="S89" s="472"/>
      <c r="T89" s="472"/>
      <c r="U89" s="472"/>
      <c r="V89" s="472">
        <v>1000</v>
      </c>
      <c r="W89" s="472"/>
      <c r="X89" s="472"/>
      <c r="Y89" s="472"/>
      <c r="Z89" s="472"/>
      <c r="AA89" s="472"/>
      <c r="AB89" s="472"/>
      <c r="AC89" s="472"/>
      <c r="AD89" s="472"/>
      <c r="AE89" s="472"/>
      <c r="AF89" s="486"/>
      <c r="AG89" s="486"/>
      <c r="AH89" s="472"/>
      <c r="AI89" s="472"/>
      <c r="AJ89" s="472"/>
      <c r="AK89" s="472"/>
      <c r="AL89" s="472"/>
      <c r="AM89" s="472"/>
      <c r="AN89" s="472"/>
      <c r="AO89" s="472"/>
      <c r="AP89" s="472"/>
      <c r="AQ89" s="472"/>
      <c r="AR89" s="489"/>
      <c r="AS89" s="479"/>
    </row>
    <row r="90" s="26" customFormat="1" ht="19" customHeight="1" spans="1:45">
      <c r="A90" s="475"/>
      <c r="B90" s="475">
        <v>45225</v>
      </c>
      <c r="C90" s="476">
        <v>1000016925</v>
      </c>
      <c r="D90" s="477"/>
      <c r="E90" s="472"/>
      <c r="F90" s="472"/>
      <c r="G90" s="472"/>
      <c r="H90" s="472"/>
      <c r="I90" s="472"/>
      <c r="J90" s="472"/>
      <c r="K90" s="472"/>
      <c r="L90" s="472"/>
      <c r="M90" s="472"/>
      <c r="N90" s="472"/>
      <c r="O90" s="472"/>
      <c r="P90" s="472"/>
      <c r="Q90" s="472"/>
      <c r="R90" s="472"/>
      <c r="S90" s="472"/>
      <c r="T90" s="472"/>
      <c r="U90" s="472"/>
      <c r="V90" s="472"/>
      <c r="W90" s="472"/>
      <c r="X90" s="472"/>
      <c r="Y90" s="472"/>
      <c r="Z90" s="472"/>
      <c r="AA90" s="472"/>
      <c r="AB90" s="472"/>
      <c r="AC90" s="472"/>
      <c r="AD90" s="472"/>
      <c r="AE90" s="472"/>
      <c r="AF90" s="486"/>
      <c r="AG90" s="486"/>
      <c r="AH90" s="472">
        <v>3240</v>
      </c>
      <c r="AI90" s="472"/>
      <c r="AJ90" s="472"/>
      <c r="AK90" s="472"/>
      <c r="AL90" s="472"/>
      <c r="AM90" s="472"/>
      <c r="AN90" s="472"/>
      <c r="AO90" s="472"/>
      <c r="AP90" s="472"/>
      <c r="AQ90" s="472"/>
      <c r="AR90" s="489"/>
      <c r="AS90" s="479"/>
    </row>
    <row r="91" s="26" customFormat="1" ht="19" customHeight="1" spans="1:45">
      <c r="A91" s="475"/>
      <c r="B91" s="475">
        <v>45239</v>
      </c>
      <c r="C91" s="476"/>
      <c r="D91" s="477"/>
      <c r="E91" s="472"/>
      <c r="F91" s="472"/>
      <c r="G91" s="472"/>
      <c r="H91" s="472"/>
      <c r="I91" s="472"/>
      <c r="J91" s="472"/>
      <c r="K91" s="472"/>
      <c r="L91" s="472"/>
      <c r="M91" s="472"/>
      <c r="N91" s="472"/>
      <c r="O91" s="472"/>
      <c r="P91" s="472"/>
      <c r="Q91" s="472"/>
      <c r="R91" s="472"/>
      <c r="S91" s="472"/>
      <c r="T91" s="472"/>
      <c r="U91" s="472"/>
      <c r="V91" s="472"/>
      <c r="W91" s="472"/>
      <c r="X91" s="472"/>
      <c r="Y91" s="472"/>
      <c r="Z91" s="472"/>
      <c r="AA91" s="472"/>
      <c r="AB91" s="472"/>
      <c r="AC91" s="472"/>
      <c r="AD91" s="472"/>
      <c r="AE91" s="472"/>
      <c r="AF91" s="472">
        <v>2166</v>
      </c>
      <c r="AG91" s="472"/>
      <c r="AH91" s="472"/>
      <c r="AI91" s="472"/>
      <c r="AJ91" s="472"/>
      <c r="AK91" s="472"/>
      <c r="AL91" s="472"/>
      <c r="AM91" s="472"/>
      <c r="AN91" s="472"/>
      <c r="AO91" s="472"/>
      <c r="AP91" s="472"/>
      <c r="AQ91" s="472"/>
      <c r="AR91" s="489" t="s">
        <v>3893</v>
      </c>
      <c r="AS91" s="479"/>
    </row>
    <row r="92" s="26" customFormat="1" ht="19" customHeight="1" spans="1:45">
      <c r="A92" s="475"/>
      <c r="B92" s="475">
        <v>45239</v>
      </c>
      <c r="C92" s="476" t="s">
        <v>3894</v>
      </c>
      <c r="D92" s="477"/>
      <c r="E92" s="472"/>
      <c r="F92" s="472"/>
      <c r="G92" s="472"/>
      <c r="H92" s="472">
        <v>60000</v>
      </c>
      <c r="I92" s="472"/>
      <c r="J92" s="472"/>
      <c r="K92" s="472"/>
      <c r="L92" s="472"/>
      <c r="M92" s="472"/>
      <c r="N92" s="472"/>
      <c r="O92" s="472"/>
      <c r="P92" s="472"/>
      <c r="Q92" s="472"/>
      <c r="R92" s="472"/>
      <c r="S92" s="472"/>
      <c r="T92" s="472"/>
      <c r="U92" s="472"/>
      <c r="V92" s="472"/>
      <c r="W92" s="472"/>
      <c r="X92" s="472"/>
      <c r="Y92" s="472"/>
      <c r="Z92" s="472"/>
      <c r="AA92" s="472"/>
      <c r="AB92" s="472"/>
      <c r="AC92" s="472"/>
      <c r="AD92" s="472"/>
      <c r="AE92" s="472"/>
      <c r="AF92" s="486"/>
      <c r="AG92" s="486"/>
      <c r="AH92" s="472"/>
      <c r="AI92" s="472"/>
      <c r="AJ92" s="472"/>
      <c r="AK92" s="472"/>
      <c r="AL92" s="472"/>
      <c r="AM92" s="472"/>
      <c r="AN92" s="472"/>
      <c r="AO92" s="472"/>
      <c r="AP92" s="472"/>
      <c r="AQ92" s="472"/>
      <c r="AR92" s="489"/>
      <c r="AS92" s="479"/>
    </row>
    <row r="93" s="26" customFormat="1" ht="19" customHeight="1" spans="1:45">
      <c r="A93" s="475"/>
      <c r="B93" s="475">
        <v>45239</v>
      </c>
      <c r="C93" s="476" t="s">
        <v>3895</v>
      </c>
      <c r="D93" s="477"/>
      <c r="E93" s="472"/>
      <c r="F93" s="472"/>
      <c r="G93" s="472"/>
      <c r="H93" s="472"/>
      <c r="I93" s="472"/>
      <c r="J93" s="472"/>
      <c r="K93" s="472">
        <v>30000</v>
      </c>
      <c r="L93" s="472"/>
      <c r="M93" s="472"/>
      <c r="N93" s="472"/>
      <c r="O93" s="472"/>
      <c r="P93" s="472"/>
      <c r="Q93" s="472"/>
      <c r="R93" s="472"/>
      <c r="S93" s="472"/>
      <c r="T93" s="472"/>
      <c r="U93" s="472"/>
      <c r="V93" s="472"/>
      <c r="W93" s="472"/>
      <c r="X93" s="472"/>
      <c r="Y93" s="472"/>
      <c r="Z93" s="472"/>
      <c r="AA93" s="472"/>
      <c r="AB93" s="472"/>
      <c r="AC93" s="472"/>
      <c r="AD93" s="472"/>
      <c r="AE93" s="472"/>
      <c r="AF93" s="486"/>
      <c r="AG93" s="486"/>
      <c r="AH93" s="472"/>
      <c r="AI93" s="472"/>
      <c r="AJ93" s="472"/>
      <c r="AK93" s="472"/>
      <c r="AL93" s="472"/>
      <c r="AM93" s="472"/>
      <c r="AN93" s="472"/>
      <c r="AO93" s="472"/>
      <c r="AP93" s="472"/>
      <c r="AQ93" s="472"/>
      <c r="AR93" s="489"/>
      <c r="AS93" s="479"/>
    </row>
    <row r="94" s="26" customFormat="1" ht="19" customHeight="1" spans="1:45">
      <c r="A94" s="475"/>
      <c r="B94" s="475">
        <v>45239</v>
      </c>
      <c r="C94" s="476" t="s">
        <v>3896</v>
      </c>
      <c r="D94" s="477"/>
      <c r="E94" s="472"/>
      <c r="F94" s="472"/>
      <c r="G94" s="472"/>
      <c r="H94" s="472"/>
      <c r="I94" s="472"/>
      <c r="J94" s="472"/>
      <c r="K94" s="472"/>
      <c r="L94" s="472"/>
      <c r="M94" s="472"/>
      <c r="N94" s="472"/>
      <c r="O94" s="472">
        <v>100000</v>
      </c>
      <c r="P94" s="472"/>
      <c r="Q94" s="472"/>
      <c r="R94" s="472"/>
      <c r="S94" s="472"/>
      <c r="T94" s="472"/>
      <c r="U94" s="472"/>
      <c r="V94" s="472"/>
      <c r="W94" s="472"/>
      <c r="X94" s="472"/>
      <c r="Y94" s="472"/>
      <c r="Z94" s="472"/>
      <c r="AA94" s="472"/>
      <c r="AB94" s="472"/>
      <c r="AC94" s="472"/>
      <c r="AD94" s="472"/>
      <c r="AE94" s="472"/>
      <c r="AF94" s="486"/>
      <c r="AG94" s="486"/>
      <c r="AH94" s="472"/>
      <c r="AI94" s="472"/>
      <c r="AJ94" s="472"/>
      <c r="AK94" s="472"/>
      <c r="AL94" s="472"/>
      <c r="AM94" s="472"/>
      <c r="AN94" s="472"/>
      <c r="AO94" s="472"/>
      <c r="AP94" s="472"/>
      <c r="AQ94" s="472"/>
      <c r="AR94" s="489"/>
      <c r="AS94" s="479"/>
    </row>
    <row r="95" s="26" customFormat="1" ht="19" customHeight="1" spans="1:45">
      <c r="A95" s="475"/>
      <c r="B95" s="475">
        <v>45239</v>
      </c>
      <c r="C95" s="476" t="s">
        <v>3897</v>
      </c>
      <c r="D95" s="477"/>
      <c r="E95" s="472"/>
      <c r="F95" s="472"/>
      <c r="G95" s="472"/>
      <c r="H95" s="472"/>
      <c r="I95" s="472"/>
      <c r="J95" s="472"/>
      <c r="K95" s="472"/>
      <c r="L95" s="472"/>
      <c r="M95" s="472"/>
      <c r="N95" s="472"/>
      <c r="O95" s="472"/>
      <c r="P95" s="472"/>
      <c r="Q95" s="472"/>
      <c r="R95" s="472"/>
      <c r="S95" s="472">
        <v>2000</v>
      </c>
      <c r="T95" s="472"/>
      <c r="U95" s="472"/>
      <c r="V95" s="472"/>
      <c r="W95" s="472"/>
      <c r="X95" s="472"/>
      <c r="Y95" s="472"/>
      <c r="Z95" s="472"/>
      <c r="AA95" s="472"/>
      <c r="AB95" s="472"/>
      <c r="AC95" s="472"/>
      <c r="AD95" s="472"/>
      <c r="AE95" s="472"/>
      <c r="AF95" s="486"/>
      <c r="AG95" s="486"/>
      <c r="AH95" s="472"/>
      <c r="AI95" s="472"/>
      <c r="AJ95" s="472"/>
      <c r="AK95" s="472"/>
      <c r="AL95" s="472"/>
      <c r="AM95" s="472"/>
      <c r="AN95" s="472"/>
      <c r="AO95" s="472"/>
      <c r="AP95" s="472"/>
      <c r="AQ95" s="472"/>
      <c r="AR95" s="489"/>
      <c r="AS95" s="479"/>
    </row>
    <row r="96" s="26" customFormat="1" ht="19" customHeight="1" spans="1:45">
      <c r="A96" s="475"/>
      <c r="B96" s="475">
        <v>45239</v>
      </c>
      <c r="C96" s="476" t="s">
        <v>3898</v>
      </c>
      <c r="D96" s="477"/>
      <c r="E96" s="472"/>
      <c r="F96" s="472"/>
      <c r="G96" s="472"/>
      <c r="H96" s="472"/>
      <c r="I96" s="472"/>
      <c r="J96" s="472"/>
      <c r="K96" s="472"/>
      <c r="L96" s="472"/>
      <c r="M96" s="472"/>
      <c r="N96" s="472"/>
      <c r="O96" s="472"/>
      <c r="P96" s="472"/>
      <c r="Q96" s="472"/>
      <c r="R96" s="472"/>
      <c r="S96" s="472"/>
      <c r="T96" s="472"/>
      <c r="U96" s="472"/>
      <c r="V96" s="472">
        <v>500</v>
      </c>
      <c r="W96" s="472"/>
      <c r="X96" s="472"/>
      <c r="Y96" s="472"/>
      <c r="Z96" s="472"/>
      <c r="AA96" s="472"/>
      <c r="AB96" s="472"/>
      <c r="AC96" s="472"/>
      <c r="AD96" s="472"/>
      <c r="AE96" s="472"/>
      <c r="AF96" s="486"/>
      <c r="AG96" s="486"/>
      <c r="AH96" s="472"/>
      <c r="AI96" s="472"/>
      <c r="AJ96" s="472"/>
      <c r="AK96" s="472"/>
      <c r="AL96" s="472"/>
      <c r="AM96" s="472"/>
      <c r="AN96" s="472"/>
      <c r="AO96" s="472"/>
      <c r="AP96" s="472"/>
      <c r="AQ96" s="472"/>
      <c r="AR96" s="489"/>
      <c r="AS96" s="479"/>
    </row>
    <row r="97" s="26" customFormat="1" ht="19" customHeight="1" spans="1:45">
      <c r="A97" s="475"/>
      <c r="B97" s="475">
        <v>45239</v>
      </c>
      <c r="C97" s="476">
        <v>1000017209</v>
      </c>
      <c r="D97" s="477"/>
      <c r="E97" s="472"/>
      <c r="F97" s="472"/>
      <c r="G97" s="472"/>
      <c r="H97" s="472"/>
      <c r="I97" s="472"/>
      <c r="J97" s="472"/>
      <c r="K97" s="472"/>
      <c r="L97" s="472"/>
      <c r="M97" s="472"/>
      <c r="N97" s="472"/>
      <c r="O97" s="472"/>
      <c r="P97" s="472"/>
      <c r="Q97" s="472"/>
      <c r="R97" s="472"/>
      <c r="S97" s="472"/>
      <c r="T97" s="472"/>
      <c r="U97" s="472"/>
      <c r="V97" s="472"/>
      <c r="W97" s="472"/>
      <c r="X97" s="472"/>
      <c r="Y97" s="472"/>
      <c r="Z97" s="472">
        <v>750</v>
      </c>
      <c r="AA97" s="472"/>
      <c r="AB97" s="472"/>
      <c r="AC97" s="472"/>
      <c r="AD97" s="472"/>
      <c r="AE97" s="472"/>
      <c r="AF97" s="486"/>
      <c r="AG97" s="486"/>
      <c r="AH97" s="472"/>
      <c r="AI97" s="472"/>
      <c r="AJ97" s="472"/>
      <c r="AK97" s="472"/>
      <c r="AL97" s="472"/>
      <c r="AM97" s="472"/>
      <c r="AN97" s="472"/>
      <c r="AO97" s="472"/>
      <c r="AP97" s="472"/>
      <c r="AQ97" s="472"/>
      <c r="AR97" s="490" t="s">
        <v>3899</v>
      </c>
      <c r="AS97" s="479">
        <f>Z97-750</f>
        <v>0</v>
      </c>
    </row>
    <row r="98" s="26" customFormat="1" ht="19" customHeight="1" spans="1:45">
      <c r="A98" s="475"/>
      <c r="B98" s="475">
        <v>45246</v>
      </c>
      <c r="C98" s="476">
        <v>1000017325</v>
      </c>
      <c r="D98" s="477"/>
      <c r="E98" s="472"/>
      <c r="F98" s="472"/>
      <c r="G98" s="472"/>
      <c r="H98" s="472"/>
      <c r="I98" s="472"/>
      <c r="J98" s="472"/>
      <c r="K98" s="472"/>
      <c r="L98" s="472"/>
      <c r="M98" s="472"/>
      <c r="N98" s="472"/>
      <c r="O98" s="472"/>
      <c r="P98" s="472"/>
      <c r="Q98" s="472"/>
      <c r="R98" s="472"/>
      <c r="S98" s="472"/>
      <c r="T98" s="472"/>
      <c r="U98" s="472"/>
      <c r="V98" s="472"/>
      <c r="W98" s="472"/>
      <c r="X98" s="472"/>
      <c r="Y98" s="472"/>
      <c r="Z98" s="472"/>
      <c r="AA98" s="472"/>
      <c r="AB98" s="472"/>
      <c r="AC98" s="472"/>
      <c r="AD98" s="472"/>
      <c r="AE98" s="472"/>
      <c r="AF98" s="486"/>
      <c r="AG98" s="486"/>
      <c r="AH98" s="472"/>
      <c r="AI98" s="472"/>
      <c r="AJ98" s="472"/>
      <c r="AK98" s="472">
        <v>975</v>
      </c>
      <c r="AL98" s="472"/>
      <c r="AM98" s="472"/>
      <c r="AN98" s="472"/>
      <c r="AO98" s="472"/>
      <c r="AP98" s="472"/>
      <c r="AQ98" s="472"/>
      <c r="AR98" s="490" t="s">
        <v>3900</v>
      </c>
      <c r="AS98" s="479"/>
    </row>
    <row r="99" s="26" customFormat="1" ht="19" customHeight="1" spans="1:45">
      <c r="A99" s="475"/>
      <c r="B99" s="475">
        <v>45246</v>
      </c>
      <c r="C99" s="476"/>
      <c r="D99" s="477"/>
      <c r="E99" s="472"/>
      <c r="F99" s="472"/>
      <c r="G99" s="472"/>
      <c r="H99" s="472"/>
      <c r="I99" s="472"/>
      <c r="J99" s="472"/>
      <c r="K99" s="472"/>
      <c r="L99" s="472"/>
      <c r="M99" s="472"/>
      <c r="N99" s="472"/>
      <c r="O99" s="472"/>
      <c r="P99" s="472"/>
      <c r="Q99" s="472"/>
      <c r="R99" s="472"/>
      <c r="S99" s="472"/>
      <c r="T99" s="472"/>
      <c r="U99" s="472"/>
      <c r="V99" s="472"/>
      <c r="W99" s="472"/>
      <c r="X99" s="472"/>
      <c r="Y99" s="472"/>
      <c r="Z99" s="472"/>
      <c r="AA99" s="472"/>
      <c r="AB99" s="472"/>
      <c r="AC99" s="472"/>
      <c r="AD99" s="472"/>
      <c r="AE99" s="472"/>
      <c r="AF99" s="486"/>
      <c r="AG99" s="486"/>
      <c r="AH99" s="472">
        <v>7503</v>
      </c>
      <c r="AI99" s="472"/>
      <c r="AJ99" s="472"/>
      <c r="AK99" s="472"/>
      <c r="AL99" s="472"/>
      <c r="AM99" s="472"/>
      <c r="AN99" s="472"/>
      <c r="AO99" s="472"/>
      <c r="AP99" s="472"/>
      <c r="AQ99" s="472"/>
      <c r="AR99" s="489" t="s">
        <v>3901</v>
      </c>
      <c r="AS99" s="479"/>
    </row>
    <row r="100" s="26" customFormat="1" ht="19" customHeight="1" spans="1:45">
      <c r="A100" s="475"/>
      <c r="B100" s="475">
        <v>45265</v>
      </c>
      <c r="C100" s="476">
        <v>1000017651</v>
      </c>
      <c r="D100" s="477"/>
      <c r="E100" s="472"/>
      <c r="F100" s="472"/>
      <c r="G100" s="472"/>
      <c r="H100" s="472">
        <v>50000</v>
      </c>
      <c r="I100" s="472"/>
      <c r="J100" s="472"/>
      <c r="K100" s="472"/>
      <c r="L100" s="472"/>
      <c r="M100" s="472"/>
      <c r="N100" s="472"/>
      <c r="O100" s="472"/>
      <c r="P100" s="472"/>
      <c r="Q100" s="472"/>
      <c r="R100" s="472"/>
      <c r="S100" s="472"/>
      <c r="T100" s="472"/>
      <c r="U100" s="472"/>
      <c r="V100" s="472"/>
      <c r="W100" s="472"/>
      <c r="X100" s="472"/>
      <c r="Y100" s="472"/>
      <c r="Z100" s="472"/>
      <c r="AA100" s="472"/>
      <c r="AB100" s="472"/>
      <c r="AC100" s="472"/>
      <c r="AD100" s="472"/>
      <c r="AE100" s="472"/>
      <c r="AF100" s="486"/>
      <c r="AG100" s="486"/>
      <c r="AH100" s="472"/>
      <c r="AI100" s="472"/>
      <c r="AJ100" s="472"/>
      <c r="AK100" s="472"/>
      <c r="AL100" s="472"/>
      <c r="AM100" s="472"/>
      <c r="AN100" s="472"/>
      <c r="AO100" s="472"/>
      <c r="AP100" s="472"/>
      <c r="AQ100" s="472"/>
      <c r="AR100" s="489"/>
      <c r="AS100" s="479"/>
    </row>
    <row r="101" s="26" customFormat="1" ht="19" customHeight="1" spans="1:45">
      <c r="A101" s="475"/>
      <c r="B101" s="475">
        <v>45265</v>
      </c>
      <c r="C101" s="476">
        <v>1000017652</v>
      </c>
      <c r="D101" s="477"/>
      <c r="E101" s="472"/>
      <c r="F101" s="472"/>
      <c r="G101" s="472"/>
      <c r="H101" s="472"/>
      <c r="I101" s="472"/>
      <c r="J101" s="472"/>
      <c r="K101" s="472">
        <v>30000</v>
      </c>
      <c r="L101" s="472"/>
      <c r="M101" s="472"/>
      <c r="N101" s="472"/>
      <c r="O101" s="472"/>
      <c r="P101" s="472"/>
      <c r="Q101" s="472"/>
      <c r="R101" s="472"/>
      <c r="S101" s="472"/>
      <c r="T101" s="472"/>
      <c r="U101" s="472"/>
      <c r="V101" s="472"/>
      <c r="W101" s="472"/>
      <c r="X101" s="472"/>
      <c r="Y101" s="472"/>
      <c r="Z101" s="472"/>
      <c r="AA101" s="472"/>
      <c r="AB101" s="472"/>
      <c r="AC101" s="472"/>
      <c r="AD101" s="472"/>
      <c r="AE101" s="472"/>
      <c r="AF101" s="486"/>
      <c r="AG101" s="486"/>
      <c r="AH101" s="472"/>
      <c r="AI101" s="472"/>
      <c r="AJ101" s="472"/>
      <c r="AK101" s="472"/>
      <c r="AL101" s="472"/>
      <c r="AM101" s="472"/>
      <c r="AN101" s="472"/>
      <c r="AO101" s="472"/>
      <c r="AP101" s="472"/>
      <c r="AQ101" s="472"/>
      <c r="AR101" s="489"/>
      <c r="AS101" s="479"/>
    </row>
    <row r="102" s="26" customFormat="1" ht="19" customHeight="1" spans="1:45">
      <c r="A102" s="475"/>
      <c r="B102" s="475">
        <v>45265</v>
      </c>
      <c r="C102" s="476">
        <v>1000017653</v>
      </c>
      <c r="D102" s="477"/>
      <c r="E102" s="472"/>
      <c r="F102" s="472"/>
      <c r="G102" s="472"/>
      <c r="H102" s="472"/>
      <c r="I102" s="472"/>
      <c r="J102" s="472"/>
      <c r="K102" s="472"/>
      <c r="L102" s="472"/>
      <c r="M102" s="472"/>
      <c r="N102" s="472"/>
      <c r="O102" s="472">
        <v>50000</v>
      </c>
      <c r="P102" s="472"/>
      <c r="Q102" s="472"/>
      <c r="R102" s="472"/>
      <c r="S102" s="472"/>
      <c r="T102" s="472"/>
      <c r="U102" s="472"/>
      <c r="V102" s="472"/>
      <c r="W102" s="472"/>
      <c r="X102" s="472"/>
      <c r="Y102" s="472"/>
      <c r="Z102" s="472"/>
      <c r="AA102" s="472"/>
      <c r="AB102" s="472"/>
      <c r="AC102" s="472"/>
      <c r="AD102" s="472"/>
      <c r="AE102" s="472"/>
      <c r="AF102" s="486"/>
      <c r="AG102" s="486"/>
      <c r="AH102" s="472"/>
      <c r="AI102" s="472"/>
      <c r="AJ102" s="472"/>
      <c r="AK102" s="472"/>
      <c r="AL102" s="472"/>
      <c r="AM102" s="472"/>
      <c r="AN102" s="472"/>
      <c r="AO102" s="472"/>
      <c r="AP102" s="472"/>
      <c r="AQ102" s="472"/>
      <c r="AR102" s="489"/>
      <c r="AS102" s="479"/>
    </row>
    <row r="103" s="26" customFormat="1" ht="19" customHeight="1" spans="1:45">
      <c r="A103" s="475"/>
      <c r="B103" s="475">
        <v>45265</v>
      </c>
      <c r="C103" s="476">
        <v>1000017654</v>
      </c>
      <c r="D103" s="477"/>
      <c r="E103" s="472"/>
      <c r="F103" s="472"/>
      <c r="G103" s="472"/>
      <c r="H103" s="472"/>
      <c r="I103" s="472"/>
      <c r="J103" s="472"/>
      <c r="K103" s="472"/>
      <c r="L103" s="472"/>
      <c r="M103" s="472"/>
      <c r="N103" s="472"/>
      <c r="O103" s="472"/>
      <c r="P103" s="472"/>
      <c r="Q103" s="472"/>
      <c r="R103" s="472"/>
      <c r="S103" s="472">
        <v>2000</v>
      </c>
      <c r="T103" s="472"/>
      <c r="U103" s="472"/>
      <c r="V103" s="472"/>
      <c r="W103" s="472"/>
      <c r="X103" s="472"/>
      <c r="Y103" s="472"/>
      <c r="Z103" s="472"/>
      <c r="AA103" s="472"/>
      <c r="AB103" s="472"/>
      <c r="AC103" s="472"/>
      <c r="AD103" s="472"/>
      <c r="AE103" s="472"/>
      <c r="AF103" s="486"/>
      <c r="AG103" s="486"/>
      <c r="AH103" s="472"/>
      <c r="AI103" s="472"/>
      <c r="AJ103" s="472"/>
      <c r="AK103" s="472"/>
      <c r="AL103" s="472"/>
      <c r="AM103" s="472"/>
      <c r="AN103" s="472"/>
      <c r="AO103" s="472"/>
      <c r="AP103" s="472"/>
      <c r="AQ103" s="472"/>
      <c r="AR103" s="489"/>
      <c r="AS103" s="479"/>
    </row>
    <row r="104" s="26" customFormat="1" ht="19" customHeight="1" spans="1:45">
      <c r="A104" s="475"/>
      <c r="B104" s="475">
        <v>45265</v>
      </c>
      <c r="C104" s="476">
        <v>1000017655</v>
      </c>
      <c r="D104" s="477"/>
      <c r="E104" s="472"/>
      <c r="F104" s="472"/>
      <c r="G104" s="472"/>
      <c r="H104" s="472"/>
      <c r="I104" s="472"/>
      <c r="J104" s="472"/>
      <c r="K104" s="472"/>
      <c r="L104" s="472"/>
      <c r="M104" s="472"/>
      <c r="N104" s="472"/>
      <c r="O104" s="472"/>
      <c r="P104" s="472"/>
      <c r="Q104" s="472"/>
      <c r="R104" s="472"/>
      <c r="S104" s="472"/>
      <c r="T104" s="472"/>
      <c r="U104" s="472"/>
      <c r="V104" s="472">
        <v>1000</v>
      </c>
      <c r="W104" s="472"/>
      <c r="X104" s="472"/>
      <c r="Y104" s="472"/>
      <c r="Z104" s="472"/>
      <c r="AA104" s="472"/>
      <c r="AB104" s="472"/>
      <c r="AC104" s="472"/>
      <c r="AD104" s="472"/>
      <c r="AE104" s="472"/>
      <c r="AF104" s="486"/>
      <c r="AG104" s="486"/>
      <c r="AH104" s="472"/>
      <c r="AI104" s="472"/>
      <c r="AJ104" s="472"/>
      <c r="AK104" s="472"/>
      <c r="AL104" s="472"/>
      <c r="AM104" s="472"/>
      <c r="AN104" s="472"/>
      <c r="AO104" s="472"/>
      <c r="AP104" s="472"/>
      <c r="AQ104" s="472"/>
      <c r="AR104" s="489"/>
      <c r="AS104" s="479"/>
    </row>
    <row r="105" s="26" customFormat="1" ht="19" customHeight="1" spans="1:45">
      <c r="A105" s="475"/>
      <c r="B105" s="475">
        <v>45273</v>
      </c>
      <c r="C105" s="476"/>
      <c r="D105" s="477"/>
      <c r="E105" s="472"/>
      <c r="F105" s="472"/>
      <c r="G105" s="472"/>
      <c r="H105" s="472"/>
      <c r="I105" s="472"/>
      <c r="J105" s="472"/>
      <c r="K105" s="472"/>
      <c r="L105" s="472"/>
      <c r="M105" s="472"/>
      <c r="N105" s="472"/>
      <c r="O105" s="472"/>
      <c r="P105" s="472"/>
      <c r="Q105" s="472"/>
      <c r="R105" s="472"/>
      <c r="S105" s="472"/>
      <c r="T105" s="472"/>
      <c r="U105" s="472"/>
      <c r="V105" s="472"/>
      <c r="W105" s="472"/>
      <c r="X105" s="472"/>
      <c r="Y105" s="472"/>
      <c r="Z105" s="472"/>
      <c r="AA105" s="472"/>
      <c r="AB105" s="472"/>
      <c r="AC105" s="472"/>
      <c r="AD105" s="472"/>
      <c r="AE105" s="472"/>
      <c r="AF105" s="486"/>
      <c r="AG105" s="486"/>
      <c r="AH105" s="472"/>
      <c r="AI105" s="472">
        <v>1456</v>
      </c>
      <c r="AJ105" s="472"/>
      <c r="AK105" s="472"/>
      <c r="AL105" s="472"/>
      <c r="AM105" s="472"/>
      <c r="AN105" s="472"/>
      <c r="AO105" s="472"/>
      <c r="AP105" s="472"/>
      <c r="AQ105" s="472"/>
      <c r="AR105" s="486">
        <v>4500108108</v>
      </c>
      <c r="AS105" s="479"/>
    </row>
    <row r="106" s="26" customFormat="1" ht="19" customHeight="1" spans="1:45">
      <c r="A106" s="475"/>
      <c r="B106" s="475">
        <v>45273</v>
      </c>
      <c r="C106" s="476"/>
      <c r="D106" s="477"/>
      <c r="E106" s="472"/>
      <c r="F106" s="472"/>
      <c r="G106" s="472"/>
      <c r="H106" s="472"/>
      <c r="I106" s="472"/>
      <c r="J106" s="472"/>
      <c r="K106" s="472"/>
      <c r="L106" s="472"/>
      <c r="M106" s="472"/>
      <c r="N106" s="472"/>
      <c r="O106" s="472"/>
      <c r="P106" s="472"/>
      <c r="Q106" s="472"/>
      <c r="R106" s="472"/>
      <c r="S106" s="472"/>
      <c r="T106" s="472"/>
      <c r="U106" s="472"/>
      <c r="V106" s="472"/>
      <c r="W106" s="472"/>
      <c r="X106" s="472"/>
      <c r="Y106" s="472"/>
      <c r="Z106" s="472"/>
      <c r="AA106" s="472"/>
      <c r="AB106" s="472"/>
      <c r="AC106" s="472"/>
      <c r="AD106" s="472"/>
      <c r="AE106" s="472"/>
      <c r="AF106" s="486"/>
      <c r="AG106" s="486"/>
      <c r="AH106" s="472"/>
      <c r="AI106" s="472">
        <v>1008</v>
      </c>
      <c r="AJ106" s="472"/>
      <c r="AK106" s="472"/>
      <c r="AL106" s="472"/>
      <c r="AM106" s="472"/>
      <c r="AN106" s="472"/>
      <c r="AO106" s="472"/>
      <c r="AP106" s="472"/>
      <c r="AQ106" s="472"/>
      <c r="AR106" s="489" t="s">
        <v>3902</v>
      </c>
      <c r="AS106" s="479"/>
    </row>
    <row r="107" s="26" customFormat="1" ht="19" customHeight="1" spans="1:45">
      <c r="A107" s="475"/>
      <c r="B107" s="475">
        <v>45279</v>
      </c>
      <c r="C107" s="476">
        <v>1000017904</v>
      </c>
      <c r="D107" s="477"/>
      <c r="E107" s="472"/>
      <c r="F107" s="472"/>
      <c r="G107" s="472"/>
      <c r="H107" s="472">
        <v>50000</v>
      </c>
      <c r="I107" s="472"/>
      <c r="J107" s="472"/>
      <c r="K107" s="472"/>
      <c r="L107" s="472"/>
      <c r="M107" s="472"/>
      <c r="N107" s="472"/>
      <c r="O107" s="472"/>
      <c r="P107" s="472"/>
      <c r="Q107" s="472"/>
      <c r="R107" s="472"/>
      <c r="S107" s="472"/>
      <c r="T107" s="472"/>
      <c r="U107" s="472"/>
      <c r="V107" s="472"/>
      <c r="W107" s="472"/>
      <c r="X107" s="472"/>
      <c r="Y107" s="472"/>
      <c r="Z107" s="472"/>
      <c r="AA107" s="472"/>
      <c r="AB107" s="472"/>
      <c r="AC107" s="472"/>
      <c r="AD107" s="472"/>
      <c r="AE107" s="472"/>
      <c r="AF107" s="486"/>
      <c r="AG107" s="486"/>
      <c r="AH107" s="472"/>
      <c r="AI107" s="472"/>
      <c r="AJ107" s="472"/>
      <c r="AK107" s="472"/>
      <c r="AL107" s="472"/>
      <c r="AM107" s="472"/>
      <c r="AN107" s="472"/>
      <c r="AO107" s="472"/>
      <c r="AP107" s="472"/>
      <c r="AQ107" s="472"/>
      <c r="AR107" s="489"/>
      <c r="AS107" s="479"/>
    </row>
    <row r="108" s="26" customFormat="1" ht="19" customHeight="1" spans="1:45">
      <c r="A108" s="475"/>
      <c r="B108" s="475">
        <v>45279</v>
      </c>
      <c r="C108" s="476">
        <v>1000017905</v>
      </c>
      <c r="D108" s="477"/>
      <c r="E108" s="472"/>
      <c r="F108" s="472"/>
      <c r="G108" s="472"/>
      <c r="H108" s="472"/>
      <c r="I108" s="472"/>
      <c r="J108" s="472"/>
      <c r="K108" s="472"/>
      <c r="L108" s="472"/>
      <c r="M108" s="472"/>
      <c r="N108" s="472"/>
      <c r="O108" s="472">
        <v>50000</v>
      </c>
      <c r="P108" s="472"/>
      <c r="Q108" s="472"/>
      <c r="R108" s="472"/>
      <c r="S108" s="472"/>
      <c r="T108" s="472"/>
      <c r="U108" s="472"/>
      <c r="V108" s="472"/>
      <c r="W108" s="472"/>
      <c r="X108" s="472"/>
      <c r="Y108" s="472"/>
      <c r="Z108" s="472"/>
      <c r="AA108" s="472"/>
      <c r="AB108" s="472"/>
      <c r="AC108" s="472"/>
      <c r="AD108" s="472"/>
      <c r="AE108" s="472"/>
      <c r="AF108" s="486"/>
      <c r="AG108" s="486"/>
      <c r="AH108" s="472"/>
      <c r="AI108" s="472"/>
      <c r="AJ108" s="472"/>
      <c r="AK108" s="472"/>
      <c r="AL108" s="472"/>
      <c r="AM108" s="472"/>
      <c r="AN108" s="472"/>
      <c r="AO108" s="472"/>
      <c r="AP108" s="472"/>
      <c r="AQ108" s="472"/>
      <c r="AR108" s="489"/>
      <c r="AS108" s="479"/>
    </row>
    <row r="109" s="26" customFormat="1" ht="19" customHeight="1" spans="1:45">
      <c r="A109" s="475"/>
      <c r="B109" s="475">
        <v>45279</v>
      </c>
      <c r="C109" s="476">
        <v>1000017906</v>
      </c>
      <c r="D109" s="477"/>
      <c r="E109" s="472"/>
      <c r="F109" s="472"/>
      <c r="G109" s="472"/>
      <c r="H109" s="472"/>
      <c r="I109" s="472"/>
      <c r="J109" s="472"/>
      <c r="K109" s="472"/>
      <c r="L109" s="472"/>
      <c r="M109" s="472"/>
      <c r="N109" s="472"/>
      <c r="O109" s="472"/>
      <c r="P109" s="472"/>
      <c r="Q109" s="472"/>
      <c r="R109" s="472"/>
      <c r="S109" s="472">
        <v>3000</v>
      </c>
      <c r="T109" s="472"/>
      <c r="U109" s="472"/>
      <c r="V109" s="472"/>
      <c r="W109" s="472"/>
      <c r="X109" s="472"/>
      <c r="Y109" s="472"/>
      <c r="Z109" s="472"/>
      <c r="AA109" s="472"/>
      <c r="AB109" s="472"/>
      <c r="AC109" s="472"/>
      <c r="AD109" s="472"/>
      <c r="AE109" s="472"/>
      <c r="AF109" s="486"/>
      <c r="AG109" s="486"/>
      <c r="AH109" s="472"/>
      <c r="AI109" s="472"/>
      <c r="AJ109" s="472"/>
      <c r="AK109" s="472"/>
      <c r="AL109" s="472"/>
      <c r="AM109" s="472"/>
      <c r="AN109" s="472"/>
      <c r="AO109" s="472"/>
      <c r="AP109" s="472"/>
      <c r="AQ109" s="472"/>
      <c r="AR109" s="489"/>
      <c r="AS109" s="479"/>
    </row>
    <row r="110" s="26" customFormat="1" ht="19" customHeight="1" spans="1:45">
      <c r="A110" s="475"/>
      <c r="B110" s="487">
        <v>45280</v>
      </c>
      <c r="C110" s="476">
        <v>1000017921</v>
      </c>
      <c r="D110" s="477"/>
      <c r="E110" s="472"/>
      <c r="F110" s="472"/>
      <c r="G110" s="472"/>
      <c r="H110" s="472"/>
      <c r="I110" s="472"/>
      <c r="J110" s="472"/>
      <c r="K110" s="472"/>
      <c r="L110" s="472"/>
      <c r="M110" s="472"/>
      <c r="N110" s="472"/>
      <c r="O110" s="472"/>
      <c r="P110" s="472"/>
      <c r="Q110" s="472"/>
      <c r="R110" s="472"/>
      <c r="S110" s="472"/>
      <c r="T110" s="472"/>
      <c r="U110" s="472"/>
      <c r="V110" s="472"/>
      <c r="W110" s="472"/>
      <c r="X110" s="472"/>
      <c r="Y110" s="472"/>
      <c r="Z110" s="488">
        <v>1000</v>
      </c>
      <c r="AA110" s="488"/>
      <c r="AB110" s="472"/>
      <c r="AC110" s="472"/>
      <c r="AD110" s="472"/>
      <c r="AE110" s="472"/>
      <c r="AF110" s="486"/>
      <c r="AG110" s="486"/>
      <c r="AH110" s="472"/>
      <c r="AI110" s="472"/>
      <c r="AJ110" s="472"/>
      <c r="AK110" s="472"/>
      <c r="AL110" s="472"/>
      <c r="AM110" s="472"/>
      <c r="AN110" s="472"/>
      <c r="AO110" s="472"/>
      <c r="AP110" s="472"/>
      <c r="AQ110" s="472"/>
      <c r="AR110" s="489" t="s">
        <v>3903</v>
      </c>
      <c r="AS110" s="479">
        <f>Z110-1000</f>
        <v>0</v>
      </c>
    </row>
    <row r="111" s="26" customFormat="1" ht="19" customHeight="1" spans="1:45">
      <c r="A111" s="475"/>
      <c r="B111" s="487">
        <v>45281</v>
      </c>
      <c r="C111" s="476">
        <v>1000017926</v>
      </c>
      <c r="D111" s="477"/>
      <c r="E111" s="472"/>
      <c r="F111" s="472"/>
      <c r="G111" s="472"/>
      <c r="H111" s="472"/>
      <c r="I111" s="472"/>
      <c r="J111" s="472"/>
      <c r="K111" s="472"/>
      <c r="L111" s="472"/>
      <c r="M111" s="472"/>
      <c r="N111" s="472"/>
      <c r="O111" s="472"/>
      <c r="P111" s="472"/>
      <c r="Q111" s="472"/>
      <c r="R111" s="472"/>
      <c r="S111" s="472"/>
      <c r="T111" s="472"/>
      <c r="U111" s="472"/>
      <c r="V111" s="472"/>
      <c r="W111" s="472"/>
      <c r="X111" s="472"/>
      <c r="Y111" s="472"/>
      <c r="Z111" s="488"/>
      <c r="AA111" s="488"/>
      <c r="AB111" s="472"/>
      <c r="AC111" s="472">
        <v>500</v>
      </c>
      <c r="AD111" s="472"/>
      <c r="AE111" s="472"/>
      <c r="AF111" s="486"/>
      <c r="AG111" s="486"/>
      <c r="AH111" s="472"/>
      <c r="AI111" s="472"/>
      <c r="AJ111" s="472"/>
      <c r="AK111" s="472"/>
      <c r="AL111" s="472"/>
      <c r="AM111" s="472"/>
      <c r="AN111" s="472"/>
      <c r="AO111" s="472"/>
      <c r="AP111" s="472"/>
      <c r="AQ111" s="472"/>
      <c r="AR111" s="489" t="s">
        <v>3904</v>
      </c>
      <c r="AS111" s="479"/>
    </row>
    <row r="112" s="26" customFormat="1" ht="19" customHeight="1" spans="1:45">
      <c r="A112" s="475"/>
      <c r="B112" s="475">
        <v>45282</v>
      </c>
      <c r="C112" s="476">
        <v>1000017948</v>
      </c>
      <c r="D112" s="477"/>
      <c r="E112" s="472"/>
      <c r="F112" s="472"/>
      <c r="G112" s="472"/>
      <c r="H112" s="472"/>
      <c r="I112" s="472"/>
      <c r="J112" s="472"/>
      <c r="K112" s="472"/>
      <c r="L112" s="472"/>
      <c r="M112" s="472"/>
      <c r="N112" s="472"/>
      <c r="O112" s="472"/>
      <c r="P112" s="472"/>
      <c r="Q112" s="472"/>
      <c r="R112" s="472"/>
      <c r="S112" s="472"/>
      <c r="T112" s="472"/>
      <c r="U112" s="472"/>
      <c r="V112" s="472"/>
      <c r="W112" s="472"/>
      <c r="X112" s="472"/>
      <c r="Y112" s="472"/>
      <c r="Z112" s="472"/>
      <c r="AA112" s="472"/>
      <c r="AB112" s="472"/>
      <c r="AC112" s="472"/>
      <c r="AD112" s="472"/>
      <c r="AE112" s="472"/>
      <c r="AF112" s="486"/>
      <c r="AG112" s="486"/>
      <c r="AH112" s="486">
        <v>5184</v>
      </c>
      <c r="AI112" s="472"/>
      <c r="AJ112" s="472"/>
      <c r="AK112" s="472"/>
      <c r="AL112" s="472"/>
      <c r="AM112" s="472"/>
      <c r="AN112" s="472"/>
      <c r="AO112" s="472"/>
      <c r="AP112" s="472"/>
      <c r="AQ112" s="472"/>
      <c r="AR112" s="489" t="s">
        <v>3905</v>
      </c>
      <c r="AS112" s="479"/>
    </row>
    <row r="113" s="26" customFormat="1" ht="19" customHeight="1" spans="1:45">
      <c r="A113" s="475"/>
      <c r="B113" s="475">
        <v>45299</v>
      </c>
      <c r="C113" s="476">
        <v>1000018139</v>
      </c>
      <c r="D113" s="477"/>
      <c r="E113" s="472"/>
      <c r="F113" s="472"/>
      <c r="G113" s="472"/>
      <c r="H113" s="472"/>
      <c r="I113" s="472"/>
      <c r="J113" s="472"/>
      <c r="K113" s="472"/>
      <c r="L113" s="472"/>
      <c r="M113" s="472"/>
      <c r="N113" s="472"/>
      <c r="O113" s="472"/>
      <c r="P113" s="472"/>
      <c r="Q113" s="472"/>
      <c r="R113" s="472"/>
      <c r="S113" s="472"/>
      <c r="T113" s="472"/>
      <c r="U113" s="472"/>
      <c r="V113" s="472"/>
      <c r="W113" s="472"/>
      <c r="X113" s="472"/>
      <c r="Y113" s="472"/>
      <c r="Z113" s="472">
        <v>500</v>
      </c>
      <c r="AA113" s="472"/>
      <c r="AB113" s="472"/>
      <c r="AC113" s="472"/>
      <c r="AD113" s="472"/>
      <c r="AE113" s="472"/>
      <c r="AF113" s="486"/>
      <c r="AG113" s="486"/>
      <c r="AH113" s="472"/>
      <c r="AI113" s="472"/>
      <c r="AJ113" s="472"/>
      <c r="AK113" s="472"/>
      <c r="AL113" s="472"/>
      <c r="AM113" s="472"/>
      <c r="AN113" s="472"/>
      <c r="AO113" s="472"/>
      <c r="AP113" s="472"/>
      <c r="AQ113" s="472"/>
      <c r="AR113" s="486" t="s">
        <v>3906</v>
      </c>
      <c r="AS113" s="479">
        <f>Z113-133-3-7-250-101</f>
        <v>6</v>
      </c>
    </row>
    <row r="114" s="26" customFormat="1" ht="19" customHeight="1" spans="1:45">
      <c r="A114" s="475"/>
      <c r="B114" s="475">
        <v>45303</v>
      </c>
      <c r="C114" s="476">
        <v>1000018227</v>
      </c>
      <c r="D114" s="477"/>
      <c r="E114" s="472"/>
      <c r="F114" s="472"/>
      <c r="G114" s="472"/>
      <c r="H114" s="472"/>
      <c r="I114" s="472"/>
      <c r="J114" s="472"/>
      <c r="K114" s="472"/>
      <c r="L114" s="472"/>
      <c r="M114" s="472"/>
      <c r="N114" s="472"/>
      <c r="O114" s="472"/>
      <c r="P114" s="472"/>
      <c r="Q114" s="472"/>
      <c r="R114" s="472"/>
      <c r="S114" s="472"/>
      <c r="T114" s="472"/>
      <c r="U114" s="472"/>
      <c r="V114" s="472"/>
      <c r="W114" s="472"/>
      <c r="X114" s="472"/>
      <c r="Y114" s="472"/>
      <c r="Z114" s="472"/>
      <c r="AA114" s="472"/>
      <c r="AB114" s="472"/>
      <c r="AC114" s="472"/>
      <c r="AD114" s="472"/>
      <c r="AE114" s="472"/>
      <c r="AF114" s="486"/>
      <c r="AG114" s="486"/>
      <c r="AH114" s="472">
        <v>2592</v>
      </c>
      <c r="AI114" s="472"/>
      <c r="AJ114" s="472"/>
      <c r="AK114" s="472"/>
      <c r="AL114" s="472"/>
      <c r="AM114" s="472"/>
      <c r="AN114" s="472"/>
      <c r="AO114" s="472"/>
      <c r="AP114" s="472"/>
      <c r="AQ114" s="472"/>
      <c r="AR114" s="486" t="s">
        <v>3907</v>
      </c>
      <c r="AS114" s="479"/>
    </row>
    <row r="115" s="26" customFormat="1" ht="19" customHeight="1" spans="1:45">
      <c r="A115" s="475"/>
      <c r="B115" s="475">
        <v>45307</v>
      </c>
      <c r="C115" s="476">
        <v>1000018272</v>
      </c>
      <c r="D115" s="477"/>
      <c r="E115" s="472"/>
      <c r="F115" s="472"/>
      <c r="G115" s="472"/>
      <c r="H115" s="472">
        <v>80000</v>
      </c>
      <c r="I115" s="472"/>
      <c r="J115" s="472"/>
      <c r="K115" s="472"/>
      <c r="L115" s="472"/>
      <c r="M115" s="472"/>
      <c r="N115" s="472"/>
      <c r="O115" s="472"/>
      <c r="P115" s="472"/>
      <c r="Q115" s="472"/>
      <c r="R115" s="472"/>
      <c r="S115" s="472"/>
      <c r="T115" s="472"/>
      <c r="U115" s="472"/>
      <c r="V115" s="472"/>
      <c r="W115" s="472"/>
      <c r="X115" s="472"/>
      <c r="Y115" s="472"/>
      <c r="Z115" s="472"/>
      <c r="AA115" s="472"/>
      <c r="AB115" s="472"/>
      <c r="AC115" s="472"/>
      <c r="AD115" s="472"/>
      <c r="AE115" s="472"/>
      <c r="AF115" s="486"/>
      <c r="AG115" s="486"/>
      <c r="AH115" s="472"/>
      <c r="AI115" s="472"/>
      <c r="AJ115" s="472"/>
      <c r="AK115" s="472"/>
      <c r="AL115" s="472"/>
      <c r="AM115" s="472"/>
      <c r="AN115" s="472"/>
      <c r="AO115" s="472"/>
      <c r="AP115" s="472"/>
      <c r="AQ115" s="472"/>
      <c r="AR115" s="486"/>
      <c r="AS115" s="479"/>
    </row>
    <row r="116" s="26" customFormat="1" ht="19" customHeight="1" spans="1:45">
      <c r="A116" s="475"/>
      <c r="B116" s="475">
        <v>45307</v>
      </c>
      <c r="C116" s="476">
        <v>1000018273</v>
      </c>
      <c r="D116" s="477"/>
      <c r="E116" s="472"/>
      <c r="F116" s="472"/>
      <c r="G116" s="472"/>
      <c r="H116" s="472"/>
      <c r="I116" s="472"/>
      <c r="J116" s="472"/>
      <c r="K116" s="472"/>
      <c r="L116" s="472"/>
      <c r="M116" s="472"/>
      <c r="N116" s="472"/>
      <c r="O116" s="472">
        <v>100000</v>
      </c>
      <c r="P116" s="472"/>
      <c r="Q116" s="472"/>
      <c r="R116" s="472"/>
      <c r="S116" s="472"/>
      <c r="T116" s="472"/>
      <c r="U116" s="472"/>
      <c r="V116" s="472"/>
      <c r="W116" s="472"/>
      <c r="X116" s="472"/>
      <c r="Y116" s="472"/>
      <c r="Z116" s="472"/>
      <c r="AA116" s="472"/>
      <c r="AB116" s="472"/>
      <c r="AC116" s="472"/>
      <c r="AD116" s="472"/>
      <c r="AE116" s="472"/>
      <c r="AF116" s="486"/>
      <c r="AG116" s="486"/>
      <c r="AH116" s="472"/>
      <c r="AI116" s="472"/>
      <c r="AJ116" s="472"/>
      <c r="AK116" s="472"/>
      <c r="AL116" s="472"/>
      <c r="AM116" s="472"/>
      <c r="AN116" s="472"/>
      <c r="AO116" s="472"/>
      <c r="AP116" s="472"/>
      <c r="AQ116" s="472"/>
      <c r="AR116" s="486"/>
      <c r="AS116" s="479"/>
    </row>
    <row r="117" s="26" customFormat="1" ht="19" customHeight="1" spans="1:45">
      <c r="A117" s="475"/>
      <c r="B117" s="475">
        <v>45307</v>
      </c>
      <c r="C117" s="476">
        <v>1000018274</v>
      </c>
      <c r="D117" s="477"/>
      <c r="E117" s="472"/>
      <c r="F117" s="472"/>
      <c r="G117" s="472"/>
      <c r="H117" s="472"/>
      <c r="I117" s="472"/>
      <c r="J117" s="472"/>
      <c r="K117" s="472"/>
      <c r="L117" s="472"/>
      <c r="M117" s="472"/>
      <c r="N117" s="472"/>
      <c r="O117" s="472"/>
      <c r="P117" s="472"/>
      <c r="Q117" s="472"/>
      <c r="R117" s="472"/>
      <c r="S117" s="472">
        <v>2000</v>
      </c>
      <c r="T117" s="472"/>
      <c r="U117" s="472"/>
      <c r="V117" s="472"/>
      <c r="W117" s="472"/>
      <c r="X117" s="472"/>
      <c r="Y117" s="472"/>
      <c r="Z117" s="472"/>
      <c r="AA117" s="472"/>
      <c r="AB117" s="472"/>
      <c r="AC117" s="472"/>
      <c r="AD117" s="472"/>
      <c r="AE117" s="472"/>
      <c r="AF117" s="486"/>
      <c r="AG117" s="486"/>
      <c r="AH117" s="472"/>
      <c r="AI117" s="472"/>
      <c r="AJ117" s="472"/>
      <c r="AK117" s="472"/>
      <c r="AL117" s="472"/>
      <c r="AM117" s="472"/>
      <c r="AN117" s="472"/>
      <c r="AO117" s="472"/>
      <c r="AP117" s="472"/>
      <c r="AQ117" s="472"/>
      <c r="AR117" s="486"/>
      <c r="AS117" s="479"/>
    </row>
    <row r="118" s="26" customFormat="1" ht="19" customHeight="1" spans="1:45">
      <c r="A118" s="475"/>
      <c r="B118" s="475">
        <v>45307</v>
      </c>
      <c r="C118" s="476">
        <v>1000018275</v>
      </c>
      <c r="D118" s="477"/>
      <c r="E118" s="472"/>
      <c r="F118" s="472"/>
      <c r="G118" s="472"/>
      <c r="H118" s="472"/>
      <c r="I118" s="472"/>
      <c r="J118" s="472"/>
      <c r="K118" s="472"/>
      <c r="L118" s="472"/>
      <c r="M118" s="472"/>
      <c r="N118" s="472"/>
      <c r="O118" s="472"/>
      <c r="P118" s="472"/>
      <c r="Q118" s="472"/>
      <c r="R118" s="472"/>
      <c r="S118" s="472"/>
      <c r="T118" s="472"/>
      <c r="U118" s="472"/>
      <c r="V118" s="472">
        <v>2000</v>
      </c>
      <c r="W118" s="472"/>
      <c r="X118" s="472"/>
      <c r="Y118" s="472"/>
      <c r="Z118" s="472"/>
      <c r="AA118" s="472"/>
      <c r="AB118" s="472"/>
      <c r="AC118" s="472"/>
      <c r="AD118" s="472"/>
      <c r="AE118" s="472"/>
      <c r="AF118" s="486"/>
      <c r="AG118" s="486"/>
      <c r="AH118" s="472"/>
      <c r="AI118" s="472"/>
      <c r="AJ118" s="472"/>
      <c r="AK118" s="472"/>
      <c r="AL118" s="472"/>
      <c r="AM118" s="472"/>
      <c r="AN118" s="472"/>
      <c r="AO118" s="472"/>
      <c r="AP118" s="472"/>
      <c r="AQ118" s="472"/>
      <c r="AR118" s="486"/>
      <c r="AS118" s="479"/>
    </row>
    <row r="119" s="26" customFormat="1" ht="22" customHeight="1" spans="1:45">
      <c r="A119" s="475"/>
      <c r="B119" s="475">
        <v>45327</v>
      </c>
      <c r="C119" s="476">
        <v>1000018470</v>
      </c>
      <c r="D119" s="477" t="s">
        <v>3854</v>
      </c>
      <c r="E119" s="472"/>
      <c r="F119" s="472"/>
      <c r="G119" s="472"/>
      <c r="H119" s="472"/>
      <c r="I119" s="472"/>
      <c r="J119" s="472"/>
      <c r="K119" s="472"/>
      <c r="L119" s="472"/>
      <c r="M119" s="472"/>
      <c r="N119" s="472"/>
      <c r="O119" s="472"/>
      <c r="P119" s="472"/>
      <c r="Q119" s="472"/>
      <c r="R119" s="472"/>
      <c r="S119" s="472"/>
      <c r="T119" s="472"/>
      <c r="U119" s="472"/>
      <c r="V119" s="472"/>
      <c r="W119" s="472"/>
      <c r="X119" s="472"/>
      <c r="Y119" s="472"/>
      <c r="Z119" s="472"/>
      <c r="AA119" s="472"/>
      <c r="AB119" s="472"/>
      <c r="AC119" s="472"/>
      <c r="AD119" s="472"/>
      <c r="AE119" s="472"/>
      <c r="AF119" s="486"/>
      <c r="AG119" s="486"/>
      <c r="AH119" s="472">
        <v>5184</v>
      </c>
      <c r="AI119" s="472"/>
      <c r="AJ119" s="472"/>
      <c r="AK119" s="472"/>
      <c r="AL119" s="472"/>
      <c r="AM119" s="472"/>
      <c r="AN119" s="472"/>
      <c r="AO119" s="472"/>
      <c r="AP119" s="472"/>
      <c r="AQ119" s="472"/>
      <c r="AR119" s="486" t="s">
        <v>3908</v>
      </c>
      <c r="AS119" s="479"/>
    </row>
    <row r="120" s="26" customFormat="1" ht="22" customHeight="1" spans="1:45">
      <c r="A120" s="475"/>
      <c r="B120" s="475">
        <v>45357</v>
      </c>
      <c r="C120" s="476"/>
      <c r="D120" s="476" t="s">
        <v>3823</v>
      </c>
      <c r="E120" s="472"/>
      <c r="F120" s="472"/>
      <c r="G120" s="472"/>
      <c r="H120" s="472"/>
      <c r="I120" s="472"/>
      <c r="J120" s="472"/>
      <c r="K120" s="472"/>
      <c r="L120" s="472"/>
      <c r="M120" s="472"/>
      <c r="N120" s="472"/>
      <c r="O120" s="472"/>
      <c r="P120" s="472"/>
      <c r="Q120" s="472"/>
      <c r="R120" s="472"/>
      <c r="S120" s="472"/>
      <c r="T120" s="472"/>
      <c r="U120" s="472"/>
      <c r="V120" s="472"/>
      <c r="W120" s="472"/>
      <c r="X120" s="472"/>
      <c r="Y120" s="472"/>
      <c r="Z120" s="472"/>
      <c r="AA120" s="472"/>
      <c r="AB120" s="472"/>
      <c r="AC120" s="472"/>
      <c r="AD120" s="472"/>
      <c r="AE120" s="472"/>
      <c r="AF120" s="486"/>
      <c r="AG120" s="486"/>
      <c r="AH120" s="472"/>
      <c r="AI120" s="472"/>
      <c r="AJ120" s="472"/>
      <c r="AK120" s="472">
        <v>837</v>
      </c>
      <c r="AL120" s="472"/>
      <c r="AM120" s="472"/>
      <c r="AN120" s="472"/>
      <c r="AO120" s="472"/>
      <c r="AP120" s="472"/>
      <c r="AQ120" s="472"/>
      <c r="AR120" s="491" t="s">
        <v>3909</v>
      </c>
      <c r="AS120" s="479"/>
    </row>
    <row r="121" s="26" customFormat="1" ht="22" customHeight="1" spans="1:45">
      <c r="A121" s="475"/>
      <c r="B121" s="475">
        <v>45357</v>
      </c>
      <c r="C121" s="476">
        <v>1000018885</v>
      </c>
      <c r="D121" s="477"/>
      <c r="E121" s="472"/>
      <c r="F121" s="472"/>
      <c r="G121" s="472"/>
      <c r="H121" s="472"/>
      <c r="I121" s="472"/>
      <c r="J121" s="472"/>
      <c r="K121" s="472"/>
      <c r="L121" s="472"/>
      <c r="M121" s="472"/>
      <c r="N121" s="472"/>
      <c r="O121" s="472"/>
      <c r="P121" s="472"/>
      <c r="Q121" s="472"/>
      <c r="R121" s="472"/>
      <c r="S121" s="472"/>
      <c r="T121" s="472"/>
      <c r="U121" s="472"/>
      <c r="V121" s="472"/>
      <c r="W121" s="472"/>
      <c r="X121" s="472"/>
      <c r="Y121" s="472"/>
      <c r="Z121" s="472"/>
      <c r="AA121" s="472"/>
      <c r="AB121" s="472"/>
      <c r="AC121" s="472">
        <v>642</v>
      </c>
      <c r="AD121" s="472"/>
      <c r="AE121" s="472"/>
      <c r="AF121" s="486"/>
      <c r="AG121" s="486"/>
      <c r="AH121" s="472"/>
      <c r="AI121" s="472"/>
      <c r="AJ121" s="472"/>
      <c r="AK121" s="472"/>
      <c r="AL121" s="472"/>
      <c r="AM121" s="472"/>
      <c r="AN121" s="472"/>
      <c r="AO121" s="472"/>
      <c r="AP121" s="472"/>
      <c r="AQ121" s="472"/>
      <c r="AR121" s="486" t="s">
        <v>3910</v>
      </c>
      <c r="AS121" s="479"/>
    </row>
    <row r="122" s="26" customFormat="1" ht="22" customHeight="1" spans="1:45">
      <c r="A122" s="475"/>
      <c r="B122" s="475">
        <v>45359</v>
      </c>
      <c r="C122" s="476">
        <v>1000018827</v>
      </c>
      <c r="D122" s="477"/>
      <c r="E122" s="472"/>
      <c r="F122" s="472"/>
      <c r="G122" s="472"/>
      <c r="H122" s="472"/>
      <c r="I122" s="472"/>
      <c r="J122" s="472"/>
      <c r="K122" s="472"/>
      <c r="L122" s="472"/>
      <c r="M122" s="472"/>
      <c r="N122" s="472"/>
      <c r="O122" s="472"/>
      <c r="P122" s="472"/>
      <c r="Q122" s="472"/>
      <c r="R122" s="472"/>
      <c r="S122" s="472"/>
      <c r="T122" s="472"/>
      <c r="U122" s="472"/>
      <c r="V122" s="472"/>
      <c r="W122" s="472"/>
      <c r="X122" s="472"/>
      <c r="Y122" s="472"/>
      <c r="Z122" s="472"/>
      <c r="AA122" s="472"/>
      <c r="AB122" s="472"/>
      <c r="AC122" s="472"/>
      <c r="AD122" s="472"/>
      <c r="AE122" s="472"/>
      <c r="AF122" s="486"/>
      <c r="AG122" s="486"/>
      <c r="AH122" s="472">
        <v>972</v>
      </c>
      <c r="AI122" s="472"/>
      <c r="AJ122" s="472"/>
      <c r="AK122" s="472"/>
      <c r="AL122" s="472"/>
      <c r="AM122" s="472"/>
      <c r="AN122" s="472"/>
      <c r="AO122" s="472"/>
      <c r="AP122" s="472"/>
      <c r="AQ122" s="472"/>
      <c r="AR122" s="486" t="s">
        <v>3911</v>
      </c>
      <c r="AS122" s="479"/>
    </row>
    <row r="123" s="26" customFormat="1" ht="22" customHeight="1" spans="1:45">
      <c r="A123" s="475"/>
      <c r="B123" s="475">
        <v>45364</v>
      </c>
      <c r="C123" s="476" t="s">
        <v>3912</v>
      </c>
      <c r="D123" s="477"/>
      <c r="E123" s="472"/>
      <c r="F123" s="472"/>
      <c r="G123" s="472"/>
      <c r="H123" s="472">
        <v>100000</v>
      </c>
      <c r="I123" s="472"/>
      <c r="J123" s="472"/>
      <c r="K123" s="472"/>
      <c r="L123" s="472"/>
      <c r="M123" s="472"/>
      <c r="N123" s="472"/>
      <c r="O123" s="472"/>
      <c r="P123" s="472"/>
      <c r="Q123" s="472"/>
      <c r="R123" s="472"/>
      <c r="S123" s="472"/>
      <c r="T123" s="472"/>
      <c r="U123" s="472"/>
      <c r="V123" s="472"/>
      <c r="W123" s="472"/>
      <c r="X123" s="472"/>
      <c r="Y123" s="472"/>
      <c r="Z123" s="472"/>
      <c r="AA123" s="472"/>
      <c r="AB123" s="472"/>
      <c r="AC123" s="472"/>
      <c r="AD123" s="472"/>
      <c r="AE123" s="472"/>
      <c r="AF123" s="486"/>
      <c r="AG123" s="486"/>
      <c r="AH123" s="472"/>
      <c r="AI123" s="472"/>
      <c r="AJ123" s="472"/>
      <c r="AK123" s="472"/>
      <c r="AL123" s="472"/>
      <c r="AM123" s="472"/>
      <c r="AN123" s="472"/>
      <c r="AO123" s="472"/>
      <c r="AP123" s="472"/>
      <c r="AQ123" s="472"/>
      <c r="AR123" s="486"/>
      <c r="AS123" s="479"/>
    </row>
    <row r="124" s="26" customFormat="1" ht="22" customHeight="1" spans="1:45">
      <c r="A124" s="475"/>
      <c r="B124" s="475">
        <v>45364</v>
      </c>
      <c r="C124" s="476" t="s">
        <v>3913</v>
      </c>
      <c r="D124" s="477"/>
      <c r="E124" s="472"/>
      <c r="F124" s="472"/>
      <c r="G124" s="472"/>
      <c r="H124" s="472"/>
      <c r="I124" s="472"/>
      <c r="J124" s="472"/>
      <c r="K124" s="472">
        <v>30000</v>
      </c>
      <c r="L124" s="472"/>
      <c r="M124" s="472"/>
      <c r="N124" s="472"/>
      <c r="O124" s="472"/>
      <c r="P124" s="472"/>
      <c r="Q124" s="472"/>
      <c r="R124" s="472"/>
      <c r="S124" s="472"/>
      <c r="T124" s="472"/>
      <c r="U124" s="472"/>
      <c r="V124" s="472"/>
      <c r="W124" s="472"/>
      <c r="X124" s="472"/>
      <c r="Y124" s="472"/>
      <c r="Z124" s="472"/>
      <c r="AA124" s="472"/>
      <c r="AB124" s="472"/>
      <c r="AC124" s="472"/>
      <c r="AD124" s="472"/>
      <c r="AE124" s="472"/>
      <c r="AF124" s="486"/>
      <c r="AG124" s="486"/>
      <c r="AH124" s="472"/>
      <c r="AI124" s="472"/>
      <c r="AJ124" s="472"/>
      <c r="AK124" s="472"/>
      <c r="AL124" s="472"/>
      <c r="AM124" s="472"/>
      <c r="AN124" s="472"/>
      <c r="AO124" s="472"/>
      <c r="AP124" s="472"/>
      <c r="AQ124" s="472"/>
      <c r="AR124" s="486"/>
      <c r="AS124" s="479"/>
    </row>
    <row r="125" s="26" customFormat="1" ht="22" customHeight="1" spans="1:45">
      <c r="A125" s="475"/>
      <c r="B125" s="475">
        <v>45364</v>
      </c>
      <c r="C125" s="476" t="s">
        <v>3914</v>
      </c>
      <c r="D125" s="477"/>
      <c r="E125" s="472"/>
      <c r="F125" s="472"/>
      <c r="G125" s="472"/>
      <c r="H125" s="472"/>
      <c r="I125" s="472"/>
      <c r="J125" s="472"/>
      <c r="K125" s="472"/>
      <c r="L125" s="472"/>
      <c r="M125" s="472"/>
      <c r="N125" s="472"/>
      <c r="O125" s="472">
        <v>100000</v>
      </c>
      <c r="P125" s="472"/>
      <c r="Q125" s="472"/>
      <c r="R125" s="472"/>
      <c r="S125" s="472"/>
      <c r="T125" s="472"/>
      <c r="U125" s="472"/>
      <c r="V125" s="472"/>
      <c r="W125" s="472"/>
      <c r="X125" s="472"/>
      <c r="Y125" s="472"/>
      <c r="Z125" s="472"/>
      <c r="AA125" s="472"/>
      <c r="AB125" s="472"/>
      <c r="AC125" s="472"/>
      <c r="AD125" s="472"/>
      <c r="AE125" s="472"/>
      <c r="AF125" s="486"/>
      <c r="AG125" s="486"/>
      <c r="AH125" s="472"/>
      <c r="AI125" s="472"/>
      <c r="AJ125" s="472"/>
      <c r="AK125" s="472"/>
      <c r="AL125" s="472"/>
      <c r="AM125" s="472"/>
      <c r="AN125" s="472"/>
      <c r="AO125" s="472"/>
      <c r="AP125" s="472"/>
      <c r="AQ125" s="472"/>
      <c r="AR125" s="486"/>
      <c r="AS125" s="479"/>
    </row>
    <row r="126" s="26" customFormat="1" ht="22" customHeight="1" spans="1:45">
      <c r="A126" s="475"/>
      <c r="B126" s="475">
        <v>45364</v>
      </c>
      <c r="C126" s="476" t="s">
        <v>3915</v>
      </c>
      <c r="D126" s="477"/>
      <c r="E126" s="472"/>
      <c r="F126" s="472"/>
      <c r="G126" s="472"/>
      <c r="H126" s="472"/>
      <c r="I126" s="472"/>
      <c r="J126" s="472"/>
      <c r="K126" s="472"/>
      <c r="L126" s="472"/>
      <c r="M126" s="472"/>
      <c r="N126" s="472"/>
      <c r="O126" s="472"/>
      <c r="P126" s="472"/>
      <c r="Q126" s="472"/>
      <c r="R126" s="472"/>
      <c r="S126" s="472">
        <v>5000</v>
      </c>
      <c r="T126" s="472"/>
      <c r="U126" s="472"/>
      <c r="V126" s="472"/>
      <c r="W126" s="472"/>
      <c r="X126" s="472"/>
      <c r="Y126" s="472"/>
      <c r="Z126" s="472"/>
      <c r="AA126" s="472"/>
      <c r="AB126" s="472"/>
      <c r="AC126" s="472"/>
      <c r="AD126" s="472"/>
      <c r="AE126" s="472"/>
      <c r="AF126" s="486"/>
      <c r="AG126" s="486"/>
      <c r="AH126" s="472"/>
      <c r="AI126" s="472"/>
      <c r="AJ126" s="472"/>
      <c r="AK126" s="472"/>
      <c r="AL126" s="472"/>
      <c r="AM126" s="472"/>
      <c r="AN126" s="472"/>
      <c r="AO126" s="472"/>
      <c r="AP126" s="472"/>
      <c r="AQ126" s="472"/>
      <c r="AR126" s="486"/>
      <c r="AS126" s="479"/>
    </row>
    <row r="127" s="26" customFormat="1" ht="22" customHeight="1" spans="1:45">
      <c r="A127" s="475"/>
      <c r="B127" s="475">
        <v>45364</v>
      </c>
      <c r="C127" s="476" t="s">
        <v>3916</v>
      </c>
      <c r="D127" s="477"/>
      <c r="E127" s="472"/>
      <c r="F127" s="472"/>
      <c r="G127" s="472"/>
      <c r="H127" s="472"/>
      <c r="I127" s="472"/>
      <c r="J127" s="472"/>
      <c r="K127" s="472"/>
      <c r="L127" s="472"/>
      <c r="M127" s="472"/>
      <c r="N127" s="472"/>
      <c r="O127" s="472"/>
      <c r="P127" s="472"/>
      <c r="Q127" s="472"/>
      <c r="R127" s="472"/>
      <c r="S127" s="472"/>
      <c r="T127" s="472"/>
      <c r="U127" s="472"/>
      <c r="V127" s="472">
        <v>3000</v>
      </c>
      <c r="W127" s="472"/>
      <c r="X127" s="472"/>
      <c r="Y127" s="472"/>
      <c r="Z127" s="472"/>
      <c r="AA127" s="472"/>
      <c r="AB127" s="472"/>
      <c r="AC127" s="472"/>
      <c r="AD127" s="472"/>
      <c r="AE127" s="472"/>
      <c r="AF127" s="486"/>
      <c r="AG127" s="486"/>
      <c r="AH127" s="472"/>
      <c r="AI127" s="472"/>
      <c r="AJ127" s="472"/>
      <c r="AK127" s="472"/>
      <c r="AL127" s="472"/>
      <c r="AM127" s="472"/>
      <c r="AN127" s="472"/>
      <c r="AO127" s="472"/>
      <c r="AP127" s="472"/>
      <c r="AQ127" s="472"/>
      <c r="AR127" s="486"/>
      <c r="AS127" s="479"/>
    </row>
    <row r="128" s="26" customFormat="1" ht="22" customHeight="1" spans="1:45">
      <c r="A128" s="475"/>
      <c r="B128" s="475">
        <v>45366</v>
      </c>
      <c r="C128" s="476">
        <v>1000018914</v>
      </c>
      <c r="D128" s="477"/>
      <c r="E128" s="472"/>
      <c r="F128" s="472"/>
      <c r="G128" s="472"/>
      <c r="H128" s="472"/>
      <c r="I128" s="472"/>
      <c r="J128" s="472"/>
      <c r="K128" s="472"/>
      <c r="L128" s="472"/>
      <c r="M128" s="472"/>
      <c r="N128" s="472"/>
      <c r="O128" s="472"/>
      <c r="P128" s="472"/>
      <c r="Q128" s="472"/>
      <c r="R128" s="472"/>
      <c r="S128" s="472"/>
      <c r="T128" s="472"/>
      <c r="U128" s="472"/>
      <c r="V128" s="472"/>
      <c r="W128" s="472"/>
      <c r="X128" s="472"/>
      <c r="Y128" s="472"/>
      <c r="Z128" s="472"/>
      <c r="AA128" s="472"/>
      <c r="AB128" s="472"/>
      <c r="AC128" s="472"/>
      <c r="AD128" s="472"/>
      <c r="AE128" s="472"/>
      <c r="AF128" s="486"/>
      <c r="AG128" s="486"/>
      <c r="AH128" s="472"/>
      <c r="AI128" s="472"/>
      <c r="AJ128" s="472"/>
      <c r="AK128" s="472"/>
      <c r="AL128" s="472"/>
      <c r="AM128" s="472">
        <v>560</v>
      </c>
      <c r="AN128" s="472"/>
      <c r="AO128" s="472"/>
      <c r="AP128" s="472"/>
      <c r="AQ128" s="472"/>
      <c r="AR128" s="486" t="s">
        <v>3917</v>
      </c>
      <c r="AS128" s="479"/>
    </row>
    <row r="129" s="26" customFormat="1" ht="22" customHeight="1" spans="1:45">
      <c r="A129" s="475"/>
      <c r="B129" s="475">
        <v>45372</v>
      </c>
      <c r="C129" s="476"/>
      <c r="D129" s="477" t="s">
        <v>3823</v>
      </c>
      <c r="E129" s="472"/>
      <c r="F129" s="472"/>
      <c r="G129" s="472"/>
      <c r="H129" s="472"/>
      <c r="I129" s="472"/>
      <c r="J129" s="472"/>
      <c r="K129" s="472"/>
      <c r="L129" s="472"/>
      <c r="M129" s="472"/>
      <c r="N129" s="472"/>
      <c r="O129" s="472"/>
      <c r="P129" s="472"/>
      <c r="Q129" s="472"/>
      <c r="R129" s="472"/>
      <c r="S129" s="472"/>
      <c r="T129" s="472"/>
      <c r="U129" s="472"/>
      <c r="V129" s="472"/>
      <c r="W129" s="472"/>
      <c r="X129" s="472"/>
      <c r="Y129" s="472"/>
      <c r="Z129" s="472"/>
      <c r="AA129" s="472"/>
      <c r="AB129" s="472"/>
      <c r="AC129" s="472"/>
      <c r="AD129" s="472"/>
      <c r="AE129" s="472"/>
      <c r="AF129" s="486"/>
      <c r="AG129" s="486"/>
      <c r="AH129" s="472"/>
      <c r="AI129" s="472"/>
      <c r="AJ129" s="472"/>
      <c r="AK129" s="472">
        <v>688</v>
      </c>
      <c r="AL129" s="472"/>
      <c r="AM129" s="472"/>
      <c r="AN129" s="472"/>
      <c r="AO129" s="472"/>
      <c r="AP129" s="472"/>
      <c r="AQ129" s="472"/>
      <c r="AR129" s="491" t="s">
        <v>3918</v>
      </c>
      <c r="AS129" s="479"/>
    </row>
    <row r="130" s="26" customFormat="1" ht="19" customHeight="1" spans="1:45">
      <c r="A130" s="475"/>
      <c r="B130" s="475">
        <v>45392</v>
      </c>
      <c r="C130" s="476"/>
      <c r="D130" s="477"/>
      <c r="E130" s="472"/>
      <c r="F130" s="472"/>
      <c r="G130" s="472"/>
      <c r="H130" s="472"/>
      <c r="I130" s="472"/>
      <c r="J130" s="472"/>
      <c r="K130" s="472"/>
      <c r="L130" s="472"/>
      <c r="M130" s="472"/>
      <c r="N130" s="472"/>
      <c r="O130" s="472"/>
      <c r="P130" s="472"/>
      <c r="Q130" s="472"/>
      <c r="R130" s="472"/>
      <c r="S130" s="472"/>
      <c r="T130" s="472"/>
      <c r="U130" s="472"/>
      <c r="V130" s="472"/>
      <c r="W130" s="472"/>
      <c r="X130" s="472"/>
      <c r="Y130" s="472"/>
      <c r="Z130" s="472"/>
      <c r="AA130" s="472"/>
      <c r="AB130" s="472"/>
      <c r="AC130" s="472"/>
      <c r="AD130" s="472"/>
      <c r="AE130" s="472"/>
      <c r="AF130" s="486"/>
      <c r="AG130" s="486"/>
      <c r="AH130" s="472">
        <v>7318</v>
      </c>
      <c r="AI130" s="472"/>
      <c r="AJ130" s="472"/>
      <c r="AK130" s="472"/>
      <c r="AL130" s="472"/>
      <c r="AM130" s="472"/>
      <c r="AN130" s="472"/>
      <c r="AO130" s="472"/>
      <c r="AP130" s="472"/>
      <c r="AQ130" s="472"/>
      <c r="AR130" s="486" t="s">
        <v>3919</v>
      </c>
      <c r="AS130" s="479"/>
    </row>
    <row r="131" s="26" customFormat="1" ht="19" customHeight="1" spans="1:45">
      <c r="A131" s="475"/>
      <c r="B131" s="475">
        <v>45398</v>
      </c>
      <c r="C131" s="476">
        <v>1000019625</v>
      </c>
      <c r="D131" s="477"/>
      <c r="E131" s="472"/>
      <c r="F131" s="472"/>
      <c r="G131" s="472"/>
      <c r="H131" s="472"/>
      <c r="I131" s="472"/>
      <c r="J131" s="472"/>
      <c r="K131" s="472"/>
      <c r="L131" s="472"/>
      <c r="M131" s="472"/>
      <c r="N131" s="472"/>
      <c r="O131" s="472"/>
      <c r="P131" s="472"/>
      <c r="Q131" s="472"/>
      <c r="R131" s="472"/>
      <c r="S131" s="472"/>
      <c r="T131" s="472"/>
      <c r="U131" s="472"/>
      <c r="V131" s="472"/>
      <c r="W131" s="472"/>
      <c r="X131" s="472"/>
      <c r="Y131" s="472"/>
      <c r="Z131" s="472"/>
      <c r="AA131" s="472"/>
      <c r="AB131" s="472"/>
      <c r="AC131" s="472"/>
      <c r="AD131" s="472"/>
      <c r="AE131" s="472"/>
      <c r="AF131" s="486"/>
      <c r="AG131" s="486"/>
      <c r="AH131" s="472">
        <v>2916</v>
      </c>
      <c r="AI131" s="472"/>
      <c r="AJ131" s="472"/>
      <c r="AK131" s="472"/>
      <c r="AL131" s="472"/>
      <c r="AM131" s="472"/>
      <c r="AN131" s="472"/>
      <c r="AO131" s="472"/>
      <c r="AP131" s="472"/>
      <c r="AQ131" s="472"/>
      <c r="AR131" s="486">
        <v>4500130165</v>
      </c>
      <c r="AS131" s="479"/>
    </row>
    <row r="132" s="26" customFormat="1" ht="19" customHeight="1" spans="1:45">
      <c r="A132" s="475"/>
      <c r="B132" s="475">
        <v>45400</v>
      </c>
      <c r="C132" s="476" t="s">
        <v>3920</v>
      </c>
      <c r="D132" s="477"/>
      <c r="E132" s="472"/>
      <c r="F132" s="472"/>
      <c r="G132" s="472"/>
      <c r="H132" s="472">
        <v>100000</v>
      </c>
      <c r="I132" s="472"/>
      <c r="J132" s="472"/>
      <c r="K132" s="472"/>
      <c r="L132" s="472"/>
      <c r="M132" s="472"/>
      <c r="N132" s="472"/>
      <c r="O132" s="472"/>
      <c r="P132" s="472"/>
      <c r="Q132" s="472"/>
      <c r="R132" s="472"/>
      <c r="S132" s="472"/>
      <c r="T132" s="472"/>
      <c r="U132" s="472"/>
      <c r="V132" s="472"/>
      <c r="W132" s="472"/>
      <c r="X132" s="472"/>
      <c r="Y132" s="472"/>
      <c r="Z132" s="472"/>
      <c r="AA132" s="472"/>
      <c r="AB132" s="472"/>
      <c r="AC132" s="472"/>
      <c r="AD132" s="472"/>
      <c r="AE132" s="472"/>
      <c r="AF132" s="486"/>
      <c r="AG132" s="486"/>
      <c r="AH132" s="472"/>
      <c r="AI132" s="472"/>
      <c r="AJ132" s="472"/>
      <c r="AK132" s="472"/>
      <c r="AL132" s="472"/>
      <c r="AM132" s="472"/>
      <c r="AN132" s="472"/>
      <c r="AO132" s="472"/>
      <c r="AP132" s="472"/>
      <c r="AQ132" s="472"/>
      <c r="AR132" s="486"/>
      <c r="AS132" s="479"/>
    </row>
    <row r="133" s="26" customFormat="1" ht="19" customHeight="1" spans="1:45">
      <c r="A133" s="475"/>
      <c r="B133" s="475">
        <v>45400</v>
      </c>
      <c r="C133" s="476" t="s">
        <v>3921</v>
      </c>
      <c r="D133" s="477"/>
      <c r="E133" s="472"/>
      <c r="F133" s="472"/>
      <c r="G133" s="472"/>
      <c r="H133" s="472"/>
      <c r="I133" s="472"/>
      <c r="J133" s="472"/>
      <c r="K133" s="472"/>
      <c r="L133" s="472"/>
      <c r="M133" s="472"/>
      <c r="N133" s="472"/>
      <c r="O133" s="472">
        <v>100000</v>
      </c>
      <c r="P133" s="472"/>
      <c r="Q133" s="472"/>
      <c r="R133" s="472"/>
      <c r="S133" s="472"/>
      <c r="T133" s="472"/>
      <c r="U133" s="472"/>
      <c r="V133" s="472"/>
      <c r="W133" s="472"/>
      <c r="X133" s="472"/>
      <c r="Y133" s="472"/>
      <c r="Z133" s="472"/>
      <c r="AA133" s="472"/>
      <c r="AB133" s="472"/>
      <c r="AC133" s="472"/>
      <c r="AD133" s="472"/>
      <c r="AE133" s="472"/>
      <c r="AF133" s="486"/>
      <c r="AG133" s="486"/>
      <c r="AH133" s="472"/>
      <c r="AI133" s="472"/>
      <c r="AJ133" s="472"/>
      <c r="AK133" s="472"/>
      <c r="AL133" s="472"/>
      <c r="AM133" s="472"/>
      <c r="AN133" s="472"/>
      <c r="AO133" s="472"/>
      <c r="AP133" s="472"/>
      <c r="AQ133" s="472"/>
      <c r="AR133" s="486"/>
      <c r="AS133" s="479"/>
    </row>
    <row r="134" s="26" customFormat="1" ht="19" customHeight="1" spans="1:45">
      <c r="A134" s="475"/>
      <c r="B134" s="475">
        <v>45400</v>
      </c>
      <c r="C134" s="476" t="s">
        <v>3922</v>
      </c>
      <c r="D134" s="477"/>
      <c r="E134" s="472"/>
      <c r="F134" s="472"/>
      <c r="G134" s="472"/>
      <c r="H134" s="472"/>
      <c r="I134" s="472"/>
      <c r="J134" s="472"/>
      <c r="K134" s="472"/>
      <c r="L134" s="472"/>
      <c r="M134" s="472"/>
      <c r="N134" s="472"/>
      <c r="O134" s="472"/>
      <c r="P134" s="472"/>
      <c r="Q134" s="472"/>
      <c r="R134" s="472"/>
      <c r="S134" s="472">
        <v>5000</v>
      </c>
      <c r="T134" s="472"/>
      <c r="U134" s="472"/>
      <c r="V134" s="472"/>
      <c r="W134" s="472"/>
      <c r="X134" s="472"/>
      <c r="Y134" s="472"/>
      <c r="Z134" s="472"/>
      <c r="AA134" s="472"/>
      <c r="AB134" s="472"/>
      <c r="AC134" s="472"/>
      <c r="AD134" s="472"/>
      <c r="AE134" s="472"/>
      <c r="AF134" s="486"/>
      <c r="AG134" s="486"/>
      <c r="AH134" s="472"/>
      <c r="AI134" s="472"/>
      <c r="AJ134" s="472"/>
      <c r="AK134" s="472"/>
      <c r="AL134" s="472"/>
      <c r="AM134" s="472"/>
      <c r="AN134" s="472"/>
      <c r="AO134" s="472"/>
      <c r="AP134" s="472"/>
      <c r="AQ134" s="472"/>
      <c r="AR134" s="486"/>
      <c r="AS134" s="479"/>
    </row>
    <row r="135" s="26" customFormat="1" ht="19" customHeight="1" spans="1:45">
      <c r="A135" s="475"/>
      <c r="B135" s="475">
        <v>45400</v>
      </c>
      <c r="C135" s="476" t="s">
        <v>3923</v>
      </c>
      <c r="D135" s="477"/>
      <c r="E135" s="472"/>
      <c r="F135" s="472"/>
      <c r="G135" s="472"/>
      <c r="H135" s="472"/>
      <c r="I135" s="472"/>
      <c r="J135" s="472"/>
      <c r="K135" s="472"/>
      <c r="L135" s="472"/>
      <c r="M135" s="472"/>
      <c r="N135" s="472"/>
      <c r="O135" s="472"/>
      <c r="P135" s="472"/>
      <c r="Q135" s="472"/>
      <c r="R135" s="472"/>
      <c r="S135" s="472"/>
      <c r="T135" s="472"/>
      <c r="U135" s="472"/>
      <c r="V135" s="472">
        <v>2000</v>
      </c>
      <c r="W135" s="472"/>
      <c r="X135" s="472"/>
      <c r="Y135" s="472"/>
      <c r="Z135" s="472"/>
      <c r="AA135" s="472"/>
      <c r="AB135" s="472"/>
      <c r="AC135" s="472"/>
      <c r="AD135" s="472"/>
      <c r="AE135" s="472"/>
      <c r="AF135" s="486"/>
      <c r="AG135" s="486"/>
      <c r="AH135" s="472"/>
      <c r="AI135" s="472"/>
      <c r="AJ135" s="472"/>
      <c r="AK135" s="472"/>
      <c r="AL135" s="472"/>
      <c r="AM135" s="472"/>
      <c r="AN135" s="472"/>
      <c r="AO135" s="472"/>
      <c r="AP135" s="472"/>
      <c r="AQ135" s="472"/>
      <c r="AR135" s="486"/>
      <c r="AS135" s="479"/>
    </row>
    <row r="136" s="26" customFormat="1" ht="19" customHeight="1" spans="1:45">
      <c r="A136" s="475"/>
      <c r="B136" s="475">
        <v>45401</v>
      </c>
      <c r="C136" s="476">
        <v>1000019685</v>
      </c>
      <c r="D136" s="477"/>
      <c r="E136" s="472"/>
      <c r="F136" s="472"/>
      <c r="G136" s="472"/>
      <c r="H136" s="472"/>
      <c r="I136" s="472"/>
      <c r="J136" s="472"/>
      <c r="K136" s="472"/>
      <c r="L136" s="472"/>
      <c r="M136" s="472"/>
      <c r="N136" s="472"/>
      <c r="O136" s="472"/>
      <c r="P136" s="472"/>
      <c r="Q136" s="472"/>
      <c r="R136" s="472"/>
      <c r="S136" s="472"/>
      <c r="T136" s="472"/>
      <c r="U136" s="472"/>
      <c r="V136" s="472"/>
      <c r="W136" s="472"/>
      <c r="X136" s="472"/>
      <c r="Y136" s="472"/>
      <c r="Z136" s="472">
        <v>750</v>
      </c>
      <c r="AA136" s="472"/>
      <c r="AB136" s="472"/>
      <c r="AC136" s="472"/>
      <c r="AD136" s="472"/>
      <c r="AE136" s="472"/>
      <c r="AF136" s="486"/>
      <c r="AG136" s="486"/>
      <c r="AH136" s="472"/>
      <c r="AI136" s="472"/>
      <c r="AJ136" s="472"/>
      <c r="AK136" s="472"/>
      <c r="AL136" s="472"/>
      <c r="AM136" s="472"/>
      <c r="AN136" s="472"/>
      <c r="AO136" s="472"/>
      <c r="AP136" s="472"/>
      <c r="AQ136" s="472"/>
      <c r="AR136" s="486" t="s">
        <v>3924</v>
      </c>
      <c r="AS136" s="479">
        <f>Z136-2-248-250-250</f>
        <v>0</v>
      </c>
    </row>
    <row r="137" s="26" customFormat="1" ht="19" customHeight="1" spans="1:45">
      <c r="A137" s="475"/>
      <c r="B137" s="475">
        <v>45404</v>
      </c>
      <c r="C137" s="476"/>
      <c r="D137" s="477"/>
      <c r="E137" s="472"/>
      <c r="F137" s="472"/>
      <c r="G137" s="472"/>
      <c r="H137" s="472"/>
      <c r="I137" s="472"/>
      <c r="J137" s="472"/>
      <c r="K137" s="472"/>
      <c r="L137" s="472"/>
      <c r="M137" s="472"/>
      <c r="N137" s="472"/>
      <c r="O137" s="472"/>
      <c r="P137" s="472"/>
      <c r="Q137" s="472"/>
      <c r="R137" s="472"/>
      <c r="S137" s="472"/>
      <c r="T137" s="472"/>
      <c r="U137" s="472"/>
      <c r="V137" s="472"/>
      <c r="W137" s="472"/>
      <c r="X137" s="472"/>
      <c r="Y137" s="472"/>
      <c r="Z137" s="472"/>
      <c r="AA137" s="472"/>
      <c r="AB137" s="472"/>
      <c r="AC137" s="472"/>
      <c r="AD137" s="472"/>
      <c r="AE137" s="472"/>
      <c r="AF137" s="486">
        <v>1780</v>
      </c>
      <c r="AG137" s="486"/>
      <c r="AH137" s="472"/>
      <c r="AI137" s="472"/>
      <c r="AJ137" s="472"/>
      <c r="AK137" s="472"/>
      <c r="AL137" s="472"/>
      <c r="AM137" s="472"/>
      <c r="AN137" s="472"/>
      <c r="AO137" s="472"/>
      <c r="AP137" s="472"/>
      <c r="AQ137" s="472"/>
      <c r="AR137" s="486">
        <v>4500130295</v>
      </c>
      <c r="AS137" s="479"/>
    </row>
    <row r="138" s="26" customFormat="1" ht="19" customHeight="1" spans="1:45">
      <c r="A138" s="475"/>
      <c r="B138" s="475">
        <v>45406</v>
      </c>
      <c r="C138" s="476">
        <v>1000019828</v>
      </c>
      <c r="D138" s="477"/>
      <c r="E138" s="472"/>
      <c r="F138" s="472"/>
      <c r="G138" s="472"/>
      <c r="H138" s="472"/>
      <c r="I138" s="472"/>
      <c r="J138" s="472"/>
      <c r="K138" s="472"/>
      <c r="L138" s="472"/>
      <c r="M138" s="472"/>
      <c r="N138" s="472"/>
      <c r="O138" s="472"/>
      <c r="P138" s="472"/>
      <c r="Q138" s="472"/>
      <c r="R138" s="472"/>
      <c r="S138" s="472"/>
      <c r="T138" s="472"/>
      <c r="U138" s="472"/>
      <c r="V138" s="472"/>
      <c r="W138" s="472"/>
      <c r="X138" s="472"/>
      <c r="Y138" s="472"/>
      <c r="Z138" s="472"/>
      <c r="AA138" s="472"/>
      <c r="AB138" s="472"/>
      <c r="AC138" s="472"/>
      <c r="AD138" s="472"/>
      <c r="AE138" s="472"/>
      <c r="AF138" s="486"/>
      <c r="AG138" s="486"/>
      <c r="AH138" s="472">
        <v>1280</v>
      </c>
      <c r="AI138" s="472"/>
      <c r="AJ138" s="472"/>
      <c r="AK138" s="472"/>
      <c r="AL138" s="472"/>
      <c r="AM138" s="472"/>
      <c r="AN138" s="472"/>
      <c r="AO138" s="472"/>
      <c r="AP138" s="472"/>
      <c r="AQ138" s="472"/>
      <c r="AR138" s="486" t="s">
        <v>3925</v>
      </c>
      <c r="AS138" s="479"/>
    </row>
    <row r="139" s="26" customFormat="1" ht="19" customHeight="1" spans="1:45">
      <c r="A139" s="475"/>
      <c r="B139" s="475">
        <v>45412</v>
      </c>
      <c r="C139" s="476"/>
      <c r="D139" s="477"/>
      <c r="E139" s="472"/>
      <c r="F139" s="472"/>
      <c r="G139" s="472"/>
      <c r="H139" s="472"/>
      <c r="I139" s="472"/>
      <c r="J139" s="472"/>
      <c r="K139" s="472"/>
      <c r="L139" s="472"/>
      <c r="M139" s="472"/>
      <c r="N139" s="472"/>
      <c r="O139" s="472"/>
      <c r="P139" s="472"/>
      <c r="Q139" s="472"/>
      <c r="R139" s="472"/>
      <c r="S139" s="472"/>
      <c r="T139" s="472"/>
      <c r="U139" s="472"/>
      <c r="V139" s="472"/>
      <c r="W139" s="472"/>
      <c r="X139" s="472"/>
      <c r="Y139" s="472"/>
      <c r="Z139" s="472"/>
      <c r="AA139" s="472"/>
      <c r="AB139" s="472"/>
      <c r="AC139" s="472"/>
      <c r="AD139" s="472"/>
      <c r="AE139" s="472"/>
      <c r="AF139" s="486"/>
      <c r="AG139" s="486"/>
      <c r="AH139" s="472">
        <v>20088</v>
      </c>
      <c r="AI139" s="472"/>
      <c r="AJ139" s="472"/>
      <c r="AK139" s="472"/>
      <c r="AL139" s="472"/>
      <c r="AM139" s="472"/>
      <c r="AN139" s="472"/>
      <c r="AO139" s="472"/>
      <c r="AP139" s="472"/>
      <c r="AQ139" s="472"/>
      <c r="AR139" s="486" t="s">
        <v>3926</v>
      </c>
      <c r="AS139" s="479"/>
    </row>
    <row r="140" s="26" customFormat="1" ht="18" customHeight="1" spans="1:45">
      <c r="A140" s="475"/>
      <c r="B140" s="475">
        <v>45418</v>
      </c>
      <c r="C140" s="476"/>
      <c r="D140" s="477"/>
      <c r="E140" s="472"/>
      <c r="F140" s="472"/>
      <c r="G140" s="472"/>
      <c r="H140" s="472"/>
      <c r="I140" s="472"/>
      <c r="J140" s="472"/>
      <c r="K140" s="472"/>
      <c r="L140" s="472"/>
      <c r="M140" s="472"/>
      <c r="N140" s="472"/>
      <c r="O140" s="472"/>
      <c r="P140" s="472"/>
      <c r="Q140" s="472"/>
      <c r="R140" s="472"/>
      <c r="S140" s="472"/>
      <c r="T140" s="472"/>
      <c r="U140" s="472"/>
      <c r="V140" s="472"/>
      <c r="W140" s="472"/>
      <c r="X140" s="472"/>
      <c r="Y140" s="472"/>
      <c r="Z140" s="472"/>
      <c r="AA140" s="472"/>
      <c r="AB140" s="472"/>
      <c r="AC140" s="472"/>
      <c r="AD140" s="472"/>
      <c r="AE140" s="472"/>
      <c r="AF140" s="486"/>
      <c r="AG140" s="486"/>
      <c r="AH140" s="472">
        <v>3888</v>
      </c>
      <c r="AI140" s="472"/>
      <c r="AJ140" s="472"/>
      <c r="AK140" s="472"/>
      <c r="AL140" s="472"/>
      <c r="AM140" s="472"/>
      <c r="AN140" s="472"/>
      <c r="AO140" s="472"/>
      <c r="AP140" s="472"/>
      <c r="AQ140" s="472"/>
      <c r="AR140" s="486">
        <v>4500132494</v>
      </c>
      <c r="AS140" s="479"/>
    </row>
    <row r="141" s="26" customFormat="1" ht="19" customHeight="1" spans="1:45">
      <c r="A141" s="475"/>
      <c r="B141" s="475">
        <v>45421</v>
      </c>
      <c r="C141" s="476" t="s">
        <v>3927</v>
      </c>
      <c r="D141" s="477"/>
      <c r="E141" s="472"/>
      <c r="F141" s="472"/>
      <c r="G141" s="472"/>
      <c r="H141" s="472">
        <v>100000</v>
      </c>
      <c r="I141" s="472"/>
      <c r="J141" s="472"/>
      <c r="K141" s="472"/>
      <c r="L141" s="472"/>
      <c r="M141" s="472"/>
      <c r="N141" s="472"/>
      <c r="O141" s="472"/>
      <c r="P141" s="472"/>
      <c r="Q141" s="472"/>
      <c r="R141" s="472"/>
      <c r="S141" s="472"/>
      <c r="T141" s="472"/>
      <c r="U141" s="472"/>
      <c r="V141" s="472"/>
      <c r="W141" s="472"/>
      <c r="X141" s="472"/>
      <c r="Y141" s="472"/>
      <c r="Z141" s="472"/>
      <c r="AA141" s="472"/>
      <c r="AB141" s="472"/>
      <c r="AC141" s="472"/>
      <c r="AD141" s="472"/>
      <c r="AE141" s="472"/>
      <c r="AF141" s="486"/>
      <c r="AG141" s="486"/>
      <c r="AH141" s="472"/>
      <c r="AI141" s="472"/>
      <c r="AJ141" s="472"/>
      <c r="AK141" s="472"/>
      <c r="AL141" s="472"/>
      <c r="AM141" s="472"/>
      <c r="AN141" s="472"/>
      <c r="AO141" s="472"/>
      <c r="AP141" s="472"/>
      <c r="AQ141" s="472"/>
      <c r="AR141" s="486"/>
      <c r="AS141" s="479"/>
    </row>
    <row r="142" s="26" customFormat="1" ht="19" customHeight="1" spans="1:45">
      <c r="A142" s="475"/>
      <c r="B142" s="475">
        <v>45421</v>
      </c>
      <c r="C142" s="476" t="s">
        <v>3928</v>
      </c>
      <c r="D142" s="477"/>
      <c r="E142" s="472"/>
      <c r="F142" s="472"/>
      <c r="G142" s="472"/>
      <c r="H142" s="472"/>
      <c r="I142" s="472"/>
      <c r="J142" s="472"/>
      <c r="K142" s="472">
        <v>30000</v>
      </c>
      <c r="L142" s="472"/>
      <c r="M142" s="472"/>
      <c r="N142" s="472"/>
      <c r="O142" s="472"/>
      <c r="P142" s="472"/>
      <c r="Q142" s="472"/>
      <c r="R142" s="472"/>
      <c r="S142" s="472"/>
      <c r="T142" s="472"/>
      <c r="U142" s="472"/>
      <c r="V142" s="472"/>
      <c r="W142" s="472"/>
      <c r="X142" s="472"/>
      <c r="Y142" s="472"/>
      <c r="Z142" s="472"/>
      <c r="AA142" s="472"/>
      <c r="AB142" s="472"/>
      <c r="AC142" s="472"/>
      <c r="AD142" s="472"/>
      <c r="AE142" s="472"/>
      <c r="AF142" s="486"/>
      <c r="AG142" s="486"/>
      <c r="AH142" s="472"/>
      <c r="AI142" s="472"/>
      <c r="AJ142" s="472"/>
      <c r="AK142" s="472"/>
      <c r="AL142" s="472"/>
      <c r="AM142" s="472"/>
      <c r="AN142" s="472"/>
      <c r="AO142" s="472"/>
      <c r="AP142" s="472"/>
      <c r="AQ142" s="472"/>
      <c r="AR142" s="486"/>
      <c r="AS142" s="479"/>
    </row>
    <row r="143" s="26" customFormat="1" ht="18" customHeight="1" spans="1:45">
      <c r="A143" s="475"/>
      <c r="B143" s="475">
        <v>45421</v>
      </c>
      <c r="C143" s="476" t="s">
        <v>3929</v>
      </c>
      <c r="D143" s="477"/>
      <c r="E143" s="472"/>
      <c r="F143" s="472"/>
      <c r="G143" s="472"/>
      <c r="H143" s="472"/>
      <c r="I143" s="472"/>
      <c r="J143" s="472"/>
      <c r="K143" s="472"/>
      <c r="L143" s="472"/>
      <c r="M143" s="472"/>
      <c r="N143" s="472"/>
      <c r="O143" s="472">
        <v>100000</v>
      </c>
      <c r="P143" s="472"/>
      <c r="Q143" s="472"/>
      <c r="R143" s="472"/>
      <c r="S143" s="472"/>
      <c r="T143" s="472"/>
      <c r="U143" s="472"/>
      <c r="V143" s="472"/>
      <c r="W143" s="472"/>
      <c r="X143" s="472"/>
      <c r="Y143" s="472"/>
      <c r="Z143" s="472"/>
      <c r="AA143" s="472"/>
      <c r="AB143" s="472"/>
      <c r="AC143" s="472"/>
      <c r="AD143" s="472"/>
      <c r="AE143" s="472"/>
      <c r="AF143" s="486"/>
      <c r="AG143" s="486"/>
      <c r="AH143" s="472"/>
      <c r="AI143" s="472"/>
      <c r="AJ143" s="472"/>
      <c r="AK143" s="472"/>
      <c r="AL143" s="472"/>
      <c r="AM143" s="472"/>
      <c r="AN143" s="472"/>
      <c r="AO143" s="472"/>
      <c r="AP143" s="472"/>
      <c r="AQ143" s="472"/>
      <c r="AR143" s="486"/>
      <c r="AS143" s="479"/>
    </row>
    <row r="144" s="26" customFormat="1" ht="19" customHeight="1" spans="1:45">
      <c r="A144" s="475"/>
      <c r="B144" s="475">
        <v>45432</v>
      </c>
      <c r="C144" s="476">
        <v>1000020393</v>
      </c>
      <c r="D144" s="477"/>
      <c r="E144" s="472"/>
      <c r="F144" s="472"/>
      <c r="G144" s="472"/>
      <c r="J144" s="472"/>
      <c r="K144" s="472"/>
      <c r="L144" s="472"/>
      <c r="M144" s="472"/>
      <c r="N144" s="472"/>
      <c r="O144" s="472"/>
      <c r="P144" s="472"/>
      <c r="Q144" s="472"/>
      <c r="R144" s="472"/>
      <c r="S144" s="472"/>
      <c r="T144" s="472"/>
      <c r="U144" s="472"/>
      <c r="V144" s="472"/>
      <c r="W144" s="472"/>
      <c r="X144" s="472"/>
      <c r="Y144" s="472"/>
      <c r="Z144" s="472"/>
      <c r="AA144" s="472"/>
      <c r="AB144" s="472"/>
      <c r="AC144" s="472"/>
      <c r="AD144" s="472"/>
      <c r="AE144" s="472"/>
      <c r="AF144" s="486"/>
      <c r="AG144" s="486"/>
      <c r="AH144" s="472">
        <v>9072</v>
      </c>
      <c r="AI144" s="472"/>
      <c r="AJ144" s="472"/>
      <c r="AK144" s="472"/>
      <c r="AL144" s="472"/>
      <c r="AM144" s="472"/>
      <c r="AN144" s="472"/>
      <c r="AO144" s="472"/>
      <c r="AP144" s="472"/>
      <c r="AQ144" s="472"/>
      <c r="AR144" s="486" t="s">
        <v>3930</v>
      </c>
      <c r="AS144" s="479"/>
    </row>
    <row r="145" s="26" customFormat="1" ht="19" customHeight="1" spans="1:46">
      <c r="A145" s="475"/>
      <c r="B145" s="475">
        <v>45448</v>
      </c>
      <c r="C145" s="476" t="s">
        <v>3931</v>
      </c>
      <c r="D145" s="477"/>
      <c r="E145" s="472"/>
      <c r="F145" s="472"/>
      <c r="G145" s="472"/>
      <c r="H145" s="472">
        <v>100000</v>
      </c>
      <c r="I145" s="472"/>
      <c r="J145" s="472"/>
      <c r="K145" s="472"/>
      <c r="L145" s="472"/>
      <c r="M145" s="472"/>
      <c r="N145" s="472"/>
      <c r="O145" s="472"/>
      <c r="P145" s="472"/>
      <c r="Q145" s="472"/>
      <c r="R145" s="472"/>
      <c r="S145" s="472"/>
      <c r="T145" s="472"/>
      <c r="U145" s="472"/>
      <c r="V145" s="472"/>
      <c r="W145" s="472"/>
      <c r="X145" s="472"/>
      <c r="Y145" s="472"/>
      <c r="Z145" s="472"/>
      <c r="AA145" s="472"/>
      <c r="AB145" s="472"/>
      <c r="AC145" s="472"/>
      <c r="AD145" s="472"/>
      <c r="AE145" s="472"/>
      <c r="AF145" s="486"/>
      <c r="AG145" s="486"/>
      <c r="AH145" s="472"/>
      <c r="AI145" s="472"/>
      <c r="AJ145" s="472"/>
      <c r="AK145" s="472"/>
      <c r="AL145" s="472"/>
      <c r="AM145" s="472"/>
      <c r="AN145" s="472"/>
      <c r="AO145" s="472"/>
      <c r="AP145" s="472"/>
      <c r="AQ145" s="472"/>
      <c r="AR145" s="486"/>
      <c r="AS145" s="479"/>
    </row>
    <row r="146" s="26" customFormat="1" ht="19" customHeight="1" spans="1:46">
      <c r="A146" s="475"/>
      <c r="B146" s="475">
        <v>45448</v>
      </c>
      <c r="C146" s="476" t="s">
        <v>3932</v>
      </c>
      <c r="D146" s="477"/>
      <c r="E146" s="472"/>
      <c r="F146" s="472"/>
      <c r="G146" s="472"/>
      <c r="H146" s="472"/>
      <c r="I146" s="472"/>
      <c r="J146" s="472"/>
      <c r="K146" s="472">
        <v>30000</v>
      </c>
      <c r="L146" s="472"/>
      <c r="M146" s="472"/>
      <c r="N146" s="472"/>
      <c r="O146" s="472"/>
      <c r="P146" s="472"/>
      <c r="Q146" s="472"/>
      <c r="R146" s="472"/>
      <c r="S146" s="472"/>
      <c r="T146" s="472"/>
      <c r="U146" s="472"/>
      <c r="V146" s="472"/>
      <c r="W146" s="472"/>
      <c r="X146" s="472"/>
      <c r="Y146" s="472"/>
      <c r="Z146" s="472"/>
      <c r="AA146" s="472"/>
      <c r="AB146" s="472"/>
      <c r="AC146" s="472"/>
      <c r="AD146" s="472"/>
      <c r="AE146" s="472"/>
      <c r="AF146" s="486"/>
      <c r="AG146" s="486"/>
      <c r="AH146" s="472"/>
      <c r="AI146" s="472"/>
      <c r="AJ146" s="472"/>
      <c r="AK146" s="472"/>
      <c r="AL146" s="472"/>
      <c r="AM146" s="472"/>
      <c r="AN146" s="472"/>
      <c r="AO146" s="472"/>
      <c r="AP146" s="472"/>
      <c r="AQ146" s="472"/>
      <c r="AR146" s="486"/>
      <c r="AS146" s="479"/>
    </row>
    <row r="147" s="26" customFormat="1" ht="19" customHeight="1" spans="1:46">
      <c r="A147" s="475"/>
      <c r="B147" s="475">
        <v>45448</v>
      </c>
      <c r="C147" s="476" t="s">
        <v>3933</v>
      </c>
      <c r="D147" s="477"/>
      <c r="E147" s="472"/>
      <c r="F147" s="472"/>
      <c r="G147" s="472"/>
      <c r="H147" s="472"/>
      <c r="I147" s="472"/>
      <c r="J147" s="472"/>
      <c r="K147" s="472"/>
      <c r="L147" s="472"/>
      <c r="M147" s="472"/>
      <c r="N147" s="472"/>
      <c r="O147" s="472">
        <v>150000</v>
      </c>
      <c r="P147" s="472"/>
      <c r="Q147" s="472"/>
      <c r="R147" s="472"/>
      <c r="S147" s="472"/>
      <c r="T147" s="472"/>
      <c r="U147" s="472"/>
      <c r="V147" s="472"/>
      <c r="W147" s="472"/>
      <c r="X147" s="472"/>
      <c r="Y147" s="472"/>
      <c r="Z147" s="472"/>
      <c r="AA147" s="472"/>
      <c r="AB147" s="472"/>
      <c r="AC147" s="472"/>
      <c r="AD147" s="472"/>
      <c r="AE147" s="472"/>
      <c r="AF147" s="486"/>
      <c r="AG147" s="486"/>
      <c r="AH147" s="472"/>
      <c r="AI147" s="472"/>
      <c r="AJ147" s="472"/>
      <c r="AK147" s="472"/>
      <c r="AL147" s="472"/>
      <c r="AM147" s="472"/>
      <c r="AN147" s="472"/>
      <c r="AO147" s="472"/>
      <c r="AP147" s="472"/>
      <c r="AQ147" s="472"/>
      <c r="AR147" s="486"/>
      <c r="AS147" s="479"/>
    </row>
    <row r="148" s="26" customFormat="1" ht="19" customHeight="1" spans="1:46">
      <c r="A148" s="475"/>
      <c r="B148" s="475">
        <v>45448</v>
      </c>
      <c r="C148" s="476" t="s">
        <v>3934</v>
      </c>
      <c r="D148" s="477"/>
      <c r="E148" s="472"/>
      <c r="F148" s="472"/>
      <c r="G148" s="472"/>
      <c r="H148" s="472"/>
      <c r="I148" s="472"/>
      <c r="J148" s="472"/>
      <c r="K148" s="472"/>
      <c r="L148" s="472"/>
      <c r="M148" s="472"/>
      <c r="N148" s="472"/>
      <c r="O148" s="472"/>
      <c r="P148" s="472"/>
      <c r="Q148" s="472"/>
      <c r="R148" s="472"/>
      <c r="S148" s="472">
        <v>5000</v>
      </c>
      <c r="T148" s="472"/>
      <c r="U148" s="472"/>
      <c r="V148" s="472"/>
      <c r="W148" s="472"/>
      <c r="X148" s="472"/>
      <c r="Y148" s="472"/>
      <c r="Z148" s="472"/>
      <c r="AA148" s="472"/>
      <c r="AB148" s="472"/>
      <c r="AC148" s="472"/>
      <c r="AD148" s="472"/>
      <c r="AE148" s="472"/>
      <c r="AF148" s="486"/>
      <c r="AG148" s="486"/>
      <c r="AH148" s="472"/>
      <c r="AI148" s="472"/>
      <c r="AJ148" s="472"/>
      <c r="AK148" s="472"/>
      <c r="AL148" s="472"/>
      <c r="AM148" s="472"/>
      <c r="AN148" s="472"/>
      <c r="AO148" s="472"/>
      <c r="AP148" s="472"/>
      <c r="AQ148" s="472"/>
      <c r="AR148" s="486"/>
      <c r="AS148" s="479"/>
    </row>
    <row r="149" s="26" customFormat="1" ht="19" customHeight="1" spans="1:46">
      <c r="A149" s="475"/>
      <c r="B149" s="475">
        <v>45448</v>
      </c>
      <c r="C149" s="476" t="s">
        <v>3935</v>
      </c>
      <c r="D149" s="477"/>
      <c r="E149" s="472"/>
      <c r="F149" s="472"/>
      <c r="G149" s="472"/>
      <c r="H149" s="472"/>
      <c r="I149" s="472"/>
      <c r="J149" s="472"/>
      <c r="K149" s="472"/>
      <c r="L149" s="472"/>
      <c r="M149" s="472"/>
      <c r="N149" s="472"/>
      <c r="O149" s="472"/>
      <c r="P149" s="472"/>
      <c r="Q149" s="472"/>
      <c r="R149" s="472"/>
      <c r="S149" s="472"/>
      <c r="T149" s="472"/>
      <c r="U149" s="472"/>
      <c r="V149" s="472">
        <v>2000</v>
      </c>
      <c r="W149" s="472"/>
      <c r="X149" s="472"/>
      <c r="Y149" s="472"/>
      <c r="Z149" s="472"/>
      <c r="AA149" s="472"/>
      <c r="AB149" s="472"/>
      <c r="AC149" s="472"/>
      <c r="AD149" s="472"/>
      <c r="AE149" s="472"/>
      <c r="AF149" s="486"/>
      <c r="AG149" s="486"/>
      <c r="AH149" s="472"/>
      <c r="AI149" s="472"/>
      <c r="AJ149" s="472"/>
      <c r="AK149" s="472"/>
      <c r="AL149" s="472"/>
      <c r="AM149" s="472"/>
      <c r="AN149" s="472"/>
      <c r="AO149" s="472"/>
      <c r="AP149" s="472"/>
      <c r="AQ149" s="472"/>
      <c r="AR149" s="486"/>
      <c r="AS149" s="479"/>
    </row>
    <row r="150" s="26" customFormat="1" ht="19" customHeight="1" spans="1:46">
      <c r="A150" s="475"/>
      <c r="B150" s="475">
        <v>45450</v>
      </c>
      <c r="C150" s="476"/>
      <c r="D150" s="477"/>
      <c r="E150" s="472"/>
      <c r="F150" s="472"/>
      <c r="G150" s="472"/>
      <c r="H150" s="472"/>
      <c r="I150" s="472"/>
      <c r="J150" s="472"/>
      <c r="K150" s="472"/>
      <c r="L150" s="472"/>
      <c r="M150" s="472"/>
      <c r="N150" s="472"/>
      <c r="O150" s="472"/>
      <c r="P150" s="472"/>
      <c r="Q150" s="472"/>
      <c r="R150" s="472"/>
      <c r="S150" s="472"/>
      <c r="T150" s="472"/>
      <c r="U150" s="472"/>
      <c r="V150" s="472"/>
      <c r="W150" s="472"/>
      <c r="X150" s="472"/>
      <c r="Y150" s="472"/>
      <c r="Z150" s="472"/>
      <c r="AA150" s="472"/>
      <c r="AB150" s="472"/>
      <c r="AC150" s="472">
        <v>500</v>
      </c>
      <c r="AD150" s="472"/>
      <c r="AE150" s="472"/>
      <c r="AF150" s="486"/>
      <c r="AG150" s="486"/>
      <c r="AH150" s="472"/>
      <c r="AI150" s="472"/>
      <c r="AJ150" s="472"/>
      <c r="AK150" s="472"/>
      <c r="AL150" s="472"/>
      <c r="AM150" s="472"/>
      <c r="AN150" s="472"/>
      <c r="AO150" s="472"/>
      <c r="AP150" s="472"/>
      <c r="AQ150" s="472"/>
      <c r="AR150" s="486">
        <v>4500133062</v>
      </c>
      <c r="AS150" s="479"/>
    </row>
    <row r="151" s="26" customFormat="1" ht="19" customHeight="1" spans="1:46">
      <c r="A151" s="475"/>
      <c r="B151" s="475">
        <v>45456</v>
      </c>
      <c r="C151" s="476"/>
      <c r="D151" s="477"/>
      <c r="E151" s="472"/>
      <c r="F151" s="472"/>
      <c r="G151" s="472"/>
      <c r="H151" s="472"/>
      <c r="I151" s="472"/>
      <c r="J151" s="472"/>
      <c r="K151" s="472"/>
      <c r="L151" s="472"/>
      <c r="M151" s="472"/>
      <c r="N151" s="472"/>
      <c r="O151" s="472"/>
      <c r="P151" s="472"/>
      <c r="Q151" s="472"/>
      <c r="R151" s="472"/>
      <c r="S151" s="472"/>
      <c r="T151" s="472"/>
      <c r="U151" s="472"/>
      <c r="V151" s="472"/>
      <c r="W151" s="472"/>
      <c r="X151" s="472"/>
      <c r="Y151" s="472"/>
      <c r="Z151" s="472">
        <v>98</v>
      </c>
      <c r="AA151" s="472"/>
      <c r="AB151" s="472"/>
      <c r="AC151" s="472"/>
      <c r="AD151" s="472"/>
      <c r="AE151" s="472"/>
      <c r="AF151" s="486"/>
      <c r="AG151" s="486"/>
      <c r="AH151" s="472"/>
      <c r="AI151" s="472"/>
      <c r="AJ151" s="472"/>
      <c r="AK151" s="472"/>
      <c r="AL151" s="472"/>
      <c r="AM151" s="472"/>
      <c r="AN151" s="472"/>
      <c r="AO151" s="472"/>
      <c r="AP151" s="472"/>
      <c r="AQ151" s="472"/>
      <c r="AR151" s="491" t="s">
        <v>3936</v>
      </c>
      <c r="AS151" s="479"/>
    </row>
    <row r="152" s="26" customFormat="1" ht="19" customHeight="1" spans="1:46">
      <c r="A152" s="475"/>
      <c r="B152" s="475">
        <v>45456</v>
      </c>
      <c r="C152" s="476"/>
      <c r="D152" s="477"/>
      <c r="E152" s="472"/>
      <c r="F152" s="472"/>
      <c r="G152" s="472"/>
      <c r="H152" s="472"/>
      <c r="I152" s="472"/>
      <c r="J152" s="472"/>
      <c r="K152" s="472"/>
      <c r="L152" s="472"/>
      <c r="M152" s="472"/>
      <c r="N152" s="472"/>
      <c r="O152" s="472"/>
      <c r="P152" s="472"/>
      <c r="Q152" s="472"/>
      <c r="R152" s="472"/>
      <c r="S152" s="472"/>
      <c r="T152" s="472"/>
      <c r="U152" s="472"/>
      <c r="V152" s="472"/>
      <c r="W152" s="472"/>
      <c r="X152" s="472"/>
      <c r="Y152" s="472"/>
      <c r="Z152" s="472">
        <v>850</v>
      </c>
      <c r="AA152" s="472"/>
      <c r="AB152" s="472"/>
      <c r="AC152" s="472"/>
      <c r="AD152" s="472"/>
      <c r="AE152" s="472"/>
      <c r="AF152" s="486"/>
      <c r="AG152" s="486"/>
      <c r="AH152" s="472"/>
      <c r="AI152" s="472"/>
      <c r="AJ152" s="472"/>
      <c r="AK152" s="472"/>
      <c r="AL152" s="472"/>
      <c r="AM152" s="472"/>
      <c r="AN152" s="472"/>
      <c r="AO152" s="472"/>
      <c r="AP152" s="472"/>
      <c r="AQ152" s="472"/>
      <c r="AR152" s="1301" t="s">
        <v>3937</v>
      </c>
      <c r="AS152" s="479">
        <f>Z152-231-19-600</f>
        <v>0</v>
      </c>
      <c r="AT152" s="26" t="s">
        <v>3938</v>
      </c>
    </row>
    <row r="153" s="26" customFormat="1" ht="19" customHeight="1" spans="1:46">
      <c r="A153" s="475"/>
      <c r="B153" s="475">
        <v>45458</v>
      </c>
      <c r="C153" s="476"/>
      <c r="D153" s="477"/>
      <c r="E153" s="472"/>
      <c r="F153" s="472"/>
      <c r="G153" s="472"/>
      <c r="H153" s="472"/>
      <c r="I153" s="472"/>
      <c r="J153" s="472"/>
      <c r="K153" s="472"/>
      <c r="L153" s="472"/>
      <c r="M153" s="472"/>
      <c r="N153" s="472"/>
      <c r="O153" s="472"/>
      <c r="P153" s="472"/>
      <c r="Q153" s="472"/>
      <c r="R153" s="472"/>
      <c r="S153" s="472"/>
      <c r="T153" s="472"/>
      <c r="U153" s="472"/>
      <c r="V153" s="472"/>
      <c r="W153" s="472"/>
      <c r="X153" s="472"/>
      <c r="Y153" s="472"/>
      <c r="Z153" s="472"/>
      <c r="AA153" s="472"/>
      <c r="AB153" s="472"/>
      <c r="AC153" s="472"/>
      <c r="AD153" s="472"/>
      <c r="AE153" s="472"/>
      <c r="AF153" s="486"/>
      <c r="AG153" s="486"/>
      <c r="AH153" s="472"/>
      <c r="AI153" s="472">
        <v>1536</v>
      </c>
      <c r="AJ153" s="472"/>
      <c r="AK153" s="472"/>
      <c r="AL153" s="472"/>
      <c r="AM153" s="472"/>
      <c r="AN153" s="472"/>
      <c r="AO153" s="472"/>
      <c r="AP153" s="472"/>
      <c r="AQ153" s="472"/>
      <c r="AR153" s="486">
        <v>4500133987</v>
      </c>
      <c r="AS153" s="479"/>
      <c r="AT153" s="26" t="s">
        <v>3938</v>
      </c>
    </row>
    <row r="154" s="26" customFormat="1" ht="19" customHeight="1" spans="1:46">
      <c r="A154" s="475"/>
      <c r="B154" s="475"/>
      <c r="C154" s="476" t="s">
        <v>3939</v>
      </c>
      <c r="D154" s="477"/>
      <c r="E154" s="472"/>
      <c r="F154" s="472"/>
      <c r="G154" s="472"/>
      <c r="H154" s="472">
        <v>150000</v>
      </c>
      <c r="I154" s="472"/>
      <c r="J154" s="472"/>
      <c r="K154" s="472"/>
      <c r="L154" s="472"/>
      <c r="M154" s="472"/>
      <c r="N154" s="472"/>
      <c r="O154" s="472"/>
      <c r="P154" s="472"/>
      <c r="Q154" s="472"/>
      <c r="R154" s="472"/>
      <c r="S154" s="472"/>
      <c r="T154" s="472"/>
      <c r="U154" s="472"/>
      <c r="V154" s="472"/>
      <c r="W154" s="472"/>
      <c r="X154" s="472"/>
      <c r="Y154" s="472"/>
      <c r="Z154" s="472"/>
      <c r="AA154" s="472"/>
      <c r="AB154" s="472"/>
      <c r="AC154" s="472"/>
      <c r="AD154" s="472"/>
      <c r="AE154" s="472"/>
      <c r="AF154" s="486"/>
      <c r="AG154" s="486"/>
      <c r="AH154" s="472"/>
      <c r="AI154" s="472"/>
      <c r="AJ154" s="472"/>
      <c r="AK154" s="472"/>
      <c r="AL154" s="472"/>
      <c r="AM154" s="472"/>
      <c r="AN154" s="472"/>
      <c r="AO154" s="472"/>
      <c r="AP154" s="472"/>
      <c r="AQ154" s="472"/>
      <c r="AR154" s="486"/>
      <c r="AS154" s="479"/>
    </row>
    <row r="155" s="26" customFormat="1" ht="19" customHeight="1" spans="1:46">
      <c r="A155" s="475"/>
      <c r="B155" s="475"/>
      <c r="C155" s="476" t="s">
        <v>3940</v>
      </c>
      <c r="D155" s="477"/>
      <c r="E155" s="472"/>
      <c r="F155" s="472"/>
      <c r="G155" s="472"/>
      <c r="H155" s="472"/>
      <c r="I155" s="472"/>
      <c r="J155" s="472"/>
      <c r="K155" s="472">
        <v>30000</v>
      </c>
      <c r="L155" s="472"/>
      <c r="M155" s="472"/>
      <c r="N155" s="472"/>
      <c r="O155" s="472"/>
      <c r="P155" s="472"/>
      <c r="Q155" s="472"/>
      <c r="R155" s="472"/>
      <c r="S155" s="472"/>
      <c r="T155" s="472"/>
      <c r="U155" s="472"/>
      <c r="V155" s="472"/>
      <c r="W155" s="472"/>
      <c r="X155" s="472"/>
      <c r="Y155" s="472"/>
      <c r="Z155" s="472"/>
      <c r="AA155" s="472"/>
      <c r="AB155" s="472"/>
      <c r="AC155" s="472"/>
      <c r="AD155" s="472"/>
      <c r="AE155" s="472"/>
      <c r="AF155" s="486"/>
      <c r="AG155" s="486"/>
      <c r="AH155" s="472"/>
      <c r="AI155" s="472"/>
      <c r="AJ155" s="472"/>
      <c r="AK155" s="472"/>
      <c r="AL155" s="472"/>
      <c r="AM155" s="472"/>
      <c r="AN155" s="472"/>
      <c r="AO155" s="472"/>
      <c r="AP155" s="472"/>
      <c r="AQ155" s="472"/>
      <c r="AR155" s="486"/>
      <c r="AS155" s="479"/>
    </row>
    <row r="156" s="26" customFormat="1" ht="19" customHeight="1" spans="1:46">
      <c r="A156" s="475"/>
      <c r="B156" s="475"/>
      <c r="C156" s="476" t="s">
        <v>3941</v>
      </c>
      <c r="D156" s="477"/>
      <c r="E156" s="472"/>
      <c r="F156" s="472"/>
      <c r="G156" s="472"/>
      <c r="H156" s="472"/>
      <c r="I156" s="472"/>
      <c r="J156" s="472"/>
      <c r="K156" s="472"/>
      <c r="L156" s="472"/>
      <c r="M156" s="472"/>
      <c r="N156" s="472"/>
      <c r="O156" s="472">
        <v>150000</v>
      </c>
      <c r="P156" s="472"/>
      <c r="Q156" s="472"/>
      <c r="R156" s="472"/>
      <c r="S156" s="472"/>
      <c r="T156" s="472"/>
      <c r="U156" s="472"/>
      <c r="V156" s="472"/>
      <c r="W156" s="472"/>
      <c r="X156" s="472"/>
      <c r="Y156" s="472"/>
      <c r="Z156" s="472"/>
      <c r="AA156" s="472"/>
      <c r="AB156" s="472"/>
      <c r="AC156" s="472"/>
      <c r="AD156" s="472"/>
      <c r="AE156" s="472"/>
      <c r="AF156" s="486"/>
      <c r="AG156" s="486"/>
      <c r="AH156" s="472"/>
      <c r="AI156" s="472"/>
      <c r="AJ156" s="472"/>
      <c r="AK156" s="472"/>
      <c r="AL156" s="472"/>
      <c r="AM156" s="472"/>
      <c r="AN156" s="472"/>
      <c r="AO156" s="472"/>
      <c r="AP156" s="472"/>
      <c r="AQ156" s="472"/>
      <c r="AR156" s="486"/>
      <c r="AS156" s="479"/>
    </row>
    <row r="157" s="26" customFormat="1" ht="19" customHeight="1" spans="1:46">
      <c r="A157" s="475"/>
      <c r="B157" s="475"/>
      <c r="C157" s="476" t="s">
        <v>3942</v>
      </c>
      <c r="D157" s="477"/>
      <c r="E157" s="472"/>
      <c r="F157" s="472"/>
      <c r="G157" s="472"/>
      <c r="H157" s="472"/>
      <c r="I157" s="472"/>
      <c r="J157" s="472"/>
      <c r="K157" s="472"/>
      <c r="L157" s="472"/>
      <c r="M157" s="472"/>
      <c r="N157" s="472"/>
      <c r="O157" s="472"/>
      <c r="P157" s="472"/>
      <c r="Q157" s="472"/>
      <c r="R157" s="472"/>
      <c r="S157" s="472">
        <v>5000</v>
      </c>
      <c r="T157" s="472"/>
      <c r="U157" s="472"/>
      <c r="V157" s="472"/>
      <c r="W157" s="472"/>
      <c r="X157" s="472"/>
      <c r="Y157" s="472"/>
      <c r="Z157" s="472"/>
      <c r="AA157" s="472"/>
      <c r="AB157" s="472"/>
      <c r="AC157" s="472"/>
      <c r="AD157" s="472"/>
      <c r="AE157" s="472"/>
      <c r="AF157" s="486"/>
      <c r="AG157" s="486"/>
      <c r="AH157" s="472"/>
      <c r="AI157" s="472"/>
      <c r="AJ157" s="472"/>
      <c r="AK157" s="472"/>
      <c r="AL157" s="472"/>
      <c r="AM157" s="472"/>
      <c r="AN157" s="472"/>
      <c r="AO157" s="472"/>
      <c r="AP157" s="472"/>
      <c r="AQ157" s="472"/>
      <c r="AR157" s="486"/>
      <c r="AS157" s="479"/>
    </row>
    <row r="158" s="26" customFormat="1" ht="19" customHeight="1" spans="1:46">
      <c r="A158" s="475"/>
      <c r="B158" s="475"/>
      <c r="C158" s="476" t="s">
        <v>3943</v>
      </c>
      <c r="D158" s="477"/>
      <c r="E158" s="472"/>
      <c r="F158" s="472"/>
      <c r="G158" s="472"/>
      <c r="H158" s="472"/>
      <c r="I158" s="472"/>
      <c r="J158" s="472"/>
      <c r="K158" s="472"/>
      <c r="L158" s="472"/>
      <c r="M158" s="472"/>
      <c r="N158" s="472"/>
      <c r="O158" s="472"/>
      <c r="P158" s="472"/>
      <c r="Q158" s="472"/>
      <c r="R158" s="472"/>
      <c r="S158" s="472"/>
      <c r="T158" s="472"/>
      <c r="U158" s="472"/>
      <c r="V158" s="472">
        <v>2000</v>
      </c>
      <c r="W158" s="472"/>
      <c r="X158" s="472"/>
      <c r="Y158" s="472"/>
      <c r="Z158" s="472"/>
      <c r="AA158" s="472"/>
      <c r="AB158" s="472"/>
      <c r="AC158" s="472"/>
      <c r="AD158" s="472"/>
      <c r="AE158" s="472"/>
      <c r="AF158" s="486"/>
      <c r="AG158" s="486"/>
      <c r="AH158" s="472"/>
      <c r="AI158" s="472"/>
      <c r="AJ158" s="472"/>
      <c r="AK158" s="472"/>
      <c r="AL158" s="472"/>
      <c r="AM158" s="472"/>
      <c r="AN158" s="472"/>
      <c r="AO158" s="472"/>
      <c r="AP158" s="472"/>
      <c r="AQ158" s="472"/>
      <c r="AR158" s="486"/>
      <c r="AS158" s="479"/>
    </row>
    <row r="159" s="26" customFormat="1" ht="19" customHeight="1" spans="1:46">
      <c r="A159" s="475"/>
      <c r="B159" s="475"/>
      <c r="C159" s="476">
        <v>1000021673</v>
      </c>
      <c r="D159" s="477"/>
      <c r="E159" s="472"/>
      <c r="F159" s="472"/>
      <c r="G159" s="472"/>
      <c r="H159" s="472"/>
      <c r="I159" s="472"/>
      <c r="J159" s="472"/>
      <c r="K159" s="472"/>
      <c r="L159" s="472"/>
      <c r="M159" s="472"/>
      <c r="N159" s="472"/>
      <c r="O159" s="472"/>
      <c r="P159" s="472"/>
      <c r="Q159" s="472">
        <v>3000</v>
      </c>
      <c r="R159" s="472"/>
      <c r="S159" s="472"/>
      <c r="T159" s="472"/>
      <c r="U159" s="472"/>
      <c r="V159" s="472"/>
      <c r="W159" s="472"/>
      <c r="X159" s="472"/>
      <c r="Y159" s="472"/>
      <c r="Z159" s="472"/>
      <c r="AA159" s="472"/>
      <c r="AB159" s="472"/>
      <c r="AC159" s="472"/>
      <c r="AD159" s="472"/>
      <c r="AE159" s="472"/>
      <c r="AF159" s="486"/>
      <c r="AG159" s="486"/>
      <c r="AH159" s="472"/>
      <c r="AI159" s="472"/>
      <c r="AJ159" s="472"/>
      <c r="AK159" s="472"/>
      <c r="AL159" s="472"/>
      <c r="AM159" s="472"/>
      <c r="AN159" s="472"/>
      <c r="AO159" s="472"/>
      <c r="AP159" s="472"/>
      <c r="AQ159" s="472"/>
      <c r="AR159" s="486" t="s">
        <v>3944</v>
      </c>
      <c r="AS159" s="479">
        <f>Q159-792-410-616</f>
        <v>1182</v>
      </c>
    </row>
    <row r="160" s="26" customFormat="1" ht="19" customHeight="1" spans="1:46">
      <c r="A160" s="475"/>
      <c r="B160" s="475">
        <v>45491</v>
      </c>
      <c r="C160" s="476">
        <v>1000021983</v>
      </c>
      <c r="D160" s="477"/>
      <c r="E160" s="472"/>
      <c r="F160" s="472"/>
      <c r="G160" s="472"/>
      <c r="H160" s="472"/>
      <c r="I160" s="472"/>
      <c r="J160" s="472"/>
      <c r="K160" s="472"/>
      <c r="L160" s="472"/>
      <c r="M160" s="472"/>
      <c r="N160" s="472"/>
      <c r="O160" s="472"/>
      <c r="P160" s="472"/>
      <c r="Q160" s="472"/>
      <c r="R160" s="472"/>
      <c r="S160" s="472"/>
      <c r="T160" s="472"/>
      <c r="U160" s="472"/>
      <c r="V160" s="472"/>
      <c r="W160" s="472"/>
      <c r="X160" s="472"/>
      <c r="Y160" s="472"/>
      <c r="Z160" s="472"/>
      <c r="AA160" s="472"/>
      <c r="AB160" s="472"/>
      <c r="AC160" s="472"/>
      <c r="AD160" s="472"/>
      <c r="AE160" s="472"/>
      <c r="AF160" s="486"/>
      <c r="AG160" s="486"/>
      <c r="AH160" s="472">
        <v>13932</v>
      </c>
      <c r="AI160" s="472"/>
      <c r="AJ160" s="472"/>
      <c r="AK160" s="472"/>
      <c r="AL160" s="472"/>
      <c r="AM160" s="472"/>
      <c r="AN160" s="472"/>
      <c r="AO160" s="472"/>
      <c r="AP160" s="472"/>
      <c r="AQ160" s="472"/>
      <c r="AR160" s="486" t="s">
        <v>3945</v>
      </c>
      <c r="AS160" s="479"/>
    </row>
    <row r="161" s="26" customFormat="1" ht="19" customHeight="1" spans="1:45">
      <c r="A161" s="475"/>
      <c r="B161" s="475">
        <v>45517</v>
      </c>
      <c r="C161" s="476"/>
      <c r="D161" s="477"/>
      <c r="E161" s="472"/>
      <c r="F161" s="472"/>
      <c r="G161" s="472"/>
      <c r="H161" s="472"/>
      <c r="I161" s="472"/>
      <c r="J161" s="472"/>
      <c r="K161" s="472"/>
      <c r="L161" s="472"/>
      <c r="M161" s="472"/>
      <c r="N161" s="472"/>
      <c r="O161" s="472"/>
      <c r="P161" s="472"/>
      <c r="Q161" s="472"/>
      <c r="R161" s="472"/>
      <c r="S161" s="472"/>
      <c r="T161" s="472"/>
      <c r="U161" s="472"/>
      <c r="V161" s="472"/>
      <c r="W161" s="472"/>
      <c r="X161" s="472"/>
      <c r="Y161" s="472"/>
      <c r="Z161" s="472">
        <v>600</v>
      </c>
      <c r="AA161" s="472"/>
      <c r="AB161" s="472"/>
      <c r="AC161" s="472"/>
      <c r="AD161" s="472"/>
      <c r="AE161" s="472"/>
      <c r="AF161" s="486"/>
      <c r="AG161" s="486"/>
      <c r="AH161" s="472"/>
      <c r="AI161" s="472"/>
      <c r="AJ161" s="472"/>
      <c r="AK161" s="472"/>
      <c r="AL161" s="472"/>
      <c r="AM161" s="472"/>
      <c r="AN161" s="472"/>
      <c r="AO161" s="472"/>
      <c r="AP161" s="472"/>
      <c r="AQ161" s="472"/>
      <c r="AR161" s="486" t="s">
        <v>3946</v>
      </c>
      <c r="AS161" s="479"/>
    </row>
    <row r="162" s="26" customFormat="1" ht="19" customHeight="1" spans="1:45">
      <c r="A162" s="475"/>
      <c r="B162" s="475">
        <v>45517</v>
      </c>
      <c r="C162" s="476">
        <v>1000022478</v>
      </c>
      <c r="D162" s="477"/>
      <c r="E162" s="472"/>
      <c r="F162" s="472"/>
      <c r="G162" s="472"/>
      <c r="H162" s="472">
        <v>50000</v>
      </c>
      <c r="I162" s="472"/>
      <c r="J162" s="472"/>
      <c r="K162" s="472"/>
      <c r="L162" s="472"/>
      <c r="M162" s="472"/>
      <c r="N162" s="472"/>
      <c r="O162" s="472"/>
      <c r="P162" s="472"/>
      <c r="Q162" s="472"/>
      <c r="R162" s="472"/>
      <c r="S162" s="472"/>
      <c r="T162" s="472"/>
      <c r="U162" s="472"/>
      <c r="V162" s="472"/>
      <c r="W162" s="472"/>
      <c r="X162" s="472"/>
      <c r="Y162" s="472"/>
      <c r="Z162" s="472"/>
      <c r="AA162" s="472"/>
      <c r="AB162" s="472"/>
      <c r="AC162" s="472"/>
      <c r="AD162" s="472"/>
      <c r="AE162" s="472"/>
      <c r="AF162" s="486"/>
      <c r="AG162" s="486"/>
      <c r="AH162" s="472"/>
      <c r="AI162" s="472"/>
      <c r="AJ162" s="472"/>
      <c r="AK162" s="472"/>
      <c r="AL162" s="472"/>
      <c r="AM162" s="472"/>
      <c r="AN162" s="472"/>
      <c r="AO162" s="472"/>
      <c r="AP162" s="472"/>
      <c r="AQ162" s="472"/>
      <c r="AR162" s="486"/>
      <c r="AS162" s="479"/>
    </row>
    <row r="163" s="26" customFormat="1" ht="19" customHeight="1" spans="1:45">
      <c r="A163" s="475"/>
      <c r="B163" s="475">
        <v>45517</v>
      </c>
      <c r="C163" s="476">
        <v>1000022479</v>
      </c>
      <c r="D163" s="477"/>
      <c r="E163" s="472"/>
      <c r="F163" s="472"/>
      <c r="G163" s="472"/>
      <c r="H163" s="472"/>
      <c r="I163" s="472"/>
      <c r="J163" s="472"/>
      <c r="K163" s="472">
        <v>30000</v>
      </c>
      <c r="L163" s="472"/>
      <c r="M163" s="472"/>
      <c r="N163" s="472"/>
      <c r="O163" s="472"/>
      <c r="P163" s="472"/>
      <c r="Q163" s="472"/>
      <c r="R163" s="472"/>
      <c r="S163" s="472"/>
      <c r="T163" s="472"/>
      <c r="U163" s="472"/>
      <c r="V163" s="472"/>
      <c r="W163" s="472"/>
      <c r="X163" s="472"/>
      <c r="Y163" s="472"/>
      <c r="Z163" s="472"/>
      <c r="AA163" s="472"/>
      <c r="AB163" s="472"/>
      <c r="AC163" s="472"/>
      <c r="AD163" s="472"/>
      <c r="AE163" s="472"/>
      <c r="AF163" s="486"/>
      <c r="AG163" s="486"/>
      <c r="AH163" s="472"/>
      <c r="AI163" s="472"/>
      <c r="AJ163" s="472"/>
      <c r="AK163" s="472"/>
      <c r="AL163" s="472"/>
      <c r="AM163" s="472"/>
      <c r="AN163" s="472"/>
      <c r="AO163" s="472"/>
      <c r="AP163" s="472"/>
      <c r="AQ163" s="472"/>
      <c r="AR163" s="486"/>
      <c r="AS163" s="479"/>
    </row>
    <row r="164" s="26" customFormat="1" ht="19" customHeight="1" spans="1:45">
      <c r="A164" s="475"/>
      <c r="B164" s="475">
        <v>45517</v>
      </c>
      <c r="C164" s="476">
        <v>1000022480</v>
      </c>
      <c r="D164" s="477"/>
      <c r="E164" s="472"/>
      <c r="F164" s="472"/>
      <c r="G164" s="472"/>
      <c r="H164" s="472"/>
      <c r="I164" s="472"/>
      <c r="J164" s="472"/>
      <c r="K164" s="472"/>
      <c r="L164" s="472"/>
      <c r="M164" s="472"/>
      <c r="N164" s="472"/>
      <c r="O164" s="472">
        <v>100000</v>
      </c>
      <c r="P164" s="472"/>
      <c r="Q164" s="472"/>
      <c r="R164" s="472"/>
      <c r="S164" s="472"/>
      <c r="T164" s="472"/>
      <c r="U164" s="472"/>
      <c r="V164" s="472"/>
      <c r="W164" s="472"/>
      <c r="X164" s="472"/>
      <c r="Y164" s="472"/>
      <c r="Z164" s="472"/>
      <c r="AA164" s="472"/>
      <c r="AB164" s="472"/>
      <c r="AC164" s="472"/>
      <c r="AD164" s="472"/>
      <c r="AE164" s="472"/>
      <c r="AF164" s="486"/>
      <c r="AG164" s="486"/>
      <c r="AH164" s="472"/>
      <c r="AI164" s="472"/>
      <c r="AJ164" s="472"/>
      <c r="AK164" s="472"/>
      <c r="AL164" s="472"/>
      <c r="AM164" s="472"/>
      <c r="AN164" s="472"/>
      <c r="AO164" s="472"/>
      <c r="AP164" s="472"/>
      <c r="AQ164" s="472"/>
      <c r="AR164" s="486"/>
      <c r="AS164" s="479"/>
    </row>
    <row r="165" s="26" customFormat="1" ht="19" customHeight="1" spans="1:45">
      <c r="A165" s="475"/>
      <c r="B165" s="475">
        <v>45517</v>
      </c>
      <c r="C165" s="476">
        <v>1000022481</v>
      </c>
      <c r="D165" s="477"/>
      <c r="E165" s="472"/>
      <c r="F165" s="472"/>
      <c r="G165" s="472"/>
      <c r="H165" s="472"/>
      <c r="I165" s="472"/>
      <c r="J165" s="472"/>
      <c r="K165" s="472"/>
      <c r="L165" s="472"/>
      <c r="M165" s="472"/>
      <c r="N165" s="472"/>
      <c r="O165" s="472"/>
      <c r="P165" s="472"/>
      <c r="Q165" s="472"/>
      <c r="R165" s="472"/>
      <c r="S165" s="472">
        <v>5000</v>
      </c>
      <c r="T165" s="472"/>
      <c r="U165" s="472"/>
      <c r="V165" s="472"/>
      <c r="W165" s="472"/>
      <c r="X165" s="472"/>
      <c r="Y165" s="472"/>
      <c r="Z165" s="472"/>
      <c r="AA165" s="472"/>
      <c r="AB165" s="472"/>
      <c r="AC165" s="472"/>
      <c r="AD165" s="472"/>
      <c r="AE165" s="472"/>
      <c r="AF165" s="486"/>
      <c r="AG165" s="486"/>
      <c r="AH165" s="472"/>
      <c r="AI165" s="472"/>
      <c r="AJ165" s="472"/>
      <c r="AK165" s="472"/>
      <c r="AL165" s="472"/>
      <c r="AM165" s="472"/>
      <c r="AN165" s="472"/>
      <c r="AO165" s="472"/>
      <c r="AP165" s="472"/>
      <c r="AQ165" s="472"/>
      <c r="AR165" s="486"/>
      <c r="AS165" s="479"/>
    </row>
    <row r="166" s="26" customFormat="1" ht="19" customHeight="1" spans="1:45">
      <c r="A166" s="475"/>
      <c r="B166" s="475">
        <v>45526</v>
      </c>
      <c r="C166" s="476"/>
      <c r="D166" s="477"/>
      <c r="E166" s="472"/>
      <c r="F166" s="472"/>
      <c r="G166" s="472"/>
      <c r="H166" s="472"/>
      <c r="I166" s="472"/>
      <c r="J166" s="472"/>
      <c r="K166" s="472"/>
      <c r="L166" s="472"/>
      <c r="M166" s="472"/>
      <c r="N166" s="472"/>
      <c r="O166" s="472"/>
      <c r="P166" s="472"/>
      <c r="Q166" s="472"/>
      <c r="R166" s="472"/>
      <c r="S166" s="472"/>
      <c r="T166" s="472"/>
      <c r="U166" s="472"/>
      <c r="V166" s="472"/>
      <c r="W166" s="472"/>
      <c r="X166" s="472"/>
      <c r="Y166" s="472"/>
      <c r="Z166" s="472"/>
      <c r="AA166" s="472"/>
      <c r="AB166" s="472"/>
      <c r="AC166" s="472"/>
      <c r="AD166" s="472"/>
      <c r="AE166" s="472"/>
      <c r="AF166" s="486">
        <v>1667</v>
      </c>
      <c r="AG166" s="486"/>
      <c r="AH166" s="472"/>
      <c r="AI166" s="472"/>
      <c r="AJ166" s="472"/>
      <c r="AK166" s="472"/>
      <c r="AL166" s="472"/>
      <c r="AM166" s="472"/>
      <c r="AN166" s="472"/>
      <c r="AO166" s="472"/>
      <c r="AP166" s="472"/>
      <c r="AQ166" s="472"/>
      <c r="AR166" s="486">
        <v>4500142744</v>
      </c>
      <c r="AS166" s="479"/>
    </row>
    <row r="167" s="26" customFormat="1" ht="19" customHeight="1" spans="1:45">
      <c r="A167" s="475"/>
      <c r="B167" s="475">
        <v>45544</v>
      </c>
      <c r="C167" s="476">
        <v>1000023039</v>
      </c>
      <c r="D167" s="477"/>
      <c r="E167" s="472"/>
      <c r="F167" s="472"/>
      <c r="G167" s="472"/>
      <c r="H167" s="472"/>
      <c r="I167" s="472"/>
      <c r="J167" s="472"/>
      <c r="K167" s="472"/>
      <c r="L167" s="472"/>
      <c r="M167" s="472"/>
      <c r="N167" s="472"/>
      <c r="O167" s="472"/>
      <c r="P167" s="472"/>
      <c r="Q167" s="472"/>
      <c r="R167" s="472"/>
      <c r="S167" s="472"/>
      <c r="T167" s="472"/>
      <c r="U167" s="472"/>
      <c r="V167" s="472">
        <v>2000</v>
      </c>
      <c r="W167" s="472"/>
      <c r="X167" s="472"/>
      <c r="Y167" s="472"/>
      <c r="Z167" s="472"/>
      <c r="AA167" s="472"/>
      <c r="AB167" s="472"/>
      <c r="AC167" s="472"/>
      <c r="AD167" s="472"/>
      <c r="AE167" s="472"/>
      <c r="AF167" s="486"/>
      <c r="AG167" s="486"/>
      <c r="AH167" s="472"/>
      <c r="AI167" s="472"/>
      <c r="AJ167" s="472"/>
      <c r="AK167" s="472"/>
      <c r="AL167" s="472"/>
      <c r="AM167" s="472"/>
      <c r="AN167" s="472"/>
      <c r="AO167" s="472"/>
      <c r="AP167" s="472"/>
      <c r="AQ167" s="472"/>
      <c r="AR167" s="486"/>
      <c r="AS167" s="479"/>
    </row>
    <row r="168" s="26" customFormat="1" ht="19" customHeight="1" spans="1:45">
      <c r="A168" s="475"/>
      <c r="B168" s="475">
        <v>45544</v>
      </c>
      <c r="C168" s="476"/>
      <c r="D168" s="477"/>
      <c r="E168" s="472"/>
      <c r="F168" s="472"/>
      <c r="G168" s="472"/>
      <c r="H168" s="472"/>
      <c r="I168" s="472"/>
      <c r="J168" s="472"/>
      <c r="K168" s="472"/>
      <c r="L168" s="472"/>
      <c r="M168" s="472"/>
      <c r="N168" s="472"/>
      <c r="O168" s="472"/>
      <c r="P168" s="472"/>
      <c r="Q168" s="472"/>
      <c r="R168" s="472"/>
      <c r="S168" s="472"/>
      <c r="T168" s="472"/>
      <c r="U168" s="472"/>
      <c r="V168" s="472"/>
      <c r="W168" s="472"/>
      <c r="X168" s="472"/>
      <c r="Y168" s="472"/>
      <c r="Z168" s="472">
        <v>463</v>
      </c>
      <c r="AA168" s="472"/>
      <c r="AB168" s="472"/>
      <c r="AC168" s="472"/>
      <c r="AD168" s="472"/>
      <c r="AE168" s="472"/>
      <c r="AF168" s="486"/>
      <c r="AG168" s="486"/>
      <c r="AH168" s="472"/>
      <c r="AI168" s="472"/>
      <c r="AJ168" s="472"/>
      <c r="AK168" s="472"/>
      <c r="AL168" s="472"/>
      <c r="AM168" s="472"/>
      <c r="AN168" s="472"/>
      <c r="AO168" s="472"/>
      <c r="AP168" s="472"/>
      <c r="AQ168" s="472"/>
      <c r="AR168" s="486">
        <v>4500144440</v>
      </c>
      <c r="AS168" s="479"/>
    </row>
    <row r="169" s="26" customFormat="1" ht="19" customHeight="1" spans="1:45">
      <c r="A169" s="475"/>
      <c r="B169" s="475">
        <v>45544</v>
      </c>
      <c r="C169" s="476"/>
      <c r="D169" s="477"/>
      <c r="E169" s="472"/>
      <c r="F169" s="472"/>
      <c r="G169" s="472"/>
      <c r="H169" s="472"/>
      <c r="I169" s="472"/>
      <c r="J169" s="472"/>
      <c r="K169" s="472"/>
      <c r="L169" s="472"/>
      <c r="M169" s="472"/>
      <c r="N169" s="472"/>
      <c r="O169" s="472"/>
      <c r="P169" s="472"/>
      <c r="Q169" s="472"/>
      <c r="R169" s="472"/>
      <c r="S169" s="472"/>
      <c r="T169" s="472"/>
      <c r="U169" s="472"/>
      <c r="V169" s="472"/>
      <c r="W169" s="472"/>
      <c r="X169" s="472"/>
      <c r="Y169" s="472"/>
      <c r="Z169" s="472">
        <v>500</v>
      </c>
      <c r="AA169" s="472"/>
      <c r="AB169" s="472"/>
      <c r="AC169" s="472"/>
      <c r="AD169" s="472"/>
      <c r="AE169" s="472"/>
      <c r="AF169" s="486"/>
      <c r="AG169" s="486"/>
      <c r="AH169" s="472"/>
      <c r="AI169" s="472"/>
      <c r="AJ169" s="472"/>
      <c r="AK169" s="472"/>
      <c r="AL169" s="472"/>
      <c r="AM169" s="472"/>
      <c r="AN169" s="472"/>
      <c r="AO169" s="472"/>
      <c r="AP169" s="472"/>
      <c r="AQ169" s="472"/>
      <c r="AR169" s="486" t="s">
        <v>3947</v>
      </c>
      <c r="AS169" s="479"/>
    </row>
    <row r="170" s="26" customFormat="1" ht="19" customHeight="1" spans="1:45">
      <c r="A170" s="475"/>
      <c r="B170" s="475">
        <v>45565</v>
      </c>
      <c r="C170" s="476"/>
      <c r="D170" s="477"/>
      <c r="E170" s="472"/>
      <c r="F170" s="472"/>
      <c r="G170" s="472"/>
      <c r="H170" s="472"/>
      <c r="I170" s="472"/>
      <c r="J170" s="472"/>
      <c r="K170" s="472"/>
      <c r="L170" s="472"/>
      <c r="M170" s="472"/>
      <c r="N170" s="472"/>
      <c r="O170" s="472"/>
      <c r="P170" s="472"/>
      <c r="Q170" s="472"/>
      <c r="R170" s="472"/>
      <c r="S170" s="472"/>
      <c r="T170" s="472"/>
      <c r="U170" s="472"/>
      <c r="V170" s="472"/>
      <c r="W170" s="472"/>
      <c r="X170" s="472"/>
      <c r="Y170" s="472"/>
      <c r="Z170" s="472">
        <v>750</v>
      </c>
      <c r="AA170" s="472"/>
      <c r="AB170" s="472"/>
      <c r="AC170" s="472"/>
      <c r="AD170" s="472"/>
      <c r="AE170" s="472"/>
      <c r="AF170" s="486"/>
      <c r="AG170" s="486"/>
      <c r="AH170" s="472"/>
      <c r="AI170" s="472"/>
      <c r="AJ170" s="472"/>
      <c r="AK170" s="472"/>
      <c r="AL170" s="472"/>
      <c r="AM170" s="472"/>
      <c r="AN170" s="472"/>
      <c r="AO170" s="472"/>
      <c r="AP170" s="472"/>
      <c r="AQ170" s="472"/>
      <c r="AR170" s="486" t="s">
        <v>3948</v>
      </c>
      <c r="AS170" s="479"/>
    </row>
    <row r="171" s="26" customFormat="1" ht="19" customHeight="1" spans="1:45">
      <c r="A171" s="475"/>
      <c r="B171" s="475">
        <v>45547</v>
      </c>
      <c r="C171" s="476">
        <v>1000023120</v>
      </c>
      <c r="D171" s="477"/>
      <c r="E171" s="472"/>
      <c r="F171" s="472"/>
      <c r="G171" s="472"/>
      <c r="H171" s="472"/>
      <c r="I171" s="472"/>
      <c r="J171" s="472"/>
      <c r="K171" s="472"/>
      <c r="L171" s="472"/>
      <c r="M171" s="472"/>
      <c r="N171" s="472"/>
      <c r="O171" s="472"/>
      <c r="P171" s="472"/>
      <c r="Q171" s="472"/>
      <c r="R171" s="472"/>
      <c r="S171" s="472"/>
      <c r="T171" s="472"/>
      <c r="U171" s="472"/>
      <c r="V171" s="472"/>
      <c r="W171" s="472"/>
      <c r="X171" s="472"/>
      <c r="Y171" s="472"/>
      <c r="Z171" s="472"/>
      <c r="AA171" s="472"/>
      <c r="AB171" s="472"/>
      <c r="AC171" s="472"/>
      <c r="AD171" s="472"/>
      <c r="AE171" s="472"/>
      <c r="AF171" s="486"/>
      <c r="AG171" s="486"/>
      <c r="AH171" s="472">
        <v>500</v>
      </c>
      <c r="AI171" s="472"/>
      <c r="AJ171" s="472"/>
      <c r="AK171" s="472"/>
      <c r="AL171" s="472"/>
      <c r="AM171" s="472"/>
      <c r="AN171" s="472"/>
      <c r="AO171" s="472"/>
      <c r="AP171" s="472"/>
      <c r="AQ171" s="472"/>
      <c r="AR171" s="486"/>
      <c r="AS171" s="479"/>
    </row>
    <row r="172" s="26" customFormat="1" ht="19" customHeight="1" spans="1:45">
      <c r="A172" s="475"/>
      <c r="B172" s="475">
        <v>45582</v>
      </c>
      <c r="C172" s="476">
        <v>1000023742</v>
      </c>
      <c r="D172" s="477"/>
      <c r="E172" s="472"/>
      <c r="F172" s="472"/>
      <c r="G172" s="472"/>
      <c r="H172" s="472"/>
      <c r="I172" s="472"/>
      <c r="J172" s="472"/>
      <c r="K172" s="472"/>
      <c r="L172" s="472"/>
      <c r="M172" s="472"/>
      <c r="N172" s="472"/>
      <c r="O172" s="472"/>
      <c r="P172" s="472"/>
      <c r="Q172" s="472"/>
      <c r="R172" s="472"/>
      <c r="S172" s="472">
        <v>2000</v>
      </c>
      <c r="T172" s="472"/>
      <c r="U172" s="472"/>
      <c r="V172" s="472"/>
      <c r="W172" s="472"/>
      <c r="X172" s="472"/>
      <c r="Y172" s="472"/>
      <c r="Z172" s="472"/>
      <c r="AA172" s="472"/>
      <c r="AB172" s="472"/>
      <c r="AC172" s="472"/>
      <c r="AD172" s="472"/>
      <c r="AE172" s="472"/>
      <c r="AF172" s="486"/>
      <c r="AG172" s="486"/>
      <c r="AH172" s="472"/>
      <c r="AI172" s="472"/>
      <c r="AJ172" s="472"/>
      <c r="AK172" s="472"/>
      <c r="AL172" s="472"/>
      <c r="AM172" s="472"/>
      <c r="AN172" s="472"/>
      <c r="AO172" s="472"/>
      <c r="AP172" s="472"/>
      <c r="AQ172" s="472"/>
      <c r="AR172" s="486"/>
      <c r="AS172" s="479"/>
    </row>
    <row r="173" s="26" customFormat="1" ht="19" customHeight="1" spans="1:45">
      <c r="A173" s="475"/>
      <c r="B173" s="475">
        <v>45582</v>
      </c>
      <c r="C173" s="476">
        <v>1000023744</v>
      </c>
      <c r="D173" s="477"/>
      <c r="E173" s="472"/>
      <c r="F173" s="472"/>
      <c r="G173" s="472"/>
      <c r="H173" s="472">
        <v>60000</v>
      </c>
      <c r="I173" s="472"/>
      <c r="J173" s="472"/>
      <c r="K173" s="472"/>
      <c r="L173" s="472"/>
      <c r="M173" s="472"/>
      <c r="N173" s="472"/>
      <c r="O173" s="472"/>
      <c r="P173" s="472"/>
      <c r="Q173" s="472"/>
      <c r="R173" s="472"/>
      <c r="S173" s="472"/>
      <c r="T173" s="472"/>
      <c r="U173" s="472"/>
      <c r="V173" s="472"/>
      <c r="W173" s="472"/>
      <c r="X173" s="472"/>
      <c r="Y173" s="472"/>
      <c r="Z173" s="472"/>
      <c r="AA173" s="472"/>
      <c r="AB173" s="472"/>
      <c r="AC173" s="472"/>
      <c r="AD173" s="472"/>
      <c r="AE173" s="472"/>
      <c r="AF173" s="486"/>
      <c r="AG173" s="486"/>
      <c r="AH173" s="472"/>
      <c r="AI173" s="472"/>
      <c r="AJ173" s="472"/>
      <c r="AK173" s="472"/>
      <c r="AL173" s="472"/>
      <c r="AM173" s="472"/>
      <c r="AN173" s="472"/>
      <c r="AO173" s="472"/>
      <c r="AP173" s="472"/>
      <c r="AQ173" s="472"/>
      <c r="AR173" s="486"/>
      <c r="AS173" s="479"/>
    </row>
    <row r="174" s="26" customFormat="1" ht="19" customHeight="1" spans="1:45">
      <c r="A174" s="475"/>
      <c r="B174" s="475">
        <v>45582</v>
      </c>
      <c r="C174" s="476">
        <v>1000023745</v>
      </c>
      <c r="D174" s="477"/>
      <c r="E174" s="472"/>
      <c r="F174" s="472"/>
      <c r="G174" s="472"/>
      <c r="H174" s="472"/>
      <c r="I174" s="472"/>
      <c r="J174" s="472"/>
      <c r="K174" s="472">
        <v>30000</v>
      </c>
      <c r="L174" s="472"/>
      <c r="M174" s="472"/>
      <c r="N174" s="472"/>
      <c r="O174" s="472"/>
      <c r="P174" s="472"/>
      <c r="Q174" s="472"/>
      <c r="R174" s="472"/>
      <c r="S174" s="472"/>
      <c r="T174" s="472"/>
      <c r="U174" s="472"/>
      <c r="V174" s="472"/>
      <c r="W174" s="472"/>
      <c r="X174" s="472"/>
      <c r="Y174" s="472"/>
      <c r="Z174" s="472"/>
      <c r="AA174" s="472"/>
      <c r="AB174" s="472"/>
      <c r="AC174" s="472"/>
      <c r="AD174" s="472"/>
      <c r="AE174" s="472"/>
      <c r="AF174" s="486"/>
      <c r="AG174" s="486"/>
      <c r="AH174" s="472"/>
      <c r="AI174" s="472"/>
      <c r="AJ174" s="472"/>
      <c r="AK174" s="472"/>
      <c r="AL174" s="472"/>
      <c r="AM174" s="472"/>
      <c r="AN174" s="472"/>
      <c r="AO174" s="472"/>
      <c r="AP174" s="472"/>
      <c r="AQ174" s="472"/>
      <c r="AR174" s="486"/>
      <c r="AS174" s="479"/>
    </row>
    <row r="175" s="26" customFormat="1" ht="19" customHeight="1" spans="1:45">
      <c r="A175" s="475"/>
      <c r="B175" s="475">
        <v>45582</v>
      </c>
      <c r="C175" s="476">
        <v>1000023746</v>
      </c>
      <c r="D175" s="477"/>
      <c r="E175" s="472"/>
      <c r="F175" s="472"/>
      <c r="G175" s="472"/>
      <c r="H175" s="472"/>
      <c r="I175" s="472"/>
      <c r="J175" s="472"/>
      <c r="K175" s="472"/>
      <c r="L175" s="472"/>
      <c r="M175" s="472"/>
      <c r="N175" s="472"/>
      <c r="O175" s="472">
        <v>100000</v>
      </c>
      <c r="P175" s="472"/>
      <c r="Q175" s="472"/>
      <c r="R175" s="472"/>
      <c r="S175" s="472"/>
      <c r="T175" s="472"/>
      <c r="U175" s="472"/>
      <c r="V175" s="472"/>
      <c r="W175" s="472"/>
      <c r="X175" s="472"/>
      <c r="Y175" s="472"/>
      <c r="Z175" s="472"/>
      <c r="AA175" s="472"/>
      <c r="AB175" s="472"/>
      <c r="AC175" s="472"/>
      <c r="AD175" s="472"/>
      <c r="AE175" s="472"/>
      <c r="AF175" s="486"/>
      <c r="AG175" s="486"/>
      <c r="AH175" s="472"/>
      <c r="AI175" s="472"/>
      <c r="AJ175" s="472"/>
      <c r="AK175" s="472"/>
      <c r="AL175" s="472"/>
      <c r="AM175" s="472"/>
      <c r="AN175" s="472"/>
      <c r="AO175" s="472"/>
      <c r="AP175" s="472"/>
      <c r="AQ175" s="472"/>
      <c r="AR175" s="486"/>
      <c r="AS175" s="479"/>
    </row>
    <row r="176" s="26" customFormat="1" ht="19" customHeight="1" spans="1:45">
      <c r="A176" s="475"/>
      <c r="B176" s="475">
        <v>45586</v>
      </c>
      <c r="C176" s="476">
        <v>1000023790</v>
      </c>
      <c r="D176" s="477"/>
      <c r="E176" s="472"/>
      <c r="F176" s="472"/>
      <c r="G176" s="472"/>
      <c r="H176" s="472"/>
      <c r="I176" s="472"/>
      <c r="J176" s="472"/>
      <c r="K176" s="472"/>
      <c r="L176" s="472"/>
      <c r="M176" s="472"/>
      <c r="N176" s="472"/>
      <c r="O176" s="472"/>
      <c r="P176" s="472"/>
      <c r="Q176" s="472"/>
      <c r="R176" s="472"/>
      <c r="S176" s="472"/>
      <c r="T176" s="472"/>
      <c r="U176" s="472"/>
      <c r="V176" s="472">
        <v>2000</v>
      </c>
      <c r="W176" s="472"/>
      <c r="X176" s="472"/>
      <c r="Y176" s="472"/>
      <c r="Z176" s="472"/>
      <c r="AA176" s="472"/>
      <c r="AB176" s="472"/>
      <c r="AC176" s="472"/>
      <c r="AD176" s="472"/>
      <c r="AE176" s="472"/>
      <c r="AF176" s="486"/>
      <c r="AG176" s="486"/>
      <c r="AH176" s="472"/>
      <c r="AI176" s="472"/>
      <c r="AJ176" s="472"/>
      <c r="AK176" s="472"/>
      <c r="AL176" s="472"/>
      <c r="AM176" s="472"/>
      <c r="AN176" s="472"/>
      <c r="AO176" s="472"/>
      <c r="AP176" s="472"/>
      <c r="AQ176" s="472"/>
      <c r="AR176" s="486"/>
      <c r="AS176" s="479"/>
    </row>
    <row r="177" s="26" customFormat="1" ht="19" customHeight="1" spans="1:45">
      <c r="A177" s="475"/>
      <c r="B177" s="475">
        <v>45601</v>
      </c>
      <c r="C177" s="476"/>
      <c r="D177" s="477"/>
      <c r="E177" s="472"/>
      <c r="F177" s="472"/>
      <c r="G177" s="472"/>
      <c r="H177" s="472"/>
      <c r="I177" s="472"/>
      <c r="J177" s="472"/>
      <c r="K177" s="472"/>
      <c r="L177" s="472"/>
      <c r="M177" s="472"/>
      <c r="N177" s="472"/>
      <c r="O177" s="472"/>
      <c r="P177" s="472"/>
      <c r="Q177" s="472"/>
      <c r="R177" s="472"/>
      <c r="S177" s="472"/>
      <c r="T177" s="472"/>
      <c r="U177" s="472"/>
      <c r="V177" s="472"/>
      <c r="W177" s="472"/>
      <c r="X177" s="472"/>
      <c r="Y177" s="472"/>
      <c r="Z177" s="472"/>
      <c r="AA177" s="472"/>
      <c r="AB177" s="472"/>
      <c r="AC177" s="472">
        <v>1099</v>
      </c>
      <c r="AD177" s="472"/>
      <c r="AE177" s="472"/>
      <c r="AF177" s="486"/>
      <c r="AG177" s="486"/>
      <c r="AH177" s="472"/>
      <c r="AI177" s="472"/>
      <c r="AJ177" s="472"/>
      <c r="AK177" s="472"/>
      <c r="AL177" s="472"/>
      <c r="AM177" s="472"/>
      <c r="AN177" s="472"/>
      <c r="AO177" s="472"/>
      <c r="AP177" s="472"/>
      <c r="AQ177" s="472"/>
      <c r="AR177" s="486" t="s">
        <v>3949</v>
      </c>
      <c r="AS177" s="479"/>
    </row>
    <row r="178" s="26" customFormat="1" ht="19" customHeight="1" spans="1:45">
      <c r="A178" s="475"/>
      <c r="B178" s="475">
        <v>45622</v>
      </c>
      <c r="C178" s="476">
        <v>1000024744</v>
      </c>
      <c r="D178" s="477"/>
      <c r="E178" s="472"/>
      <c r="F178" s="472"/>
      <c r="G178" s="472"/>
      <c r="H178" s="472">
        <v>60000</v>
      </c>
      <c r="I178" s="472"/>
      <c r="J178" s="472"/>
      <c r="K178" s="472"/>
      <c r="L178" s="472"/>
      <c r="M178" s="472"/>
      <c r="N178" s="472"/>
      <c r="O178" s="472"/>
      <c r="P178" s="472"/>
      <c r="Q178" s="472"/>
      <c r="R178" s="472"/>
      <c r="S178" s="472"/>
      <c r="T178" s="472"/>
      <c r="U178" s="472"/>
      <c r="V178" s="472"/>
      <c r="W178" s="472"/>
      <c r="X178" s="472"/>
      <c r="Y178" s="472"/>
      <c r="Z178" s="472"/>
      <c r="AA178" s="472"/>
      <c r="AB178" s="472"/>
      <c r="AC178" s="472"/>
      <c r="AD178" s="472"/>
      <c r="AE178" s="472"/>
      <c r="AF178" s="486"/>
      <c r="AG178" s="486"/>
      <c r="AH178" s="472"/>
      <c r="AI178" s="472"/>
      <c r="AJ178" s="472"/>
      <c r="AK178" s="472"/>
      <c r="AL178" s="472"/>
      <c r="AM178" s="472"/>
      <c r="AN178" s="472"/>
      <c r="AO178" s="472"/>
      <c r="AP178" s="472"/>
      <c r="AQ178" s="472"/>
      <c r="AR178" s="486"/>
      <c r="AS178" s="479"/>
    </row>
    <row r="179" s="26" customFormat="1" ht="19" customHeight="1" spans="1:45">
      <c r="A179" s="475"/>
      <c r="B179" s="475">
        <v>45622</v>
      </c>
      <c r="C179" s="476">
        <v>1000024745</v>
      </c>
      <c r="D179" s="477"/>
      <c r="E179" s="472"/>
      <c r="F179" s="472"/>
      <c r="G179" s="472"/>
      <c r="H179" s="472"/>
      <c r="I179" s="472"/>
      <c r="J179" s="472"/>
      <c r="K179" s="472">
        <v>30000</v>
      </c>
      <c r="L179" s="472"/>
      <c r="M179" s="472"/>
      <c r="N179" s="472"/>
      <c r="O179" s="472"/>
      <c r="P179" s="472"/>
      <c r="Q179" s="472"/>
      <c r="R179" s="472"/>
      <c r="S179" s="472"/>
      <c r="T179" s="472"/>
      <c r="U179" s="472"/>
      <c r="V179" s="472"/>
      <c r="W179" s="472"/>
      <c r="X179" s="472"/>
      <c r="Y179" s="472"/>
      <c r="Z179" s="472"/>
      <c r="AA179" s="472"/>
      <c r="AB179" s="472"/>
      <c r="AC179" s="472"/>
      <c r="AD179" s="472"/>
      <c r="AE179" s="472"/>
      <c r="AF179" s="486"/>
      <c r="AG179" s="486"/>
      <c r="AH179" s="472"/>
      <c r="AI179" s="472"/>
      <c r="AJ179" s="472"/>
      <c r="AK179" s="472"/>
      <c r="AL179" s="472"/>
      <c r="AM179" s="472"/>
      <c r="AN179" s="472"/>
      <c r="AO179" s="472"/>
      <c r="AP179" s="472"/>
      <c r="AQ179" s="472"/>
      <c r="AR179" s="486"/>
      <c r="AS179" s="479"/>
    </row>
    <row r="180" s="26" customFormat="1" ht="19" customHeight="1" spans="1:45">
      <c r="A180" s="475"/>
      <c r="B180" s="475">
        <v>45622</v>
      </c>
      <c r="C180" s="476">
        <v>1000024746</v>
      </c>
      <c r="D180" s="477"/>
      <c r="E180" s="472"/>
      <c r="F180" s="472"/>
      <c r="G180" s="472"/>
      <c r="H180" s="472"/>
      <c r="I180" s="472"/>
      <c r="J180" s="472"/>
      <c r="K180" s="472"/>
      <c r="L180" s="472"/>
      <c r="M180" s="472"/>
      <c r="N180" s="472"/>
      <c r="O180" s="472">
        <v>100000</v>
      </c>
      <c r="P180" s="472"/>
      <c r="Q180" s="472"/>
      <c r="R180" s="472"/>
      <c r="S180" s="472"/>
      <c r="T180" s="472"/>
      <c r="U180" s="472"/>
      <c r="V180" s="472"/>
      <c r="W180" s="472"/>
      <c r="X180" s="472"/>
      <c r="Y180" s="472"/>
      <c r="Z180" s="472"/>
      <c r="AA180" s="472"/>
      <c r="AB180" s="472"/>
      <c r="AC180" s="472"/>
      <c r="AD180" s="472"/>
      <c r="AE180" s="472"/>
      <c r="AF180" s="486"/>
      <c r="AG180" s="486"/>
      <c r="AH180" s="472"/>
      <c r="AI180" s="472"/>
      <c r="AJ180" s="472"/>
      <c r="AK180" s="472"/>
      <c r="AL180" s="472"/>
      <c r="AM180" s="472"/>
      <c r="AN180" s="472"/>
      <c r="AO180" s="472"/>
      <c r="AP180" s="472"/>
      <c r="AQ180" s="472"/>
      <c r="AR180" s="486"/>
      <c r="AS180" s="479"/>
    </row>
    <row r="181" s="26" customFormat="1" ht="19" customHeight="1" spans="1:45">
      <c r="A181" s="475"/>
      <c r="B181" s="475">
        <v>45622</v>
      </c>
      <c r="C181" s="476">
        <v>1000024747</v>
      </c>
      <c r="D181" s="477"/>
      <c r="E181" s="472"/>
      <c r="F181" s="472"/>
      <c r="G181" s="472"/>
      <c r="H181" s="472"/>
      <c r="I181" s="472"/>
      <c r="J181" s="472"/>
      <c r="K181" s="472"/>
      <c r="L181" s="472"/>
      <c r="M181" s="472"/>
      <c r="N181" s="472"/>
      <c r="O181" s="472"/>
      <c r="P181" s="472"/>
      <c r="Q181" s="472"/>
      <c r="R181" s="472"/>
      <c r="S181" s="472">
        <v>3000</v>
      </c>
      <c r="T181" s="472"/>
      <c r="U181" s="472"/>
      <c r="V181" s="472"/>
      <c r="W181" s="472"/>
      <c r="X181" s="472"/>
      <c r="Y181" s="472"/>
      <c r="Z181" s="472"/>
      <c r="AA181" s="472"/>
      <c r="AB181" s="472"/>
      <c r="AC181" s="472"/>
      <c r="AD181" s="472"/>
      <c r="AE181" s="472"/>
      <c r="AF181" s="486"/>
      <c r="AG181" s="486"/>
      <c r="AH181" s="472"/>
      <c r="AI181" s="472"/>
      <c r="AJ181" s="472"/>
      <c r="AK181" s="472"/>
      <c r="AL181" s="472"/>
      <c r="AM181" s="472"/>
      <c r="AN181" s="472"/>
      <c r="AO181" s="472"/>
      <c r="AP181" s="472"/>
      <c r="AQ181" s="472"/>
      <c r="AR181" s="486"/>
      <c r="AS181" s="479"/>
    </row>
    <row r="182" s="26" customFormat="1" ht="19" customHeight="1" spans="1:45">
      <c r="A182" s="475"/>
      <c r="B182" s="475">
        <v>45622</v>
      </c>
      <c r="C182" s="476">
        <v>1000024748</v>
      </c>
      <c r="D182" s="477"/>
      <c r="E182" s="472"/>
      <c r="F182" s="472"/>
      <c r="G182" s="472"/>
      <c r="H182" s="472"/>
      <c r="I182" s="472"/>
      <c r="J182" s="472"/>
      <c r="K182" s="472"/>
      <c r="L182" s="472"/>
      <c r="M182" s="472"/>
      <c r="N182" s="472"/>
      <c r="O182" s="472"/>
      <c r="P182" s="472"/>
      <c r="Q182" s="472"/>
      <c r="R182" s="472"/>
      <c r="S182" s="472"/>
      <c r="T182" s="472"/>
      <c r="U182" s="472"/>
      <c r="V182" s="472">
        <v>3000</v>
      </c>
      <c r="W182" s="472"/>
      <c r="X182" s="472"/>
      <c r="Y182" s="472"/>
      <c r="Z182" s="472"/>
      <c r="AA182" s="472"/>
      <c r="AB182" s="472"/>
      <c r="AC182" s="472"/>
      <c r="AD182" s="472"/>
      <c r="AE182" s="472"/>
      <c r="AF182" s="486"/>
      <c r="AG182" s="486"/>
      <c r="AH182" s="472"/>
      <c r="AI182" s="472"/>
      <c r="AJ182" s="472"/>
      <c r="AK182" s="472"/>
      <c r="AL182" s="472"/>
      <c r="AM182" s="472"/>
      <c r="AN182" s="472"/>
      <c r="AO182" s="472"/>
      <c r="AP182" s="472"/>
      <c r="AQ182" s="472"/>
      <c r="AR182" s="486"/>
      <c r="AS182" s="479"/>
    </row>
    <row r="183" s="26" customFormat="1" ht="19" customHeight="1" spans="1:45">
      <c r="A183" s="475"/>
      <c r="B183" s="475">
        <v>45699</v>
      </c>
      <c r="C183" s="476"/>
      <c r="D183" s="477"/>
      <c r="E183" s="472"/>
      <c r="F183" s="472"/>
      <c r="G183" s="472"/>
      <c r="H183" s="472"/>
      <c r="I183" s="472"/>
      <c r="J183" s="472"/>
      <c r="K183" s="472"/>
      <c r="L183" s="472"/>
      <c r="M183" s="472"/>
      <c r="N183" s="472"/>
      <c r="O183" s="472"/>
      <c r="P183" s="472"/>
      <c r="Q183" s="472"/>
      <c r="R183" s="472"/>
      <c r="S183" s="472"/>
      <c r="T183" s="472"/>
      <c r="U183" s="472"/>
      <c r="V183" s="472"/>
      <c r="W183" s="472"/>
      <c r="X183" s="472"/>
      <c r="Y183" s="472"/>
      <c r="Z183" s="472"/>
      <c r="AA183" s="472"/>
      <c r="AB183" s="472"/>
      <c r="AC183" s="472"/>
      <c r="AD183" s="472"/>
      <c r="AE183" s="472"/>
      <c r="AF183" s="486">
        <v>2845</v>
      </c>
      <c r="AG183" s="486"/>
      <c r="AH183" s="472"/>
      <c r="AI183" s="472"/>
      <c r="AJ183" s="472"/>
      <c r="AK183" s="472"/>
      <c r="AL183" s="472"/>
      <c r="AM183" s="472"/>
      <c r="AN183" s="472"/>
      <c r="AO183" s="472"/>
      <c r="AP183" s="472"/>
      <c r="AQ183" s="472"/>
      <c r="AR183" s="80">
        <v>4500157168</v>
      </c>
      <c r="AS183" s="479"/>
    </row>
    <row r="184" s="26" customFormat="1" ht="19" customHeight="1" spans="1:45">
      <c r="A184" s="475"/>
      <c r="B184" s="475"/>
      <c r="C184" s="476"/>
      <c r="D184" s="477"/>
      <c r="E184" s="472"/>
      <c r="F184" s="472"/>
      <c r="G184" s="472"/>
      <c r="H184" s="472"/>
      <c r="I184" s="472"/>
      <c r="J184" s="472"/>
      <c r="K184" s="472"/>
      <c r="L184" s="472"/>
      <c r="M184" s="472"/>
      <c r="N184" s="472"/>
      <c r="O184" s="472"/>
      <c r="P184" s="472"/>
      <c r="Q184" s="472"/>
      <c r="R184" s="472"/>
      <c r="S184" s="472"/>
      <c r="T184" s="472"/>
      <c r="U184" s="472"/>
      <c r="V184" s="472"/>
      <c r="W184" s="472"/>
      <c r="X184" s="472"/>
      <c r="Y184" s="472"/>
      <c r="Z184" s="472">
        <v>500</v>
      </c>
      <c r="AA184" s="472"/>
      <c r="AB184" s="472"/>
      <c r="AC184" s="472"/>
      <c r="AD184" s="472"/>
      <c r="AE184" s="472"/>
      <c r="AF184" s="486"/>
      <c r="AG184" s="486"/>
      <c r="AH184" s="472"/>
      <c r="AI184" s="472"/>
      <c r="AJ184" s="472"/>
      <c r="AK184" s="472"/>
      <c r="AL184" s="472"/>
      <c r="AM184" s="472"/>
      <c r="AN184" s="472"/>
      <c r="AO184" s="472"/>
      <c r="AP184" s="472"/>
      <c r="AQ184" s="472"/>
      <c r="AR184" s="80">
        <v>4500156224</v>
      </c>
      <c r="AS184" s="479"/>
    </row>
    <row r="185" s="26" customFormat="1" ht="19" customHeight="1" spans="1:45">
      <c r="A185" s="475"/>
      <c r="B185" s="475"/>
      <c r="C185" s="476"/>
      <c r="D185" s="477"/>
      <c r="E185" s="472"/>
      <c r="F185" s="472"/>
      <c r="G185" s="472"/>
      <c r="H185" s="472"/>
      <c r="I185" s="472"/>
      <c r="J185" s="472"/>
      <c r="K185" s="472"/>
      <c r="L185" s="472"/>
      <c r="M185" s="472"/>
      <c r="N185" s="472"/>
      <c r="O185" s="472"/>
      <c r="P185" s="472"/>
      <c r="Q185" s="472"/>
      <c r="R185" s="472"/>
      <c r="S185" s="472"/>
      <c r="T185" s="472"/>
      <c r="U185" s="472"/>
      <c r="V185" s="472"/>
      <c r="W185" s="472"/>
      <c r="X185" s="472"/>
      <c r="Y185" s="472"/>
      <c r="Z185" s="472"/>
      <c r="AA185" s="472"/>
      <c r="AB185" s="472"/>
      <c r="AC185" s="472">
        <v>500</v>
      </c>
      <c r="AD185" s="472"/>
      <c r="AE185" s="472"/>
      <c r="AF185" s="486"/>
      <c r="AG185" s="486"/>
      <c r="AH185" s="472"/>
      <c r="AI185" s="472"/>
      <c r="AJ185" s="472"/>
      <c r="AK185" s="472"/>
      <c r="AL185" s="472"/>
      <c r="AM185" s="472"/>
      <c r="AN185" s="472"/>
      <c r="AO185" s="472"/>
      <c r="AP185" s="472"/>
      <c r="AQ185" s="472"/>
      <c r="AR185" s="80">
        <v>4500150411</v>
      </c>
      <c r="AS185" s="479"/>
    </row>
    <row r="186" s="26" customFormat="1" ht="19" customHeight="1" spans="1:45">
      <c r="A186" s="475"/>
      <c r="B186" s="475">
        <v>45714</v>
      </c>
      <c r="C186" s="476">
        <v>1000026002</v>
      </c>
      <c r="D186" s="477"/>
      <c r="E186" s="472"/>
      <c r="F186" s="472"/>
      <c r="G186" s="472"/>
      <c r="H186" s="472">
        <v>50000</v>
      </c>
      <c r="I186" s="472"/>
      <c r="J186" s="472"/>
      <c r="K186" s="472"/>
      <c r="L186" s="472"/>
      <c r="M186" s="472"/>
      <c r="N186" s="472"/>
      <c r="O186" s="472"/>
      <c r="P186" s="472"/>
      <c r="Q186" s="472"/>
      <c r="R186" s="472"/>
      <c r="S186" s="472"/>
      <c r="T186" s="472"/>
      <c r="U186" s="472"/>
      <c r="V186" s="472"/>
      <c r="W186" s="472"/>
      <c r="X186" s="472"/>
      <c r="Y186" s="472"/>
      <c r="Z186" s="472"/>
      <c r="AA186" s="472"/>
      <c r="AB186" s="472"/>
      <c r="AC186" s="472"/>
      <c r="AD186" s="472"/>
      <c r="AE186" s="472"/>
      <c r="AF186" s="486"/>
      <c r="AG186" s="486"/>
      <c r="AH186" s="472"/>
      <c r="AI186" s="472"/>
      <c r="AJ186" s="472"/>
      <c r="AK186" s="472"/>
      <c r="AL186" s="472"/>
      <c r="AM186" s="472"/>
      <c r="AN186" s="472"/>
      <c r="AO186" s="472"/>
      <c r="AP186" s="472"/>
      <c r="AQ186" s="472"/>
      <c r="AR186" s="80"/>
      <c r="AS186" s="479"/>
    </row>
    <row r="187" s="26" customFormat="1" ht="19" customHeight="1" spans="1:45">
      <c r="A187" s="475"/>
      <c r="B187" s="475">
        <v>45714</v>
      </c>
      <c r="C187" s="476">
        <v>1000026009</v>
      </c>
      <c r="D187" s="477"/>
      <c r="E187" s="472"/>
      <c r="F187" s="472"/>
      <c r="G187" s="472"/>
      <c r="H187" s="472"/>
      <c r="I187" s="472"/>
      <c r="J187" s="472"/>
      <c r="K187" s="472"/>
      <c r="L187" s="472"/>
      <c r="M187" s="472"/>
      <c r="N187" s="472"/>
      <c r="O187" s="472">
        <v>30000</v>
      </c>
      <c r="P187" s="472"/>
      <c r="Q187" s="472"/>
      <c r="R187" s="472"/>
      <c r="S187" s="472"/>
      <c r="T187" s="472"/>
      <c r="U187" s="472"/>
      <c r="V187" s="472"/>
      <c r="W187" s="472"/>
      <c r="X187" s="472"/>
      <c r="Y187" s="472"/>
      <c r="Z187" s="472"/>
      <c r="AA187" s="472"/>
      <c r="AB187" s="472"/>
      <c r="AC187" s="472"/>
      <c r="AD187" s="472"/>
      <c r="AE187" s="472"/>
      <c r="AF187" s="486"/>
      <c r="AG187" s="486"/>
      <c r="AH187" s="472"/>
      <c r="AI187" s="472"/>
      <c r="AJ187" s="472"/>
      <c r="AK187" s="472"/>
      <c r="AL187" s="472"/>
      <c r="AM187" s="472"/>
      <c r="AN187" s="472"/>
      <c r="AO187" s="472"/>
      <c r="AP187" s="472"/>
      <c r="AQ187" s="472"/>
      <c r="AR187" s="80"/>
      <c r="AS187" s="479"/>
    </row>
    <row r="188" s="26" customFormat="1" ht="19" customHeight="1" spans="1:45">
      <c r="A188" s="475"/>
      <c r="B188" s="475">
        <v>45714</v>
      </c>
      <c r="C188" s="476">
        <v>1000026004</v>
      </c>
      <c r="D188" s="477"/>
      <c r="E188" s="472"/>
      <c r="F188" s="472"/>
      <c r="G188" s="472"/>
      <c r="H188" s="472"/>
      <c r="I188" s="472"/>
      <c r="J188" s="472"/>
      <c r="K188" s="472"/>
      <c r="L188" s="472"/>
      <c r="M188" s="472"/>
      <c r="N188" s="472"/>
      <c r="O188" s="472"/>
      <c r="P188" s="472"/>
      <c r="Q188" s="472"/>
      <c r="R188" s="472"/>
      <c r="S188" s="472">
        <v>3000</v>
      </c>
      <c r="T188" s="472"/>
      <c r="U188" s="472"/>
      <c r="V188" s="472"/>
      <c r="W188" s="472"/>
      <c r="X188" s="472"/>
      <c r="Y188" s="472"/>
      <c r="Z188" s="472"/>
      <c r="AA188" s="472"/>
      <c r="AB188" s="472"/>
      <c r="AC188" s="472"/>
      <c r="AD188" s="472"/>
      <c r="AE188" s="472"/>
      <c r="AF188" s="486"/>
      <c r="AG188" s="486"/>
      <c r="AH188" s="472"/>
      <c r="AI188" s="472"/>
      <c r="AJ188" s="472"/>
      <c r="AK188" s="472"/>
      <c r="AL188" s="472"/>
      <c r="AM188" s="472"/>
      <c r="AN188" s="472"/>
      <c r="AO188" s="472"/>
      <c r="AP188" s="472"/>
      <c r="AQ188" s="472"/>
      <c r="AR188" s="80"/>
      <c r="AS188" s="479"/>
    </row>
    <row r="189" s="26" customFormat="1" ht="19" customHeight="1" spans="1:45">
      <c r="A189" s="475"/>
      <c r="B189" s="475">
        <v>45734</v>
      </c>
      <c r="C189" s="476">
        <v>1000026366</v>
      </c>
      <c r="D189" s="477"/>
      <c r="E189" s="472"/>
      <c r="F189" s="472"/>
      <c r="G189" s="472"/>
      <c r="H189" s="472">
        <v>60000</v>
      </c>
      <c r="I189" s="472"/>
      <c r="J189" s="472"/>
      <c r="K189" s="472"/>
      <c r="L189" s="472"/>
      <c r="M189" s="472"/>
      <c r="N189" s="472"/>
      <c r="O189" s="472"/>
      <c r="P189" s="472"/>
      <c r="Q189" s="472"/>
      <c r="R189" s="472"/>
      <c r="S189" s="472"/>
      <c r="T189" s="472"/>
      <c r="U189" s="472"/>
      <c r="V189" s="472"/>
      <c r="W189" s="472"/>
      <c r="X189" s="472"/>
      <c r="Y189" s="472"/>
      <c r="Z189" s="472"/>
      <c r="AA189" s="472"/>
      <c r="AB189" s="472"/>
      <c r="AC189" s="472"/>
      <c r="AD189" s="472"/>
      <c r="AE189" s="472"/>
      <c r="AF189" s="486"/>
      <c r="AG189" s="486"/>
      <c r="AH189" s="472"/>
      <c r="AI189" s="472"/>
      <c r="AJ189" s="472"/>
      <c r="AK189" s="472"/>
      <c r="AL189" s="472"/>
      <c r="AM189" s="472"/>
      <c r="AN189" s="472"/>
      <c r="AO189" s="472"/>
      <c r="AP189" s="472"/>
      <c r="AQ189" s="472"/>
      <c r="AR189" s="80"/>
      <c r="AS189" s="479"/>
    </row>
    <row r="190" s="26" customFormat="1" ht="19" customHeight="1" spans="1:45">
      <c r="A190" s="475"/>
      <c r="B190" s="475">
        <v>45734</v>
      </c>
      <c r="C190" s="476">
        <v>1000026367</v>
      </c>
      <c r="D190" s="477"/>
      <c r="E190" s="472"/>
      <c r="F190" s="472"/>
      <c r="G190" s="472"/>
      <c r="H190" s="472"/>
      <c r="I190" s="472"/>
      <c r="J190" s="472"/>
      <c r="K190" s="472">
        <v>30000</v>
      </c>
      <c r="L190" s="472"/>
      <c r="M190" s="472"/>
      <c r="N190" s="472"/>
      <c r="O190" s="472"/>
      <c r="P190" s="472"/>
      <c r="Q190" s="472"/>
      <c r="R190" s="472"/>
      <c r="S190" s="472"/>
      <c r="T190" s="472"/>
      <c r="U190" s="472"/>
      <c r="V190" s="472"/>
      <c r="W190" s="472"/>
      <c r="X190" s="472"/>
      <c r="Y190" s="472"/>
      <c r="Z190" s="472"/>
      <c r="AA190" s="472"/>
      <c r="AB190" s="472"/>
      <c r="AC190" s="472"/>
      <c r="AD190" s="472"/>
      <c r="AE190" s="472"/>
      <c r="AF190" s="486"/>
      <c r="AG190" s="486"/>
      <c r="AH190" s="472"/>
      <c r="AI190" s="472"/>
      <c r="AJ190" s="472"/>
      <c r="AK190" s="472"/>
      <c r="AL190" s="472"/>
      <c r="AM190" s="472"/>
      <c r="AN190" s="472"/>
      <c r="AO190" s="472"/>
      <c r="AP190" s="472"/>
      <c r="AQ190" s="472"/>
      <c r="AR190" s="80"/>
      <c r="AS190" s="479"/>
    </row>
    <row r="191" s="26" customFormat="1" ht="19" customHeight="1" spans="1:45">
      <c r="A191" s="475"/>
      <c r="B191" s="475">
        <v>45734</v>
      </c>
      <c r="C191" s="476">
        <v>1000026368</v>
      </c>
      <c r="D191" s="477"/>
      <c r="E191" s="472"/>
      <c r="F191" s="472"/>
      <c r="G191" s="472"/>
      <c r="H191" s="472"/>
      <c r="I191" s="472"/>
      <c r="J191" s="472"/>
      <c r="K191" s="472"/>
      <c r="L191" s="472"/>
      <c r="M191" s="472"/>
      <c r="N191" s="472"/>
      <c r="O191" s="472">
        <v>50000</v>
      </c>
      <c r="P191" s="472"/>
      <c r="Q191" s="472"/>
      <c r="R191" s="472"/>
      <c r="S191" s="472"/>
      <c r="T191" s="472"/>
      <c r="U191" s="472"/>
      <c r="V191" s="472"/>
      <c r="W191" s="472"/>
      <c r="X191" s="472"/>
      <c r="Y191" s="472"/>
      <c r="Z191" s="472"/>
      <c r="AA191" s="472"/>
      <c r="AB191" s="472"/>
      <c r="AC191" s="472"/>
      <c r="AD191" s="472"/>
      <c r="AE191" s="472"/>
      <c r="AF191" s="486"/>
      <c r="AG191" s="486"/>
      <c r="AH191" s="472"/>
      <c r="AI191" s="472"/>
      <c r="AJ191" s="472"/>
      <c r="AK191" s="472"/>
      <c r="AL191" s="472"/>
      <c r="AM191" s="472"/>
      <c r="AN191" s="472"/>
      <c r="AO191" s="472"/>
      <c r="AP191" s="472"/>
      <c r="AQ191" s="472"/>
      <c r="AR191" s="80"/>
      <c r="AS191" s="479"/>
    </row>
    <row r="192" s="26" customFormat="1" ht="19" customHeight="1" spans="1:45">
      <c r="A192" s="475"/>
      <c r="B192" s="475">
        <v>45734</v>
      </c>
      <c r="C192" s="476">
        <v>1000026369</v>
      </c>
      <c r="D192" s="477"/>
      <c r="E192" s="472"/>
      <c r="F192" s="472"/>
      <c r="G192" s="472"/>
      <c r="H192" s="472"/>
      <c r="I192" s="472"/>
      <c r="J192" s="472"/>
      <c r="K192" s="472"/>
      <c r="L192" s="472"/>
      <c r="M192" s="472"/>
      <c r="N192" s="472"/>
      <c r="O192" s="472"/>
      <c r="P192" s="472"/>
      <c r="Q192" s="472"/>
      <c r="R192" s="472"/>
      <c r="S192" s="472">
        <v>3000</v>
      </c>
      <c r="T192" s="472"/>
      <c r="U192" s="472"/>
      <c r="V192" s="472"/>
      <c r="W192" s="472"/>
      <c r="X192" s="472"/>
      <c r="Y192" s="472"/>
      <c r="Z192" s="472"/>
      <c r="AA192" s="472"/>
      <c r="AB192" s="472"/>
      <c r="AC192" s="472"/>
      <c r="AD192" s="472"/>
      <c r="AE192" s="472"/>
      <c r="AF192" s="486"/>
      <c r="AG192" s="486"/>
      <c r="AH192" s="472"/>
      <c r="AI192" s="472"/>
      <c r="AJ192" s="472"/>
      <c r="AK192" s="472"/>
      <c r="AL192" s="472"/>
      <c r="AM192" s="472"/>
      <c r="AN192" s="472"/>
      <c r="AO192" s="472"/>
      <c r="AP192" s="472"/>
      <c r="AQ192" s="472"/>
      <c r="AR192" s="80"/>
      <c r="AS192" s="479"/>
    </row>
    <row r="193" s="26" customFormat="1" ht="19" customHeight="1" spans="1:45">
      <c r="A193" s="475"/>
      <c r="B193" s="475"/>
      <c r="C193" s="476"/>
      <c r="D193" s="477"/>
      <c r="E193" s="472"/>
      <c r="F193" s="472"/>
      <c r="G193" s="472"/>
      <c r="H193" s="472"/>
      <c r="I193" s="472"/>
      <c r="J193" s="472"/>
      <c r="K193" s="472"/>
      <c r="L193" s="472"/>
      <c r="M193" s="472"/>
      <c r="N193" s="472"/>
      <c r="O193" s="472"/>
      <c r="P193" s="472"/>
      <c r="Q193" s="472"/>
      <c r="R193" s="472"/>
      <c r="S193" s="472"/>
      <c r="T193" s="472"/>
      <c r="U193" s="472"/>
      <c r="V193" s="472"/>
      <c r="W193" s="472"/>
      <c r="X193" s="472"/>
      <c r="Y193" s="472"/>
      <c r="Z193" s="472">
        <v>750</v>
      </c>
      <c r="AA193" s="472"/>
      <c r="AB193" s="472"/>
      <c r="AC193" s="472"/>
      <c r="AD193" s="472"/>
      <c r="AE193" s="472"/>
      <c r="AF193" s="486"/>
      <c r="AG193" s="486"/>
      <c r="AH193" s="472"/>
      <c r="AI193" s="472"/>
      <c r="AJ193" s="472"/>
      <c r="AK193" s="472"/>
      <c r="AL193" s="472"/>
      <c r="AM193" s="472"/>
      <c r="AN193" s="472"/>
      <c r="AO193" s="472"/>
      <c r="AP193" s="472"/>
      <c r="AQ193" s="472"/>
      <c r="AR193" s="492" t="s">
        <v>3950</v>
      </c>
      <c r="AS193" s="479"/>
    </row>
    <row r="194" s="26" customFormat="1" ht="19" customHeight="1" spans="1:45">
      <c r="A194" s="475"/>
      <c r="B194" s="475">
        <v>45784</v>
      </c>
      <c r="C194" s="476"/>
      <c r="D194" s="477"/>
      <c r="E194" s="472"/>
      <c r="F194" s="472"/>
      <c r="G194" s="472"/>
      <c r="H194" s="472"/>
      <c r="I194" s="472"/>
      <c r="J194" s="472"/>
      <c r="K194" s="472"/>
      <c r="L194" s="472"/>
      <c r="M194" s="472"/>
      <c r="N194" s="472"/>
      <c r="O194" s="472"/>
      <c r="P194" s="472"/>
      <c r="Q194" s="472"/>
      <c r="R194" s="472"/>
      <c r="S194" s="472"/>
      <c r="T194" s="472"/>
      <c r="U194" s="472"/>
      <c r="V194" s="472"/>
      <c r="W194" s="472"/>
      <c r="X194" s="472"/>
      <c r="Y194" s="472"/>
      <c r="Z194" s="472"/>
      <c r="AA194" s="472"/>
      <c r="AB194" s="472"/>
      <c r="AC194" s="472"/>
      <c r="AD194" s="472"/>
      <c r="AE194" s="472"/>
      <c r="AF194" s="486"/>
      <c r="AG194" s="486"/>
      <c r="AH194" s="472"/>
      <c r="AI194" s="472"/>
      <c r="AJ194" s="472"/>
      <c r="AK194" s="472"/>
      <c r="AL194" s="472"/>
      <c r="AM194" s="472"/>
      <c r="AN194" s="472"/>
      <c r="AO194" s="472">
        <v>3455</v>
      </c>
      <c r="AP194" s="472"/>
      <c r="AQ194" s="472"/>
      <c r="AR194" s="489" t="s">
        <v>3951</v>
      </c>
      <c r="AS194" s="479"/>
    </row>
    <row r="195" s="26" customFormat="1" ht="19" customHeight="1" spans="1:45">
      <c r="A195" s="475"/>
      <c r="B195" s="475">
        <v>45761</v>
      </c>
      <c r="C195" s="493">
        <v>1000027091</v>
      </c>
      <c r="D195" s="477"/>
      <c r="E195" s="472"/>
      <c r="F195" s="472"/>
      <c r="G195" s="472"/>
      <c r="H195" s="472"/>
      <c r="I195" s="472"/>
      <c r="J195" s="472"/>
      <c r="K195" s="472"/>
      <c r="L195" s="472"/>
      <c r="M195" s="472"/>
      <c r="N195" s="472"/>
      <c r="O195" s="472"/>
      <c r="P195" s="472"/>
      <c r="Q195" s="472"/>
      <c r="R195" s="472"/>
      <c r="S195" s="472"/>
      <c r="T195" s="472"/>
      <c r="U195" s="472"/>
      <c r="V195" s="472">
        <v>2000</v>
      </c>
      <c r="W195" s="472"/>
      <c r="X195" s="472"/>
      <c r="Y195" s="472"/>
      <c r="Z195" s="472"/>
      <c r="AA195" s="472"/>
      <c r="AB195" s="472"/>
      <c r="AC195" s="472"/>
      <c r="AD195" s="472"/>
      <c r="AE195" s="472"/>
      <c r="AF195" s="486"/>
      <c r="AG195" s="486"/>
      <c r="AH195" s="472"/>
      <c r="AI195" s="472"/>
      <c r="AJ195" s="472"/>
      <c r="AK195" s="472"/>
      <c r="AL195" s="472"/>
      <c r="AM195" s="472"/>
      <c r="AN195" s="472"/>
      <c r="AO195" s="472"/>
      <c r="AP195" s="472"/>
      <c r="AQ195" s="472"/>
      <c r="AR195" s="80"/>
      <c r="AS195" s="479"/>
    </row>
    <row r="196" s="26" customFormat="1" ht="19" customHeight="1" spans="1:45">
      <c r="A196" s="475"/>
      <c r="B196" s="475">
        <v>45775</v>
      </c>
      <c r="C196" s="476">
        <v>1000027506</v>
      </c>
      <c r="D196" s="477"/>
      <c r="E196" s="472"/>
      <c r="F196" s="472"/>
      <c r="G196" s="472"/>
      <c r="H196" s="472">
        <v>50000</v>
      </c>
      <c r="I196" s="472"/>
      <c r="J196" s="472"/>
      <c r="K196" s="472"/>
      <c r="L196" s="472"/>
      <c r="M196" s="472"/>
      <c r="N196" s="472"/>
      <c r="O196" s="472"/>
      <c r="P196" s="472"/>
      <c r="Q196" s="472"/>
      <c r="R196" s="472"/>
      <c r="S196" s="472"/>
      <c r="T196" s="472"/>
      <c r="U196" s="472"/>
      <c r="V196" s="472"/>
      <c r="W196" s="472"/>
      <c r="X196" s="472"/>
      <c r="Y196" s="472"/>
      <c r="Z196" s="472"/>
      <c r="AA196" s="472"/>
      <c r="AB196" s="472"/>
      <c r="AC196" s="472"/>
      <c r="AD196" s="472"/>
      <c r="AE196" s="472"/>
      <c r="AF196" s="486"/>
      <c r="AG196" s="486"/>
      <c r="AH196" s="472"/>
      <c r="AI196" s="472"/>
      <c r="AJ196" s="472"/>
      <c r="AK196" s="472"/>
      <c r="AL196" s="472"/>
      <c r="AM196" s="472"/>
      <c r="AN196" s="472"/>
      <c r="AO196" s="472"/>
      <c r="AP196" s="472"/>
      <c r="AQ196" s="472"/>
      <c r="AR196" s="80"/>
      <c r="AS196" s="479"/>
    </row>
    <row r="197" s="26" customFormat="1" ht="19" customHeight="1" spans="1:45">
      <c r="A197" s="475"/>
      <c r="B197" s="475">
        <v>45775</v>
      </c>
      <c r="C197" s="476">
        <v>1000027507</v>
      </c>
      <c r="D197" s="477"/>
      <c r="E197" s="472"/>
      <c r="F197" s="472"/>
      <c r="G197" s="472"/>
      <c r="H197" s="472"/>
      <c r="I197" s="472"/>
      <c r="J197" s="472"/>
      <c r="K197" s="472">
        <v>30000</v>
      </c>
      <c r="L197" s="472"/>
      <c r="M197" s="472"/>
      <c r="N197" s="472"/>
      <c r="O197" s="472"/>
      <c r="P197" s="472"/>
      <c r="Q197" s="472"/>
      <c r="R197" s="472"/>
      <c r="S197" s="472"/>
      <c r="T197" s="472"/>
      <c r="U197" s="472"/>
      <c r="V197" s="472"/>
      <c r="W197" s="472"/>
      <c r="X197" s="472"/>
      <c r="Y197" s="472"/>
      <c r="Z197" s="472"/>
      <c r="AA197" s="472"/>
      <c r="AB197" s="472"/>
      <c r="AC197" s="472"/>
      <c r="AD197" s="472"/>
      <c r="AE197" s="472"/>
      <c r="AF197" s="486"/>
      <c r="AG197" s="486"/>
      <c r="AH197" s="472"/>
      <c r="AI197" s="472"/>
      <c r="AJ197" s="472"/>
      <c r="AK197" s="472"/>
      <c r="AL197" s="472"/>
      <c r="AM197" s="472"/>
      <c r="AN197" s="472"/>
      <c r="AO197" s="472"/>
      <c r="AP197" s="472"/>
      <c r="AQ197" s="472"/>
      <c r="AR197" s="80"/>
      <c r="AS197" s="479"/>
    </row>
    <row r="198" s="26" customFormat="1" ht="19" customHeight="1" spans="1:45">
      <c r="A198" s="475"/>
      <c r="B198" s="475">
        <v>45775</v>
      </c>
      <c r="C198" s="476">
        <v>1000027508</v>
      </c>
      <c r="D198" s="477"/>
      <c r="E198" s="472"/>
      <c r="F198" s="472"/>
      <c r="G198" s="472"/>
      <c r="H198" s="472"/>
      <c r="I198" s="472"/>
      <c r="J198" s="472"/>
      <c r="K198" s="472"/>
      <c r="L198" s="472"/>
      <c r="M198" s="472"/>
      <c r="N198" s="472"/>
      <c r="O198" s="472">
        <v>100000</v>
      </c>
      <c r="P198" s="472"/>
      <c r="Q198" s="472"/>
      <c r="R198" s="472"/>
      <c r="S198" s="472"/>
      <c r="T198" s="472"/>
      <c r="U198" s="472"/>
      <c r="V198" s="472"/>
      <c r="W198" s="472"/>
      <c r="X198" s="472"/>
      <c r="Y198" s="472"/>
      <c r="Z198" s="472"/>
      <c r="AA198" s="472"/>
      <c r="AB198" s="472"/>
      <c r="AC198" s="472"/>
      <c r="AD198" s="472"/>
      <c r="AE198" s="472"/>
      <c r="AF198" s="486"/>
      <c r="AG198" s="486"/>
      <c r="AH198" s="472"/>
      <c r="AI198" s="472"/>
      <c r="AJ198" s="472"/>
      <c r="AK198" s="472"/>
      <c r="AL198" s="472"/>
      <c r="AM198" s="472"/>
      <c r="AN198" s="472"/>
      <c r="AO198" s="472"/>
      <c r="AP198" s="472"/>
      <c r="AQ198" s="472"/>
      <c r="AR198" s="80"/>
      <c r="AS198" s="479"/>
    </row>
    <row r="199" s="26" customFormat="1" ht="19" customHeight="1" spans="1:45">
      <c r="A199" s="475"/>
      <c r="B199" s="475"/>
      <c r="C199" s="476"/>
      <c r="D199" s="477"/>
      <c r="E199" s="472"/>
      <c r="F199" s="472"/>
      <c r="G199" s="472"/>
      <c r="H199" s="472"/>
      <c r="I199" s="472"/>
      <c r="J199" s="472"/>
      <c r="K199" s="472"/>
      <c r="L199" s="472"/>
      <c r="M199" s="472"/>
      <c r="N199" s="472"/>
      <c r="O199" s="472"/>
      <c r="P199" s="472"/>
      <c r="Q199" s="472"/>
      <c r="R199" s="472"/>
      <c r="S199" s="472"/>
      <c r="T199" s="472"/>
      <c r="U199" s="472"/>
      <c r="V199" s="472"/>
      <c r="W199" s="472"/>
      <c r="X199" s="472"/>
      <c r="Y199" s="472"/>
      <c r="Z199" s="472"/>
      <c r="AA199" s="472"/>
      <c r="AB199" s="472"/>
      <c r="AC199" s="472">
        <v>500</v>
      </c>
      <c r="AD199" s="472"/>
      <c r="AE199" s="472"/>
      <c r="AF199" s="486"/>
      <c r="AG199" s="486"/>
      <c r="AH199" s="472"/>
      <c r="AI199" s="472"/>
      <c r="AJ199" s="472"/>
      <c r="AK199" s="472"/>
      <c r="AL199" s="472"/>
      <c r="AM199" s="472"/>
      <c r="AN199" s="472"/>
      <c r="AO199" s="472"/>
      <c r="AP199" s="472"/>
      <c r="AQ199" s="472"/>
      <c r="AR199" s="80">
        <v>4500164228</v>
      </c>
      <c r="AS199" s="479"/>
    </row>
    <row r="200" s="26" customFormat="1" ht="19" customHeight="1" spans="1:45">
      <c r="A200" s="475"/>
      <c r="B200" s="475"/>
      <c r="C200" s="476"/>
      <c r="D200" s="477"/>
      <c r="E200" s="472"/>
      <c r="F200" s="472"/>
      <c r="G200" s="472"/>
      <c r="H200" s="472"/>
      <c r="I200" s="472"/>
      <c r="J200" s="472"/>
      <c r="K200" s="472"/>
      <c r="L200" s="472"/>
      <c r="M200" s="472"/>
      <c r="N200" s="472"/>
      <c r="O200" s="472"/>
      <c r="P200" s="472"/>
      <c r="Q200" s="472"/>
      <c r="R200" s="472"/>
      <c r="S200" s="472"/>
      <c r="T200" s="472"/>
      <c r="U200" s="472"/>
      <c r="V200" s="472"/>
      <c r="W200" s="472"/>
      <c r="X200" s="472"/>
      <c r="Y200" s="472"/>
      <c r="Z200" s="472"/>
      <c r="AA200" s="472"/>
      <c r="AB200" s="472"/>
      <c r="AC200" s="472">
        <v>642</v>
      </c>
      <c r="AD200" s="472"/>
      <c r="AE200" s="472"/>
      <c r="AF200" s="472"/>
      <c r="AG200" s="472"/>
      <c r="AH200" s="472"/>
      <c r="AI200" s="472"/>
      <c r="AJ200" s="472"/>
      <c r="AK200" s="472"/>
      <c r="AL200" s="472"/>
      <c r="AM200" s="472"/>
      <c r="AN200" s="472"/>
      <c r="AO200" s="472"/>
      <c r="AP200" s="472"/>
      <c r="AQ200" s="472"/>
      <c r="AR200" s="80">
        <v>4500163262</v>
      </c>
      <c r="AS200" s="479"/>
    </row>
    <row r="201" s="26" customFormat="1" ht="19" customHeight="1" spans="1:45">
      <c r="A201" s="475"/>
      <c r="B201" s="487">
        <v>45789</v>
      </c>
      <c r="C201" s="476">
        <v>1000027751</v>
      </c>
      <c r="D201" s="477"/>
      <c r="E201" s="472"/>
      <c r="F201" s="472"/>
      <c r="G201" s="472"/>
      <c r="H201" s="472"/>
      <c r="I201" s="472"/>
      <c r="J201" s="472"/>
      <c r="K201" s="472"/>
      <c r="L201" s="472"/>
      <c r="M201" s="472"/>
      <c r="N201" s="472"/>
      <c r="O201" s="472"/>
      <c r="P201" s="472"/>
      <c r="Q201" s="472"/>
      <c r="R201" s="472"/>
      <c r="S201" s="472"/>
      <c r="T201" s="472"/>
      <c r="U201" s="472"/>
      <c r="V201" s="472"/>
      <c r="W201" s="472"/>
      <c r="X201" s="472"/>
      <c r="Y201" s="472"/>
      <c r="Z201" s="472"/>
      <c r="AA201" s="472"/>
      <c r="AB201" s="472"/>
      <c r="AC201" s="472">
        <v>1428</v>
      </c>
      <c r="AD201" s="472"/>
      <c r="AE201" s="472"/>
      <c r="AF201" s="486"/>
      <c r="AG201" s="486"/>
      <c r="AH201" s="472"/>
      <c r="AI201" s="472"/>
      <c r="AJ201" s="472"/>
      <c r="AK201" s="472"/>
      <c r="AL201" s="472"/>
      <c r="AM201" s="472"/>
      <c r="AN201" s="472"/>
      <c r="AO201" s="472"/>
      <c r="AP201" s="472"/>
      <c r="AQ201" s="472"/>
      <c r="AR201" s="80" t="s">
        <v>3952</v>
      </c>
      <c r="AS201" s="479"/>
    </row>
    <row r="202" s="26" customFormat="1" ht="19" customHeight="1" spans="1:45">
      <c r="A202" s="475"/>
      <c r="B202" s="494"/>
      <c r="C202" s="495"/>
      <c r="D202" s="496"/>
      <c r="E202" s="497"/>
      <c r="F202" s="497"/>
      <c r="G202" s="497"/>
      <c r="H202" s="497"/>
      <c r="I202" s="497"/>
      <c r="J202" s="497"/>
      <c r="K202" s="497"/>
      <c r="L202" s="497"/>
      <c r="M202" s="497"/>
      <c r="N202" s="497"/>
      <c r="O202" s="497"/>
      <c r="P202" s="497"/>
      <c r="Q202" s="497"/>
      <c r="R202" s="497"/>
      <c r="S202" s="497"/>
      <c r="T202" s="497"/>
      <c r="U202" s="497"/>
      <c r="V202" s="497"/>
      <c r="W202" s="497"/>
      <c r="X202" s="497"/>
      <c r="Y202" s="497"/>
      <c r="Z202" s="497">
        <v>500</v>
      </c>
      <c r="AA202" s="497"/>
      <c r="AB202" s="497"/>
      <c r="AC202" s="497"/>
      <c r="AD202" s="497"/>
      <c r="AE202" s="497"/>
      <c r="AF202" s="498"/>
      <c r="AG202" s="498"/>
      <c r="AH202" s="497"/>
      <c r="AI202" s="497"/>
      <c r="AJ202" s="497"/>
      <c r="AK202" s="497"/>
      <c r="AL202" s="497"/>
      <c r="AM202" s="497"/>
      <c r="AN202" s="497"/>
      <c r="AO202" s="497"/>
      <c r="AP202" s="497"/>
      <c r="AQ202" s="497"/>
      <c r="AR202" s="486" t="s">
        <v>3953</v>
      </c>
      <c r="AS202" s="479"/>
    </row>
    <row r="203" s="26" customFormat="1" ht="19" customHeight="1" spans="1:45">
      <c r="A203" s="475"/>
      <c r="B203" s="475">
        <v>45789</v>
      </c>
      <c r="C203" s="476">
        <v>1000027762</v>
      </c>
      <c r="D203" s="477"/>
      <c r="E203" s="472"/>
      <c r="F203" s="472"/>
      <c r="G203" s="472"/>
      <c r="H203" s="472"/>
      <c r="I203" s="472"/>
      <c r="J203" s="472"/>
      <c r="K203" s="472"/>
      <c r="L203" s="472"/>
      <c r="M203" s="472"/>
      <c r="N203" s="472"/>
      <c r="O203" s="472"/>
      <c r="P203" s="472"/>
      <c r="Q203" s="472">
        <v>3000</v>
      </c>
      <c r="R203" s="472"/>
      <c r="S203" s="472"/>
      <c r="T203" s="472"/>
      <c r="U203" s="472"/>
      <c r="V203" s="472"/>
      <c r="W203" s="472"/>
      <c r="X203" s="472"/>
      <c r="Y203" s="472"/>
      <c r="Z203" s="472"/>
      <c r="AA203" s="472"/>
      <c r="AB203" s="472"/>
      <c r="AC203" s="472"/>
      <c r="AD203" s="472"/>
      <c r="AE203" s="472"/>
      <c r="AF203" s="486"/>
      <c r="AG203" s="486"/>
      <c r="AH203" s="472"/>
      <c r="AI203" s="472"/>
      <c r="AJ203" s="472"/>
      <c r="AK203" s="472"/>
      <c r="AL203" s="472"/>
      <c r="AM203" s="472"/>
      <c r="AN203" s="472"/>
      <c r="AO203" s="472"/>
      <c r="AP203" s="472"/>
      <c r="AQ203" s="472"/>
      <c r="AR203" s="486" t="s">
        <v>3954</v>
      </c>
      <c r="AS203" s="479"/>
    </row>
    <row r="204" s="26" customFormat="1" ht="19" customHeight="1" spans="1:45">
      <c r="A204" s="475"/>
      <c r="B204" s="475">
        <v>45797</v>
      </c>
      <c r="C204" s="476">
        <v>1000028110</v>
      </c>
      <c r="D204" s="477"/>
      <c r="E204" s="472"/>
      <c r="F204" s="472"/>
      <c r="G204" s="472"/>
      <c r="H204" s="472">
        <v>30000</v>
      </c>
      <c r="I204" s="472"/>
      <c r="J204" s="472"/>
      <c r="K204" s="472"/>
      <c r="L204" s="472"/>
      <c r="M204" s="472"/>
      <c r="N204" s="472"/>
      <c r="O204" s="472"/>
      <c r="P204" s="472"/>
      <c r="Q204" s="472"/>
      <c r="R204" s="472"/>
      <c r="S204" s="472"/>
      <c r="T204" s="472"/>
      <c r="U204" s="472"/>
      <c r="V204" s="472"/>
      <c r="W204" s="472"/>
      <c r="X204" s="472"/>
      <c r="Y204" s="472"/>
      <c r="Z204" s="472"/>
      <c r="AA204" s="472"/>
      <c r="AB204" s="472"/>
      <c r="AC204" s="472"/>
      <c r="AD204" s="472"/>
      <c r="AE204" s="472"/>
      <c r="AF204" s="486"/>
      <c r="AG204" s="486"/>
      <c r="AH204" s="472"/>
      <c r="AI204" s="472"/>
      <c r="AJ204" s="472"/>
      <c r="AK204" s="472"/>
      <c r="AL204" s="472"/>
      <c r="AM204" s="472"/>
      <c r="AN204" s="472"/>
      <c r="AO204" s="472"/>
      <c r="AP204" s="472"/>
      <c r="AQ204" s="472"/>
      <c r="AR204" s="486"/>
      <c r="AS204" s="479"/>
    </row>
    <row r="205" s="26" customFormat="1" ht="19" customHeight="1" spans="1:45">
      <c r="A205" s="475"/>
      <c r="B205" s="475">
        <v>45797</v>
      </c>
      <c r="C205" s="476">
        <v>1000028111</v>
      </c>
      <c r="D205" s="477"/>
      <c r="E205" s="472"/>
      <c r="F205" s="472"/>
      <c r="G205" s="472"/>
      <c r="H205" s="472"/>
      <c r="I205" s="472"/>
      <c r="J205" s="472"/>
      <c r="K205" s="472"/>
      <c r="L205" s="472"/>
      <c r="M205" s="472"/>
      <c r="N205" s="472"/>
      <c r="O205" s="472">
        <v>30000</v>
      </c>
      <c r="P205" s="472"/>
      <c r="Q205" s="472"/>
      <c r="R205" s="472"/>
      <c r="S205" s="472"/>
      <c r="T205" s="472"/>
      <c r="U205" s="472"/>
      <c r="V205" s="472"/>
      <c r="W205" s="472"/>
      <c r="X205" s="472"/>
      <c r="Y205" s="472"/>
      <c r="Z205" s="472"/>
      <c r="AA205" s="472"/>
      <c r="AB205" s="472"/>
      <c r="AC205" s="472"/>
      <c r="AD205" s="472"/>
      <c r="AE205" s="472"/>
      <c r="AF205" s="486"/>
      <c r="AG205" s="486"/>
      <c r="AH205" s="472"/>
      <c r="AI205" s="472"/>
      <c r="AJ205" s="472"/>
      <c r="AK205" s="472"/>
      <c r="AL205" s="472"/>
      <c r="AM205" s="472"/>
      <c r="AN205" s="472"/>
      <c r="AO205" s="472"/>
      <c r="AP205" s="472"/>
      <c r="AQ205" s="472"/>
      <c r="AR205" s="486"/>
      <c r="AS205" s="479"/>
    </row>
    <row r="206" s="26" customFormat="1" ht="19" customHeight="1" spans="1:45">
      <c r="A206" s="475"/>
      <c r="B206" s="475">
        <v>45797</v>
      </c>
      <c r="C206" s="476">
        <v>1000028112</v>
      </c>
      <c r="D206" s="477"/>
      <c r="E206" s="472"/>
      <c r="F206" s="472"/>
      <c r="G206" s="472"/>
      <c r="H206" s="472"/>
      <c r="I206" s="472"/>
      <c r="J206" s="472"/>
      <c r="K206" s="472"/>
      <c r="L206" s="472"/>
      <c r="M206" s="472"/>
      <c r="N206" s="472"/>
      <c r="O206" s="472"/>
      <c r="P206" s="472"/>
      <c r="Q206" s="472"/>
      <c r="R206" s="472"/>
      <c r="S206" s="472">
        <v>3000</v>
      </c>
      <c r="T206" s="472"/>
      <c r="U206" s="472"/>
      <c r="V206" s="472"/>
      <c r="W206" s="472"/>
      <c r="X206" s="472"/>
      <c r="Y206" s="472"/>
      <c r="Z206" s="472"/>
      <c r="AA206" s="472"/>
      <c r="AB206" s="472"/>
      <c r="AC206" s="472"/>
      <c r="AD206" s="472"/>
      <c r="AE206" s="472"/>
      <c r="AF206" s="486"/>
      <c r="AG206" s="486"/>
      <c r="AH206" s="472"/>
      <c r="AI206" s="472"/>
      <c r="AJ206" s="472"/>
      <c r="AK206" s="472"/>
      <c r="AL206" s="472"/>
      <c r="AM206" s="472"/>
      <c r="AN206" s="472"/>
      <c r="AO206" s="472"/>
      <c r="AP206" s="472"/>
      <c r="AQ206" s="472"/>
      <c r="AR206" s="486"/>
      <c r="AS206" s="479"/>
    </row>
    <row r="207" s="26" customFormat="1" ht="19" customHeight="1" spans="1:45">
      <c r="A207" s="475"/>
      <c r="B207" s="475">
        <v>45797</v>
      </c>
      <c r="C207" s="476">
        <v>1000028113</v>
      </c>
      <c r="D207" s="477"/>
      <c r="E207" s="472"/>
      <c r="F207" s="472"/>
      <c r="G207" s="472"/>
      <c r="H207" s="472"/>
      <c r="I207" s="472"/>
      <c r="J207" s="472"/>
      <c r="K207" s="472"/>
      <c r="L207" s="472"/>
      <c r="M207" s="472"/>
      <c r="N207" s="472"/>
      <c r="O207" s="472"/>
      <c r="P207" s="472"/>
      <c r="Q207" s="472"/>
      <c r="R207" s="472"/>
      <c r="S207" s="472"/>
      <c r="T207" s="472"/>
      <c r="U207" s="472"/>
      <c r="V207" s="472">
        <v>2000</v>
      </c>
      <c r="W207" s="472"/>
      <c r="X207" s="472"/>
      <c r="Y207" s="472"/>
      <c r="Z207" s="472"/>
      <c r="AA207" s="472"/>
      <c r="AB207" s="472"/>
      <c r="AC207" s="472"/>
      <c r="AD207" s="472"/>
      <c r="AE207" s="472"/>
      <c r="AF207" s="486"/>
      <c r="AG207" s="486"/>
      <c r="AH207" s="472"/>
      <c r="AI207" s="472"/>
      <c r="AJ207" s="472"/>
      <c r="AK207" s="472"/>
      <c r="AL207" s="472"/>
      <c r="AM207" s="472"/>
      <c r="AN207" s="472"/>
      <c r="AO207" s="472"/>
      <c r="AP207" s="472"/>
      <c r="AQ207" s="472"/>
      <c r="AR207" s="486"/>
      <c r="AS207" s="479"/>
    </row>
    <row r="208" s="26" customFormat="1" ht="19" customHeight="1" spans="1:45">
      <c r="A208" s="475"/>
      <c r="B208" s="475">
        <v>45813</v>
      </c>
      <c r="C208" s="476">
        <v>1000028737</v>
      </c>
      <c r="D208" s="477"/>
      <c r="E208" s="472"/>
      <c r="F208" s="472"/>
      <c r="G208" s="472"/>
      <c r="H208" s="472">
        <v>50000</v>
      </c>
      <c r="I208" s="472"/>
      <c r="J208" s="472"/>
      <c r="K208" s="472"/>
      <c r="L208" s="472"/>
      <c r="M208" s="472"/>
      <c r="N208" s="472"/>
      <c r="O208" s="472"/>
      <c r="P208" s="472"/>
      <c r="Q208" s="472"/>
      <c r="R208" s="472"/>
      <c r="S208" s="472"/>
      <c r="T208" s="472"/>
      <c r="U208" s="472"/>
      <c r="V208" s="472"/>
      <c r="W208" s="472"/>
      <c r="X208" s="472"/>
      <c r="Y208" s="472"/>
      <c r="Z208" s="472"/>
      <c r="AA208" s="472"/>
      <c r="AB208" s="472"/>
      <c r="AC208" s="472"/>
      <c r="AD208" s="472"/>
      <c r="AE208" s="472"/>
      <c r="AF208" s="486"/>
      <c r="AG208" s="486"/>
      <c r="AH208" s="472"/>
      <c r="AI208" s="472"/>
      <c r="AJ208" s="472"/>
      <c r="AK208" s="472"/>
      <c r="AL208" s="472"/>
      <c r="AM208" s="472"/>
      <c r="AN208" s="472"/>
      <c r="AO208" s="472"/>
      <c r="AP208" s="472"/>
      <c r="AQ208" s="472"/>
      <c r="AR208" s="486"/>
      <c r="AS208" s="479"/>
    </row>
    <row r="209" s="26" customFormat="1" ht="19" customHeight="1" spans="1:45">
      <c r="A209" s="475"/>
      <c r="B209" s="475">
        <v>45813</v>
      </c>
      <c r="C209" s="476">
        <v>1000028738</v>
      </c>
      <c r="D209" s="477"/>
      <c r="E209" s="472"/>
      <c r="F209" s="472"/>
      <c r="G209" s="472"/>
      <c r="H209" s="472"/>
      <c r="I209" s="472"/>
      <c r="J209" s="472"/>
      <c r="K209" s="472">
        <v>30000</v>
      </c>
      <c r="L209" s="472"/>
      <c r="M209" s="472"/>
      <c r="N209" s="472"/>
      <c r="O209" s="472"/>
      <c r="P209" s="472"/>
      <c r="Q209" s="472"/>
      <c r="R209" s="472"/>
      <c r="S209" s="472"/>
      <c r="T209" s="472"/>
      <c r="U209" s="472"/>
      <c r="V209" s="472"/>
      <c r="W209" s="472"/>
      <c r="X209" s="472"/>
      <c r="Y209" s="472"/>
      <c r="Z209" s="472"/>
      <c r="AA209" s="472"/>
      <c r="AB209" s="472"/>
      <c r="AC209" s="472"/>
      <c r="AD209" s="472"/>
      <c r="AE209" s="472"/>
      <c r="AF209" s="486"/>
      <c r="AG209" s="486"/>
      <c r="AH209" s="472"/>
      <c r="AI209" s="472"/>
      <c r="AJ209" s="472"/>
      <c r="AK209" s="472"/>
      <c r="AL209" s="472"/>
      <c r="AM209" s="472"/>
      <c r="AN209" s="472"/>
      <c r="AO209" s="472"/>
      <c r="AP209" s="472"/>
      <c r="AQ209" s="472"/>
      <c r="AR209" s="486"/>
      <c r="AS209" s="479"/>
    </row>
    <row r="210" s="26" customFormat="1" ht="19" customHeight="1" spans="1:45">
      <c r="A210" s="475"/>
      <c r="B210" s="475">
        <v>45813</v>
      </c>
      <c r="C210" s="476">
        <v>1000028739</v>
      </c>
      <c r="D210" s="477"/>
      <c r="E210" s="472"/>
      <c r="F210" s="472"/>
      <c r="G210" s="472"/>
      <c r="H210" s="472"/>
      <c r="I210" s="472"/>
      <c r="J210" s="472"/>
      <c r="K210" s="472"/>
      <c r="L210" s="472"/>
      <c r="M210" s="472"/>
      <c r="N210" s="472"/>
      <c r="O210" s="472">
        <v>50000</v>
      </c>
      <c r="P210" s="472"/>
      <c r="Q210" s="472"/>
      <c r="R210" s="472"/>
      <c r="S210" s="472"/>
      <c r="T210" s="472"/>
      <c r="U210" s="472"/>
      <c r="V210" s="472"/>
      <c r="W210" s="472"/>
      <c r="X210" s="472"/>
      <c r="Y210" s="472"/>
      <c r="Z210" s="472"/>
      <c r="AA210" s="472"/>
      <c r="AB210" s="472"/>
      <c r="AC210" s="472"/>
      <c r="AD210" s="472"/>
      <c r="AE210" s="472"/>
      <c r="AF210" s="486"/>
      <c r="AG210" s="486"/>
      <c r="AH210" s="472"/>
      <c r="AI210" s="472"/>
      <c r="AJ210" s="472"/>
      <c r="AK210" s="472"/>
      <c r="AL210" s="472"/>
      <c r="AM210" s="472"/>
      <c r="AN210" s="472"/>
      <c r="AO210" s="472"/>
      <c r="AP210" s="472"/>
      <c r="AQ210" s="472"/>
      <c r="AR210" s="486"/>
      <c r="AS210" s="479"/>
    </row>
    <row r="211" s="26" customFormat="1" ht="19" customHeight="1" spans="1:45">
      <c r="A211" s="475"/>
      <c r="B211" s="475">
        <v>45813</v>
      </c>
      <c r="C211" s="476">
        <v>1000028740</v>
      </c>
      <c r="D211" s="477"/>
      <c r="E211" s="472"/>
      <c r="F211" s="472"/>
      <c r="G211" s="472"/>
      <c r="H211" s="472"/>
      <c r="I211" s="472"/>
      <c r="J211" s="472"/>
      <c r="K211" s="472"/>
      <c r="L211" s="472"/>
      <c r="M211" s="472"/>
      <c r="N211" s="472"/>
      <c r="O211" s="472"/>
      <c r="P211" s="472"/>
      <c r="Q211" s="472"/>
      <c r="R211" s="472"/>
      <c r="S211" s="472">
        <v>3000</v>
      </c>
      <c r="T211" s="472"/>
      <c r="U211" s="472"/>
      <c r="V211" s="472"/>
      <c r="W211" s="472"/>
      <c r="X211" s="472"/>
      <c r="Y211" s="472"/>
      <c r="Z211" s="472"/>
      <c r="AA211" s="472"/>
      <c r="AB211" s="472"/>
      <c r="AC211" s="472"/>
      <c r="AD211" s="472"/>
      <c r="AE211" s="472"/>
      <c r="AF211" s="486"/>
      <c r="AG211" s="486"/>
      <c r="AH211" s="472"/>
      <c r="AI211" s="472"/>
      <c r="AJ211" s="472"/>
      <c r="AK211" s="472"/>
      <c r="AL211" s="472"/>
      <c r="AM211" s="472"/>
      <c r="AN211" s="472"/>
      <c r="AO211" s="472"/>
      <c r="AP211" s="472"/>
      <c r="AQ211" s="472"/>
      <c r="AR211" s="486"/>
      <c r="AS211" s="479"/>
    </row>
    <row r="212" s="26" customFormat="1" ht="19" customHeight="1" spans="1:45">
      <c r="A212" s="475"/>
      <c r="B212" s="475">
        <v>45813</v>
      </c>
      <c r="C212" s="476">
        <v>1000028741</v>
      </c>
      <c r="D212" s="477"/>
      <c r="E212" s="472"/>
      <c r="F212" s="472"/>
      <c r="G212" s="472"/>
      <c r="H212" s="472"/>
      <c r="I212" s="472"/>
      <c r="J212" s="472"/>
      <c r="K212" s="472"/>
      <c r="L212" s="472"/>
      <c r="M212" s="472"/>
      <c r="N212" s="472"/>
      <c r="O212" s="472"/>
      <c r="P212" s="472"/>
      <c r="Q212" s="472"/>
      <c r="R212" s="472"/>
      <c r="S212" s="472"/>
      <c r="T212" s="472"/>
      <c r="U212" s="472"/>
      <c r="V212" s="472">
        <v>2000</v>
      </c>
      <c r="W212" s="472"/>
      <c r="X212" s="472"/>
      <c r="Y212" s="472"/>
      <c r="Z212" s="472"/>
      <c r="AA212" s="472"/>
      <c r="AB212" s="472"/>
      <c r="AC212" s="472"/>
      <c r="AD212" s="472"/>
      <c r="AE212" s="472"/>
      <c r="AF212" s="486"/>
      <c r="AG212" s="486"/>
      <c r="AH212" s="472"/>
      <c r="AI212" s="472"/>
      <c r="AJ212" s="472"/>
      <c r="AK212" s="472"/>
      <c r="AL212" s="472"/>
      <c r="AM212" s="472"/>
      <c r="AN212" s="472"/>
      <c r="AO212" s="472"/>
      <c r="AP212" s="472"/>
      <c r="AQ212" s="472"/>
      <c r="AR212" s="486"/>
      <c r="AS212" s="479"/>
    </row>
    <row r="213" s="26" customFormat="1" ht="19" customHeight="1" spans="1:45">
      <c r="A213" s="475"/>
      <c r="B213" s="475">
        <v>45833</v>
      </c>
      <c r="C213" s="476">
        <v>1000029215</v>
      </c>
      <c r="D213" s="477"/>
      <c r="E213" s="472"/>
      <c r="F213" s="472"/>
      <c r="G213" s="472"/>
      <c r="H213" s="472"/>
      <c r="I213" s="472"/>
      <c r="J213" s="472"/>
      <c r="K213" s="472"/>
      <c r="L213" s="472"/>
      <c r="M213" s="472"/>
      <c r="N213" s="472"/>
      <c r="O213" s="472"/>
      <c r="P213" s="472"/>
      <c r="Q213" s="472">
        <v>4059</v>
      </c>
      <c r="R213" s="472"/>
      <c r="S213" s="472"/>
      <c r="T213" s="472"/>
      <c r="U213" s="472"/>
      <c r="V213" s="472"/>
      <c r="W213" s="472"/>
      <c r="X213" s="472"/>
      <c r="Y213" s="472"/>
      <c r="Z213" s="472"/>
      <c r="AA213" s="472"/>
      <c r="AB213" s="472"/>
      <c r="AC213" s="472"/>
      <c r="AD213" s="472"/>
      <c r="AE213" s="472"/>
      <c r="AF213" s="486"/>
      <c r="AG213" s="486"/>
      <c r="AH213" s="472"/>
      <c r="AI213" s="472"/>
      <c r="AJ213" s="472"/>
      <c r="AK213" s="472"/>
      <c r="AL213" s="472"/>
      <c r="AM213" s="472"/>
      <c r="AN213" s="472"/>
      <c r="AO213" s="472"/>
      <c r="AP213" s="472"/>
      <c r="AQ213" s="472"/>
      <c r="AR213" s="486" t="s">
        <v>3955</v>
      </c>
      <c r="AS213" s="479"/>
    </row>
    <row r="214" s="26" customFormat="1" ht="19" customHeight="1" spans="1:45">
      <c r="A214" s="475"/>
      <c r="B214" s="475">
        <v>45846</v>
      </c>
      <c r="C214" s="476" t="s">
        <v>3956</v>
      </c>
      <c r="D214" s="477"/>
      <c r="E214" s="472"/>
      <c r="F214" s="472"/>
      <c r="G214" s="472"/>
      <c r="H214" s="472"/>
      <c r="I214" s="472">
        <v>50000</v>
      </c>
      <c r="J214" s="472"/>
      <c r="K214" s="472"/>
      <c r="L214" s="472"/>
      <c r="M214" s="472"/>
      <c r="N214" s="472"/>
      <c r="O214" s="472"/>
      <c r="P214" s="472"/>
      <c r="Q214" s="472"/>
      <c r="R214" s="472"/>
      <c r="S214" s="472"/>
      <c r="T214" s="472"/>
      <c r="U214" s="472"/>
      <c r="V214" s="472"/>
      <c r="W214" s="472"/>
      <c r="X214" s="472"/>
      <c r="Y214" s="472"/>
      <c r="Z214" s="472"/>
      <c r="AA214" s="472"/>
      <c r="AB214" s="472"/>
      <c r="AC214" s="472"/>
      <c r="AD214" s="472"/>
      <c r="AE214" s="472"/>
      <c r="AF214" s="486"/>
      <c r="AG214" s="486"/>
      <c r="AH214" s="472"/>
      <c r="AI214" s="472"/>
      <c r="AJ214" s="472"/>
      <c r="AK214" s="472"/>
      <c r="AL214" s="472"/>
      <c r="AM214" s="472"/>
      <c r="AN214" s="472"/>
      <c r="AO214" s="472"/>
      <c r="AP214" s="472"/>
      <c r="AQ214" s="472"/>
      <c r="AR214" s="486"/>
      <c r="AS214" s="479"/>
    </row>
    <row r="215" s="26" customFormat="1" ht="19" customHeight="1" spans="1:45">
      <c r="A215" s="475"/>
      <c r="B215" s="475">
        <v>45846</v>
      </c>
      <c r="C215" s="476" t="s">
        <v>3957</v>
      </c>
      <c r="D215" s="477"/>
      <c r="E215" s="472"/>
      <c r="F215" s="472"/>
      <c r="G215" s="472"/>
      <c r="H215" s="472"/>
      <c r="I215" s="472"/>
      <c r="J215" s="472"/>
      <c r="K215" s="472"/>
      <c r="L215" s="472"/>
      <c r="M215" s="472"/>
      <c r="N215" s="472"/>
      <c r="O215" s="472"/>
      <c r="P215" s="472">
        <v>50000</v>
      </c>
      <c r="Q215" s="472"/>
      <c r="R215" s="472"/>
      <c r="S215" s="472"/>
      <c r="T215" s="472"/>
      <c r="U215" s="472"/>
      <c r="V215" s="472"/>
      <c r="W215" s="472"/>
      <c r="X215" s="472"/>
      <c r="Y215" s="472"/>
      <c r="Z215" s="472"/>
      <c r="AA215" s="472"/>
      <c r="AB215" s="472"/>
      <c r="AC215" s="472"/>
      <c r="AD215" s="472"/>
      <c r="AE215" s="472"/>
      <c r="AF215" s="486"/>
      <c r="AG215" s="486"/>
      <c r="AH215" s="472"/>
      <c r="AI215" s="472"/>
      <c r="AJ215" s="472"/>
      <c r="AK215" s="472"/>
      <c r="AL215" s="472"/>
      <c r="AM215" s="472"/>
      <c r="AN215" s="472"/>
      <c r="AO215" s="472"/>
      <c r="AP215" s="472"/>
      <c r="AQ215" s="472"/>
      <c r="AR215" s="486"/>
      <c r="AS215" s="479"/>
    </row>
    <row r="216" s="26" customFormat="1" ht="22" customHeight="1" spans="1:45">
      <c r="A216" s="475"/>
      <c r="B216" s="475">
        <v>45846</v>
      </c>
      <c r="C216" s="476" t="s">
        <v>3958</v>
      </c>
      <c r="D216" s="477"/>
      <c r="E216" s="472"/>
      <c r="F216" s="472"/>
      <c r="G216" s="472"/>
      <c r="H216" s="472"/>
      <c r="I216" s="472"/>
      <c r="J216" s="472"/>
      <c r="K216" s="472"/>
      <c r="L216" s="472"/>
      <c r="M216" s="472"/>
      <c r="N216" s="472"/>
      <c r="O216" s="472">
        <v>38793</v>
      </c>
      <c r="P216" s="472"/>
      <c r="Q216" s="472"/>
      <c r="R216" s="472"/>
      <c r="S216" s="472"/>
      <c r="T216" s="472"/>
      <c r="U216" s="472"/>
      <c r="V216" s="472"/>
      <c r="W216" s="472"/>
      <c r="X216" s="472"/>
      <c r="Y216" s="472"/>
      <c r="Z216" s="472"/>
      <c r="AA216" s="472"/>
      <c r="AB216" s="472"/>
      <c r="AC216" s="472"/>
      <c r="AD216" s="472"/>
      <c r="AE216" s="472"/>
      <c r="AF216" s="486"/>
      <c r="AG216" s="486"/>
      <c r="AH216" s="472"/>
      <c r="AI216" s="472"/>
      <c r="AJ216" s="472"/>
      <c r="AK216" s="472"/>
      <c r="AL216" s="472"/>
      <c r="AM216" s="472"/>
      <c r="AN216" s="472"/>
      <c r="AO216" s="472"/>
      <c r="AP216" s="472"/>
      <c r="AQ216" s="472"/>
      <c r="AR216" s="486"/>
      <c r="AS216" s="479"/>
    </row>
    <row r="217" s="26" customFormat="1" ht="22" customHeight="1" spans="1:45">
      <c r="A217" s="475"/>
      <c r="B217" s="475">
        <v>45866</v>
      </c>
      <c r="C217" s="476" t="s">
        <v>3959</v>
      </c>
      <c r="D217" s="477"/>
      <c r="E217" s="472"/>
      <c r="F217" s="472"/>
      <c r="G217" s="472"/>
      <c r="H217" s="472">
        <v>30000</v>
      </c>
      <c r="I217" s="472"/>
      <c r="J217" s="472"/>
      <c r="K217" s="472"/>
      <c r="L217" s="472"/>
      <c r="M217" s="472"/>
      <c r="N217" s="472"/>
      <c r="O217" s="472"/>
      <c r="P217" s="472"/>
      <c r="Q217" s="472"/>
      <c r="R217" s="472"/>
      <c r="S217" s="472"/>
      <c r="T217" s="472"/>
      <c r="U217" s="472"/>
      <c r="V217" s="472"/>
      <c r="W217" s="472"/>
      <c r="X217" s="472"/>
      <c r="Y217" s="472"/>
      <c r="Z217" s="472"/>
      <c r="AA217" s="472"/>
      <c r="AB217" s="472"/>
      <c r="AC217" s="472"/>
      <c r="AD217" s="472"/>
      <c r="AE217" s="472"/>
      <c r="AF217" s="486"/>
      <c r="AG217" s="486"/>
      <c r="AH217" s="472"/>
      <c r="AI217" s="472"/>
      <c r="AJ217" s="472"/>
      <c r="AK217" s="472"/>
      <c r="AL217" s="472"/>
      <c r="AM217" s="472"/>
      <c r="AN217" s="472"/>
      <c r="AO217" s="472"/>
      <c r="AP217" s="472"/>
      <c r="AQ217" s="472"/>
      <c r="AR217" s="486"/>
      <c r="AS217" s="479"/>
    </row>
    <row r="218" s="26" customFormat="1" ht="22" customHeight="1" spans="1:45">
      <c r="A218" s="475"/>
      <c r="B218" s="475">
        <v>45866</v>
      </c>
      <c r="C218" s="476" t="s">
        <v>3960</v>
      </c>
      <c r="D218" s="477"/>
      <c r="E218" s="472"/>
      <c r="F218" s="472"/>
      <c r="G218" s="472"/>
      <c r="H218" s="472"/>
      <c r="I218" s="472"/>
      <c r="J218" s="472"/>
      <c r="K218" s="472">
        <v>30000</v>
      </c>
      <c r="L218" s="472"/>
      <c r="M218" s="472"/>
      <c r="N218" s="472"/>
      <c r="O218" s="472"/>
      <c r="P218" s="472"/>
      <c r="Q218" s="472"/>
      <c r="R218" s="472"/>
      <c r="S218" s="472"/>
      <c r="T218" s="472"/>
      <c r="U218" s="472"/>
      <c r="V218" s="472"/>
      <c r="W218" s="472"/>
      <c r="X218" s="472"/>
      <c r="Y218" s="472"/>
      <c r="Z218" s="472"/>
      <c r="AA218" s="472"/>
      <c r="AB218" s="472"/>
      <c r="AC218" s="472"/>
      <c r="AD218" s="472"/>
      <c r="AE218" s="472"/>
      <c r="AF218" s="486"/>
      <c r="AG218" s="486"/>
      <c r="AH218" s="472"/>
      <c r="AI218" s="472"/>
      <c r="AJ218" s="472"/>
      <c r="AK218" s="472"/>
      <c r="AL218" s="472"/>
      <c r="AM218" s="472"/>
      <c r="AN218" s="472"/>
      <c r="AO218" s="472"/>
      <c r="AP218" s="472"/>
      <c r="AQ218" s="472"/>
      <c r="AR218" s="486"/>
      <c r="AS218" s="479"/>
    </row>
    <row r="219" s="26" customFormat="1" ht="22" customHeight="1" spans="1:45">
      <c r="A219" s="475"/>
      <c r="B219" s="475">
        <v>45866</v>
      </c>
      <c r="C219" s="476" t="s">
        <v>3961</v>
      </c>
      <c r="D219" s="477"/>
      <c r="E219" s="472"/>
      <c r="F219" s="472"/>
      <c r="G219" s="472"/>
      <c r="H219" s="472"/>
      <c r="I219" s="472"/>
      <c r="J219" s="472"/>
      <c r="K219" s="472"/>
      <c r="L219" s="472"/>
      <c r="M219" s="472"/>
      <c r="N219" s="472"/>
      <c r="O219" s="472">
        <v>30000</v>
      </c>
      <c r="P219" s="472"/>
      <c r="Q219" s="472"/>
      <c r="R219" s="472"/>
      <c r="S219" s="472"/>
      <c r="T219" s="472"/>
      <c r="U219" s="472"/>
      <c r="V219" s="472"/>
      <c r="W219" s="472"/>
      <c r="X219" s="472"/>
      <c r="Y219" s="472"/>
      <c r="Z219" s="472"/>
      <c r="AA219" s="472"/>
      <c r="AB219" s="472"/>
      <c r="AC219" s="472"/>
      <c r="AD219" s="472"/>
      <c r="AE219" s="472"/>
      <c r="AF219" s="486"/>
      <c r="AG219" s="486"/>
      <c r="AH219" s="472"/>
      <c r="AI219" s="472"/>
      <c r="AJ219" s="472"/>
      <c r="AK219" s="472"/>
      <c r="AL219" s="472"/>
      <c r="AM219" s="472"/>
      <c r="AN219" s="472"/>
      <c r="AO219" s="472"/>
      <c r="AP219" s="472"/>
      <c r="AQ219" s="472"/>
      <c r="AR219" s="486"/>
      <c r="AS219" s="479"/>
    </row>
    <row r="220" s="26" customFormat="1" ht="22" customHeight="1" spans="1:45">
      <c r="A220" s="475"/>
      <c r="B220" s="475">
        <v>45866</v>
      </c>
      <c r="C220" s="476" t="s">
        <v>3962</v>
      </c>
      <c r="D220" s="477"/>
      <c r="E220" s="472"/>
      <c r="F220" s="472"/>
      <c r="G220" s="472"/>
      <c r="H220" s="472"/>
      <c r="I220" s="472"/>
      <c r="J220" s="472"/>
      <c r="K220" s="472"/>
      <c r="L220" s="472"/>
      <c r="M220" s="472"/>
      <c r="N220" s="472"/>
      <c r="O220" s="472"/>
      <c r="P220" s="472"/>
      <c r="Q220" s="472"/>
      <c r="R220" s="472"/>
      <c r="S220" s="472">
        <v>2000</v>
      </c>
      <c r="T220" s="472"/>
      <c r="U220" s="472"/>
      <c r="V220" s="472"/>
      <c r="W220" s="472"/>
      <c r="X220" s="472"/>
      <c r="Y220" s="472"/>
      <c r="Z220" s="472"/>
      <c r="AA220" s="472"/>
      <c r="AB220" s="472"/>
      <c r="AC220" s="472"/>
      <c r="AD220" s="472"/>
      <c r="AE220" s="472"/>
      <c r="AF220" s="486"/>
      <c r="AG220" s="486"/>
      <c r="AH220" s="472"/>
      <c r="AI220" s="472"/>
      <c r="AJ220" s="472"/>
      <c r="AK220" s="472"/>
      <c r="AL220" s="472"/>
      <c r="AM220" s="472"/>
      <c r="AN220" s="472"/>
      <c r="AO220" s="472"/>
      <c r="AP220" s="472"/>
      <c r="AQ220" s="472"/>
      <c r="AR220" s="486"/>
      <c r="AS220" s="479"/>
    </row>
    <row r="221" s="26" customFormat="1" ht="22" customHeight="1" spans="1:45">
      <c r="A221" s="475"/>
      <c r="B221" s="475">
        <v>45866</v>
      </c>
      <c r="C221" s="476" t="s">
        <v>3963</v>
      </c>
      <c r="D221" s="477"/>
      <c r="E221" s="472"/>
      <c r="F221" s="472"/>
      <c r="G221" s="472"/>
      <c r="H221" s="472"/>
      <c r="I221" s="472"/>
      <c r="J221" s="472"/>
      <c r="K221" s="472"/>
      <c r="L221" s="472"/>
      <c r="M221" s="472"/>
      <c r="N221" s="472"/>
      <c r="O221" s="472"/>
      <c r="P221" s="472"/>
      <c r="Q221" s="472"/>
      <c r="R221" s="472"/>
      <c r="S221" s="472"/>
      <c r="T221" s="472"/>
      <c r="U221" s="472"/>
      <c r="V221" s="472">
        <v>3000</v>
      </c>
      <c r="W221" s="472"/>
      <c r="X221" s="472"/>
      <c r="Y221" s="472"/>
      <c r="Z221" s="472"/>
      <c r="AA221" s="472"/>
      <c r="AB221" s="472"/>
      <c r="AC221" s="472"/>
      <c r="AD221" s="472"/>
      <c r="AE221" s="472"/>
      <c r="AF221" s="486"/>
      <c r="AG221" s="486"/>
      <c r="AH221" s="472"/>
      <c r="AI221" s="472"/>
      <c r="AJ221" s="472"/>
      <c r="AK221" s="472"/>
      <c r="AL221" s="472"/>
      <c r="AM221" s="472"/>
      <c r="AN221" s="472"/>
      <c r="AO221" s="472"/>
      <c r="AP221" s="472"/>
      <c r="AQ221" s="472"/>
      <c r="AR221" s="486"/>
      <c r="AS221" s="479"/>
    </row>
    <row r="222" s="26" customFormat="1" ht="22" customHeight="1" spans="1:45">
      <c r="A222" s="475"/>
      <c r="B222" s="475">
        <v>45877</v>
      </c>
      <c r="C222" s="476"/>
      <c r="D222" s="477"/>
      <c r="E222" s="472"/>
      <c r="F222" s="472"/>
      <c r="G222" s="472"/>
      <c r="H222" s="472"/>
      <c r="I222" s="472"/>
      <c r="J222" s="472"/>
      <c r="K222" s="472"/>
      <c r="L222" s="472"/>
      <c r="M222" s="472"/>
      <c r="N222" s="472"/>
      <c r="O222" s="472"/>
      <c r="P222" s="472"/>
      <c r="Q222" s="472"/>
      <c r="R222" s="472"/>
      <c r="S222" s="472"/>
      <c r="T222" s="472"/>
      <c r="U222" s="472"/>
      <c r="V222" s="472"/>
      <c r="W222" s="472"/>
      <c r="X222" s="472"/>
      <c r="Y222" s="472"/>
      <c r="Z222" s="472"/>
      <c r="AA222" s="472"/>
      <c r="AB222" s="472"/>
      <c r="AC222" s="472"/>
      <c r="AD222" s="472"/>
      <c r="AE222" s="472"/>
      <c r="AF222" s="486"/>
      <c r="AG222" s="486"/>
      <c r="AH222" s="472"/>
      <c r="AI222" s="472"/>
      <c r="AJ222" s="472"/>
      <c r="AK222" s="472"/>
      <c r="AL222" s="472"/>
      <c r="AM222" s="472">
        <v>800</v>
      </c>
      <c r="AN222" s="472"/>
      <c r="AO222" s="472"/>
      <c r="AP222" s="472"/>
      <c r="AQ222" s="472"/>
      <c r="AR222" s="486">
        <v>4500176452</v>
      </c>
      <c r="AS222" s="479"/>
    </row>
    <row r="223" s="26" customFormat="1" ht="22" customHeight="1" spans="1:45">
      <c r="A223" s="475"/>
      <c r="B223" s="475">
        <v>45889</v>
      </c>
      <c r="C223" s="476" t="s">
        <v>3964</v>
      </c>
      <c r="D223" s="477"/>
      <c r="E223" s="472"/>
      <c r="F223" s="472"/>
      <c r="G223" s="472"/>
      <c r="H223" s="472">
        <v>30000</v>
      </c>
      <c r="I223" s="472"/>
      <c r="J223" s="472"/>
      <c r="K223" s="472"/>
      <c r="L223" s="472"/>
      <c r="M223" s="472"/>
      <c r="N223" s="472"/>
      <c r="O223" s="472"/>
      <c r="P223" s="472"/>
      <c r="Q223" s="472"/>
      <c r="R223" s="472"/>
      <c r="S223" s="472"/>
      <c r="T223" s="472"/>
      <c r="U223" s="472"/>
      <c r="V223" s="472"/>
      <c r="W223" s="472"/>
      <c r="X223" s="472"/>
      <c r="Y223" s="472"/>
      <c r="Z223" s="472"/>
      <c r="AA223" s="472"/>
      <c r="AB223" s="472"/>
      <c r="AC223" s="472"/>
      <c r="AD223" s="472"/>
      <c r="AE223" s="472"/>
      <c r="AF223" s="486"/>
      <c r="AG223" s="486"/>
      <c r="AH223" s="472"/>
      <c r="AI223" s="472"/>
      <c r="AJ223" s="472"/>
      <c r="AK223" s="472"/>
      <c r="AL223" s="472"/>
      <c r="AM223" s="472"/>
      <c r="AN223" s="472"/>
      <c r="AO223" s="472"/>
      <c r="AP223" s="472"/>
      <c r="AQ223" s="472"/>
      <c r="AR223" s="486"/>
      <c r="AS223" s="479"/>
    </row>
    <row r="224" s="26" customFormat="1" ht="19" customHeight="1" spans="1:45">
      <c r="A224" s="475"/>
      <c r="B224" s="475">
        <v>45889</v>
      </c>
      <c r="C224" s="476" t="s">
        <v>3965</v>
      </c>
      <c r="D224" s="477"/>
      <c r="E224" s="472"/>
      <c r="F224" s="472"/>
      <c r="G224" s="472"/>
      <c r="H224" s="472"/>
      <c r="I224" s="472"/>
      <c r="J224" s="472"/>
      <c r="K224" s="472"/>
      <c r="L224" s="472"/>
      <c r="M224" s="472"/>
      <c r="N224" s="472"/>
      <c r="O224" s="472">
        <v>30000</v>
      </c>
      <c r="P224" s="472"/>
      <c r="Q224" s="472"/>
      <c r="R224" s="472"/>
      <c r="S224" s="472"/>
      <c r="T224" s="472"/>
      <c r="U224" s="472"/>
      <c r="V224" s="472"/>
      <c r="W224" s="472"/>
      <c r="X224" s="472"/>
      <c r="Y224" s="472"/>
      <c r="Z224" s="472"/>
      <c r="AA224" s="472"/>
      <c r="AB224" s="472"/>
      <c r="AC224" s="472"/>
      <c r="AD224" s="472"/>
      <c r="AE224" s="472"/>
      <c r="AF224" s="486"/>
      <c r="AG224" s="486"/>
      <c r="AH224" s="472"/>
      <c r="AI224" s="472"/>
      <c r="AJ224" s="472"/>
      <c r="AK224" s="472"/>
      <c r="AL224" s="472"/>
      <c r="AM224" s="472"/>
      <c r="AN224" s="472"/>
      <c r="AO224" s="472"/>
      <c r="AP224" s="472"/>
      <c r="AQ224" s="472"/>
      <c r="AR224" s="486"/>
      <c r="AS224" s="479"/>
    </row>
    <row r="225" s="26" customFormat="1" ht="19" customHeight="1" spans="1:45">
      <c r="A225" s="475"/>
      <c r="B225" s="475">
        <v>45891</v>
      </c>
      <c r="C225" s="476"/>
      <c r="D225" s="477"/>
      <c r="E225" s="472"/>
      <c r="F225" s="472"/>
      <c r="G225" s="472"/>
      <c r="H225" s="472"/>
      <c r="I225" s="472"/>
      <c r="J225" s="472"/>
      <c r="K225" s="472"/>
      <c r="L225" s="472"/>
      <c r="M225" s="472"/>
      <c r="N225" s="472"/>
      <c r="O225" s="472"/>
      <c r="P225" s="472"/>
      <c r="Q225" s="472"/>
      <c r="R225" s="472"/>
      <c r="S225" s="472"/>
      <c r="T225" s="472"/>
      <c r="U225" s="472"/>
      <c r="V225" s="472"/>
      <c r="W225" s="472"/>
      <c r="X225" s="472"/>
      <c r="Y225" s="472"/>
      <c r="Z225" s="472"/>
      <c r="AA225" s="472"/>
      <c r="AB225" s="472"/>
      <c r="AC225" s="472"/>
      <c r="AD225" s="472"/>
      <c r="AE225" s="472"/>
      <c r="AF225" s="486">
        <v>1997</v>
      </c>
      <c r="AG225" s="486"/>
      <c r="AH225" s="472"/>
      <c r="AI225" s="472"/>
      <c r="AJ225" s="472"/>
      <c r="AK225" s="472"/>
      <c r="AL225" s="472"/>
      <c r="AM225" s="472"/>
      <c r="AN225" s="472"/>
      <c r="AO225" s="472"/>
      <c r="AP225" s="472"/>
      <c r="AQ225" s="472"/>
      <c r="AR225" s="486">
        <v>4500177536</v>
      </c>
      <c r="AS225" s="479"/>
    </row>
    <row r="226" s="26" customFormat="1" ht="19" customHeight="1" spans="1:45">
      <c r="A226" s="475"/>
      <c r="B226" s="475">
        <v>45897</v>
      </c>
      <c r="C226" s="476">
        <v>1000031525</v>
      </c>
      <c r="D226" s="477"/>
      <c r="E226" s="472"/>
      <c r="F226" s="472"/>
      <c r="G226" s="472"/>
      <c r="H226" s="472"/>
      <c r="I226" s="472"/>
      <c r="J226" s="472"/>
      <c r="K226" s="472"/>
      <c r="L226" s="472"/>
      <c r="M226" s="472"/>
      <c r="N226" s="472"/>
      <c r="O226" s="472"/>
      <c r="P226" s="472"/>
      <c r="Q226" s="472"/>
      <c r="R226" s="472"/>
      <c r="S226" s="472"/>
      <c r="T226" s="472"/>
      <c r="U226" s="472"/>
      <c r="V226" s="472"/>
      <c r="W226" s="472"/>
      <c r="X226" s="472"/>
      <c r="Y226" s="472"/>
      <c r="Z226" s="472"/>
      <c r="AA226" s="472"/>
      <c r="AB226" s="472"/>
      <c r="AC226" s="472"/>
      <c r="AD226" s="472"/>
      <c r="AE226" s="472"/>
      <c r="AF226" s="486"/>
      <c r="AG226" s="486"/>
      <c r="AH226" s="472"/>
      <c r="AI226" s="472"/>
      <c r="AJ226" s="472"/>
      <c r="AK226" s="472"/>
      <c r="AL226" s="472"/>
      <c r="AM226" s="472">
        <v>560</v>
      </c>
      <c r="AN226" s="472"/>
      <c r="AO226" s="472"/>
      <c r="AP226" s="472"/>
      <c r="AQ226" s="472"/>
      <c r="AR226" s="486" t="s">
        <v>3966</v>
      </c>
      <c r="AS226" s="479"/>
    </row>
    <row r="227" s="26" customFormat="1" ht="19" customHeight="1" spans="1:45">
      <c r="A227" s="475"/>
      <c r="B227" s="475"/>
      <c r="C227" s="476"/>
      <c r="D227" s="477"/>
      <c r="E227" s="472"/>
      <c r="F227" s="472"/>
      <c r="G227" s="472"/>
      <c r="H227" s="472"/>
      <c r="I227" s="472"/>
      <c r="J227" s="472"/>
      <c r="K227" s="472"/>
      <c r="L227" s="472"/>
      <c r="M227" s="472"/>
      <c r="N227" s="472"/>
      <c r="O227" s="472"/>
      <c r="P227" s="472"/>
      <c r="Q227" s="472"/>
      <c r="R227" s="472"/>
      <c r="S227" s="472"/>
      <c r="T227" s="472"/>
      <c r="U227" s="472"/>
      <c r="V227" s="472"/>
      <c r="W227" s="472"/>
      <c r="X227" s="472"/>
      <c r="Y227" s="472"/>
      <c r="Z227" s="472">
        <v>500</v>
      </c>
      <c r="AA227" s="472"/>
      <c r="AB227" s="472"/>
      <c r="AC227" s="472"/>
      <c r="AD227" s="472"/>
      <c r="AE227" s="472"/>
      <c r="AF227" s="486"/>
      <c r="AG227" s="486"/>
      <c r="AH227" s="472"/>
      <c r="AI227" s="472"/>
      <c r="AJ227" s="472"/>
      <c r="AK227" s="472"/>
      <c r="AL227" s="472"/>
      <c r="AM227" s="472"/>
      <c r="AN227" s="472"/>
      <c r="AO227" s="472"/>
      <c r="AP227" s="472"/>
      <c r="AQ227" s="472"/>
      <c r="AR227" s="486" t="s">
        <v>3967</v>
      </c>
      <c r="AS227" s="479"/>
    </row>
    <row r="228" s="26" customFormat="1" ht="19" customHeight="1" spans="1:45">
      <c r="A228" s="475"/>
      <c r="B228" s="475"/>
      <c r="C228" s="476"/>
      <c r="D228" s="477"/>
      <c r="E228" s="472"/>
      <c r="F228" s="472"/>
      <c r="G228" s="472"/>
      <c r="H228" s="472"/>
      <c r="I228" s="472"/>
      <c r="J228" s="472"/>
      <c r="K228" s="472"/>
      <c r="L228" s="472"/>
      <c r="M228" s="472"/>
      <c r="N228" s="472"/>
      <c r="O228" s="472"/>
      <c r="P228" s="472"/>
      <c r="Q228" s="472"/>
      <c r="R228" s="472"/>
      <c r="S228" s="472"/>
      <c r="T228" s="472"/>
      <c r="U228" s="472"/>
      <c r="V228" s="472"/>
      <c r="W228" s="472"/>
      <c r="X228" s="472"/>
      <c r="Y228" s="472"/>
      <c r="Z228" s="472">
        <v>500</v>
      </c>
      <c r="AA228" s="472"/>
      <c r="AB228" s="472"/>
      <c r="AC228" s="472"/>
      <c r="AD228" s="472"/>
      <c r="AE228" s="472"/>
      <c r="AF228" s="486"/>
      <c r="AG228" s="486"/>
      <c r="AH228" s="472"/>
      <c r="AI228" s="472"/>
      <c r="AJ228" s="472"/>
      <c r="AK228" s="472"/>
      <c r="AL228" s="472"/>
      <c r="AM228" s="472"/>
      <c r="AN228" s="472"/>
      <c r="AO228" s="472"/>
      <c r="AP228" s="472"/>
      <c r="AQ228" s="472"/>
      <c r="AR228" s="486" t="s">
        <v>3968</v>
      </c>
      <c r="AS228" s="479"/>
    </row>
    <row r="229" s="26" customFormat="1" ht="19" customHeight="1" spans="1:45">
      <c r="A229" s="475"/>
      <c r="B229" s="475">
        <v>45904</v>
      </c>
      <c r="C229" s="476" t="s">
        <v>3969</v>
      </c>
      <c r="D229" s="477"/>
      <c r="E229" s="472"/>
      <c r="F229" s="472"/>
      <c r="G229" s="472"/>
      <c r="H229" s="472">
        <v>35000</v>
      </c>
      <c r="I229" s="472"/>
      <c r="J229" s="472"/>
      <c r="K229" s="472"/>
      <c r="L229" s="472"/>
      <c r="M229" s="472"/>
      <c r="N229" s="472"/>
      <c r="O229" s="472"/>
      <c r="P229" s="472"/>
      <c r="Q229" s="472"/>
      <c r="R229" s="472"/>
      <c r="S229" s="472"/>
      <c r="T229" s="472"/>
      <c r="U229" s="472"/>
      <c r="V229" s="472"/>
      <c r="W229" s="472"/>
      <c r="X229" s="472"/>
      <c r="Y229" s="472"/>
      <c r="Z229" s="472"/>
      <c r="AA229" s="472"/>
      <c r="AB229" s="472"/>
      <c r="AC229" s="472"/>
      <c r="AD229" s="472"/>
      <c r="AE229" s="472"/>
      <c r="AF229" s="486"/>
      <c r="AG229" s="486"/>
      <c r="AH229" s="472"/>
      <c r="AI229" s="472"/>
      <c r="AJ229" s="472"/>
      <c r="AK229" s="472"/>
      <c r="AL229" s="472"/>
      <c r="AM229" s="472"/>
      <c r="AN229" s="472"/>
      <c r="AO229" s="472"/>
      <c r="AP229" s="472"/>
      <c r="AQ229" s="472"/>
      <c r="AR229" s="486"/>
      <c r="AS229" s="479"/>
    </row>
    <row r="230" s="26" customFormat="1" ht="19" customHeight="1" spans="1:45">
      <c r="A230" s="475"/>
      <c r="B230" s="475">
        <v>45904</v>
      </c>
      <c r="C230" s="476" t="s">
        <v>3970</v>
      </c>
      <c r="D230" s="477"/>
      <c r="E230" s="472"/>
      <c r="F230" s="472"/>
      <c r="G230" s="472"/>
      <c r="H230" s="472"/>
      <c r="I230" s="472"/>
      <c r="J230" s="472"/>
      <c r="K230" s="472"/>
      <c r="L230" s="472"/>
      <c r="M230" s="472"/>
      <c r="N230" s="472"/>
      <c r="O230" s="472">
        <v>50000</v>
      </c>
      <c r="P230" s="472"/>
      <c r="Q230" s="472"/>
      <c r="R230" s="472"/>
      <c r="S230" s="472"/>
      <c r="T230" s="472"/>
      <c r="U230" s="472"/>
      <c r="V230" s="472"/>
      <c r="W230" s="472"/>
      <c r="X230" s="472"/>
      <c r="Y230" s="472"/>
      <c r="Z230" s="472"/>
      <c r="AA230" s="472"/>
      <c r="AB230" s="472"/>
      <c r="AC230" s="472"/>
      <c r="AD230" s="472"/>
      <c r="AE230" s="472"/>
      <c r="AF230" s="486"/>
      <c r="AG230" s="486"/>
      <c r="AH230" s="472"/>
      <c r="AI230" s="472"/>
      <c r="AJ230" s="472"/>
      <c r="AK230" s="472"/>
      <c r="AL230" s="472"/>
      <c r="AM230" s="472"/>
      <c r="AN230" s="472"/>
      <c r="AO230" s="472"/>
      <c r="AP230" s="472"/>
      <c r="AQ230" s="472"/>
      <c r="AR230" s="486"/>
      <c r="AS230" s="479"/>
    </row>
    <row r="231" s="26" customFormat="1" ht="19" customHeight="1" spans="1:45">
      <c r="A231" s="475"/>
      <c r="B231" s="475">
        <v>45954</v>
      </c>
      <c r="C231" s="476" t="s">
        <v>3971</v>
      </c>
      <c r="D231" s="477"/>
      <c r="E231" s="472"/>
      <c r="F231" s="472"/>
      <c r="G231" s="472"/>
      <c r="H231" s="472"/>
      <c r="I231" s="472"/>
      <c r="J231" s="472"/>
      <c r="K231" s="472"/>
      <c r="L231" s="472">
        <v>15000</v>
      </c>
      <c r="M231" s="472"/>
      <c r="N231" s="472"/>
      <c r="O231" s="472"/>
      <c r="P231" s="472"/>
      <c r="Q231" s="472"/>
      <c r="R231" s="472"/>
      <c r="S231" s="472"/>
      <c r="T231" s="472"/>
      <c r="U231" s="472"/>
      <c r="V231" s="472"/>
      <c r="W231" s="472"/>
      <c r="X231" s="472"/>
      <c r="Y231" s="472"/>
      <c r="Z231" s="472"/>
      <c r="AA231" s="472"/>
      <c r="AB231" s="472"/>
      <c r="AC231" s="472"/>
      <c r="AD231" s="472"/>
      <c r="AE231" s="472"/>
      <c r="AF231" s="486"/>
      <c r="AG231" s="486"/>
      <c r="AH231" s="472"/>
      <c r="AI231" s="472"/>
      <c r="AJ231" s="472"/>
      <c r="AK231" s="472"/>
      <c r="AL231" s="472"/>
      <c r="AM231" s="472"/>
      <c r="AN231" s="472"/>
      <c r="AO231" s="472"/>
      <c r="AP231" s="472"/>
      <c r="AQ231" s="472"/>
      <c r="AR231" s="486"/>
      <c r="AS231" s="479"/>
    </row>
    <row r="232" s="26" customFormat="1" ht="19" customHeight="1" spans="1:45">
      <c r="A232" s="475"/>
      <c r="B232" s="475">
        <v>45954</v>
      </c>
      <c r="C232" s="476" t="s">
        <v>3972</v>
      </c>
      <c r="D232" s="477"/>
      <c r="E232" s="472"/>
      <c r="F232" s="472"/>
      <c r="G232" s="472"/>
      <c r="H232" s="472"/>
      <c r="I232" s="472"/>
      <c r="J232" s="472"/>
      <c r="K232" s="472"/>
      <c r="L232" s="472"/>
      <c r="M232" s="472"/>
      <c r="N232" s="472"/>
      <c r="O232" s="472"/>
      <c r="P232" s="472"/>
      <c r="Q232" s="472"/>
      <c r="R232" s="472"/>
      <c r="S232" s="472"/>
      <c r="T232" s="472"/>
      <c r="U232" s="472"/>
      <c r="V232" s="472"/>
      <c r="W232" s="497">
        <v>2000</v>
      </c>
      <c r="X232" s="472"/>
      <c r="Y232" s="472"/>
      <c r="Z232" s="472"/>
      <c r="AA232" s="472"/>
      <c r="AB232" s="472"/>
      <c r="AC232" s="472"/>
      <c r="AD232" s="472"/>
      <c r="AE232" s="472"/>
      <c r="AF232" s="486"/>
      <c r="AG232" s="486"/>
      <c r="AH232" s="472"/>
      <c r="AI232" s="472"/>
      <c r="AJ232" s="472"/>
      <c r="AK232" s="472"/>
      <c r="AL232" s="472"/>
      <c r="AM232" s="472"/>
      <c r="AN232" s="472"/>
      <c r="AO232" s="472"/>
      <c r="AP232" s="472"/>
      <c r="AQ232" s="472"/>
      <c r="AR232" s="486"/>
      <c r="AS232" s="479"/>
    </row>
    <row r="233" s="26" customFormat="1" ht="19" customHeight="1" spans="1:45">
      <c r="A233" s="475"/>
      <c r="B233" s="475">
        <v>45975</v>
      </c>
      <c r="C233" s="476" t="s">
        <v>3973</v>
      </c>
      <c r="D233" s="477"/>
      <c r="E233" s="472"/>
      <c r="F233" s="472"/>
      <c r="G233" s="472"/>
      <c r="H233" s="472">
        <f>16449+6378</f>
        <v>22827</v>
      </c>
      <c r="I233" s="472"/>
      <c r="J233" s="472"/>
      <c r="K233" s="472"/>
      <c r="L233" s="472"/>
      <c r="M233" s="472"/>
      <c r="N233" s="472"/>
      <c r="O233" s="472"/>
      <c r="P233" s="472"/>
      <c r="Q233" s="472"/>
      <c r="R233" s="472"/>
      <c r="S233" s="472"/>
      <c r="T233" s="472"/>
      <c r="U233" s="472"/>
      <c r="V233" s="472"/>
      <c r="W233" s="499"/>
      <c r="X233" s="472"/>
      <c r="Y233" s="472"/>
      <c r="Z233" s="472"/>
      <c r="AA233" s="472"/>
      <c r="AB233" s="472"/>
      <c r="AC233" s="472"/>
      <c r="AD233" s="472"/>
      <c r="AE233" s="472"/>
      <c r="AF233" s="486"/>
      <c r="AG233" s="486"/>
      <c r="AH233" s="472"/>
      <c r="AI233" s="472"/>
      <c r="AJ233" s="472"/>
      <c r="AK233" s="472"/>
      <c r="AL233" s="472"/>
      <c r="AM233" s="472"/>
      <c r="AN233" s="472"/>
      <c r="AO233" s="472"/>
      <c r="AP233" s="472"/>
      <c r="AQ233" s="472"/>
      <c r="AR233" s="486"/>
      <c r="AS233" s="479"/>
    </row>
    <row r="234" s="26" customFormat="1" ht="19" customHeight="1" spans="1:45">
      <c r="A234" s="475"/>
      <c r="B234" s="475">
        <v>45975</v>
      </c>
      <c r="C234" s="476" t="s">
        <v>3974</v>
      </c>
      <c r="D234" s="477"/>
      <c r="E234" s="472"/>
      <c r="F234" s="472"/>
      <c r="G234" s="472"/>
      <c r="H234" s="472"/>
      <c r="I234" s="472"/>
      <c r="J234" s="472"/>
      <c r="K234" s="472">
        <v>8236</v>
      </c>
      <c r="L234" s="472"/>
      <c r="M234" s="472"/>
      <c r="N234" s="472"/>
      <c r="O234" s="472"/>
      <c r="P234" s="472"/>
      <c r="Q234" s="472"/>
      <c r="R234" s="472"/>
      <c r="S234" s="472"/>
      <c r="T234" s="472"/>
      <c r="U234" s="472"/>
      <c r="V234" s="472"/>
      <c r="W234" s="499"/>
      <c r="X234" s="472"/>
      <c r="Y234" s="472"/>
      <c r="Z234" s="472"/>
      <c r="AA234" s="472"/>
      <c r="AB234" s="472"/>
      <c r="AC234" s="472"/>
      <c r="AD234" s="472"/>
      <c r="AE234" s="472"/>
      <c r="AF234" s="486"/>
      <c r="AG234" s="486"/>
      <c r="AH234" s="472"/>
      <c r="AI234" s="472"/>
      <c r="AJ234" s="472"/>
      <c r="AK234" s="472"/>
      <c r="AL234" s="472"/>
      <c r="AM234" s="472"/>
      <c r="AN234" s="472"/>
      <c r="AO234" s="472"/>
      <c r="AP234" s="472"/>
      <c r="AQ234" s="472"/>
      <c r="AR234" s="486"/>
      <c r="AS234" s="479"/>
    </row>
    <row r="235" s="26" customFormat="1" ht="19" customHeight="1" spans="1:45">
      <c r="A235" s="475"/>
      <c r="B235" s="475">
        <v>45975</v>
      </c>
      <c r="C235" s="476" t="s">
        <v>3975</v>
      </c>
      <c r="D235" s="477"/>
      <c r="E235" s="472"/>
      <c r="F235" s="472"/>
      <c r="G235" s="472"/>
      <c r="H235" s="472"/>
      <c r="I235" s="472"/>
      <c r="J235" s="472"/>
      <c r="K235" s="472"/>
      <c r="L235" s="472"/>
      <c r="M235" s="472"/>
      <c r="N235" s="472"/>
      <c r="O235" s="472">
        <f>21176+6378</f>
        <v>27554</v>
      </c>
      <c r="P235" s="472"/>
      <c r="Q235" s="472"/>
      <c r="R235" s="472"/>
      <c r="S235" s="472"/>
      <c r="T235" s="472"/>
      <c r="U235" s="472"/>
      <c r="V235" s="472"/>
      <c r="W235" s="499"/>
      <c r="X235" s="472"/>
      <c r="Y235" s="472"/>
      <c r="Z235" s="472"/>
      <c r="AA235" s="472"/>
      <c r="AB235" s="472"/>
      <c r="AC235" s="472"/>
      <c r="AD235" s="472"/>
      <c r="AE235" s="472"/>
      <c r="AF235" s="486"/>
      <c r="AG235" s="486"/>
      <c r="AH235" s="472"/>
      <c r="AI235" s="472"/>
      <c r="AJ235" s="472"/>
      <c r="AK235" s="472"/>
      <c r="AL235" s="472"/>
      <c r="AM235" s="472"/>
      <c r="AN235" s="472"/>
      <c r="AO235" s="472"/>
      <c r="AP235" s="472"/>
      <c r="AQ235" s="472"/>
      <c r="AR235" s="486"/>
      <c r="AS235" s="479"/>
    </row>
    <row r="236" s="26" customFormat="1" ht="19" customHeight="1" spans="1:45">
      <c r="A236" s="475"/>
      <c r="B236" s="475">
        <v>45975</v>
      </c>
      <c r="C236" s="476" t="s">
        <v>3976</v>
      </c>
      <c r="D236" s="477"/>
      <c r="E236" s="472"/>
      <c r="F236" s="472"/>
      <c r="G236" s="472"/>
      <c r="H236" s="472"/>
      <c r="I236" s="472"/>
      <c r="J236" s="472"/>
      <c r="K236" s="472"/>
      <c r="L236" s="472"/>
      <c r="M236" s="472"/>
      <c r="N236" s="472"/>
      <c r="O236" s="472"/>
      <c r="P236" s="472"/>
      <c r="Q236" s="472"/>
      <c r="R236" s="472"/>
      <c r="S236" s="472"/>
      <c r="T236" s="472">
        <v>2000</v>
      </c>
      <c r="U236" s="472"/>
      <c r="V236" s="472"/>
      <c r="W236" s="499"/>
      <c r="X236" s="472"/>
      <c r="Y236" s="472"/>
      <c r="Z236" s="472"/>
      <c r="AA236" s="472"/>
      <c r="AB236" s="472"/>
      <c r="AC236" s="472"/>
      <c r="AD236" s="472"/>
      <c r="AE236" s="472"/>
      <c r="AF236" s="486"/>
      <c r="AG236" s="486"/>
      <c r="AH236" s="472"/>
      <c r="AI236" s="472"/>
      <c r="AJ236" s="472"/>
      <c r="AK236" s="472"/>
      <c r="AL236" s="472"/>
      <c r="AM236" s="472"/>
      <c r="AN236" s="472"/>
      <c r="AO236" s="472"/>
      <c r="AP236" s="472"/>
      <c r="AQ236" s="472"/>
      <c r="AR236" s="486"/>
      <c r="AS236" s="479"/>
    </row>
    <row r="237" s="26" customFormat="1" ht="19" customHeight="1" spans="1:45">
      <c r="A237" s="475"/>
      <c r="B237" s="475">
        <v>45975</v>
      </c>
      <c r="C237" s="476" t="s">
        <v>3977</v>
      </c>
      <c r="D237" s="477"/>
      <c r="E237" s="472"/>
      <c r="F237" s="472"/>
      <c r="G237" s="472"/>
      <c r="H237" s="472"/>
      <c r="I237" s="472"/>
      <c r="J237" s="472"/>
      <c r="K237" s="472"/>
      <c r="L237" s="472"/>
      <c r="M237" s="472"/>
      <c r="N237" s="472"/>
      <c r="O237" s="472"/>
      <c r="P237" s="472"/>
      <c r="Q237" s="472"/>
      <c r="R237" s="472"/>
      <c r="S237" s="472"/>
      <c r="T237" s="472"/>
      <c r="U237" s="472"/>
      <c r="V237" s="472"/>
      <c r="W237" s="472">
        <v>2000</v>
      </c>
      <c r="X237" s="472"/>
      <c r="Y237" s="472"/>
      <c r="Z237" s="472"/>
      <c r="AA237" s="472"/>
      <c r="AB237" s="472"/>
      <c r="AC237" s="472"/>
      <c r="AD237" s="472"/>
      <c r="AE237" s="472"/>
      <c r="AF237" s="486"/>
      <c r="AG237" s="486"/>
      <c r="AH237" s="472"/>
      <c r="AI237" s="472"/>
      <c r="AJ237" s="472"/>
      <c r="AK237" s="472"/>
      <c r="AL237" s="472"/>
      <c r="AM237" s="472"/>
      <c r="AN237" s="472"/>
      <c r="AO237" s="472"/>
      <c r="AP237" s="472"/>
      <c r="AQ237" s="472"/>
      <c r="AR237" s="486"/>
      <c r="AS237" s="479"/>
    </row>
    <row r="238" s="26" customFormat="1" ht="19" customHeight="1" spans="1:45">
      <c r="A238" s="475"/>
      <c r="B238" s="475">
        <v>45975</v>
      </c>
      <c r="C238" s="476"/>
      <c r="D238" s="477"/>
      <c r="E238" s="472"/>
      <c r="F238" s="472"/>
      <c r="G238" s="472"/>
      <c r="H238" s="472"/>
      <c r="I238" s="472"/>
      <c r="J238" s="472"/>
      <c r="K238" s="472"/>
      <c r="L238" s="472"/>
      <c r="M238" s="472"/>
      <c r="N238" s="472"/>
      <c r="O238" s="472"/>
      <c r="P238" s="472"/>
      <c r="Q238" s="472"/>
      <c r="R238" s="472"/>
      <c r="S238" s="472"/>
      <c r="T238" s="472"/>
      <c r="U238" s="472"/>
      <c r="V238" s="472"/>
      <c r="W238" s="499"/>
      <c r="X238" s="472"/>
      <c r="Y238" s="472"/>
      <c r="Z238" s="472"/>
      <c r="AA238" s="472"/>
      <c r="AB238" s="472"/>
      <c r="AC238" s="472"/>
      <c r="AD238" s="472"/>
      <c r="AE238" s="472"/>
      <c r="AF238" s="486">
        <v>1063</v>
      </c>
      <c r="AG238" s="486"/>
      <c r="AH238" s="472"/>
      <c r="AI238" s="472"/>
      <c r="AJ238" s="472"/>
      <c r="AK238" s="472"/>
      <c r="AL238" s="472"/>
      <c r="AM238" s="472"/>
      <c r="AN238" s="472"/>
      <c r="AO238" s="472"/>
      <c r="AP238" s="472"/>
      <c r="AQ238" s="472"/>
      <c r="AR238" s="486">
        <v>4500185200</v>
      </c>
      <c r="AS238" s="479"/>
    </row>
    <row r="239" s="26" customFormat="1" ht="19" customHeight="1" spans="1:45">
      <c r="A239" s="475"/>
      <c r="B239" s="475">
        <v>46007</v>
      </c>
      <c r="C239" s="476" t="s">
        <v>3978</v>
      </c>
      <c r="D239" s="477"/>
      <c r="E239" s="472"/>
      <c r="F239" s="472"/>
      <c r="G239" s="472"/>
      <c r="H239" s="472"/>
      <c r="I239" s="472">
        <v>20000</v>
      </c>
      <c r="J239" s="472"/>
      <c r="K239" s="472"/>
      <c r="L239" s="472"/>
      <c r="M239" s="472"/>
      <c r="N239" s="472"/>
      <c r="O239" s="472"/>
      <c r="P239" s="472"/>
      <c r="Q239" s="472"/>
      <c r="R239" s="472"/>
      <c r="S239" s="472"/>
      <c r="T239" s="472"/>
      <c r="U239" s="472"/>
      <c r="V239" s="472"/>
      <c r="W239" s="499"/>
      <c r="X239" s="472"/>
      <c r="Y239" s="472"/>
      <c r="Z239" s="472"/>
      <c r="AA239" s="472"/>
      <c r="AB239" s="472"/>
      <c r="AC239" s="472"/>
      <c r="AD239" s="472"/>
      <c r="AE239" s="472"/>
      <c r="AF239" s="486"/>
      <c r="AG239" s="486"/>
      <c r="AH239" s="472"/>
      <c r="AI239" s="472"/>
      <c r="AJ239" s="472"/>
      <c r="AK239" s="472"/>
      <c r="AL239" s="472"/>
      <c r="AM239" s="472"/>
      <c r="AN239" s="472"/>
      <c r="AO239" s="472"/>
      <c r="AP239" s="472"/>
      <c r="AQ239" s="472"/>
      <c r="AR239" s="486"/>
      <c r="AS239" s="479"/>
    </row>
    <row r="240" s="26" customFormat="1" ht="19" customHeight="1" spans="1:45">
      <c r="A240" s="475"/>
      <c r="B240" s="475">
        <v>46007</v>
      </c>
      <c r="C240" s="476" t="s">
        <v>3979</v>
      </c>
      <c r="D240" s="477"/>
      <c r="E240" s="472"/>
      <c r="F240" s="472"/>
      <c r="G240" s="472"/>
      <c r="H240" s="472"/>
      <c r="I240" s="472"/>
      <c r="J240" s="472"/>
      <c r="K240" s="472"/>
      <c r="L240" s="472">
        <v>60000</v>
      </c>
      <c r="M240" s="472"/>
      <c r="N240" s="472"/>
      <c r="O240" s="472"/>
      <c r="P240" s="472"/>
      <c r="Q240" s="472"/>
      <c r="R240" s="472"/>
      <c r="S240" s="472"/>
      <c r="T240" s="472"/>
      <c r="U240" s="472"/>
      <c r="V240" s="472"/>
      <c r="W240" s="499"/>
      <c r="X240" s="472"/>
      <c r="Y240" s="472"/>
      <c r="Z240" s="472"/>
      <c r="AA240" s="472"/>
      <c r="AB240" s="472"/>
      <c r="AC240" s="472"/>
      <c r="AD240" s="472"/>
      <c r="AE240" s="472"/>
      <c r="AF240" s="486"/>
      <c r="AG240" s="486"/>
      <c r="AH240" s="472"/>
      <c r="AI240" s="472"/>
      <c r="AJ240" s="472"/>
      <c r="AK240" s="472"/>
      <c r="AL240" s="472"/>
      <c r="AM240" s="472"/>
      <c r="AN240" s="472"/>
      <c r="AO240" s="472"/>
      <c r="AP240" s="472"/>
      <c r="AQ240" s="472"/>
      <c r="AR240" s="486"/>
      <c r="AS240" s="479"/>
    </row>
    <row r="241" s="26" customFormat="1" ht="19" customHeight="1" spans="1:45">
      <c r="A241" s="475"/>
      <c r="B241" s="475">
        <v>46007</v>
      </c>
      <c r="C241" s="476" t="s">
        <v>3980</v>
      </c>
      <c r="D241" s="477"/>
      <c r="E241" s="472"/>
      <c r="F241" s="472"/>
      <c r="G241" s="472"/>
      <c r="H241" s="472"/>
      <c r="I241" s="472"/>
      <c r="J241" s="472"/>
      <c r="K241" s="472"/>
      <c r="L241" s="472"/>
      <c r="M241" s="472"/>
      <c r="N241" s="472"/>
      <c r="O241" s="472"/>
      <c r="P241" s="472">
        <v>80000</v>
      </c>
      <c r="Q241" s="472"/>
      <c r="R241" s="472"/>
      <c r="S241" s="472"/>
      <c r="T241" s="472"/>
      <c r="U241" s="472"/>
      <c r="V241" s="472"/>
      <c r="W241" s="499"/>
      <c r="X241" s="472"/>
      <c r="Y241" s="472"/>
      <c r="Z241" s="472"/>
      <c r="AA241" s="472"/>
      <c r="AB241" s="472"/>
      <c r="AC241" s="472"/>
      <c r="AD241" s="472"/>
      <c r="AE241" s="472"/>
      <c r="AF241" s="486"/>
      <c r="AG241" s="486"/>
      <c r="AH241" s="472"/>
      <c r="AI241" s="472"/>
      <c r="AJ241" s="472"/>
      <c r="AK241" s="472"/>
      <c r="AL241" s="472"/>
      <c r="AM241" s="472"/>
      <c r="AN241" s="472"/>
      <c r="AO241" s="472"/>
      <c r="AP241" s="472"/>
      <c r="AQ241" s="472"/>
      <c r="AR241" s="486"/>
      <c r="AS241" s="479"/>
    </row>
    <row r="242" s="26" customFormat="1" ht="19" customHeight="1" spans="1:45">
      <c r="A242" s="475"/>
      <c r="B242" s="475">
        <v>46007</v>
      </c>
      <c r="C242" s="476" t="s">
        <v>3981</v>
      </c>
      <c r="D242" s="477"/>
      <c r="E242" s="472"/>
      <c r="F242" s="472"/>
      <c r="G242" s="472"/>
      <c r="H242" s="472"/>
      <c r="I242" s="472"/>
      <c r="J242" s="472"/>
      <c r="K242" s="472"/>
      <c r="L242" s="472"/>
      <c r="M242" s="472"/>
      <c r="N242" s="472"/>
      <c r="O242" s="472"/>
      <c r="P242" s="472"/>
      <c r="Q242" s="472"/>
      <c r="R242" s="472"/>
      <c r="S242" s="472"/>
      <c r="T242" s="472"/>
      <c r="U242" s="472"/>
      <c r="V242" s="472"/>
      <c r="W242" s="472">
        <v>2000</v>
      </c>
      <c r="X242" s="472"/>
      <c r="Y242" s="472"/>
      <c r="Z242" s="472"/>
      <c r="AA242" s="472"/>
      <c r="AB242" s="472"/>
      <c r="AC242" s="472"/>
      <c r="AD242" s="472"/>
      <c r="AE242" s="472"/>
      <c r="AF242" s="486"/>
      <c r="AG242" s="486"/>
      <c r="AH242" s="472"/>
      <c r="AI242" s="472"/>
      <c r="AJ242" s="472"/>
      <c r="AK242" s="472"/>
      <c r="AL242" s="472"/>
      <c r="AM242" s="472"/>
      <c r="AN242" s="472"/>
      <c r="AO242" s="472"/>
      <c r="AP242" s="472"/>
      <c r="AQ242" s="472"/>
      <c r="AR242" s="486"/>
      <c r="AS242" s="479"/>
    </row>
    <row r="243" s="26" customFormat="1" ht="19" customHeight="1" spans="1:45">
      <c r="A243" s="475"/>
      <c r="B243" s="475">
        <v>46015</v>
      </c>
      <c r="C243" s="476" t="s">
        <v>3982</v>
      </c>
      <c r="D243" s="477"/>
      <c r="E243" s="472"/>
      <c r="F243" s="472"/>
      <c r="G243" s="472"/>
      <c r="H243" s="472"/>
      <c r="I243" s="472">
        <v>30000</v>
      </c>
      <c r="J243" s="472"/>
      <c r="K243" s="472"/>
      <c r="L243" s="472"/>
      <c r="M243" s="472"/>
      <c r="N243" s="472"/>
      <c r="O243" s="472"/>
      <c r="P243" s="472"/>
      <c r="Q243" s="472"/>
      <c r="R243" s="472"/>
      <c r="S243" s="472"/>
      <c r="T243" s="472"/>
      <c r="U243" s="472"/>
      <c r="V243" s="472"/>
      <c r="W243" s="499"/>
      <c r="X243" s="472"/>
      <c r="Y243" s="472"/>
      <c r="Z243" s="472"/>
      <c r="AA243" s="472"/>
      <c r="AB243" s="472"/>
      <c r="AC243" s="472"/>
      <c r="AD243" s="472"/>
      <c r="AE243" s="472"/>
      <c r="AF243" s="486"/>
      <c r="AG243" s="486"/>
      <c r="AH243" s="472"/>
      <c r="AI243" s="472"/>
      <c r="AJ243" s="472"/>
      <c r="AK243" s="472"/>
      <c r="AL243" s="472"/>
      <c r="AM243" s="472"/>
      <c r="AN243" s="472"/>
      <c r="AO243" s="472"/>
      <c r="AP243" s="472"/>
      <c r="AQ243" s="472"/>
      <c r="AR243" s="486"/>
      <c r="AS243" s="479"/>
    </row>
    <row r="244" s="26" customFormat="1" ht="19" customHeight="1" spans="1:45">
      <c r="A244" s="475"/>
      <c r="B244" s="475">
        <v>46015</v>
      </c>
      <c r="C244" s="476" t="s">
        <v>3983</v>
      </c>
      <c r="D244" s="477"/>
      <c r="E244" s="472"/>
      <c r="F244" s="472"/>
      <c r="G244" s="472"/>
      <c r="H244" s="472"/>
      <c r="I244" s="472"/>
      <c r="J244" s="472"/>
      <c r="K244" s="472"/>
      <c r="L244" s="472">
        <v>20000</v>
      </c>
      <c r="M244" s="472"/>
      <c r="N244" s="472"/>
      <c r="O244" s="472"/>
      <c r="P244" s="472"/>
      <c r="Q244" s="472"/>
      <c r="R244" s="472"/>
      <c r="S244" s="472"/>
      <c r="T244" s="472"/>
      <c r="U244" s="472"/>
      <c r="V244" s="472"/>
      <c r="W244" s="499"/>
      <c r="X244" s="472"/>
      <c r="Y244" s="472"/>
      <c r="Z244" s="472"/>
      <c r="AA244" s="472"/>
      <c r="AB244" s="472"/>
      <c r="AC244" s="472"/>
      <c r="AD244" s="472"/>
      <c r="AE244" s="472"/>
      <c r="AF244" s="486"/>
      <c r="AG244" s="486"/>
      <c r="AH244" s="472"/>
      <c r="AI244" s="472"/>
      <c r="AJ244" s="472"/>
      <c r="AK244" s="472"/>
      <c r="AL244" s="472"/>
      <c r="AM244" s="472"/>
      <c r="AN244" s="472"/>
      <c r="AO244" s="472"/>
      <c r="AP244" s="472"/>
      <c r="AQ244" s="472"/>
      <c r="AR244" s="486"/>
      <c r="AS244" s="479"/>
    </row>
    <row r="245" s="26" customFormat="1" ht="19" customHeight="1" spans="1:45">
      <c r="A245" s="475"/>
      <c r="B245" s="475">
        <v>46015</v>
      </c>
      <c r="C245" s="476" t="s">
        <v>3984</v>
      </c>
      <c r="D245" s="477"/>
      <c r="E245" s="472"/>
      <c r="F245" s="472"/>
      <c r="G245" s="472"/>
      <c r="H245" s="472"/>
      <c r="I245" s="472"/>
      <c r="J245" s="472"/>
      <c r="K245" s="472"/>
      <c r="L245" s="472"/>
      <c r="M245" s="472"/>
      <c r="N245" s="472"/>
      <c r="O245" s="472"/>
      <c r="P245" s="472">
        <v>30000</v>
      </c>
      <c r="Q245" s="472"/>
      <c r="R245" s="472"/>
      <c r="S245" s="472"/>
      <c r="T245" s="472"/>
      <c r="U245" s="472"/>
      <c r="V245" s="472"/>
      <c r="W245" s="499"/>
      <c r="X245" s="472"/>
      <c r="Y245" s="472"/>
      <c r="Z245" s="472"/>
      <c r="AA245" s="472"/>
      <c r="AB245" s="472"/>
      <c r="AC245" s="472"/>
      <c r="AD245" s="472"/>
      <c r="AE245" s="472"/>
      <c r="AF245" s="486"/>
      <c r="AG245" s="486"/>
      <c r="AH245" s="472"/>
      <c r="AI245" s="472"/>
      <c r="AJ245" s="472"/>
      <c r="AK245" s="472"/>
      <c r="AL245" s="472"/>
      <c r="AM245" s="472"/>
      <c r="AN245" s="472"/>
      <c r="AO245" s="472"/>
      <c r="AP245" s="472"/>
      <c r="AQ245" s="472"/>
      <c r="AR245" s="486"/>
      <c r="AS245" s="479"/>
    </row>
    <row r="246" s="26" customFormat="1" ht="19" customHeight="1" spans="1:45">
      <c r="A246" s="475"/>
      <c r="B246" s="475">
        <v>46015</v>
      </c>
      <c r="C246" s="476" t="s">
        <v>3985</v>
      </c>
      <c r="D246" s="477"/>
      <c r="E246" s="472"/>
      <c r="F246" s="472"/>
      <c r="G246" s="472"/>
      <c r="H246" s="472"/>
      <c r="I246" s="472"/>
      <c r="J246" s="472"/>
      <c r="K246" s="472"/>
      <c r="L246" s="472"/>
      <c r="M246" s="472"/>
      <c r="N246" s="472"/>
      <c r="O246" s="472"/>
      <c r="P246" s="472"/>
      <c r="Q246" s="472"/>
      <c r="R246" s="472"/>
      <c r="S246" s="472"/>
      <c r="T246" s="472"/>
      <c r="U246" s="472"/>
      <c r="V246" s="472"/>
      <c r="W246" s="472">
        <v>2000</v>
      </c>
      <c r="X246" s="472"/>
      <c r="Y246" s="472"/>
      <c r="Z246" s="472"/>
      <c r="AA246" s="472"/>
      <c r="AB246" s="472"/>
      <c r="AC246" s="472"/>
      <c r="AD246" s="472"/>
      <c r="AE246" s="472"/>
      <c r="AF246" s="486"/>
      <c r="AG246" s="486"/>
      <c r="AH246" s="472"/>
      <c r="AI246" s="472"/>
      <c r="AJ246" s="472"/>
      <c r="AK246" s="472"/>
      <c r="AL246" s="472"/>
      <c r="AM246" s="472"/>
      <c r="AN246" s="472"/>
      <c r="AO246" s="472"/>
      <c r="AP246" s="472"/>
      <c r="AQ246" s="472"/>
      <c r="AR246" s="486"/>
      <c r="AS246" s="479"/>
    </row>
    <row r="247" s="26" customFormat="1" ht="19" customHeight="1" spans="1:45">
      <c r="A247" s="475"/>
      <c r="B247" s="475">
        <v>46029</v>
      </c>
      <c r="C247" s="476"/>
      <c r="D247" s="477"/>
      <c r="E247" s="472"/>
      <c r="F247" s="472"/>
      <c r="G247" s="472"/>
      <c r="H247" s="472"/>
      <c r="I247" s="472"/>
      <c r="J247" s="472"/>
      <c r="K247" s="472"/>
      <c r="L247" s="472"/>
      <c r="M247" s="472"/>
      <c r="N247" s="472"/>
      <c r="O247" s="472"/>
      <c r="P247" s="472"/>
      <c r="Q247" s="472"/>
      <c r="R247" s="472"/>
      <c r="S247" s="472"/>
      <c r="T247" s="472"/>
      <c r="U247" s="472"/>
      <c r="V247" s="472"/>
      <c r="W247" s="472"/>
      <c r="X247" s="472"/>
      <c r="Y247" s="472"/>
      <c r="Z247" s="472"/>
      <c r="AA247" s="472"/>
      <c r="AB247" s="472"/>
      <c r="AC247" s="472"/>
      <c r="AD247" s="472"/>
      <c r="AE247" s="472"/>
      <c r="AF247" s="486"/>
      <c r="AG247" s="486">
        <v>1732</v>
      </c>
      <c r="AH247" s="472"/>
      <c r="AI247" s="472"/>
      <c r="AJ247" s="472"/>
      <c r="AK247" s="472"/>
      <c r="AL247" s="472"/>
      <c r="AM247" s="472"/>
      <c r="AN247" s="472"/>
      <c r="AO247" s="472"/>
      <c r="AP247" s="472"/>
      <c r="AQ247" s="472"/>
      <c r="AR247" s="486" t="s">
        <v>3986</v>
      </c>
      <c r="AS247" s="479"/>
    </row>
    <row r="248" s="438" customFormat="1" ht="19" customHeight="1" spans="1:45">
      <c r="A248" s="494"/>
      <c r="B248" s="494">
        <v>46062</v>
      </c>
      <c r="C248" s="495">
        <v>1000036508</v>
      </c>
      <c r="D248" s="496"/>
      <c r="E248" s="497"/>
      <c r="F248" s="497"/>
      <c r="G248" s="497"/>
      <c r="H248" s="497"/>
      <c r="I248" s="497"/>
      <c r="J248" s="497"/>
      <c r="K248" s="497"/>
      <c r="L248" s="497"/>
      <c r="M248" s="497"/>
      <c r="N248" s="497"/>
      <c r="O248" s="497"/>
      <c r="P248" s="497"/>
      <c r="Q248" s="497">
        <v>3000</v>
      </c>
      <c r="R248" s="497"/>
      <c r="S248" s="497"/>
      <c r="T248" s="497"/>
      <c r="U248" s="497"/>
      <c r="V248" s="497"/>
      <c r="W248" s="497"/>
      <c r="X248" s="497"/>
      <c r="Y248" s="497"/>
      <c r="Z248" s="497"/>
      <c r="AA248" s="497"/>
      <c r="AB248" s="497"/>
      <c r="AC248" s="497"/>
      <c r="AD248" s="497"/>
      <c r="AE248" s="497"/>
      <c r="AF248" s="498"/>
      <c r="AG248" s="498"/>
      <c r="AH248" s="497"/>
      <c r="AI248" s="497"/>
      <c r="AJ248" s="497"/>
      <c r="AK248" s="497"/>
      <c r="AL248" s="497"/>
      <c r="AM248" s="497"/>
      <c r="AN248" s="497"/>
      <c r="AO248" s="497"/>
      <c r="AP248" s="497"/>
      <c r="AQ248" s="497"/>
      <c r="AR248" s="500" t="s">
        <v>3987</v>
      </c>
      <c r="AS248" s="501"/>
    </row>
    <row r="249" s="26" customFormat="1" ht="19" customHeight="1" spans="1:45">
      <c r="A249" s="475"/>
      <c r="B249" s="475">
        <v>46090</v>
      </c>
      <c r="C249" s="476" t="s">
        <v>3988</v>
      </c>
      <c r="D249" s="477"/>
      <c r="E249" s="472"/>
      <c r="F249" s="472"/>
      <c r="G249" s="472"/>
      <c r="H249" s="472"/>
      <c r="I249" s="472">
        <v>20000</v>
      </c>
      <c r="J249" s="472"/>
      <c r="K249" s="472"/>
      <c r="L249" s="472"/>
      <c r="M249" s="472"/>
      <c r="N249" s="472"/>
      <c r="O249" s="472"/>
      <c r="P249" s="472"/>
      <c r="Q249" s="472"/>
      <c r="R249" s="472"/>
      <c r="S249" s="472"/>
      <c r="T249" s="472"/>
      <c r="U249" s="472"/>
      <c r="V249" s="472"/>
      <c r="W249" s="472"/>
      <c r="X249" s="472"/>
      <c r="Y249" s="472"/>
      <c r="Z249" s="472"/>
      <c r="AA249" s="472"/>
      <c r="AB249" s="472"/>
      <c r="AC249" s="472"/>
      <c r="AD249" s="472"/>
      <c r="AE249" s="472"/>
      <c r="AF249" s="486"/>
      <c r="AG249" s="486"/>
      <c r="AH249" s="472"/>
      <c r="AI249" s="472"/>
      <c r="AJ249" s="472"/>
      <c r="AK249" s="472"/>
      <c r="AL249" s="472"/>
      <c r="AM249" s="472"/>
      <c r="AN249" s="472"/>
      <c r="AO249" s="472"/>
      <c r="AP249" s="472"/>
      <c r="AQ249" s="472"/>
      <c r="AR249" s="486"/>
      <c r="AS249" s="479"/>
    </row>
    <row r="250" s="26" customFormat="1" ht="19" customHeight="1" spans="1:45">
      <c r="A250" s="475"/>
      <c r="B250" s="475">
        <v>46090</v>
      </c>
      <c r="C250" s="476" t="s">
        <v>3989</v>
      </c>
      <c r="D250" s="477"/>
      <c r="E250" s="472"/>
      <c r="F250" s="472"/>
      <c r="G250" s="472"/>
      <c r="H250" s="472"/>
      <c r="I250" s="472"/>
      <c r="J250" s="472"/>
      <c r="K250" s="472"/>
      <c r="L250" s="472">
        <v>30000</v>
      </c>
      <c r="M250" s="472"/>
      <c r="N250" s="472"/>
      <c r="O250" s="472"/>
      <c r="P250" s="472"/>
      <c r="Q250" s="472"/>
      <c r="R250" s="472"/>
      <c r="S250" s="472"/>
      <c r="T250" s="472"/>
      <c r="U250" s="472"/>
      <c r="V250" s="472"/>
      <c r="W250" s="472"/>
      <c r="X250" s="472"/>
      <c r="Y250" s="472"/>
      <c r="Z250" s="472"/>
      <c r="AA250" s="472"/>
      <c r="AB250" s="472"/>
      <c r="AC250" s="472"/>
      <c r="AD250" s="472"/>
      <c r="AE250" s="472"/>
      <c r="AF250" s="486"/>
      <c r="AG250" s="486"/>
      <c r="AH250" s="472"/>
      <c r="AI250" s="472"/>
      <c r="AJ250" s="472"/>
      <c r="AK250" s="472"/>
      <c r="AL250" s="472"/>
      <c r="AM250" s="472"/>
      <c r="AN250" s="472"/>
      <c r="AO250" s="472"/>
      <c r="AP250" s="472"/>
      <c r="AQ250" s="472"/>
      <c r="AR250" s="486"/>
      <c r="AS250" s="479"/>
    </row>
    <row r="251" s="26" customFormat="1" ht="19" customHeight="1" spans="1:45">
      <c r="A251" s="475"/>
      <c r="B251" s="475">
        <v>46090</v>
      </c>
      <c r="C251" s="476" t="s">
        <v>3990</v>
      </c>
      <c r="D251" s="477"/>
      <c r="E251" s="472"/>
      <c r="F251" s="472"/>
      <c r="G251" s="472"/>
      <c r="H251" s="472"/>
      <c r="I251" s="472"/>
      <c r="J251" s="472"/>
      <c r="K251" s="472"/>
      <c r="L251" s="472"/>
      <c r="M251" s="472"/>
      <c r="N251" s="472"/>
      <c r="O251" s="472"/>
      <c r="P251" s="472">
        <v>50000</v>
      </c>
      <c r="Q251" s="472"/>
      <c r="R251" s="472"/>
      <c r="S251" s="472"/>
      <c r="T251" s="472"/>
      <c r="U251" s="472"/>
      <c r="V251" s="472"/>
      <c r="W251" s="472"/>
      <c r="X251" s="472"/>
      <c r="Y251" s="472"/>
      <c r="Z251" s="472"/>
      <c r="AA251" s="472"/>
      <c r="AB251" s="472"/>
      <c r="AC251" s="472"/>
      <c r="AD251" s="472"/>
      <c r="AE251" s="472"/>
      <c r="AF251" s="486"/>
      <c r="AG251" s="486"/>
      <c r="AH251" s="472"/>
      <c r="AI251" s="472"/>
      <c r="AJ251" s="472"/>
      <c r="AK251" s="472"/>
      <c r="AL251" s="472"/>
      <c r="AM251" s="472"/>
      <c r="AN251" s="472"/>
      <c r="AO251" s="472"/>
      <c r="AP251" s="472"/>
      <c r="AQ251" s="472"/>
      <c r="AR251" s="486"/>
      <c r="AS251" s="479"/>
    </row>
    <row r="252" s="26" customFormat="1" ht="19" customHeight="1" spans="1:45">
      <c r="A252" s="475"/>
      <c r="B252" s="475">
        <v>46090</v>
      </c>
      <c r="C252" s="476" t="s">
        <v>3991</v>
      </c>
      <c r="D252" s="477"/>
      <c r="E252" s="472"/>
      <c r="F252" s="472"/>
      <c r="G252" s="472"/>
      <c r="H252" s="472"/>
      <c r="I252" s="472"/>
      <c r="J252" s="472"/>
      <c r="K252" s="472"/>
      <c r="L252" s="472"/>
      <c r="M252" s="472"/>
      <c r="N252" s="472"/>
      <c r="O252" s="472"/>
      <c r="P252" s="472"/>
      <c r="Q252" s="472"/>
      <c r="R252" s="472"/>
      <c r="S252" s="472"/>
      <c r="T252" s="472">
        <v>3000</v>
      </c>
      <c r="U252" s="472"/>
      <c r="V252" s="472"/>
      <c r="W252" s="472"/>
      <c r="X252" s="472"/>
      <c r="Y252" s="472"/>
      <c r="Z252" s="472"/>
      <c r="AA252" s="472"/>
      <c r="AB252" s="472"/>
      <c r="AC252" s="472"/>
      <c r="AD252" s="472"/>
      <c r="AE252" s="472"/>
      <c r="AF252" s="486"/>
      <c r="AG252" s="486">
        <v>1958</v>
      </c>
      <c r="AH252" s="472"/>
      <c r="AI252" s="472"/>
      <c r="AJ252" s="472"/>
      <c r="AK252" s="472"/>
      <c r="AL252" s="472"/>
      <c r="AM252" s="472"/>
      <c r="AN252" s="472"/>
      <c r="AO252" s="472"/>
      <c r="AP252" s="472"/>
      <c r="AQ252" s="472"/>
      <c r="AR252" s="486" t="s">
        <v>3992</v>
      </c>
      <c r="AS252" s="479"/>
    </row>
    <row r="253" s="26" customFormat="1" ht="19" customHeight="1" spans="1:45">
      <c r="A253" s="475"/>
      <c r="B253" s="475">
        <v>46090</v>
      </c>
      <c r="C253" s="476" t="s">
        <v>3993</v>
      </c>
      <c r="D253" s="477"/>
      <c r="E253" s="472"/>
      <c r="F253" s="472"/>
      <c r="G253" s="472"/>
      <c r="H253" s="472"/>
      <c r="I253" s="472"/>
      <c r="J253" s="472"/>
      <c r="K253" s="472"/>
      <c r="L253" s="472"/>
      <c r="M253" s="472"/>
      <c r="N253" s="472"/>
      <c r="O253" s="472"/>
      <c r="P253" s="472"/>
      <c r="Q253" s="472"/>
      <c r="R253" s="472"/>
      <c r="S253" s="472"/>
      <c r="T253" s="472"/>
      <c r="U253" s="472"/>
      <c r="V253" s="472"/>
      <c r="W253" s="472">
        <v>3000</v>
      </c>
      <c r="X253" s="472"/>
      <c r="Y253" s="472"/>
      <c r="Z253" s="472"/>
      <c r="AA253" s="472"/>
      <c r="AB253" s="472"/>
      <c r="AC253" s="472"/>
      <c r="AD253" s="472"/>
      <c r="AE253" s="472"/>
      <c r="AF253" s="486"/>
      <c r="AG253" s="486"/>
      <c r="AH253" s="472"/>
      <c r="AI253" s="472"/>
      <c r="AJ253" s="472"/>
      <c r="AK253" s="472"/>
      <c r="AL253" s="472"/>
      <c r="AM253" s="472"/>
      <c r="AN253" s="472"/>
      <c r="AO253" s="472"/>
      <c r="AP253" s="472"/>
      <c r="AQ253" s="472"/>
      <c r="AR253" s="486"/>
      <c r="AS253" s="479"/>
    </row>
    <row r="254" s="26" customFormat="1" ht="19" customHeight="1" spans="1:45">
      <c r="A254" s="475"/>
      <c r="B254" s="475">
        <v>46094</v>
      </c>
      <c r="C254" s="476"/>
      <c r="D254" s="477"/>
      <c r="E254" s="472"/>
      <c r="F254" s="472"/>
      <c r="G254" s="472"/>
      <c r="H254" s="472"/>
      <c r="I254" s="472"/>
      <c r="J254" s="472"/>
      <c r="K254" s="472"/>
      <c r="L254" s="472"/>
      <c r="M254" s="472"/>
      <c r="N254" s="472"/>
      <c r="O254" s="472"/>
      <c r="P254" s="472"/>
      <c r="Q254" s="472"/>
      <c r="R254" s="472"/>
      <c r="S254" s="472"/>
      <c r="T254" s="472"/>
      <c r="U254" s="472"/>
      <c r="V254" s="472"/>
      <c r="W254" s="472"/>
      <c r="X254" s="472"/>
      <c r="Y254" s="472"/>
      <c r="Z254" s="472"/>
      <c r="AA254" s="472"/>
      <c r="AB254" s="472"/>
      <c r="AC254" s="472"/>
      <c r="AD254" s="472"/>
      <c r="AE254" s="472"/>
      <c r="AF254" s="486"/>
      <c r="AG254" s="486">
        <v>520</v>
      </c>
      <c r="AH254" s="472"/>
      <c r="AI254" s="472"/>
      <c r="AJ254" s="472"/>
      <c r="AK254" s="472"/>
      <c r="AL254" s="472"/>
      <c r="AM254" s="472"/>
      <c r="AN254" s="472"/>
      <c r="AO254" s="472"/>
      <c r="AP254" s="472"/>
      <c r="AQ254" s="472"/>
      <c r="AR254" s="502" t="s">
        <v>3994</v>
      </c>
      <c r="AS254" s="479"/>
    </row>
    <row r="255" s="26" customFormat="1" ht="19" customHeight="1" spans="1:45">
      <c r="A255" s="475"/>
      <c r="B255" s="475">
        <v>46133</v>
      </c>
      <c r="C255" s="476">
        <v>1000039031</v>
      </c>
      <c r="D255" s="477"/>
      <c r="E255" s="472"/>
      <c r="F255" s="472"/>
      <c r="G255" s="472"/>
      <c r="H255" s="472"/>
      <c r="I255" s="472"/>
      <c r="J255" s="472"/>
      <c r="K255" s="472"/>
      <c r="L255" s="472"/>
      <c r="M255" s="472"/>
      <c r="N255" s="472"/>
      <c r="O255" s="472"/>
      <c r="P255" s="472"/>
      <c r="Q255" s="472">
        <v>3500</v>
      </c>
      <c r="R255" s="472"/>
      <c r="S255" s="472"/>
      <c r="T255" s="472"/>
      <c r="U255" s="472"/>
      <c r="V255" s="472"/>
      <c r="W255" s="472"/>
      <c r="X255" s="472"/>
      <c r="Y255" s="472"/>
      <c r="Z255" s="472"/>
      <c r="AA255" s="472"/>
      <c r="AB255" s="472"/>
      <c r="AC255" s="472"/>
      <c r="AD255" s="472"/>
      <c r="AE255" s="472"/>
      <c r="AF255" s="486"/>
      <c r="AG255" s="486"/>
      <c r="AH255" s="472"/>
      <c r="AI255" s="472"/>
      <c r="AJ255" s="472"/>
      <c r="AK255" s="472"/>
      <c r="AL255" s="472"/>
      <c r="AM255" s="472"/>
      <c r="AN255" s="472"/>
      <c r="AO255" s="472"/>
      <c r="AP255" s="472"/>
      <c r="AQ255" s="472"/>
      <c r="AR255" s="27" t="s">
        <v>3995</v>
      </c>
      <c r="AS255" s="479"/>
    </row>
    <row r="256" s="26" customFormat="1" ht="19" customHeight="1" spans="1:45">
      <c r="A256" s="475"/>
      <c r="B256" s="475">
        <v>46151</v>
      </c>
      <c r="C256" s="476" t="s">
        <v>3996</v>
      </c>
      <c r="D256" s="477"/>
      <c r="E256" s="472"/>
      <c r="F256" s="472"/>
      <c r="G256" s="472"/>
      <c r="H256" s="472"/>
      <c r="I256" s="472">
        <v>30000</v>
      </c>
      <c r="J256" s="472"/>
      <c r="K256" s="472"/>
      <c r="L256" s="472"/>
      <c r="M256" s="472"/>
      <c r="N256" s="472"/>
      <c r="O256" s="472"/>
      <c r="P256" s="472"/>
      <c r="Q256" s="472"/>
      <c r="R256" s="472"/>
      <c r="S256" s="472"/>
      <c r="T256" s="472"/>
      <c r="U256" s="472"/>
      <c r="V256" s="472"/>
      <c r="W256" s="472"/>
      <c r="X256" s="472"/>
      <c r="Y256" s="472"/>
      <c r="Z256" s="472"/>
      <c r="AA256" s="472"/>
      <c r="AB256" s="472"/>
      <c r="AC256" s="472"/>
      <c r="AD256" s="472"/>
      <c r="AE256" s="472"/>
      <c r="AF256" s="486"/>
      <c r="AG256" s="486"/>
      <c r="AH256" s="472"/>
      <c r="AI256" s="472"/>
      <c r="AJ256" s="472"/>
      <c r="AK256" s="472"/>
      <c r="AL256" s="472"/>
      <c r="AM256" s="472"/>
      <c r="AN256" s="472"/>
      <c r="AO256" s="472"/>
      <c r="AP256" s="472"/>
      <c r="AQ256" s="472"/>
      <c r="AR256" s="486"/>
      <c r="AS256" s="479"/>
    </row>
    <row r="257" s="26" customFormat="1" ht="19" customHeight="1" spans="1:45">
      <c r="A257" s="475"/>
      <c r="B257" s="475">
        <v>46151</v>
      </c>
      <c r="C257" s="476" t="s">
        <v>3997</v>
      </c>
      <c r="D257" s="477"/>
      <c r="E257" s="472"/>
      <c r="F257" s="472"/>
      <c r="G257" s="472"/>
      <c r="H257" s="472"/>
      <c r="I257" s="472"/>
      <c r="J257" s="472"/>
      <c r="K257" s="472"/>
      <c r="L257" s="472">
        <v>90000</v>
      </c>
      <c r="M257" s="472"/>
      <c r="N257" s="472"/>
      <c r="O257" s="472"/>
      <c r="P257" s="472"/>
      <c r="Q257" s="472"/>
      <c r="R257" s="472"/>
      <c r="S257" s="472"/>
      <c r="T257" s="472"/>
      <c r="U257" s="472"/>
      <c r="V257" s="472"/>
      <c r="W257" s="472"/>
      <c r="X257" s="472"/>
      <c r="Y257" s="472"/>
      <c r="Z257" s="472"/>
      <c r="AA257" s="472"/>
      <c r="AB257" s="472"/>
      <c r="AC257" s="472"/>
      <c r="AD257" s="472"/>
      <c r="AE257" s="472"/>
      <c r="AF257" s="486"/>
      <c r="AG257" s="486"/>
      <c r="AH257" s="472"/>
      <c r="AI257" s="472"/>
      <c r="AJ257" s="472"/>
      <c r="AK257" s="472"/>
      <c r="AL257" s="472"/>
      <c r="AM257" s="472"/>
      <c r="AN257" s="472"/>
      <c r="AO257" s="472"/>
      <c r="AP257" s="472"/>
      <c r="AQ257" s="472"/>
      <c r="AR257" s="486"/>
      <c r="AS257" s="479"/>
    </row>
    <row r="258" s="26" customFormat="1" ht="19" customHeight="1" spans="1:45">
      <c r="A258" s="475"/>
      <c r="B258" s="475">
        <v>46151</v>
      </c>
      <c r="C258" s="476" t="s">
        <v>3998</v>
      </c>
      <c r="D258" s="477"/>
      <c r="E258" s="472"/>
      <c r="F258" s="472"/>
      <c r="G258" s="472"/>
      <c r="H258" s="472"/>
      <c r="I258" s="472"/>
      <c r="J258" s="472"/>
      <c r="K258" s="472"/>
      <c r="L258" s="472"/>
      <c r="M258" s="472"/>
      <c r="N258" s="472"/>
      <c r="O258" s="472"/>
      <c r="P258" s="472">
        <v>140000</v>
      </c>
      <c r="Q258" s="472"/>
      <c r="R258" s="472"/>
      <c r="S258" s="472"/>
      <c r="T258" s="472"/>
      <c r="U258" s="472"/>
      <c r="V258" s="472"/>
      <c r="W258" s="472"/>
      <c r="X258" s="472"/>
      <c r="Y258" s="472"/>
      <c r="Z258" s="472"/>
      <c r="AA258" s="472"/>
      <c r="AB258" s="472"/>
      <c r="AC258" s="472"/>
      <c r="AD258" s="472"/>
      <c r="AE258" s="472"/>
      <c r="AF258" s="486"/>
      <c r="AG258" s="486"/>
      <c r="AH258" s="472"/>
      <c r="AI258" s="472"/>
      <c r="AJ258" s="472"/>
      <c r="AK258" s="472"/>
      <c r="AL258" s="472"/>
      <c r="AM258" s="472"/>
      <c r="AN258" s="472"/>
      <c r="AO258" s="472"/>
      <c r="AP258" s="472"/>
      <c r="AQ258" s="472"/>
      <c r="AR258" s="486"/>
      <c r="AS258" s="479"/>
    </row>
    <row r="259" s="26" customFormat="1" ht="19" customHeight="1" spans="1:45">
      <c r="A259" s="475"/>
      <c r="B259" s="475">
        <v>46151</v>
      </c>
      <c r="C259" s="476" t="s">
        <v>3999</v>
      </c>
      <c r="D259" s="477"/>
      <c r="E259" s="472"/>
      <c r="F259" s="472"/>
      <c r="G259" s="472"/>
      <c r="H259" s="472"/>
      <c r="I259" s="472"/>
      <c r="J259" s="472"/>
      <c r="K259" s="472"/>
      <c r="L259" s="472"/>
      <c r="M259" s="472"/>
      <c r="N259" s="472"/>
      <c r="O259" s="472"/>
      <c r="P259" s="472"/>
      <c r="Q259" s="472"/>
      <c r="R259" s="472"/>
      <c r="S259" s="472"/>
      <c r="T259" s="472"/>
      <c r="U259" s="472"/>
      <c r="V259" s="472"/>
      <c r="W259" s="472">
        <v>3000</v>
      </c>
      <c r="X259" s="472"/>
      <c r="Y259" s="472"/>
      <c r="Z259" s="472"/>
      <c r="AA259" s="472"/>
      <c r="AB259" s="472"/>
      <c r="AC259" s="472"/>
      <c r="AD259" s="472"/>
      <c r="AE259" s="472"/>
      <c r="AF259" s="486"/>
      <c r="AG259" s="486"/>
      <c r="AH259" s="472"/>
      <c r="AI259" s="472"/>
      <c r="AJ259" s="472"/>
      <c r="AK259" s="472"/>
      <c r="AL259" s="472"/>
      <c r="AM259" s="472"/>
      <c r="AN259" s="472"/>
      <c r="AO259" s="472"/>
      <c r="AP259" s="472"/>
      <c r="AQ259" s="472"/>
      <c r="AR259" s="486"/>
      <c r="AS259" s="479"/>
    </row>
    <row r="260" s="439" customFormat="1" ht="19" customHeight="1" spans="1:45">
      <c r="A260" s="475"/>
      <c r="B260" s="503">
        <v>46167</v>
      </c>
      <c r="C260" s="494" t="s">
        <v>4000</v>
      </c>
      <c r="D260" s="496"/>
      <c r="E260" s="497"/>
      <c r="F260" s="497"/>
      <c r="G260" s="497"/>
      <c r="H260" s="497"/>
      <c r="I260" s="497"/>
      <c r="J260" s="497"/>
      <c r="K260" s="497"/>
      <c r="L260" s="497"/>
      <c r="M260" s="504"/>
      <c r="N260" s="504"/>
      <c r="O260" s="504"/>
      <c r="P260" s="504"/>
      <c r="Q260" s="504"/>
      <c r="R260" s="505"/>
      <c r="S260" s="505"/>
      <c r="T260" s="505"/>
      <c r="U260" s="497"/>
      <c r="V260" s="497"/>
      <c r="W260" s="497">
        <v>6000</v>
      </c>
      <c r="X260" s="497"/>
      <c r="Y260" s="497"/>
      <c r="Z260" s="497"/>
      <c r="AA260" s="497"/>
      <c r="AB260" s="497"/>
      <c r="AC260" s="497"/>
      <c r="AD260" s="497"/>
      <c r="AE260" s="497"/>
      <c r="AF260" s="497"/>
      <c r="AG260" s="497"/>
      <c r="AH260" s="497"/>
      <c r="AI260" s="497"/>
      <c r="AJ260" s="497"/>
      <c r="AK260" s="497"/>
      <c r="AL260" s="497"/>
      <c r="AM260" s="497"/>
      <c r="AN260" s="497"/>
      <c r="AO260" s="497"/>
      <c r="AP260" s="497"/>
      <c r="AQ260" s="497"/>
      <c r="AR260" s="478"/>
      <c r="AS260" s="506"/>
    </row>
    <row r="261" s="439" customFormat="1" ht="19" customHeight="1" spans="1:45">
      <c r="A261" s="475"/>
      <c r="B261" s="507">
        <v>46204</v>
      </c>
      <c r="C261" s="508" t="s">
        <v>4001</v>
      </c>
      <c r="D261" s="496"/>
      <c r="E261" s="497"/>
      <c r="F261" s="497"/>
      <c r="G261" s="497"/>
      <c r="H261" s="497"/>
      <c r="I261" s="472">
        <v>60000</v>
      </c>
      <c r="J261" s="497"/>
      <c r="K261" s="497"/>
      <c r="L261" s="497"/>
      <c r="M261" s="504"/>
      <c r="N261" s="504"/>
      <c r="O261" s="504"/>
      <c r="P261" s="504"/>
      <c r="Q261" s="504"/>
      <c r="R261" s="505"/>
      <c r="S261" s="505"/>
      <c r="T261" s="505"/>
      <c r="U261" s="497"/>
      <c r="V261" s="497"/>
      <c r="W261" s="497"/>
      <c r="X261" s="497"/>
      <c r="Y261" s="497"/>
      <c r="Z261" s="497"/>
      <c r="AA261" s="497"/>
      <c r="AB261" s="497"/>
      <c r="AC261" s="497"/>
      <c r="AD261" s="497"/>
      <c r="AE261" s="497"/>
      <c r="AF261" s="497"/>
      <c r="AG261" s="497"/>
      <c r="AH261" s="497"/>
      <c r="AI261" s="497"/>
      <c r="AJ261" s="497"/>
      <c r="AK261" s="497"/>
      <c r="AL261" s="497"/>
      <c r="AM261" s="497"/>
      <c r="AN261" s="497"/>
      <c r="AO261" s="497"/>
      <c r="AP261" s="497"/>
      <c r="AQ261" s="497"/>
      <c r="AR261" s="478"/>
      <c r="AS261" s="506"/>
    </row>
    <row r="262" s="440" customFormat="1" ht="19" customHeight="1" spans="1:45">
      <c r="A262" s="509"/>
      <c r="B262" s="510">
        <v>46237</v>
      </c>
      <c r="C262" s="511">
        <v>1000043539</v>
      </c>
      <c r="D262" s="512"/>
      <c r="E262" s="513"/>
      <c r="F262" s="513"/>
      <c r="G262" s="513"/>
      <c r="H262" s="513"/>
      <c r="I262" s="513"/>
      <c r="J262" s="513"/>
      <c r="K262" s="513"/>
      <c r="L262" s="513">
        <v>30000</v>
      </c>
      <c r="M262" s="514"/>
      <c r="N262" s="514"/>
      <c r="O262" s="514"/>
      <c r="P262" s="514"/>
      <c r="Q262" s="514"/>
      <c r="R262" s="515"/>
      <c r="S262" s="515"/>
      <c r="T262" s="515"/>
      <c r="U262" s="513"/>
      <c r="V262" s="513"/>
      <c r="W262" s="513"/>
      <c r="X262" s="513"/>
      <c r="Y262" s="513"/>
      <c r="Z262" s="513"/>
      <c r="AA262" s="513"/>
      <c r="AB262" s="513"/>
      <c r="AC262" s="513"/>
      <c r="AD262" s="513"/>
      <c r="AE262" s="513"/>
      <c r="AF262" s="513"/>
      <c r="AG262" s="513"/>
      <c r="AH262" s="513"/>
      <c r="AI262" s="513"/>
      <c r="AJ262" s="513"/>
      <c r="AK262" s="513"/>
      <c r="AL262" s="513"/>
      <c r="AM262" s="513"/>
      <c r="AN262" s="513"/>
      <c r="AO262" s="513"/>
      <c r="AP262" s="513"/>
      <c r="AQ262" s="513"/>
      <c r="AR262" s="516"/>
      <c r="AS262" s="517"/>
    </row>
    <row r="263" s="440" customFormat="1" ht="19" customHeight="1" spans="1:45">
      <c r="A263" s="509"/>
      <c r="B263" s="510">
        <v>46237</v>
      </c>
      <c r="C263" s="511">
        <v>1000043540</v>
      </c>
      <c r="D263" s="512"/>
      <c r="E263" s="513"/>
      <c r="F263" s="513"/>
      <c r="G263" s="513"/>
      <c r="H263" s="513"/>
      <c r="I263" s="513"/>
      <c r="J263" s="513"/>
      <c r="K263" s="513"/>
      <c r="L263" s="513"/>
      <c r="M263" s="514"/>
      <c r="N263" s="514"/>
      <c r="O263" s="514"/>
      <c r="P263" s="513">
        <v>80000</v>
      </c>
      <c r="Q263" s="514"/>
      <c r="R263" s="515"/>
      <c r="S263" s="515"/>
      <c r="T263" s="515"/>
      <c r="U263" s="513"/>
      <c r="V263" s="513"/>
      <c r="W263" s="513"/>
      <c r="X263" s="513"/>
      <c r="Y263" s="513"/>
      <c r="Z263" s="513"/>
      <c r="AA263" s="513"/>
      <c r="AB263" s="513"/>
      <c r="AC263" s="513"/>
      <c r="AD263" s="513"/>
      <c r="AE263" s="513"/>
      <c r="AF263" s="513"/>
      <c r="AG263" s="513"/>
      <c r="AH263" s="513"/>
      <c r="AI263" s="513"/>
      <c r="AJ263" s="513"/>
      <c r="AK263" s="513"/>
      <c r="AL263" s="513"/>
      <c r="AM263" s="513"/>
      <c r="AN263" s="513"/>
      <c r="AO263" s="513"/>
      <c r="AP263" s="513"/>
      <c r="AQ263" s="513"/>
      <c r="AR263" s="516"/>
      <c r="AS263" s="517"/>
    </row>
    <row r="264" s="439" customFormat="1" ht="19" customHeight="1" spans="1:45">
      <c r="A264" s="475"/>
      <c r="B264" s="503"/>
      <c r="C264" s="494"/>
      <c r="D264" s="496"/>
      <c r="E264" s="497"/>
      <c r="F264" s="497"/>
      <c r="G264" s="497"/>
      <c r="H264" s="497"/>
      <c r="I264" s="497"/>
      <c r="J264" s="497"/>
      <c r="K264" s="497"/>
      <c r="L264" s="497"/>
      <c r="M264" s="504"/>
      <c r="N264" s="504"/>
      <c r="O264" s="504"/>
      <c r="P264" s="504"/>
      <c r="Q264" s="504"/>
      <c r="R264" s="505"/>
      <c r="S264" s="505"/>
      <c r="T264" s="505"/>
      <c r="U264" s="497"/>
      <c r="V264" s="497"/>
      <c r="W264" s="497"/>
      <c r="X264" s="497"/>
      <c r="Y264" s="497"/>
      <c r="Z264" s="497"/>
      <c r="AA264" s="497"/>
      <c r="AB264" s="497"/>
      <c r="AC264" s="497"/>
      <c r="AD264" s="497"/>
      <c r="AE264" s="497"/>
      <c r="AF264" s="497"/>
      <c r="AG264" s="497"/>
      <c r="AH264" s="497"/>
      <c r="AI264" s="497"/>
      <c r="AJ264" s="497"/>
      <c r="AK264" s="497"/>
      <c r="AL264" s="497"/>
      <c r="AM264" s="497"/>
      <c r="AN264" s="497"/>
      <c r="AO264" s="497"/>
      <c r="AP264" s="497"/>
      <c r="AQ264" s="497"/>
      <c r="AR264" s="478"/>
      <c r="AS264" s="506"/>
    </row>
    <row r="265" s="439" customFormat="1" ht="19" customHeight="1" spans="1:45">
      <c r="A265" s="475"/>
      <c r="B265" s="503"/>
      <c r="C265" s="494"/>
      <c r="D265" s="496"/>
      <c r="E265" s="497"/>
      <c r="F265" s="497"/>
      <c r="G265" s="497"/>
      <c r="H265" s="497"/>
      <c r="I265" s="497"/>
      <c r="J265" s="497"/>
      <c r="K265" s="497"/>
      <c r="L265" s="497"/>
      <c r="M265" s="504"/>
      <c r="N265" s="504"/>
      <c r="O265" s="504"/>
      <c r="P265" s="504"/>
      <c r="Q265" s="504"/>
      <c r="R265" s="505"/>
      <c r="S265" s="505"/>
      <c r="T265" s="505"/>
      <c r="U265" s="497"/>
      <c r="V265" s="497"/>
      <c r="W265" s="497"/>
      <c r="X265" s="497"/>
      <c r="Y265" s="497"/>
      <c r="Z265" s="497"/>
      <c r="AA265" s="497"/>
      <c r="AB265" s="497"/>
      <c r="AC265" s="497"/>
      <c r="AD265" s="497"/>
      <c r="AE265" s="497"/>
      <c r="AF265" s="497"/>
      <c r="AG265" s="497"/>
      <c r="AH265" s="497"/>
      <c r="AI265" s="497"/>
      <c r="AJ265" s="497"/>
      <c r="AK265" s="497"/>
      <c r="AL265" s="497"/>
      <c r="AM265" s="497"/>
      <c r="AN265" s="497"/>
      <c r="AO265" s="497"/>
      <c r="AP265" s="497"/>
      <c r="AQ265" s="497"/>
      <c r="AR265" s="478"/>
      <c r="AS265" s="506"/>
    </row>
    <row r="266" s="439" customFormat="1" ht="19" customHeight="1" spans="1:45">
      <c r="A266" s="475"/>
      <c r="B266" s="503"/>
      <c r="C266" s="494"/>
      <c r="D266" s="496"/>
      <c r="E266" s="497"/>
      <c r="F266" s="497"/>
      <c r="G266" s="497"/>
      <c r="H266" s="497"/>
      <c r="I266" s="497"/>
      <c r="J266" s="497"/>
      <c r="K266" s="497"/>
      <c r="L266" s="497"/>
      <c r="M266" s="504"/>
      <c r="N266" s="504"/>
      <c r="O266" s="504"/>
      <c r="P266" s="504"/>
      <c r="Q266" s="504"/>
      <c r="R266" s="505"/>
      <c r="S266" s="505"/>
      <c r="T266" s="505"/>
      <c r="U266" s="497"/>
      <c r="V266" s="497"/>
      <c r="W266" s="497"/>
      <c r="X266" s="497"/>
      <c r="Y266" s="497"/>
      <c r="Z266" s="497"/>
      <c r="AA266" s="497"/>
      <c r="AB266" s="497"/>
      <c r="AC266" s="497"/>
      <c r="AD266" s="497"/>
      <c r="AE266" s="497"/>
      <c r="AF266" s="497"/>
      <c r="AG266" s="497"/>
      <c r="AH266" s="497"/>
      <c r="AI266" s="497"/>
      <c r="AJ266" s="497"/>
      <c r="AK266" s="497"/>
      <c r="AL266" s="497"/>
      <c r="AM266" s="497"/>
      <c r="AN266" s="497"/>
      <c r="AO266" s="497"/>
      <c r="AP266" s="497"/>
      <c r="AQ266" s="497"/>
      <c r="AR266" s="478"/>
      <c r="AS266" s="506"/>
    </row>
    <row r="267" s="439" customFormat="1" ht="19" customHeight="1" spans="1:45">
      <c r="A267" s="475"/>
      <c r="B267" s="503"/>
      <c r="C267" s="494"/>
      <c r="D267" s="496"/>
      <c r="E267" s="497"/>
      <c r="F267" s="497"/>
      <c r="G267" s="497"/>
      <c r="H267" s="497"/>
      <c r="I267" s="497"/>
      <c r="J267" s="497"/>
      <c r="K267" s="497"/>
      <c r="L267" s="497"/>
      <c r="M267" s="504"/>
      <c r="N267" s="504"/>
      <c r="O267" s="504"/>
      <c r="P267" s="504"/>
      <c r="Q267" s="504"/>
      <c r="R267" s="505"/>
      <c r="S267" s="505"/>
      <c r="T267" s="505"/>
      <c r="U267" s="497"/>
      <c r="V267" s="497"/>
      <c r="W267" s="497"/>
      <c r="X267" s="497"/>
      <c r="Y267" s="497"/>
      <c r="Z267" s="497"/>
      <c r="AA267" s="497"/>
      <c r="AB267" s="497"/>
      <c r="AC267" s="497"/>
      <c r="AD267" s="497"/>
      <c r="AE267" s="497"/>
      <c r="AF267" s="497"/>
      <c r="AG267" s="497"/>
      <c r="AH267" s="497"/>
      <c r="AI267" s="497"/>
      <c r="AJ267" s="497"/>
      <c r="AK267" s="497"/>
      <c r="AL267" s="497"/>
      <c r="AM267" s="497"/>
      <c r="AN267" s="497"/>
      <c r="AO267" s="497"/>
      <c r="AP267" s="497"/>
      <c r="AQ267" s="497"/>
      <c r="AR267" s="478"/>
      <c r="AS267" s="506"/>
    </row>
    <row r="268" ht="28" customHeight="1" spans="1:45">
      <c r="A268" s="518"/>
      <c r="B268" s="518"/>
      <c r="C268" s="518"/>
      <c r="D268" s="519" t="s">
        <v>4002</v>
      </c>
      <c r="E268" s="518">
        <f>SUM(E5:E267)</f>
        <v>80000</v>
      </c>
      <c r="F268" s="518">
        <f>SUM(F5:F267)+E268</f>
        <v>540000</v>
      </c>
      <c r="G268" s="518">
        <f>SUM(G5:G267)+F268</f>
        <v>640000</v>
      </c>
      <c r="H268" s="518">
        <f>SUM(H5:H267)+G268</f>
        <v>2017827</v>
      </c>
      <c r="I268" s="518">
        <f>SUM(I5:I267)</f>
        <v>210000</v>
      </c>
      <c r="J268" s="518">
        <f>SUM(J5:J267)-14151</f>
        <v>95849</v>
      </c>
      <c r="K268" s="518">
        <f>SUM(K5:K267)+J268</f>
        <v>494085</v>
      </c>
      <c r="L268" s="518">
        <f>SUM(L5:L267)</f>
        <v>245000</v>
      </c>
      <c r="M268" s="518">
        <f>SUM(M5:M267)</f>
        <v>80000</v>
      </c>
      <c r="N268" s="518">
        <f>SUM(N5:N267)+M268</f>
        <v>670000</v>
      </c>
      <c r="O268" s="518">
        <f>SUM(O5:O267)+N268</f>
        <v>2466347</v>
      </c>
      <c r="P268" s="518">
        <f>SUM(P5:P267)+O268</f>
        <v>2896347</v>
      </c>
      <c r="Q268" s="518">
        <f>SUM(Q5:Q267)</f>
        <v>16559</v>
      </c>
      <c r="R268" s="518">
        <f>SUM(R5:R267)</f>
        <v>16048</v>
      </c>
      <c r="S268" s="518">
        <f>SUM(S5:S267)+R268</f>
        <v>71048</v>
      </c>
      <c r="T268" s="518">
        <f>SUM(T4:T267)</f>
        <v>5000</v>
      </c>
      <c r="U268" s="518">
        <f>SUM(U5:U267)</f>
        <v>8379</v>
      </c>
      <c r="V268" s="518">
        <f>SUM(V5:V267)+U268</f>
        <v>39379</v>
      </c>
      <c r="W268" s="518">
        <f>SUM(W5:W267)</f>
        <v>20000</v>
      </c>
      <c r="X268" s="518">
        <f>SUM(X5:X267)</f>
        <v>3778</v>
      </c>
      <c r="Y268" s="518">
        <f>SUM(Y5:Y267)+X270</f>
        <v>5760</v>
      </c>
      <c r="Z268" s="518">
        <f>SUM(Z5:Z267)</f>
        <v>9511</v>
      </c>
      <c r="AA268" s="518"/>
      <c r="AB268" s="518">
        <f>SUM(AB5:AB267)</f>
        <v>3348</v>
      </c>
      <c r="AC268" s="518">
        <f>SUM(AC5:AC267)</f>
        <v>6311</v>
      </c>
      <c r="AD268" s="518">
        <f>SUM(AD5:AD267)</f>
        <v>3465</v>
      </c>
      <c r="AE268" s="518">
        <f>SUM(AE5:AE267)</f>
        <v>8367</v>
      </c>
      <c r="AF268" s="518">
        <f>SUM(AF5:AF267)+AE268</f>
        <v>25302</v>
      </c>
      <c r="AG268" s="518">
        <f>SUM(AG247:AG267)</f>
        <v>4210</v>
      </c>
      <c r="AH268" s="518">
        <f>SUM(AH5:AH267)</f>
        <v>128071</v>
      </c>
      <c r="AI268" s="518">
        <f>SUM(AI5:AI267)</f>
        <v>4000</v>
      </c>
      <c r="AJ268" s="518">
        <f>SUM(AJ5:AJ267)</f>
        <v>6125</v>
      </c>
      <c r="AK268" s="518">
        <f>SUM(AK5:AK267)+AJ268</f>
        <v>8625</v>
      </c>
      <c r="AL268" s="518">
        <f>SUM(AL5:AL267)+AK268</f>
        <v>10965</v>
      </c>
      <c r="AM268" s="518">
        <f>SUM(AM5:AM267)</f>
        <v>1920</v>
      </c>
      <c r="AN268" s="518">
        <f>SUM(AN5:AN267)</f>
        <v>90000</v>
      </c>
      <c r="AO268" s="518">
        <f>SUM(AO5:AO267)</f>
        <v>7699</v>
      </c>
      <c r="AP268" s="518">
        <f>SUM(AP5:AP267)</f>
        <v>300</v>
      </c>
      <c r="AQ268" s="518">
        <f>SUM(AQ5:AQ267)</f>
        <v>300</v>
      </c>
      <c r="AR268" s="520"/>
    </row>
    <row r="269" ht="28" customHeight="1" spans="1:45">
      <c r="A269" s="521" t="s">
        <v>4003</v>
      </c>
      <c r="B269" s="521"/>
      <c r="C269" s="518"/>
      <c r="D269" s="521" t="s">
        <v>4004</v>
      </c>
      <c r="E269" s="522">
        <f>'9543'!AI903</f>
        <v>0</v>
      </c>
      <c r="F269" s="522">
        <f>E269+'9543'!AJ903</f>
        <v>0</v>
      </c>
      <c r="G269" s="522">
        <f>F269+'9543'!AK903</f>
        <v>0</v>
      </c>
      <c r="H269" s="522">
        <f>'9543'!AL903+H275+H276</f>
        <v>2012336</v>
      </c>
      <c r="I269" s="522">
        <f>'9543'!AM903</f>
        <v>196234</v>
      </c>
      <c r="J269" s="522">
        <f>'9543'!AN903</f>
        <v>0</v>
      </c>
      <c r="K269" s="522">
        <f>'9543'!AO903+K275+K276</f>
        <v>494085</v>
      </c>
      <c r="L269" s="522">
        <f>'9543'!AP903</f>
        <v>179069</v>
      </c>
      <c r="M269" s="523">
        <f>'9543'!AR903</f>
        <v>0</v>
      </c>
      <c r="N269" s="523">
        <f>M269+'9543'!AS903</f>
        <v>0</v>
      </c>
      <c r="O269" s="523">
        <f>'9543'!AT903+O275+O276</f>
        <v>2459822</v>
      </c>
      <c r="P269" s="523">
        <f>O269+'9543'!AU903</f>
        <v>2830345</v>
      </c>
      <c r="Q269" s="523"/>
      <c r="R269" s="523">
        <f>'9543'!AW903</f>
        <v>0</v>
      </c>
      <c r="S269" s="524">
        <f>'9543'!AX903+S275+S276</f>
        <v>71022</v>
      </c>
      <c r="T269" s="524">
        <f>'9543'!AY903</f>
        <v>4587</v>
      </c>
      <c r="U269" s="523">
        <f>'9543'!AZ903</f>
        <v>0</v>
      </c>
      <c r="V269" s="523">
        <f>'9543'!BA903+V275+V276</f>
        <v>39201</v>
      </c>
      <c r="W269" s="523">
        <f>'9543'!BB903</f>
        <v>17280</v>
      </c>
      <c r="X269" s="523">
        <f>'9543'!BC903</f>
        <v>0</v>
      </c>
      <c r="Y269" s="523">
        <f>'9543'!BD903</f>
        <v>0</v>
      </c>
      <c r="Z269" s="523">
        <f>'9543'!BE903+Z275+Z276</f>
        <v>9511</v>
      </c>
      <c r="AA269" s="523"/>
      <c r="AB269" s="523">
        <f>'9543'!BF903</f>
        <v>925</v>
      </c>
      <c r="AC269" s="523">
        <f>'9543'!BG903+AC275+AC276</f>
        <v>7408.14285714286</v>
      </c>
      <c r="AD269" s="523">
        <f>'9543'!BI903</f>
        <v>0</v>
      </c>
      <c r="AE269" s="523">
        <f>'9543'!BJ903</f>
        <v>0</v>
      </c>
      <c r="AF269" s="523">
        <f>'9543'!BK903+AF275+AF276</f>
        <v>25302</v>
      </c>
      <c r="AG269" s="523">
        <f>'9543'!BL903</f>
        <v>4210</v>
      </c>
      <c r="AH269" s="523">
        <f>'9543'!BM903+AH275+AH276</f>
        <v>127903</v>
      </c>
      <c r="AI269" s="523">
        <f>'9543'!BN903+AI275+AI276</f>
        <v>5320</v>
      </c>
      <c r="AJ269" s="523">
        <f>'9543'!BP903</f>
        <v>0</v>
      </c>
      <c r="AK269" s="523">
        <f>'9543'!BQ903+AK275+AK276</f>
        <v>8769</v>
      </c>
      <c r="AL269" s="523">
        <f>'9543'!BR903</f>
        <v>0</v>
      </c>
      <c r="AM269" s="523">
        <f>'9543'!BS903+AM276</f>
        <v>1360</v>
      </c>
      <c r="AN269" s="523">
        <f>'9543'!AQ903+AN275</f>
        <v>90550</v>
      </c>
      <c r="AO269" s="523">
        <f>'9543'!BV903+AO275+AO276</f>
        <v>7623</v>
      </c>
      <c r="AP269" s="523">
        <f>'9543'!BT903+AP275+AP276</f>
        <v>30</v>
      </c>
      <c r="AQ269" s="523">
        <f>'9543'!BU903+AQ275+AQ276</f>
        <v>263</v>
      </c>
      <c r="AR269" s="520"/>
    </row>
    <row r="270" s="441" customFormat="1" ht="28" customHeight="1" spans="1:45">
      <c r="A270" s="525" t="s">
        <v>4005</v>
      </c>
      <c r="B270" s="526"/>
      <c r="C270" s="527"/>
      <c r="D270" s="528" t="s">
        <v>4006</v>
      </c>
      <c r="E270" s="527"/>
      <c r="F270" s="527">
        <f t="shared" ref="F270:P270" si="0">F268-F269</f>
        <v>540000</v>
      </c>
      <c r="G270" s="529">
        <f t="shared" si="0"/>
        <v>640000</v>
      </c>
      <c r="H270" s="530">
        <f t="shared" si="0"/>
        <v>5491</v>
      </c>
      <c r="I270" s="530">
        <f t="shared" si="0"/>
        <v>13766</v>
      </c>
      <c r="J270" s="530">
        <f t="shared" si="0"/>
        <v>95849</v>
      </c>
      <c r="K270" s="530">
        <f t="shared" si="0"/>
        <v>0</v>
      </c>
      <c r="L270" s="530">
        <f t="shared" si="0"/>
        <v>65931</v>
      </c>
      <c r="M270" s="530">
        <f t="shared" si="0"/>
        <v>80000</v>
      </c>
      <c r="N270" s="530">
        <f t="shared" si="0"/>
        <v>670000</v>
      </c>
      <c r="O270" s="530">
        <f t="shared" si="0"/>
        <v>6525</v>
      </c>
      <c r="P270" s="530">
        <f t="shared" si="0"/>
        <v>66002</v>
      </c>
      <c r="Q270" s="530"/>
      <c r="R270" s="530">
        <f t="shared" ref="R270:Z270" si="1">R268-R269</f>
        <v>16048</v>
      </c>
      <c r="S270" s="530">
        <f t="shared" si="1"/>
        <v>26</v>
      </c>
      <c r="T270" s="530">
        <f t="shared" si="1"/>
        <v>413</v>
      </c>
      <c r="U270" s="530">
        <f t="shared" si="1"/>
        <v>8379</v>
      </c>
      <c r="V270" s="530">
        <f t="shared" si="1"/>
        <v>178</v>
      </c>
      <c r="W270" s="531">
        <f t="shared" si="1"/>
        <v>2720</v>
      </c>
      <c r="X270" s="530">
        <f t="shared" si="1"/>
        <v>3778</v>
      </c>
      <c r="Y270" s="530">
        <f t="shared" si="1"/>
        <v>5760</v>
      </c>
      <c r="Z270" s="530">
        <f t="shared" si="1"/>
        <v>0</v>
      </c>
      <c r="AA270" s="530"/>
      <c r="AB270" s="530">
        <f t="shared" ref="AB270:AG270" si="2">AB268-AB269</f>
        <v>2423</v>
      </c>
      <c r="AC270" s="530">
        <f t="shared" si="2"/>
        <v>-1097.14285714286</v>
      </c>
      <c r="AD270" s="530">
        <f t="shared" si="2"/>
        <v>3465</v>
      </c>
      <c r="AE270" s="530">
        <f t="shared" si="2"/>
        <v>8367</v>
      </c>
      <c r="AF270" s="530">
        <f t="shared" si="2"/>
        <v>0</v>
      </c>
      <c r="AG270" s="530">
        <f t="shared" si="2"/>
        <v>0</v>
      </c>
      <c r="AH270" s="532">
        <f t="shared" ref="AH270:AQ270" si="3">AH268-AH269</f>
        <v>168</v>
      </c>
      <c r="AI270" s="532">
        <f t="shared" si="3"/>
        <v>-1320</v>
      </c>
      <c r="AJ270" s="532">
        <f t="shared" si="3"/>
        <v>6125</v>
      </c>
      <c r="AK270" s="532">
        <f>AK268-AK269+144</f>
        <v>0</v>
      </c>
      <c r="AL270" s="532">
        <f t="shared" si="3"/>
        <v>10965</v>
      </c>
      <c r="AM270" s="532">
        <f t="shared" si="3"/>
        <v>560</v>
      </c>
      <c r="AN270" s="532">
        <f t="shared" si="3"/>
        <v>-550</v>
      </c>
      <c r="AO270" s="532">
        <f t="shared" si="3"/>
        <v>76</v>
      </c>
      <c r="AP270" s="532">
        <f t="shared" si="3"/>
        <v>270</v>
      </c>
      <c r="AQ270" s="532">
        <f t="shared" si="3"/>
        <v>37</v>
      </c>
      <c r="AR270" s="533"/>
      <c r="AS270" s="534"/>
    </row>
    <row r="272" spans="1:45">
      <c r="S272">
        <f>S270*11</f>
        <v>286</v>
      </c>
      <c r="AH272" s="442"/>
      <c r="AI272" s="442"/>
    </row>
    <row r="274" ht="25" customHeight="1" spans="4:43">
      <c r="D274" s="535" t="s">
        <v>4007</v>
      </c>
      <c r="H274" s="536">
        <v>802167</v>
      </c>
      <c r="I274" s="536"/>
      <c r="J274" s="536">
        <v>95849</v>
      </c>
      <c r="K274" s="536">
        <v>124399</v>
      </c>
      <c r="L274" s="536"/>
      <c r="M274" s="536">
        <v>74111</v>
      </c>
      <c r="N274" s="536">
        <v>667372</v>
      </c>
      <c r="O274" s="536">
        <v>957139</v>
      </c>
      <c r="P274" s="536"/>
      <c r="Q274" s="536"/>
      <c r="R274" s="536">
        <v>16048</v>
      </c>
      <c r="S274" s="536">
        <v>20859</v>
      </c>
      <c r="T274" s="536"/>
      <c r="U274" s="536">
        <v>8379</v>
      </c>
      <c r="V274" s="536">
        <v>12028</v>
      </c>
      <c r="W274" s="536"/>
      <c r="X274" s="536">
        <v>3362</v>
      </c>
      <c r="Y274" s="536">
        <v>2398</v>
      </c>
      <c r="Z274" s="536">
        <v>2215</v>
      </c>
      <c r="AA274" s="536"/>
      <c r="AB274" s="536">
        <v>3348</v>
      </c>
      <c r="AC274" s="536">
        <v>776</v>
      </c>
      <c r="AD274" s="536">
        <v>3465</v>
      </c>
      <c r="AE274" s="536">
        <v>8367</v>
      </c>
      <c r="AF274" s="536">
        <v>15950</v>
      </c>
      <c r="AG274" s="536"/>
      <c r="AH274" s="536">
        <v>60337</v>
      </c>
      <c r="AI274" s="536">
        <v>2464</v>
      </c>
      <c r="AJ274" s="536">
        <v>6125</v>
      </c>
      <c r="AK274" s="536">
        <v>7100</v>
      </c>
      <c r="AL274" s="536">
        <v>2340</v>
      </c>
      <c r="AM274" s="536"/>
      <c r="AN274" s="536">
        <v>90000</v>
      </c>
      <c r="AO274" s="536">
        <v>4244</v>
      </c>
      <c r="AP274" s="536">
        <v>300</v>
      </c>
      <c r="AQ274" s="536">
        <v>300</v>
      </c>
    </row>
    <row r="275" ht="25" customHeight="1" spans="4:43">
      <c r="D275" s="536" t="s">
        <v>4008</v>
      </c>
      <c r="H275" s="536">
        <v>715234</v>
      </c>
      <c r="I275" s="536"/>
      <c r="J275" s="536">
        <v>95849</v>
      </c>
      <c r="K275" s="536">
        <v>98489</v>
      </c>
      <c r="L275" s="536"/>
      <c r="M275" s="536">
        <v>74111</v>
      </c>
      <c r="N275" s="536">
        <v>667372</v>
      </c>
      <c r="O275" s="536">
        <v>854942</v>
      </c>
      <c r="P275" s="536"/>
      <c r="Q275" s="536"/>
      <c r="R275" s="536">
        <v>16048</v>
      </c>
      <c r="S275" s="536">
        <v>18032</v>
      </c>
      <c r="T275" s="536"/>
      <c r="U275" s="536">
        <v>8379</v>
      </c>
      <c r="V275" s="536">
        <v>10104</v>
      </c>
      <c r="W275" s="536"/>
      <c r="X275" s="536">
        <v>3362</v>
      </c>
      <c r="Y275" s="536">
        <v>2398</v>
      </c>
      <c r="Z275" s="536">
        <v>1462</v>
      </c>
      <c r="AA275" s="536"/>
      <c r="AB275" s="536">
        <v>3348</v>
      </c>
      <c r="AC275" s="536">
        <v>356</v>
      </c>
      <c r="AD275" s="536">
        <v>3465</v>
      </c>
      <c r="AE275" s="536">
        <v>8367</v>
      </c>
      <c r="AF275" s="536">
        <v>15950</v>
      </c>
      <c r="AG275" s="536"/>
      <c r="AH275" s="536">
        <v>52187</v>
      </c>
      <c r="AI275" s="536">
        <f>1792-336</f>
        <v>1456</v>
      </c>
      <c r="AJ275" s="536">
        <v>6125</v>
      </c>
      <c r="AK275" s="536">
        <f>6956+144</f>
        <v>7100</v>
      </c>
      <c r="AL275" s="536">
        <v>2340</v>
      </c>
      <c r="AM275" s="536"/>
      <c r="AN275" s="536">
        <v>90550</v>
      </c>
      <c r="AO275" s="536">
        <v>4104</v>
      </c>
      <c r="AP275" s="536">
        <v>27</v>
      </c>
      <c r="AQ275" s="536">
        <v>246</v>
      </c>
    </row>
    <row r="276" s="442" customFormat="1" ht="25" customHeight="1" spans="4:43">
      <c r="D276" s="536" t="s">
        <v>4009</v>
      </c>
      <c r="H276" s="536">
        <v>849048</v>
      </c>
      <c r="I276" s="536"/>
      <c r="J276" s="536"/>
      <c r="K276" s="536">
        <v>219505</v>
      </c>
      <c r="L276" s="536"/>
      <c r="M276" s="536"/>
      <c r="N276" s="536"/>
      <c r="O276" s="536">
        <v>1007331</v>
      </c>
      <c r="P276" s="536"/>
      <c r="Q276" s="536"/>
      <c r="R276" s="536"/>
      <c r="S276" s="536">
        <v>34062</v>
      </c>
      <c r="T276" s="536"/>
      <c r="U276" s="536"/>
      <c r="V276" s="536">
        <v>16365</v>
      </c>
      <c r="W276" s="536"/>
      <c r="X276" s="536"/>
      <c r="Y276" s="536"/>
      <c r="Z276" s="536">
        <v>5549</v>
      </c>
      <c r="AA276" s="536"/>
      <c r="AB276" s="536"/>
      <c r="AC276" s="536">
        <v>2492</v>
      </c>
      <c r="AD276" s="536">
        <v>0</v>
      </c>
      <c r="AE276" s="536">
        <v>0</v>
      </c>
      <c r="AF276" s="536">
        <v>3447</v>
      </c>
      <c r="AG276" s="536"/>
      <c r="AH276" s="536">
        <v>75716</v>
      </c>
      <c r="AI276" s="536">
        <v>2544</v>
      </c>
      <c r="AJ276" s="536">
        <v>0</v>
      </c>
      <c r="AK276" s="536">
        <v>1669</v>
      </c>
      <c r="AL276" s="536">
        <v>0</v>
      </c>
      <c r="AM276" s="536">
        <v>560</v>
      </c>
      <c r="AN276" s="536">
        <v>0</v>
      </c>
      <c r="AO276" s="536">
        <v>64</v>
      </c>
      <c r="AP276" s="536">
        <v>3</v>
      </c>
      <c r="AQ276" s="536">
        <v>7</v>
      </c>
    </row>
    <row r="278" s="442" customFormat="1" hidden="1" spans="4:43">
      <c r="H278" s="442">
        <v>1622141</v>
      </c>
      <c r="J278" s="442">
        <v>0</v>
      </c>
      <c r="K278" s="442">
        <v>337780</v>
      </c>
      <c r="M278" s="442">
        <v>504</v>
      </c>
      <c r="N278" s="442">
        <v>504</v>
      </c>
      <c r="O278" s="442">
        <v>1940398</v>
      </c>
      <c r="R278" s="442">
        <v>504</v>
      </c>
      <c r="S278" s="442">
        <v>55202</v>
      </c>
      <c r="U278" s="442">
        <v>0</v>
      </c>
      <c r="V278" s="442">
        <v>27683</v>
      </c>
      <c r="X278" s="442">
        <v>0</v>
      </c>
      <c r="Y278" s="442">
        <v>0</v>
      </c>
      <c r="Z278" s="442">
        <v>7011</v>
      </c>
      <c r="AB278" s="442">
        <v>0</v>
      </c>
      <c r="AC278" s="442">
        <v>3593</v>
      </c>
      <c r="AD278" s="442">
        <v>0</v>
      </c>
      <c r="AE278" s="442">
        <v>0</v>
      </c>
      <c r="AF278" s="442">
        <v>19397</v>
      </c>
      <c r="AH278" s="442">
        <v>127903</v>
      </c>
      <c r="AI278" s="442">
        <v>4000</v>
      </c>
      <c r="AJ278" s="442">
        <v>0</v>
      </c>
      <c r="AK278" s="442">
        <v>8769</v>
      </c>
      <c r="AL278" s="442">
        <v>0</v>
      </c>
      <c r="AM278" s="442">
        <v>560</v>
      </c>
      <c r="AN278" s="442">
        <v>90550</v>
      </c>
      <c r="AO278" s="442">
        <v>4168</v>
      </c>
      <c r="AP278" s="442">
        <v>30</v>
      </c>
      <c r="AQ278" s="442">
        <v>253</v>
      </c>
    </row>
    <row r="279" s="442" customFormat="1" hidden="1" spans="4:43">
      <c r="H279" s="442">
        <f>H278-H269</f>
        <v>-390195</v>
      </c>
      <c r="J279" s="442">
        <f>J278-J269</f>
        <v>0</v>
      </c>
      <c r="K279" s="442">
        <f>K278-K269</f>
        <v>-156305</v>
      </c>
      <c r="M279" s="442">
        <f>M278-M269</f>
        <v>504</v>
      </c>
      <c r="N279" s="442">
        <f>N278-N269</f>
        <v>504</v>
      </c>
      <c r="O279" s="442">
        <f>O278-O269</f>
        <v>-519424</v>
      </c>
      <c r="Q279" s="442">
        <f>Q278-Q269</f>
        <v>0</v>
      </c>
      <c r="R279" s="442">
        <f>R278-R269</f>
        <v>504</v>
      </c>
      <c r="S279" s="442">
        <f>S278-S269</f>
        <v>-15820</v>
      </c>
      <c r="U279" s="442">
        <f>U278-U269</f>
        <v>0</v>
      </c>
      <c r="V279" s="442">
        <f>V278-V269</f>
        <v>-11518</v>
      </c>
      <c r="X279" s="442">
        <f>X278-X269</f>
        <v>0</v>
      </c>
      <c r="Y279" s="442">
        <f>Y278-Y269</f>
        <v>0</v>
      </c>
      <c r="Z279" s="442">
        <f>Z278-Z269</f>
        <v>-2500</v>
      </c>
      <c r="AB279" s="442">
        <f>AB278-AB269</f>
        <v>-925</v>
      </c>
      <c r="AC279" s="442">
        <f>AC278-AC269</f>
        <v>-3815.14285714286</v>
      </c>
      <c r="AD279" s="442">
        <f>AD278-AD269</f>
        <v>0</v>
      </c>
      <c r="AE279" s="442">
        <f>AE278-AE269</f>
        <v>0</v>
      </c>
      <c r="AF279" s="442">
        <f>AF278-AF269</f>
        <v>-5905</v>
      </c>
      <c r="AH279" s="442">
        <f t="shared" ref="AH279:AQ279" si="4">AH278-AH269</f>
        <v>0</v>
      </c>
      <c r="AI279" s="442">
        <f t="shared" si="4"/>
        <v>-1320</v>
      </c>
      <c r="AJ279" s="442">
        <f t="shared" si="4"/>
        <v>0</v>
      </c>
      <c r="AK279" s="442">
        <f t="shared" si="4"/>
        <v>0</v>
      </c>
      <c r="AL279" s="442">
        <f t="shared" si="4"/>
        <v>0</v>
      </c>
      <c r="AM279" s="442">
        <f t="shared" si="4"/>
        <v>-800</v>
      </c>
      <c r="AN279" s="442">
        <f t="shared" si="4"/>
        <v>0</v>
      </c>
      <c r="AO279" s="442">
        <f t="shared" si="4"/>
        <v>-3455</v>
      </c>
      <c r="AP279" s="442">
        <f t="shared" si="4"/>
        <v>0</v>
      </c>
      <c r="AQ279" s="442">
        <f t="shared" si="4"/>
        <v>-10</v>
      </c>
    </row>
    <row r="280" s="442" customFormat="1"/>
    <row r="281" s="442" customFormat="1"/>
    <row r="283" spans="4:43">
      <c r="Z283" s="442"/>
      <c r="AA283" s="442"/>
    </row>
  </sheetData>
  <sheetProtection formatCells="0" formatColumns="0" formatRows="0" insertRows="0" insertColumns="0" insertHyperlinks="0" deleteColumns="0" deleteRows="0" sort="0" autoFilter="0" pivotTables="0"/>
  <autoFilter xmlns:etc="http://www.wps.cn/officeDocument/2017/etCustomData" ref="A3:AT263" etc:filterBottomFollowUsedRange="0">
    <extLst/>
  </autoFilter>
  <mergeCells count="5">
    <mergeCell ref="A1:AQ1"/>
    <mergeCell ref="X2:AN2"/>
    <mergeCell ref="A2:A4"/>
    <mergeCell ref="C2:C4"/>
    <mergeCell ref="D2:D4"/>
  </mergeCells>
  <pageMargins left="0.75" right="0.75" top="1" bottom="1" header="0.5" footer="0.5"/>
  <pageSetup paperSize="9" orientation="portrait"/>
  <headerFooter/>
  <ignoredErrors>
    <ignoredError sqref="AK270" formula="1"/>
    <ignoredError sqref="C92:C96 C74:C75 C66:C72 C77" numberStoredAsText="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P61"/>
  <sheetViews>
    <sheetView zoomScale="70" zoomScaleNormal="70" topLeftCell="D1" workbookViewId="0">
      <pane ySplit="4" topLeftCell="A38" activePane="bottomLeft" state="frozen"/>
      <selection/>
      <selection pane="bottomLeft" activeCell="L48" sqref="L48"/>
    </sheetView>
  </sheetViews>
  <sheetFormatPr defaultColWidth="9" defaultRowHeight="14.25"/>
  <cols>
    <col min="1" max="1" width="22.7083333333333" style="342" customWidth="1"/>
    <col min="2" max="2" width="14.75" style="342" customWidth="1"/>
    <col min="3" max="3" width="10.25" style="342" customWidth="1"/>
    <col min="4" max="4" width="11.75" style="342" customWidth="1"/>
    <col min="5" max="5" width="10.25" style="342" customWidth="1"/>
    <col min="6" max="6" width="14.2833333333333" style="342" customWidth="1"/>
    <col min="7" max="11" width="13.2833333333333" style="342" customWidth="1"/>
    <col min="12" max="12" width="19.85" style="342" customWidth="1"/>
    <col min="13" max="13" width="23.5666666666667" style="342" customWidth="1"/>
    <col min="14" max="14" width="32.5666666666667" style="342" customWidth="1"/>
    <col min="15" max="15" width="14.2333333333333" style="342" hidden="1" customWidth="1"/>
    <col min="16" max="16" width="25.5666666666667" style="342" customWidth="1"/>
    <col min="17" max="21" width="9" style="342"/>
    <col min="22" max="22" width="10.2166666666667" style="342" customWidth="1"/>
    <col min="23" max="23" width="15.8916666666667" style="342" customWidth="1"/>
    <col min="24" max="16378" width="9" style="342"/>
  </cols>
  <sheetData>
    <row r="1" ht="30.75" customHeight="1" spans="1:16">
      <c r="A1" s="344" t="s">
        <v>4010</v>
      </c>
      <c r="B1" s="345"/>
      <c r="C1" s="345"/>
      <c r="D1" s="345"/>
      <c r="E1" s="345"/>
      <c r="F1" s="345"/>
      <c r="G1" s="345"/>
      <c r="H1" s="346"/>
      <c r="I1" s="346"/>
      <c r="J1" s="347"/>
      <c r="K1" s="348"/>
      <c r="L1" s="349" t="s">
        <v>4011</v>
      </c>
      <c r="M1" s="350"/>
      <c r="N1" s="351"/>
    </row>
    <row r="2" spans="1:16">
      <c r="A2" s="352" t="s">
        <v>4012</v>
      </c>
      <c r="B2" s="353" t="s">
        <v>3771</v>
      </c>
      <c r="C2" s="354" t="s">
        <v>4013</v>
      </c>
      <c r="D2" s="354"/>
      <c r="E2" s="354"/>
      <c r="F2" s="354"/>
      <c r="G2" s="354"/>
      <c r="H2" s="355"/>
      <c r="I2" s="356"/>
      <c r="J2" s="357"/>
      <c r="L2" s="352" t="s">
        <v>4012</v>
      </c>
      <c r="M2" s="353" t="s">
        <v>3771</v>
      </c>
      <c r="N2" s="358" t="s">
        <v>4013</v>
      </c>
      <c r="O2" s="359"/>
    </row>
    <row r="3" ht="36" spans="1:16">
      <c r="A3" s="360"/>
      <c r="B3" s="361"/>
      <c r="C3" s="362" t="s">
        <v>1558</v>
      </c>
      <c r="D3" s="362" t="s">
        <v>4014</v>
      </c>
      <c r="E3" s="362" t="s">
        <v>1548</v>
      </c>
      <c r="F3" s="362" t="s">
        <v>804</v>
      </c>
      <c r="G3" s="362" t="s">
        <v>90</v>
      </c>
      <c r="H3" s="363" t="s">
        <v>4015</v>
      </c>
      <c r="I3" s="364" t="s">
        <v>4016</v>
      </c>
      <c r="J3" s="365" t="s">
        <v>4017</v>
      </c>
      <c r="K3" s="366"/>
      <c r="L3" s="360"/>
      <c r="M3" s="361"/>
      <c r="N3" s="367"/>
      <c r="O3" s="368" t="s">
        <v>4018</v>
      </c>
      <c r="P3" s="369"/>
    </row>
    <row r="4" ht="18" spans="1:16">
      <c r="A4" s="360"/>
      <c r="B4" s="361"/>
      <c r="C4" s="362" t="s">
        <v>4019</v>
      </c>
      <c r="D4" s="362" t="s">
        <v>4020</v>
      </c>
      <c r="E4" s="362" t="s">
        <v>4021</v>
      </c>
      <c r="F4" s="362" t="s">
        <v>4022</v>
      </c>
      <c r="G4" s="362"/>
      <c r="H4" s="363"/>
      <c r="I4" s="362"/>
      <c r="J4" s="365"/>
      <c r="K4" s="370"/>
      <c r="L4" s="360"/>
      <c r="M4" s="361"/>
      <c r="N4" s="367"/>
      <c r="O4" s="371"/>
      <c r="P4" s="369"/>
    </row>
    <row r="5" ht="22.5" customHeight="1" spans="1:16">
      <c r="A5" s="360" t="s">
        <v>3751</v>
      </c>
      <c r="B5" s="372">
        <v>44853</v>
      </c>
      <c r="C5" s="361">
        <v>30000</v>
      </c>
      <c r="D5" s="361">
        <v>30000</v>
      </c>
      <c r="E5" s="361">
        <v>30000</v>
      </c>
      <c r="F5" s="361">
        <v>30000</v>
      </c>
      <c r="G5" s="361">
        <f>SUM(C5:F5)</f>
        <v>120000</v>
      </c>
      <c r="H5" s="367">
        <f t="shared" ref="H5:H38" si="0">SUM(C5:F5)</f>
        <v>120000</v>
      </c>
      <c r="I5" s="361"/>
      <c r="J5" s="373">
        <v>44995</v>
      </c>
      <c r="L5" s="360" t="s">
        <v>4023</v>
      </c>
      <c r="M5" s="372">
        <v>44790</v>
      </c>
      <c r="N5" s="367">
        <v>68000</v>
      </c>
      <c r="O5" s="357"/>
    </row>
    <row r="6" ht="22.5" customHeight="1" spans="1:16">
      <c r="A6" s="360" t="s">
        <v>3752</v>
      </c>
      <c r="B6" s="372">
        <v>44897</v>
      </c>
      <c r="C6" s="361">
        <v>20000</v>
      </c>
      <c r="D6" s="361">
        <v>20000</v>
      </c>
      <c r="E6" s="361">
        <v>20000</v>
      </c>
      <c r="F6" s="361">
        <v>20000</v>
      </c>
      <c r="G6" s="361">
        <f t="shared" ref="G6:G12" si="1">SUM(C6:F6)</f>
        <v>80000</v>
      </c>
      <c r="H6" s="367">
        <f t="shared" si="0"/>
        <v>80000</v>
      </c>
      <c r="I6" s="361"/>
      <c r="J6" s="373">
        <v>45021</v>
      </c>
      <c r="K6" s="366"/>
      <c r="L6" s="360" t="s">
        <v>4024</v>
      </c>
      <c r="M6" s="372">
        <v>44805</v>
      </c>
      <c r="N6" s="374">
        <v>34000</v>
      </c>
      <c r="O6" s="357"/>
      <c r="P6" s="375" t="s">
        <v>4025</v>
      </c>
    </row>
    <row r="7" s="342" customFormat="1" ht="22.5" customHeight="1" spans="1:16">
      <c r="A7" s="360" t="s">
        <v>3753</v>
      </c>
      <c r="B7" s="372">
        <v>45005</v>
      </c>
      <c r="C7" s="361">
        <v>20000</v>
      </c>
      <c r="D7" s="361">
        <v>41000</v>
      </c>
      <c r="E7" s="361">
        <v>25000</v>
      </c>
      <c r="F7" s="361">
        <v>20000</v>
      </c>
      <c r="G7" s="361">
        <f>SUM(C7:F7)+I7</f>
        <v>126000</v>
      </c>
      <c r="H7" s="367">
        <f t="shared" si="0"/>
        <v>106000</v>
      </c>
      <c r="I7" s="361">
        <v>20000</v>
      </c>
      <c r="J7" s="373">
        <v>45095</v>
      </c>
      <c r="K7" s="366"/>
      <c r="L7" s="360" t="s">
        <v>4026</v>
      </c>
      <c r="M7" s="372">
        <v>44834</v>
      </c>
      <c r="N7" s="374">
        <v>102000</v>
      </c>
      <c r="O7" s="357"/>
      <c r="P7" s="375" t="s">
        <v>4025</v>
      </c>
    </row>
    <row r="8" s="342" customFormat="1" ht="22.5" customHeight="1" spans="1:16">
      <c r="A8" s="360" t="s">
        <v>3754</v>
      </c>
      <c r="B8" s="372">
        <v>45039</v>
      </c>
      <c r="C8" s="361">
        <v>23000</v>
      </c>
      <c r="D8" s="361">
        <v>62000</v>
      </c>
      <c r="E8" s="361">
        <v>28000</v>
      </c>
      <c r="F8" s="361">
        <v>23000</v>
      </c>
      <c r="G8" s="361">
        <f t="shared" si="1"/>
        <v>136000</v>
      </c>
      <c r="H8" s="367">
        <f t="shared" si="0"/>
        <v>136000</v>
      </c>
      <c r="I8" s="361"/>
      <c r="J8" s="373">
        <v>45143</v>
      </c>
      <c r="K8" s="373"/>
      <c r="L8" s="360" t="s">
        <v>4027</v>
      </c>
      <c r="M8" s="372">
        <v>44984</v>
      </c>
      <c r="N8" s="374">
        <v>102000</v>
      </c>
      <c r="O8" s="357"/>
      <c r="P8" s="375" t="s">
        <v>4025</v>
      </c>
    </row>
    <row r="9" s="342" customFormat="1" ht="22.5" customHeight="1" spans="1:16">
      <c r="A9" s="360" t="s">
        <v>4028</v>
      </c>
      <c r="B9" s="372">
        <v>45064</v>
      </c>
      <c r="C9" s="361">
        <v>21000</v>
      </c>
      <c r="D9" s="361">
        <v>38000</v>
      </c>
      <c r="E9" s="361">
        <v>21000</v>
      </c>
      <c r="F9" s="361">
        <v>22000</v>
      </c>
      <c r="G9" s="361">
        <f>SUM(C9:F9)+I9</f>
        <v>107000</v>
      </c>
      <c r="H9" s="367">
        <f t="shared" si="0"/>
        <v>102000</v>
      </c>
      <c r="I9" s="361">
        <v>5000</v>
      </c>
      <c r="J9" s="373">
        <v>45181</v>
      </c>
      <c r="K9" s="373"/>
      <c r="L9" s="360" t="s">
        <v>4029</v>
      </c>
      <c r="M9" s="372">
        <v>45043</v>
      </c>
      <c r="N9" s="374">
        <v>136000</v>
      </c>
      <c r="O9" s="357"/>
      <c r="P9" s="375" t="s">
        <v>4025</v>
      </c>
    </row>
    <row r="10" ht="22.5" customHeight="1" spans="1:16">
      <c r="A10" s="360" t="s">
        <v>4030</v>
      </c>
      <c r="B10" s="372">
        <v>45082</v>
      </c>
      <c r="C10" s="361">
        <v>21000</v>
      </c>
      <c r="D10" s="361">
        <v>21500</v>
      </c>
      <c r="E10" s="361">
        <v>22500</v>
      </c>
      <c r="F10" s="361">
        <v>20000</v>
      </c>
      <c r="G10" s="361">
        <f t="shared" si="1"/>
        <v>85000</v>
      </c>
      <c r="H10" s="367">
        <f t="shared" si="0"/>
        <v>85000</v>
      </c>
      <c r="I10" s="361"/>
      <c r="J10" s="373">
        <v>45188</v>
      </c>
      <c r="L10" s="360" t="s">
        <v>4031</v>
      </c>
      <c r="M10" s="372">
        <v>45064</v>
      </c>
      <c r="N10" s="376">
        <v>102000</v>
      </c>
      <c r="O10" s="377">
        <v>45096</v>
      </c>
      <c r="P10" s="375" t="s">
        <v>4025</v>
      </c>
    </row>
    <row r="11" ht="22.5" customHeight="1" spans="1:16">
      <c r="A11" s="360" t="s">
        <v>4032</v>
      </c>
      <c r="B11" s="372">
        <v>45089</v>
      </c>
      <c r="C11" s="361"/>
      <c r="D11" s="361">
        <v>34000</v>
      </c>
      <c r="E11" s="361"/>
      <c r="F11" s="361"/>
      <c r="G11" s="361">
        <f t="shared" si="1"/>
        <v>34000</v>
      </c>
      <c r="H11" s="367">
        <f t="shared" si="0"/>
        <v>34000</v>
      </c>
      <c r="I11" s="361"/>
      <c r="J11" s="373">
        <v>45195</v>
      </c>
      <c r="L11" s="360" t="s">
        <v>4033</v>
      </c>
      <c r="M11" s="372">
        <v>45079</v>
      </c>
      <c r="N11" s="376">
        <v>85000</v>
      </c>
      <c r="O11" s="377">
        <v>45108</v>
      </c>
      <c r="P11" s="375" t="s">
        <v>4025</v>
      </c>
    </row>
    <row r="12" ht="22.5" customHeight="1" spans="1:16">
      <c r="A12" s="360" t="s">
        <v>4034</v>
      </c>
      <c r="B12" s="372">
        <v>45111</v>
      </c>
      <c r="C12" s="361">
        <v>22500</v>
      </c>
      <c r="D12" s="361"/>
      <c r="E12" s="361">
        <v>23000</v>
      </c>
      <c r="F12" s="361">
        <v>22500</v>
      </c>
      <c r="G12" s="361">
        <f t="shared" si="1"/>
        <v>68000</v>
      </c>
      <c r="H12" s="367">
        <f t="shared" si="0"/>
        <v>68000</v>
      </c>
      <c r="I12" s="361"/>
      <c r="J12" s="373">
        <v>45208</v>
      </c>
      <c r="L12" s="360" t="s">
        <v>4035</v>
      </c>
      <c r="M12" s="372">
        <v>45091</v>
      </c>
      <c r="N12" s="376">
        <v>34000</v>
      </c>
      <c r="O12" s="377">
        <v>45117</v>
      </c>
      <c r="P12" s="375" t="s">
        <v>4025</v>
      </c>
    </row>
    <row r="13" s="342" customFormat="1" ht="22.5" customHeight="1" spans="1:16">
      <c r="A13" s="360" t="s">
        <v>4036</v>
      </c>
      <c r="B13" s="372">
        <v>45134</v>
      </c>
      <c r="C13" s="361">
        <v>20000</v>
      </c>
      <c r="D13" s="361">
        <v>22500</v>
      </c>
      <c r="E13" s="361">
        <v>22500</v>
      </c>
      <c r="F13" s="361">
        <v>20000</v>
      </c>
      <c r="G13" s="361">
        <f t="shared" ref="G13:G38" si="2">SUM(C13:F13)+I13</f>
        <v>90000</v>
      </c>
      <c r="H13" s="367">
        <f t="shared" si="0"/>
        <v>85000</v>
      </c>
      <c r="I13" s="361">
        <v>5000</v>
      </c>
      <c r="J13" s="373">
        <v>45208</v>
      </c>
      <c r="L13" s="360" t="s">
        <v>4037</v>
      </c>
      <c r="M13" s="372">
        <v>45112</v>
      </c>
      <c r="N13" s="376">
        <v>68000</v>
      </c>
      <c r="O13" s="378">
        <v>45142</v>
      </c>
      <c r="P13" s="375" t="s">
        <v>4025</v>
      </c>
    </row>
    <row r="14" s="342" customFormat="1" ht="22.5" customHeight="1" spans="1:16">
      <c r="A14" s="360" t="s">
        <v>4038</v>
      </c>
      <c r="B14" s="372">
        <v>45152</v>
      </c>
      <c r="C14" s="361">
        <v>20000</v>
      </c>
      <c r="D14" s="361">
        <v>33000</v>
      </c>
      <c r="E14" s="361">
        <v>24000</v>
      </c>
      <c r="F14" s="361">
        <v>25000</v>
      </c>
      <c r="G14" s="361">
        <f t="shared" si="2"/>
        <v>107000</v>
      </c>
      <c r="H14" s="367">
        <f t="shared" si="0"/>
        <v>102000</v>
      </c>
      <c r="I14" s="361">
        <v>5000</v>
      </c>
      <c r="J14" s="373">
        <v>45252</v>
      </c>
      <c r="L14" s="360" t="s">
        <v>4039</v>
      </c>
      <c r="M14" s="372">
        <v>45132</v>
      </c>
      <c r="N14" s="376">
        <v>85000</v>
      </c>
      <c r="O14" s="378">
        <v>45161</v>
      </c>
      <c r="P14" s="375" t="s">
        <v>4025</v>
      </c>
    </row>
    <row r="15" s="342" customFormat="1" ht="22.5" customHeight="1" spans="1:16">
      <c r="A15" s="360" t="s">
        <v>4040</v>
      </c>
      <c r="B15" s="372">
        <v>45180</v>
      </c>
      <c r="C15" s="361">
        <v>20000</v>
      </c>
      <c r="D15" s="361">
        <v>25000</v>
      </c>
      <c r="E15" s="361">
        <v>20000</v>
      </c>
      <c r="F15" s="361">
        <v>20000</v>
      </c>
      <c r="G15" s="361">
        <f t="shared" si="2"/>
        <v>95000</v>
      </c>
      <c r="H15" s="367">
        <f t="shared" si="0"/>
        <v>85000</v>
      </c>
      <c r="I15" s="361">
        <v>10000</v>
      </c>
      <c r="J15" s="373">
        <v>45280</v>
      </c>
      <c r="K15" s="373"/>
      <c r="L15" s="360" t="s">
        <v>4041</v>
      </c>
      <c r="M15" s="372">
        <v>45152</v>
      </c>
      <c r="N15" s="376">
        <v>102000</v>
      </c>
      <c r="O15" s="378">
        <v>45190</v>
      </c>
      <c r="P15" s="375" t="s">
        <v>4025</v>
      </c>
    </row>
    <row r="16" s="342" customFormat="1" ht="22.5" customHeight="1" spans="1:16">
      <c r="A16" s="360" t="s">
        <v>4042</v>
      </c>
      <c r="B16" s="372">
        <v>45237</v>
      </c>
      <c r="C16" s="361">
        <v>20000</v>
      </c>
      <c r="D16" s="361">
        <v>28000</v>
      </c>
      <c r="E16" s="361">
        <v>20000</v>
      </c>
      <c r="F16" s="361">
        <v>20000</v>
      </c>
      <c r="G16" s="361">
        <f t="shared" si="2"/>
        <v>98000</v>
      </c>
      <c r="H16" s="367">
        <f t="shared" si="0"/>
        <v>88000</v>
      </c>
      <c r="I16" s="361">
        <v>10000</v>
      </c>
      <c r="J16" s="373">
        <v>45330.8571428571</v>
      </c>
      <c r="L16" s="360" t="s">
        <v>4043</v>
      </c>
      <c r="M16" s="372">
        <v>45180</v>
      </c>
      <c r="N16" s="376">
        <v>85000</v>
      </c>
      <c r="O16" s="378"/>
      <c r="P16" s="375" t="s">
        <v>4025</v>
      </c>
    </row>
    <row r="17" s="342" customFormat="1" ht="22.5" customHeight="1" spans="1:16">
      <c r="A17" s="360" t="s">
        <v>4044</v>
      </c>
      <c r="B17" s="372">
        <v>45273</v>
      </c>
      <c r="C17" s="361">
        <v>20000</v>
      </c>
      <c r="D17" s="361">
        <v>30000</v>
      </c>
      <c r="E17" s="361">
        <v>20000</v>
      </c>
      <c r="F17" s="361">
        <v>20000</v>
      </c>
      <c r="G17" s="361">
        <f t="shared" si="2"/>
        <v>100000</v>
      </c>
      <c r="H17" s="367">
        <f t="shared" si="0"/>
        <v>90000</v>
      </c>
      <c r="I17" s="361">
        <v>10000</v>
      </c>
      <c r="J17" s="373">
        <v>45365</v>
      </c>
      <c r="L17" s="360"/>
      <c r="M17" s="372">
        <v>45208</v>
      </c>
      <c r="N17" s="376">
        <v>34000</v>
      </c>
      <c r="O17" s="378"/>
      <c r="P17" s="375" t="s">
        <v>4025</v>
      </c>
    </row>
    <row r="18" s="342" customFormat="1" ht="22.5" customHeight="1" spans="1:16">
      <c r="A18" s="360" t="s">
        <v>4045</v>
      </c>
      <c r="B18" s="372">
        <v>45301</v>
      </c>
      <c r="C18" s="361">
        <v>20000</v>
      </c>
      <c r="D18" s="361">
        <v>30000</v>
      </c>
      <c r="E18" s="361">
        <v>20000</v>
      </c>
      <c r="F18" s="361">
        <v>20000</v>
      </c>
      <c r="G18" s="361">
        <f t="shared" si="2"/>
        <v>90000</v>
      </c>
      <c r="H18" s="367">
        <f t="shared" si="0"/>
        <v>90000</v>
      </c>
      <c r="I18" s="361"/>
      <c r="J18" s="373">
        <v>45412</v>
      </c>
      <c r="L18" s="360" t="s">
        <v>4046</v>
      </c>
      <c r="M18" s="372">
        <v>45229</v>
      </c>
      <c r="N18" s="376">
        <v>54000</v>
      </c>
      <c r="O18" s="378"/>
      <c r="P18" s="379" t="s">
        <v>4047</v>
      </c>
    </row>
    <row r="19" s="342" customFormat="1" ht="22.5" customHeight="1" spans="1:16">
      <c r="A19" s="360" t="s">
        <v>4048</v>
      </c>
      <c r="B19" s="372">
        <v>45356</v>
      </c>
      <c r="C19" s="361">
        <v>20000</v>
      </c>
      <c r="D19" s="361">
        <v>43000</v>
      </c>
      <c r="E19" s="361">
        <v>25000</v>
      </c>
      <c r="F19" s="361">
        <v>20000</v>
      </c>
      <c r="G19" s="361">
        <f t="shared" si="2"/>
        <v>118000</v>
      </c>
      <c r="H19" s="367">
        <f t="shared" si="0"/>
        <v>108000</v>
      </c>
      <c r="I19" s="361">
        <v>10000</v>
      </c>
      <c r="J19" s="373">
        <v>45435</v>
      </c>
      <c r="L19" s="360" t="s">
        <v>4049</v>
      </c>
      <c r="M19" s="372">
        <v>45265</v>
      </c>
      <c r="N19" s="376">
        <v>90000</v>
      </c>
      <c r="O19" s="378"/>
      <c r="P19" s="379" t="s">
        <v>4047</v>
      </c>
    </row>
    <row r="20" ht="28" customHeight="1" spans="1:16">
      <c r="A20" s="360" t="s">
        <v>4050</v>
      </c>
      <c r="B20" s="372">
        <v>45370</v>
      </c>
      <c r="C20" s="361">
        <v>20000</v>
      </c>
      <c r="D20" s="361">
        <v>57000</v>
      </c>
      <c r="E20" s="361">
        <v>27000</v>
      </c>
      <c r="F20" s="361">
        <v>22000</v>
      </c>
      <c r="G20" s="361">
        <f t="shared" si="2"/>
        <v>126000</v>
      </c>
      <c r="H20" s="367">
        <f t="shared" si="0"/>
        <v>126000</v>
      </c>
      <c r="I20" s="361"/>
      <c r="J20" s="373">
        <v>45474.5714285714</v>
      </c>
      <c r="L20" s="360" t="s">
        <v>4051</v>
      </c>
      <c r="M20" s="372">
        <v>45286</v>
      </c>
      <c r="N20" s="376">
        <v>90000</v>
      </c>
      <c r="O20" s="378"/>
      <c r="P20" s="379" t="s">
        <v>4047</v>
      </c>
    </row>
    <row r="21" ht="22" customHeight="1" spans="1:16">
      <c r="A21" s="360" t="s">
        <v>4052</v>
      </c>
      <c r="B21" s="372">
        <v>45390</v>
      </c>
      <c r="C21" s="361">
        <v>20000</v>
      </c>
      <c r="D21" s="361">
        <v>37000</v>
      </c>
      <c r="E21" s="361">
        <v>27000</v>
      </c>
      <c r="F21" s="361">
        <v>24000</v>
      </c>
      <c r="G21" s="361">
        <f t="shared" si="2"/>
        <v>118000</v>
      </c>
      <c r="H21" s="367">
        <f t="shared" si="0"/>
        <v>108000</v>
      </c>
      <c r="I21" s="361">
        <v>10000</v>
      </c>
      <c r="J21" s="373">
        <v>45509</v>
      </c>
      <c r="L21" s="360" t="s">
        <v>4053</v>
      </c>
      <c r="M21" s="372">
        <v>45315</v>
      </c>
      <c r="N21" s="376">
        <v>108000</v>
      </c>
      <c r="O21" s="380"/>
      <c r="P21" s="379" t="s">
        <v>4047</v>
      </c>
    </row>
    <row r="22" ht="22" customHeight="1" spans="1:16">
      <c r="A22" s="360" t="s">
        <v>4054</v>
      </c>
      <c r="B22" s="372">
        <v>45411</v>
      </c>
      <c r="C22" s="361">
        <v>22000</v>
      </c>
      <c r="D22" s="361">
        <v>52000</v>
      </c>
      <c r="E22" s="361">
        <v>27000</v>
      </c>
      <c r="F22" s="361">
        <v>25000</v>
      </c>
      <c r="G22" s="361">
        <f t="shared" si="2"/>
        <v>126000</v>
      </c>
      <c r="H22" s="367">
        <f t="shared" si="0"/>
        <v>126000</v>
      </c>
      <c r="I22" s="361"/>
      <c r="J22" s="373">
        <v>45522</v>
      </c>
      <c r="L22" s="360" t="s">
        <v>4055</v>
      </c>
      <c r="M22" s="372">
        <v>45370</v>
      </c>
      <c r="N22" s="376">
        <v>126000</v>
      </c>
      <c r="O22" s="380"/>
      <c r="P22" s="379" t="s">
        <v>4047</v>
      </c>
    </row>
    <row r="23" ht="22" customHeight="1" spans="1:16">
      <c r="A23" s="360" t="s">
        <v>4056</v>
      </c>
      <c r="B23" s="372">
        <v>45422</v>
      </c>
      <c r="C23" s="361"/>
      <c r="D23" s="361">
        <v>54000</v>
      </c>
      <c r="E23" s="361"/>
      <c r="F23" s="361"/>
      <c r="G23" s="361">
        <f t="shared" si="2"/>
        <v>54000</v>
      </c>
      <c r="H23" s="367">
        <f t="shared" si="0"/>
        <v>54000</v>
      </c>
      <c r="I23" s="361"/>
      <c r="J23" s="373">
        <v>45547</v>
      </c>
      <c r="L23" s="360" t="s">
        <v>4057</v>
      </c>
      <c r="M23" s="372">
        <v>45385</v>
      </c>
      <c r="N23" s="376">
        <v>108000</v>
      </c>
      <c r="O23" s="381"/>
      <c r="P23" s="379" t="s">
        <v>4047</v>
      </c>
    </row>
    <row r="24" s="342" customFormat="1" ht="22" customHeight="1" spans="1:16">
      <c r="A24" s="360" t="s">
        <v>4058</v>
      </c>
      <c r="B24" s="372">
        <v>45427</v>
      </c>
      <c r="C24" s="361">
        <v>32500</v>
      </c>
      <c r="D24" s="361">
        <v>20000</v>
      </c>
      <c r="E24" s="361">
        <v>27500</v>
      </c>
      <c r="F24" s="361">
        <v>28000</v>
      </c>
      <c r="G24" s="361">
        <f t="shared" si="2"/>
        <v>118000</v>
      </c>
      <c r="H24" s="367">
        <f t="shared" si="0"/>
        <v>108000</v>
      </c>
      <c r="I24" s="361">
        <v>10000</v>
      </c>
      <c r="J24" s="373">
        <v>45552</v>
      </c>
      <c r="L24" s="360" t="s">
        <v>4059</v>
      </c>
      <c r="M24" s="372">
        <v>45410</v>
      </c>
      <c r="N24" s="376">
        <v>72000</v>
      </c>
      <c r="O24" s="381"/>
      <c r="P24" s="379" t="s">
        <v>4047</v>
      </c>
    </row>
    <row r="25" s="342" customFormat="1" ht="22" customHeight="1" spans="1:16">
      <c r="A25" s="360" t="s">
        <v>4060</v>
      </c>
      <c r="B25" s="372">
        <v>45467</v>
      </c>
      <c r="C25" s="361">
        <v>24500</v>
      </c>
      <c r="D25" s="361">
        <v>33500</v>
      </c>
      <c r="E25" s="361">
        <v>26500</v>
      </c>
      <c r="F25" s="361">
        <v>23500</v>
      </c>
      <c r="G25" s="361">
        <f t="shared" si="2"/>
        <v>118000</v>
      </c>
      <c r="H25" s="367">
        <f t="shared" si="0"/>
        <v>108000</v>
      </c>
      <c r="I25" s="361">
        <v>10000</v>
      </c>
      <c r="J25" s="373">
        <v>45595</v>
      </c>
      <c r="L25" s="360" t="s">
        <v>4061</v>
      </c>
      <c r="M25" s="372">
        <v>45410</v>
      </c>
      <c r="N25" s="376">
        <v>54000</v>
      </c>
      <c r="O25" s="381"/>
      <c r="P25" s="379" t="s">
        <v>4047</v>
      </c>
    </row>
    <row r="26" s="342" customFormat="1" ht="22" customHeight="1" spans="1:16">
      <c r="A26" s="360" t="s">
        <v>4062</v>
      </c>
      <c r="B26" s="372">
        <v>45559</v>
      </c>
      <c r="C26" s="361">
        <v>20000</v>
      </c>
      <c r="D26" s="361">
        <v>25000</v>
      </c>
      <c r="E26" s="361">
        <v>20000</v>
      </c>
      <c r="F26" s="361"/>
      <c r="G26" s="361">
        <f t="shared" si="2"/>
        <v>65000</v>
      </c>
      <c r="H26" s="367">
        <f t="shared" si="0"/>
        <v>65000</v>
      </c>
      <c r="I26" s="361"/>
      <c r="J26" s="373">
        <v>45614</v>
      </c>
      <c r="L26" s="360" t="s">
        <v>4063</v>
      </c>
      <c r="M26" s="372">
        <v>45422</v>
      </c>
      <c r="N26" s="376">
        <v>54000</v>
      </c>
      <c r="O26" s="381"/>
      <c r="P26" s="379" t="s">
        <v>4047</v>
      </c>
    </row>
    <row r="27" s="342" customFormat="1" ht="22" customHeight="1" spans="1:16">
      <c r="A27" s="360" t="s">
        <v>4064</v>
      </c>
      <c r="B27" s="372">
        <v>45582</v>
      </c>
      <c r="C27" s="361"/>
      <c r="D27" s="361"/>
      <c r="E27" s="361"/>
      <c r="F27" s="361">
        <v>20000</v>
      </c>
      <c r="G27" s="361">
        <f t="shared" si="2"/>
        <v>20000</v>
      </c>
      <c r="H27" s="367">
        <f t="shared" si="0"/>
        <v>20000</v>
      </c>
      <c r="I27" s="361"/>
      <c r="J27" s="373">
        <v>45639</v>
      </c>
      <c r="L27" s="360" t="s">
        <v>4065</v>
      </c>
      <c r="M27" s="372">
        <v>45427</v>
      </c>
      <c r="N27" s="376">
        <v>108000</v>
      </c>
      <c r="O27" s="381"/>
      <c r="P27" s="379" t="s">
        <v>4047</v>
      </c>
    </row>
    <row r="28" s="343" customFormat="1" ht="22" customHeight="1" spans="1:16">
      <c r="A28" s="382" t="s">
        <v>4066</v>
      </c>
      <c r="B28" s="383">
        <v>45618</v>
      </c>
      <c r="C28" s="384">
        <v>22000</v>
      </c>
      <c r="D28" s="384">
        <v>26000</v>
      </c>
      <c r="E28" s="384">
        <v>27000</v>
      </c>
      <c r="F28" s="384">
        <v>20000</v>
      </c>
      <c r="G28" s="384">
        <f t="shared" si="2"/>
        <v>115000</v>
      </c>
      <c r="H28" s="385">
        <f t="shared" si="0"/>
        <v>95000</v>
      </c>
      <c r="I28" s="384">
        <v>20000</v>
      </c>
      <c r="J28" s="386">
        <v>45342</v>
      </c>
      <c r="L28" s="382" t="s">
        <v>4067</v>
      </c>
      <c r="M28" s="383">
        <v>45468</v>
      </c>
      <c r="N28" s="387">
        <v>108000</v>
      </c>
      <c r="O28" s="388"/>
      <c r="P28" s="389" t="s">
        <v>4047</v>
      </c>
    </row>
    <row r="29" s="342" customFormat="1" ht="22" customHeight="1" spans="1:16">
      <c r="A29" s="360" t="s">
        <v>4068</v>
      </c>
      <c r="B29" s="372">
        <v>45630</v>
      </c>
      <c r="C29" s="361">
        <v>23000</v>
      </c>
      <c r="D29" s="361">
        <v>24000</v>
      </c>
      <c r="E29" s="361">
        <v>23000</v>
      </c>
      <c r="F29" s="361">
        <v>20000</v>
      </c>
      <c r="G29" s="361">
        <f t="shared" si="2"/>
        <v>90000</v>
      </c>
      <c r="H29" s="367">
        <f t="shared" si="0"/>
        <v>90000</v>
      </c>
      <c r="I29" s="361"/>
      <c r="J29" s="373">
        <v>45666</v>
      </c>
      <c r="L29" s="360" t="s">
        <v>4069</v>
      </c>
      <c r="M29" s="372">
        <v>45504</v>
      </c>
      <c r="N29" s="376">
        <v>54000</v>
      </c>
      <c r="O29" s="381"/>
      <c r="P29" s="379" t="s">
        <v>4047</v>
      </c>
    </row>
    <row r="30" s="342" customFormat="1" ht="22" customHeight="1" spans="1:16">
      <c r="A30" s="360" t="s">
        <v>4070</v>
      </c>
      <c r="B30" s="372">
        <v>45733</v>
      </c>
      <c r="C30" s="361">
        <v>20000</v>
      </c>
      <c r="D30" s="361">
        <v>28500</v>
      </c>
      <c r="E30" s="361">
        <v>20000</v>
      </c>
      <c r="F30" s="361">
        <v>21500</v>
      </c>
      <c r="G30" s="361">
        <f t="shared" si="2"/>
        <v>90000</v>
      </c>
      <c r="H30" s="367">
        <f t="shared" si="0"/>
        <v>90000</v>
      </c>
      <c r="I30" s="361"/>
      <c r="J30" s="373">
        <v>45795</v>
      </c>
      <c r="L30" s="360" t="s">
        <v>4071</v>
      </c>
      <c r="M30" s="372">
        <v>45539</v>
      </c>
      <c r="N30" s="376">
        <v>18000</v>
      </c>
      <c r="O30" s="381"/>
      <c r="P30" s="379" t="s">
        <v>4047</v>
      </c>
    </row>
    <row r="31" s="342" customFormat="1" ht="22" customHeight="1" spans="1:16">
      <c r="A31" s="360" t="s">
        <v>4072</v>
      </c>
      <c r="B31" s="372">
        <v>45784</v>
      </c>
      <c r="C31" s="361">
        <v>20000</v>
      </c>
      <c r="D31" s="361">
        <v>25000</v>
      </c>
      <c r="E31" s="361">
        <v>25000</v>
      </c>
      <c r="F31" s="361">
        <v>20000</v>
      </c>
      <c r="G31" s="361">
        <f t="shared" si="2"/>
        <v>90000</v>
      </c>
      <c r="H31" s="367">
        <f t="shared" si="0"/>
        <v>90000</v>
      </c>
      <c r="I31" s="361"/>
      <c r="J31" s="373">
        <v>45859</v>
      </c>
      <c r="L31" s="360" t="s">
        <v>4073</v>
      </c>
      <c r="M31" s="372">
        <v>45559</v>
      </c>
      <c r="N31" s="376">
        <v>36000</v>
      </c>
      <c r="O31" s="381"/>
      <c r="P31" s="379" t="s">
        <v>4047</v>
      </c>
    </row>
    <row r="32" s="342" customFormat="1" ht="22" customHeight="1" spans="1:16">
      <c r="A32" s="360" t="s">
        <v>4074</v>
      </c>
      <c r="B32" s="372">
        <v>45806</v>
      </c>
      <c r="C32" s="361">
        <v>20000</v>
      </c>
      <c r="D32" s="361">
        <v>25000</v>
      </c>
      <c r="E32" s="361">
        <v>25000</v>
      </c>
      <c r="F32" s="361">
        <v>20000</v>
      </c>
      <c r="G32" s="361">
        <f t="shared" si="2"/>
        <v>100000</v>
      </c>
      <c r="H32" s="367">
        <f t="shared" si="0"/>
        <v>90000</v>
      </c>
      <c r="I32" s="361">
        <v>10000</v>
      </c>
      <c r="J32" s="373">
        <v>45881</v>
      </c>
      <c r="L32" s="360" t="s">
        <v>4075</v>
      </c>
      <c r="M32" s="372">
        <v>45593</v>
      </c>
      <c r="N32" s="376">
        <v>72000</v>
      </c>
      <c r="O32" s="381"/>
      <c r="P32" s="379" t="s">
        <v>4047</v>
      </c>
    </row>
    <row r="33" s="342" customFormat="1" ht="22" customHeight="1" spans="1:16">
      <c r="A33" s="360" t="s">
        <v>4076</v>
      </c>
      <c r="B33" s="372">
        <v>45849</v>
      </c>
      <c r="C33" s="361">
        <v>24000</v>
      </c>
      <c r="D33" s="361">
        <v>20000</v>
      </c>
      <c r="E33" s="361">
        <v>25000</v>
      </c>
      <c r="F33" s="361">
        <v>21000</v>
      </c>
      <c r="G33" s="361">
        <f t="shared" si="2"/>
        <v>100000</v>
      </c>
      <c r="H33" s="367">
        <f t="shared" si="0"/>
        <v>90000</v>
      </c>
      <c r="I33" s="361">
        <v>10000</v>
      </c>
      <c r="J33" s="373">
        <v>45940</v>
      </c>
      <c r="L33" s="360" t="s">
        <v>4077</v>
      </c>
      <c r="M33" s="372">
        <v>45625</v>
      </c>
      <c r="N33" s="376">
        <v>90000</v>
      </c>
      <c r="O33" s="381"/>
      <c r="P33" s="379" t="s">
        <v>4047</v>
      </c>
    </row>
    <row r="34" s="342" customFormat="1" ht="22" customHeight="1" spans="1:16">
      <c r="A34" s="360" t="s">
        <v>4078</v>
      </c>
      <c r="B34" s="372">
        <v>45954</v>
      </c>
      <c r="C34" s="361">
        <v>20500</v>
      </c>
      <c r="D34" s="361">
        <v>23500</v>
      </c>
      <c r="E34" s="361">
        <v>22000</v>
      </c>
      <c r="F34" s="361">
        <v>24000</v>
      </c>
      <c r="G34" s="361">
        <f t="shared" si="2"/>
        <v>90000</v>
      </c>
      <c r="H34" s="367">
        <f t="shared" si="0"/>
        <v>90000</v>
      </c>
      <c r="I34" s="361"/>
      <c r="J34" s="373">
        <v>45985</v>
      </c>
      <c r="L34" s="360" t="s">
        <v>4079</v>
      </c>
      <c r="M34" s="372">
        <v>45702</v>
      </c>
      <c r="N34" s="376">
        <v>72000</v>
      </c>
      <c r="O34" s="381"/>
      <c r="P34" s="379" t="s">
        <v>4047</v>
      </c>
    </row>
    <row r="35" s="342" customFormat="1" ht="22" customHeight="1" spans="1:16">
      <c r="A35" s="360" t="s">
        <v>4080</v>
      </c>
      <c r="B35" s="372">
        <v>46000</v>
      </c>
      <c r="C35" s="361">
        <v>20000</v>
      </c>
      <c r="D35" s="361">
        <v>25000</v>
      </c>
      <c r="E35" s="361">
        <v>25000</v>
      </c>
      <c r="F35" s="361">
        <v>20000</v>
      </c>
      <c r="G35" s="361">
        <f t="shared" si="2"/>
        <v>100000</v>
      </c>
      <c r="H35" s="367">
        <f t="shared" si="0"/>
        <v>90000</v>
      </c>
      <c r="I35" s="361">
        <v>10000</v>
      </c>
      <c r="J35" s="373">
        <v>46027</v>
      </c>
      <c r="K35" s="369"/>
      <c r="L35" s="360" t="s">
        <v>4081</v>
      </c>
      <c r="M35" s="372">
        <v>45742</v>
      </c>
      <c r="N35" s="376">
        <v>72000</v>
      </c>
      <c r="O35" s="381"/>
      <c r="P35" s="379" t="s">
        <v>4082</v>
      </c>
    </row>
    <row r="36" s="342" customFormat="1" ht="23" customHeight="1" spans="1:16">
      <c r="A36" s="360" t="s">
        <v>4083</v>
      </c>
      <c r="B36" s="372">
        <v>46091</v>
      </c>
      <c r="C36" s="361">
        <v>32000</v>
      </c>
      <c r="D36" s="361">
        <v>40500</v>
      </c>
      <c r="E36" s="361">
        <v>37500</v>
      </c>
      <c r="F36" s="361">
        <v>34000</v>
      </c>
      <c r="G36" s="361">
        <f t="shared" si="2"/>
        <v>144000</v>
      </c>
      <c r="H36" s="367">
        <f t="shared" si="0"/>
        <v>144000</v>
      </c>
      <c r="I36" s="361"/>
      <c r="J36" s="373">
        <v>46213</v>
      </c>
      <c r="L36" s="360" t="s">
        <v>4084</v>
      </c>
      <c r="M36" s="372"/>
      <c r="N36" s="376">
        <v>36000</v>
      </c>
      <c r="O36" s="381"/>
      <c r="P36" s="379" t="s">
        <v>4082</v>
      </c>
    </row>
    <row r="37" ht="23" customHeight="1" spans="1:16">
      <c r="A37" s="360" t="s">
        <v>4085</v>
      </c>
      <c r="B37" s="372">
        <v>46167</v>
      </c>
      <c r="C37" s="361">
        <v>22500</v>
      </c>
      <c r="D37" s="361">
        <v>22250</v>
      </c>
      <c r="E37" s="361">
        <v>22750</v>
      </c>
      <c r="F37" s="361">
        <v>22500</v>
      </c>
      <c r="G37" s="361">
        <f t="shared" si="2"/>
        <v>90000</v>
      </c>
      <c r="H37" s="367">
        <f t="shared" si="0"/>
        <v>90000</v>
      </c>
      <c r="I37" s="361"/>
      <c r="J37" s="373">
        <v>46275</v>
      </c>
      <c r="L37" s="360" t="s">
        <v>4086</v>
      </c>
      <c r="M37" s="372">
        <v>45804</v>
      </c>
      <c r="N37" s="376">
        <v>72000</v>
      </c>
      <c r="P37" s="379" t="s">
        <v>4082</v>
      </c>
    </row>
    <row r="38" ht="23" customHeight="1" spans="1:16">
      <c r="A38" s="390" t="s">
        <v>4087</v>
      </c>
      <c r="B38" s="391">
        <v>46240</v>
      </c>
      <c r="C38" s="392">
        <v>20000</v>
      </c>
      <c r="D38" s="392">
        <v>26000</v>
      </c>
      <c r="E38" s="392">
        <v>24000</v>
      </c>
      <c r="F38" s="392">
        <v>20000</v>
      </c>
      <c r="G38" s="392">
        <f t="shared" si="2"/>
        <v>100000</v>
      </c>
      <c r="H38" s="393">
        <f t="shared" si="0"/>
        <v>90000</v>
      </c>
      <c r="I38" s="392">
        <v>10000</v>
      </c>
      <c r="J38" s="394">
        <v>46320</v>
      </c>
      <c r="L38" s="360" t="s">
        <v>4088</v>
      </c>
      <c r="M38" s="372">
        <v>45806</v>
      </c>
      <c r="N38" s="376">
        <v>18000</v>
      </c>
      <c r="P38" s="379" t="s">
        <v>4082</v>
      </c>
    </row>
    <row r="39" ht="23" customHeight="1" spans="1:16">
      <c r="A39" s="360"/>
      <c r="B39" s="372"/>
      <c r="C39" s="361"/>
      <c r="D39" s="361"/>
      <c r="E39" s="361"/>
      <c r="F39" s="361"/>
      <c r="G39" s="361"/>
      <c r="H39" s="367"/>
      <c r="I39" s="361"/>
      <c r="J39" s="373"/>
      <c r="L39" s="360" t="s">
        <v>4089</v>
      </c>
      <c r="M39" s="372">
        <v>45838</v>
      </c>
      <c r="N39" s="376">
        <v>90000</v>
      </c>
      <c r="P39" s="379" t="s">
        <v>4082</v>
      </c>
    </row>
    <row r="40" ht="23" customHeight="1" spans="1:16">
      <c r="A40" s="360"/>
      <c r="B40" s="372"/>
      <c r="C40" s="361"/>
      <c r="D40" s="361"/>
      <c r="E40" s="361"/>
      <c r="F40" s="361"/>
      <c r="G40" s="361"/>
      <c r="H40" s="367"/>
      <c r="I40" s="361"/>
      <c r="J40" s="373"/>
      <c r="L40" s="360" t="s">
        <v>4090</v>
      </c>
      <c r="M40" s="372">
        <v>45866</v>
      </c>
      <c r="N40" s="376">
        <v>54000</v>
      </c>
      <c r="P40" s="379" t="s">
        <v>4082</v>
      </c>
    </row>
    <row r="41" spans="1:16">
      <c r="A41" s="360"/>
      <c r="B41" s="395" t="s">
        <v>4091</v>
      </c>
      <c r="C41" s="361">
        <f t="shared" ref="C41:I41" si="3">SUM(C5:C40)</f>
        <v>680500</v>
      </c>
      <c r="D41" s="361">
        <f t="shared" si="3"/>
        <v>1022250</v>
      </c>
      <c r="E41" s="361">
        <f t="shared" si="3"/>
        <v>752250</v>
      </c>
      <c r="F41" s="361">
        <f t="shared" si="3"/>
        <v>688000</v>
      </c>
      <c r="G41" s="361">
        <f t="shared" si="3"/>
        <v>3308000</v>
      </c>
      <c r="H41" s="361">
        <f t="shared" si="3"/>
        <v>3143000</v>
      </c>
      <c r="I41" s="361">
        <f t="shared" si="3"/>
        <v>165000</v>
      </c>
      <c r="J41" s="357">
        <f>SUM(H41:I41)</f>
        <v>3308000</v>
      </c>
      <c r="L41" s="360" t="s">
        <v>4092</v>
      </c>
      <c r="M41" s="372">
        <v>45901</v>
      </c>
      <c r="N41" s="376">
        <v>36000</v>
      </c>
      <c r="P41" s="379" t="s">
        <v>4082</v>
      </c>
    </row>
    <row r="42" ht="21" customHeight="1" spans="1:16">
      <c r="A42" s="360"/>
      <c r="B42" s="396" t="s">
        <v>4093</v>
      </c>
      <c r="C42" s="397">
        <v>188624.318181818</v>
      </c>
      <c r="D42" s="397">
        <v>313646.681818182</v>
      </c>
      <c r="E42" s="397">
        <v>208240.681818182</v>
      </c>
      <c r="F42" s="397">
        <v>193857.318181818</v>
      </c>
      <c r="G42" s="397">
        <v>940610.72727273</v>
      </c>
      <c r="H42" s="398">
        <f>SUM(C42:F42)</f>
        <v>904369</v>
      </c>
      <c r="I42" s="397">
        <v>37137.7272727273</v>
      </c>
      <c r="J42" s="357"/>
      <c r="L42" s="360" t="s">
        <v>4094</v>
      </c>
      <c r="M42" s="372">
        <v>45925</v>
      </c>
      <c r="N42" s="376">
        <v>36000</v>
      </c>
      <c r="P42" s="379" t="s">
        <v>4082</v>
      </c>
    </row>
    <row r="43" ht="21" customHeight="1" spans="1:16">
      <c r="A43" s="360"/>
      <c r="B43" s="399" t="s">
        <v>4095</v>
      </c>
      <c r="C43" s="400">
        <v>218368</v>
      </c>
      <c r="D43" s="400">
        <v>393913.5</v>
      </c>
      <c r="E43" s="400">
        <v>240537.5</v>
      </c>
      <c r="F43" s="400">
        <v>214994</v>
      </c>
      <c r="G43" s="400">
        <v>1007742.5</v>
      </c>
      <c r="H43" s="398">
        <f>SUM(C43:F43)</f>
        <v>1067813</v>
      </c>
      <c r="I43" s="400">
        <v>52973</v>
      </c>
      <c r="J43" s="357"/>
      <c r="L43" s="360" t="s">
        <v>4096</v>
      </c>
      <c r="M43" s="372">
        <v>45957</v>
      </c>
      <c r="N43" s="376">
        <v>36000</v>
      </c>
      <c r="P43" s="379" t="s">
        <v>4082</v>
      </c>
    </row>
    <row r="44" ht="21" customHeight="1" spans="1:16">
      <c r="A44" s="360"/>
      <c r="B44" s="395" t="s">
        <v>4097</v>
      </c>
      <c r="C44" s="401">
        <f>'9543'!BX903+C42+C43</f>
        <v>640056.727272727</v>
      </c>
      <c r="D44" s="401">
        <f>'9543'!BY903+D42+D43</f>
        <v>976131.772727273</v>
      </c>
      <c r="E44" s="401">
        <f>'9543'!BZ903+E42+E43</f>
        <v>705421.772727273</v>
      </c>
      <c r="F44" s="401">
        <f>'9543'!CA903+F42+F43</f>
        <v>649227.727272727</v>
      </c>
      <c r="G44" s="401">
        <f>'9543'!CB903+G42+G43</f>
        <v>2865777.22727273</v>
      </c>
      <c r="H44" s="398">
        <f>SUM(C44:F44)</f>
        <v>2970838</v>
      </c>
      <c r="I44" s="401">
        <f>'9543'!CC903+I42+I43</f>
        <v>148711.727272727</v>
      </c>
      <c r="J44" s="402">
        <f>SUM(H44:I44)</f>
        <v>3119549.72727273</v>
      </c>
      <c r="L44" s="403" t="s">
        <v>4098</v>
      </c>
      <c r="M44" s="404">
        <v>45989</v>
      </c>
      <c r="N44" s="405">
        <v>36000</v>
      </c>
      <c r="P44" s="379" t="s">
        <v>4082</v>
      </c>
    </row>
    <row r="45" ht="21" customHeight="1" spans="1:16">
      <c r="A45" s="360"/>
      <c r="B45" s="395" t="s">
        <v>4099</v>
      </c>
      <c r="C45" s="361"/>
      <c r="D45" s="406"/>
      <c r="E45" s="406"/>
      <c r="F45" s="406"/>
      <c r="G45" s="361"/>
      <c r="H45" s="367"/>
      <c r="I45" s="406"/>
      <c r="J45" s="357"/>
      <c r="L45" s="403" t="s">
        <v>4100</v>
      </c>
      <c r="M45" s="404">
        <v>46015</v>
      </c>
      <c r="N45" s="405">
        <v>36000</v>
      </c>
      <c r="O45" s="361"/>
      <c r="P45" s="379" t="s">
        <v>4082</v>
      </c>
    </row>
    <row r="46" ht="21" customHeight="1" spans="1:16">
      <c r="A46" s="360"/>
      <c r="B46" s="395" t="s">
        <v>4101</v>
      </c>
      <c r="C46" s="406">
        <f>C41-C44-C45</f>
        <v>40443.2727272729</v>
      </c>
      <c r="D46" s="406">
        <f>D41-D44-D45</f>
        <v>46118.2272727271</v>
      </c>
      <c r="E46" s="406">
        <f>E41-E44-E45</f>
        <v>46828.2272727271</v>
      </c>
      <c r="F46" s="406">
        <f>F41-F44-F45</f>
        <v>38772.2727272729</v>
      </c>
      <c r="G46" s="406">
        <f>G41-G44-G45</f>
        <v>442222.77272727</v>
      </c>
      <c r="H46" s="367">
        <f>H41-H44</f>
        <v>172162</v>
      </c>
      <c r="I46" s="406">
        <f>I41-I44</f>
        <v>16288.2727272727</v>
      </c>
      <c r="J46" s="402">
        <f>J41-J44</f>
        <v>188450.272727272</v>
      </c>
      <c r="L46" s="403" t="s">
        <v>4102</v>
      </c>
      <c r="M46" s="404">
        <v>46031</v>
      </c>
      <c r="N46" s="405">
        <v>90000</v>
      </c>
      <c r="O46" s="361"/>
      <c r="P46" s="379" t="s">
        <v>4082</v>
      </c>
    </row>
    <row r="47" ht="21" customHeight="1" spans="1:16">
      <c r="A47" s="407"/>
      <c r="B47" s="408" t="s">
        <v>4103</v>
      </c>
      <c r="C47" s="409">
        <f>SUM(C46:F46)</f>
        <v>172162</v>
      </c>
      <c r="D47" s="409"/>
      <c r="E47" s="409"/>
      <c r="F47" s="409"/>
      <c r="G47" s="409"/>
      <c r="H47" s="410"/>
      <c r="I47" s="411"/>
      <c r="J47" s="381"/>
      <c r="L47" s="403" t="s">
        <v>4104</v>
      </c>
      <c r="M47" s="404">
        <v>46167</v>
      </c>
      <c r="N47" s="405">
        <v>90000</v>
      </c>
      <c r="O47" s="361"/>
      <c r="P47" s="379" t="s">
        <v>4082</v>
      </c>
    </row>
    <row r="48" ht="21" customHeight="1" spans="1:16">
      <c r="L48" s="412" t="s">
        <v>4105</v>
      </c>
      <c r="M48" s="413">
        <v>46240</v>
      </c>
      <c r="N48" s="414">
        <v>90000</v>
      </c>
      <c r="O48" s="392"/>
      <c r="P48" s="415" t="s">
        <v>4082</v>
      </c>
    </row>
    <row r="49" ht="21" customHeight="1" spans="2:16">
      <c r="K49" s="342">
        <f>I42+I43</f>
        <v>90110.7272727273</v>
      </c>
      <c r="L49" s="403"/>
      <c r="M49" s="404"/>
      <c r="N49" s="405"/>
      <c r="O49" s="361"/>
      <c r="P49" s="361"/>
    </row>
    <row r="50" ht="21" customHeight="1" spans="2:16">
      <c r="C50" s="416">
        <v>425731.068181818</v>
      </c>
      <c r="D50" s="416">
        <v>730835.931818182</v>
      </c>
      <c r="E50" s="416">
        <v>467325.931818182</v>
      </c>
      <c r="F50" s="416">
        <v>425934.068181818</v>
      </c>
      <c r="G50" s="416">
        <v>2024486.22727273</v>
      </c>
      <c r="H50" s="416">
        <v>2049827</v>
      </c>
      <c r="I50" s="416">
        <v>95177.7272727273</v>
      </c>
      <c r="J50" s="416">
        <v>2145004.72727273</v>
      </c>
      <c r="L50" s="417"/>
      <c r="M50" s="418" t="s">
        <v>4091</v>
      </c>
      <c r="N50" s="419">
        <f>SUM(N5:N49)</f>
        <v>3143000</v>
      </c>
    </row>
    <row r="51" ht="21" customHeight="1" spans="2:16">
      <c r="C51" s="416">
        <f>C50-C44</f>
        <v>-214325.659090909</v>
      </c>
      <c r="D51" s="416">
        <f t="shared" ref="D51:I51" si="4">D50-D44</f>
        <v>-245295.840909091</v>
      </c>
      <c r="E51" s="416">
        <f t="shared" si="4"/>
        <v>-238095.840909091</v>
      </c>
      <c r="F51" s="416">
        <f t="shared" si="4"/>
        <v>-223293.659090909</v>
      </c>
      <c r="G51" s="416">
        <f t="shared" si="4"/>
        <v>-841291</v>
      </c>
      <c r="H51" s="416">
        <f t="shared" si="4"/>
        <v>-921011</v>
      </c>
      <c r="I51" s="416">
        <f t="shared" si="4"/>
        <v>-53534</v>
      </c>
      <c r="J51" s="420"/>
      <c r="L51" s="360"/>
      <c r="M51" s="395" t="s">
        <v>4097</v>
      </c>
      <c r="N51" s="376">
        <f>H41</f>
        <v>3143000</v>
      </c>
    </row>
    <row r="52" ht="21" customHeight="1" spans="2:16">
      <c r="C52" s="420"/>
      <c r="D52" s="420"/>
      <c r="E52" s="420"/>
      <c r="F52" s="420"/>
      <c r="G52" s="420"/>
      <c r="H52" s="420"/>
      <c r="I52" s="420"/>
      <c r="J52" s="420"/>
      <c r="L52" s="421"/>
      <c r="M52" s="395" t="s">
        <v>4106</v>
      </c>
      <c r="N52" s="422">
        <f>N50-N51</f>
        <v>0</v>
      </c>
    </row>
    <row r="53" s="342" customFormat="1" ht="29" customHeight="1" spans="2:16">
      <c r="C53" s="342">
        <v>567000</v>
      </c>
      <c r="D53" s="342">
        <v>1046000</v>
      </c>
      <c r="E53" s="342">
        <v>629000</v>
      </c>
      <c r="F53" s="342">
        <v>572000</v>
      </c>
      <c r="G53" s="342">
        <f>SUM(C53:F53)</f>
        <v>2814000</v>
      </c>
    </row>
    <row r="54" s="342" customFormat="1" ht="29" customHeight="1" spans="2:16">
      <c r="P54" s="342">
        <f>N47-C47</f>
        <v>-82162</v>
      </c>
    </row>
    <row r="55" ht="15"/>
    <row r="56" ht="36.75" spans="2:16">
      <c r="B56" s="352"/>
      <c r="C56" s="423" t="s">
        <v>1558</v>
      </c>
      <c r="D56" s="423" t="s">
        <v>4014</v>
      </c>
      <c r="E56" s="423" t="s">
        <v>1548</v>
      </c>
      <c r="F56" s="423" t="s">
        <v>804</v>
      </c>
      <c r="G56" s="424" t="s">
        <v>4016</v>
      </c>
      <c r="H56" s="425" t="s">
        <v>34</v>
      </c>
    </row>
    <row r="57" spans="2:16">
      <c r="B57" s="426" t="s">
        <v>4107</v>
      </c>
      <c r="C57" s="406">
        <v>188624.318181818</v>
      </c>
      <c r="D57" s="406">
        <v>313646.681818182</v>
      </c>
      <c r="E57" s="406">
        <v>208240.681818182</v>
      </c>
      <c r="F57" s="406">
        <v>193857.318181818</v>
      </c>
      <c r="G57" s="402">
        <v>37137.7272727273</v>
      </c>
      <c r="H57" s="427" t="s">
        <v>4108</v>
      </c>
    </row>
    <row r="58" spans="2:16">
      <c r="B58" s="428"/>
      <c r="C58" s="361">
        <v>71767</v>
      </c>
      <c r="D58" s="406">
        <f>G57+137575+G58</f>
        <v>193265.727272727</v>
      </c>
      <c r="E58" s="361">
        <v>81535</v>
      </c>
      <c r="F58" s="361">
        <v>73162</v>
      </c>
      <c r="G58" s="357">
        <v>18553</v>
      </c>
      <c r="H58" s="429"/>
    </row>
    <row r="59" ht="15" spans="2:16">
      <c r="B59" s="430" t="s">
        <v>4109</v>
      </c>
      <c r="C59" s="431">
        <f>SUM(C57:C58)</f>
        <v>260391.318181818</v>
      </c>
      <c r="D59" s="431">
        <f>SUM(D57:D58)</f>
        <v>506912.409090909</v>
      </c>
      <c r="E59" s="431">
        <f>SUM(E57:E58)</f>
        <v>289775.681818182</v>
      </c>
      <c r="F59" s="431">
        <f>SUM(F57:F58)</f>
        <v>267019.318181818</v>
      </c>
      <c r="G59" s="432">
        <f>SUM(G57:G58)</f>
        <v>55690.7272727273</v>
      </c>
      <c r="H59" s="429"/>
    </row>
    <row r="60" spans="2:16">
      <c r="B60" s="433" t="s">
        <v>4110</v>
      </c>
      <c r="C60" s="434">
        <v>288724</v>
      </c>
      <c r="D60" s="434">
        <v>528183</v>
      </c>
      <c r="E60" s="434">
        <v>315358</v>
      </c>
      <c r="F60" s="434">
        <v>294997</v>
      </c>
      <c r="G60" s="435"/>
      <c r="H60" s="429"/>
    </row>
    <row r="61" ht="15" spans="2:16">
      <c r="B61" s="430" t="s">
        <v>4006</v>
      </c>
      <c r="C61" s="431">
        <f>C60-C59</f>
        <v>28332.681818182</v>
      </c>
      <c r="D61" s="431">
        <f>D60-D59</f>
        <v>21270.5909090907</v>
      </c>
      <c r="E61" s="431">
        <f>E60-E59</f>
        <v>25582.318181818</v>
      </c>
      <c r="F61" s="431">
        <f>F60-F59</f>
        <v>27977.681818182</v>
      </c>
      <c r="G61" s="432"/>
      <c r="H61" s="436"/>
    </row>
  </sheetData>
  <sheetProtection formatCells="0" formatColumns="0" formatRows="0" insertRows="0" insertColumns="0" insertHyperlinks="0" deleteColumns="0" deleteRows="0" sort="0" autoFilter="0" pivotTables="0"/>
  <autoFilter xmlns:etc="http://www.wps.cn/officeDocument/2017/etCustomData" ref="A3:XFD62" etc:filterBottomFollowUsedRange="0">
    <extLst/>
  </autoFilter>
  <mergeCells count="12">
    <mergeCell ref="A1:H1"/>
    <mergeCell ref="L1:N1"/>
    <mergeCell ref="C2:G2"/>
    <mergeCell ref="C47:G47"/>
    <mergeCell ref="A2:A4"/>
    <mergeCell ref="B2:B4"/>
    <mergeCell ref="B57:B58"/>
    <mergeCell ref="H57:H61"/>
    <mergeCell ref="L2:L4"/>
    <mergeCell ref="M2:M4"/>
    <mergeCell ref="N2:N4"/>
    <mergeCell ref="O3:O4"/>
  </mergeCells>
  <pageMargins left="0" right="0" top="0.98" bottom="0.98" header="0.51" footer="0.51"/>
  <pageSetup paperSize="9" scale="84" orientation="landscape"/>
  <headerFooter/>
  <ignoredErrors>
    <ignoredError sqref="G46" formula="1"/>
    <ignoredError sqref="G7:G14" formula="1" formulaRange="1"/>
    <ignoredError sqref="G18:G21 H18:H20 G5:G6 H5:H15 G16:H17 C42:F42 I42 G15" formulaRange="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XFD54"/>
  <sheetViews>
    <sheetView zoomScale="70" zoomScaleNormal="70" topLeftCell="P1" workbookViewId="0">
      <pane ySplit="1" topLeftCell="A51" activePane="bottomLeft" state="frozen"/>
      <selection/>
      <selection pane="bottomLeft" activeCell="P51" sqref="P51"/>
    </sheetView>
  </sheetViews>
  <sheetFormatPr defaultColWidth="8.8" defaultRowHeight="14.25"/>
  <cols>
    <col min="1" max="1" width="22.1333333333333" style="26" customWidth="1"/>
    <col min="2" max="3" width="13.2833333333333" style="26" customWidth="1"/>
    <col min="4" max="4" width="15.875" style="26"/>
    <col min="5" max="8" width="13.85" style="26" customWidth="1"/>
    <col min="9" max="12" width="8.8" style="26"/>
    <col min="13" max="13" width="12.8" style="26"/>
    <col min="14" max="16" width="19.9916666666667" style="26" customWidth="1"/>
    <col min="17" max="17" width="19.2666666666667" style="27" customWidth="1"/>
    <col min="18" max="18" width="19.2666666666667" style="28" customWidth="1"/>
    <col min="19" max="25" width="8.8" style="28" customWidth="1"/>
    <col min="26" max="26" width="9.9" style="28" customWidth="1"/>
    <col min="27" max="27" width="13.9" style="28" customWidth="1"/>
    <col min="28" max="30" width="8.8" style="28" customWidth="1"/>
    <col min="31" max="74" width="8.8" style="29" customWidth="1"/>
    <col min="75" max="75" width="17.6333333333333" style="29" customWidth="1"/>
    <col min="76" max="16384" width="8.8" style="26"/>
  </cols>
  <sheetData>
    <row r="1" s="16" customFormat="1" ht="45" customHeight="1" spans="1:75">
      <c r="A1" s="30" t="s">
        <v>11</v>
      </c>
      <c r="B1" s="31" t="s">
        <v>12</v>
      </c>
      <c r="C1" s="31" t="s">
        <v>13</v>
      </c>
      <c r="D1" s="31" t="s">
        <v>4111</v>
      </c>
      <c r="E1" s="31" t="s">
        <v>4112</v>
      </c>
      <c r="F1" s="31" t="s">
        <v>16</v>
      </c>
      <c r="G1" s="31" t="s">
        <v>41</v>
      </c>
      <c r="H1" s="31" t="s">
        <v>17</v>
      </c>
      <c r="I1" s="31" t="s">
        <v>18</v>
      </c>
      <c r="J1" s="31" t="s">
        <v>19</v>
      </c>
      <c r="K1" s="31" t="s">
        <v>20</v>
      </c>
      <c r="L1" s="31" t="s">
        <v>21</v>
      </c>
      <c r="M1" s="31" t="s">
        <v>22</v>
      </c>
      <c r="N1" s="31" t="s">
        <v>23</v>
      </c>
      <c r="O1" s="32" t="s">
        <v>24</v>
      </c>
      <c r="P1" s="33" t="s">
        <v>4113</v>
      </c>
      <c r="Q1" s="34" t="s">
        <v>4114</v>
      </c>
      <c r="R1" s="35" t="s">
        <v>4115</v>
      </c>
      <c r="S1" s="35" t="s">
        <v>28</v>
      </c>
      <c r="T1" s="35" t="s">
        <v>29</v>
      </c>
      <c r="U1" s="35" t="s">
        <v>4116</v>
      </c>
      <c r="V1" s="36" t="s">
        <v>32</v>
      </c>
      <c r="W1" s="36" t="s">
        <v>33</v>
      </c>
      <c r="X1" s="37" t="s">
        <v>34</v>
      </c>
      <c r="Y1" s="35" t="s">
        <v>35</v>
      </c>
      <c r="Z1" s="35" t="s">
        <v>36</v>
      </c>
      <c r="AA1" s="35" t="s">
        <v>37</v>
      </c>
      <c r="AB1" s="35" t="s">
        <v>44</v>
      </c>
      <c r="AC1" s="36" t="s">
        <v>42</v>
      </c>
      <c r="AD1" s="35" t="s">
        <v>4117</v>
      </c>
      <c r="AE1" s="37" t="s">
        <v>50</v>
      </c>
      <c r="AF1" s="37" t="s">
        <v>53</v>
      </c>
      <c r="AG1" s="38" t="s">
        <v>54</v>
      </c>
      <c r="AH1" s="38" t="s">
        <v>58</v>
      </c>
      <c r="AI1" s="35" t="s">
        <v>59</v>
      </c>
      <c r="AJ1" s="35" t="s">
        <v>62</v>
      </c>
      <c r="AK1" s="35" t="s">
        <v>4118</v>
      </c>
      <c r="AL1" s="35" t="s">
        <v>4119</v>
      </c>
      <c r="AM1" s="35" t="s">
        <v>4120</v>
      </c>
      <c r="AN1" s="35" t="s">
        <v>4121</v>
      </c>
      <c r="AO1" s="37"/>
      <c r="AP1" s="39"/>
      <c r="AQ1" s="40" t="s">
        <v>84</v>
      </c>
      <c r="AR1" s="40" t="s">
        <v>3808</v>
      </c>
      <c r="AS1" s="40"/>
      <c r="AT1" s="39" t="s">
        <v>85</v>
      </c>
      <c r="AU1" s="35" t="s">
        <v>44</v>
      </c>
      <c r="AV1" s="41" t="s">
        <v>4122</v>
      </c>
      <c r="AW1" s="41" t="s">
        <v>4123</v>
      </c>
      <c r="AX1" s="41" t="s">
        <v>4124</v>
      </c>
      <c r="AY1" s="41" t="s">
        <v>4125</v>
      </c>
      <c r="AZ1" s="41" t="s">
        <v>90</v>
      </c>
      <c r="BA1" s="42" t="s">
        <v>91</v>
      </c>
      <c r="BB1" s="43" t="s">
        <v>92</v>
      </c>
      <c r="BC1" s="43" t="s">
        <v>93</v>
      </c>
      <c r="BD1" s="43"/>
      <c r="BE1" s="43"/>
      <c r="BF1" s="43"/>
      <c r="BG1" s="43"/>
      <c r="BH1" s="43"/>
      <c r="BI1" s="43"/>
      <c r="BJ1" s="43"/>
      <c r="BK1" s="43"/>
      <c r="BL1" s="43"/>
      <c r="BM1" s="43"/>
      <c r="BN1" s="43"/>
      <c r="BO1" s="43"/>
      <c r="BP1" s="43"/>
      <c r="BQ1" s="43"/>
      <c r="BR1" s="43"/>
      <c r="BS1" s="43"/>
      <c r="BT1" s="43"/>
      <c r="BU1" s="43"/>
      <c r="BV1" s="43"/>
      <c r="BW1" s="35" t="s">
        <v>4126</v>
      </c>
    </row>
    <row r="2" s="17" customFormat="1" ht="40" customHeight="1" spans="1:75">
      <c r="A2" s="44">
        <v>44986</v>
      </c>
      <c r="B2" s="45" t="s">
        <v>4127</v>
      </c>
      <c r="C2" s="46" t="s">
        <v>1063</v>
      </c>
      <c r="D2" s="47">
        <v>4500096312</v>
      </c>
      <c r="E2" s="48">
        <f>SUM(A2:C2)</f>
        <v>44986</v>
      </c>
      <c r="F2" s="47" t="s">
        <v>4128</v>
      </c>
      <c r="G2" s="49" t="s">
        <v>111</v>
      </c>
      <c r="H2" s="49" t="s">
        <v>111</v>
      </c>
      <c r="I2" s="49" t="s">
        <v>99</v>
      </c>
      <c r="J2" s="50">
        <v>2002</v>
      </c>
      <c r="K2" s="50">
        <v>0</v>
      </c>
      <c r="L2" s="50">
        <v>22</v>
      </c>
      <c r="M2" s="50">
        <f t="shared" ref="M2:M30" si="0">J2/L2</f>
        <v>91</v>
      </c>
      <c r="N2" s="51">
        <v>45056</v>
      </c>
      <c r="O2" s="51" t="s">
        <v>4129</v>
      </c>
      <c r="P2" s="51"/>
      <c r="Q2" s="52"/>
      <c r="R2" s="53"/>
      <c r="S2" s="54" t="s">
        <v>4130</v>
      </c>
      <c r="T2" s="54"/>
      <c r="U2" s="53" t="s">
        <v>4131</v>
      </c>
      <c r="V2" s="54" t="s">
        <v>4132</v>
      </c>
      <c r="W2" s="53"/>
      <c r="X2" s="53" t="s">
        <v>4133</v>
      </c>
      <c r="Y2" s="55" t="s">
        <v>4134</v>
      </c>
      <c r="Z2" s="53">
        <v>2.64</v>
      </c>
      <c r="AA2" s="56">
        <f>J2*Z2</f>
        <v>5285.28</v>
      </c>
      <c r="AB2" s="53"/>
      <c r="AC2" s="53"/>
      <c r="AD2" s="56">
        <f>J2</f>
        <v>2002</v>
      </c>
      <c r="AE2" s="57"/>
      <c r="AF2" s="58"/>
      <c r="AG2" s="57"/>
      <c r="AH2" s="58">
        <f>J2</f>
        <v>2002</v>
      </c>
      <c r="AI2" s="58">
        <f>J2/11</f>
        <v>182</v>
      </c>
      <c r="AJ2" s="58"/>
      <c r="AK2" s="58"/>
      <c r="AL2" s="58"/>
      <c r="AM2" s="58"/>
      <c r="AN2" s="58"/>
      <c r="AO2" s="58"/>
      <c r="AP2" s="58"/>
      <c r="AQ2" s="58"/>
      <c r="AR2" s="58"/>
      <c r="AS2" s="58"/>
      <c r="AT2" s="54" t="s">
        <v>113</v>
      </c>
      <c r="AU2" s="57"/>
      <c r="AV2" s="56">
        <f>J2/22*5</f>
        <v>455</v>
      </c>
      <c r="AW2" s="56">
        <f>J2/22*6</f>
        <v>546</v>
      </c>
      <c r="AX2" s="56">
        <f>J2/22*6</f>
        <v>546</v>
      </c>
      <c r="AY2" s="56">
        <f>J2/22*5</f>
        <v>455</v>
      </c>
      <c r="AZ2" s="56">
        <f>J2</f>
        <v>2002</v>
      </c>
      <c r="BA2" s="56">
        <f>J2/11</f>
        <v>182</v>
      </c>
      <c r="BB2" s="59">
        <f>SUM(AV2:AY2)</f>
        <v>2002</v>
      </c>
      <c r="BC2" s="59">
        <f>BB2-J2</f>
        <v>0</v>
      </c>
      <c r="BD2" s="60"/>
      <c r="BE2" s="60"/>
      <c r="BF2" s="60"/>
      <c r="BG2" s="60"/>
      <c r="BH2" s="60"/>
      <c r="BI2" s="60"/>
      <c r="BJ2" s="60"/>
      <c r="BK2" s="60"/>
      <c r="BL2" s="60"/>
      <c r="BM2" s="60"/>
      <c r="BN2" s="60"/>
      <c r="BO2" s="60"/>
      <c r="BP2" s="60"/>
      <c r="BQ2" s="60"/>
      <c r="BR2" s="60"/>
      <c r="BS2" s="60"/>
      <c r="BT2" s="60"/>
      <c r="BU2" s="60"/>
      <c r="BV2" s="60"/>
      <c r="BW2" s="61"/>
    </row>
    <row r="3" s="17" customFormat="1" ht="40" customHeight="1" spans="1:75">
      <c r="A3" s="44">
        <v>45090</v>
      </c>
      <c r="B3" s="45" t="s">
        <v>4135</v>
      </c>
      <c r="C3" s="46" t="s">
        <v>214</v>
      </c>
      <c r="D3" s="47">
        <v>4500106533</v>
      </c>
      <c r="E3" s="48"/>
      <c r="F3" s="47" t="s">
        <v>4136</v>
      </c>
      <c r="G3" s="49" t="s">
        <v>4137</v>
      </c>
      <c r="H3" s="49" t="s">
        <v>718</v>
      </c>
      <c r="I3" s="49" t="s">
        <v>99</v>
      </c>
      <c r="J3" s="50">
        <v>15000</v>
      </c>
      <c r="K3" s="50">
        <v>0</v>
      </c>
      <c r="L3" s="50">
        <v>6</v>
      </c>
      <c r="M3" s="50">
        <f t="shared" si="0"/>
        <v>2500</v>
      </c>
      <c r="N3" s="51">
        <v>45159</v>
      </c>
      <c r="O3" s="51">
        <v>45211</v>
      </c>
      <c r="P3" s="51" t="s">
        <v>4138</v>
      </c>
      <c r="Q3" s="52"/>
      <c r="R3" s="53"/>
      <c r="S3" s="54" t="s">
        <v>4130</v>
      </c>
      <c r="T3" s="54"/>
      <c r="U3" s="53" t="s">
        <v>113</v>
      </c>
      <c r="V3" s="54" t="s">
        <v>3731</v>
      </c>
      <c r="W3" s="53"/>
      <c r="X3" s="53" t="s">
        <v>4139</v>
      </c>
      <c r="Y3" s="55" t="s">
        <v>4140</v>
      </c>
      <c r="Z3" s="53">
        <v>2.5968</v>
      </c>
      <c r="AA3" s="56">
        <f>J3*Z3</f>
        <v>38952</v>
      </c>
      <c r="AB3" s="53"/>
      <c r="AC3" s="53">
        <f t="shared" ref="AC3:AC7" si="1">AB3-J3</f>
        <v>-15000</v>
      </c>
      <c r="AD3" s="56" t="s">
        <v>106</v>
      </c>
      <c r="AE3" s="57"/>
      <c r="AF3" s="58"/>
      <c r="AG3" s="57"/>
      <c r="AH3" s="58"/>
      <c r="AI3" s="58">
        <f>J3</f>
        <v>15000</v>
      </c>
      <c r="AJ3" s="58"/>
      <c r="AK3" s="58"/>
      <c r="AL3" s="58"/>
      <c r="AM3" s="58">
        <f>J3</f>
        <v>15000</v>
      </c>
      <c r="AN3" s="58"/>
      <c r="AO3" s="58"/>
      <c r="AP3" s="58"/>
      <c r="AQ3" s="58"/>
      <c r="AR3" s="58"/>
      <c r="AS3" s="58"/>
      <c r="AT3" s="54"/>
      <c r="AU3" s="57"/>
      <c r="AV3" s="56"/>
      <c r="AW3" s="56"/>
      <c r="AX3" s="56"/>
      <c r="AY3" s="56"/>
      <c r="AZ3" s="56"/>
      <c r="BA3" s="56"/>
      <c r="BB3" s="59"/>
      <c r="BC3" s="59"/>
      <c r="BD3" s="60"/>
      <c r="BE3" s="60"/>
      <c r="BF3" s="60"/>
      <c r="BG3" s="60"/>
      <c r="BH3" s="60">
        <v>3750</v>
      </c>
      <c r="BI3" s="60">
        <v>3750</v>
      </c>
      <c r="BJ3" s="60">
        <v>3750</v>
      </c>
      <c r="BK3" s="60">
        <v>3750</v>
      </c>
      <c r="BL3" s="60">
        <v>15000</v>
      </c>
      <c r="BM3" s="60"/>
      <c r="BN3" s="60">
        <v>15000</v>
      </c>
      <c r="BO3" s="60">
        <v>0</v>
      </c>
      <c r="BP3" s="60"/>
      <c r="BQ3" s="60"/>
      <c r="BR3" s="60"/>
      <c r="BS3" s="60"/>
      <c r="BT3" s="60"/>
      <c r="BU3" s="60"/>
      <c r="BV3" s="60"/>
      <c r="BW3" s="61"/>
    </row>
    <row r="4" s="17" customFormat="1" ht="40" customHeight="1" spans="1:75">
      <c r="A4" s="44">
        <v>45089</v>
      </c>
      <c r="B4" s="45" t="s">
        <v>4141</v>
      </c>
      <c r="C4" s="46" t="s">
        <v>4142</v>
      </c>
      <c r="D4" s="47" t="s">
        <v>4143</v>
      </c>
      <c r="E4" s="48"/>
      <c r="F4" s="47"/>
      <c r="G4" s="49" t="s">
        <v>4144</v>
      </c>
      <c r="H4" s="49" t="s">
        <v>98</v>
      </c>
      <c r="I4" s="49" t="s">
        <v>99</v>
      </c>
      <c r="J4" s="50">
        <v>11000</v>
      </c>
      <c r="K4" s="50">
        <v>0</v>
      </c>
      <c r="L4" s="50">
        <v>24</v>
      </c>
      <c r="M4" s="50">
        <f t="shared" si="0"/>
        <v>458.333333333333</v>
      </c>
      <c r="N4" s="51">
        <v>45159</v>
      </c>
      <c r="O4" s="51">
        <v>45237</v>
      </c>
      <c r="P4" s="51" t="s">
        <v>4145</v>
      </c>
      <c r="Q4" s="52"/>
      <c r="R4" s="53"/>
      <c r="S4" s="54" t="s">
        <v>4130</v>
      </c>
      <c r="T4" s="54"/>
      <c r="U4" s="53" t="s">
        <v>113</v>
      </c>
      <c r="V4" s="54" t="s">
        <v>4146</v>
      </c>
      <c r="W4" s="53"/>
      <c r="X4" s="53" t="s">
        <v>4147</v>
      </c>
      <c r="Y4" s="55"/>
      <c r="Z4" s="53"/>
      <c r="AA4" s="56"/>
      <c r="AB4" s="53"/>
      <c r="AC4" s="53">
        <f t="shared" si="1"/>
        <v>-11000</v>
      </c>
      <c r="AD4" s="56"/>
      <c r="AE4" s="57"/>
      <c r="AF4" s="58"/>
      <c r="AG4" s="57"/>
      <c r="AH4" s="58"/>
      <c r="AI4" s="58"/>
      <c r="AJ4" s="58">
        <f>J4</f>
        <v>11000</v>
      </c>
      <c r="AK4" s="58"/>
      <c r="AL4" s="58"/>
      <c r="AM4" s="58"/>
      <c r="AN4" s="58"/>
      <c r="AO4" s="58">
        <f>J4</f>
        <v>11000</v>
      </c>
      <c r="AP4" s="58"/>
      <c r="AQ4" s="58"/>
      <c r="AR4" s="58"/>
      <c r="AS4" s="58"/>
      <c r="AT4" s="54"/>
      <c r="AU4" s="57"/>
      <c r="AV4" s="56"/>
      <c r="AW4" s="56"/>
      <c r="AX4" s="56"/>
      <c r="AY4" s="56"/>
      <c r="AZ4" s="56"/>
      <c r="BA4" s="56"/>
      <c r="BB4" s="59" t="s">
        <v>4148</v>
      </c>
      <c r="BC4" s="59"/>
      <c r="BD4" s="60"/>
      <c r="BE4" s="60"/>
      <c r="BF4" s="60"/>
      <c r="BG4" s="60"/>
      <c r="BH4" s="60"/>
      <c r="BI4" s="60"/>
      <c r="BJ4" s="60"/>
      <c r="BK4" s="60"/>
      <c r="BL4" s="60"/>
      <c r="BM4" s="60">
        <f>J4</f>
        <v>11000</v>
      </c>
      <c r="BN4" s="60"/>
      <c r="BO4" s="60"/>
      <c r="BP4" s="60">
        <v>11000</v>
      </c>
      <c r="BQ4" s="60"/>
      <c r="BR4" s="60">
        <v>11000</v>
      </c>
      <c r="BS4" s="60">
        <v>0</v>
      </c>
      <c r="BT4" s="60"/>
      <c r="BU4" s="60"/>
      <c r="BV4" s="60"/>
      <c r="BW4" s="61"/>
    </row>
    <row r="5" s="17" customFormat="1" ht="40" customHeight="1" spans="1:75">
      <c r="A5" s="44">
        <v>45215</v>
      </c>
      <c r="B5" s="62" t="s">
        <v>286</v>
      </c>
      <c r="C5" s="63" t="s">
        <v>214</v>
      </c>
      <c r="D5" s="47">
        <v>4500116041</v>
      </c>
      <c r="E5" s="45">
        <v>30615474</v>
      </c>
      <c r="F5" s="64" t="s">
        <v>4149</v>
      </c>
      <c r="G5" s="49" t="s">
        <v>241</v>
      </c>
      <c r="H5" s="49" t="s">
        <v>241</v>
      </c>
      <c r="I5" s="49" t="s">
        <v>99</v>
      </c>
      <c r="J5" s="50">
        <v>3498</v>
      </c>
      <c r="K5" s="50">
        <v>0</v>
      </c>
      <c r="L5" s="50">
        <v>11</v>
      </c>
      <c r="M5" s="50">
        <f t="shared" si="0"/>
        <v>318</v>
      </c>
      <c r="N5" s="51">
        <v>45247</v>
      </c>
      <c r="O5" s="51">
        <v>45251</v>
      </c>
      <c r="P5" s="51" t="s">
        <v>4150</v>
      </c>
      <c r="Q5" s="52"/>
      <c r="R5" s="53"/>
      <c r="S5" s="54" t="s">
        <v>2386</v>
      </c>
      <c r="T5" s="55"/>
      <c r="U5" s="55" t="s">
        <v>113</v>
      </c>
      <c r="V5" s="53"/>
      <c r="W5" s="53"/>
      <c r="X5" s="53" t="s">
        <v>4151</v>
      </c>
      <c r="Y5" s="65" t="s">
        <v>289</v>
      </c>
      <c r="Z5" s="53">
        <v>2.7038</v>
      </c>
      <c r="AA5" s="56">
        <f t="shared" ref="AA5:AA32" si="2">J5*Z5</f>
        <v>9457.8924</v>
      </c>
      <c r="AB5" s="56"/>
      <c r="AC5" s="66">
        <f t="shared" si="1"/>
        <v>-3498</v>
      </c>
      <c r="AD5" s="56"/>
      <c r="AE5" s="67"/>
      <c r="AF5" s="61" t="s">
        <v>107</v>
      </c>
      <c r="AG5" s="61" t="s">
        <v>43</v>
      </c>
      <c r="AH5" s="57"/>
      <c r="AI5" s="57"/>
      <c r="AJ5" s="68">
        <f>J5</f>
        <v>3498</v>
      </c>
      <c r="AK5" s="68"/>
      <c r="AL5" s="68"/>
      <c r="AM5" s="69"/>
      <c r="AN5" s="68"/>
      <c r="AO5" s="57"/>
      <c r="AP5" s="57">
        <f>J5</f>
        <v>3498</v>
      </c>
      <c r="AQ5" s="69"/>
      <c r="AR5" s="70"/>
      <c r="AS5" s="71">
        <f>J5/11</f>
        <v>318</v>
      </c>
      <c r="AT5" s="69"/>
      <c r="AU5" s="69"/>
      <c r="AV5" s="58"/>
      <c r="AW5" s="69"/>
      <c r="AX5" s="69"/>
      <c r="AY5" s="70"/>
      <c r="AZ5" s="70"/>
      <c r="BA5" s="58"/>
      <c r="BB5" s="70"/>
      <c r="BC5" s="70"/>
      <c r="BD5" s="58"/>
      <c r="BE5" s="58"/>
      <c r="BF5" s="58"/>
      <c r="BG5" s="70"/>
      <c r="BH5" s="58"/>
      <c r="BI5" s="58"/>
      <c r="BJ5" s="58"/>
      <c r="BK5" s="58"/>
      <c r="BL5" s="54" t="s">
        <v>109</v>
      </c>
      <c r="BM5" s="57"/>
      <c r="BN5" s="56">
        <f>J5/22*5</f>
        <v>795</v>
      </c>
      <c r="BO5" s="56">
        <f>J5/22*6</f>
        <v>954</v>
      </c>
      <c r="BP5" s="56">
        <f>J5/22*6</f>
        <v>954</v>
      </c>
      <c r="BQ5" s="56">
        <f>J5/22*5</f>
        <v>795</v>
      </c>
      <c r="BR5" s="56">
        <f>J5</f>
        <v>3498</v>
      </c>
      <c r="BS5" s="56">
        <f>J5/11</f>
        <v>318</v>
      </c>
      <c r="BT5" s="56">
        <f>SUM(BN5:BQ5)</f>
        <v>3498</v>
      </c>
      <c r="BU5" s="56">
        <f>BT5-J5</f>
        <v>0</v>
      </c>
      <c r="BV5" s="60"/>
      <c r="BW5" s="61"/>
    </row>
    <row r="6" s="17" customFormat="1" ht="40" customHeight="1" spans="1:75">
      <c r="A6" s="44">
        <v>45307</v>
      </c>
      <c r="B6" s="62" t="s">
        <v>716</v>
      </c>
      <c r="C6" s="63" t="s">
        <v>214</v>
      </c>
      <c r="D6" s="47">
        <v>4500123425</v>
      </c>
      <c r="E6" s="45">
        <v>4540327798</v>
      </c>
      <c r="F6" s="64" t="s">
        <v>4152</v>
      </c>
      <c r="G6" s="49" t="s">
        <v>4153</v>
      </c>
      <c r="H6" s="49" t="s">
        <v>4153</v>
      </c>
      <c r="I6" s="49" t="s">
        <v>99</v>
      </c>
      <c r="J6" s="50">
        <v>900</v>
      </c>
      <c r="K6" s="50">
        <v>0</v>
      </c>
      <c r="L6" s="50">
        <v>12</v>
      </c>
      <c r="M6" s="50">
        <f t="shared" si="0"/>
        <v>75</v>
      </c>
      <c r="N6" s="51">
        <v>45377</v>
      </c>
      <c r="O6" s="51">
        <v>45373</v>
      </c>
      <c r="P6" s="51" t="s">
        <v>4154</v>
      </c>
      <c r="Q6" s="52"/>
      <c r="R6" s="53"/>
      <c r="S6" s="72" t="s">
        <v>4155</v>
      </c>
      <c r="T6" s="55"/>
      <c r="U6" s="55" t="s">
        <v>4156</v>
      </c>
      <c r="V6" s="53"/>
      <c r="W6" s="53" t="s">
        <v>4157</v>
      </c>
      <c r="X6" s="53" t="s">
        <v>4158</v>
      </c>
      <c r="Y6" s="56" t="s">
        <v>725</v>
      </c>
      <c r="Z6" s="55">
        <v>2.7269</v>
      </c>
      <c r="AA6" s="72">
        <f t="shared" si="2"/>
        <v>2454.21</v>
      </c>
      <c r="AB6" s="56"/>
      <c r="AC6" s="66">
        <f t="shared" si="1"/>
        <v>-900</v>
      </c>
      <c r="AD6" s="56" t="s">
        <v>106</v>
      </c>
      <c r="AE6" s="67"/>
      <c r="AF6" s="61" t="s">
        <v>107</v>
      </c>
      <c r="AG6" s="61" t="s">
        <v>43</v>
      </c>
      <c r="AH6" s="57"/>
      <c r="AI6" s="57"/>
      <c r="AJ6" s="68"/>
      <c r="AK6" s="68">
        <f t="shared" ref="AK6:AK15" si="3">J6</f>
        <v>900</v>
      </c>
      <c r="AL6" s="57"/>
      <c r="AM6" s="57"/>
      <c r="AN6" s="58"/>
      <c r="AO6" s="57"/>
      <c r="AP6" s="57"/>
      <c r="AQ6" s="57">
        <f t="shared" ref="AQ6:AQ41" si="4">J6</f>
        <v>900</v>
      </c>
      <c r="AR6" s="58"/>
      <c r="AS6" s="70"/>
      <c r="AT6" s="71"/>
      <c r="AU6" s="58"/>
      <c r="AV6" s="70"/>
      <c r="AW6" s="58"/>
      <c r="AX6" s="58"/>
      <c r="AY6" s="58"/>
      <c r="AZ6" s="58"/>
      <c r="BA6" s="58"/>
      <c r="BB6" s="58"/>
      <c r="BC6" s="58"/>
      <c r="BD6" s="58"/>
      <c r="BE6" s="58"/>
      <c r="BF6" s="58"/>
      <c r="BG6" s="58"/>
      <c r="BH6" s="70"/>
      <c r="BI6" s="58"/>
      <c r="BJ6" s="58"/>
      <c r="BK6" s="58"/>
      <c r="BL6" s="58"/>
      <c r="BM6" s="58"/>
      <c r="BN6" s="54" t="s">
        <v>109</v>
      </c>
      <c r="BO6" s="56">
        <f>J6/4</f>
        <v>225</v>
      </c>
      <c r="BP6" s="56">
        <f>J6/4</f>
        <v>225</v>
      </c>
      <c r="BQ6" s="56">
        <f>J6/4</f>
        <v>225</v>
      </c>
      <c r="BR6" s="56">
        <f>J6/4</f>
        <v>225</v>
      </c>
      <c r="BS6" s="56">
        <f t="shared" ref="BS6:BS15" si="5">J6</f>
        <v>900</v>
      </c>
      <c r="BT6" s="56"/>
      <c r="BU6" s="56">
        <f t="shared" ref="BU6:BU30" si="6">SUM(BO6:BR6)</f>
        <v>900</v>
      </c>
      <c r="BV6" s="66">
        <f>BU6-J6</f>
        <v>0</v>
      </c>
      <c r="BW6" s="61"/>
    </row>
    <row r="7" s="17" customFormat="1" ht="40" customHeight="1" spans="1:75">
      <c r="A7" s="44">
        <v>45307</v>
      </c>
      <c r="B7" s="62" t="s">
        <v>716</v>
      </c>
      <c r="C7" s="63" t="s">
        <v>214</v>
      </c>
      <c r="D7" s="47">
        <v>4500123425</v>
      </c>
      <c r="E7" s="45">
        <v>4540327784</v>
      </c>
      <c r="F7" s="64" t="s">
        <v>4159</v>
      </c>
      <c r="G7" s="49" t="s">
        <v>4153</v>
      </c>
      <c r="H7" s="49" t="s">
        <v>4153</v>
      </c>
      <c r="I7" s="49" t="s">
        <v>99</v>
      </c>
      <c r="J7" s="50">
        <v>948</v>
      </c>
      <c r="K7" s="50">
        <v>0</v>
      </c>
      <c r="L7" s="50">
        <v>12</v>
      </c>
      <c r="M7" s="50">
        <f t="shared" si="0"/>
        <v>79</v>
      </c>
      <c r="N7" s="51">
        <v>45377</v>
      </c>
      <c r="O7" s="51">
        <v>45373</v>
      </c>
      <c r="P7" s="51" t="s">
        <v>4154</v>
      </c>
      <c r="Q7" s="52"/>
      <c r="R7" s="53"/>
      <c r="S7" s="72" t="s">
        <v>4155</v>
      </c>
      <c r="T7" s="55"/>
      <c r="U7" s="55" t="s">
        <v>4156</v>
      </c>
      <c r="V7" s="53"/>
      <c r="W7" s="53" t="s">
        <v>4157</v>
      </c>
      <c r="X7" s="53" t="s">
        <v>4158</v>
      </c>
      <c r="Y7" s="56" t="s">
        <v>725</v>
      </c>
      <c r="Z7" s="55">
        <v>2.7269</v>
      </c>
      <c r="AA7" s="72">
        <f t="shared" si="2"/>
        <v>2585.1012</v>
      </c>
      <c r="AB7" s="56"/>
      <c r="AC7" s="66">
        <f t="shared" si="1"/>
        <v>-948</v>
      </c>
      <c r="AD7" s="56" t="s">
        <v>106</v>
      </c>
      <c r="AE7" s="67"/>
      <c r="AF7" s="61" t="s">
        <v>107</v>
      </c>
      <c r="AG7" s="61" t="s">
        <v>43</v>
      </c>
      <c r="AH7" s="57"/>
      <c r="AI7" s="57"/>
      <c r="AJ7" s="68"/>
      <c r="AK7" s="68">
        <f t="shared" si="3"/>
        <v>948</v>
      </c>
      <c r="AL7" s="57"/>
      <c r="AM7" s="57"/>
      <c r="AN7" s="58"/>
      <c r="AO7" s="57"/>
      <c r="AP7" s="57"/>
      <c r="AQ7" s="57">
        <f t="shared" si="4"/>
        <v>948</v>
      </c>
      <c r="AR7" s="58"/>
      <c r="AS7" s="70"/>
      <c r="AT7" s="71"/>
      <c r="AU7" s="58"/>
      <c r="AV7" s="70"/>
      <c r="AW7" s="58"/>
      <c r="AX7" s="58"/>
      <c r="AY7" s="58"/>
      <c r="AZ7" s="58"/>
      <c r="BA7" s="58"/>
      <c r="BB7" s="58"/>
      <c r="BC7" s="58"/>
      <c r="BD7" s="58"/>
      <c r="BE7" s="58"/>
      <c r="BF7" s="58"/>
      <c r="BG7" s="58"/>
      <c r="BH7" s="70"/>
      <c r="BI7" s="58"/>
      <c r="BJ7" s="58"/>
      <c r="BK7" s="58"/>
      <c r="BL7" s="58"/>
      <c r="BM7" s="58"/>
      <c r="BN7" s="54" t="s">
        <v>109</v>
      </c>
      <c r="BO7" s="56">
        <f>J7/4</f>
        <v>237</v>
      </c>
      <c r="BP7" s="56">
        <f>J7/4</f>
        <v>237</v>
      </c>
      <c r="BQ7" s="56">
        <f>J7/4</f>
        <v>237</v>
      </c>
      <c r="BR7" s="56">
        <f>J7/4</f>
        <v>237</v>
      </c>
      <c r="BS7" s="56">
        <f t="shared" si="5"/>
        <v>948</v>
      </c>
      <c r="BT7" s="56"/>
      <c r="BU7" s="56">
        <f t="shared" si="6"/>
        <v>948</v>
      </c>
      <c r="BV7" s="66">
        <f>BU7-J7</f>
        <v>0</v>
      </c>
      <c r="BW7" s="61"/>
    </row>
    <row r="8" s="17" customFormat="1" ht="40" customHeight="1" spans="1:75">
      <c r="A8" s="44">
        <v>45477</v>
      </c>
      <c r="B8" s="62" t="s">
        <v>177</v>
      </c>
      <c r="C8" s="63" t="s">
        <v>178</v>
      </c>
      <c r="D8" s="47">
        <v>4500139232</v>
      </c>
      <c r="E8" s="45" t="s">
        <v>4160</v>
      </c>
      <c r="F8" s="64" t="s">
        <v>4161</v>
      </c>
      <c r="G8" s="49" t="s">
        <v>190</v>
      </c>
      <c r="H8" s="49" t="s">
        <v>189</v>
      </c>
      <c r="I8" s="49" t="s">
        <v>99</v>
      </c>
      <c r="J8" s="50">
        <v>24</v>
      </c>
      <c r="K8" s="50">
        <v>0</v>
      </c>
      <c r="L8" s="50">
        <v>24</v>
      </c>
      <c r="M8" s="50">
        <f t="shared" si="0"/>
        <v>1</v>
      </c>
      <c r="N8" s="51">
        <v>45516</v>
      </c>
      <c r="O8" s="51">
        <v>45512</v>
      </c>
      <c r="P8" s="51" t="s">
        <v>4162</v>
      </c>
      <c r="Q8" s="52"/>
      <c r="R8" s="53"/>
      <c r="S8" s="72" t="s">
        <v>3546</v>
      </c>
      <c r="T8" s="55"/>
      <c r="U8" s="55" t="s">
        <v>183</v>
      </c>
      <c r="V8" s="53" t="s">
        <v>4163</v>
      </c>
      <c r="W8" s="53"/>
      <c r="X8" s="53" t="s">
        <v>4164</v>
      </c>
      <c r="Y8" s="56" t="s">
        <v>4165</v>
      </c>
      <c r="Z8" s="55">
        <v>2.5958</v>
      </c>
      <c r="AA8" s="72">
        <f t="shared" si="2"/>
        <v>62.2992</v>
      </c>
      <c r="AB8" s="56"/>
      <c r="AC8" s="66"/>
      <c r="AD8" s="56"/>
      <c r="AE8" s="67"/>
      <c r="AF8" s="61" t="s">
        <v>107</v>
      </c>
      <c r="AG8" s="61"/>
      <c r="AH8" s="57"/>
      <c r="AI8" s="57"/>
      <c r="AJ8" s="68"/>
      <c r="AK8" s="68"/>
      <c r="AL8" s="57"/>
      <c r="AM8" s="57">
        <f t="shared" ref="AM8:AM10" si="7">J8</f>
        <v>24</v>
      </c>
      <c r="AN8" s="58"/>
      <c r="AO8" s="57"/>
      <c r="AP8" s="57"/>
      <c r="AQ8" s="57">
        <f t="shared" si="4"/>
        <v>24</v>
      </c>
      <c r="AR8" s="58"/>
      <c r="AS8" s="70"/>
      <c r="AT8" s="71"/>
      <c r="AU8" s="58"/>
      <c r="AV8" s="70"/>
      <c r="AW8" s="58"/>
      <c r="AX8" s="58"/>
      <c r="AY8" s="58"/>
      <c r="AZ8" s="58"/>
      <c r="BA8" s="58"/>
      <c r="BB8" s="58"/>
      <c r="BC8" s="58"/>
      <c r="BD8" s="58"/>
      <c r="BE8" s="58"/>
      <c r="BF8" s="58"/>
      <c r="BG8" s="58"/>
      <c r="BH8" s="70"/>
      <c r="BI8" s="58"/>
      <c r="BJ8" s="58"/>
      <c r="BK8" s="58"/>
      <c r="BL8" s="58"/>
      <c r="BM8" s="58"/>
      <c r="BN8" s="54" t="s">
        <v>109</v>
      </c>
      <c r="BO8" s="56"/>
      <c r="BP8" s="56"/>
      <c r="BQ8" s="56"/>
      <c r="BR8" s="56">
        <f t="shared" ref="BR8:BR14" si="8">J8</f>
        <v>24</v>
      </c>
      <c r="BS8" s="56">
        <f t="shared" si="5"/>
        <v>24</v>
      </c>
      <c r="BT8" s="56"/>
      <c r="BU8" s="56">
        <f t="shared" si="6"/>
        <v>24</v>
      </c>
      <c r="BV8" s="66">
        <f t="shared" ref="BV8:BV15" si="9">J8-BU8</f>
        <v>0</v>
      </c>
      <c r="BW8" s="61"/>
    </row>
    <row r="9" s="17" customFormat="1" ht="40" customHeight="1" spans="1:75">
      <c r="A9" s="44">
        <v>45436</v>
      </c>
      <c r="B9" s="62" t="s">
        <v>4166</v>
      </c>
      <c r="C9" s="63" t="s">
        <v>275</v>
      </c>
      <c r="D9" s="47">
        <v>4500134694</v>
      </c>
      <c r="E9" s="45"/>
      <c r="F9" s="64" t="s">
        <v>4167</v>
      </c>
      <c r="G9" s="49" t="s">
        <v>230</v>
      </c>
      <c r="H9" s="49" t="s">
        <v>111</v>
      </c>
      <c r="I9" s="49" t="s">
        <v>99</v>
      </c>
      <c r="J9" s="50">
        <v>726</v>
      </c>
      <c r="K9" s="50">
        <v>0</v>
      </c>
      <c r="L9" s="50">
        <v>22</v>
      </c>
      <c r="M9" s="50">
        <f t="shared" si="0"/>
        <v>33</v>
      </c>
      <c r="N9" s="51">
        <v>45485</v>
      </c>
      <c r="O9" s="51">
        <v>45510</v>
      </c>
      <c r="P9" s="51" t="s">
        <v>4168</v>
      </c>
      <c r="Q9" s="52"/>
      <c r="R9" s="53"/>
      <c r="S9" s="72" t="s">
        <v>4130</v>
      </c>
      <c r="T9" s="55"/>
      <c r="U9" s="55" t="s">
        <v>4169</v>
      </c>
      <c r="V9" s="53"/>
      <c r="W9" s="53"/>
      <c r="X9" s="53" t="s">
        <v>4170</v>
      </c>
      <c r="Y9" s="56" t="s">
        <v>281</v>
      </c>
      <c r="Z9" s="55">
        <v>2.8179</v>
      </c>
      <c r="AA9" s="72">
        <f t="shared" si="2"/>
        <v>2045.7954</v>
      </c>
      <c r="AB9" s="56"/>
      <c r="AC9" s="66">
        <f t="shared" ref="AC9:AC15" si="10">AB9-J9</f>
        <v>-726</v>
      </c>
      <c r="AD9" s="56"/>
      <c r="AE9" s="67"/>
      <c r="AF9" s="61" t="s">
        <v>107</v>
      </c>
      <c r="AG9" s="61"/>
      <c r="AH9" s="57"/>
      <c r="AI9" s="57"/>
      <c r="AJ9" s="68"/>
      <c r="AK9" s="68"/>
      <c r="AL9" s="57"/>
      <c r="AM9" s="57">
        <f t="shared" si="7"/>
        <v>726</v>
      </c>
      <c r="AN9" s="58"/>
      <c r="AO9" s="57"/>
      <c r="AP9" s="57"/>
      <c r="AQ9" s="57">
        <f t="shared" si="4"/>
        <v>726</v>
      </c>
      <c r="AR9" s="58"/>
      <c r="AS9" s="70"/>
      <c r="AT9" s="71"/>
      <c r="AU9" s="58"/>
      <c r="AV9" s="70">
        <f>J9/11</f>
        <v>66</v>
      </c>
      <c r="AW9" s="58"/>
      <c r="AX9" s="58"/>
      <c r="AY9" s="58"/>
      <c r="AZ9" s="58"/>
      <c r="BA9" s="58"/>
      <c r="BB9" s="58"/>
      <c r="BC9" s="58"/>
      <c r="BD9" s="58"/>
      <c r="BE9" s="58"/>
      <c r="BF9" s="58"/>
      <c r="BG9" s="58"/>
      <c r="BH9" s="70"/>
      <c r="BI9" s="58"/>
      <c r="BJ9" s="58"/>
      <c r="BK9" s="58"/>
      <c r="BL9" s="58"/>
      <c r="BM9" s="58"/>
      <c r="BN9" s="54" t="s">
        <v>109</v>
      </c>
      <c r="BO9" s="56">
        <f>J9/22*5</f>
        <v>165</v>
      </c>
      <c r="BP9" s="56">
        <f>J9/22*6</f>
        <v>198</v>
      </c>
      <c r="BQ9" s="56">
        <f>J9/22*6</f>
        <v>198</v>
      </c>
      <c r="BR9" s="56">
        <f>J9/22*5</f>
        <v>165</v>
      </c>
      <c r="BS9" s="56">
        <f t="shared" si="5"/>
        <v>726</v>
      </c>
      <c r="BT9" s="56">
        <f>J9/11</f>
        <v>66</v>
      </c>
      <c r="BU9" s="56">
        <f t="shared" si="6"/>
        <v>726</v>
      </c>
      <c r="BV9" s="66">
        <f t="shared" si="9"/>
        <v>0</v>
      </c>
      <c r="BW9" s="61"/>
    </row>
    <row r="10" s="17" customFormat="1" ht="40" customHeight="1" spans="1:75">
      <c r="A10" s="44">
        <v>45499</v>
      </c>
      <c r="B10" s="48" t="s">
        <v>177</v>
      </c>
      <c r="C10" s="73" t="s">
        <v>178</v>
      </c>
      <c r="D10" s="47" t="s">
        <v>4171</v>
      </c>
      <c r="E10" s="45" t="s">
        <v>4172</v>
      </c>
      <c r="F10" s="47" t="s">
        <v>4173</v>
      </c>
      <c r="G10" s="49"/>
      <c r="H10" s="49" t="s">
        <v>189</v>
      </c>
      <c r="I10" s="49" t="s">
        <v>99</v>
      </c>
      <c r="J10" s="50">
        <v>24</v>
      </c>
      <c r="K10" s="50">
        <v>0</v>
      </c>
      <c r="L10" s="50">
        <v>24</v>
      </c>
      <c r="M10" s="50">
        <f t="shared" si="0"/>
        <v>1</v>
      </c>
      <c r="N10" s="51">
        <v>45544</v>
      </c>
      <c r="O10" s="51">
        <v>45540</v>
      </c>
      <c r="P10" s="51" t="s">
        <v>4174</v>
      </c>
      <c r="Q10" s="52"/>
      <c r="R10" s="53"/>
      <c r="S10" s="72"/>
      <c r="T10" s="53"/>
      <c r="U10" s="65"/>
      <c r="V10" s="53"/>
      <c r="W10" s="53"/>
      <c r="X10" s="53" t="s">
        <v>4175</v>
      </c>
      <c r="Y10" s="55" t="s">
        <v>4165</v>
      </c>
      <c r="Z10" s="55">
        <v>2.5958</v>
      </c>
      <c r="AA10" s="65">
        <f t="shared" si="2"/>
        <v>62.2992</v>
      </c>
      <c r="AB10" s="56"/>
      <c r="AC10" s="66">
        <f t="shared" si="10"/>
        <v>-24</v>
      </c>
      <c r="AD10" s="56"/>
      <c r="AE10" s="67"/>
      <c r="AF10" s="61"/>
      <c r="AG10" s="61"/>
      <c r="AH10" s="57"/>
      <c r="AI10" s="57"/>
      <c r="AJ10" s="68"/>
      <c r="AK10" s="68"/>
      <c r="AL10" s="57"/>
      <c r="AM10" s="57">
        <f t="shared" si="7"/>
        <v>24</v>
      </c>
      <c r="AN10" s="58"/>
      <c r="AO10" s="57"/>
      <c r="AP10" s="57"/>
      <c r="AQ10" s="57">
        <f t="shared" si="4"/>
        <v>24</v>
      </c>
      <c r="AR10" s="58"/>
      <c r="AS10" s="70"/>
      <c r="AT10" s="71"/>
      <c r="AU10" s="58"/>
      <c r="AV10" s="71"/>
      <c r="AW10" s="58"/>
      <c r="AX10" s="58"/>
      <c r="AY10" s="58"/>
      <c r="AZ10" s="58"/>
      <c r="BA10" s="58"/>
      <c r="BB10" s="58"/>
      <c r="BC10" s="58"/>
      <c r="BD10" s="58"/>
      <c r="BE10" s="58"/>
      <c r="BF10" s="58"/>
      <c r="BG10" s="58"/>
      <c r="BH10" s="58"/>
      <c r="BI10" s="58"/>
      <c r="BJ10" s="58"/>
      <c r="BK10" s="58"/>
      <c r="BL10" s="58"/>
      <c r="BM10" s="58"/>
      <c r="BN10" s="53"/>
      <c r="BO10" s="56"/>
      <c r="BP10" s="56"/>
      <c r="BQ10" s="56"/>
      <c r="BR10" s="56">
        <f t="shared" si="8"/>
        <v>24</v>
      </c>
      <c r="BS10" s="56">
        <f t="shared" si="5"/>
        <v>24</v>
      </c>
      <c r="BT10" s="56"/>
      <c r="BU10" s="56">
        <f t="shared" si="6"/>
        <v>24</v>
      </c>
      <c r="BV10" s="66">
        <f t="shared" si="9"/>
        <v>0</v>
      </c>
      <c r="BW10" s="61"/>
    </row>
    <row r="11" s="17" customFormat="1" ht="40" customHeight="1" spans="1:75">
      <c r="A11" s="44">
        <v>45503</v>
      </c>
      <c r="B11" s="73" t="s">
        <v>489</v>
      </c>
      <c r="C11" s="63" t="s">
        <v>214</v>
      </c>
      <c r="D11" s="74" t="s">
        <v>4176</v>
      </c>
      <c r="E11" s="45" t="s">
        <v>4177</v>
      </c>
      <c r="F11" s="74" t="s">
        <v>4178</v>
      </c>
      <c r="G11" s="64" t="s">
        <v>456</v>
      </c>
      <c r="H11" s="49" t="s">
        <v>189</v>
      </c>
      <c r="I11" s="49" t="s">
        <v>99</v>
      </c>
      <c r="J11" s="75">
        <v>384</v>
      </c>
      <c r="K11" s="50">
        <v>0</v>
      </c>
      <c r="L11" s="50">
        <v>24</v>
      </c>
      <c r="M11" s="50">
        <f t="shared" si="0"/>
        <v>16</v>
      </c>
      <c r="N11" s="51">
        <v>45564</v>
      </c>
      <c r="O11" s="51">
        <v>45560</v>
      </c>
      <c r="P11" s="51" t="s">
        <v>4179</v>
      </c>
      <c r="Q11" s="52"/>
      <c r="R11" s="53"/>
      <c r="S11" s="72" t="s">
        <v>2008</v>
      </c>
      <c r="T11" s="55"/>
      <c r="U11" s="65" t="s">
        <v>183</v>
      </c>
      <c r="V11" s="53" t="s">
        <v>4163</v>
      </c>
      <c r="W11" s="53"/>
      <c r="X11" s="53" t="s">
        <v>4180</v>
      </c>
      <c r="Y11" s="55" t="s">
        <v>4165</v>
      </c>
      <c r="Z11" s="55">
        <v>2.5554</v>
      </c>
      <c r="AA11" s="56">
        <f t="shared" si="2"/>
        <v>981.2736</v>
      </c>
      <c r="AB11" s="56"/>
      <c r="AC11" s="66"/>
      <c r="AD11" s="56"/>
      <c r="AE11" s="67"/>
      <c r="AF11" s="61" t="s">
        <v>107</v>
      </c>
      <c r="AG11" s="61"/>
      <c r="AH11" s="57"/>
      <c r="AI11" s="57"/>
      <c r="AJ11" s="68"/>
      <c r="AK11" s="68">
        <f t="shared" si="3"/>
        <v>384</v>
      </c>
      <c r="AL11" s="57"/>
      <c r="AM11" s="68"/>
      <c r="AN11" s="69"/>
      <c r="AO11" s="57"/>
      <c r="AP11" s="57"/>
      <c r="AQ11" s="57">
        <f t="shared" si="4"/>
        <v>384</v>
      </c>
      <c r="AR11" s="58"/>
      <c r="AS11" s="70"/>
      <c r="AT11" s="71"/>
      <c r="AU11" s="58"/>
      <c r="AV11" s="71"/>
      <c r="AW11" s="58"/>
      <c r="AX11" s="58"/>
      <c r="AY11" s="58"/>
      <c r="AZ11" s="58"/>
      <c r="BA11" s="58"/>
      <c r="BB11" s="58"/>
      <c r="BC11" s="58"/>
      <c r="BD11" s="58"/>
      <c r="BE11" s="58"/>
      <c r="BF11" s="58"/>
      <c r="BG11" s="58"/>
      <c r="BH11" s="58"/>
      <c r="BI11" s="58"/>
      <c r="BJ11" s="58"/>
      <c r="BK11" s="58"/>
      <c r="BL11" s="58"/>
      <c r="BM11" s="58"/>
      <c r="BN11" s="53" t="s">
        <v>109</v>
      </c>
      <c r="BO11" s="56"/>
      <c r="BP11" s="56"/>
      <c r="BQ11" s="56"/>
      <c r="BR11" s="56">
        <f t="shared" si="8"/>
        <v>384</v>
      </c>
      <c r="BS11" s="56">
        <f t="shared" si="5"/>
        <v>384</v>
      </c>
      <c r="BT11" s="56"/>
      <c r="BU11" s="56">
        <f t="shared" si="6"/>
        <v>384</v>
      </c>
      <c r="BV11" s="66">
        <f t="shared" si="9"/>
        <v>0</v>
      </c>
      <c r="BW11" s="61"/>
    </row>
    <row r="12" s="17" customFormat="1" ht="40" customHeight="1" spans="1:75">
      <c r="A12" s="44">
        <v>45503</v>
      </c>
      <c r="B12" s="73" t="s">
        <v>489</v>
      </c>
      <c r="C12" s="63" t="s">
        <v>214</v>
      </c>
      <c r="D12" s="74" t="s">
        <v>4176</v>
      </c>
      <c r="E12" s="45" t="s">
        <v>4181</v>
      </c>
      <c r="F12" s="74" t="s">
        <v>4182</v>
      </c>
      <c r="G12" s="64" t="s">
        <v>456</v>
      </c>
      <c r="H12" s="49" t="s">
        <v>189</v>
      </c>
      <c r="I12" s="49" t="s">
        <v>99</v>
      </c>
      <c r="J12" s="75">
        <v>1368</v>
      </c>
      <c r="K12" s="50">
        <v>0</v>
      </c>
      <c r="L12" s="50">
        <v>24</v>
      </c>
      <c r="M12" s="50">
        <f t="shared" si="0"/>
        <v>57</v>
      </c>
      <c r="N12" s="51">
        <v>45564</v>
      </c>
      <c r="O12" s="51">
        <v>45560</v>
      </c>
      <c r="P12" s="51" t="s">
        <v>4179</v>
      </c>
      <c r="Q12" s="52"/>
      <c r="R12" s="53"/>
      <c r="S12" s="72" t="s">
        <v>2008</v>
      </c>
      <c r="T12" s="55"/>
      <c r="U12" s="65" t="s">
        <v>183</v>
      </c>
      <c r="V12" s="53" t="s">
        <v>4163</v>
      </c>
      <c r="W12" s="53"/>
      <c r="X12" s="53" t="s">
        <v>4180</v>
      </c>
      <c r="Y12" s="55" t="s">
        <v>4165</v>
      </c>
      <c r="Z12" s="55">
        <v>2.5554</v>
      </c>
      <c r="AA12" s="56">
        <f t="shared" si="2"/>
        <v>3495.7872</v>
      </c>
      <c r="AB12" s="56"/>
      <c r="AC12" s="66"/>
      <c r="AD12" s="56"/>
      <c r="AE12" s="67"/>
      <c r="AF12" s="61" t="s">
        <v>107</v>
      </c>
      <c r="AG12" s="61"/>
      <c r="AH12" s="57"/>
      <c r="AI12" s="57"/>
      <c r="AJ12" s="68"/>
      <c r="AK12" s="68">
        <f t="shared" si="3"/>
        <v>1368</v>
      </c>
      <c r="AL12" s="57"/>
      <c r="AM12" s="68"/>
      <c r="AN12" s="69"/>
      <c r="AO12" s="57"/>
      <c r="AP12" s="57"/>
      <c r="AQ12" s="57">
        <f t="shared" si="4"/>
        <v>1368</v>
      </c>
      <c r="AR12" s="58"/>
      <c r="AS12" s="70"/>
      <c r="AT12" s="71"/>
      <c r="AU12" s="58"/>
      <c r="AV12" s="71"/>
      <c r="AW12" s="58"/>
      <c r="AX12" s="58"/>
      <c r="AY12" s="58"/>
      <c r="AZ12" s="58"/>
      <c r="BA12" s="58"/>
      <c r="BB12" s="58"/>
      <c r="BC12" s="58"/>
      <c r="BD12" s="58"/>
      <c r="BE12" s="58"/>
      <c r="BF12" s="58"/>
      <c r="BG12" s="58"/>
      <c r="BH12" s="58"/>
      <c r="BI12" s="58"/>
      <c r="BJ12" s="58"/>
      <c r="BK12" s="58"/>
      <c r="BL12" s="58"/>
      <c r="BM12" s="58"/>
      <c r="BN12" s="53" t="s">
        <v>109</v>
      </c>
      <c r="BO12" s="56"/>
      <c r="BP12" s="56"/>
      <c r="BQ12" s="56"/>
      <c r="BR12" s="56">
        <f t="shared" si="8"/>
        <v>1368</v>
      </c>
      <c r="BS12" s="56">
        <f t="shared" si="5"/>
        <v>1368</v>
      </c>
      <c r="BT12" s="56"/>
      <c r="BU12" s="56">
        <f t="shared" si="6"/>
        <v>1368</v>
      </c>
      <c r="BV12" s="66">
        <f t="shared" si="9"/>
        <v>0</v>
      </c>
      <c r="BW12" s="61"/>
    </row>
    <row r="13" s="17" customFormat="1" ht="40" customHeight="1" spans="1:75">
      <c r="A13" s="44">
        <v>45482</v>
      </c>
      <c r="B13" s="48" t="s">
        <v>489</v>
      </c>
      <c r="C13" s="63" t="s">
        <v>214</v>
      </c>
      <c r="D13" s="47" t="s">
        <v>4183</v>
      </c>
      <c r="E13" s="47" t="s">
        <v>4184</v>
      </c>
      <c r="F13" s="47" t="s">
        <v>4185</v>
      </c>
      <c r="G13" s="64" t="s">
        <v>456</v>
      </c>
      <c r="H13" s="49" t="s">
        <v>189</v>
      </c>
      <c r="I13" s="49" t="s">
        <v>99</v>
      </c>
      <c r="J13" s="50">
        <v>840</v>
      </c>
      <c r="K13" s="50">
        <v>0</v>
      </c>
      <c r="L13" s="50">
        <v>24</v>
      </c>
      <c r="M13" s="50">
        <f t="shared" si="0"/>
        <v>35</v>
      </c>
      <c r="N13" s="51">
        <v>45533</v>
      </c>
      <c r="O13" s="51">
        <v>45530</v>
      </c>
      <c r="P13" s="51" t="s">
        <v>4179</v>
      </c>
      <c r="Q13" s="52" t="s">
        <v>4115</v>
      </c>
      <c r="R13" s="53"/>
      <c r="S13" s="72" t="s">
        <v>1832</v>
      </c>
      <c r="T13" s="55"/>
      <c r="U13" s="65" t="s">
        <v>493</v>
      </c>
      <c r="V13" s="53" t="s">
        <v>4163</v>
      </c>
      <c r="W13" s="53"/>
      <c r="X13" s="53" t="s">
        <v>4186</v>
      </c>
      <c r="Y13" s="55" t="s">
        <v>4165</v>
      </c>
      <c r="Z13" s="55">
        <v>2.5459</v>
      </c>
      <c r="AA13" s="65">
        <f t="shared" si="2"/>
        <v>2138.556</v>
      </c>
      <c r="AB13" s="56"/>
      <c r="AC13" s="66">
        <f t="shared" si="10"/>
        <v>-840</v>
      </c>
      <c r="AD13" s="56"/>
      <c r="AE13" s="67"/>
      <c r="AF13" s="61" t="s">
        <v>107</v>
      </c>
      <c r="AG13" s="61"/>
      <c r="AH13" s="57"/>
      <c r="AI13" s="57"/>
      <c r="AJ13" s="68"/>
      <c r="AK13" s="68">
        <f t="shared" si="3"/>
        <v>840</v>
      </c>
      <c r="AL13" s="57"/>
      <c r="AM13" s="68"/>
      <c r="AN13" s="69"/>
      <c r="AO13" s="57"/>
      <c r="AP13" s="57"/>
      <c r="AQ13" s="57">
        <f t="shared" si="4"/>
        <v>840</v>
      </c>
      <c r="AR13" s="58"/>
      <c r="AS13" s="70"/>
      <c r="AT13" s="71"/>
      <c r="AU13" s="58"/>
      <c r="AV13" s="71"/>
      <c r="AW13" s="58"/>
      <c r="AX13" s="58"/>
      <c r="AY13" s="58"/>
      <c r="AZ13" s="58"/>
      <c r="BA13" s="58"/>
      <c r="BB13" s="58"/>
      <c r="BC13" s="58"/>
      <c r="BD13" s="58"/>
      <c r="BE13" s="58"/>
      <c r="BF13" s="58"/>
      <c r="BG13" s="58"/>
      <c r="BH13" s="58"/>
      <c r="BI13" s="58"/>
      <c r="BJ13" s="58"/>
      <c r="BK13" s="58"/>
      <c r="BL13" s="58"/>
      <c r="BM13" s="58"/>
      <c r="BN13" s="53" t="s">
        <v>109</v>
      </c>
      <c r="BO13" s="56"/>
      <c r="BP13" s="56"/>
      <c r="BQ13" s="56"/>
      <c r="BR13" s="56">
        <f t="shared" si="8"/>
        <v>840</v>
      </c>
      <c r="BS13" s="56">
        <f t="shared" si="5"/>
        <v>840</v>
      </c>
      <c r="BT13" s="56"/>
      <c r="BU13" s="56">
        <f t="shared" si="6"/>
        <v>840</v>
      </c>
      <c r="BV13" s="66">
        <f t="shared" si="9"/>
        <v>0</v>
      </c>
      <c r="BW13" s="61"/>
    </row>
    <row r="14" s="17" customFormat="1" ht="40" customHeight="1" spans="1:75">
      <c r="A14" s="44">
        <v>45482</v>
      </c>
      <c r="B14" s="48" t="s">
        <v>489</v>
      </c>
      <c r="C14" s="63" t="s">
        <v>214</v>
      </c>
      <c r="D14" s="47" t="s">
        <v>4183</v>
      </c>
      <c r="E14" s="47" t="s">
        <v>4187</v>
      </c>
      <c r="F14" s="47" t="s">
        <v>4188</v>
      </c>
      <c r="G14" s="64" t="s">
        <v>456</v>
      </c>
      <c r="H14" s="49" t="s">
        <v>189</v>
      </c>
      <c r="I14" s="49" t="s">
        <v>99</v>
      </c>
      <c r="J14" s="50">
        <v>864</v>
      </c>
      <c r="K14" s="50">
        <v>0</v>
      </c>
      <c r="L14" s="50">
        <v>24</v>
      </c>
      <c r="M14" s="50">
        <f t="shared" si="0"/>
        <v>36</v>
      </c>
      <c r="N14" s="51">
        <v>45533</v>
      </c>
      <c r="O14" s="51">
        <v>45530</v>
      </c>
      <c r="P14" s="51" t="s">
        <v>4179</v>
      </c>
      <c r="Q14" s="52" t="s">
        <v>4115</v>
      </c>
      <c r="R14" s="53"/>
      <c r="S14" s="72" t="s">
        <v>1832</v>
      </c>
      <c r="T14" s="55"/>
      <c r="U14" s="65" t="s">
        <v>493</v>
      </c>
      <c r="V14" s="53" t="s">
        <v>4163</v>
      </c>
      <c r="W14" s="53"/>
      <c r="X14" s="53" t="s">
        <v>4186</v>
      </c>
      <c r="Y14" s="55" t="s">
        <v>4165</v>
      </c>
      <c r="Z14" s="55">
        <v>2.5459</v>
      </c>
      <c r="AA14" s="65">
        <f t="shared" si="2"/>
        <v>2199.6576</v>
      </c>
      <c r="AB14" s="56"/>
      <c r="AC14" s="66">
        <f t="shared" si="10"/>
        <v>-864</v>
      </c>
      <c r="AD14" s="56"/>
      <c r="AE14" s="67"/>
      <c r="AF14" s="61" t="s">
        <v>107</v>
      </c>
      <c r="AG14" s="61"/>
      <c r="AH14" s="57"/>
      <c r="AI14" s="57"/>
      <c r="AJ14" s="68"/>
      <c r="AK14" s="68">
        <f t="shared" si="3"/>
        <v>864</v>
      </c>
      <c r="AL14" s="57"/>
      <c r="AM14" s="68"/>
      <c r="AN14" s="69"/>
      <c r="AO14" s="57"/>
      <c r="AP14" s="57"/>
      <c r="AQ14" s="57">
        <f t="shared" si="4"/>
        <v>864</v>
      </c>
      <c r="AR14" s="58"/>
      <c r="AS14" s="70"/>
      <c r="AT14" s="71"/>
      <c r="AU14" s="58"/>
      <c r="AV14" s="71"/>
      <c r="AW14" s="58"/>
      <c r="AX14" s="58"/>
      <c r="AY14" s="58"/>
      <c r="AZ14" s="58"/>
      <c r="BA14" s="58"/>
      <c r="BB14" s="58"/>
      <c r="BC14" s="58"/>
      <c r="BD14" s="58"/>
      <c r="BE14" s="58"/>
      <c r="BF14" s="58"/>
      <c r="BG14" s="58"/>
      <c r="BH14" s="58"/>
      <c r="BI14" s="58"/>
      <c r="BJ14" s="58"/>
      <c r="BK14" s="58"/>
      <c r="BL14" s="58"/>
      <c r="BM14" s="58"/>
      <c r="BN14" s="53" t="s">
        <v>109</v>
      </c>
      <c r="BO14" s="56"/>
      <c r="BP14" s="56"/>
      <c r="BQ14" s="56"/>
      <c r="BR14" s="56">
        <f t="shared" si="8"/>
        <v>864</v>
      </c>
      <c r="BS14" s="56">
        <f t="shared" si="5"/>
        <v>864</v>
      </c>
      <c r="BT14" s="56"/>
      <c r="BU14" s="56">
        <f t="shared" si="6"/>
        <v>864</v>
      </c>
      <c r="BV14" s="66">
        <f t="shared" si="9"/>
        <v>0</v>
      </c>
      <c r="BW14" s="61"/>
    </row>
    <row r="15" s="17" customFormat="1" ht="40" customHeight="1" spans="1:75">
      <c r="A15" s="44">
        <v>45418</v>
      </c>
      <c r="B15" s="48" t="s">
        <v>4189</v>
      </c>
      <c r="C15" s="63" t="s">
        <v>214</v>
      </c>
      <c r="D15" s="74">
        <v>4500131695</v>
      </c>
      <c r="E15" s="45">
        <v>95284017</v>
      </c>
      <c r="F15" s="47" t="s">
        <v>4190</v>
      </c>
      <c r="G15" s="49" t="s">
        <v>241</v>
      </c>
      <c r="H15" s="49" t="s">
        <v>241</v>
      </c>
      <c r="I15" s="49" t="s">
        <v>99</v>
      </c>
      <c r="J15" s="50">
        <v>1958</v>
      </c>
      <c r="K15" s="50">
        <v>0</v>
      </c>
      <c r="L15" s="50">
        <v>11</v>
      </c>
      <c r="M15" s="50">
        <f t="shared" si="0"/>
        <v>178</v>
      </c>
      <c r="N15" s="51">
        <v>45488</v>
      </c>
      <c r="O15" s="51">
        <v>45484</v>
      </c>
      <c r="P15" s="51" t="s">
        <v>4191</v>
      </c>
      <c r="Q15" s="52"/>
      <c r="R15" s="53"/>
      <c r="S15" s="56" t="s">
        <v>1255</v>
      </c>
      <c r="T15" s="55"/>
      <c r="U15" s="65" t="s">
        <v>4192</v>
      </c>
      <c r="V15" s="53"/>
      <c r="W15" s="53"/>
      <c r="X15" s="53" t="s">
        <v>4193</v>
      </c>
      <c r="Y15" s="65" t="s">
        <v>4194</v>
      </c>
      <c r="Z15" s="53">
        <v>2.7985</v>
      </c>
      <c r="AA15" s="56">
        <f t="shared" si="2"/>
        <v>5479.463</v>
      </c>
      <c r="AB15" s="56">
        <v>1958</v>
      </c>
      <c r="AC15" s="66">
        <f t="shared" si="10"/>
        <v>0</v>
      </c>
      <c r="AD15" s="56" t="s">
        <v>123</v>
      </c>
      <c r="AE15" s="67"/>
      <c r="AF15" s="61" t="s">
        <v>107</v>
      </c>
      <c r="AG15" s="61" t="s">
        <v>43</v>
      </c>
      <c r="AH15" s="57"/>
      <c r="AI15" s="57"/>
      <c r="AJ15" s="68"/>
      <c r="AK15" s="68">
        <f t="shared" si="3"/>
        <v>1958</v>
      </c>
      <c r="AL15" s="57"/>
      <c r="AM15" s="68"/>
      <c r="AN15" s="69"/>
      <c r="AO15" s="57"/>
      <c r="AP15" s="57"/>
      <c r="AQ15" s="57">
        <f t="shared" si="4"/>
        <v>1958</v>
      </c>
      <c r="AR15" s="58"/>
      <c r="AS15" s="70"/>
      <c r="AT15" s="71">
        <f>J15/11</f>
        <v>178</v>
      </c>
      <c r="AU15" s="58"/>
      <c r="AV15" s="71"/>
      <c r="AW15" s="58"/>
      <c r="AX15" s="58"/>
      <c r="AY15" s="58"/>
      <c r="AZ15" s="58"/>
      <c r="BA15" s="58"/>
      <c r="BB15" s="58"/>
      <c r="BC15" s="58"/>
      <c r="BD15" s="58"/>
      <c r="BE15" s="58"/>
      <c r="BF15" s="58"/>
      <c r="BG15" s="58"/>
      <c r="BH15" s="58"/>
      <c r="BI15" s="58"/>
      <c r="BJ15" s="58"/>
      <c r="BK15" s="58"/>
      <c r="BL15" s="58"/>
      <c r="BM15" s="58"/>
      <c r="BN15" s="54" t="s">
        <v>109</v>
      </c>
      <c r="BO15" s="56">
        <f>J15/22*5</f>
        <v>445</v>
      </c>
      <c r="BP15" s="56">
        <f>J15/22*6</f>
        <v>534</v>
      </c>
      <c r="BQ15" s="56">
        <f>J15/22*6</f>
        <v>534</v>
      </c>
      <c r="BR15" s="56">
        <f>J15/22*5</f>
        <v>445</v>
      </c>
      <c r="BS15" s="56">
        <f t="shared" si="5"/>
        <v>1958</v>
      </c>
      <c r="BT15" s="56">
        <f>J15/11</f>
        <v>178</v>
      </c>
      <c r="BU15" s="56">
        <f t="shared" si="6"/>
        <v>1958</v>
      </c>
      <c r="BV15" s="66">
        <f t="shared" si="9"/>
        <v>0</v>
      </c>
      <c r="BW15" s="61"/>
    </row>
    <row r="16" s="17" customFormat="1" ht="40" customHeight="1" spans="1:75">
      <c r="A16" s="44">
        <v>45587</v>
      </c>
      <c r="B16" s="48" t="s">
        <v>177</v>
      </c>
      <c r="C16" s="63" t="s">
        <v>178</v>
      </c>
      <c r="D16" s="74">
        <v>4500148453</v>
      </c>
      <c r="E16" s="45" t="s">
        <v>4195</v>
      </c>
      <c r="F16" s="47" t="s">
        <v>4196</v>
      </c>
      <c r="G16" s="49"/>
      <c r="H16" s="49" t="s">
        <v>132</v>
      </c>
      <c r="I16" s="49" t="s">
        <v>99</v>
      </c>
      <c r="J16" s="50">
        <v>24</v>
      </c>
      <c r="K16" s="50">
        <v>0</v>
      </c>
      <c r="L16" s="50">
        <v>24</v>
      </c>
      <c r="M16" s="50">
        <f t="shared" si="0"/>
        <v>1</v>
      </c>
      <c r="N16" s="51">
        <v>45635</v>
      </c>
      <c r="O16" s="51">
        <v>45631</v>
      </c>
      <c r="P16" s="51" t="s">
        <v>4197</v>
      </c>
      <c r="Q16" s="52"/>
      <c r="R16" s="53"/>
      <c r="S16" s="56"/>
      <c r="T16" s="55"/>
      <c r="U16" s="65"/>
      <c r="V16" s="53"/>
      <c r="W16" s="53"/>
      <c r="X16" s="53" t="s">
        <v>4198</v>
      </c>
      <c r="Y16" s="65" t="s">
        <v>185</v>
      </c>
      <c r="Z16" s="53">
        <v>2.5695</v>
      </c>
      <c r="AA16" s="56">
        <f t="shared" si="2"/>
        <v>61.668</v>
      </c>
      <c r="AB16" s="56"/>
      <c r="AC16" s="66"/>
      <c r="AD16" s="56"/>
      <c r="AE16" s="67"/>
      <c r="AF16" s="61"/>
      <c r="AG16" s="61"/>
      <c r="AH16" s="57"/>
      <c r="AI16" s="57"/>
      <c r="AJ16" s="68"/>
      <c r="AK16" s="68"/>
      <c r="AL16" s="57"/>
      <c r="AM16" s="68">
        <f>J16</f>
        <v>24</v>
      </c>
      <c r="AN16" s="69"/>
      <c r="AO16" s="57"/>
      <c r="AP16" s="57"/>
      <c r="AQ16" s="57">
        <f t="shared" si="4"/>
        <v>24</v>
      </c>
      <c r="AR16" s="58"/>
      <c r="AS16" s="70"/>
      <c r="AT16" s="71"/>
      <c r="AU16" s="58"/>
      <c r="AV16" s="71"/>
      <c r="AW16" s="58"/>
      <c r="AX16" s="58"/>
      <c r="AY16" s="58"/>
      <c r="AZ16" s="58"/>
      <c r="BA16" s="58"/>
      <c r="BB16" s="58"/>
      <c r="BC16" s="58"/>
      <c r="BD16" s="58"/>
      <c r="BE16" s="58"/>
      <c r="BF16" s="58"/>
      <c r="BG16" s="58"/>
      <c r="BH16" s="58"/>
      <c r="BI16" s="58"/>
      <c r="BJ16" s="58"/>
      <c r="BK16" s="58"/>
      <c r="BL16" s="58"/>
      <c r="BM16" s="58"/>
      <c r="BN16" s="54"/>
      <c r="BO16" s="56">
        <f>J16</f>
        <v>24</v>
      </c>
      <c r="BP16" s="56"/>
      <c r="BQ16" s="56"/>
      <c r="BR16" s="56"/>
      <c r="BS16" s="56">
        <f>SUM(BO16:BR16)</f>
        <v>24</v>
      </c>
      <c r="BT16" s="56"/>
      <c r="BU16" s="56">
        <f t="shared" si="6"/>
        <v>24</v>
      </c>
      <c r="BV16" s="66">
        <f>BU16-J16</f>
        <v>0</v>
      </c>
      <c r="BW16" s="61"/>
    </row>
    <row r="17" s="17" customFormat="1" ht="40" customHeight="1" spans="1:75">
      <c r="A17" s="44">
        <v>45587</v>
      </c>
      <c r="B17" s="48" t="s">
        <v>177</v>
      </c>
      <c r="C17" s="63" t="s">
        <v>178</v>
      </c>
      <c r="D17" s="74">
        <v>4500148453</v>
      </c>
      <c r="E17" s="45" t="s">
        <v>4199</v>
      </c>
      <c r="F17" s="47" t="s">
        <v>4200</v>
      </c>
      <c r="G17" s="49"/>
      <c r="H17" s="49" t="s">
        <v>132</v>
      </c>
      <c r="I17" s="49" t="s">
        <v>99</v>
      </c>
      <c r="J17" s="50">
        <v>24</v>
      </c>
      <c r="K17" s="50">
        <v>0</v>
      </c>
      <c r="L17" s="50">
        <v>24</v>
      </c>
      <c r="M17" s="50">
        <f t="shared" si="0"/>
        <v>1</v>
      </c>
      <c r="N17" s="51">
        <v>45635</v>
      </c>
      <c r="O17" s="51">
        <v>45631</v>
      </c>
      <c r="P17" s="51" t="s">
        <v>4197</v>
      </c>
      <c r="Q17" s="52"/>
      <c r="R17" s="53"/>
      <c r="S17" s="56"/>
      <c r="T17" s="55"/>
      <c r="U17" s="65"/>
      <c r="V17" s="53"/>
      <c r="W17" s="53"/>
      <c r="X17" s="53" t="s">
        <v>4198</v>
      </c>
      <c r="Y17" s="65" t="s">
        <v>185</v>
      </c>
      <c r="Z17" s="53">
        <v>2.5695</v>
      </c>
      <c r="AA17" s="56">
        <f t="shared" si="2"/>
        <v>61.668</v>
      </c>
      <c r="AB17" s="56"/>
      <c r="AC17" s="66"/>
      <c r="AD17" s="56"/>
      <c r="AE17" s="67"/>
      <c r="AF17" s="61"/>
      <c r="AG17" s="61"/>
      <c r="AH17" s="57"/>
      <c r="AI17" s="57"/>
      <c r="AJ17" s="68"/>
      <c r="AK17" s="68"/>
      <c r="AL17" s="57"/>
      <c r="AM17" s="68">
        <f>J17</f>
        <v>24</v>
      </c>
      <c r="AN17" s="69"/>
      <c r="AO17" s="57"/>
      <c r="AP17" s="57"/>
      <c r="AQ17" s="57">
        <f t="shared" si="4"/>
        <v>24</v>
      </c>
      <c r="AR17" s="58"/>
      <c r="AS17" s="70"/>
      <c r="AT17" s="71"/>
      <c r="AU17" s="58"/>
      <c r="AV17" s="71"/>
      <c r="AW17" s="58"/>
      <c r="AX17" s="58"/>
      <c r="AY17" s="58"/>
      <c r="AZ17" s="58"/>
      <c r="BA17" s="58"/>
      <c r="BB17" s="58"/>
      <c r="BC17" s="58"/>
      <c r="BD17" s="58"/>
      <c r="BE17" s="58"/>
      <c r="BF17" s="58"/>
      <c r="BG17" s="58"/>
      <c r="BH17" s="58"/>
      <c r="BI17" s="58"/>
      <c r="BJ17" s="58"/>
      <c r="BK17" s="58"/>
      <c r="BL17" s="58"/>
      <c r="BM17" s="58"/>
      <c r="BN17" s="54"/>
      <c r="BO17" s="56">
        <f>J17</f>
        <v>24</v>
      </c>
      <c r="BP17" s="56"/>
      <c r="BQ17" s="56"/>
      <c r="BR17" s="56"/>
      <c r="BS17" s="56">
        <f>SUM(BO17:BR17)</f>
        <v>24</v>
      </c>
      <c r="BT17" s="56"/>
      <c r="BU17" s="56">
        <f t="shared" si="6"/>
        <v>24</v>
      </c>
      <c r="BV17" s="66">
        <f>BU17-J17</f>
        <v>0</v>
      </c>
      <c r="BW17" s="61"/>
    </row>
    <row r="18" s="17" customFormat="1" ht="40" customHeight="1" spans="1:75">
      <c r="A18" s="44">
        <v>45726</v>
      </c>
      <c r="B18" s="48" t="s">
        <v>94</v>
      </c>
      <c r="C18" s="63" t="s">
        <v>205</v>
      </c>
      <c r="D18" s="74">
        <v>4500159461</v>
      </c>
      <c r="E18" s="45" t="s">
        <v>116</v>
      </c>
      <c r="F18" s="47" t="s">
        <v>4201</v>
      </c>
      <c r="G18" s="49" t="s">
        <v>98</v>
      </c>
      <c r="H18" s="49" t="s">
        <v>98</v>
      </c>
      <c r="I18" s="49" t="s">
        <v>99</v>
      </c>
      <c r="J18" s="50">
        <v>648</v>
      </c>
      <c r="K18" s="50">
        <v>0</v>
      </c>
      <c r="L18" s="50">
        <v>24</v>
      </c>
      <c r="M18" s="50">
        <f t="shared" si="0"/>
        <v>27</v>
      </c>
      <c r="N18" s="51">
        <v>45756</v>
      </c>
      <c r="O18" s="51">
        <v>45752</v>
      </c>
      <c r="P18" s="76" t="s">
        <v>4202</v>
      </c>
      <c r="Q18" s="52"/>
      <c r="R18" s="53"/>
      <c r="S18" s="56" t="s">
        <v>969</v>
      </c>
      <c r="T18" s="55"/>
      <c r="U18" s="65" t="s">
        <v>4203</v>
      </c>
      <c r="V18" s="53"/>
      <c r="W18" s="53" t="s">
        <v>210</v>
      </c>
      <c r="X18" s="53" t="s">
        <v>4204</v>
      </c>
      <c r="Y18" s="65" t="s">
        <v>972</v>
      </c>
      <c r="Z18" s="53">
        <v>2.5135</v>
      </c>
      <c r="AA18" s="56">
        <f t="shared" si="2"/>
        <v>1628.748</v>
      </c>
      <c r="AB18" s="56">
        <v>648</v>
      </c>
      <c r="AC18" s="66">
        <f t="shared" ref="AC18:AC29" si="11">AB18-J18</f>
        <v>0</v>
      </c>
      <c r="AD18" s="56" t="s">
        <v>123</v>
      </c>
      <c r="AE18" s="67"/>
      <c r="AF18" s="61" t="s">
        <v>107</v>
      </c>
      <c r="AG18" s="61" t="s">
        <v>43</v>
      </c>
      <c r="AH18" s="57"/>
      <c r="AI18" s="57"/>
      <c r="AJ18" s="68"/>
      <c r="AK18" s="68">
        <f t="shared" ref="AK18:AK27" si="12">J18</f>
        <v>648</v>
      </c>
      <c r="AL18" s="57"/>
      <c r="AM18" s="68"/>
      <c r="AN18" s="69"/>
      <c r="AO18" s="57"/>
      <c r="AP18" s="57"/>
      <c r="AQ18" s="57">
        <f t="shared" si="4"/>
        <v>648</v>
      </c>
      <c r="AR18" s="58"/>
      <c r="AS18" s="70"/>
      <c r="AT18" s="71"/>
      <c r="AU18" s="58"/>
      <c r="AV18" s="71"/>
      <c r="AW18" s="58"/>
      <c r="AX18" s="58"/>
      <c r="AY18" s="58"/>
      <c r="AZ18" s="58"/>
      <c r="BA18" s="58"/>
      <c r="BB18" s="58"/>
      <c r="BC18" s="58"/>
      <c r="BD18" s="58"/>
      <c r="BE18" s="58"/>
      <c r="BF18" s="58"/>
      <c r="BG18" s="58"/>
      <c r="BH18" s="58"/>
      <c r="BI18" s="58"/>
      <c r="BJ18" s="58"/>
      <c r="BK18" s="58"/>
      <c r="BL18" s="58"/>
      <c r="BM18" s="58"/>
      <c r="BN18" s="54" t="s">
        <v>109</v>
      </c>
      <c r="BO18" s="56">
        <f t="shared" ref="BO18:BO21" si="13">J18/4</f>
        <v>162</v>
      </c>
      <c r="BP18" s="56">
        <f t="shared" ref="BP18:BP21" si="14">J18/4</f>
        <v>162</v>
      </c>
      <c r="BQ18" s="56">
        <f t="shared" ref="BQ18:BQ21" si="15">J18/4</f>
        <v>162</v>
      </c>
      <c r="BR18" s="56">
        <f t="shared" ref="BR18:BR21" si="16">J18/4</f>
        <v>162</v>
      </c>
      <c r="BS18" s="56">
        <f t="shared" ref="BS18:BS35" si="17">J18</f>
        <v>648</v>
      </c>
      <c r="BT18" s="56"/>
      <c r="BU18" s="56">
        <f t="shared" si="6"/>
        <v>648</v>
      </c>
      <c r="BV18" s="66">
        <f t="shared" ref="BV18:BV30" si="18">J18-BU18</f>
        <v>0</v>
      </c>
      <c r="BW18" s="61"/>
    </row>
    <row r="19" s="17" customFormat="1" ht="40" customHeight="1" spans="1:75">
      <c r="A19" s="44">
        <v>45726</v>
      </c>
      <c r="B19" s="48" t="s">
        <v>94</v>
      </c>
      <c r="C19" s="63" t="s">
        <v>205</v>
      </c>
      <c r="D19" s="74">
        <v>4500159461</v>
      </c>
      <c r="E19" s="45" t="s">
        <v>125</v>
      </c>
      <c r="F19" s="47" t="s">
        <v>4205</v>
      </c>
      <c r="G19" s="49" t="s">
        <v>98</v>
      </c>
      <c r="H19" s="49" t="s">
        <v>98</v>
      </c>
      <c r="I19" s="49" t="s">
        <v>99</v>
      </c>
      <c r="J19" s="50">
        <v>264</v>
      </c>
      <c r="K19" s="50">
        <v>0</v>
      </c>
      <c r="L19" s="50">
        <v>24</v>
      </c>
      <c r="M19" s="50">
        <f t="shared" si="0"/>
        <v>11</v>
      </c>
      <c r="N19" s="51">
        <v>45756</v>
      </c>
      <c r="O19" s="51">
        <v>45752</v>
      </c>
      <c r="P19" s="76" t="s">
        <v>4202</v>
      </c>
      <c r="Q19" s="52"/>
      <c r="R19" s="53"/>
      <c r="S19" s="56" t="s">
        <v>969</v>
      </c>
      <c r="T19" s="55"/>
      <c r="U19" s="65" t="s">
        <v>4203</v>
      </c>
      <c r="V19" s="53"/>
      <c r="W19" s="53" t="s">
        <v>210</v>
      </c>
      <c r="X19" s="53" t="s">
        <v>4204</v>
      </c>
      <c r="Y19" s="65" t="s">
        <v>972</v>
      </c>
      <c r="Z19" s="53">
        <v>2.5135</v>
      </c>
      <c r="AA19" s="56">
        <f t="shared" si="2"/>
        <v>663.564</v>
      </c>
      <c r="AB19" s="56">
        <v>264</v>
      </c>
      <c r="AC19" s="66">
        <f t="shared" si="11"/>
        <v>0</v>
      </c>
      <c r="AD19" s="56" t="s">
        <v>123</v>
      </c>
      <c r="AE19" s="67"/>
      <c r="AF19" s="61" t="s">
        <v>107</v>
      </c>
      <c r="AG19" s="61" t="s">
        <v>43</v>
      </c>
      <c r="AH19" s="57"/>
      <c r="AI19" s="57"/>
      <c r="AJ19" s="68"/>
      <c r="AK19" s="68">
        <f t="shared" si="12"/>
        <v>264</v>
      </c>
      <c r="AL19" s="57"/>
      <c r="AM19" s="68"/>
      <c r="AN19" s="69"/>
      <c r="AO19" s="57"/>
      <c r="AP19" s="57"/>
      <c r="AQ19" s="57">
        <f t="shared" si="4"/>
        <v>264</v>
      </c>
      <c r="AR19" s="58"/>
      <c r="AS19" s="70"/>
      <c r="AT19" s="71"/>
      <c r="AU19" s="58"/>
      <c r="AV19" s="71"/>
      <c r="AW19" s="58"/>
      <c r="AX19" s="58"/>
      <c r="AY19" s="58"/>
      <c r="AZ19" s="58"/>
      <c r="BA19" s="58"/>
      <c r="BB19" s="58"/>
      <c r="BC19" s="58"/>
      <c r="BD19" s="58"/>
      <c r="BE19" s="58"/>
      <c r="BF19" s="58"/>
      <c r="BG19" s="58"/>
      <c r="BH19" s="58"/>
      <c r="BI19" s="58"/>
      <c r="BJ19" s="58"/>
      <c r="BK19" s="58"/>
      <c r="BL19" s="58"/>
      <c r="BM19" s="58"/>
      <c r="BN19" s="54" t="s">
        <v>109</v>
      </c>
      <c r="BO19" s="56">
        <f t="shared" si="13"/>
        <v>66</v>
      </c>
      <c r="BP19" s="56">
        <f t="shared" si="14"/>
        <v>66</v>
      </c>
      <c r="BQ19" s="56">
        <f t="shared" si="15"/>
        <v>66</v>
      </c>
      <c r="BR19" s="56">
        <f t="shared" si="16"/>
        <v>66</v>
      </c>
      <c r="BS19" s="56">
        <f t="shared" si="17"/>
        <v>264</v>
      </c>
      <c r="BT19" s="56"/>
      <c r="BU19" s="56">
        <f t="shared" si="6"/>
        <v>264</v>
      </c>
      <c r="BV19" s="66">
        <f t="shared" si="18"/>
        <v>0</v>
      </c>
      <c r="BW19" s="61"/>
    </row>
    <row r="20" s="17" customFormat="1" ht="40" customHeight="1" spans="1:75">
      <c r="A20" s="44">
        <v>45726</v>
      </c>
      <c r="B20" s="48" t="s">
        <v>94</v>
      </c>
      <c r="C20" s="63" t="s">
        <v>205</v>
      </c>
      <c r="D20" s="74">
        <v>4500159526</v>
      </c>
      <c r="E20" s="45" t="s">
        <v>4206</v>
      </c>
      <c r="F20" s="47" t="s">
        <v>4207</v>
      </c>
      <c r="G20" s="49" t="s">
        <v>98</v>
      </c>
      <c r="H20" s="49" t="s">
        <v>98</v>
      </c>
      <c r="I20" s="49" t="s">
        <v>99</v>
      </c>
      <c r="J20" s="50">
        <v>1944</v>
      </c>
      <c r="K20" s="50">
        <v>0</v>
      </c>
      <c r="L20" s="50">
        <v>24</v>
      </c>
      <c r="M20" s="50">
        <f t="shared" si="0"/>
        <v>81</v>
      </c>
      <c r="N20" s="51">
        <v>45775</v>
      </c>
      <c r="O20" s="51">
        <v>45771</v>
      </c>
      <c r="P20" s="76" t="s">
        <v>4202</v>
      </c>
      <c r="Q20" s="52"/>
      <c r="R20" s="53"/>
      <c r="S20" s="56" t="s">
        <v>969</v>
      </c>
      <c r="T20" s="55"/>
      <c r="U20" s="65" t="s">
        <v>970</v>
      </c>
      <c r="V20" s="53"/>
      <c r="W20" s="53" t="s">
        <v>210</v>
      </c>
      <c r="X20" s="53" t="s">
        <v>4208</v>
      </c>
      <c r="Y20" s="65" t="s">
        <v>972</v>
      </c>
      <c r="Z20" s="53">
        <v>2.4904</v>
      </c>
      <c r="AA20" s="56">
        <f t="shared" si="2"/>
        <v>4841.3376</v>
      </c>
      <c r="AB20" s="56"/>
      <c r="AC20" s="66">
        <f t="shared" si="11"/>
        <v>-1944</v>
      </c>
      <c r="AD20" s="56" t="s">
        <v>123</v>
      </c>
      <c r="AE20" s="67"/>
      <c r="AF20" s="61" t="s">
        <v>107</v>
      </c>
      <c r="AG20" s="61" t="s">
        <v>43</v>
      </c>
      <c r="AH20" s="57"/>
      <c r="AI20" s="57"/>
      <c r="AJ20" s="68"/>
      <c r="AK20" s="68">
        <f t="shared" si="12"/>
        <v>1944</v>
      </c>
      <c r="AL20" s="57"/>
      <c r="AM20" s="68"/>
      <c r="AN20" s="69"/>
      <c r="AO20" s="57"/>
      <c r="AP20" s="57"/>
      <c r="AQ20" s="57">
        <f t="shared" si="4"/>
        <v>1944</v>
      </c>
      <c r="AR20" s="58"/>
      <c r="AS20" s="70"/>
      <c r="AT20" s="71"/>
      <c r="AU20" s="58"/>
      <c r="AV20" s="71"/>
      <c r="AW20" s="58"/>
      <c r="AX20" s="58"/>
      <c r="AY20" s="58"/>
      <c r="AZ20" s="58"/>
      <c r="BA20" s="58"/>
      <c r="BB20" s="58"/>
      <c r="BC20" s="58"/>
      <c r="BD20" s="58"/>
      <c r="BE20" s="58"/>
      <c r="BF20" s="58"/>
      <c r="BG20" s="58"/>
      <c r="BH20" s="58"/>
      <c r="BI20" s="58"/>
      <c r="BJ20" s="58"/>
      <c r="BK20" s="58"/>
      <c r="BL20" s="58"/>
      <c r="BM20" s="58"/>
      <c r="BN20" s="54" t="s">
        <v>109</v>
      </c>
      <c r="BO20" s="56">
        <f t="shared" si="13"/>
        <v>486</v>
      </c>
      <c r="BP20" s="56">
        <f t="shared" si="14"/>
        <v>486</v>
      </c>
      <c r="BQ20" s="56">
        <f t="shared" si="15"/>
        <v>486</v>
      </c>
      <c r="BR20" s="56">
        <f t="shared" si="16"/>
        <v>486</v>
      </c>
      <c r="BS20" s="56">
        <f t="shared" si="17"/>
        <v>1944</v>
      </c>
      <c r="BT20" s="56"/>
      <c r="BU20" s="56">
        <f t="shared" si="6"/>
        <v>1944</v>
      </c>
      <c r="BV20" s="66">
        <f t="shared" si="18"/>
        <v>0</v>
      </c>
      <c r="BW20" s="61"/>
    </row>
    <row r="21" s="17" customFormat="1" ht="40" customHeight="1" spans="1:75">
      <c r="A21" s="44">
        <v>45726</v>
      </c>
      <c r="B21" s="48" t="s">
        <v>94</v>
      </c>
      <c r="C21" s="63" t="s">
        <v>205</v>
      </c>
      <c r="D21" s="74">
        <v>4500159526</v>
      </c>
      <c r="E21" s="45" t="s">
        <v>4209</v>
      </c>
      <c r="F21" s="47" t="s">
        <v>4210</v>
      </c>
      <c r="G21" s="49" t="s">
        <v>98</v>
      </c>
      <c r="H21" s="49" t="s">
        <v>98</v>
      </c>
      <c r="I21" s="49" t="s">
        <v>99</v>
      </c>
      <c r="J21" s="50">
        <v>744</v>
      </c>
      <c r="K21" s="50">
        <v>0</v>
      </c>
      <c r="L21" s="50">
        <v>24</v>
      </c>
      <c r="M21" s="50">
        <f t="shared" si="0"/>
        <v>31</v>
      </c>
      <c r="N21" s="51">
        <v>45775</v>
      </c>
      <c r="O21" s="51">
        <v>45771</v>
      </c>
      <c r="P21" s="76" t="s">
        <v>4202</v>
      </c>
      <c r="Q21" s="52"/>
      <c r="R21" s="53"/>
      <c r="S21" s="56" t="s">
        <v>969</v>
      </c>
      <c r="T21" s="55"/>
      <c r="U21" s="65" t="s">
        <v>970</v>
      </c>
      <c r="V21" s="53"/>
      <c r="W21" s="53" t="s">
        <v>210</v>
      </c>
      <c r="X21" s="53" t="s">
        <v>4208</v>
      </c>
      <c r="Y21" s="65" t="s">
        <v>972</v>
      </c>
      <c r="Z21" s="53">
        <v>2.4904</v>
      </c>
      <c r="AA21" s="56">
        <f t="shared" si="2"/>
        <v>1852.8576</v>
      </c>
      <c r="AB21" s="56"/>
      <c r="AC21" s="66">
        <f t="shared" si="11"/>
        <v>-744</v>
      </c>
      <c r="AD21" s="56" t="s">
        <v>123</v>
      </c>
      <c r="AE21" s="67"/>
      <c r="AF21" s="61" t="s">
        <v>107</v>
      </c>
      <c r="AG21" s="61" t="s">
        <v>43</v>
      </c>
      <c r="AH21" s="57"/>
      <c r="AI21" s="57"/>
      <c r="AJ21" s="68"/>
      <c r="AK21" s="68">
        <f t="shared" si="12"/>
        <v>744</v>
      </c>
      <c r="AL21" s="57"/>
      <c r="AM21" s="68"/>
      <c r="AN21" s="69"/>
      <c r="AO21" s="57"/>
      <c r="AP21" s="57"/>
      <c r="AQ21" s="57">
        <f t="shared" si="4"/>
        <v>744</v>
      </c>
      <c r="AR21" s="58"/>
      <c r="AS21" s="70"/>
      <c r="AT21" s="71"/>
      <c r="AU21" s="58"/>
      <c r="AV21" s="71"/>
      <c r="AW21" s="58"/>
      <c r="AX21" s="58"/>
      <c r="AY21" s="58"/>
      <c r="AZ21" s="58"/>
      <c r="BA21" s="58"/>
      <c r="BB21" s="58"/>
      <c r="BC21" s="58"/>
      <c r="BD21" s="58"/>
      <c r="BE21" s="58"/>
      <c r="BF21" s="58"/>
      <c r="BG21" s="58"/>
      <c r="BH21" s="58"/>
      <c r="BI21" s="58"/>
      <c r="BJ21" s="58"/>
      <c r="BK21" s="58"/>
      <c r="BL21" s="58"/>
      <c r="BM21" s="58"/>
      <c r="BN21" s="54" t="s">
        <v>109</v>
      </c>
      <c r="BO21" s="56">
        <f t="shared" si="13"/>
        <v>186</v>
      </c>
      <c r="BP21" s="56">
        <f t="shared" si="14"/>
        <v>186</v>
      </c>
      <c r="BQ21" s="56">
        <f t="shared" si="15"/>
        <v>186</v>
      </c>
      <c r="BR21" s="56">
        <f t="shared" si="16"/>
        <v>186</v>
      </c>
      <c r="BS21" s="56">
        <f t="shared" si="17"/>
        <v>744</v>
      </c>
      <c r="BT21" s="56"/>
      <c r="BU21" s="56">
        <f t="shared" si="6"/>
        <v>744</v>
      </c>
      <c r="BV21" s="66">
        <f t="shared" si="18"/>
        <v>0</v>
      </c>
      <c r="BW21" s="61"/>
    </row>
    <row r="22" s="18" customFormat="1" ht="40" customHeight="1" spans="1:75">
      <c r="A22" s="77">
        <v>45681</v>
      </c>
      <c r="B22" s="78" t="s">
        <v>489</v>
      </c>
      <c r="C22" s="79" t="s">
        <v>214</v>
      </c>
      <c r="D22" s="80">
        <v>4500156588</v>
      </c>
      <c r="E22" s="79" t="s">
        <v>4211</v>
      </c>
      <c r="F22" s="80" t="s">
        <v>4212</v>
      </c>
      <c r="G22" s="81" t="s">
        <v>451</v>
      </c>
      <c r="H22" s="82" t="s">
        <v>159</v>
      </c>
      <c r="I22" s="82" t="s">
        <v>99</v>
      </c>
      <c r="J22" s="83">
        <v>336</v>
      </c>
      <c r="K22" s="84">
        <v>0</v>
      </c>
      <c r="L22" s="84">
        <v>24</v>
      </c>
      <c r="M22" s="84">
        <f t="shared" si="0"/>
        <v>14</v>
      </c>
      <c r="N22" s="85">
        <v>45750</v>
      </c>
      <c r="O22" s="85">
        <f t="shared" ref="O22:O26" si="19">N22-3</f>
        <v>45747</v>
      </c>
      <c r="P22" s="85" t="s">
        <v>4213</v>
      </c>
      <c r="Q22" s="86" t="s">
        <v>4214</v>
      </c>
      <c r="R22" s="53">
        <v>0</v>
      </c>
      <c r="S22" s="87" t="s">
        <v>731</v>
      </c>
      <c r="T22" s="87"/>
      <c r="U22" s="87" t="s">
        <v>493</v>
      </c>
      <c r="V22" s="87" t="s">
        <v>4215</v>
      </c>
      <c r="W22" s="88"/>
      <c r="X22" s="89" t="s">
        <v>4216</v>
      </c>
      <c r="Y22" s="88" t="s">
        <v>734</v>
      </c>
      <c r="Z22" s="90">
        <v>2.5459</v>
      </c>
      <c r="AA22" s="91">
        <f t="shared" si="2"/>
        <v>855.4224</v>
      </c>
      <c r="AB22" s="92">
        <v>336</v>
      </c>
      <c r="AC22" s="93">
        <f t="shared" si="11"/>
        <v>0</v>
      </c>
      <c r="AD22" s="91" t="s">
        <v>106</v>
      </c>
      <c r="AE22" s="94"/>
      <c r="AF22" s="88" t="s">
        <v>107</v>
      </c>
      <c r="AG22" s="95" t="s">
        <v>43</v>
      </c>
      <c r="AH22" s="92"/>
      <c r="AI22" s="92"/>
      <c r="AJ22" s="96"/>
      <c r="AK22" s="96">
        <f t="shared" si="12"/>
        <v>336</v>
      </c>
      <c r="AL22" s="92"/>
      <c r="AM22" s="92"/>
      <c r="AN22" s="97"/>
      <c r="AO22" s="92"/>
      <c r="AP22" s="92"/>
      <c r="AQ22" s="92">
        <f t="shared" si="4"/>
        <v>336</v>
      </c>
      <c r="AR22" s="98"/>
      <c r="AS22" s="98"/>
      <c r="AT22" s="99"/>
      <c r="AU22" s="98"/>
      <c r="AV22" s="100"/>
      <c r="AW22" s="98"/>
      <c r="AX22" s="98"/>
      <c r="AY22" s="98"/>
      <c r="AZ22" s="98"/>
      <c r="BA22" s="98"/>
      <c r="BB22" s="98"/>
      <c r="BC22" s="98"/>
      <c r="BD22" s="98"/>
      <c r="BE22" s="98"/>
      <c r="BF22" s="98"/>
      <c r="BG22" s="98"/>
      <c r="BH22" s="98"/>
      <c r="BI22" s="98"/>
      <c r="BJ22" s="98"/>
      <c r="BK22" s="98"/>
      <c r="BL22" s="98"/>
      <c r="BM22" s="98"/>
      <c r="BN22" s="101" t="s">
        <v>109</v>
      </c>
      <c r="BO22" s="102"/>
      <c r="BP22" s="102">
        <f t="shared" ref="BP22:BP26" si="20">J22</f>
        <v>336</v>
      </c>
      <c r="BQ22" s="102"/>
      <c r="BR22" s="102"/>
      <c r="BS22" s="103">
        <f t="shared" si="17"/>
        <v>336</v>
      </c>
      <c r="BT22" s="102"/>
      <c r="BU22" s="103">
        <f t="shared" si="6"/>
        <v>336</v>
      </c>
      <c r="BV22" s="103">
        <f t="shared" si="18"/>
        <v>0</v>
      </c>
      <c r="BW22" s="61">
        <f>J22</f>
        <v>336</v>
      </c>
    </row>
    <row r="23" s="18" customFormat="1" ht="40" customHeight="1" spans="1:75">
      <c r="A23" s="77">
        <v>45681</v>
      </c>
      <c r="B23" s="78" t="s">
        <v>489</v>
      </c>
      <c r="C23" s="79" t="s">
        <v>214</v>
      </c>
      <c r="D23" s="80">
        <v>4500156588</v>
      </c>
      <c r="E23" s="79" t="s">
        <v>4217</v>
      </c>
      <c r="F23" s="80" t="s">
        <v>4218</v>
      </c>
      <c r="G23" s="81" t="s">
        <v>451</v>
      </c>
      <c r="H23" s="82" t="s">
        <v>159</v>
      </c>
      <c r="I23" s="82" t="s">
        <v>99</v>
      </c>
      <c r="J23" s="83">
        <v>384</v>
      </c>
      <c r="K23" s="84">
        <v>0</v>
      </c>
      <c r="L23" s="84">
        <v>24</v>
      </c>
      <c r="M23" s="84">
        <f t="shared" si="0"/>
        <v>16</v>
      </c>
      <c r="N23" s="85">
        <v>45750</v>
      </c>
      <c r="O23" s="85">
        <f t="shared" si="19"/>
        <v>45747</v>
      </c>
      <c r="P23" s="85" t="s">
        <v>4213</v>
      </c>
      <c r="Q23" s="86" t="s">
        <v>4214</v>
      </c>
      <c r="R23" s="53">
        <v>0</v>
      </c>
      <c r="S23" s="87" t="s">
        <v>731</v>
      </c>
      <c r="T23" s="87"/>
      <c r="U23" s="87" t="s">
        <v>493</v>
      </c>
      <c r="V23" s="87" t="s">
        <v>4215</v>
      </c>
      <c r="W23" s="88"/>
      <c r="X23" s="89" t="s">
        <v>4216</v>
      </c>
      <c r="Y23" s="88" t="s">
        <v>734</v>
      </c>
      <c r="Z23" s="90">
        <v>2.5459</v>
      </c>
      <c r="AA23" s="91">
        <f t="shared" si="2"/>
        <v>977.6256</v>
      </c>
      <c r="AB23" s="92">
        <v>384</v>
      </c>
      <c r="AC23" s="93">
        <f t="shared" si="11"/>
        <v>0</v>
      </c>
      <c r="AD23" s="91" t="s">
        <v>106</v>
      </c>
      <c r="AE23" s="94"/>
      <c r="AF23" s="88" t="s">
        <v>107</v>
      </c>
      <c r="AG23" s="95" t="s">
        <v>43</v>
      </c>
      <c r="AH23" s="92"/>
      <c r="AI23" s="92"/>
      <c r="AJ23" s="96"/>
      <c r="AK23" s="96">
        <f t="shared" si="12"/>
        <v>384</v>
      </c>
      <c r="AL23" s="92"/>
      <c r="AM23" s="92"/>
      <c r="AN23" s="97"/>
      <c r="AO23" s="92"/>
      <c r="AP23" s="92"/>
      <c r="AQ23" s="92">
        <f t="shared" si="4"/>
        <v>384</v>
      </c>
      <c r="AR23" s="98"/>
      <c r="AS23" s="98"/>
      <c r="AT23" s="99"/>
      <c r="AU23" s="98"/>
      <c r="AV23" s="100"/>
      <c r="AW23" s="98"/>
      <c r="AX23" s="98"/>
      <c r="AY23" s="98"/>
      <c r="AZ23" s="98"/>
      <c r="BA23" s="98"/>
      <c r="BB23" s="98"/>
      <c r="BC23" s="98"/>
      <c r="BD23" s="98"/>
      <c r="BE23" s="98"/>
      <c r="BF23" s="98"/>
      <c r="BG23" s="98"/>
      <c r="BH23" s="98"/>
      <c r="BI23" s="98"/>
      <c r="BJ23" s="98"/>
      <c r="BK23" s="98"/>
      <c r="BL23" s="98"/>
      <c r="BM23" s="98"/>
      <c r="BN23" s="101" t="s">
        <v>109</v>
      </c>
      <c r="BO23" s="102"/>
      <c r="BP23" s="102">
        <f t="shared" si="20"/>
        <v>384</v>
      </c>
      <c r="BQ23" s="102"/>
      <c r="BR23" s="102"/>
      <c r="BS23" s="103">
        <f t="shared" si="17"/>
        <v>384</v>
      </c>
      <c r="BT23" s="102"/>
      <c r="BU23" s="103">
        <f t="shared" si="6"/>
        <v>384</v>
      </c>
      <c r="BV23" s="103">
        <f t="shared" si="18"/>
        <v>0</v>
      </c>
      <c r="BW23" s="61">
        <f>J23</f>
        <v>384</v>
      </c>
    </row>
    <row r="24" s="18" customFormat="1" ht="40" customHeight="1" spans="1:75">
      <c r="A24" s="77">
        <v>45681</v>
      </c>
      <c r="B24" s="78" t="s">
        <v>489</v>
      </c>
      <c r="C24" s="79" t="s">
        <v>214</v>
      </c>
      <c r="D24" s="80">
        <v>4500156588</v>
      </c>
      <c r="E24" s="79" t="s">
        <v>4219</v>
      </c>
      <c r="F24" s="80" t="s">
        <v>4220</v>
      </c>
      <c r="G24" s="81" t="s">
        <v>451</v>
      </c>
      <c r="H24" s="82" t="s">
        <v>159</v>
      </c>
      <c r="I24" s="82" t="s">
        <v>99</v>
      </c>
      <c r="J24" s="83">
        <v>264</v>
      </c>
      <c r="K24" s="84">
        <v>0</v>
      </c>
      <c r="L24" s="84">
        <v>24</v>
      </c>
      <c r="M24" s="84">
        <f t="shared" si="0"/>
        <v>11</v>
      </c>
      <c r="N24" s="85">
        <v>45750</v>
      </c>
      <c r="O24" s="85">
        <f t="shared" si="19"/>
        <v>45747</v>
      </c>
      <c r="P24" s="85" t="s">
        <v>4213</v>
      </c>
      <c r="Q24" s="86" t="s">
        <v>4214</v>
      </c>
      <c r="R24" s="53">
        <v>0</v>
      </c>
      <c r="S24" s="87" t="s">
        <v>731</v>
      </c>
      <c r="T24" s="87"/>
      <c r="U24" s="87" t="s">
        <v>493</v>
      </c>
      <c r="V24" s="87" t="s">
        <v>4215</v>
      </c>
      <c r="W24" s="88"/>
      <c r="X24" s="89" t="s">
        <v>4216</v>
      </c>
      <c r="Y24" s="88" t="s">
        <v>734</v>
      </c>
      <c r="Z24" s="90">
        <v>2.5459</v>
      </c>
      <c r="AA24" s="91">
        <f t="shared" si="2"/>
        <v>672.1176</v>
      </c>
      <c r="AB24" s="92">
        <v>264</v>
      </c>
      <c r="AC24" s="93">
        <f t="shared" si="11"/>
        <v>0</v>
      </c>
      <c r="AD24" s="91" t="s">
        <v>106</v>
      </c>
      <c r="AE24" s="94"/>
      <c r="AF24" s="88" t="s">
        <v>107</v>
      </c>
      <c r="AG24" s="95" t="s">
        <v>43</v>
      </c>
      <c r="AH24" s="92"/>
      <c r="AI24" s="92"/>
      <c r="AJ24" s="96"/>
      <c r="AK24" s="96">
        <f t="shared" si="12"/>
        <v>264</v>
      </c>
      <c r="AL24" s="92"/>
      <c r="AM24" s="92"/>
      <c r="AN24" s="97"/>
      <c r="AO24" s="92"/>
      <c r="AP24" s="92"/>
      <c r="AQ24" s="92">
        <f t="shared" si="4"/>
        <v>264</v>
      </c>
      <c r="AR24" s="98"/>
      <c r="AS24" s="98"/>
      <c r="AT24" s="99"/>
      <c r="AU24" s="98"/>
      <c r="AV24" s="100"/>
      <c r="AW24" s="98"/>
      <c r="AX24" s="98"/>
      <c r="AY24" s="98"/>
      <c r="AZ24" s="98"/>
      <c r="BA24" s="98"/>
      <c r="BB24" s="98"/>
      <c r="BC24" s="98"/>
      <c r="BD24" s="98"/>
      <c r="BE24" s="98"/>
      <c r="BF24" s="98"/>
      <c r="BG24" s="98"/>
      <c r="BH24" s="98"/>
      <c r="BI24" s="98"/>
      <c r="BJ24" s="98"/>
      <c r="BK24" s="98"/>
      <c r="BL24" s="98"/>
      <c r="BM24" s="98"/>
      <c r="BN24" s="101" t="s">
        <v>109</v>
      </c>
      <c r="BO24" s="102"/>
      <c r="BP24" s="102">
        <f t="shared" si="20"/>
        <v>264</v>
      </c>
      <c r="BQ24" s="102"/>
      <c r="BR24" s="102"/>
      <c r="BS24" s="103">
        <f t="shared" si="17"/>
        <v>264</v>
      </c>
      <c r="BT24" s="102"/>
      <c r="BU24" s="103">
        <f t="shared" si="6"/>
        <v>264</v>
      </c>
      <c r="BV24" s="103">
        <f t="shared" si="18"/>
        <v>0</v>
      </c>
      <c r="BW24" s="61">
        <f>J24</f>
        <v>264</v>
      </c>
    </row>
    <row r="25" s="18" customFormat="1" ht="40" customHeight="1" spans="1:75">
      <c r="A25" s="77">
        <v>45681</v>
      </c>
      <c r="B25" s="78" t="s">
        <v>489</v>
      </c>
      <c r="C25" s="79" t="s">
        <v>214</v>
      </c>
      <c r="D25" s="80">
        <v>4500156588</v>
      </c>
      <c r="E25" s="79" t="s">
        <v>4221</v>
      </c>
      <c r="F25" s="80" t="s">
        <v>4222</v>
      </c>
      <c r="G25" s="81" t="s">
        <v>451</v>
      </c>
      <c r="H25" s="82" t="s">
        <v>159</v>
      </c>
      <c r="I25" s="82" t="s">
        <v>99</v>
      </c>
      <c r="J25" s="83">
        <v>864</v>
      </c>
      <c r="K25" s="84">
        <v>0</v>
      </c>
      <c r="L25" s="84">
        <v>24</v>
      </c>
      <c r="M25" s="84">
        <f t="shared" si="0"/>
        <v>36</v>
      </c>
      <c r="N25" s="85">
        <v>45750</v>
      </c>
      <c r="O25" s="85">
        <f t="shared" si="19"/>
        <v>45747</v>
      </c>
      <c r="P25" s="85" t="s">
        <v>4213</v>
      </c>
      <c r="Q25" s="86" t="s">
        <v>4214</v>
      </c>
      <c r="R25" s="53">
        <v>0</v>
      </c>
      <c r="S25" s="87" t="s">
        <v>731</v>
      </c>
      <c r="T25" s="87"/>
      <c r="U25" s="87" t="s">
        <v>493</v>
      </c>
      <c r="V25" s="87" t="s">
        <v>4215</v>
      </c>
      <c r="W25" s="88"/>
      <c r="X25" s="89" t="s">
        <v>4216</v>
      </c>
      <c r="Y25" s="88" t="s">
        <v>734</v>
      </c>
      <c r="Z25" s="90">
        <v>2.5459</v>
      </c>
      <c r="AA25" s="91">
        <f t="shared" si="2"/>
        <v>2199.6576</v>
      </c>
      <c r="AB25" s="92">
        <v>864</v>
      </c>
      <c r="AC25" s="93">
        <f t="shared" si="11"/>
        <v>0</v>
      </c>
      <c r="AD25" s="91" t="s">
        <v>106</v>
      </c>
      <c r="AE25" s="94"/>
      <c r="AF25" s="88" t="s">
        <v>107</v>
      </c>
      <c r="AG25" s="95" t="s">
        <v>43</v>
      </c>
      <c r="AH25" s="92"/>
      <c r="AI25" s="92"/>
      <c r="AJ25" s="96"/>
      <c r="AK25" s="96">
        <f t="shared" si="12"/>
        <v>864</v>
      </c>
      <c r="AL25" s="92"/>
      <c r="AM25" s="92"/>
      <c r="AN25" s="97"/>
      <c r="AO25" s="92"/>
      <c r="AP25" s="92"/>
      <c r="AQ25" s="92">
        <f t="shared" si="4"/>
        <v>864</v>
      </c>
      <c r="AR25" s="98"/>
      <c r="AS25" s="98"/>
      <c r="AT25" s="99"/>
      <c r="AU25" s="98"/>
      <c r="AV25" s="100"/>
      <c r="AW25" s="98"/>
      <c r="AX25" s="98"/>
      <c r="AY25" s="98"/>
      <c r="AZ25" s="98"/>
      <c r="BA25" s="98"/>
      <c r="BB25" s="98"/>
      <c r="BC25" s="98"/>
      <c r="BD25" s="98"/>
      <c r="BE25" s="98"/>
      <c r="BF25" s="98"/>
      <c r="BG25" s="98"/>
      <c r="BH25" s="98"/>
      <c r="BI25" s="98"/>
      <c r="BJ25" s="98"/>
      <c r="BK25" s="98"/>
      <c r="BL25" s="98"/>
      <c r="BM25" s="98"/>
      <c r="BN25" s="101" t="s">
        <v>109</v>
      </c>
      <c r="BO25" s="102"/>
      <c r="BP25" s="102">
        <f t="shared" si="20"/>
        <v>864</v>
      </c>
      <c r="BQ25" s="102"/>
      <c r="BR25" s="102"/>
      <c r="BS25" s="103">
        <f t="shared" si="17"/>
        <v>864</v>
      </c>
      <c r="BT25" s="102"/>
      <c r="BU25" s="103">
        <f t="shared" si="6"/>
        <v>864</v>
      </c>
      <c r="BV25" s="103">
        <f t="shared" si="18"/>
        <v>0</v>
      </c>
      <c r="BW25" s="61">
        <f>J25</f>
        <v>864</v>
      </c>
    </row>
    <row r="26" s="18" customFormat="1" ht="40" customHeight="1" spans="1:75">
      <c r="A26" s="77">
        <v>45681</v>
      </c>
      <c r="B26" s="78" t="s">
        <v>489</v>
      </c>
      <c r="C26" s="79" t="s">
        <v>214</v>
      </c>
      <c r="D26" s="80">
        <v>4500156588</v>
      </c>
      <c r="E26" s="79" t="s">
        <v>4223</v>
      </c>
      <c r="F26" s="80" t="s">
        <v>4224</v>
      </c>
      <c r="G26" s="81" t="s">
        <v>451</v>
      </c>
      <c r="H26" s="82" t="s">
        <v>159</v>
      </c>
      <c r="I26" s="82" t="s">
        <v>99</v>
      </c>
      <c r="J26" s="83">
        <v>312</v>
      </c>
      <c r="K26" s="84">
        <v>0</v>
      </c>
      <c r="L26" s="84">
        <v>24</v>
      </c>
      <c r="M26" s="84">
        <f t="shared" si="0"/>
        <v>13</v>
      </c>
      <c r="N26" s="85">
        <v>45750</v>
      </c>
      <c r="O26" s="85">
        <f t="shared" si="19"/>
        <v>45747</v>
      </c>
      <c r="P26" s="85" t="s">
        <v>4213</v>
      </c>
      <c r="Q26" s="86" t="s">
        <v>4214</v>
      </c>
      <c r="R26" s="53">
        <v>0</v>
      </c>
      <c r="S26" s="87" t="s">
        <v>731</v>
      </c>
      <c r="T26" s="87"/>
      <c r="U26" s="87" t="s">
        <v>493</v>
      </c>
      <c r="V26" s="87" t="s">
        <v>4215</v>
      </c>
      <c r="W26" s="88"/>
      <c r="X26" s="89" t="s">
        <v>4216</v>
      </c>
      <c r="Y26" s="88" t="s">
        <v>734</v>
      </c>
      <c r="Z26" s="90">
        <v>2.5721</v>
      </c>
      <c r="AA26" s="91">
        <f t="shared" si="2"/>
        <v>802.4952</v>
      </c>
      <c r="AB26" s="92">
        <v>312</v>
      </c>
      <c r="AC26" s="93">
        <f t="shared" si="11"/>
        <v>0</v>
      </c>
      <c r="AD26" s="91" t="s">
        <v>123</v>
      </c>
      <c r="AE26" s="94"/>
      <c r="AF26" s="88" t="s">
        <v>107</v>
      </c>
      <c r="AG26" s="95" t="s">
        <v>43</v>
      </c>
      <c r="AH26" s="92"/>
      <c r="AI26" s="92"/>
      <c r="AJ26" s="96"/>
      <c r="AK26" s="96">
        <f t="shared" si="12"/>
        <v>312</v>
      </c>
      <c r="AL26" s="92"/>
      <c r="AM26" s="92"/>
      <c r="AN26" s="97"/>
      <c r="AO26" s="92"/>
      <c r="AP26" s="92"/>
      <c r="AQ26" s="92">
        <f t="shared" si="4"/>
        <v>312</v>
      </c>
      <c r="AR26" s="98"/>
      <c r="AS26" s="98"/>
      <c r="AT26" s="99"/>
      <c r="AU26" s="98"/>
      <c r="AV26" s="100"/>
      <c r="AW26" s="98"/>
      <c r="AX26" s="98"/>
      <c r="AY26" s="98"/>
      <c r="AZ26" s="98"/>
      <c r="BA26" s="98"/>
      <c r="BB26" s="98"/>
      <c r="BC26" s="98"/>
      <c r="BD26" s="98"/>
      <c r="BE26" s="98"/>
      <c r="BF26" s="98"/>
      <c r="BG26" s="98"/>
      <c r="BH26" s="98"/>
      <c r="BI26" s="98"/>
      <c r="BJ26" s="98"/>
      <c r="BK26" s="98"/>
      <c r="BL26" s="98"/>
      <c r="BM26" s="98"/>
      <c r="BN26" s="101" t="s">
        <v>109</v>
      </c>
      <c r="BO26" s="102"/>
      <c r="BP26" s="102">
        <f t="shared" si="20"/>
        <v>312</v>
      </c>
      <c r="BQ26" s="102"/>
      <c r="BR26" s="102"/>
      <c r="BS26" s="103">
        <f t="shared" si="17"/>
        <v>312</v>
      </c>
      <c r="BT26" s="102"/>
      <c r="BU26" s="103">
        <f t="shared" si="6"/>
        <v>312</v>
      </c>
      <c r="BV26" s="103">
        <f t="shared" si="18"/>
        <v>0</v>
      </c>
      <c r="BW26" s="61">
        <f>J26</f>
        <v>312</v>
      </c>
    </row>
    <row r="27" s="19" customFormat="1" ht="40" customHeight="1" spans="1:75">
      <c r="A27" s="104">
        <v>45789</v>
      </c>
      <c r="B27" s="105" t="s">
        <v>1333</v>
      </c>
      <c r="C27" s="106" t="s">
        <v>214</v>
      </c>
      <c r="D27" s="107">
        <v>4500166083</v>
      </c>
      <c r="E27" s="106">
        <v>217111784</v>
      </c>
      <c r="F27" s="107" t="s">
        <v>4225</v>
      </c>
      <c r="G27" s="82" t="s">
        <v>241</v>
      </c>
      <c r="H27" s="106" t="s">
        <v>241</v>
      </c>
      <c r="I27" s="108" t="s">
        <v>99</v>
      </c>
      <c r="J27" s="109">
        <v>528</v>
      </c>
      <c r="K27" s="109">
        <v>0</v>
      </c>
      <c r="L27" s="109">
        <v>11</v>
      </c>
      <c r="M27" s="109">
        <f t="shared" si="0"/>
        <v>48</v>
      </c>
      <c r="N27" s="110">
        <v>45831</v>
      </c>
      <c r="O27" s="110">
        <v>45827</v>
      </c>
      <c r="P27" s="111" t="s">
        <v>4226</v>
      </c>
      <c r="Q27" s="86"/>
      <c r="R27" s="86"/>
      <c r="S27" s="112" t="s">
        <v>1332</v>
      </c>
      <c r="T27" s="111"/>
      <c r="U27" s="112" t="s">
        <v>113</v>
      </c>
      <c r="V27" s="113"/>
      <c r="W27" s="114"/>
      <c r="X27" s="115" t="s">
        <v>4227</v>
      </c>
      <c r="Y27" s="116" t="s">
        <v>1336</v>
      </c>
      <c r="Z27" s="117">
        <v>1.6759</v>
      </c>
      <c r="AA27" s="118">
        <f t="shared" si="2"/>
        <v>884.8752</v>
      </c>
      <c r="AB27" s="119"/>
      <c r="AC27" s="120">
        <f t="shared" si="11"/>
        <v>-528</v>
      </c>
      <c r="AD27" s="118" t="s">
        <v>113</v>
      </c>
      <c r="AE27" s="121"/>
      <c r="AF27" s="122" t="s">
        <v>107</v>
      </c>
      <c r="AG27" s="123" t="s">
        <v>43</v>
      </c>
      <c r="AH27" s="124"/>
      <c r="AI27" s="124"/>
      <c r="AJ27" s="125"/>
      <c r="AK27" s="126">
        <f t="shared" si="12"/>
        <v>528</v>
      </c>
      <c r="AL27" s="124"/>
      <c r="AM27" s="119"/>
      <c r="AN27" s="127"/>
      <c r="AO27" s="124"/>
      <c r="AP27" s="124"/>
      <c r="AQ27" s="119">
        <f t="shared" si="4"/>
        <v>528</v>
      </c>
      <c r="AR27" s="128"/>
      <c r="AS27" s="129"/>
      <c r="AT27" s="130">
        <f>J27/11</f>
        <v>48</v>
      </c>
      <c r="AU27" s="129"/>
      <c r="AV27" s="130"/>
      <c r="AW27" s="129"/>
      <c r="AX27" s="129"/>
      <c r="AY27" s="128"/>
      <c r="AZ27" s="129"/>
      <c r="BA27" s="123"/>
      <c r="BB27" s="129"/>
      <c r="BC27" s="129"/>
      <c r="BD27" s="128"/>
      <c r="BE27" s="128"/>
      <c r="BF27" s="128"/>
      <c r="BG27" s="129"/>
      <c r="BH27" s="128"/>
      <c r="BI27" s="129"/>
      <c r="BJ27" s="128"/>
      <c r="BK27" s="128"/>
      <c r="BL27" s="128"/>
      <c r="BM27" s="128"/>
      <c r="BN27" s="114" t="s">
        <v>109</v>
      </c>
      <c r="BO27" s="131">
        <f>J27/22*5</f>
        <v>120</v>
      </c>
      <c r="BP27" s="131">
        <f>J27/22*6</f>
        <v>144</v>
      </c>
      <c r="BQ27" s="131">
        <f>J27/22*6</f>
        <v>144</v>
      </c>
      <c r="BR27" s="131">
        <f>J27/22*5</f>
        <v>120</v>
      </c>
      <c r="BS27" s="132">
        <f t="shared" si="17"/>
        <v>528</v>
      </c>
      <c r="BT27" s="131">
        <f>J27/11</f>
        <v>48</v>
      </c>
      <c r="BU27" s="132">
        <f t="shared" si="6"/>
        <v>528</v>
      </c>
      <c r="BV27" s="132">
        <f t="shared" si="18"/>
        <v>0</v>
      </c>
    </row>
    <row r="28" s="20" customFormat="1" ht="40" customHeight="1" spans="1:75">
      <c r="A28" s="133">
        <v>45804</v>
      </c>
      <c r="B28" s="134" t="s">
        <v>128</v>
      </c>
      <c r="C28" s="135" t="s">
        <v>129</v>
      </c>
      <c r="D28" s="136">
        <v>4500168127</v>
      </c>
      <c r="E28" s="137" t="s">
        <v>4228</v>
      </c>
      <c r="F28" s="136" t="s">
        <v>4229</v>
      </c>
      <c r="G28" s="138" t="s">
        <v>166</v>
      </c>
      <c r="H28" s="137" t="s">
        <v>159</v>
      </c>
      <c r="I28" s="139" t="s">
        <v>99</v>
      </c>
      <c r="J28" s="140">
        <v>168</v>
      </c>
      <c r="K28" s="141">
        <v>0</v>
      </c>
      <c r="L28" s="141">
        <v>24</v>
      </c>
      <c r="M28" s="141">
        <f t="shared" si="0"/>
        <v>7</v>
      </c>
      <c r="N28" s="142">
        <v>45834</v>
      </c>
      <c r="O28" s="142">
        <v>45831</v>
      </c>
      <c r="P28" s="111" t="s">
        <v>4230</v>
      </c>
      <c r="Q28" s="143" t="s">
        <v>4115</v>
      </c>
      <c r="R28" s="144">
        <f>M28</f>
        <v>7</v>
      </c>
      <c r="S28" s="145"/>
      <c r="T28" s="142"/>
      <c r="U28" s="145" t="s">
        <v>4231</v>
      </c>
      <c r="V28" s="146" t="s">
        <v>4163</v>
      </c>
      <c r="W28" s="147"/>
      <c r="X28" s="148" t="s">
        <v>4232</v>
      </c>
      <c r="Y28" s="141" t="s">
        <v>818</v>
      </c>
      <c r="Z28" s="149">
        <v>2.5135</v>
      </c>
      <c r="AA28" s="150">
        <f t="shared" si="2"/>
        <v>422.268</v>
      </c>
      <c r="AB28" s="151"/>
      <c r="AC28" s="152">
        <f t="shared" si="11"/>
        <v>-168</v>
      </c>
      <c r="AD28" s="150"/>
      <c r="AE28" s="153"/>
      <c r="AF28" s="154" t="s">
        <v>107</v>
      </c>
      <c r="AG28" s="155" t="s">
        <v>43</v>
      </c>
      <c r="AH28" s="156"/>
      <c r="AI28" s="156"/>
      <c r="AJ28" s="157"/>
      <c r="AK28" s="158"/>
      <c r="AL28" s="156"/>
      <c r="AM28" s="151">
        <f t="shared" ref="AM28:AM35" si="21">J28</f>
        <v>168</v>
      </c>
      <c r="AN28" s="159"/>
      <c r="AO28" s="156"/>
      <c r="AP28" s="156"/>
      <c r="AQ28" s="151">
        <f t="shared" si="4"/>
        <v>168</v>
      </c>
      <c r="AR28" s="160"/>
      <c r="AS28" s="161"/>
      <c r="AT28" s="162"/>
      <c r="AU28" s="161"/>
      <c r="AV28" s="162"/>
      <c r="AW28" s="161"/>
      <c r="AX28" s="161"/>
      <c r="AY28" s="160"/>
      <c r="AZ28" s="161"/>
      <c r="BA28" s="155"/>
      <c r="BB28" s="161"/>
      <c r="BC28" s="161"/>
      <c r="BD28" s="160"/>
      <c r="BE28" s="160"/>
      <c r="BF28" s="160"/>
      <c r="BG28" s="161"/>
      <c r="BH28" s="160"/>
      <c r="BI28" s="161"/>
      <c r="BJ28" s="160"/>
      <c r="BK28" s="160"/>
      <c r="BL28" s="160"/>
      <c r="BM28" s="160"/>
      <c r="BN28" s="147" t="s">
        <v>109</v>
      </c>
      <c r="BO28" s="163"/>
      <c r="BP28" s="164">
        <f>J28</f>
        <v>168</v>
      </c>
      <c r="BQ28" s="163"/>
      <c r="BR28" s="163"/>
      <c r="BS28" s="137">
        <f t="shared" si="17"/>
        <v>168</v>
      </c>
      <c r="BT28" s="164"/>
      <c r="BU28" s="137">
        <f t="shared" si="6"/>
        <v>168</v>
      </c>
      <c r="BV28" s="137">
        <f t="shared" si="18"/>
        <v>0</v>
      </c>
    </row>
    <row r="29" s="20" customFormat="1" ht="40" customHeight="1" spans="1:75">
      <c r="A29" s="133">
        <v>45804</v>
      </c>
      <c r="B29" s="134" t="s">
        <v>128</v>
      </c>
      <c r="C29" s="135" t="s">
        <v>129</v>
      </c>
      <c r="D29" s="136">
        <v>4500168127</v>
      </c>
      <c r="E29" s="137" t="s">
        <v>4228</v>
      </c>
      <c r="F29" s="136" t="s">
        <v>4233</v>
      </c>
      <c r="G29" s="139" t="s">
        <v>193</v>
      </c>
      <c r="H29" s="137" t="s">
        <v>132</v>
      </c>
      <c r="I29" s="139" t="s">
        <v>99</v>
      </c>
      <c r="J29" s="140">
        <v>120</v>
      </c>
      <c r="K29" s="141">
        <v>0</v>
      </c>
      <c r="L29" s="141">
        <v>24</v>
      </c>
      <c r="M29" s="141">
        <f t="shared" si="0"/>
        <v>5</v>
      </c>
      <c r="N29" s="142">
        <v>45834</v>
      </c>
      <c r="O29" s="142">
        <v>45831</v>
      </c>
      <c r="P29" s="111" t="s">
        <v>4230</v>
      </c>
      <c r="Q29" s="143" t="s">
        <v>4115</v>
      </c>
      <c r="R29" s="144">
        <f>M29</f>
        <v>5</v>
      </c>
      <c r="S29" s="145"/>
      <c r="T29" s="142"/>
      <c r="U29" s="145" t="s">
        <v>4231</v>
      </c>
      <c r="V29" s="146" t="s">
        <v>4163</v>
      </c>
      <c r="W29" s="147"/>
      <c r="X29" s="148" t="s">
        <v>4234</v>
      </c>
      <c r="Y29" s="141" t="s">
        <v>818</v>
      </c>
      <c r="Z29" s="149">
        <v>2.5135</v>
      </c>
      <c r="AA29" s="150">
        <f t="shared" si="2"/>
        <v>301.62</v>
      </c>
      <c r="AB29" s="151"/>
      <c r="AC29" s="152">
        <f t="shared" si="11"/>
        <v>-120</v>
      </c>
      <c r="AD29" s="150"/>
      <c r="AE29" s="153"/>
      <c r="AF29" s="154" t="s">
        <v>107</v>
      </c>
      <c r="AG29" s="155" t="s">
        <v>43</v>
      </c>
      <c r="AH29" s="156"/>
      <c r="AI29" s="156"/>
      <c r="AJ29" s="157"/>
      <c r="AK29" s="158"/>
      <c r="AL29" s="156"/>
      <c r="AM29" s="151">
        <f t="shared" si="21"/>
        <v>120</v>
      </c>
      <c r="AN29" s="159"/>
      <c r="AO29" s="156"/>
      <c r="AP29" s="156"/>
      <c r="AQ29" s="151">
        <f t="shared" si="4"/>
        <v>120</v>
      </c>
      <c r="AR29" s="160"/>
      <c r="AS29" s="161"/>
      <c r="AT29" s="162"/>
      <c r="AU29" s="161"/>
      <c r="AV29" s="162"/>
      <c r="AW29" s="161"/>
      <c r="AX29" s="161"/>
      <c r="AY29" s="160"/>
      <c r="AZ29" s="161"/>
      <c r="BA29" s="155"/>
      <c r="BB29" s="161"/>
      <c r="BC29" s="161"/>
      <c r="BD29" s="160"/>
      <c r="BE29" s="160"/>
      <c r="BF29" s="160"/>
      <c r="BG29" s="161"/>
      <c r="BH29" s="160"/>
      <c r="BI29" s="161"/>
      <c r="BJ29" s="160"/>
      <c r="BK29" s="160"/>
      <c r="BL29" s="160"/>
      <c r="BM29" s="160"/>
      <c r="BN29" s="147" t="s">
        <v>109</v>
      </c>
      <c r="BO29" s="164">
        <f>J29</f>
        <v>120</v>
      </c>
      <c r="BP29" s="163"/>
      <c r="BQ29" s="163"/>
      <c r="BR29" s="163"/>
      <c r="BS29" s="137">
        <f t="shared" si="17"/>
        <v>120</v>
      </c>
      <c r="BT29" s="165"/>
      <c r="BU29" s="137">
        <f t="shared" si="6"/>
        <v>120</v>
      </c>
      <c r="BV29" s="137">
        <f t="shared" si="18"/>
        <v>0</v>
      </c>
    </row>
    <row r="30" s="20" customFormat="1" ht="40" customHeight="1" spans="1:75">
      <c r="A30" s="133">
        <v>45812</v>
      </c>
      <c r="B30" s="134" t="s">
        <v>128</v>
      </c>
      <c r="C30" s="166" t="s">
        <v>129</v>
      </c>
      <c r="D30" s="136">
        <v>4500168867</v>
      </c>
      <c r="E30" s="137" t="s">
        <v>4235</v>
      </c>
      <c r="F30" s="136" t="s">
        <v>4236</v>
      </c>
      <c r="G30" s="167"/>
      <c r="H30" s="139" t="s">
        <v>159</v>
      </c>
      <c r="I30" s="139" t="s">
        <v>99</v>
      </c>
      <c r="J30" s="140">
        <v>72</v>
      </c>
      <c r="K30" s="141">
        <v>0</v>
      </c>
      <c r="L30" s="141">
        <v>24</v>
      </c>
      <c r="M30" s="141">
        <f t="shared" si="0"/>
        <v>3</v>
      </c>
      <c r="N30" s="142">
        <v>45847</v>
      </c>
      <c r="O30" s="142">
        <v>45843</v>
      </c>
      <c r="P30" s="111" t="s">
        <v>4230</v>
      </c>
      <c r="Q30" s="143" t="s">
        <v>4237</v>
      </c>
      <c r="R30" s="143"/>
      <c r="S30" s="145"/>
      <c r="T30" s="142"/>
      <c r="U30" s="145" t="s">
        <v>4231</v>
      </c>
      <c r="V30" s="145" t="s">
        <v>4163</v>
      </c>
      <c r="W30" s="147"/>
      <c r="X30" s="168" t="s">
        <v>4238</v>
      </c>
      <c r="Y30" s="154" t="s">
        <v>818</v>
      </c>
      <c r="Z30" s="149">
        <v>2.5135</v>
      </c>
      <c r="AA30" s="150">
        <f t="shared" si="2"/>
        <v>180.972</v>
      </c>
      <c r="AB30" s="151"/>
      <c r="AC30" s="152"/>
      <c r="AD30" s="150"/>
      <c r="AE30" s="153"/>
      <c r="AF30" s="154"/>
      <c r="AG30" s="155"/>
      <c r="AH30" s="156"/>
      <c r="AI30" s="156"/>
      <c r="AJ30" s="157"/>
      <c r="AK30" s="158"/>
      <c r="AL30" s="156"/>
      <c r="AM30" s="151">
        <f t="shared" si="21"/>
        <v>72</v>
      </c>
      <c r="AN30" s="159"/>
      <c r="AO30" s="156"/>
      <c r="AP30" s="156"/>
      <c r="AQ30" s="151">
        <f t="shared" si="4"/>
        <v>72</v>
      </c>
      <c r="AR30" s="160"/>
      <c r="AS30" s="161"/>
      <c r="AT30" s="162"/>
      <c r="AU30" s="161"/>
      <c r="AV30" s="162"/>
      <c r="AW30" s="161"/>
      <c r="AX30" s="161"/>
      <c r="AY30" s="160"/>
      <c r="AZ30" s="161"/>
      <c r="BA30" s="160"/>
      <c r="BB30" s="161"/>
      <c r="BC30" s="161"/>
      <c r="BD30" s="160"/>
      <c r="BE30" s="160"/>
      <c r="BF30" s="160"/>
      <c r="BG30" s="161"/>
      <c r="BH30" s="160"/>
      <c r="BI30" s="161"/>
      <c r="BJ30" s="160"/>
      <c r="BK30" s="160"/>
      <c r="BL30" s="160"/>
      <c r="BM30" s="160"/>
      <c r="BN30" s="147"/>
      <c r="BO30" s="164"/>
      <c r="BP30" s="164">
        <f>J30</f>
        <v>72</v>
      </c>
      <c r="BQ30" s="163"/>
      <c r="BR30" s="163"/>
      <c r="BS30" s="137">
        <f t="shared" si="17"/>
        <v>72</v>
      </c>
      <c r="BT30" s="164"/>
      <c r="BU30" s="137">
        <f t="shared" si="6"/>
        <v>72</v>
      </c>
      <c r="BV30" s="137">
        <f t="shared" si="18"/>
        <v>0</v>
      </c>
    </row>
    <row r="31" s="21" customFormat="1" ht="40" customHeight="1" spans="1:75">
      <c r="A31" s="169">
        <v>45819</v>
      </c>
      <c r="B31" s="170" t="s">
        <v>177</v>
      </c>
      <c r="C31" s="171" t="s">
        <v>178</v>
      </c>
      <c r="D31" s="172">
        <v>4500169697</v>
      </c>
      <c r="E31" s="173" t="s">
        <v>4239</v>
      </c>
      <c r="F31" s="174" t="s">
        <v>4240</v>
      </c>
      <c r="G31" s="175"/>
      <c r="H31" s="176" t="s">
        <v>189</v>
      </c>
      <c r="I31" s="176" t="s">
        <v>99</v>
      </c>
      <c r="J31" s="177">
        <v>72</v>
      </c>
      <c r="K31" s="177">
        <v>0</v>
      </c>
      <c r="L31" s="177">
        <v>24</v>
      </c>
      <c r="M31" s="177">
        <v>3</v>
      </c>
      <c r="N31" s="178">
        <v>45855</v>
      </c>
      <c r="O31" s="178">
        <f>N31-3</f>
        <v>45852</v>
      </c>
      <c r="P31" s="142" t="s">
        <v>4241</v>
      </c>
      <c r="Q31" s="143" t="s">
        <v>4237</v>
      </c>
      <c r="R31" s="179"/>
      <c r="S31" s="180" t="s">
        <v>1562</v>
      </c>
      <c r="T31" s="178"/>
      <c r="U31" s="180" t="s">
        <v>493</v>
      </c>
      <c r="V31" s="180" t="s">
        <v>3731</v>
      </c>
      <c r="W31" s="181"/>
      <c r="X31" s="182" t="s">
        <v>1564</v>
      </c>
      <c r="Y31" s="183" t="s">
        <v>734</v>
      </c>
      <c r="Z31" s="184">
        <v>2.4879</v>
      </c>
      <c r="AA31" s="185">
        <f t="shared" si="2"/>
        <v>179.1288</v>
      </c>
      <c r="AB31" s="186"/>
      <c r="AC31" s="187">
        <f t="shared" ref="AC31:AC41" si="22">AB31-J31</f>
        <v>-72</v>
      </c>
      <c r="AD31" s="185"/>
      <c r="AE31" s="183"/>
      <c r="AF31" s="188"/>
      <c r="AG31" s="189"/>
      <c r="AH31" s="190"/>
      <c r="AI31" s="190"/>
      <c r="AJ31" s="191"/>
      <c r="AK31" s="192"/>
      <c r="AL31" s="190"/>
      <c r="AM31" s="186">
        <f t="shared" si="21"/>
        <v>72</v>
      </c>
      <c r="AN31" s="193"/>
      <c r="AO31" s="190"/>
      <c r="AP31" s="190"/>
      <c r="AQ31" s="186">
        <f t="shared" si="4"/>
        <v>72</v>
      </c>
      <c r="AR31" s="186"/>
      <c r="AS31" s="194"/>
      <c r="AT31" s="195"/>
      <c r="AU31" s="196"/>
      <c r="AV31" s="195"/>
      <c r="AW31" s="196"/>
      <c r="AX31" s="195"/>
      <c r="AY31" s="195"/>
      <c r="AZ31" s="194"/>
      <c r="BA31" s="195"/>
      <c r="BB31" s="188"/>
      <c r="BC31" s="195"/>
      <c r="BD31" s="195"/>
      <c r="BE31" s="194"/>
      <c r="BF31" s="194"/>
      <c r="BG31" s="194"/>
      <c r="BH31" s="195"/>
      <c r="BI31" s="194"/>
      <c r="BJ31" s="195"/>
      <c r="BK31" s="194"/>
      <c r="BL31" s="194"/>
      <c r="BM31" s="194"/>
      <c r="BN31" s="194"/>
      <c r="BO31" s="181" t="s">
        <v>109</v>
      </c>
      <c r="BP31" s="197"/>
      <c r="BQ31" s="197"/>
      <c r="BR31" s="197"/>
      <c r="BS31" s="198">
        <f t="shared" si="17"/>
        <v>72</v>
      </c>
      <c r="BT31" s="173">
        <f t="shared" ref="BT31:BT41" si="23">J31</f>
        <v>72</v>
      </c>
      <c r="BU31" s="198"/>
      <c r="BV31" s="173">
        <f t="shared" ref="BV31:BV41" si="24">SUM(BP31:BS31)</f>
        <v>72</v>
      </c>
      <c r="BW31" s="173">
        <f t="shared" ref="BW31:BW41" si="25">J31-BV31</f>
        <v>0</v>
      </c>
    </row>
    <row r="32" s="21" customFormat="1" ht="40" customHeight="1" spans="1:75">
      <c r="A32" s="169">
        <v>45819</v>
      </c>
      <c r="B32" s="170" t="s">
        <v>177</v>
      </c>
      <c r="C32" s="171" t="s">
        <v>178</v>
      </c>
      <c r="D32" s="172">
        <v>4500169697</v>
      </c>
      <c r="E32" s="173" t="s">
        <v>4242</v>
      </c>
      <c r="F32" s="174" t="s">
        <v>4243</v>
      </c>
      <c r="G32" s="175"/>
      <c r="H32" s="176" t="s">
        <v>189</v>
      </c>
      <c r="I32" s="176" t="s">
        <v>99</v>
      </c>
      <c r="J32" s="177">
        <v>72</v>
      </c>
      <c r="K32" s="177">
        <v>0</v>
      </c>
      <c r="L32" s="177">
        <v>24</v>
      </c>
      <c r="M32" s="177">
        <v>3</v>
      </c>
      <c r="N32" s="178">
        <v>45855</v>
      </c>
      <c r="O32" s="178">
        <f>N32-3</f>
        <v>45852</v>
      </c>
      <c r="P32" s="142" t="s">
        <v>4241</v>
      </c>
      <c r="Q32" s="143" t="s">
        <v>4237</v>
      </c>
      <c r="R32" s="179"/>
      <c r="S32" s="180" t="s">
        <v>1562</v>
      </c>
      <c r="T32" s="178"/>
      <c r="U32" s="180" t="s">
        <v>493</v>
      </c>
      <c r="V32" s="180" t="s">
        <v>3731</v>
      </c>
      <c r="W32" s="181"/>
      <c r="X32" s="182" t="s">
        <v>1564</v>
      </c>
      <c r="Y32" s="183" t="s">
        <v>734</v>
      </c>
      <c r="Z32" s="184">
        <v>2.4879</v>
      </c>
      <c r="AA32" s="185">
        <f t="shared" si="2"/>
        <v>179.1288</v>
      </c>
      <c r="AB32" s="186"/>
      <c r="AC32" s="187">
        <f t="shared" si="22"/>
        <v>-72</v>
      </c>
      <c r="AD32" s="185"/>
      <c r="AE32" s="183"/>
      <c r="AF32" s="188"/>
      <c r="AG32" s="189"/>
      <c r="AH32" s="190"/>
      <c r="AI32" s="190"/>
      <c r="AJ32" s="191"/>
      <c r="AK32" s="192"/>
      <c r="AL32" s="190"/>
      <c r="AM32" s="186">
        <f t="shared" si="21"/>
        <v>72</v>
      </c>
      <c r="AN32" s="193"/>
      <c r="AO32" s="190"/>
      <c r="AP32" s="190"/>
      <c r="AQ32" s="186">
        <f t="shared" si="4"/>
        <v>72</v>
      </c>
      <c r="AR32" s="186"/>
      <c r="AS32" s="194"/>
      <c r="AT32" s="195"/>
      <c r="AU32" s="196"/>
      <c r="AV32" s="195"/>
      <c r="AW32" s="196"/>
      <c r="AX32" s="195"/>
      <c r="AY32" s="195"/>
      <c r="AZ32" s="194"/>
      <c r="BA32" s="195"/>
      <c r="BB32" s="188"/>
      <c r="BC32" s="195"/>
      <c r="BD32" s="195"/>
      <c r="BE32" s="194"/>
      <c r="BF32" s="194"/>
      <c r="BG32" s="194"/>
      <c r="BH32" s="195"/>
      <c r="BI32" s="194"/>
      <c r="BJ32" s="195"/>
      <c r="BK32" s="194"/>
      <c r="BL32" s="194"/>
      <c r="BM32" s="194"/>
      <c r="BN32" s="194"/>
      <c r="BO32" s="181" t="s">
        <v>109</v>
      </c>
      <c r="BP32" s="197"/>
      <c r="BQ32" s="197"/>
      <c r="BR32" s="197"/>
      <c r="BS32" s="198">
        <f t="shared" si="17"/>
        <v>72</v>
      </c>
      <c r="BT32" s="173">
        <f t="shared" si="23"/>
        <v>72</v>
      </c>
      <c r="BU32" s="198"/>
      <c r="BV32" s="173">
        <f t="shared" si="24"/>
        <v>72</v>
      </c>
      <c r="BW32" s="173">
        <f t="shared" si="25"/>
        <v>0</v>
      </c>
    </row>
    <row r="33" s="21" customFormat="1" ht="40" customHeight="1" spans="1:82">
      <c r="A33" s="169">
        <v>45824</v>
      </c>
      <c r="B33" s="170" t="s">
        <v>1587</v>
      </c>
      <c r="C33" s="171" t="s">
        <v>178</v>
      </c>
      <c r="D33" s="172">
        <v>4500170130</v>
      </c>
      <c r="E33" s="173" t="s">
        <v>4244</v>
      </c>
      <c r="F33" s="174" t="s">
        <v>4245</v>
      </c>
      <c r="G33" s="176"/>
      <c r="H33" s="176" t="s">
        <v>189</v>
      </c>
      <c r="I33" s="176" t="s">
        <v>99</v>
      </c>
      <c r="J33" s="199">
        <v>48</v>
      </c>
      <c r="K33" s="199">
        <v>0</v>
      </c>
      <c r="L33" s="199">
        <v>24</v>
      </c>
      <c r="M33" s="177">
        <f t="shared" ref="M33:M43" si="26">J33/L33</f>
        <v>2</v>
      </c>
      <c r="N33" s="178">
        <v>45859</v>
      </c>
      <c r="O33" s="178">
        <v>45855</v>
      </c>
      <c r="P33" s="142" t="s">
        <v>4246</v>
      </c>
      <c r="Q33" s="143" t="s">
        <v>4237</v>
      </c>
      <c r="R33" s="179"/>
      <c r="S33" s="180" t="s">
        <v>1562</v>
      </c>
      <c r="T33" s="178"/>
      <c r="U33" s="180" t="s">
        <v>493</v>
      </c>
      <c r="V33" s="180" t="s">
        <v>3731</v>
      </c>
      <c r="W33" s="181"/>
      <c r="X33" s="182" t="s">
        <v>1663</v>
      </c>
      <c r="Y33" s="183" t="s">
        <v>734</v>
      </c>
      <c r="Z33" s="200">
        <v>2.5135</v>
      </c>
      <c r="AA33" s="185">
        <f>Z33*取消订单!J33</f>
        <v>120.648</v>
      </c>
      <c r="AB33" s="186"/>
      <c r="AC33" s="187">
        <f t="shared" si="22"/>
        <v>-48</v>
      </c>
      <c r="AD33" s="185"/>
      <c r="AE33" s="183"/>
      <c r="AF33" s="188"/>
      <c r="AG33" s="189"/>
      <c r="AH33" s="190"/>
      <c r="AI33" s="190"/>
      <c r="AJ33" s="191"/>
      <c r="AK33" s="192"/>
      <c r="AL33" s="190"/>
      <c r="AM33" s="186">
        <f t="shared" si="21"/>
        <v>48</v>
      </c>
      <c r="AN33" s="193"/>
      <c r="AO33" s="190"/>
      <c r="AP33" s="190"/>
      <c r="AQ33" s="186">
        <f t="shared" si="4"/>
        <v>48</v>
      </c>
      <c r="AR33" s="186"/>
      <c r="AS33" s="194"/>
      <c r="AT33" s="195"/>
      <c r="AU33" s="196"/>
      <c r="AV33" s="195"/>
      <c r="AW33" s="196"/>
      <c r="AX33" s="195"/>
      <c r="AY33" s="195"/>
      <c r="AZ33" s="194"/>
      <c r="BA33" s="195"/>
      <c r="BB33" s="188"/>
      <c r="BC33" s="195"/>
      <c r="BD33" s="195"/>
      <c r="BE33" s="194"/>
      <c r="BF33" s="194"/>
      <c r="BG33" s="194"/>
      <c r="BH33" s="195"/>
      <c r="BI33" s="194"/>
      <c r="BJ33" s="195"/>
      <c r="BK33" s="194"/>
      <c r="BL33" s="194"/>
      <c r="BM33" s="194"/>
      <c r="BN33" s="194"/>
      <c r="BO33" s="181" t="s">
        <v>109</v>
      </c>
      <c r="BP33" s="198"/>
      <c r="BQ33" s="198"/>
      <c r="BR33" s="198"/>
      <c r="BS33" s="198">
        <f t="shared" si="17"/>
        <v>48</v>
      </c>
      <c r="BT33" s="173">
        <f t="shared" si="23"/>
        <v>48</v>
      </c>
      <c r="BU33" s="198"/>
      <c r="BV33" s="173">
        <f t="shared" si="24"/>
        <v>48</v>
      </c>
      <c r="BW33" s="173">
        <f t="shared" si="25"/>
        <v>0</v>
      </c>
    </row>
    <row r="34" s="21" customFormat="1" ht="40" customHeight="1" spans="1:82">
      <c r="A34" s="169">
        <v>45824</v>
      </c>
      <c r="B34" s="170" t="s">
        <v>1587</v>
      </c>
      <c r="C34" s="171" t="s">
        <v>178</v>
      </c>
      <c r="D34" s="172">
        <v>4500170130</v>
      </c>
      <c r="E34" s="173" t="s">
        <v>4247</v>
      </c>
      <c r="F34" s="174" t="s">
        <v>4248</v>
      </c>
      <c r="G34" s="176"/>
      <c r="H34" s="176" t="s">
        <v>189</v>
      </c>
      <c r="I34" s="176" t="s">
        <v>99</v>
      </c>
      <c r="J34" s="199">
        <v>48</v>
      </c>
      <c r="K34" s="199">
        <v>0</v>
      </c>
      <c r="L34" s="199">
        <v>24</v>
      </c>
      <c r="M34" s="177">
        <f t="shared" si="26"/>
        <v>2</v>
      </c>
      <c r="N34" s="178">
        <v>45859</v>
      </c>
      <c r="O34" s="178">
        <v>45855</v>
      </c>
      <c r="P34" s="142" t="s">
        <v>4246</v>
      </c>
      <c r="Q34" s="143" t="s">
        <v>4237</v>
      </c>
      <c r="R34" s="179"/>
      <c r="S34" s="180" t="s">
        <v>1562</v>
      </c>
      <c r="T34" s="178"/>
      <c r="U34" s="180" t="s">
        <v>493</v>
      </c>
      <c r="V34" s="180" t="s">
        <v>3731</v>
      </c>
      <c r="W34" s="181"/>
      <c r="X34" s="182" t="s">
        <v>1663</v>
      </c>
      <c r="Y34" s="183" t="s">
        <v>734</v>
      </c>
      <c r="Z34" s="200">
        <v>2.5135</v>
      </c>
      <c r="AA34" s="185">
        <f>Z34*取消订单!J34</f>
        <v>120.648</v>
      </c>
      <c r="AB34" s="186"/>
      <c r="AC34" s="187">
        <f t="shared" si="22"/>
        <v>-48</v>
      </c>
      <c r="AD34" s="185"/>
      <c r="AE34" s="183"/>
      <c r="AF34" s="188"/>
      <c r="AG34" s="189"/>
      <c r="AH34" s="190"/>
      <c r="AI34" s="190"/>
      <c r="AJ34" s="191"/>
      <c r="AK34" s="192"/>
      <c r="AL34" s="190"/>
      <c r="AM34" s="186">
        <f t="shared" si="21"/>
        <v>48</v>
      </c>
      <c r="AN34" s="193"/>
      <c r="AO34" s="190"/>
      <c r="AP34" s="190"/>
      <c r="AQ34" s="186">
        <f t="shared" si="4"/>
        <v>48</v>
      </c>
      <c r="AR34" s="186"/>
      <c r="AS34" s="194"/>
      <c r="AT34" s="195"/>
      <c r="AU34" s="196"/>
      <c r="AV34" s="195"/>
      <c r="AW34" s="196"/>
      <c r="AX34" s="195"/>
      <c r="AY34" s="195"/>
      <c r="AZ34" s="194"/>
      <c r="BA34" s="195"/>
      <c r="BB34" s="188"/>
      <c r="BC34" s="195"/>
      <c r="BD34" s="195"/>
      <c r="BE34" s="194"/>
      <c r="BF34" s="194"/>
      <c r="BG34" s="194"/>
      <c r="BH34" s="195"/>
      <c r="BI34" s="194"/>
      <c r="BJ34" s="195"/>
      <c r="BK34" s="194"/>
      <c r="BL34" s="194"/>
      <c r="BM34" s="194"/>
      <c r="BN34" s="194"/>
      <c r="BO34" s="181" t="s">
        <v>109</v>
      </c>
      <c r="BP34" s="198"/>
      <c r="BQ34" s="198"/>
      <c r="BR34" s="198"/>
      <c r="BS34" s="198">
        <f t="shared" si="17"/>
        <v>48</v>
      </c>
      <c r="BT34" s="173">
        <f t="shared" si="23"/>
        <v>48</v>
      </c>
      <c r="BU34" s="198"/>
      <c r="BV34" s="173">
        <f t="shared" si="24"/>
        <v>48</v>
      </c>
      <c r="BW34" s="173">
        <f t="shared" si="25"/>
        <v>0</v>
      </c>
    </row>
    <row r="35" s="20" customFormat="1" ht="40" customHeight="1" spans="1:82">
      <c r="A35" s="133">
        <v>45798</v>
      </c>
      <c r="B35" s="134" t="s">
        <v>177</v>
      </c>
      <c r="C35" s="135" t="s">
        <v>178</v>
      </c>
      <c r="D35" s="107">
        <v>4500167361</v>
      </c>
      <c r="E35" s="137" t="s">
        <v>4249</v>
      </c>
      <c r="F35" s="136" t="s">
        <v>4250</v>
      </c>
      <c r="G35" s="167" t="s">
        <v>190</v>
      </c>
      <c r="H35" s="137" t="s">
        <v>189</v>
      </c>
      <c r="I35" s="139" t="s">
        <v>99</v>
      </c>
      <c r="J35" s="140">
        <v>72</v>
      </c>
      <c r="K35" s="141">
        <v>0</v>
      </c>
      <c r="L35" s="141">
        <v>24</v>
      </c>
      <c r="M35" s="141">
        <f t="shared" si="26"/>
        <v>3</v>
      </c>
      <c r="N35" s="142">
        <v>45834</v>
      </c>
      <c r="O35" s="142">
        <v>45831</v>
      </c>
      <c r="P35" s="201" t="s">
        <v>4241</v>
      </c>
      <c r="Q35" s="143" t="s">
        <v>4237</v>
      </c>
      <c r="R35" s="143"/>
      <c r="S35" s="145" t="s">
        <v>1332</v>
      </c>
      <c r="T35" s="142"/>
      <c r="U35" s="145" t="s">
        <v>493</v>
      </c>
      <c r="V35" s="146" t="s">
        <v>1377</v>
      </c>
      <c r="W35" s="147"/>
      <c r="X35" s="148" t="s">
        <v>1378</v>
      </c>
      <c r="Y35" s="141" t="s">
        <v>734</v>
      </c>
      <c r="Z35" s="149">
        <v>2.4879</v>
      </c>
      <c r="AA35" s="150">
        <f t="shared" ref="AA35:AA42" si="27">J35*Z35</f>
        <v>179.1288</v>
      </c>
      <c r="AB35" s="151"/>
      <c r="AC35" s="152">
        <f t="shared" si="22"/>
        <v>-72</v>
      </c>
      <c r="AD35" s="150" t="s">
        <v>106</v>
      </c>
      <c r="AE35" s="154" t="s">
        <v>107</v>
      </c>
      <c r="AF35" s="155" t="s">
        <v>43</v>
      </c>
      <c r="AG35" s="153"/>
      <c r="AH35" s="156"/>
      <c r="AI35" s="156"/>
      <c r="AJ35" s="157"/>
      <c r="AK35" s="158"/>
      <c r="AL35" s="156"/>
      <c r="AM35" s="151">
        <f t="shared" si="21"/>
        <v>72</v>
      </c>
      <c r="AN35" s="159"/>
      <c r="AO35" s="156"/>
      <c r="AP35" s="156"/>
      <c r="AQ35" s="151">
        <f t="shared" si="4"/>
        <v>72</v>
      </c>
      <c r="AR35" s="151"/>
      <c r="AS35" s="160"/>
      <c r="AT35" s="161"/>
      <c r="AU35" s="162"/>
      <c r="AV35" s="161"/>
      <c r="AW35" s="162"/>
      <c r="AX35" s="161"/>
      <c r="AY35" s="161"/>
      <c r="AZ35" s="160"/>
      <c r="BA35" s="161"/>
      <c r="BB35" s="155"/>
      <c r="BC35" s="161"/>
      <c r="BD35" s="161"/>
      <c r="BE35" s="160"/>
      <c r="BF35" s="160"/>
      <c r="BG35" s="160"/>
      <c r="BH35" s="161"/>
      <c r="BI35" s="160"/>
      <c r="BJ35" s="161"/>
      <c r="BK35" s="160"/>
      <c r="BL35" s="160"/>
      <c r="BM35" s="160"/>
      <c r="BN35" s="160"/>
      <c r="BO35" s="147" t="s">
        <v>109</v>
      </c>
      <c r="BP35" s="163"/>
      <c r="BQ35" s="163"/>
      <c r="BR35" s="163"/>
      <c r="BS35" s="164">
        <f t="shared" si="17"/>
        <v>72</v>
      </c>
      <c r="BT35" s="137">
        <f t="shared" si="23"/>
        <v>72</v>
      </c>
      <c r="BU35" s="164"/>
      <c r="BV35" s="137">
        <f t="shared" si="24"/>
        <v>72</v>
      </c>
      <c r="BW35" s="137">
        <f t="shared" si="25"/>
        <v>0</v>
      </c>
    </row>
    <row r="36" s="20" customFormat="1" ht="40" customHeight="1" spans="1:82">
      <c r="A36" s="133">
        <v>45611</v>
      </c>
      <c r="B36" s="134" t="s">
        <v>94</v>
      </c>
      <c r="C36" s="166" t="s">
        <v>205</v>
      </c>
      <c r="D36" s="107">
        <v>4500151414</v>
      </c>
      <c r="E36" s="137" t="s">
        <v>116</v>
      </c>
      <c r="F36" s="136" t="s">
        <v>4251</v>
      </c>
      <c r="G36" s="202" t="s">
        <v>98</v>
      </c>
      <c r="H36" s="139" t="s">
        <v>98</v>
      </c>
      <c r="I36" s="203" t="s">
        <v>99</v>
      </c>
      <c r="J36" s="140">
        <v>1824</v>
      </c>
      <c r="K36" s="140">
        <v>0</v>
      </c>
      <c r="L36" s="140">
        <v>24</v>
      </c>
      <c r="M36" s="141">
        <f t="shared" si="26"/>
        <v>76</v>
      </c>
      <c r="N36" s="142">
        <v>45847</v>
      </c>
      <c r="O36" s="142">
        <v>45843</v>
      </c>
      <c r="P36" s="142" t="s">
        <v>4252</v>
      </c>
      <c r="Q36" s="143" t="s">
        <v>4237</v>
      </c>
      <c r="R36" s="143"/>
      <c r="S36" s="145" t="s">
        <v>270</v>
      </c>
      <c r="T36" s="142"/>
      <c r="U36" s="145" t="s">
        <v>4253</v>
      </c>
      <c r="V36" s="204"/>
      <c r="W36" s="147" t="s">
        <v>210</v>
      </c>
      <c r="X36" s="168" t="s">
        <v>4254</v>
      </c>
      <c r="Y36" s="154" t="s">
        <v>105</v>
      </c>
      <c r="Z36" s="205">
        <v>2.5721</v>
      </c>
      <c r="AA36" s="150">
        <f t="shared" si="27"/>
        <v>4691.5104</v>
      </c>
      <c r="AB36" s="151"/>
      <c r="AC36" s="152">
        <f t="shared" si="22"/>
        <v>-1824</v>
      </c>
      <c r="AD36" s="150" t="s">
        <v>123</v>
      </c>
      <c r="AE36" s="154" t="s">
        <v>107</v>
      </c>
      <c r="AF36" s="155" t="s">
        <v>43</v>
      </c>
      <c r="AG36" s="153"/>
      <c r="AH36" s="190"/>
      <c r="AI36" s="190"/>
      <c r="AJ36" s="191"/>
      <c r="AK36" s="158">
        <f t="shared" ref="AK36:AK41" si="28">J36</f>
        <v>1824</v>
      </c>
      <c r="AL36" s="190"/>
      <c r="AM36" s="151"/>
      <c r="AN36" s="159"/>
      <c r="AO36" s="190"/>
      <c r="AP36" s="190"/>
      <c r="AQ36" s="151">
        <f t="shared" si="4"/>
        <v>1824</v>
      </c>
      <c r="AR36" s="151"/>
      <c r="AS36" s="160"/>
      <c r="AT36" s="195"/>
      <c r="AU36" s="162"/>
      <c r="AV36" s="195"/>
      <c r="AW36" s="162"/>
      <c r="AX36" s="195"/>
      <c r="AY36" s="195"/>
      <c r="AZ36" s="160"/>
      <c r="BA36" s="195"/>
      <c r="BB36" s="155"/>
      <c r="BC36" s="195"/>
      <c r="BD36" s="195"/>
      <c r="BE36" s="160"/>
      <c r="BF36" s="160"/>
      <c r="BG36" s="160"/>
      <c r="BH36" s="195"/>
      <c r="BI36" s="160"/>
      <c r="BJ36" s="195"/>
      <c r="BK36" s="160"/>
      <c r="BL36" s="160"/>
      <c r="BM36" s="160"/>
      <c r="BN36" s="160"/>
      <c r="BO36" s="147" t="s">
        <v>109</v>
      </c>
      <c r="BP36" s="163">
        <f t="shared" ref="BP36:BP41" si="29">J36/4</f>
        <v>456</v>
      </c>
      <c r="BQ36" s="163">
        <f t="shared" ref="BQ36:BQ41" si="30">J36/4</f>
        <v>456</v>
      </c>
      <c r="BR36" s="163">
        <f t="shared" ref="BR36:BR41" si="31">J36/4</f>
        <v>456</v>
      </c>
      <c r="BS36" s="163">
        <f t="shared" ref="BS36:BS41" si="32">J36/4</f>
        <v>456</v>
      </c>
      <c r="BT36" s="137">
        <f t="shared" si="23"/>
        <v>1824</v>
      </c>
      <c r="BU36" s="137"/>
      <c r="BV36" s="137">
        <f t="shared" si="24"/>
        <v>1824</v>
      </c>
      <c r="BW36" s="137">
        <f t="shared" si="25"/>
        <v>0</v>
      </c>
    </row>
    <row r="37" s="20" customFormat="1" ht="40" customHeight="1" spans="1:82">
      <c r="A37" s="133">
        <v>45611</v>
      </c>
      <c r="B37" s="134" t="s">
        <v>94</v>
      </c>
      <c r="C37" s="166" t="s">
        <v>205</v>
      </c>
      <c r="D37" s="107">
        <v>4500151414</v>
      </c>
      <c r="E37" s="137" t="s">
        <v>125</v>
      </c>
      <c r="F37" s="136" t="s">
        <v>4255</v>
      </c>
      <c r="G37" s="202" t="s">
        <v>98</v>
      </c>
      <c r="H37" s="139" t="s">
        <v>98</v>
      </c>
      <c r="I37" s="203" t="s">
        <v>99</v>
      </c>
      <c r="J37" s="140">
        <v>792</v>
      </c>
      <c r="K37" s="140">
        <v>0</v>
      </c>
      <c r="L37" s="140">
        <v>24</v>
      </c>
      <c r="M37" s="141">
        <f t="shared" si="26"/>
        <v>33</v>
      </c>
      <c r="N37" s="142">
        <v>45847</v>
      </c>
      <c r="O37" s="142">
        <v>45843</v>
      </c>
      <c r="P37" s="142" t="s">
        <v>4252</v>
      </c>
      <c r="Q37" s="143" t="s">
        <v>4237</v>
      </c>
      <c r="R37" s="143"/>
      <c r="S37" s="145" t="s">
        <v>270</v>
      </c>
      <c r="T37" s="142"/>
      <c r="U37" s="145" t="s">
        <v>4253</v>
      </c>
      <c r="V37" s="204"/>
      <c r="W37" s="147" t="s">
        <v>210</v>
      </c>
      <c r="X37" s="168" t="s">
        <v>4254</v>
      </c>
      <c r="Y37" s="154" t="s">
        <v>105</v>
      </c>
      <c r="Z37" s="205">
        <v>2.5721</v>
      </c>
      <c r="AA37" s="150">
        <f t="shared" si="27"/>
        <v>2037.1032</v>
      </c>
      <c r="AB37" s="151"/>
      <c r="AC37" s="152">
        <f t="shared" si="22"/>
        <v>-792</v>
      </c>
      <c r="AD37" s="150" t="s">
        <v>123</v>
      </c>
      <c r="AE37" s="154" t="s">
        <v>107</v>
      </c>
      <c r="AF37" s="155" t="s">
        <v>43</v>
      </c>
      <c r="AG37" s="153"/>
      <c r="AH37" s="190"/>
      <c r="AI37" s="190"/>
      <c r="AJ37" s="191"/>
      <c r="AK37" s="158">
        <f t="shared" si="28"/>
        <v>792</v>
      </c>
      <c r="AL37" s="190"/>
      <c r="AM37" s="151"/>
      <c r="AN37" s="159"/>
      <c r="AO37" s="190"/>
      <c r="AP37" s="190"/>
      <c r="AQ37" s="151">
        <f t="shared" si="4"/>
        <v>792</v>
      </c>
      <c r="AR37" s="151"/>
      <c r="AS37" s="160"/>
      <c r="AT37" s="195"/>
      <c r="AU37" s="162"/>
      <c r="AV37" s="195"/>
      <c r="AW37" s="162"/>
      <c r="AX37" s="195"/>
      <c r="AY37" s="195"/>
      <c r="AZ37" s="160"/>
      <c r="BA37" s="195"/>
      <c r="BB37" s="155"/>
      <c r="BC37" s="195"/>
      <c r="BD37" s="195"/>
      <c r="BE37" s="160"/>
      <c r="BF37" s="160"/>
      <c r="BG37" s="160"/>
      <c r="BH37" s="195"/>
      <c r="BI37" s="160"/>
      <c r="BJ37" s="195"/>
      <c r="BK37" s="160"/>
      <c r="BL37" s="160"/>
      <c r="BM37" s="160"/>
      <c r="BN37" s="160"/>
      <c r="BO37" s="147" t="s">
        <v>109</v>
      </c>
      <c r="BP37" s="163">
        <f t="shared" si="29"/>
        <v>198</v>
      </c>
      <c r="BQ37" s="163">
        <f t="shared" si="30"/>
        <v>198</v>
      </c>
      <c r="BR37" s="163">
        <f t="shared" si="31"/>
        <v>198</v>
      </c>
      <c r="BS37" s="163">
        <f t="shared" si="32"/>
        <v>198</v>
      </c>
      <c r="BT37" s="137">
        <f t="shared" si="23"/>
        <v>792</v>
      </c>
      <c r="BU37" s="137"/>
      <c r="BV37" s="137">
        <f t="shared" si="24"/>
        <v>792</v>
      </c>
      <c r="BW37" s="137">
        <f t="shared" si="25"/>
        <v>0</v>
      </c>
    </row>
    <row r="38" s="22" customFormat="1" ht="40" customHeight="1" spans="1:82">
      <c r="A38" s="206">
        <v>45726</v>
      </c>
      <c r="B38" s="207" t="s">
        <v>94</v>
      </c>
      <c r="C38" s="208" t="s">
        <v>205</v>
      </c>
      <c r="D38" s="209">
        <v>4500159511</v>
      </c>
      <c r="E38" s="210" t="s">
        <v>116</v>
      </c>
      <c r="F38" s="211" t="s">
        <v>4256</v>
      </c>
      <c r="G38" s="212" t="s">
        <v>98</v>
      </c>
      <c r="H38" s="213" t="s">
        <v>98</v>
      </c>
      <c r="I38" s="214" t="s">
        <v>99</v>
      </c>
      <c r="J38" s="215">
        <v>1656</v>
      </c>
      <c r="K38" s="215">
        <v>0</v>
      </c>
      <c r="L38" s="216">
        <v>24</v>
      </c>
      <c r="M38" s="217">
        <f t="shared" si="26"/>
        <v>69</v>
      </c>
      <c r="N38" s="218">
        <v>45806</v>
      </c>
      <c r="O38" s="218">
        <v>45803</v>
      </c>
      <c r="P38" s="219" t="s">
        <v>4257</v>
      </c>
      <c r="Q38" s="143" t="s">
        <v>4258</v>
      </c>
      <c r="R38" s="220" t="s">
        <v>4115</v>
      </c>
      <c r="S38" s="221" t="s">
        <v>969</v>
      </c>
      <c r="T38" s="218"/>
      <c r="U38" s="221" t="s">
        <v>970</v>
      </c>
      <c r="V38" s="221"/>
      <c r="W38" s="222" t="s">
        <v>210</v>
      </c>
      <c r="X38" s="223" t="s">
        <v>4259</v>
      </c>
      <c r="Y38" s="224" t="s">
        <v>972</v>
      </c>
      <c r="Z38" s="225">
        <v>2.4904</v>
      </c>
      <c r="AA38" s="226">
        <f t="shared" si="27"/>
        <v>4124.1024</v>
      </c>
      <c r="AB38" s="227">
        <v>1656</v>
      </c>
      <c r="AC38" s="228">
        <f t="shared" si="22"/>
        <v>0</v>
      </c>
      <c r="AD38" s="226" t="s">
        <v>123</v>
      </c>
      <c r="AE38" s="224" t="s">
        <v>107</v>
      </c>
      <c r="AF38" s="229" t="s">
        <v>43</v>
      </c>
      <c r="AG38" s="230"/>
      <c r="AH38" s="231"/>
      <c r="AI38" s="231"/>
      <c r="AJ38" s="232"/>
      <c r="AK38" s="233">
        <f t="shared" si="28"/>
        <v>1656</v>
      </c>
      <c r="AL38" s="231"/>
      <c r="AM38" s="227"/>
      <c r="AN38" s="234"/>
      <c r="AO38" s="231"/>
      <c r="AP38" s="231"/>
      <c r="AQ38" s="227">
        <f t="shared" si="4"/>
        <v>1656</v>
      </c>
      <c r="AR38" s="227"/>
      <c r="AS38" s="235"/>
      <c r="AT38" s="236"/>
      <c r="AU38" s="237"/>
      <c r="AV38" s="236"/>
      <c r="AW38" s="237"/>
      <c r="AX38" s="236"/>
      <c r="AY38" s="236"/>
      <c r="AZ38" s="235"/>
      <c r="BA38" s="236"/>
      <c r="BB38" s="235"/>
      <c r="BC38" s="236"/>
      <c r="BD38" s="236"/>
      <c r="BE38" s="235"/>
      <c r="BF38" s="235"/>
      <c r="BG38" s="235"/>
      <c r="BH38" s="236"/>
      <c r="BI38" s="235"/>
      <c r="BJ38" s="236"/>
      <c r="BK38" s="235"/>
      <c r="BL38" s="235"/>
      <c r="BM38" s="235"/>
      <c r="BN38" s="235"/>
      <c r="BO38" s="222" t="s">
        <v>109</v>
      </c>
      <c r="BP38" s="238">
        <f t="shared" si="29"/>
        <v>414</v>
      </c>
      <c r="BQ38" s="238">
        <f t="shared" si="30"/>
        <v>414</v>
      </c>
      <c r="BR38" s="238">
        <f t="shared" si="31"/>
        <v>414</v>
      </c>
      <c r="BS38" s="238">
        <f t="shared" si="32"/>
        <v>414</v>
      </c>
      <c r="BT38" s="239">
        <f t="shared" si="23"/>
        <v>1656</v>
      </c>
      <c r="BU38" s="239"/>
      <c r="BV38" s="239">
        <f t="shared" si="24"/>
        <v>1656</v>
      </c>
      <c r="BW38" s="239">
        <f t="shared" si="25"/>
        <v>0</v>
      </c>
    </row>
    <row r="39" s="22" customFormat="1" ht="40" customHeight="1" spans="1:82">
      <c r="A39" s="206">
        <v>45726</v>
      </c>
      <c r="B39" s="207" t="s">
        <v>94</v>
      </c>
      <c r="C39" s="208" t="s">
        <v>205</v>
      </c>
      <c r="D39" s="209">
        <v>4500159511</v>
      </c>
      <c r="E39" s="210" t="s">
        <v>125</v>
      </c>
      <c r="F39" s="211" t="s">
        <v>4260</v>
      </c>
      <c r="G39" s="212" t="s">
        <v>98</v>
      </c>
      <c r="H39" s="213" t="s">
        <v>98</v>
      </c>
      <c r="I39" s="214" t="s">
        <v>99</v>
      </c>
      <c r="J39" s="215">
        <v>648</v>
      </c>
      <c r="K39" s="215">
        <v>0</v>
      </c>
      <c r="L39" s="216">
        <v>24</v>
      </c>
      <c r="M39" s="217">
        <f t="shared" si="26"/>
        <v>27</v>
      </c>
      <c r="N39" s="218">
        <v>45806</v>
      </c>
      <c r="O39" s="218">
        <v>45803</v>
      </c>
      <c r="P39" s="219" t="s">
        <v>4257</v>
      </c>
      <c r="Q39" s="143" t="s">
        <v>4258</v>
      </c>
      <c r="R39" s="220" t="s">
        <v>4115</v>
      </c>
      <c r="S39" s="221" t="s">
        <v>969</v>
      </c>
      <c r="T39" s="218"/>
      <c r="U39" s="221" t="s">
        <v>970</v>
      </c>
      <c r="V39" s="221"/>
      <c r="W39" s="222" t="s">
        <v>210</v>
      </c>
      <c r="X39" s="223" t="s">
        <v>4259</v>
      </c>
      <c r="Y39" s="224" t="s">
        <v>972</v>
      </c>
      <c r="Z39" s="225">
        <v>2.4904</v>
      </c>
      <c r="AA39" s="226">
        <f t="shared" si="27"/>
        <v>1613.7792</v>
      </c>
      <c r="AB39" s="227">
        <v>648</v>
      </c>
      <c r="AC39" s="228">
        <f t="shared" si="22"/>
        <v>0</v>
      </c>
      <c r="AD39" s="226" t="s">
        <v>123</v>
      </c>
      <c r="AE39" s="224" t="s">
        <v>107</v>
      </c>
      <c r="AF39" s="229" t="s">
        <v>43</v>
      </c>
      <c r="AG39" s="230"/>
      <c r="AH39" s="231"/>
      <c r="AI39" s="231"/>
      <c r="AJ39" s="232"/>
      <c r="AK39" s="233">
        <f t="shared" si="28"/>
        <v>648</v>
      </c>
      <c r="AL39" s="231"/>
      <c r="AM39" s="227"/>
      <c r="AN39" s="234"/>
      <c r="AO39" s="231"/>
      <c r="AP39" s="231"/>
      <c r="AQ39" s="227">
        <f t="shared" si="4"/>
        <v>648</v>
      </c>
      <c r="AR39" s="227"/>
      <c r="AS39" s="235"/>
      <c r="AT39" s="236"/>
      <c r="AU39" s="237"/>
      <c r="AV39" s="236"/>
      <c r="AW39" s="237"/>
      <c r="AX39" s="236"/>
      <c r="AY39" s="236"/>
      <c r="AZ39" s="235"/>
      <c r="BA39" s="236"/>
      <c r="BB39" s="235"/>
      <c r="BC39" s="236"/>
      <c r="BD39" s="236"/>
      <c r="BE39" s="235"/>
      <c r="BF39" s="235"/>
      <c r="BG39" s="235"/>
      <c r="BH39" s="236"/>
      <c r="BI39" s="235"/>
      <c r="BJ39" s="236"/>
      <c r="BK39" s="235"/>
      <c r="BL39" s="235"/>
      <c r="BM39" s="235"/>
      <c r="BN39" s="235"/>
      <c r="BO39" s="222" t="s">
        <v>109</v>
      </c>
      <c r="BP39" s="238">
        <f t="shared" si="29"/>
        <v>162</v>
      </c>
      <c r="BQ39" s="238">
        <f t="shared" si="30"/>
        <v>162</v>
      </c>
      <c r="BR39" s="238">
        <f t="shared" si="31"/>
        <v>162</v>
      </c>
      <c r="BS39" s="238">
        <f t="shared" si="32"/>
        <v>162</v>
      </c>
      <c r="BT39" s="239">
        <f t="shared" si="23"/>
        <v>648</v>
      </c>
      <c r="BU39" s="239"/>
      <c r="BV39" s="239">
        <f t="shared" si="24"/>
        <v>648</v>
      </c>
      <c r="BW39" s="239">
        <f t="shared" si="25"/>
        <v>0</v>
      </c>
    </row>
    <row r="40" s="22" customFormat="1" ht="40" customHeight="1" spans="1:82">
      <c r="A40" s="206">
        <v>45611</v>
      </c>
      <c r="B40" s="207" t="s">
        <v>94</v>
      </c>
      <c r="C40" s="208" t="s">
        <v>205</v>
      </c>
      <c r="D40" s="209">
        <v>4500151404</v>
      </c>
      <c r="E40" s="210" t="s">
        <v>116</v>
      </c>
      <c r="F40" s="211" t="s">
        <v>4261</v>
      </c>
      <c r="G40" s="212" t="s">
        <v>98</v>
      </c>
      <c r="H40" s="213" t="s">
        <v>98</v>
      </c>
      <c r="I40" s="214" t="s">
        <v>99</v>
      </c>
      <c r="J40" s="215">
        <v>1680</v>
      </c>
      <c r="K40" s="215">
        <v>0</v>
      </c>
      <c r="L40" s="216">
        <v>24</v>
      </c>
      <c r="M40" s="217">
        <f t="shared" si="26"/>
        <v>70</v>
      </c>
      <c r="N40" s="218">
        <v>45817</v>
      </c>
      <c r="O40" s="218">
        <v>45813</v>
      </c>
      <c r="P40" s="219" t="s">
        <v>4257</v>
      </c>
      <c r="Q40" s="143" t="s">
        <v>4258</v>
      </c>
      <c r="R40" s="220" t="s">
        <v>4115</v>
      </c>
      <c r="S40" s="221" t="s">
        <v>270</v>
      </c>
      <c r="T40" s="218"/>
      <c r="U40" s="221" t="s">
        <v>4253</v>
      </c>
      <c r="V40" s="221"/>
      <c r="W40" s="222" t="s">
        <v>210</v>
      </c>
      <c r="X40" s="223" t="s">
        <v>4262</v>
      </c>
      <c r="Y40" s="224" t="s">
        <v>105</v>
      </c>
      <c r="Z40" s="225">
        <v>2.5459</v>
      </c>
      <c r="AA40" s="226">
        <f t="shared" si="27"/>
        <v>4277.112</v>
      </c>
      <c r="AB40" s="227">
        <v>1680</v>
      </c>
      <c r="AC40" s="228">
        <f t="shared" si="22"/>
        <v>0</v>
      </c>
      <c r="AD40" s="226" t="s">
        <v>4263</v>
      </c>
      <c r="AE40" s="224" t="s">
        <v>107</v>
      </c>
      <c r="AF40" s="229" t="s">
        <v>43</v>
      </c>
      <c r="AG40" s="230"/>
      <c r="AH40" s="231"/>
      <c r="AI40" s="231"/>
      <c r="AJ40" s="232"/>
      <c r="AK40" s="233">
        <f t="shared" si="28"/>
        <v>1680</v>
      </c>
      <c r="AL40" s="231"/>
      <c r="AM40" s="227"/>
      <c r="AN40" s="234"/>
      <c r="AO40" s="231"/>
      <c r="AP40" s="231"/>
      <c r="AQ40" s="227">
        <f t="shared" si="4"/>
        <v>1680</v>
      </c>
      <c r="AR40" s="227"/>
      <c r="AS40" s="235"/>
      <c r="AT40" s="236"/>
      <c r="AU40" s="237"/>
      <c r="AV40" s="236"/>
      <c r="AW40" s="237"/>
      <c r="AX40" s="236"/>
      <c r="AY40" s="236"/>
      <c r="AZ40" s="235"/>
      <c r="BA40" s="236"/>
      <c r="BB40" s="235"/>
      <c r="BC40" s="236"/>
      <c r="BD40" s="236"/>
      <c r="BE40" s="235"/>
      <c r="BF40" s="235"/>
      <c r="BG40" s="235"/>
      <c r="BH40" s="236"/>
      <c r="BI40" s="235"/>
      <c r="BJ40" s="236"/>
      <c r="BK40" s="235"/>
      <c r="BL40" s="235"/>
      <c r="BM40" s="235"/>
      <c r="BN40" s="235"/>
      <c r="BO40" s="222" t="s">
        <v>109</v>
      </c>
      <c r="BP40" s="238">
        <f t="shared" si="29"/>
        <v>420</v>
      </c>
      <c r="BQ40" s="238">
        <f t="shared" si="30"/>
        <v>420</v>
      </c>
      <c r="BR40" s="238">
        <f t="shared" si="31"/>
        <v>420</v>
      </c>
      <c r="BS40" s="238">
        <f t="shared" si="32"/>
        <v>420</v>
      </c>
      <c r="BT40" s="239">
        <f t="shared" si="23"/>
        <v>1680</v>
      </c>
      <c r="BU40" s="239"/>
      <c r="BV40" s="239">
        <f t="shared" si="24"/>
        <v>1680</v>
      </c>
      <c r="BW40" s="239">
        <f t="shared" si="25"/>
        <v>0</v>
      </c>
    </row>
    <row r="41" s="22" customFormat="1" ht="42" customHeight="1" spans="1:82">
      <c r="A41" s="206">
        <v>45611</v>
      </c>
      <c r="B41" s="207" t="s">
        <v>94</v>
      </c>
      <c r="C41" s="208" t="s">
        <v>205</v>
      </c>
      <c r="D41" s="209">
        <v>4500151404</v>
      </c>
      <c r="E41" s="210" t="s">
        <v>125</v>
      </c>
      <c r="F41" s="211" t="s">
        <v>4264</v>
      </c>
      <c r="G41" s="212" t="s">
        <v>98</v>
      </c>
      <c r="H41" s="213" t="s">
        <v>98</v>
      </c>
      <c r="I41" s="214" t="s">
        <v>99</v>
      </c>
      <c r="J41" s="215">
        <v>840</v>
      </c>
      <c r="K41" s="215">
        <v>0</v>
      </c>
      <c r="L41" s="216">
        <v>24</v>
      </c>
      <c r="M41" s="217">
        <f t="shared" si="26"/>
        <v>35</v>
      </c>
      <c r="N41" s="218">
        <v>45817</v>
      </c>
      <c r="O41" s="218">
        <v>45813</v>
      </c>
      <c r="P41" s="219" t="s">
        <v>4257</v>
      </c>
      <c r="Q41" s="143" t="s">
        <v>4258</v>
      </c>
      <c r="R41" s="220" t="s">
        <v>4115</v>
      </c>
      <c r="S41" s="221" t="s">
        <v>270</v>
      </c>
      <c r="T41" s="218"/>
      <c r="U41" s="221" t="s">
        <v>4253</v>
      </c>
      <c r="V41" s="221"/>
      <c r="W41" s="222" t="s">
        <v>210</v>
      </c>
      <c r="X41" s="223" t="s">
        <v>4262</v>
      </c>
      <c r="Y41" s="224" t="s">
        <v>105</v>
      </c>
      <c r="Z41" s="225">
        <v>2.5459</v>
      </c>
      <c r="AA41" s="226">
        <f t="shared" si="27"/>
        <v>2138.556</v>
      </c>
      <c r="AB41" s="227">
        <v>840</v>
      </c>
      <c r="AC41" s="228">
        <f t="shared" si="22"/>
        <v>0</v>
      </c>
      <c r="AD41" s="226" t="s">
        <v>123</v>
      </c>
      <c r="AE41" s="224" t="s">
        <v>107</v>
      </c>
      <c r="AF41" s="229" t="s">
        <v>43</v>
      </c>
      <c r="AG41" s="230"/>
      <c r="AH41" s="231"/>
      <c r="AI41" s="231"/>
      <c r="AJ41" s="232"/>
      <c r="AK41" s="233">
        <f t="shared" si="28"/>
        <v>840</v>
      </c>
      <c r="AL41" s="231"/>
      <c r="AM41" s="227"/>
      <c r="AN41" s="234"/>
      <c r="AO41" s="231"/>
      <c r="AP41" s="231"/>
      <c r="AQ41" s="227">
        <f t="shared" si="4"/>
        <v>840</v>
      </c>
      <c r="AR41" s="227"/>
      <c r="AS41" s="235"/>
      <c r="AT41" s="236"/>
      <c r="AU41" s="237"/>
      <c r="AV41" s="236"/>
      <c r="AW41" s="237"/>
      <c r="AX41" s="236"/>
      <c r="AY41" s="236"/>
      <c r="AZ41" s="235"/>
      <c r="BA41" s="236"/>
      <c r="BB41" s="235"/>
      <c r="BC41" s="236"/>
      <c r="BD41" s="236"/>
      <c r="BE41" s="235"/>
      <c r="BF41" s="235"/>
      <c r="BG41" s="235"/>
      <c r="BH41" s="236"/>
      <c r="BI41" s="235"/>
      <c r="BJ41" s="236"/>
      <c r="BK41" s="235"/>
      <c r="BL41" s="235"/>
      <c r="BM41" s="235"/>
      <c r="BN41" s="235"/>
      <c r="BO41" s="222" t="s">
        <v>109</v>
      </c>
      <c r="BP41" s="238">
        <f t="shared" si="29"/>
        <v>210</v>
      </c>
      <c r="BQ41" s="238">
        <f t="shared" si="30"/>
        <v>210</v>
      </c>
      <c r="BR41" s="238">
        <f t="shared" si="31"/>
        <v>210</v>
      </c>
      <c r="BS41" s="238">
        <f t="shared" si="32"/>
        <v>210</v>
      </c>
      <c r="BT41" s="239">
        <f t="shared" si="23"/>
        <v>840</v>
      </c>
      <c r="BU41" s="239"/>
      <c r="BV41" s="239">
        <f t="shared" si="24"/>
        <v>840</v>
      </c>
      <c r="BW41" s="239">
        <f t="shared" si="25"/>
        <v>0</v>
      </c>
    </row>
    <row r="42" s="23" customFormat="1" ht="40" customHeight="1" spans="1:82">
      <c r="A42" s="206">
        <v>45965</v>
      </c>
      <c r="B42" s="207" t="s">
        <v>2461</v>
      </c>
      <c r="C42" s="208" t="s">
        <v>826</v>
      </c>
      <c r="D42" s="209">
        <v>4500184399</v>
      </c>
      <c r="E42" s="210"/>
      <c r="F42" s="209" t="s">
        <v>4265</v>
      </c>
      <c r="G42" s="240" t="s">
        <v>230</v>
      </c>
      <c r="H42" s="213" t="s">
        <v>111</v>
      </c>
      <c r="I42" s="213" t="s">
        <v>99</v>
      </c>
      <c r="J42" s="241">
        <v>132</v>
      </c>
      <c r="K42" s="241">
        <v>0</v>
      </c>
      <c r="L42" s="217">
        <v>22</v>
      </c>
      <c r="M42" s="217">
        <f t="shared" si="26"/>
        <v>6</v>
      </c>
      <c r="N42" s="218">
        <v>46009</v>
      </c>
      <c r="O42" s="218">
        <v>46006</v>
      </c>
      <c r="P42" s="218"/>
      <c r="Q42" s="242"/>
      <c r="R42" s="242"/>
      <c r="S42" s="221" t="s">
        <v>4130</v>
      </c>
      <c r="T42" s="243"/>
      <c r="U42" s="244" t="s">
        <v>4266</v>
      </c>
      <c r="V42" s="244"/>
      <c r="W42" s="222"/>
      <c r="X42" s="223" t="s">
        <v>4267</v>
      </c>
      <c r="Y42" s="224" t="s">
        <v>818</v>
      </c>
      <c r="Z42" s="245">
        <v>2.7291</v>
      </c>
      <c r="AA42" s="226">
        <f t="shared" si="27"/>
        <v>360.2412</v>
      </c>
      <c r="AB42" s="227"/>
      <c r="AC42" s="228"/>
      <c r="AD42" s="226"/>
      <c r="AE42" s="224" t="s">
        <v>107</v>
      </c>
      <c r="AF42" s="229"/>
      <c r="AG42" s="230"/>
      <c r="AH42" s="246"/>
      <c r="AI42" s="246"/>
      <c r="AJ42" s="247"/>
      <c r="AK42" s="233"/>
      <c r="AL42" s="233"/>
      <c r="AM42" s="246"/>
      <c r="AN42" s="227"/>
      <c r="AO42" s="248">
        <f t="shared" ref="AO42:AO48" si="33">J42</f>
        <v>132</v>
      </c>
      <c r="AP42" s="234"/>
      <c r="AQ42" s="246"/>
      <c r="AR42" s="246"/>
      <c r="AS42" s="227"/>
      <c r="AT42" s="248">
        <f t="shared" ref="AT42:AT48" si="34">J42</f>
        <v>132</v>
      </c>
      <c r="AU42" s="229"/>
      <c r="AV42" s="249"/>
      <c r="AW42" s="237"/>
      <c r="AX42" s="237"/>
      <c r="AY42" s="249"/>
      <c r="AZ42" s="237"/>
      <c r="BA42" s="250">
        <f>J42/11</f>
        <v>12</v>
      </c>
      <c r="BB42" s="249"/>
      <c r="BC42" s="249"/>
      <c r="BD42" s="235"/>
      <c r="BE42" s="249"/>
      <c r="BF42" s="229"/>
      <c r="BG42" s="249"/>
      <c r="BH42" s="249"/>
      <c r="BI42" s="235"/>
      <c r="BJ42" s="235"/>
      <c r="BK42" s="235"/>
      <c r="BL42" s="249"/>
      <c r="BM42" s="235"/>
      <c r="BN42" s="249"/>
      <c r="BO42" s="235"/>
      <c r="BP42" s="235"/>
      <c r="BQ42" s="235"/>
      <c r="BR42" s="235"/>
      <c r="BS42" s="222" t="s">
        <v>109</v>
      </c>
      <c r="BT42" s="251">
        <f>J42/22*5</f>
        <v>30</v>
      </c>
      <c r="BU42" s="251">
        <f>J42/22*6</f>
        <v>36</v>
      </c>
      <c r="BV42" s="251">
        <f>J42/22*6</f>
        <v>36</v>
      </c>
      <c r="BW42" s="251">
        <f>J42/22*5</f>
        <v>30</v>
      </c>
      <c r="BX42" s="239">
        <f>J42</f>
        <v>132</v>
      </c>
      <c r="BY42" s="251">
        <f>J42/11</f>
        <v>12</v>
      </c>
      <c r="BZ42" s="239">
        <f>SUM(BT42:BW42)</f>
        <v>132</v>
      </c>
      <c r="CA42" s="239">
        <f>J42-BZ42</f>
        <v>0</v>
      </c>
    </row>
    <row r="43" s="23" customFormat="1" ht="40" customHeight="1" spans="1:82">
      <c r="A43" s="206">
        <v>45895</v>
      </c>
      <c r="B43" s="207" t="s">
        <v>1996</v>
      </c>
      <c r="C43" s="208" t="s">
        <v>380</v>
      </c>
      <c r="D43" s="209">
        <v>4500177833</v>
      </c>
      <c r="E43" s="210" t="s">
        <v>4268</v>
      </c>
      <c r="F43" s="209" t="s">
        <v>4269</v>
      </c>
      <c r="G43" s="213" t="s">
        <v>1998</v>
      </c>
      <c r="H43" s="213" t="s">
        <v>1998</v>
      </c>
      <c r="I43" s="214" t="s">
        <v>1999</v>
      </c>
      <c r="J43" s="215">
        <v>1920</v>
      </c>
      <c r="K43" s="215">
        <v>8</v>
      </c>
      <c r="L43" s="216">
        <v>640</v>
      </c>
      <c r="M43" s="217">
        <f t="shared" si="26"/>
        <v>3</v>
      </c>
      <c r="N43" s="218">
        <v>45943</v>
      </c>
      <c r="O43" s="218">
        <v>45939</v>
      </c>
      <c r="P43" s="218" t="s">
        <v>4270</v>
      </c>
      <c r="Q43" s="242" t="s">
        <v>4271</v>
      </c>
      <c r="R43" s="220" t="s">
        <v>4272</v>
      </c>
      <c r="S43" s="221"/>
      <c r="T43" s="243"/>
      <c r="U43" s="244" t="s">
        <v>4273</v>
      </c>
      <c r="V43" s="244"/>
      <c r="W43" s="222"/>
      <c r="X43" s="223" t="s">
        <v>4274</v>
      </c>
      <c r="Y43" s="224" t="s">
        <v>2003</v>
      </c>
      <c r="Z43" s="225">
        <v>1564.6026</v>
      </c>
      <c r="AA43" s="226">
        <f>M43*Z43</f>
        <v>4693.8078</v>
      </c>
      <c r="AB43" s="227">
        <v>1920</v>
      </c>
      <c r="AC43" s="228">
        <f t="shared" ref="AC43:AC49" si="35">AB43-J43</f>
        <v>0</v>
      </c>
      <c r="AD43" s="226" t="s">
        <v>106</v>
      </c>
      <c r="AE43" s="224" t="s">
        <v>107</v>
      </c>
      <c r="AF43" s="229" t="s">
        <v>43</v>
      </c>
      <c r="AG43" s="230"/>
      <c r="AH43" s="252"/>
      <c r="AI43" s="252"/>
      <c r="AJ43" s="253"/>
      <c r="AK43" s="233">
        <f>J43</f>
        <v>1920</v>
      </c>
      <c r="AL43" s="233"/>
      <c r="AM43" s="252"/>
      <c r="AN43" s="227"/>
      <c r="AO43" s="227"/>
      <c r="AP43" s="234"/>
      <c r="AQ43" s="252"/>
      <c r="AR43" s="252"/>
      <c r="AS43" s="227">
        <f>J43</f>
        <v>1920</v>
      </c>
      <c r="AT43" s="227"/>
      <c r="AU43" s="235"/>
      <c r="AV43" s="254"/>
      <c r="AW43" s="237"/>
      <c r="AX43" s="237"/>
      <c r="AY43" s="254"/>
      <c r="AZ43" s="237"/>
      <c r="BA43" s="237"/>
      <c r="BB43" s="254"/>
      <c r="BC43" s="254"/>
      <c r="BD43" s="235"/>
      <c r="BE43" s="254"/>
      <c r="BF43" s="229"/>
      <c r="BG43" s="254"/>
      <c r="BH43" s="254"/>
      <c r="BI43" s="235"/>
      <c r="BJ43" s="235"/>
      <c r="BK43" s="235"/>
      <c r="BL43" s="235"/>
      <c r="BM43" s="254"/>
      <c r="BN43" s="235"/>
      <c r="BO43" s="254"/>
      <c r="BP43" s="229">
        <f>J43/8</f>
        <v>240</v>
      </c>
      <c r="BQ43" s="235"/>
      <c r="BR43" s="235"/>
      <c r="BS43" s="235"/>
      <c r="BT43" s="222" t="s">
        <v>109</v>
      </c>
      <c r="BU43" s="238">
        <f>J43/4</f>
        <v>480</v>
      </c>
      <c r="BV43" s="238">
        <f>J43/4</f>
        <v>480</v>
      </c>
      <c r="BW43" s="238">
        <f>J43/4</f>
        <v>480</v>
      </c>
      <c r="BX43" s="238">
        <f>J43/4</f>
        <v>480</v>
      </c>
      <c r="BY43" s="239">
        <f t="shared" ref="BY43:BY48" si="36">J43</f>
        <v>1920</v>
      </c>
      <c r="BZ43" s="239"/>
      <c r="CA43" s="239">
        <f>SUM(BU43:BX43)</f>
        <v>1920</v>
      </c>
      <c r="CB43" s="239">
        <f>J43-CA43</f>
        <v>0</v>
      </c>
    </row>
    <row r="44" s="23" customFormat="1" ht="40" customHeight="1" spans="1:82">
      <c r="A44" s="206">
        <v>45986</v>
      </c>
      <c r="B44" s="207" t="s">
        <v>1888</v>
      </c>
      <c r="C44" s="208" t="s">
        <v>144</v>
      </c>
      <c r="D44" s="209">
        <v>4500186834</v>
      </c>
      <c r="E44" s="210">
        <v>5200008259</v>
      </c>
      <c r="F44" s="209" t="s">
        <v>4275</v>
      </c>
      <c r="G44" s="213" t="s">
        <v>774</v>
      </c>
      <c r="H44" s="213" t="s">
        <v>99</v>
      </c>
      <c r="I44" s="214">
        <v>2607</v>
      </c>
      <c r="J44" s="215">
        <v>0</v>
      </c>
      <c r="K44" s="215">
        <v>11</v>
      </c>
      <c r="L44" s="216">
        <v>237</v>
      </c>
      <c r="M44" s="217">
        <v>46024</v>
      </c>
      <c r="N44" s="218">
        <v>46020</v>
      </c>
      <c r="O44" s="218" t="s">
        <v>4276</v>
      </c>
      <c r="P44" s="218"/>
      <c r="Q44" s="242"/>
      <c r="R44" s="220" t="s">
        <v>320</v>
      </c>
      <c r="S44" s="221"/>
      <c r="T44" s="243" t="s">
        <v>2525</v>
      </c>
      <c r="U44" s="244"/>
      <c r="V44" s="244"/>
      <c r="W44" s="222" t="s">
        <v>2526</v>
      </c>
      <c r="X44" s="223" t="s">
        <v>1725</v>
      </c>
      <c r="Y44" s="224">
        <v>2.7028</v>
      </c>
      <c r="Z44" s="225">
        <v>7046.1996</v>
      </c>
      <c r="AA44" s="226"/>
      <c r="AB44" s="227">
        <v>-2607</v>
      </c>
      <c r="AC44" s="228" t="s">
        <v>106</v>
      </c>
      <c r="AD44" s="226" t="s">
        <v>107</v>
      </c>
      <c r="AE44" s="224" t="s">
        <v>43</v>
      </c>
      <c r="AF44" s="229"/>
      <c r="AG44" s="230"/>
      <c r="AH44" s="252"/>
      <c r="AI44" s="252"/>
      <c r="AJ44" s="253">
        <v>2607</v>
      </c>
      <c r="AK44" s="233"/>
      <c r="AL44" s="233"/>
      <c r="AM44" s="252">
        <v>2607</v>
      </c>
      <c r="AN44" s="227"/>
      <c r="AO44" s="227"/>
      <c r="AP44" s="234"/>
      <c r="AQ44" s="252"/>
      <c r="AR44" s="252">
        <v>237</v>
      </c>
      <c r="AS44" s="227"/>
      <c r="AT44" s="227"/>
      <c r="AU44" s="235"/>
      <c r="AV44" s="254"/>
      <c r="AW44" s="237"/>
      <c r="AX44" s="237"/>
      <c r="AY44" s="254"/>
      <c r="AZ44" s="237"/>
      <c r="BA44" s="237"/>
      <c r="BB44" s="254"/>
      <c r="BC44" s="254"/>
      <c r="BD44" s="235"/>
      <c r="BE44" s="254"/>
      <c r="BF44" s="229" t="s">
        <v>109</v>
      </c>
      <c r="BG44" s="254">
        <v>592.5</v>
      </c>
      <c r="BH44" s="254">
        <v>711</v>
      </c>
      <c r="BI44" s="235">
        <v>711</v>
      </c>
      <c r="BJ44" s="235">
        <v>592.5</v>
      </c>
      <c r="BK44" s="235">
        <v>2607</v>
      </c>
      <c r="BL44" s="235">
        <v>237</v>
      </c>
      <c r="BM44" s="254">
        <v>2607</v>
      </c>
      <c r="BN44" s="235">
        <v>0</v>
      </c>
      <c r="BO44" s="254"/>
      <c r="BP44" s="229"/>
      <c r="BQ44" s="235"/>
      <c r="BR44" s="235"/>
      <c r="BS44" s="235"/>
      <c r="BT44" s="222"/>
      <c r="BU44" s="238"/>
      <c r="BV44" s="238"/>
      <c r="BW44" s="238"/>
      <c r="BX44" s="238"/>
      <c r="BY44" s="239"/>
      <c r="BZ44" s="239"/>
      <c r="CA44" s="239"/>
      <c r="CB44" s="239"/>
    </row>
    <row r="45" s="23" customFormat="1" ht="40" customHeight="1" spans="1:82">
      <c r="A45" s="206">
        <v>46085</v>
      </c>
      <c r="B45" s="207" t="s">
        <v>1587</v>
      </c>
      <c r="C45" s="208" t="s">
        <v>178</v>
      </c>
      <c r="D45" s="255">
        <v>4500195135</v>
      </c>
      <c r="E45" s="210" t="s">
        <v>4277</v>
      </c>
      <c r="F45" s="209" t="s">
        <v>4278</v>
      </c>
      <c r="G45" s="256" t="s">
        <v>153</v>
      </c>
      <c r="H45" s="213" t="s">
        <v>141</v>
      </c>
      <c r="I45" s="213" t="s">
        <v>99</v>
      </c>
      <c r="J45" s="257">
        <v>96</v>
      </c>
      <c r="K45" s="241">
        <v>0</v>
      </c>
      <c r="L45" s="216">
        <v>24</v>
      </c>
      <c r="M45" s="217">
        <f t="shared" ref="M45:M49" si="37">J45/L45</f>
        <v>4</v>
      </c>
      <c r="N45" s="218">
        <v>46127</v>
      </c>
      <c r="O45" s="218">
        <v>46123</v>
      </c>
      <c r="P45" s="218" t="s">
        <v>4241</v>
      </c>
      <c r="Q45" s="242"/>
      <c r="R45" s="242"/>
      <c r="S45" s="221" t="s">
        <v>806</v>
      </c>
      <c r="T45" s="243"/>
      <c r="U45" s="244" t="s">
        <v>493</v>
      </c>
      <c r="V45" s="244" t="s">
        <v>3731</v>
      </c>
      <c r="W45" s="222"/>
      <c r="X45" s="223" t="s">
        <v>2779</v>
      </c>
      <c r="Y45" s="224" t="s">
        <v>734</v>
      </c>
      <c r="Z45" s="245">
        <v>2.5718</v>
      </c>
      <c r="AA45" s="226">
        <f t="shared" ref="AA45:AA49" si="38">J45*Z45</f>
        <v>246.8928</v>
      </c>
      <c r="AB45" s="227"/>
      <c r="AC45" s="228">
        <f t="shared" si="35"/>
        <v>-96</v>
      </c>
      <c r="AD45" s="226" t="s">
        <v>106</v>
      </c>
      <c r="AE45" s="224" t="s">
        <v>107</v>
      </c>
      <c r="AF45" s="229" t="s">
        <v>43</v>
      </c>
      <c r="AG45" s="230"/>
      <c r="AH45" s="247"/>
      <c r="AI45" s="247"/>
      <c r="AJ45" s="247"/>
      <c r="AK45" s="258"/>
      <c r="AL45" s="233"/>
      <c r="AM45" s="246"/>
      <c r="AN45" s="259"/>
      <c r="AO45" s="237">
        <f t="shared" si="33"/>
        <v>96</v>
      </c>
      <c r="AP45" s="237"/>
      <c r="AQ45" s="260"/>
      <c r="AR45" s="260"/>
      <c r="AS45" s="229"/>
      <c r="AT45" s="229">
        <f t="shared" si="34"/>
        <v>96</v>
      </c>
      <c r="AU45" s="229"/>
      <c r="AV45" s="259"/>
      <c r="AW45" s="237"/>
      <c r="AX45" s="261"/>
      <c r="AY45" s="249"/>
      <c r="AZ45" s="261"/>
      <c r="BA45" s="261"/>
      <c r="BB45" s="249"/>
      <c r="BC45" s="249"/>
      <c r="BD45" s="235"/>
      <c r="BE45" s="249"/>
      <c r="BF45" s="222"/>
      <c r="BG45" s="251"/>
      <c r="BH45" s="262"/>
      <c r="BI45" s="262"/>
      <c r="BJ45" s="251"/>
      <c r="BK45" s="239"/>
      <c r="BL45" s="251"/>
      <c r="BM45" s="239"/>
      <c r="BN45" s="239"/>
      <c r="BO45" s="263"/>
      <c r="BP45" s="235"/>
      <c r="BQ45" s="249"/>
      <c r="BR45" s="235"/>
      <c r="BS45" s="235"/>
      <c r="BT45" s="235"/>
      <c r="BU45" s="235"/>
      <c r="BV45" s="222" t="s">
        <v>109</v>
      </c>
      <c r="BW45" s="251"/>
      <c r="BX45" s="251"/>
      <c r="BY45" s="238">
        <f t="shared" si="36"/>
        <v>96</v>
      </c>
      <c r="BZ45" s="238"/>
      <c r="CA45" s="239">
        <f t="shared" ref="CA45:CA48" si="39">J45</f>
        <v>96</v>
      </c>
      <c r="CB45" s="239"/>
      <c r="CC45" s="239">
        <f t="shared" ref="CC45:CC54" si="40">SUM(BW45:BZ45)</f>
        <v>96</v>
      </c>
      <c r="CD45" s="239">
        <f t="shared" ref="CD45:CD48" si="41">J45-CC45</f>
        <v>0</v>
      </c>
    </row>
    <row r="46" s="23" customFormat="1" ht="40" customHeight="1" spans="1:82">
      <c r="A46" s="206">
        <v>46085</v>
      </c>
      <c r="B46" s="207" t="s">
        <v>1587</v>
      </c>
      <c r="C46" s="208" t="s">
        <v>178</v>
      </c>
      <c r="D46" s="255">
        <v>4500195135</v>
      </c>
      <c r="E46" s="210" t="s">
        <v>4279</v>
      </c>
      <c r="F46" s="209" t="s">
        <v>4280</v>
      </c>
      <c r="G46" s="256" t="s">
        <v>153</v>
      </c>
      <c r="H46" s="213" t="s">
        <v>141</v>
      </c>
      <c r="I46" s="213" t="s">
        <v>99</v>
      </c>
      <c r="J46" s="257">
        <v>48</v>
      </c>
      <c r="K46" s="241">
        <v>0</v>
      </c>
      <c r="L46" s="216">
        <v>24</v>
      </c>
      <c r="M46" s="217">
        <f t="shared" si="37"/>
        <v>2</v>
      </c>
      <c r="N46" s="218">
        <v>46127</v>
      </c>
      <c r="O46" s="218">
        <v>46123</v>
      </c>
      <c r="P46" s="218" t="s">
        <v>4241</v>
      </c>
      <c r="Q46" s="242"/>
      <c r="R46" s="242"/>
      <c r="S46" s="221" t="s">
        <v>806</v>
      </c>
      <c r="T46" s="243"/>
      <c r="U46" s="244" t="s">
        <v>493</v>
      </c>
      <c r="V46" s="244" t="s">
        <v>3731</v>
      </c>
      <c r="W46" s="222"/>
      <c r="X46" s="223" t="s">
        <v>2779</v>
      </c>
      <c r="Y46" s="224" t="s">
        <v>734</v>
      </c>
      <c r="Z46" s="245">
        <v>2.5718</v>
      </c>
      <c r="AA46" s="226">
        <f t="shared" si="38"/>
        <v>123.4464</v>
      </c>
      <c r="AB46" s="227"/>
      <c r="AC46" s="228">
        <f t="shared" si="35"/>
        <v>-48</v>
      </c>
      <c r="AD46" s="226" t="s">
        <v>106</v>
      </c>
      <c r="AE46" s="224" t="s">
        <v>107</v>
      </c>
      <c r="AF46" s="229" t="s">
        <v>43</v>
      </c>
      <c r="AG46" s="230"/>
      <c r="AH46" s="247"/>
      <c r="AI46" s="247"/>
      <c r="AJ46" s="247"/>
      <c r="AK46" s="258"/>
      <c r="AL46" s="233"/>
      <c r="AM46" s="246"/>
      <c r="AN46" s="259"/>
      <c r="AO46" s="237">
        <f t="shared" si="33"/>
        <v>48</v>
      </c>
      <c r="AP46" s="237"/>
      <c r="AQ46" s="260"/>
      <c r="AR46" s="260"/>
      <c r="AS46" s="229"/>
      <c r="AT46" s="229">
        <f t="shared" si="34"/>
        <v>48</v>
      </c>
      <c r="AU46" s="229"/>
      <c r="AV46" s="259"/>
      <c r="AW46" s="237"/>
      <c r="AX46" s="261"/>
      <c r="AY46" s="249"/>
      <c r="AZ46" s="261"/>
      <c r="BA46" s="261"/>
      <c r="BB46" s="249"/>
      <c r="BC46" s="249"/>
      <c r="BD46" s="235"/>
      <c r="BE46" s="249"/>
      <c r="BF46" s="222"/>
      <c r="BG46" s="251"/>
      <c r="BH46" s="262"/>
      <c r="BI46" s="262"/>
      <c r="BJ46" s="251"/>
      <c r="BK46" s="239"/>
      <c r="BL46" s="251"/>
      <c r="BM46" s="239"/>
      <c r="BN46" s="239"/>
      <c r="BO46" s="263"/>
      <c r="BP46" s="235"/>
      <c r="BQ46" s="249"/>
      <c r="BR46" s="235"/>
      <c r="BS46" s="235"/>
      <c r="BT46" s="235"/>
      <c r="BU46" s="235"/>
      <c r="BV46" s="222" t="s">
        <v>109</v>
      </c>
      <c r="BW46" s="251"/>
      <c r="BX46" s="251"/>
      <c r="BY46" s="238">
        <f t="shared" si="36"/>
        <v>48</v>
      </c>
      <c r="BZ46" s="238"/>
      <c r="CA46" s="239">
        <f t="shared" si="39"/>
        <v>48</v>
      </c>
      <c r="CB46" s="239"/>
      <c r="CC46" s="239">
        <f t="shared" si="40"/>
        <v>48</v>
      </c>
      <c r="CD46" s="239">
        <f t="shared" si="41"/>
        <v>0</v>
      </c>
    </row>
    <row r="47" s="23" customFormat="1" ht="40" customHeight="1" spans="1:82">
      <c r="A47" s="206">
        <v>46085</v>
      </c>
      <c r="B47" s="207" t="s">
        <v>1587</v>
      </c>
      <c r="C47" s="208" t="s">
        <v>178</v>
      </c>
      <c r="D47" s="255">
        <v>4500195135</v>
      </c>
      <c r="E47" s="210" t="s">
        <v>4281</v>
      </c>
      <c r="F47" s="209" t="s">
        <v>4282</v>
      </c>
      <c r="G47" s="256" t="s">
        <v>153</v>
      </c>
      <c r="H47" s="213" t="s">
        <v>141</v>
      </c>
      <c r="I47" s="213" t="s">
        <v>99</v>
      </c>
      <c r="J47" s="257">
        <v>120</v>
      </c>
      <c r="K47" s="241">
        <v>0</v>
      </c>
      <c r="L47" s="216">
        <v>24</v>
      </c>
      <c r="M47" s="217">
        <f t="shared" si="37"/>
        <v>5</v>
      </c>
      <c r="N47" s="218">
        <v>46127</v>
      </c>
      <c r="O47" s="218">
        <v>46123</v>
      </c>
      <c r="P47" s="218" t="s">
        <v>4241</v>
      </c>
      <c r="Q47" s="242"/>
      <c r="R47" s="242"/>
      <c r="S47" s="221" t="s">
        <v>806</v>
      </c>
      <c r="T47" s="243"/>
      <c r="U47" s="244" t="s">
        <v>493</v>
      </c>
      <c r="V47" s="244" t="s">
        <v>3731</v>
      </c>
      <c r="W47" s="222"/>
      <c r="X47" s="223" t="s">
        <v>2779</v>
      </c>
      <c r="Y47" s="224" t="s">
        <v>734</v>
      </c>
      <c r="Z47" s="245">
        <v>2.5718</v>
      </c>
      <c r="AA47" s="226">
        <f t="shared" si="38"/>
        <v>308.616</v>
      </c>
      <c r="AB47" s="227"/>
      <c r="AC47" s="228">
        <f t="shared" si="35"/>
        <v>-120</v>
      </c>
      <c r="AD47" s="226" t="s">
        <v>106</v>
      </c>
      <c r="AE47" s="224" t="s">
        <v>107</v>
      </c>
      <c r="AF47" s="229" t="s">
        <v>43</v>
      </c>
      <c r="AG47" s="230"/>
      <c r="AH47" s="247"/>
      <c r="AI47" s="247"/>
      <c r="AJ47" s="247"/>
      <c r="AK47" s="258"/>
      <c r="AL47" s="233"/>
      <c r="AM47" s="246"/>
      <c r="AN47" s="259"/>
      <c r="AO47" s="237">
        <f t="shared" si="33"/>
        <v>120</v>
      </c>
      <c r="AP47" s="237"/>
      <c r="AQ47" s="260"/>
      <c r="AR47" s="260"/>
      <c r="AS47" s="229"/>
      <c r="AT47" s="229">
        <f t="shared" si="34"/>
        <v>120</v>
      </c>
      <c r="AU47" s="229"/>
      <c r="AV47" s="259"/>
      <c r="AW47" s="237"/>
      <c r="AX47" s="261"/>
      <c r="AY47" s="249"/>
      <c r="AZ47" s="261"/>
      <c r="BA47" s="261"/>
      <c r="BB47" s="249"/>
      <c r="BC47" s="249"/>
      <c r="BD47" s="235"/>
      <c r="BE47" s="249"/>
      <c r="BF47" s="222"/>
      <c r="BG47" s="251"/>
      <c r="BH47" s="262"/>
      <c r="BI47" s="262"/>
      <c r="BJ47" s="251"/>
      <c r="BK47" s="239"/>
      <c r="BL47" s="251"/>
      <c r="BM47" s="239"/>
      <c r="BN47" s="239"/>
      <c r="BO47" s="263"/>
      <c r="BP47" s="235"/>
      <c r="BQ47" s="249"/>
      <c r="BR47" s="235"/>
      <c r="BS47" s="235"/>
      <c r="BT47" s="235"/>
      <c r="BU47" s="235"/>
      <c r="BV47" s="222" t="s">
        <v>109</v>
      </c>
      <c r="BW47" s="251"/>
      <c r="BX47" s="251"/>
      <c r="BY47" s="238">
        <f t="shared" si="36"/>
        <v>120</v>
      </c>
      <c r="BZ47" s="238"/>
      <c r="CA47" s="239">
        <f t="shared" si="39"/>
        <v>120</v>
      </c>
      <c r="CB47" s="239"/>
      <c r="CC47" s="239">
        <f t="shared" si="40"/>
        <v>120</v>
      </c>
      <c r="CD47" s="239">
        <f t="shared" si="41"/>
        <v>0</v>
      </c>
    </row>
    <row r="48" s="23" customFormat="1" ht="40" customHeight="1" spans="1:82">
      <c r="A48" s="206">
        <v>46083</v>
      </c>
      <c r="B48" s="207" t="s">
        <v>1587</v>
      </c>
      <c r="C48" s="208" t="s">
        <v>178</v>
      </c>
      <c r="D48" s="255">
        <v>4500194885</v>
      </c>
      <c r="E48" s="210" t="s">
        <v>4283</v>
      </c>
      <c r="F48" s="209" t="s">
        <v>4284</v>
      </c>
      <c r="G48" s="256" t="s">
        <v>153</v>
      </c>
      <c r="H48" s="213" t="s">
        <v>141</v>
      </c>
      <c r="I48" s="213" t="s">
        <v>99</v>
      </c>
      <c r="J48" s="257">
        <v>24</v>
      </c>
      <c r="K48" s="241">
        <v>0</v>
      </c>
      <c r="L48" s="257">
        <v>24</v>
      </c>
      <c r="M48" s="217">
        <f t="shared" si="37"/>
        <v>1</v>
      </c>
      <c r="N48" s="218">
        <v>46122</v>
      </c>
      <c r="O48" s="218">
        <v>46118</v>
      </c>
      <c r="P48" s="218" t="s">
        <v>4241</v>
      </c>
      <c r="Q48" s="242"/>
      <c r="R48" s="242"/>
      <c r="S48" s="221" t="s">
        <v>2874</v>
      </c>
      <c r="T48" s="243"/>
      <c r="U48" s="244" t="s">
        <v>493</v>
      </c>
      <c r="V48" s="244"/>
      <c r="W48" s="222"/>
      <c r="X48" s="223" t="s">
        <v>2875</v>
      </c>
      <c r="Y48" s="224" t="s">
        <v>734</v>
      </c>
      <c r="Z48" s="245">
        <v>2.5115</v>
      </c>
      <c r="AA48" s="226">
        <f t="shared" si="38"/>
        <v>60.276</v>
      </c>
      <c r="AB48" s="227"/>
      <c r="AC48" s="228">
        <f t="shared" si="35"/>
        <v>-24</v>
      </c>
      <c r="AD48" s="226" t="s">
        <v>106</v>
      </c>
      <c r="AE48" s="224" t="s">
        <v>107</v>
      </c>
      <c r="AF48" s="229" t="s">
        <v>43</v>
      </c>
      <c r="AG48" s="230"/>
      <c r="AH48" s="264"/>
      <c r="AI48" s="264"/>
      <c r="AJ48" s="264"/>
      <c r="AK48" s="258"/>
      <c r="AL48" s="233"/>
      <c r="AM48" s="265"/>
      <c r="AN48" s="266"/>
      <c r="AO48" s="237">
        <f t="shared" si="33"/>
        <v>24</v>
      </c>
      <c r="AP48" s="237"/>
      <c r="AQ48" s="267"/>
      <c r="AR48" s="267"/>
      <c r="AS48" s="229"/>
      <c r="AT48" s="229">
        <f t="shared" si="34"/>
        <v>24</v>
      </c>
      <c r="AU48" s="229"/>
      <c r="AV48" s="266"/>
      <c r="AW48" s="237"/>
      <c r="AX48" s="261"/>
      <c r="AY48" s="268"/>
      <c r="AZ48" s="261"/>
      <c r="BA48" s="261"/>
      <c r="BB48" s="268"/>
      <c r="BC48" s="268"/>
      <c r="BD48" s="235"/>
      <c r="BE48" s="268"/>
      <c r="BF48" s="222"/>
      <c r="BG48" s="251"/>
      <c r="BH48" s="269"/>
      <c r="BI48" s="269"/>
      <c r="BJ48" s="251"/>
      <c r="BK48" s="239"/>
      <c r="BL48" s="251"/>
      <c r="BM48" s="239"/>
      <c r="BN48" s="239"/>
      <c r="BO48" s="270"/>
      <c r="BP48" s="235"/>
      <c r="BQ48" s="268"/>
      <c r="BR48" s="235"/>
      <c r="BS48" s="235"/>
      <c r="BT48" s="235"/>
      <c r="BU48" s="235"/>
      <c r="BV48" s="222" t="s">
        <v>109</v>
      </c>
      <c r="BW48" s="251"/>
      <c r="BX48" s="251"/>
      <c r="BY48" s="238">
        <f t="shared" si="36"/>
        <v>24</v>
      </c>
      <c r="BZ48" s="238"/>
      <c r="CA48" s="239">
        <f t="shared" si="39"/>
        <v>24</v>
      </c>
      <c r="CB48" s="239"/>
      <c r="CC48" s="239">
        <f t="shared" si="40"/>
        <v>24</v>
      </c>
      <c r="CD48" s="239">
        <f t="shared" si="41"/>
        <v>0</v>
      </c>
    </row>
    <row r="49" s="23" customFormat="1" ht="40" customHeight="1" spans="1:83 16345:16384">
      <c r="A49" s="206">
        <v>46058</v>
      </c>
      <c r="B49" s="207" t="s">
        <v>2110</v>
      </c>
      <c r="C49" s="208" t="s">
        <v>214</v>
      </c>
      <c r="D49" s="255">
        <v>4500193110</v>
      </c>
      <c r="E49" s="210">
        <v>4561394696</v>
      </c>
      <c r="F49" s="209" t="s">
        <v>4285</v>
      </c>
      <c r="G49" s="256" t="s">
        <v>718</v>
      </c>
      <c r="H49" s="213" t="s">
        <v>718</v>
      </c>
      <c r="I49" s="213" t="s">
        <v>99</v>
      </c>
      <c r="J49" s="257">
        <v>606</v>
      </c>
      <c r="K49" s="241">
        <v>0</v>
      </c>
      <c r="L49" s="257">
        <v>6</v>
      </c>
      <c r="M49" s="217">
        <f t="shared" si="37"/>
        <v>101</v>
      </c>
      <c r="N49" s="218">
        <v>46119</v>
      </c>
      <c r="O49" s="218">
        <v>46115</v>
      </c>
      <c r="P49" s="218"/>
      <c r="Q49" s="242"/>
      <c r="R49" s="242"/>
      <c r="S49" s="221" t="s">
        <v>2846</v>
      </c>
      <c r="T49" s="243"/>
      <c r="U49" s="244" t="s">
        <v>2847</v>
      </c>
      <c r="V49" s="244"/>
      <c r="W49" s="222"/>
      <c r="X49" s="223" t="s">
        <v>2848</v>
      </c>
      <c r="Y49" s="224" t="s">
        <v>725</v>
      </c>
      <c r="Z49" s="245">
        <v>1.5775</v>
      </c>
      <c r="AA49" s="226">
        <f t="shared" si="38"/>
        <v>955.965</v>
      </c>
      <c r="AB49" s="227"/>
      <c r="AC49" s="228">
        <f t="shared" si="35"/>
        <v>-606</v>
      </c>
      <c r="AD49" s="226" t="s">
        <v>106</v>
      </c>
      <c r="AE49" s="224" t="s">
        <v>107</v>
      </c>
      <c r="AF49" s="229" t="s">
        <v>43</v>
      </c>
      <c r="AG49" s="230"/>
      <c r="AH49" s="264"/>
      <c r="AI49" s="264"/>
      <c r="AJ49" s="264"/>
      <c r="AK49" s="258"/>
      <c r="AL49" s="233">
        <f>取消订单!J49</f>
        <v>606</v>
      </c>
      <c r="AM49" s="265"/>
      <c r="AN49" s="266"/>
      <c r="AO49" s="237"/>
      <c r="AP49" s="237"/>
      <c r="AQ49" s="267"/>
      <c r="AR49" s="267"/>
      <c r="AS49" s="229"/>
      <c r="AT49" s="229">
        <f>取消订单!J49</f>
        <v>606</v>
      </c>
      <c r="AU49" s="229"/>
      <c r="AV49" s="266"/>
      <c r="AW49" s="237"/>
      <c r="AX49" s="261"/>
      <c r="AY49" s="268"/>
      <c r="AZ49" s="261"/>
      <c r="BA49" s="261"/>
      <c r="BB49" s="268"/>
      <c r="BC49" s="268"/>
      <c r="BD49" s="235"/>
      <c r="BE49" s="268"/>
      <c r="BF49" s="222"/>
      <c r="BG49" s="251"/>
      <c r="BH49" s="269"/>
      <c r="BI49" s="269"/>
      <c r="BJ49" s="251"/>
      <c r="BK49" s="239">
        <f>取消订单!J49/6</f>
        <v>101</v>
      </c>
      <c r="BL49" s="251"/>
      <c r="BM49" s="239"/>
      <c r="BN49" s="239"/>
      <c r="BO49" s="270"/>
      <c r="BP49" s="235"/>
      <c r="BQ49" s="268"/>
      <c r="BR49" s="235"/>
      <c r="BS49" s="235"/>
      <c r="BT49" s="235"/>
      <c r="BU49" s="235"/>
      <c r="BV49" s="222" t="s">
        <v>109</v>
      </c>
      <c r="BW49" s="251">
        <f>取消订单!J49/4</f>
        <v>151.5</v>
      </c>
      <c r="BX49" s="251">
        <f>取消订单!J49/4</f>
        <v>151.5</v>
      </c>
      <c r="BY49" s="238">
        <f>取消订单!J49/4</f>
        <v>151.5</v>
      </c>
      <c r="BZ49" s="238">
        <f>取消订单!J49/4</f>
        <v>151.5</v>
      </c>
      <c r="CA49" s="239">
        <f>取消订单!J49</f>
        <v>606</v>
      </c>
      <c r="CB49" s="239"/>
      <c r="CC49" s="239">
        <f t="shared" si="40"/>
        <v>606</v>
      </c>
      <c r="CD49" s="239">
        <f>取消订单!J49-CC49</f>
        <v>0</v>
      </c>
    </row>
    <row r="50" s="23" customFormat="1" ht="40" customHeight="1" spans="1:83 16345:16384">
      <c r="A50" s="206">
        <v>46101</v>
      </c>
      <c r="B50" s="271" t="s">
        <v>1587</v>
      </c>
      <c r="C50" s="208" t="s">
        <v>178</v>
      </c>
      <c r="D50" s="209">
        <v>4500197925</v>
      </c>
      <c r="E50" s="210" t="s">
        <v>4286</v>
      </c>
      <c r="F50" s="211" t="s">
        <v>4287</v>
      </c>
      <c r="G50" s="213" t="s">
        <v>141</v>
      </c>
      <c r="H50" s="213" t="s">
        <v>99</v>
      </c>
      <c r="I50" s="241">
        <v>24</v>
      </c>
      <c r="J50" s="241">
        <v>0</v>
      </c>
      <c r="K50" s="217">
        <v>24</v>
      </c>
      <c r="L50" s="217">
        <f t="shared" ref="L50:L54" si="42">I50/K50</f>
        <v>1</v>
      </c>
      <c r="M50" s="218">
        <v>46149</v>
      </c>
      <c r="N50" s="218">
        <v>46146</v>
      </c>
      <c r="O50" s="272" t="s">
        <v>4288</v>
      </c>
      <c r="P50" s="242"/>
      <c r="Q50" s="242"/>
      <c r="R50" s="221"/>
      <c r="S50" s="242"/>
      <c r="T50" s="221" t="s">
        <v>493</v>
      </c>
      <c r="U50" s="221" t="s">
        <v>3731</v>
      </c>
      <c r="V50" s="222"/>
      <c r="W50" s="273" t="s">
        <v>2983</v>
      </c>
      <c r="X50" s="224" t="s">
        <v>734</v>
      </c>
      <c r="Y50" s="274">
        <v>2.5718</v>
      </c>
      <c r="Z50" s="275">
        <f t="shared" ref="Z50:Z54" si="43">I50*Y50</f>
        <v>61.7232</v>
      </c>
      <c r="AA50" s="227"/>
      <c r="AB50" s="228">
        <f t="shared" ref="AB50:AB53" si="44">AA50-I50</f>
        <v>-24</v>
      </c>
      <c r="AC50" s="226"/>
      <c r="AD50" s="226" t="s">
        <v>106</v>
      </c>
      <c r="AE50" s="224" t="s">
        <v>107</v>
      </c>
      <c r="AF50" s="230"/>
      <c r="AG50" s="230"/>
      <c r="AH50" s="276"/>
      <c r="AI50" s="276"/>
      <c r="AJ50" s="277"/>
      <c r="AK50" s="227"/>
      <c r="AL50" s="227"/>
      <c r="AM50" s="276"/>
      <c r="AN50" s="277"/>
      <c r="AO50" s="227">
        <f t="shared" ref="AO50:AO54" si="45">I50</f>
        <v>24</v>
      </c>
      <c r="AP50" s="234"/>
      <c r="AQ50" s="276"/>
      <c r="AR50" s="276"/>
      <c r="AS50" s="229"/>
      <c r="AT50" s="227">
        <f t="shared" ref="AT50:AT54" si="46">I50</f>
        <v>24</v>
      </c>
      <c r="AU50" s="235"/>
      <c r="AV50" s="278"/>
      <c r="AW50" s="237"/>
      <c r="AX50" s="237"/>
      <c r="AY50" s="279"/>
      <c r="AZ50" s="261"/>
      <c r="BA50" s="261"/>
      <c r="BB50" s="279"/>
      <c r="BC50" s="279"/>
      <c r="BD50" s="235"/>
      <c r="BE50" s="279"/>
      <c r="BF50" s="222"/>
      <c r="BG50" s="251"/>
      <c r="BH50" s="280"/>
      <c r="BI50" s="280"/>
      <c r="BJ50" s="251"/>
      <c r="BK50" s="239"/>
      <c r="BL50" s="251"/>
      <c r="BM50" s="239"/>
      <c r="BN50" s="239"/>
      <c r="BO50" s="281"/>
      <c r="BP50" s="235"/>
      <c r="BQ50" s="279"/>
      <c r="BR50" s="235"/>
      <c r="BS50" s="235"/>
      <c r="BT50" s="235"/>
      <c r="BU50" s="235"/>
      <c r="BV50" s="222" t="s">
        <v>109</v>
      </c>
      <c r="BW50" s="251"/>
      <c r="BX50" s="238"/>
      <c r="BY50" s="238">
        <f t="shared" ref="BY50:BY54" si="47">I50</f>
        <v>24</v>
      </c>
      <c r="BZ50" s="238"/>
      <c r="CA50" s="239">
        <f t="shared" ref="CA50:CA52" si="48">I50</f>
        <v>24</v>
      </c>
      <c r="CB50" s="239"/>
      <c r="CC50" s="239">
        <f t="shared" si="40"/>
        <v>24</v>
      </c>
      <c r="CD50" s="239">
        <v>0</v>
      </c>
      <c r="XEM50" s="282"/>
      <c r="XEN50" s="282"/>
      <c r="XEO50" s="282"/>
      <c r="XEP50" s="282"/>
      <c r="XEQ50" s="282"/>
      <c r="XER50" s="282"/>
      <c r="XES50" s="282"/>
      <c r="XET50" s="282"/>
      <c r="XEU50" s="282"/>
      <c r="XEV50" s="282"/>
      <c r="XEW50" s="282"/>
      <c r="XEX50" s="282"/>
      <c r="XEY50" s="282"/>
      <c r="XEZ50" s="282"/>
      <c r="XFA50" s="282"/>
      <c r="XFB50" s="282"/>
      <c r="XFC50" s="282"/>
      <c r="XFD50" s="282"/>
    </row>
    <row r="51" s="23" customFormat="1" ht="40" customHeight="1" spans="1:83 16345:16384">
      <c r="A51" s="206">
        <v>46101</v>
      </c>
      <c r="B51" s="271" t="s">
        <v>1587</v>
      </c>
      <c r="C51" s="208" t="s">
        <v>178</v>
      </c>
      <c r="D51" s="209">
        <v>4500197925</v>
      </c>
      <c r="E51" s="210" t="s">
        <v>4289</v>
      </c>
      <c r="F51" s="211" t="s">
        <v>4290</v>
      </c>
      <c r="G51" s="213" t="s">
        <v>141</v>
      </c>
      <c r="H51" s="213" t="s">
        <v>99</v>
      </c>
      <c r="I51" s="241">
        <v>24</v>
      </c>
      <c r="J51" s="241">
        <v>0</v>
      </c>
      <c r="K51" s="217">
        <v>24</v>
      </c>
      <c r="L51" s="217">
        <f t="shared" si="42"/>
        <v>1</v>
      </c>
      <c r="M51" s="218">
        <v>46149</v>
      </c>
      <c r="N51" s="218">
        <v>46146</v>
      </c>
      <c r="O51" s="272" t="s">
        <v>4288</v>
      </c>
      <c r="P51" s="242"/>
      <c r="Q51" s="242"/>
      <c r="R51" s="221"/>
      <c r="S51" s="242"/>
      <c r="T51" s="221" t="s">
        <v>493</v>
      </c>
      <c r="U51" s="221" t="s">
        <v>3731</v>
      </c>
      <c r="V51" s="222"/>
      <c r="W51" s="273" t="s">
        <v>2983</v>
      </c>
      <c r="X51" s="224" t="s">
        <v>734</v>
      </c>
      <c r="Y51" s="274">
        <v>2.5718</v>
      </c>
      <c r="Z51" s="275">
        <f t="shared" si="43"/>
        <v>61.7232</v>
      </c>
      <c r="AA51" s="227"/>
      <c r="AB51" s="228">
        <f t="shared" si="44"/>
        <v>-24</v>
      </c>
      <c r="AC51" s="226"/>
      <c r="AD51" s="226" t="s">
        <v>106</v>
      </c>
      <c r="AE51" s="224" t="s">
        <v>107</v>
      </c>
      <c r="AF51" s="230"/>
      <c r="AG51" s="230"/>
      <c r="AH51" s="276"/>
      <c r="AI51" s="276"/>
      <c r="AJ51" s="277"/>
      <c r="AK51" s="227"/>
      <c r="AL51" s="227"/>
      <c r="AM51" s="276"/>
      <c r="AN51" s="277"/>
      <c r="AO51" s="227">
        <f t="shared" si="45"/>
        <v>24</v>
      </c>
      <c r="AP51" s="234"/>
      <c r="AQ51" s="276"/>
      <c r="AR51" s="276"/>
      <c r="AS51" s="229"/>
      <c r="AT51" s="227">
        <f t="shared" si="46"/>
        <v>24</v>
      </c>
      <c r="AU51" s="235"/>
      <c r="AV51" s="278"/>
      <c r="AW51" s="237"/>
      <c r="AX51" s="237"/>
      <c r="AY51" s="279"/>
      <c r="AZ51" s="261"/>
      <c r="BA51" s="261"/>
      <c r="BB51" s="279"/>
      <c r="BC51" s="279"/>
      <c r="BD51" s="235"/>
      <c r="BE51" s="279"/>
      <c r="BF51" s="222"/>
      <c r="BG51" s="251"/>
      <c r="BH51" s="280"/>
      <c r="BI51" s="280"/>
      <c r="BJ51" s="251"/>
      <c r="BK51" s="239"/>
      <c r="BL51" s="251"/>
      <c r="BM51" s="239"/>
      <c r="BN51" s="239"/>
      <c r="BO51" s="281"/>
      <c r="BP51" s="235"/>
      <c r="BQ51" s="279"/>
      <c r="BR51" s="235"/>
      <c r="BS51" s="235"/>
      <c r="BT51" s="235"/>
      <c r="BU51" s="235"/>
      <c r="BV51" s="222" t="s">
        <v>109</v>
      </c>
      <c r="BW51" s="251"/>
      <c r="BX51" s="238"/>
      <c r="BY51" s="238">
        <f t="shared" si="47"/>
        <v>24</v>
      </c>
      <c r="BZ51" s="238"/>
      <c r="CA51" s="239">
        <f t="shared" si="48"/>
        <v>24</v>
      </c>
      <c r="CB51" s="239"/>
      <c r="CC51" s="239">
        <f t="shared" si="40"/>
        <v>24</v>
      </c>
      <c r="CD51" s="239">
        <v>0</v>
      </c>
      <c r="XEM51" s="282"/>
      <c r="XEN51" s="282"/>
      <c r="XEO51" s="282"/>
      <c r="XEP51" s="282"/>
      <c r="XEQ51" s="282"/>
      <c r="XER51" s="282"/>
      <c r="XES51" s="282"/>
      <c r="XET51" s="282"/>
      <c r="XEU51" s="282"/>
      <c r="XEV51" s="282"/>
      <c r="XEW51" s="282"/>
      <c r="XEX51" s="282"/>
      <c r="XEY51" s="282"/>
      <c r="XEZ51" s="282"/>
      <c r="XFA51" s="282"/>
      <c r="XFB51" s="282"/>
      <c r="XFC51" s="282"/>
      <c r="XFD51" s="282"/>
    </row>
    <row r="52" s="23" customFormat="1" ht="40" customHeight="1" spans="1:83 16345:16384">
      <c r="A52" s="206">
        <v>46101</v>
      </c>
      <c r="B52" s="271" t="s">
        <v>1587</v>
      </c>
      <c r="C52" s="208" t="s">
        <v>178</v>
      </c>
      <c r="D52" s="209">
        <v>4500197925</v>
      </c>
      <c r="E52" s="210" t="s">
        <v>4291</v>
      </c>
      <c r="F52" s="211" t="s">
        <v>4292</v>
      </c>
      <c r="G52" s="213" t="s">
        <v>141</v>
      </c>
      <c r="H52" s="213" t="s">
        <v>99</v>
      </c>
      <c r="I52" s="241">
        <v>24</v>
      </c>
      <c r="J52" s="241">
        <v>0</v>
      </c>
      <c r="K52" s="217">
        <v>24</v>
      </c>
      <c r="L52" s="217">
        <f t="shared" si="42"/>
        <v>1</v>
      </c>
      <c r="M52" s="218">
        <v>46149</v>
      </c>
      <c r="N52" s="218">
        <v>46146</v>
      </c>
      <c r="O52" s="272" t="s">
        <v>4288</v>
      </c>
      <c r="P52" s="242"/>
      <c r="Q52" s="242"/>
      <c r="R52" s="221"/>
      <c r="S52" s="242"/>
      <c r="T52" s="221" t="s">
        <v>493</v>
      </c>
      <c r="U52" s="221" t="s">
        <v>3731</v>
      </c>
      <c r="V52" s="222"/>
      <c r="W52" s="273" t="s">
        <v>2983</v>
      </c>
      <c r="X52" s="224" t="s">
        <v>734</v>
      </c>
      <c r="Y52" s="274">
        <v>2.5718</v>
      </c>
      <c r="Z52" s="275">
        <f t="shared" si="43"/>
        <v>61.7232</v>
      </c>
      <c r="AA52" s="227"/>
      <c r="AB52" s="228">
        <f t="shared" si="44"/>
        <v>-24</v>
      </c>
      <c r="AC52" s="226"/>
      <c r="AD52" s="226" t="s">
        <v>106</v>
      </c>
      <c r="AE52" s="224" t="s">
        <v>107</v>
      </c>
      <c r="AF52" s="230"/>
      <c r="AG52" s="230"/>
      <c r="AH52" s="276"/>
      <c r="AI52" s="276"/>
      <c r="AJ52" s="277"/>
      <c r="AK52" s="227"/>
      <c r="AL52" s="227"/>
      <c r="AM52" s="276"/>
      <c r="AN52" s="277"/>
      <c r="AO52" s="227">
        <f t="shared" si="45"/>
        <v>24</v>
      </c>
      <c r="AP52" s="234"/>
      <c r="AQ52" s="276"/>
      <c r="AR52" s="276"/>
      <c r="AS52" s="229"/>
      <c r="AT52" s="227">
        <f t="shared" si="46"/>
        <v>24</v>
      </c>
      <c r="AU52" s="235"/>
      <c r="AV52" s="278"/>
      <c r="AW52" s="237"/>
      <c r="AX52" s="237"/>
      <c r="AY52" s="279"/>
      <c r="AZ52" s="261"/>
      <c r="BA52" s="261"/>
      <c r="BB52" s="279"/>
      <c r="BC52" s="279"/>
      <c r="BD52" s="235"/>
      <c r="BE52" s="279"/>
      <c r="BF52" s="222"/>
      <c r="BG52" s="251"/>
      <c r="BH52" s="280"/>
      <c r="BI52" s="280"/>
      <c r="BJ52" s="251"/>
      <c r="BK52" s="239"/>
      <c r="BL52" s="251"/>
      <c r="BM52" s="239"/>
      <c r="BN52" s="239"/>
      <c r="BO52" s="281"/>
      <c r="BP52" s="235"/>
      <c r="BQ52" s="279"/>
      <c r="BR52" s="235"/>
      <c r="BS52" s="235"/>
      <c r="BT52" s="235"/>
      <c r="BU52" s="235"/>
      <c r="BV52" s="222" t="s">
        <v>109</v>
      </c>
      <c r="BW52" s="251"/>
      <c r="BX52" s="238"/>
      <c r="BY52" s="238">
        <f t="shared" si="47"/>
        <v>24</v>
      </c>
      <c r="BZ52" s="238"/>
      <c r="CA52" s="239">
        <f t="shared" si="48"/>
        <v>24</v>
      </c>
      <c r="CB52" s="239"/>
      <c r="CC52" s="239">
        <f t="shared" si="40"/>
        <v>24</v>
      </c>
      <c r="CD52" s="239">
        <v>0</v>
      </c>
      <c r="XEM52" s="282"/>
      <c r="XEN52" s="282"/>
      <c r="XEO52" s="282"/>
      <c r="XEP52" s="282"/>
      <c r="XEQ52" s="282"/>
      <c r="XER52" s="282"/>
      <c r="XES52" s="282"/>
      <c r="XET52" s="282"/>
      <c r="XEU52" s="282"/>
      <c r="XEV52" s="282"/>
      <c r="XEW52" s="282"/>
      <c r="XEX52" s="282"/>
      <c r="XEY52" s="282"/>
      <c r="XEZ52" s="282"/>
      <c r="XFA52" s="282"/>
      <c r="XFB52" s="282"/>
      <c r="XFC52" s="282"/>
      <c r="XFD52" s="282"/>
    </row>
    <row r="53" s="24" customFormat="1" ht="40" customHeight="1" spans="1:83 16345:16384">
      <c r="A53" s="206">
        <v>46129</v>
      </c>
      <c r="B53" s="283" t="s">
        <v>2718</v>
      </c>
      <c r="C53" s="284" t="s">
        <v>144</v>
      </c>
      <c r="D53" s="209">
        <v>4500202512</v>
      </c>
      <c r="E53" s="210" t="s">
        <v>3126</v>
      </c>
      <c r="F53" s="209" t="s">
        <v>4293</v>
      </c>
      <c r="G53" s="213" t="s">
        <v>2611</v>
      </c>
      <c r="H53" s="213" t="s">
        <v>2612</v>
      </c>
      <c r="I53" s="241">
        <v>480</v>
      </c>
      <c r="J53" s="241">
        <v>0</v>
      </c>
      <c r="K53" s="217">
        <v>24</v>
      </c>
      <c r="L53" s="217">
        <f t="shared" si="42"/>
        <v>20</v>
      </c>
      <c r="M53" s="218">
        <v>46181</v>
      </c>
      <c r="N53" s="218">
        <v>46177</v>
      </c>
      <c r="O53" s="218"/>
      <c r="P53" s="285" t="s">
        <v>4294</v>
      </c>
      <c r="Q53" s="286" t="s">
        <v>4295</v>
      </c>
      <c r="R53" s="242"/>
      <c r="S53" s="218"/>
      <c r="T53" s="285" t="s">
        <v>4296</v>
      </c>
      <c r="U53" s="242"/>
      <c r="V53" s="222"/>
      <c r="W53" s="223" t="s">
        <v>4297</v>
      </c>
      <c r="X53" s="224" t="s">
        <v>596</v>
      </c>
      <c r="Y53" s="287">
        <v>2.6134</v>
      </c>
      <c r="Z53" s="226">
        <f t="shared" si="43"/>
        <v>1254.432</v>
      </c>
      <c r="AA53" s="227">
        <v>480</v>
      </c>
      <c r="AB53" s="227">
        <f t="shared" si="44"/>
        <v>0</v>
      </c>
      <c r="AC53" s="288" t="s">
        <v>106</v>
      </c>
      <c r="AD53" s="213" t="s">
        <v>2611</v>
      </c>
      <c r="AE53" s="224" t="s">
        <v>107</v>
      </c>
      <c r="AF53" s="289" t="s">
        <v>43</v>
      </c>
      <c r="AG53" s="224"/>
      <c r="AH53" s="290"/>
      <c r="AI53" s="290"/>
      <c r="AJ53" s="290"/>
      <c r="AK53" s="291"/>
      <c r="AL53" s="227"/>
      <c r="AM53" s="290"/>
      <c r="AN53" s="292"/>
      <c r="AO53" s="229">
        <f t="shared" si="45"/>
        <v>480</v>
      </c>
      <c r="AP53" s="229"/>
      <c r="AQ53" s="292"/>
      <c r="AR53" s="292"/>
      <c r="AS53" s="293"/>
      <c r="AT53" s="229">
        <f t="shared" si="46"/>
        <v>480</v>
      </c>
      <c r="AU53" s="229"/>
      <c r="AV53" s="292"/>
      <c r="AW53" s="293"/>
      <c r="AX53" s="229"/>
      <c r="AY53" s="294"/>
      <c r="AZ53" s="236"/>
      <c r="BA53" s="235"/>
      <c r="BB53" s="294"/>
      <c r="BC53" s="294"/>
      <c r="BD53" s="235"/>
      <c r="BE53" s="294"/>
      <c r="BF53" s="295"/>
      <c r="BG53" s="251"/>
      <c r="BH53" s="296"/>
      <c r="BI53" s="296"/>
      <c r="BJ53" s="297"/>
      <c r="BK53" s="239"/>
      <c r="BL53" s="251"/>
      <c r="BM53" s="239"/>
      <c r="BN53" s="239"/>
      <c r="BO53" s="298"/>
      <c r="BP53" s="235"/>
      <c r="BQ53" s="294"/>
      <c r="BR53" s="235"/>
      <c r="BS53" s="235"/>
      <c r="BT53" s="235"/>
      <c r="BU53" s="235"/>
      <c r="BV53" s="222" t="s">
        <v>109</v>
      </c>
      <c r="BW53" s="251"/>
      <c r="BX53" s="251"/>
      <c r="BY53" s="251">
        <f t="shared" si="47"/>
        <v>480</v>
      </c>
      <c r="BZ53" s="251"/>
      <c r="CA53" s="239"/>
      <c r="CB53" s="251"/>
      <c r="CC53" s="239">
        <f t="shared" si="40"/>
        <v>480</v>
      </c>
      <c r="CD53" s="239">
        <f>I53-CC53</f>
        <v>0</v>
      </c>
      <c r="XEM53" s="299"/>
      <c r="XEN53" s="299"/>
      <c r="XEO53" s="299"/>
      <c r="XEP53" s="299"/>
      <c r="XEQ53" s="299"/>
      <c r="XER53" s="299"/>
      <c r="XES53" s="299"/>
      <c r="XET53" s="299"/>
      <c r="XEU53" s="299"/>
      <c r="XEV53" s="299"/>
      <c r="XEW53" s="299"/>
      <c r="XEX53" s="299"/>
      <c r="XEY53" s="299"/>
      <c r="XEZ53" s="299"/>
      <c r="XFA53" s="299"/>
      <c r="XFB53" s="299"/>
      <c r="XFC53" s="299"/>
      <c r="XFD53" s="299"/>
    </row>
    <row r="54" s="25" customFormat="1" ht="40" customHeight="1" spans="1:83 16345:16384">
      <c r="A54" s="300">
        <v>46185</v>
      </c>
      <c r="B54" s="301" t="s">
        <v>379</v>
      </c>
      <c r="C54" s="302" t="s">
        <v>380</v>
      </c>
      <c r="D54" s="303" t="s">
        <v>3509</v>
      </c>
      <c r="E54" s="304" t="s">
        <v>4298</v>
      </c>
      <c r="F54" s="303" t="s">
        <v>4299</v>
      </c>
      <c r="G54" s="305" t="s">
        <v>2611</v>
      </c>
      <c r="H54" s="306" t="s">
        <v>4300</v>
      </c>
      <c r="I54" s="307">
        <v>480</v>
      </c>
      <c r="J54" s="307">
        <v>0</v>
      </c>
      <c r="K54" s="308">
        <v>24</v>
      </c>
      <c r="L54" s="308">
        <f t="shared" si="42"/>
        <v>20</v>
      </c>
      <c r="M54" s="309">
        <v>46237</v>
      </c>
      <c r="N54" s="309">
        <v>46233</v>
      </c>
      <c r="O54" s="310" t="s">
        <v>4301</v>
      </c>
      <c r="P54" s="310" t="s">
        <v>3206</v>
      </c>
      <c r="Q54" s="143" t="s">
        <v>4237</v>
      </c>
      <c r="R54" s="311"/>
      <c r="S54" s="309"/>
      <c r="T54" s="312" t="s">
        <v>4302</v>
      </c>
      <c r="U54" s="313"/>
      <c r="V54" s="314" t="s">
        <v>3514</v>
      </c>
      <c r="W54" s="315" t="s">
        <v>4303</v>
      </c>
      <c r="X54" s="316" t="s">
        <v>3516</v>
      </c>
      <c r="Y54" s="317">
        <v>2.6134</v>
      </c>
      <c r="Z54" s="318">
        <f t="shared" si="43"/>
        <v>1254.432</v>
      </c>
      <c r="AA54" s="319"/>
      <c r="AB54" s="319"/>
      <c r="AC54" s="320"/>
      <c r="AD54" s="321" t="s">
        <v>2611</v>
      </c>
      <c r="AE54" s="322"/>
      <c r="AF54" s="323"/>
      <c r="AG54" s="316"/>
      <c r="AH54" s="324"/>
      <c r="AI54" s="293"/>
      <c r="AJ54" s="293"/>
      <c r="AK54" s="325"/>
      <c r="AL54" s="323"/>
      <c r="AM54" s="326"/>
      <c r="AN54" s="327"/>
      <c r="AO54" s="328">
        <f t="shared" si="45"/>
        <v>480</v>
      </c>
      <c r="AP54" s="329"/>
      <c r="AQ54" s="330"/>
      <c r="AR54" s="297"/>
      <c r="AS54" s="331"/>
      <c r="AT54" s="323">
        <f t="shared" si="46"/>
        <v>480</v>
      </c>
      <c r="AU54" s="332"/>
      <c r="AV54" s="333"/>
      <c r="AW54" s="327"/>
      <c r="AX54" s="332"/>
      <c r="AY54" s="333"/>
      <c r="AZ54" s="334"/>
      <c r="BA54" s="329"/>
      <c r="BB54" s="335"/>
      <c r="BC54" s="336"/>
      <c r="BD54" s="329"/>
      <c r="BE54" s="330"/>
      <c r="BF54" s="336"/>
      <c r="BG54" s="337"/>
      <c r="BH54" s="330"/>
      <c r="BI54" s="338"/>
      <c r="BJ54" s="338"/>
      <c r="BO54" s="338"/>
      <c r="BQ54" s="338"/>
      <c r="BV54" s="314" t="s">
        <v>109</v>
      </c>
      <c r="BW54" s="339"/>
      <c r="BX54" s="339"/>
      <c r="BY54" s="339">
        <f t="shared" si="47"/>
        <v>480</v>
      </c>
      <c r="BZ54" s="339"/>
      <c r="CA54" s="339"/>
      <c r="CB54" s="339"/>
      <c r="CC54" s="339">
        <f t="shared" si="40"/>
        <v>480</v>
      </c>
      <c r="CD54" s="339">
        <f>I54-CC54</f>
        <v>0</v>
      </c>
      <c r="CE54" s="339"/>
      <c r="XDQ54" s="340"/>
      <c r="XDR54" s="340"/>
      <c r="XDS54" s="340"/>
      <c r="XDT54" s="340"/>
      <c r="XDU54" s="340"/>
      <c r="XDV54" s="340"/>
      <c r="XDW54" s="340"/>
      <c r="XDX54" s="340"/>
      <c r="XDY54" s="340"/>
      <c r="XDZ54" s="340"/>
      <c r="XEA54" s="340"/>
      <c r="XEB54" s="340"/>
      <c r="XEC54" s="340"/>
      <c r="XED54" s="340"/>
      <c r="XEE54" s="340"/>
      <c r="XEF54" s="340"/>
      <c r="XEG54" s="340"/>
      <c r="XEH54" s="340"/>
      <c r="XEI54" s="300"/>
      <c r="XEJ54" s="301"/>
      <c r="XEK54" s="302"/>
      <c r="XEL54" s="303"/>
      <c r="XEM54" s="304"/>
      <c r="XEN54" s="303"/>
      <c r="XEO54" s="305"/>
      <c r="XEP54" s="305"/>
      <c r="XEQ54" s="307"/>
      <c r="XER54" s="307"/>
      <c r="XES54" s="308"/>
      <c r="XET54" s="308"/>
      <c r="XEU54" s="309"/>
      <c r="XEV54" s="309"/>
      <c r="XEW54" s="309"/>
      <c r="XEX54" s="312"/>
      <c r="XEY54" s="313"/>
      <c r="XEZ54" s="313"/>
      <c r="XFA54" s="309"/>
      <c r="XFB54" s="312"/>
      <c r="XFC54" s="313"/>
      <c r="XFD54" s="341"/>
    </row>
  </sheetData>
  <sheetProtection formatCells="0" formatColumns="0" formatRows="0" insertRows="0" insertColumns="0" insertHyperlinks="0" deleteColumns="0" deleteRows="0" sort="0" autoFilter="0" pivotTables="0"/>
  <autoFilter xmlns:etc="http://www.wps.cn/officeDocument/2017/etCustomData" ref="A1:XFD54" etc:filterBottomFollowUsedRange="1">
    <extLst/>
  </autoFilter>
  <conditionalFormatting sqref="S1:T1">
    <cfRule type="cellIs" dxfId="0" priority="94" operator="equal">
      <formula>"欠"</formula>
    </cfRule>
  </conditionalFormatting>
  <conditionalFormatting sqref="U1">
    <cfRule type="cellIs" dxfId="0" priority="93" operator="equal">
      <formula>"欠"</formula>
    </cfRule>
  </conditionalFormatting>
  <conditionalFormatting sqref="S22">
    <cfRule type="containsText" dxfId="1" priority="79" operator="between" text="欠">
      <formula>NOT(ISERROR(SEARCH("欠",S22)))</formula>
    </cfRule>
  </conditionalFormatting>
  <conditionalFormatting sqref="T22:U22">
    <cfRule type="containsText" dxfId="1" priority="78" operator="between" text="欠">
      <formula>NOT(ISERROR(SEARCH("欠",T22)))</formula>
    </cfRule>
  </conditionalFormatting>
  <conditionalFormatting sqref="S26">
    <cfRule type="containsText" dxfId="1" priority="81" operator="between" text="欠">
      <formula>NOT(ISERROR(SEARCH("欠",S26)))</formula>
    </cfRule>
  </conditionalFormatting>
  <conditionalFormatting sqref="T26:U26">
    <cfRule type="containsText" dxfId="1" priority="80" operator="between" text="欠">
      <formula>NOT(ISERROR(SEARCH("欠",T26)))</formula>
    </cfRule>
  </conditionalFormatting>
  <conditionalFormatting sqref="S27">
    <cfRule type="containsText" dxfId="1" priority="72" operator="between" text="欠">
      <formula>NOT(ISERROR(SEARCH("欠",S27)))</formula>
    </cfRule>
  </conditionalFormatting>
  <conditionalFormatting sqref="U27">
    <cfRule type="containsText" dxfId="1" priority="71" operator="between" text="欠">
      <formula>NOT(ISERROR(SEARCH("欠",U27)))</formula>
    </cfRule>
  </conditionalFormatting>
  <conditionalFormatting sqref="V27">
    <cfRule type="containsText" dxfId="1" priority="73" operator="between" text="欠">
      <formula>NOT(ISERROR(SEARCH("欠",V27)))</formula>
    </cfRule>
  </conditionalFormatting>
  <conditionalFormatting sqref="S30">
    <cfRule type="containsText" dxfId="1" priority="67" operator="between" text="欠">
      <formula>NOT(ISERROR(SEARCH("欠",S30)))</formula>
    </cfRule>
  </conditionalFormatting>
  <conditionalFormatting sqref="U30">
    <cfRule type="containsText" dxfId="1" priority="66" operator="between" text="欠">
      <formula>NOT(ISERROR(SEARCH("欠",U30)))</formula>
    </cfRule>
  </conditionalFormatting>
  <conditionalFormatting sqref="V30">
    <cfRule type="containsText" dxfId="1" priority="65" operator="between" text="欠">
      <formula>NOT(ISERROR(SEARCH("欠",V30)))</formula>
    </cfRule>
  </conditionalFormatting>
  <conditionalFormatting sqref="S31">
    <cfRule type="containsText" dxfId="1" priority="64" operator="between" text="欠">
      <formula>NOT(ISERROR(SEARCH("欠",S31)))</formula>
    </cfRule>
  </conditionalFormatting>
  <conditionalFormatting sqref="U31">
    <cfRule type="containsText" dxfId="1" priority="63" operator="between" text="欠">
      <formula>NOT(ISERROR(SEARCH("欠",U31)))</formula>
    </cfRule>
  </conditionalFormatting>
  <conditionalFormatting sqref="V31">
    <cfRule type="containsText" dxfId="1" priority="62" operator="between" text="欠">
      <formula>NOT(ISERROR(SEARCH("欠",V31)))</formula>
    </cfRule>
  </conditionalFormatting>
  <conditionalFormatting sqref="S32">
    <cfRule type="containsText" dxfId="1" priority="61" operator="between" text="欠">
      <formula>NOT(ISERROR(SEARCH("欠",S32)))</formula>
    </cfRule>
  </conditionalFormatting>
  <conditionalFormatting sqref="U32">
    <cfRule type="containsText" dxfId="1" priority="60" operator="between" text="欠">
      <formula>NOT(ISERROR(SEARCH("欠",U32)))</formula>
    </cfRule>
  </conditionalFormatting>
  <conditionalFormatting sqref="V32">
    <cfRule type="containsText" dxfId="1" priority="59" operator="between" text="欠">
      <formula>NOT(ISERROR(SEARCH("欠",V32)))</formula>
    </cfRule>
  </conditionalFormatting>
  <conditionalFormatting sqref="S33">
    <cfRule type="containsText" dxfId="1" priority="57" operator="between" text="欠">
      <formula>NOT(ISERROR(SEARCH("欠",S33)))</formula>
    </cfRule>
  </conditionalFormatting>
  <conditionalFormatting sqref="U33">
    <cfRule type="containsText" dxfId="1" priority="58" operator="between" text="欠">
      <formula>NOT(ISERROR(SEARCH("欠",U33)))</formula>
    </cfRule>
  </conditionalFormatting>
  <conditionalFormatting sqref="V33">
    <cfRule type="containsText" dxfId="1" priority="56" operator="between" text="欠">
      <formula>NOT(ISERROR(SEARCH("欠",V33)))</formula>
    </cfRule>
  </conditionalFormatting>
  <conditionalFormatting sqref="S34">
    <cfRule type="containsText" dxfId="1" priority="54" operator="between" text="欠">
      <formula>NOT(ISERROR(SEARCH("欠",S34)))</formula>
    </cfRule>
  </conditionalFormatting>
  <conditionalFormatting sqref="U34">
    <cfRule type="containsText" dxfId="1" priority="55" operator="between" text="欠">
      <formula>NOT(ISERROR(SEARCH("欠",U34)))</formula>
    </cfRule>
  </conditionalFormatting>
  <conditionalFormatting sqref="V34">
    <cfRule type="containsText" dxfId="1" priority="53" operator="between" text="欠">
      <formula>NOT(ISERROR(SEARCH("欠",V34)))</formula>
    </cfRule>
  </conditionalFormatting>
  <conditionalFormatting sqref="S35">
    <cfRule type="containsText" dxfId="1" priority="51" operator="between" text="欠">
      <formula>NOT(ISERROR(SEARCH("欠",S35)))</formula>
    </cfRule>
  </conditionalFormatting>
  <conditionalFormatting sqref="U35">
    <cfRule type="containsText" dxfId="1" priority="50" operator="between" text="欠">
      <formula>NOT(ISERROR(SEARCH("欠",U35)))</formula>
    </cfRule>
  </conditionalFormatting>
  <conditionalFormatting sqref="V35">
    <cfRule type="containsText" dxfId="1" priority="52" operator="between" text="欠">
      <formula>NOT(ISERROR(SEARCH("欠",V35)))</formula>
    </cfRule>
  </conditionalFormatting>
  <conditionalFormatting sqref="U40">
    <cfRule type="containsText" dxfId="1" priority="45" operator="between" text="欠">
      <formula>NOT(ISERROR(SEARCH("欠",U40)))</formula>
    </cfRule>
  </conditionalFormatting>
  <conditionalFormatting sqref="V40">
    <cfRule type="containsText" dxfId="1" priority="43" operator="between" text="欠">
      <formula>NOT(ISERROR(SEARCH("欠",V40)))</formula>
    </cfRule>
  </conditionalFormatting>
  <conditionalFormatting sqref="U41">
    <cfRule type="containsText" dxfId="1" priority="44" operator="between" text="欠">
      <formula>NOT(ISERROR(SEARCH("欠",U41)))</formula>
    </cfRule>
  </conditionalFormatting>
  <conditionalFormatting sqref="V41">
    <cfRule type="containsText" dxfId="1" priority="42" operator="between" text="欠">
      <formula>NOT(ISERROR(SEARCH("欠",V41)))</formula>
    </cfRule>
  </conditionalFormatting>
  <conditionalFormatting sqref="S42">
    <cfRule type="containsText" dxfId="1" priority="38" operator="between" text="欠">
      <formula>NOT(ISERROR(SEARCH("欠",S42)))</formula>
    </cfRule>
  </conditionalFormatting>
  <conditionalFormatting sqref="U42">
    <cfRule type="containsText" dxfId="1" priority="39" operator="between" text="欠">
      <formula>NOT(ISERROR(SEARCH("欠",U42)))</formula>
    </cfRule>
  </conditionalFormatting>
  <conditionalFormatting sqref="V42">
    <cfRule type="containsText" dxfId="1" priority="40" operator="between" text="欠">
      <formula>NOT(ISERROR(SEARCH("欠",V42)))</formula>
    </cfRule>
  </conditionalFormatting>
  <conditionalFormatting sqref="S43">
    <cfRule type="containsText" dxfId="1" priority="37" operator="between" text="欠">
      <formula>NOT(ISERROR(SEARCH("欠",S43)))</formula>
    </cfRule>
  </conditionalFormatting>
  <conditionalFormatting sqref="U43">
    <cfRule type="containsText" dxfId="1" priority="35" operator="between" text="欠">
      <formula>NOT(ISERROR(SEARCH("欠",U43)))</formula>
    </cfRule>
  </conditionalFormatting>
  <conditionalFormatting sqref="V43">
    <cfRule type="containsText" dxfId="1" priority="36" operator="between" text="欠">
      <formula>NOT(ISERROR(SEARCH("欠",V43)))</formula>
    </cfRule>
  </conditionalFormatting>
  <conditionalFormatting sqref="S44">
    <cfRule type="containsText" dxfId="1" priority="31" operator="between" text="欠">
      <formula>NOT(ISERROR(SEARCH("欠",S44)))</formula>
    </cfRule>
  </conditionalFormatting>
  <conditionalFormatting sqref="U44">
    <cfRule type="containsText" dxfId="1" priority="29" operator="between" text="欠">
      <formula>NOT(ISERROR(SEARCH("欠",U44)))</formula>
    </cfRule>
  </conditionalFormatting>
  <conditionalFormatting sqref="V44">
    <cfRule type="containsText" dxfId="1" priority="30" operator="between" text="欠">
      <formula>NOT(ISERROR(SEARCH("欠",V44)))</formula>
    </cfRule>
  </conditionalFormatting>
  <conditionalFormatting sqref="S48">
    <cfRule type="containsText" dxfId="1" priority="23" operator="between" text="欠">
      <formula>NOT(ISERROR(SEARCH("欠",S48)))</formula>
    </cfRule>
  </conditionalFormatting>
  <conditionalFormatting sqref="U48">
    <cfRule type="containsText" dxfId="1" priority="24" operator="between" text="欠">
      <formula>NOT(ISERROR(SEARCH("欠",U48)))</formula>
    </cfRule>
  </conditionalFormatting>
  <conditionalFormatting sqref="V48">
    <cfRule type="containsText" dxfId="1" priority="25" operator="between" text="欠">
      <formula>NOT(ISERROR(SEARCH("欠",V48)))</formula>
    </cfRule>
  </conditionalFormatting>
  <conditionalFormatting sqref="S49">
    <cfRule type="containsText" dxfId="1" priority="14" operator="between" text="欠">
      <formula>NOT(ISERROR(SEARCH("欠",S49)))</formula>
    </cfRule>
  </conditionalFormatting>
  <conditionalFormatting sqref="U49">
    <cfRule type="containsText" dxfId="1" priority="15" operator="between" text="欠">
      <formula>NOT(ISERROR(SEARCH("欠",U49)))</formula>
    </cfRule>
  </conditionalFormatting>
  <conditionalFormatting sqref="V49">
    <cfRule type="containsText" dxfId="1" priority="16" operator="between" text="欠">
      <formula>NOT(ISERROR(SEARCH("欠",V49)))</formula>
    </cfRule>
  </conditionalFormatting>
  <conditionalFormatting sqref="Q53">
    <cfRule type="containsText" dxfId="3" priority="9" operator="between" text="出">
      <formula>NOT(ISERROR(SEARCH("出",Q53)))</formula>
    </cfRule>
  </conditionalFormatting>
  <conditionalFormatting sqref="U53">
    <cfRule type="containsText" dxfId="1" priority="10" operator="between" text="欠">
      <formula>NOT(ISERROR(SEARCH("欠",U53)))</formula>
    </cfRule>
  </conditionalFormatting>
  <conditionalFormatting sqref="Q54">
    <cfRule type="containsText" dxfId="3" priority="1" operator="between" text="出">
      <formula>NOT(ISERROR(SEARCH("出",Q54)))</formula>
    </cfRule>
  </conditionalFormatting>
  <conditionalFormatting sqref="R54">
    <cfRule type="containsText" dxfId="1" priority="3" operator="between" text="欠">
      <formula>NOT(ISERROR(SEARCH("欠",R54)))</formula>
    </cfRule>
  </conditionalFormatting>
  <conditionalFormatting sqref="T54">
    <cfRule type="containsText" dxfId="1" priority="4" operator="between" text="欠">
      <formula>NOT(ISERROR(SEARCH("欠",T54)))</formula>
    </cfRule>
  </conditionalFormatting>
  <conditionalFormatting sqref="U54">
    <cfRule type="containsText" dxfId="1" priority="2" operator="between" text="欠">
      <formula>NOT(ISERROR(SEARCH("欠",U54)))</formula>
    </cfRule>
  </conditionalFormatting>
  <conditionalFormatting sqref="R50:R52">
    <cfRule type="containsText" dxfId="1" priority="13" operator="between" text="欠">
      <formula>NOT(ISERROR(SEARCH("欠",R50)))</formula>
    </cfRule>
  </conditionalFormatting>
  <conditionalFormatting sqref="S23:S25">
    <cfRule type="containsText" dxfId="1" priority="83" operator="between" text="欠">
      <formula>NOT(ISERROR(SEARCH("欠",S23)))</formula>
    </cfRule>
  </conditionalFormatting>
  <conditionalFormatting sqref="S28:S29">
    <cfRule type="containsText" dxfId="1" priority="69" operator="between" text="欠">
      <formula>NOT(ISERROR(SEARCH("欠",S28)))</formula>
    </cfRule>
  </conditionalFormatting>
  <conditionalFormatting sqref="S36:S37">
    <cfRule type="containsText" dxfId="1" priority="48" operator="between" text="欠">
      <formula>NOT(ISERROR(SEARCH("欠",S36)))</formula>
    </cfRule>
  </conditionalFormatting>
  <conditionalFormatting sqref="S40:S41">
    <cfRule type="containsText" dxfId="1" priority="46" operator="between" text="欠">
      <formula>NOT(ISERROR(SEARCH("欠",S40)))</formula>
    </cfRule>
  </conditionalFormatting>
  <conditionalFormatting sqref="S45:S47">
    <cfRule type="containsText" dxfId="1" priority="26" operator="between" text="欠">
      <formula>NOT(ISERROR(SEARCH("欠",S45)))</formula>
    </cfRule>
  </conditionalFormatting>
  <conditionalFormatting sqref="T50:T52">
    <cfRule type="containsText" dxfId="1" priority="12" operator="between" text="欠">
      <formula>NOT(ISERROR(SEARCH("欠",T50)))</formula>
    </cfRule>
  </conditionalFormatting>
  <conditionalFormatting sqref="U28:U29">
    <cfRule type="containsText" dxfId="1" priority="68" operator="between" text="欠">
      <formula>NOT(ISERROR(SEARCH("欠",U28)))</formula>
    </cfRule>
  </conditionalFormatting>
  <conditionalFormatting sqref="U36:U37">
    <cfRule type="containsText" dxfId="1" priority="49" operator="between" text="欠">
      <formula>NOT(ISERROR(SEARCH("欠",U36)))</formula>
    </cfRule>
  </conditionalFormatting>
  <conditionalFormatting sqref="U45:U47">
    <cfRule type="containsText" dxfId="1" priority="27" operator="between" text="欠">
      <formula>NOT(ISERROR(SEARCH("欠",U45)))</formula>
    </cfRule>
  </conditionalFormatting>
  <conditionalFormatting sqref="U50:U52">
    <cfRule type="containsText" dxfId="1" priority="11" operator="between" text="欠">
      <formula>NOT(ISERROR(SEARCH("欠",U50)))</formula>
    </cfRule>
  </conditionalFormatting>
  <conditionalFormatting sqref="V22:V26">
    <cfRule type="containsText" dxfId="1" priority="77" operator="between" text="欠">
      <formula>NOT(ISERROR(SEARCH("欠",V22)))</formula>
    </cfRule>
  </conditionalFormatting>
  <conditionalFormatting sqref="V28:V29">
    <cfRule type="containsText" dxfId="1" priority="70" operator="between" text="欠">
      <formula>NOT(ISERROR(SEARCH("欠",V28)))</formula>
    </cfRule>
  </conditionalFormatting>
  <conditionalFormatting sqref="V38:V39">
    <cfRule type="containsText" dxfId="1" priority="47" operator="between" text="欠">
      <formula>NOT(ISERROR(SEARCH("欠",V38)))</formula>
    </cfRule>
  </conditionalFormatting>
  <conditionalFormatting sqref="V45:V47">
    <cfRule type="containsText" dxfId="1" priority="28" operator="between" text="欠">
      <formula>NOT(ISERROR(SEARCH("欠",V45)))</formula>
    </cfRule>
  </conditionalFormatting>
  <conditionalFormatting sqref="T23:U25">
    <cfRule type="containsText" dxfId="1" priority="82" operator="between" text="欠">
      <formula>NOT(ISERROR(SEARCH("欠",T23)))</formula>
    </cfRule>
  </conditionalFormatting>
  <conditionalFormatting sqref="U38:U39 S38:S39">
    <cfRule type="containsText" dxfId="1" priority="41" operator="between" text="欠">
      <formula>NOT(ISERROR(SEARCH("欠",S38)))</formula>
    </cfRule>
  </conditionalFormatting>
  <pageMargins left="0.75" right="0.75" top="1" bottom="1" header="0.5" footer="0.5"/>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zoomScale="130" zoomScaleNormal="130" workbookViewId="0">
      <selection activeCell="C6" sqref="C6"/>
    </sheetView>
  </sheetViews>
  <sheetFormatPr defaultColWidth="8" defaultRowHeight="13.5" outlineLevelCol="3"/>
  <cols>
    <col min="1" max="2" width="8" style="1"/>
    <col min="3" max="3" width="9.925" style="1" customWidth="1"/>
    <col min="4" max="16384" width="8" style="1"/>
  </cols>
  <sheetData>
    <row r="1" ht="14.25"/>
    <row r="2" ht="14.25" spans="1:4">
      <c r="A2" s="2">
        <v>9543</v>
      </c>
      <c r="B2" s="3"/>
      <c r="C2" s="3"/>
      <c r="D2" s="4"/>
    </row>
    <row r="3" ht="26" customHeight="1" spans="1:4">
      <c r="A3" s="5" t="s">
        <v>4304</v>
      </c>
      <c r="B3" s="6" t="s">
        <v>4305</v>
      </c>
      <c r="C3" s="6" t="s">
        <v>4306</v>
      </c>
      <c r="D3" s="7" t="s">
        <v>92</v>
      </c>
    </row>
    <row r="4" spans="1:4">
      <c r="A4" s="8">
        <v>3</v>
      </c>
      <c r="B4" s="9">
        <v>10200</v>
      </c>
      <c r="C4" s="9">
        <v>56000</v>
      </c>
      <c r="D4" s="10">
        <f t="shared" ref="D4:D10" si="0">SUM(B4:C4)</f>
        <v>66200</v>
      </c>
    </row>
    <row r="5" spans="1:4">
      <c r="A5" s="8">
        <v>4</v>
      </c>
      <c r="B5" s="9">
        <v>14536</v>
      </c>
      <c r="C5" s="9">
        <v>102904</v>
      </c>
      <c r="D5" s="10">
        <f t="shared" si="0"/>
        <v>117440</v>
      </c>
    </row>
    <row r="6" spans="1:4">
      <c r="A6" s="8">
        <v>5</v>
      </c>
      <c r="B6" s="9">
        <v>23364</v>
      </c>
      <c r="C6" s="9">
        <v>11352</v>
      </c>
      <c r="D6" s="10">
        <f t="shared" si="0"/>
        <v>34716</v>
      </c>
    </row>
    <row r="7" spans="1:4">
      <c r="A7" s="8">
        <v>6</v>
      </c>
      <c r="B7" s="9">
        <v>12072</v>
      </c>
      <c r="C7" s="9">
        <v>21274</v>
      </c>
      <c r="D7" s="10">
        <f t="shared" si="0"/>
        <v>33346</v>
      </c>
    </row>
    <row r="8" spans="1:4">
      <c r="A8" s="8">
        <v>7</v>
      </c>
      <c r="B8" s="9"/>
      <c r="C8" s="9">
        <v>42098</v>
      </c>
      <c r="D8" s="10">
        <f t="shared" si="0"/>
        <v>42098</v>
      </c>
    </row>
    <row r="9" spans="1:4">
      <c r="A9" s="8">
        <v>8</v>
      </c>
      <c r="B9" s="9"/>
      <c r="C9" s="9">
        <v>20000</v>
      </c>
      <c r="D9" s="10">
        <f t="shared" si="0"/>
        <v>20000</v>
      </c>
    </row>
    <row r="10" ht="14.25" spans="1:4">
      <c r="A10" s="11">
        <v>9</v>
      </c>
      <c r="B10" s="12"/>
      <c r="C10" s="12">
        <v>20000</v>
      </c>
      <c r="D10" s="13">
        <f t="shared" si="0"/>
        <v>20000</v>
      </c>
    </row>
    <row r="11" ht="14.25" spans="1:4">
      <c r="A11" s="14" t="s">
        <v>4109</v>
      </c>
      <c r="B11" s="15"/>
      <c r="C11" s="15"/>
      <c r="D11" s="4">
        <f>SUM(D4:D10)</f>
        <v>333800</v>
      </c>
    </row>
  </sheetData>
  <sheetProtection formatCells="0" formatColumns="0" formatRows="0" insertRows="0" insertColumns="0" insertHyperlinks="0" deleteColumns="0" deleteRows="0" sort="0" autoFilter="0" pivotTables="0"/>
  <mergeCells count="1">
    <mergeCell ref="A2:D2"/>
  </mergeCell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1" master="" otherUserPermission="edit">
    <arrUserId title="Range1" rangeCreator="" othersAccessPermission="edit">
      <userID accessPermission="edit">1475153551</userID>
      <userID accessPermission="edit">1851561945</userID>
      <userID accessPermission="edit">1715258932</userID>
      <userID accessPermission="edit">1850010794</userID>
    </arrUserId>
    <arrUserId title="Range2" rangeCreator="" othersAccessPermission="visible">
      <userID accessPermission="edit">1475153551</userID>
      <userID accessPermission="edit">1474709007</userID>
      <userID accessPermission="edit">1474966847</userID>
      <userID accessPermission="edit">1765212680</userID>
      <userID accessPermission="edit">1853477080</userID>
    </arrUserId>
  </rangeList>
  <rangeList sheetStid="4" master="" otherUserPermission="edit"/>
  <rangeList sheetStid="5" master="" otherUserPermission="edit"/>
  <rangeList sheetStid="3" master="" otherUserPermission="edit"/>
  <rangeList sheetStid="7" master="" otherUserPermission="edit"/>
  <rangeList sheetStid="6" master="" otherUserPermission="edit"/>
</allowEditUser>
</file>

<file path=customXml/item2.xml><?xml version="1.0" encoding="utf-8"?>
<comments xmlns="https://web.wps.cn/et/2018/main" xmlns:s="http://schemas.openxmlformats.org/spreadsheetml/2006/main" xmlns:r="http://schemas.openxmlformats.org/officeDocument/2006/relationships">
  <commentList sheetStid="1">
    <commentChains s:ref="AB4" rgbClr="FF0000">
      <unresolved>
        <commentChain chainId="b6b62fa72fb22078db51d1fa937959c8e2b52878">
          <item id="8b08ee7aee7abe61bfb23f6e44996253d510277c" isNormal="1">
            <s:text>
              <s:r>
                <s:t xml:space="preserve">Administrator:
0000362 7/24 792 pcs华兴三楼B8
</s:t>
              </s:r>
            </s:text>
          </item>
        </commentChain>
      </unresolved>
      <resolved/>
    </commentChains>
    <commentChains s:ref="AD4" rgbClr="FF0000">
      <unresolved>
        <commentChain chainId="fe83ab89f69f12e017c2ab1a58481b64c04420d1">
          <item id="52a51c51c3330e13906cef82149a65851a693821" isNormal="1">
            <s:text>
              <s:r>
                <s:t xml:space="preserve">Administrator:
7/15上 进口商贴纸（含EAN条码）贴纸 792 pcs</s:t>
              </s:r>
            </s:text>
          </item>
        </commentChain>
      </unresolved>
      <resolved/>
    </commentChains>
    <commentChains s:ref="AB5" rgbClr="FF0000">
      <unresolved>
        <commentChain chainId="774541dc6c7dc5929cd2f522a633045ff16f3ccf">
          <item id="00ce7546282a59935362e9d26ecd9d26c0befcbd" isNormal="1">
            <s:text>
              <s:r>
                <s:t xml:space="preserve">Administrator:
0001617 11/15 220 pcs 一楼</s:t>
              </s:r>
            </s:text>
          </item>
        </commentChain>
      </unresolved>
      <resolved/>
    </commentChains>
    <commentChains s:ref="AB6" rgbClr="FF0000">
      <unresolved>
        <commentChain chainId="520664bfa5a8bb8e43fd99bcc4f85767ee4e15a5">
          <item id="b27568f988e6a1de66552436e78c0e54fc49e73a" isNormal="1">
            <s:text>
              <s:r>
                <s:t xml:space="preserve">Administrator:
0001658 11/20 1584 pcs 华兴三楼B14
0001692 11/21 24 pcs B14</s:t>
              </s:r>
            </s:text>
          </item>
        </commentChain>
      </unresolved>
      <resolved/>
    </commentChains>
    <commentChains s:ref="AD6" rgbClr="FF0000">
      <unresolved>
        <commentChain chainId="43fba5dfb2f4679bdce7c52207a8d78ed4a65b72">
          <item id="dc584deb29809daba53abc027982ab04de98caa7" isNormal="1">
            <s:text>
              <s:r>
                <s:t xml:space="preserve">Administrator:
9/10上 进口商贴纸 1608 pcs
   EAN条码贴纸 1608 pcs</s:t>
              </s:r>
            </s:text>
          </item>
        </commentChain>
      </unresolved>
      <resolved/>
    </commentChains>
    <commentChains s:ref="AB7" rgbClr="FF0000">
      <unresolved>
        <commentChain chainId="a81027e15465f9edea52d3f89f421abbc26541dd">
          <item id="634fc66272798e16ea587f4f6f45f026432ee74d" isNormal="1">
            <s:text>
              <s:r>
                <s:t xml:space="preserve">Administrator:
0001692 11/21 816 pcs 华兴三楼B8</s:t>
              </s:r>
            </s:text>
          </item>
        </commentChain>
      </unresolved>
      <resolved/>
    </commentChains>
    <commentChains s:ref="AD7" rgbClr="FF0000">
      <unresolved>
        <commentChain chainId="eac4673b2e8ddc21efe9210fc842df7c43a500ad">
          <item id="c7c637f0dbde7540256c093178999cf9375af8ab" isNormal="1">
            <s:text>
              <s:r>
                <s:t xml:space="preserve">Administrator:
9/10上 进口商贴纸 816 pcs
   EAN条码贴纸 816 pcs</s:t>
              </s:r>
            </s:text>
          </item>
        </commentChain>
      </unresolved>
      <resolved/>
    </commentChains>
    <commentChains s:ref="AB8" rgbClr="FF0000">
      <unresolved>
        <commentChain chainId="edf81e96b6fd94dd533c56b3fbd409d50f148f69">
          <item id="04fb471abd6635743d3e98ab92c86a871fd8a99d" isNormal="1">
            <s:text>
              <s:r>
                <s:t xml:space="preserve">Administrator:
0000454 12/20 96 pcs 华兴三楼A24</s:t>
              </s:r>
            </s:text>
          </item>
        </commentChain>
      </unresolved>
      <resolved/>
    </commentChains>
    <commentChains s:ref="AD8" rgbClr="FF0000">
      <unresolved>
        <commentChain chainId="31eb2c2795f0ad0ffca91dd5a3e9e9a281edfb0a">
          <item id="7c0bde890f1f30f08a54bde1a95126cbdee39b48" isNormal="1">
            <s:text>
              <s:r>
                <s:t xml:space="preserve">Administrator:
12/6上 亚马逊外箱贴纸 4 pcs
12/9 上进口商贴纸96pcs
     UPC贴纸96pcs</s:t>
              </s:r>
            </s:text>
          </item>
        </commentChain>
      </unresolved>
      <resolved/>
    </commentChains>
    <commentChains s:ref="AB9" rgbClr="FF0000">
      <unresolved>
        <commentChain chainId="4af422375e2f118c042ac573157ff25db7c7a600">
          <item id="846db64c545896a26fad39ff2fcb9487cb658044" isNormal="1">
            <s:text>
              <s:r>
                <s:t xml:space="preserve">Administrator:
0000454 12/20 24 pcs 华兴三楼A24</s:t>
              </s:r>
            </s:text>
          </item>
        </commentChain>
      </unresolved>
      <resolved/>
    </commentChains>
    <commentChains s:ref="AD9" rgbClr="FF0000">
      <unresolved>
        <commentChain chainId="4205682d1448787756713069a56722b707f5886e">
          <item id="a258ec996b3c18191d561152c3d26e092606d26e" isNormal="1">
            <s:text>
              <s:r>
                <s:t xml:space="preserve">Administrator:
12/6上 亚马逊外箱贴纸 1 pcs
12/9 上进口商贴纸24pcs
     UPC贴纸24pcs
</s:t>
              </s:r>
            </s:text>
          </item>
        </commentChain>
      </unresolved>
      <resolved/>
    </commentChains>
    <commentChains s:ref="AB10" rgbClr="FF0000">
      <unresolved>
        <commentChain chainId="501dd2cfa1225b59f6aab332b77108af7304342f">
          <item id="532b7719b2256a8da61492091914cf2ee2208b13" isNormal="1">
            <s:text>
              <s:r>
                <s:t xml:space="preserve">Administrator:
0000435 12/20 504 pcs 华兴三楼A32</s:t>
              </s:r>
            </s:text>
          </item>
        </commentChain>
      </unresolved>
      <resolved/>
    </commentChains>
    <commentChains s:ref="AD10" rgbClr="FF0000">
      <unresolved>
        <commentChain chainId="ad2bf6bbccdf7de2c4397a15d351ab1c948beadb">
          <item id="aa1874d51393d9836ef23fe11886092fd94f79cb" isNormal="1">
            <s:text>
              <s:r>
                <s:t xml:space="preserve">Administrator:
12/2上 亚马逊外箱贴纸 21 pcs
12/9 上环保标贴纸504pcs
  UPC贴纸504pcs
  邮箱贴纸504pcs
  ES回收标志1号504pcs
</s:t>
              </s:r>
            </s:text>
          </item>
        </commentChain>
      </unresolved>
      <resolved/>
    </commentChains>
    <commentChains s:ref="AB11" rgbClr="FF0000">
      <unresolved>
        <commentChain chainId="cc80fde5f7c561e38c7f558786ec4b9d1fa47a8a">
          <item id="8cab6b54508fdb6047d020c8a39f44fc2b20e06b" isNormal="1">
            <s:text>
              <s:r>
                <s:t xml:space="preserve">Administrator:
0000435 12/20 504 pcs 华兴三楼A32</s:t>
              </s:r>
            </s:text>
          </item>
        </commentChain>
      </unresolved>
      <resolved/>
    </commentChains>
    <commentChains s:ref="AD11" rgbClr="FF0000">
      <unresolved>
        <commentChain chainId="982ca53ea7260b83452d33cd6c1f9a8a5c919ac9">
          <item id="b3c6490e915f547f2241c336295440744c5adbaf" isNormal="1">
            <s:text>
              <s:r>
                <s:t xml:space="preserve">Administrator:
11/27上 ES回收标贴纸 504 pcs
  环保标贴纸 504 pcs
  UPC贴纸 504 pcs
12/2上 亚马逊外箱贴纸 21 pcs
  邮箱贴纸 504 pcs</s:t>
              </s:r>
            </s:text>
          </item>
        </commentChain>
      </unresolved>
      <resolved/>
    </commentChains>
    <commentChains s:ref="AB12" rgbClr="FF0000">
      <unresolved>
        <commentChain chainId="3fdce5897dd683c9cf4f9d40a0912a17b200bff0">
          <item id="f5069957b0a1058507418e036bc7d1ff065849b0" isNormal="1">
            <s:text>
              <s:r>
                <s:t xml:space="preserve">Administrator:
0000454 12/20 504 pcs 华兴三楼A24</s:t>
              </s:r>
            </s:text>
          </item>
        </commentChain>
      </unresolved>
      <resolved/>
    </commentChains>
    <commentChains s:ref="AD12" rgbClr="FF0000">
      <unresolved>
        <commentChain chainId="f9aced68292d299707f83e1cbcddf3c22aa059b0">
          <item id="ebd26cfc392dc753bde19f2bd452e7a7ceb46b81" isNormal="1">
            <s:text>
              <s:r>
                <s:t xml:space="preserve">Administrator:
12/10上 UPC贴纸 504 pcs
 环保标贴纸 504 pcs
12/13上 亚马逊外箱贴纸 21 pcs</s:t>
              </s:r>
            </s:text>
          </item>
        </commentChain>
      </unresolved>
      <resolved/>
    </commentChains>
    <commentChains s:ref="AB13" rgbClr="FF0000">
      <unresolved>
        <commentChain chainId="df2217f8c4657e52a275feaf59777055eb44cc32">
          <item id="07ae263a215d6aa25a3f49bc7fe196f40d3d29d6" isNormal="1">
            <s:text>
              <s:r>
                <s:t xml:space="preserve">Administrator:
0000454 12/20 72 pcs 华兴三楼A24</s:t>
              </s:r>
            </s:text>
          </item>
        </commentChain>
      </unresolved>
      <resolved/>
    </commentChains>
    <commentChains s:ref="AD13" rgbClr="FF0000">
      <unresolved>
        <commentChain chainId="54f43081f357c748c8429028967edfdc0b05eba4">
          <item id="c7bee88e7e721a4a491a628aa9634511bf486d0c" isNormal="1">
            <s:text>
              <s:r>
                <s:t xml:space="preserve">Administrator:
12/3上 UPC贴纸 72 pcs
亚马逊外箱贴纸 3 pcs</s:t>
              </s:r>
            </s:text>
          </item>
        </commentChain>
      </unresolved>
      <resolved/>
    </commentChains>
    <commentChains s:ref="AB14" rgbClr="FF0000">
      <unresolved>
        <commentChain chainId="d5267fe98282e35d77711a70792e0c0cb01258d6">
          <item id="302da2a1c5214ab44aea411c02a29361f6d017d3" isNormal="1">
            <s:text>
              <s:r>
                <s:t xml:space="preserve">Administrator:
0000454 12/2024 pcs 华兴三楼A24</s:t>
              </s:r>
            </s:text>
          </item>
        </commentChain>
      </unresolved>
      <resolved/>
    </commentChains>
    <commentChains s:ref="AD14" rgbClr="FF0000">
      <unresolved>
        <commentChain chainId="7648bdf788fa5d972188814abe5277d4fe84f784">
          <item id="a656bd386c887484cbb55c7ee791621adbc16457" isNormal="1">
            <s:text>
              <s:r>
                <s:t xml:space="preserve">Administrator:
12/3上 UPC贴纸 24 pcs
亚马逊外箱贴纸 1 pcs
</s:t>
              </s:r>
            </s:text>
          </item>
        </commentChain>
      </unresolved>
      <resolved/>
    </commentChains>
    <commentChains s:ref="AB15" rgbClr="FF0000">
      <unresolved>
        <commentChain chainId="3e4a944887b7d1aa9a3e4428f9b6871993b80f9b">
          <item id="1586fe6c298481ba51ed1f2fe3f2a365d96de6cd" isNormal="1">
            <s:text>
              <s:r>
                <s:t xml:space="preserve">Administrator:
0000454 12/20 48 pcs 华兴三楼A24</s:t>
              </s:r>
            </s:text>
          </item>
        </commentChain>
      </unresolved>
      <resolved/>
    </commentChains>
    <commentChains s:ref="AD15" rgbClr="FF0000">
      <unresolved>
        <commentChain chainId="44364cc560dfc653f93a226a2e4af3737abd0beb">
          <item id="600cd428c52e4002874f9350a28fec93bc71b090" isNormal="1">
            <s:text>
              <s:r>
                <s:t xml:space="preserve">Administrator:
12/3上 UPC贴纸 48 pcs
亚马逊外箱贴纸 2 pcs
</s:t>
              </s:r>
            </s:text>
          </item>
        </commentChain>
      </unresolved>
      <resolved/>
    </commentChains>
    <commentChains s:ref="AB16" rgbClr="FF0000">
      <unresolved>
        <commentChain chainId="2f886f3e1b87fae6464cdb0d08a6b0043dde97e8">
          <item id="e70afed4134c07e6a06570893309a3d43fa58b80" isNormal="1">
            <s:text>
              <s:r>
                <s:t xml:space="preserve">Administrator:
0000405 12/23 1008 pcs 华兴三楼B12</s:t>
              </s:r>
            </s:text>
          </item>
        </commentChain>
      </unresolved>
      <resolved/>
    </commentChains>
    <commentChains s:ref="AD16" rgbClr="FF0000">
      <unresolved>
        <commentChain chainId="df2d3ab7e251a471eda88a65f639410debb40f7a">
          <item id="3e40a2ebb3514e0854dab67c70c82e29a14e2b13" isNormal="1">
            <s:text>
              <s:r>
                <s:t xml:space="preserve">Administrator:
12/2上 德语callout贴纸 1008 pcs
 黑白WEEE声明说明书纸 1008 pcs
 EAN条码贴纸 1008 pcs</s:t>
              </s:r>
            </s:text>
          </item>
        </commentChain>
      </unresolved>
      <resolved/>
    </commentChains>
    <commentChains s:ref="AB17" rgbClr="FF0000">
      <unresolved>
        <commentChain chainId="f9c8fd96e68607f830946f07f4f797c3bcb089c5">
          <item id="89e9d13f8f4fe4d5c2c6cfbc97390edc31fc7d4c" isNormal="1">
            <s:text>
              <s:r>
                <s:t xml:space="preserve">Administrator:
0000583 12/27 3168 pcs 华兴三楼A22   
0000591 12/27 1848 pcs A22</s:t>
              </s:r>
            </s:text>
          </item>
        </commentChain>
      </unresolved>
      <resolved/>
    </commentChains>
    <commentChains s:ref="AD17" rgbClr="FF0000">
      <unresolved>
        <commentChain chainId="93089673e95812cd21d474d11a4930989d84fd93">
          <item id="31ce8cb76c5fbc0305c11cb54b6056fd150a5874" isNormal="1">
            <s:text>
              <s:r>
                <s:t xml:space="preserve">Administrator:
12/10上 进口商贴纸 5016 pcs
  PDQ EAN条码贴纸 228 pcs
12/13上 PDQ EAN条码贴纸 228 pcs</s:t>
              </s:r>
            </s:text>
          </item>
        </commentChain>
      </unresolved>
      <resolved/>
    </commentChains>
    <commentChains s:ref="AB18" rgbClr="FF0000">
      <unresolved>
        <commentChain chainId="93e349ec8d4f19a5612492938f7991240a895290">
          <item id="bf84ddf3df7ceaf73a2519db31376ef6e4bdd78e" isNormal="1">
            <s:text>
              <s:r>
                <s:t xml:space="preserve">Administrator:
0000621 12/25 616 pcs 华兴三楼B4</s:t>
              </s:r>
            </s:text>
          </item>
        </commentChain>
      </unresolved>
      <resolved/>
    </commentChains>
    <commentChains s:ref="AD18" rgbClr="FF0000">
      <unresolved>
        <commentChain chainId="c3860502c126442bed2fa85a65b5a23357d0ad47">
          <item id="9d5059f969bdb8d762ed4acac8a71e501e860b74" isNormal="1">
            <s:text>
              <s:r>
                <s:t xml:space="preserve">Administrator:
11/21上 价格贴纸 647pcs</s:t>
              </s:r>
            </s:text>
          </item>
        </commentChain>
      </unresolved>
      <resolved/>
    </commentChains>
    <commentChains s:ref="AB19" rgbClr="FF0000">
      <unresolved>
        <commentChain chainId="984da1fccfbac27d359712e848817ce6e6eb7e54">
          <item id="fb8130d61fc2ce0ddc93ccdd51bc5fce7e90b3f3" isNormal="1">
            <s:text>
              <s:r>
                <s:t xml:space="preserve">Administrator:
0000620 12/25 1584 pcs 华兴三楼B15</s:t>
              </s:r>
            </s:text>
          </item>
        </commentChain>
      </unresolved>
      <resolved/>
    </commentChains>
    <commentChains s:ref="AD19" rgbClr="FF0000">
      <unresolved>
        <commentChain chainId="e524fe080057df4121f41b7f13d55fd4ab6e2f6f">
          <item id="c25b646530bceb3b12f58d7dd6df26fb5fa6883d" isNormal="1">
            <s:text>
              <s:r>
                <s:t xml:space="preserve">Administrator:
12/3上 EAN条码贴纸 1584 pcs</s:t>
              </s:r>
            </s:text>
          </item>
        </commentChain>
      </unresolved>
      <resolved/>
    </commentChains>
    <commentChains s:ref="AB20" rgbClr="FF0000">
      <unresolved>
        <commentChain chainId="06c0b0bdd70c169891d29ab9745bf4d97e4ba40f">
          <item id="7e31076394994dfd6813aaf08c70440549d34850" isNormal="1">
            <s:text>
              <s:r>
                <s:t xml:space="preserve">Administrator:
0000620 12/25 1584 pcs 华兴三楼B15</s:t>
              </s:r>
            </s:text>
          </item>
        </commentChain>
      </unresolved>
      <resolved/>
    </commentChains>
    <commentChains s:ref="AD20" rgbClr="FF0000">
      <unresolved>
        <commentChain chainId="d819586fe274d68a4190b0f94dbed547d9036b29">
          <item id="43b4a208e187c71fafff861ae70eecc160d79383" isNormal="1">
            <s:text>
              <s:r>
                <s:t xml:space="preserve">Administrator:
12/12上 EAN条码贴纸 1584 pcs</s:t>
              </s:r>
            </s:text>
          </item>
        </commentChain>
      </unresolved>
      <resolved/>
    </commentChains>
    <commentChains s:ref="AB21" rgbClr="FF0000">
      <unresolved>
        <commentChain chainId="72058290d928650a533c71d4b7c8c55a05002ce8">
          <item id="ba72fa21d7d69a7958abab6cc7f9aca9633d9479" isNormal="1">
            <s:text>
              <s:r>
                <s:t xml:space="preserve">Administrator:
0000593 12/27 1980 pcs华兴三楼B11
</s:t>
              </s:r>
            </s:text>
          </item>
        </commentChain>
      </unresolved>
      <resolved/>
    </commentChains>
    <commentChains s:ref="AD21" rgbClr="FF0000">
      <unresolved>
        <commentChain chainId="7382f9ac5559a1ad460071d0ff32e5991a66d634">
          <item id="cf6a65623b05ef11f86df90fe3a7d18877f8cb26" isNormal="1">
            <s:text>
              <s:r>
                <s:t xml:space="preserve">Administrator:
12/17上 进口商贴纸 1980 pcs
  EAN条码贴纸 1980 pcs</s:t>
              </s:r>
            </s:text>
          </item>
        </commentChain>
      </unresolved>
      <resolved/>
    </commentChains>
    <commentChains s:ref="AB22" rgbClr="FF0000">
      <unresolved>
        <commentChain chainId="3b9df4bc4ea3f0deb09e1040f77a19b9d77846c4">
          <item id="af3db68198be656fe3e6c468aa6c4ab8048a0456" isNormal="1">
            <s:text>
              <s:r>
                <s:t xml:space="preserve">Administrator:
0000593 12/27 506 pcs 华兴三楼A16</s:t>
              </s:r>
            </s:text>
          </item>
        </commentChain>
      </unresolved>
      <resolved/>
    </commentChains>
    <commentChains s:ref="AD22" rgbClr="FF0000">
      <unresolved>
        <commentChain chainId="7cc687a985e1b6070070314e515b900ef27d9663">
          <item id="99235e1813feb042ee471103ba5720fbe1de90da" isNormal="1">
            <s:text>
              <s:r>
                <s:t xml:space="preserve">Administrator:
12/10上 进口商贴纸 506 pcs</s:t>
              </s:r>
            </s:text>
          </item>
        </commentChain>
      </unresolved>
      <resolved/>
    </commentChains>
    <commentChains s:ref="AB23" rgbClr="FF0000">
      <unresolved>
        <commentChain chainId="2f5cd76b17e0b96aebb6886a2e3b3c59ab798fd8">
          <item id="556866636029629726bc7c9a20d98642599e0ce0" isNormal="1">
            <s:text>
              <s:r>
                <s:t xml:space="preserve">Administrator:
0000593 12/27 440 pcs华兴三楼A16
</s:t>
              </s:r>
            </s:text>
          </item>
        </commentChain>
      </unresolved>
      <resolved/>
    </commentChains>
    <commentChains s:ref="AD23" rgbClr="FF0000">
      <unresolved>
        <commentChain chainId="0209b9efcfbe05d7e81252209a8eb1ab6c7f4941">
          <item id="8d9537f110360d9da9d4e2f8ddc92cc6a8d893b9" isNormal="1">
            <s:text>
              <s:r>
                <s:t xml:space="preserve">Administrator:
12/10上 进口商贴纸 440 pcs</s:t>
              </s:r>
            </s:text>
          </item>
        </commentChain>
      </unresolved>
      <resolved/>
    </commentChains>
    <commentChains s:ref="AB24" rgbClr="FF0000">
      <unresolved>
        <commentChain chainId="32e2a1c2d30ecaecb85b1769c2f51063394b1cb7">
          <item id="b9b851694ff393f3909526c9c7b0cf77153e33bf" isNormal="1">
            <s:text>
              <s:r>
                <s:t xml:space="preserve">Administrator:
0000593 12/27 352 pcs华兴三楼A16
</s:t>
              </s:r>
            </s:text>
          </item>
        </commentChain>
      </unresolved>
      <resolved/>
    </commentChains>
    <commentChains s:ref="AD24" rgbClr="FF0000">
      <unresolved>
        <commentChain chainId="5108c723899eb63a0c6bdc7ac8e0665e103ff714">
          <item id="22c5d0058710e7daec5ad867cf934ac7964bf7a0" isNormal="1">
            <s:text>
              <s:r>
                <s:t xml:space="preserve">Administrator:
12/10上 进口商贴纸 352 pcs</s:t>
              </s:r>
            </s:text>
          </item>
        </commentChain>
      </unresolved>
      <resolved/>
    </commentChains>
    <commentChains s:ref="AB25" rgbClr="FF0000">
      <unresolved>
        <commentChain chainId="7fcc1944c08678d3c56cd4088933e9acdf3845ab">
          <item id="06779639419a34679ca94fcf34d4c3114967ee47" isNormal="1">
            <s:text>
              <s:r>
                <s:t xml:space="preserve">Administrator:
0000591 12/27 220 pcs华兴三楼B13
</s:t>
              </s:r>
            </s:text>
          </item>
        </commentChain>
      </unresolved>
      <resolved/>
    </commentChains>
    <commentChains s:ref="AD25" rgbClr="FF0000">
      <unresolved>
        <commentChain chainId="977fa769bdbb5b4ebde070842eda639e7ee6a70c">
          <item id="e3171fae4185e747c6da25d037ce6c2b39a79753" isNormal="1">
            <s:text>
              <s:r>
                <s:t xml:space="preserve">Administrator:
12/10上 进口商贴纸 220 pcs</s:t>
              </s:r>
            </s:text>
          </item>
        </commentChain>
      </unresolved>
      <resolved/>
    </commentChains>
    <commentChains s:ref="AB26" rgbClr="FF0000">
      <unresolved>
        <commentChain chainId="b3792bc904713574b99affc3d3389b34a82e46ea">
          <item id="7dae79ea33dd51bece2c6f9659e41ede76267e60" isNormal="1">
            <s:text>
              <s:r>
                <s:t xml:space="preserve">Administrator:
0000592 12/27 1144 pcs 华兴三楼A27</s:t>
              </s:r>
            </s:text>
          </item>
        </commentChain>
      </unresolved>
      <resolved/>
    </commentChains>
    <commentChains s:ref="AB27" rgbClr="FF0000">
      <unresolved>
        <commentChain chainId="eea880202a252b1d19972ac751a72180e9492459">
          <item id="faad268354a680de090eed9ff84c0d125e19aa5b" isNormal="1">
            <s:text>
              <s:r>
                <s:t xml:space="preserve">Administrator:
0000621 12/25 528 pcs 华兴三楼B4</s:t>
              </s:r>
            </s:text>
          </item>
        </commentChain>
      </unresolved>
      <resolved/>
    </commentChains>
    <commentChains s:ref="AD27" rgbClr="FF0000">
      <unresolved>
        <commentChain chainId="535638fe3470bd5aab55f6317432547131439f72">
          <item id="2319e3c10d6bd8b3f89b97e28e7172f789359b62" isNormal="1">
            <s:text>
              <s:r>
                <s:t xml:space="preserve">Administrator:
12/17上 进口商贴纸 528 pcs</s:t>
              </s:r>
            </s:text>
          </item>
        </commentChain>
      </unresolved>
      <resolved/>
    </commentChains>
    <commentChains s:ref="AB28" rgbClr="FF0000">
      <unresolved>
        <commentChain chainId="457e2030c2ad9f67686c950c098f4fbe17478191">
          <item id="97455c0155a633430a589cd58f80d59ec802b784" isNormal="1">
            <s:text>
              <s:r>
                <s:t xml:space="preserve">Administrator:
0000592 12/27 374 pcs华兴三楼B13
</s:t>
              </s:r>
            </s:text>
          </item>
        </commentChain>
      </unresolved>
      <resolved/>
    </commentChains>
    <commentChains s:ref="AB29" rgbClr="FF0000">
      <unresolved>
        <commentChain chainId="024c316f703df14cbbea74a9ecc78dc01d5d0e76">
          <item id="8864ff6c024166d8465caf046d8894de0ccd8075" isNormal="1">
            <s:text>
              <s:r>
                <s:t xml:space="preserve">Administrator:
0000591 12/27 5500 pcs华兴三楼B10</s:t>
              </s:r>
            </s:text>
          </item>
        </commentChain>
      </unresolved>
      <resolved/>
    </commentChains>
    <commentChains s:ref="AB30" rgbClr="FF0000">
      <unresolved>
        <commentChain chainId="7e4f402eec31dcae53e26af6fa5409ede8694067">
          <item id="2f9006d6bf7912339cf40cf0907a64c469d9c4ed" isNormal="1">
            <s:text>
              <s:r>
                <s:t xml:space="preserve">Administrator:
0000592 12/27 506 pcs华兴三楼B8
</s:t>
              </s:r>
            </s:text>
          </item>
        </commentChain>
      </unresolved>
      <resolved/>
    </commentChains>
    <commentChains s:ref="AD30" rgbClr="FF0000">
      <unresolved>
        <commentChain chainId="3b35b29818b07689778bd102fbc029b3fbe267c0">
          <item id="0ff074f9f23cefce153eb0c2a7283eaeb30dd6d9" isNormal="1">
            <s:text>
              <s:r>
                <s:t xml:space="preserve">Administrator:
12/20上 进口商贴纸 506 pcs</s:t>
              </s:r>
            </s:text>
          </item>
        </commentChain>
      </unresolved>
      <resolved/>
    </commentChains>
    <commentChains s:ref="AB31" rgbClr="FF0000">
      <unresolved>
        <commentChain chainId="e8d1747a22f573559f003487bc87e912ec6e7f83">
          <item id="eacf2be9dc3a5e36a7fbccffb84a424aecd4be2b" isNormal="1">
            <s:text>
              <s:r>
                <s:t xml:space="preserve">Administrator:
0000529 12/30 946 pcs 华兴三楼B8</s:t>
              </s:r>
            </s:text>
          </item>
        </commentChain>
      </unresolved>
      <resolved/>
    </commentChains>
    <commentChains s:ref="AD31" rgbClr="FF0000">
      <unresolved>
        <commentChain chainId="81b72ea1cc4b90f70ea7f9a627498d6d95d29394">
          <item id="313aa8b0ce59ee111ee245bfb1f753d247acb1ae" isNormal="1">
            <s:text>
              <s:r>
                <s:t xml:space="preserve">Administrator:
12/12上 进口商贴纸 946 pcs</s:t>
              </s:r>
            </s:text>
          </item>
        </commentChain>
      </unresolved>
      <resolved/>
    </commentChains>
    <commentChains s:ref="AB32" rgbClr="FF0000">
      <unresolved>
        <commentChain chainId="8c0f37d4fcbc61cd6142e8d50403a838c8957e0a">
          <item id="2b3b6fa7497b7207b9903831088ed1f2b0924507" isNormal="1">
            <s:text>
              <s:r>
                <s:t xml:space="preserve">Administrator:
0000529 12/30 3718 pcs 华兴三楼A18</s:t>
              </s:r>
            </s:text>
          </item>
        </commentChain>
      </unresolved>
      <resolved/>
    </commentChains>
    <commentChains s:ref="AD32" rgbClr="FF0000">
      <unresolved>
        <commentChain chainId="13ad5bbb39fada2c9d4ce36e35f292bdcbb134ee">
          <item id="bbc55fdf43c4bd1eb6bed2600c070f3faf15b1a9" isNormal="1">
            <s:text>
              <s:r>
                <s:t xml:space="preserve">Administrator:
12/10上 价格贴纸 3718 pcs
12/20上 UCC外箱贴纸 338 pcs</s:t>
              </s:r>
            </s:text>
          </item>
        </commentChain>
      </unresolved>
      <resolved/>
    </commentChains>
    <commentChains s:ref="AB33" rgbClr="FF0000">
      <unresolved>
        <commentChain chainId="84183ae82847f42be784b0cde39ca9fd2f648587">
          <item id="11c80dcad8cdaa7b27739558b10537123468cb71" isNormal="1">
            <s:text>
              <s:r>
                <s:t xml:space="preserve">Administrator:
0000649 12/31 968 pcs 华兴三楼B7</s:t>
              </s:r>
            </s:text>
          </item>
        </commentChain>
      </unresolved>
      <resolved/>
    </commentChains>
    <commentChains s:ref="AD33" rgbClr="FF0000">
      <unresolved>
        <commentChain chainId="0acabbcff91e09e07fdafbdaae03948d786eb845">
          <item id="cd3197b2634b9b1137d8f2d5bcf26254cbb12211" isNormal="1">
            <s:text>
              <s:r>
                <s:t xml:space="preserve">Administrator:
12/18上 进口商贴纸 968 pcs</s:t>
              </s:r>
            </s:text>
          </item>
        </commentChain>
      </unresolved>
      <resolved/>
    </commentChains>
    <commentChains s:ref="AB34" rgbClr="FF0000">
      <unresolved>
        <commentChain chainId="b521364196f951c1e1454f2c36ac7ced8e1f7e4d">
          <item id="8226b41e86a990594009a3c9b014eb1fcf76b307" isNormal="1">
            <s:text>
              <s:r>
                <s:t xml:space="preserve">Administrator:
0000931 12/31 616 pcs 华兴三楼B14</s:t>
              </s:r>
            </s:text>
          </item>
        </commentChain>
      </unresolved>
      <resolved/>
    </commentChains>
    <commentChains s:ref="AD34" rgbClr="FF0000">
      <unresolved>
        <commentChain chainId="f05c5178a7eb44f745a2958e6a080c8c02dfba3e">
          <item id="055bab3708ec8601ff698e0bea9458c7e59c4b1b" isNormal="1">
            <s:text>
              <s:r>
                <s:t xml:space="preserve">Administrator:
12/3上 价格贴纸 647 pcs</s:t>
              </s:r>
            </s:text>
          </item>
        </commentChain>
      </unresolved>
      <resolved/>
    </commentChains>
    <commentChains s:ref="AB35" rgbClr="FF0000">
      <unresolved>
        <commentChain chainId="4bbf70f3d1339580b258249414682e73ba927aa1">
          <item id="f9afc7022deb53327b8f071dd280607669847006" isNormal="1">
            <s:text>
              <s:r>
                <s:t xml:space="preserve">Administrator:
0000648 12/31 24 pcs 华兴三楼B7</s:t>
              </s:r>
            </s:text>
          </item>
        </commentChain>
      </unresolved>
      <resolved/>
    </commentChains>
    <commentChains s:ref="AD35" rgbClr="FF0000">
      <unresolved>
        <commentChain chainId="b16f70f728fb47030ed59069196846a91d633032">
          <item id="b638e25ee1ee573d005c77fdd8d156d9c45ba82b" isNormal="1">
            <s:text>
              <s:r>
                <s:t xml:space="preserve">Administrator:
12/16 上UPC贴纸 24 pcs
12/23上 客供亚马逊外箱贴纸 1 pcs</s:t>
              </s:r>
            </s:text>
          </item>
        </commentChain>
      </unresolved>
      <resolved/>
    </commentChains>
    <commentChains s:ref="AB36" rgbClr="FF0000">
      <unresolved>
        <commentChain chainId="35333e534e1db4d79fd50dd67278342f232685ce">
          <item id="e331c1217f90681d9cc00d24ce8ce38be71cb93e" isNormal="1">
            <s:text>
              <s:r>
                <s:t xml:space="preserve">Administrator:
0000648 12/31 24 pcs 华兴三楼B7</s:t>
              </s:r>
            </s:text>
          </item>
        </commentChain>
      </unresolved>
      <resolved/>
    </commentChains>
    <commentChains s:ref="AD36" rgbClr="FF0000">
      <unresolved>
        <commentChain chainId="6e8bf26ce6474fb23db902fec4a877f30d758954">
          <item id="175baea403ee5133a243822acc20bba5baf6da32" isNormal="1">
            <s:text>
              <s:r>
                <s:t xml:space="preserve">Administrator:
12/16 上UPC贴纸 24 pcs
12/23上 客供亚马逊外箱贴纸 1 pcs</s:t>
              </s:r>
            </s:text>
          </item>
        </commentChain>
      </unresolved>
      <resolved/>
    </commentChains>
    <commentChains s:ref="AB37" rgbClr="FF0000">
      <unresolved>
        <commentChain chainId="5dda8c00336d4d3359687752a4fb069b96753fe1">
          <item id="9f6abaa82625359f9ee907396fed60f86a120b09" isNormal="1">
            <s:text>
              <s:r>
                <s:t xml:space="preserve">Administrator:
0000648 12/31 24 pcs 华兴三楼B7</s:t>
              </s:r>
            </s:text>
          </item>
        </commentChain>
      </unresolved>
      <resolved/>
    </commentChains>
    <commentChains s:ref="AD37" rgbClr="FF0000">
      <unresolved>
        <commentChain chainId="79a54f147cc627f0532dbb3aea863492d4cdf978">
          <item id="1935ae66d9a39a2d0b4419aca91820531c0c64ca" isNormal="1">
            <s:text>
              <s:r>
                <s:t xml:space="preserve">Administrator:
12/16 上UPC贴纸 24 pcs
12/23上 客供亚马逊外箱贴纸 1 pcs</s:t>
              </s:r>
            </s:text>
          </item>
        </commentChain>
      </unresolved>
      <resolved/>
    </commentChains>
    <commentChains s:ref="AB38" rgbClr="FF0000">
      <unresolved>
        <commentChain chainId="8ea7bc98237a07b5be416cfdbdb5e8f044a30447">
          <item id="f3feb5381f05dbe6dff6349c0c36228bab02c334" isNormal="1">
            <s:text>
              <s:r>
                <s:t xml:space="preserve">Administrator:
0000648 12/31 24 pcs 华兴三楼B7</s:t>
              </s:r>
            </s:text>
          </item>
        </commentChain>
      </unresolved>
      <resolved/>
    </commentChains>
    <commentChains s:ref="AD38" rgbClr="FF0000">
      <unresolved>
        <commentChain chainId="1eee728b2270de486d35fcc4fcfdb529aadd687c">
          <item id="c610d44bc2d4ea46cb00e1ab15356270a90b46d6" isNormal="1">
            <s:text>
              <s:r>
                <s:t xml:space="preserve">Administrator:
12/16 上UPC贴纸 24 pcs
12/23上 客供亚马逊外箱贴纸 1 pcs</s:t>
              </s:r>
            </s:text>
          </item>
        </commentChain>
      </unresolved>
      <resolved/>
    </commentChains>
    <commentChains s:ref="AB39" rgbClr="FF0000">
      <unresolved>
        <commentChain chainId="ed0b22324ef8ac9fae42bdfae53c03898ba0bffb">
          <item id="07fafdc5e7b6af9fb7e27edf69d4185bf6c94ab9" isNormal="1">
            <s:text>
              <s:r>
                <s:t xml:space="preserve">Administrator:
0000648 12/31 24 pcs 华兴三楼B7</s:t>
              </s:r>
            </s:text>
          </item>
        </commentChain>
      </unresolved>
      <resolved/>
    </commentChains>
    <commentChains s:ref="AD39" rgbClr="FF0000">
      <unresolved>
        <commentChain chainId="b5e5ae24728cbced76a89e70eaa628db9c804e80">
          <item id="012bfe086e11fc4041c3332a0dacd9a7de3684f8" isNormal="1">
            <s:text>
              <s:r>
                <s:t xml:space="preserve">Administrator:
12/16 上UPC贴纸 24 pcs
12/23上 客供亚马逊外箱贴纸 1 pcs</s:t>
              </s:r>
            </s:text>
          </item>
        </commentChain>
      </unresolved>
      <resolved/>
    </commentChains>
    <commentChains s:ref="AB40" rgbClr="FF0000">
      <unresolved>
        <commentChain chainId="49129253f4e35e4f1d7b7e7867ec8350c1747c26">
          <item id="cd6b625ea3fdfa9137273fcc41b7b5689db9ba90" isNormal="1">
            <s:text>
              <s:r>
                <s:t xml:space="preserve">Administrator:
0000648 12/31 24 pcs 华兴三楼B7</s:t>
              </s:r>
            </s:text>
          </item>
        </commentChain>
      </unresolved>
      <resolved/>
    </commentChains>
    <commentChains s:ref="AD40" rgbClr="FF0000">
      <unresolved>
        <commentChain chainId="dcba4ec6b61f9df2fbef7918d2e72da400ec8b58">
          <item id="c61adcac9573d7b0542e1d65f33e64a485da2615" isNormal="1">
            <s:text>
              <s:r>
                <s:t xml:space="preserve">Administrator:
12/16 上UPC贴纸 24 pcs
12/23上 客供亚马逊外箱贴纸 1 pcs</s:t>
              </s:r>
            </s:text>
          </item>
        </commentChain>
      </unresolved>
      <resolved/>
    </commentChains>
    <commentChains s:ref="AB41" rgbClr="FF0000">
      <unresolved>
        <commentChain chainId="2627ab25e28a3736d35aaefdbaa83235bdd42b09">
          <item id="9a08358fa210b21e6782bb1ff74616f20cf4f198" isNormal="1">
            <s:text>
              <s:r>
                <s:t xml:space="preserve">Administrator:
0000919 1/4 2376 pcs B17    
0000917 1/3 3564 pcs 华兴三楼B17</s:t>
              </s:r>
            </s:text>
          </item>
        </commentChain>
      </unresolved>
      <resolved/>
    </commentChains>
    <commentChains s:ref="AD41" rgbClr="FF0000">
      <unresolved>
        <commentChain chainId="3b8f34634069d7495c66dcea03938248d3d79fbd">
          <item id="44a8652a873a303cfe3788c99790ed1e428543b5" isNormal="1">
            <s:text>
              <s:r>
                <s:t xml:space="preserve">Administrator:
12/26上 进口商贴纸 5940 pcs</s:t>
              </s:r>
            </s:text>
          </item>
        </commentChain>
      </unresolved>
      <resolved/>
    </commentChains>
    <commentChains s:ref="AB42" rgbClr="FF0000">
      <unresolved>
        <commentChain chainId="61427c1463713d72d6174038c60de9166ef2ff75">
          <item id="b3e33bd70a39a73ec376cde3bbf618b37dfb2c7a" isNormal="1">
            <s:text>
              <s:r>
                <s:t xml:space="preserve">Administrator:
0000919 1/4 1012 pcs 华兴三楼B15
</s:t>
              </s:r>
            </s:text>
          </item>
        </commentChain>
      </unresolved>
      <resolved/>
    </commentChains>
    <commentChains s:ref="AD42" rgbClr="FF0000">
      <unresolved>
        <commentChain chainId="bdb88bacec43d0de4cf86948f926b0ae520f4b33">
          <item id="d06f17b87870ac25217092b90824445e8087bc78" isNormal="1">
            <s:text>
              <s:r>
                <s:t xml:space="preserve">Administrator:
12/17上 ITEM NO.贴纸 1012 pcs
 进口商贴纸 1012 pcs</s:t>
              </s:r>
            </s:text>
          </item>
        </commentChain>
      </unresolved>
      <resolved/>
    </commentChains>
    <commentChains s:ref="AB43" rgbClr="FF0000">
      <unresolved>
        <commentChain chainId="1ad5f70ad077a65682124838f3715a07d3305914">
          <item id="3cade2648a1f7788e1955f238027f075f4f517c7" isNormal="1">
            <s:text>
              <s:r>
                <s:t xml:space="preserve">Administrator:
0000919 1/4 1760 pcs华兴三楼B15
</s:t>
              </s:r>
            </s:text>
          </item>
        </commentChain>
      </unresolved>
      <resolved/>
    </commentChains>
    <commentChains s:ref="AB44" rgbClr="FF0000">
      <unresolved>
        <commentChain chainId="913667764d5bfaebeea992fb92031ccae60eae32">
          <item id="56875fc13dfab349327b5526f43ac1ea8b3f3ad9" isNormal="1">
            <s:text>
              <s:r>
                <s:t xml:space="preserve">Administrator:
0000993 1/8 1210 pcs 华兴三楼B14</s:t>
              </s:r>
            </s:text>
          </item>
        </commentChain>
      </unresolved>
      <resolved/>
    </commentChains>
    <commentChains s:ref="AD44" rgbClr="FF0000">
      <unresolved>
        <commentChain chainId="f18eb0141bd7d239bfedf10e9b39f2ca5da525ea">
          <item id="99e28cfe34b7136593c2ac2659547ca5a9a39a79" isNormal="1">
            <s:text>
              <s:r>
                <s:t xml:space="preserve">Administrator:
12/18上 进口商贴纸 1210 pcs</s:t>
              </s:r>
            </s:text>
          </item>
        </commentChain>
      </unresolved>
      <resolved/>
    </commentChains>
    <commentChains s:ref="AB45" rgbClr="FF0000">
      <unresolved>
        <commentChain chainId="f30a67bb37fd0f541555e432d59b9ca1295fd563">
          <item id="b5fa25906fd423e478a69dbd9e5055ebb3ac0056" isNormal="1">
            <s:text>
              <s:r>
                <s:t xml:space="preserve">Administrator:
0000919 1/4 1210 pcs华兴三楼B12
</s:t>
              </s:r>
            </s:text>
          </item>
        </commentChain>
      </unresolved>
      <resolved/>
    </commentChains>
    <commentChains s:ref="AB46" rgbClr="FF0000">
      <unresolved>
        <commentChain chainId="4bdd74d8d27503c3917129d4b4461bbf41039be7">
          <item id="ffd0766501a58ec294d3940e28f1c9fb23856ca7" isNormal="1">
            <s:text>
              <s:r>
                <s:t xml:space="preserve">Administrator:
0000649 12/31 504 pcs 华兴三楼B7</s:t>
              </s:r>
            </s:text>
          </item>
        </commentChain>
      </unresolved>
      <resolved/>
    </commentChains>
    <commentChains s:ref="AD46" rgbClr="FF0000">
      <unresolved>
        <commentChain chainId="9fe53e30e136d655af7be8ec2111f0b5a7c2edee">
          <item id="1c75ef2f82a142aee58cbadf0e5eedf2d6db0ef4" isNormal="1">
            <s:text>
              <s:r>
                <s:t xml:space="preserve">Administrator:
12/16 上环保标贴纸 504 pcs
上UPC贴纸 504 pcs
ES回收标贴纸 504 pcs
12/13上 亚马逊外箱贴纸 21 pcs
12/27上 回收标贴纸 -16号订错，订成 邮箱贴纸
UPC贴纸做错补订
1/14上 UPC贴纸 504 pcs</s:t>
              </s:r>
            </s:text>
          </item>
        </commentChain>
      </unresolved>
      <resolved/>
    </commentChains>
    <commentChains s:ref="AB47" rgbClr="FF0000">
      <unresolved>
        <commentChain chainId="2c703d8d7f3be6a465d7f96f200a0f360eff3d18">
          <item id="6e1f191a4ed54b10b1b0fb992ca67cfe0599ab62" isNormal="1">
            <s:text>
              <s:r>
                <s:t xml:space="preserve">Administrator:
0000649 12/31 504 pcs 华兴三楼B7</s:t>
              </s:r>
            </s:text>
          </item>
        </commentChain>
      </unresolved>
      <resolved/>
    </commentChains>
    <commentChains s:ref="AD47" rgbClr="FF0000">
      <unresolved>
        <commentChain chainId="629d725b78748e490bdd4cec164740738cb49957">
          <item id="786228d78dfa128dfea9b2d9904da7e7626bc736" isNormal="1">
            <s:text>
              <s:r>
                <s:t xml:space="preserve">Administrator:
12/16 上环保标贴纸 504 pcs
上UPC贴纸 504 pcs
ES回收标贴纸 504 pcs
12/13上 亚马逊外箱贴纸 21 pcs
12/27上 回收标贴纸 -16号订错，订成 邮箱贴纸
UPC贴纸做错补订
1/14上 UPC贴纸 504 pcs
</s:t>
              </s:r>
            </s:text>
          </item>
        </commentChain>
      </unresolved>
      <resolved/>
    </commentChains>
    <commentChains s:ref="AB48" rgbClr="FF0000">
      <unresolved>
        <commentChain chainId="605c864f8e882270267fb2a97805bde1c2d364d9">
          <item id="be2603ff9cb052aa6eda18962fca9f9554791dff" isNormal="1">
            <s:text>
              <s:r>
                <s:t xml:space="preserve">Administrator:
0000649 12/31 504 pcs 华兴三楼B7</s:t>
              </s:r>
            </s:text>
          </item>
        </commentChain>
      </unresolved>
      <resolved/>
    </commentChains>
    <commentChains s:ref="AD48" rgbClr="FF0000">
      <unresolved>
        <commentChain chainId="21f8df5f7997c925dd5b8dea7177095200fcdd89">
          <item id="5dc28a668a5ce31e9fd58d8bedd119e6cedc0317" isNormal="1">
            <s:text>
              <s:r>
                <s:t xml:space="preserve">Administrator:
12/20上 亚马逊外箱贴纸 21 pcs
12/25上 环保标贴纸 504 pcs
 UPC贴纸 504 pcs
 邮箱贴纸 504 pcs
UPC贴纸做错补订
1/14上 UPC贴纸 504 pcs
</s:t>
              </s:r>
            </s:text>
          </item>
        </commentChain>
      </unresolved>
      <resolved/>
    </commentChains>
    <commentChains s:ref="AB49" rgbClr="FF0000">
      <unresolved>
        <commentChain chainId="563526d403a5b46739b8df5b7ebdc92be6c1e17d">
          <item id="23a41db52e18a53b14945e079f59e0f4d87656f4" isNormal="1">
            <s:text>
              <s:r>
                <s:t xml:space="preserve">Administrator:
0000981 1/9  送胶件
 前壳 600 pcs
 后壳 600 pcs
 底座 600 pcs</s:t>
              </s:r>
            </s:text>
          </item>
        </commentChain>
      </unresolved>
      <resolved/>
    </commentChains>
    <commentChains s:ref="AB50" rgbClr="FF0000">
      <unresolved>
        <commentChain chainId="378ee0c251c800d30bdc7f8a37fd645ba7d941b3">
          <item id="54c888e9da737cc500d0651014edbd67cc711f3e" isNormal="1">
            <s:text>
              <s:r>
                <s:t xml:space="preserve">Administrator:
0001062 1/13 462 pcs 华兴三楼B13
0001071 1/14 44 pcs</s:t>
              </s:r>
            </s:text>
          </item>
        </commentChain>
      </unresolved>
      <resolved/>
    </commentChains>
    <commentChains s:ref="AD50" rgbClr="FF0000">
      <unresolved>
        <commentChain chainId="e0d4d29a28aacb680fd259c1ef52e1f0fa0ba3ed">
          <item id="44f42ae20559f3ab7199199dcfb7804948bdaa64" isNormal="1">
            <s:text>
              <s:r>
                <s:t xml:space="preserve">Administrator:
11/29上 客供AsN贴纸 23 pcs
 客供HU贴纸 23 pcs
1/6上 进口商贴纸 506 pcs
 说明书贴纸 506 pcs
 空白贴纸 506 pcs
 价格贴纸 506 pcs</s:t>
              </s:r>
            </s:text>
          </item>
        </commentChain>
      </unresolved>
      <resolved/>
    </commentChains>
    <commentChains s:ref="AB51" rgbClr="FF0000">
      <unresolved>
        <commentChain chainId="36d662b7747aeed4be7dd9a85f3bfd916fa84eb5">
          <item id="3f7e96d295c889faa4662b47de31301353d2b8fb" isNormal="1">
            <s:text>
              <s:r>
                <s:t xml:space="preserve">Administrator:
0001071 1/14 616 pcs 华兴三楼B15</s:t>
              </s:r>
            </s:text>
          </item>
        </commentChain>
      </unresolved>
      <resolved/>
    </commentChains>
    <commentChains s:ref="AD51" rgbClr="FF0000">
      <unresolved>
        <commentChain chainId="988be4c7940b4987dbcb5da8a17385e47bed3fc8">
          <item id="0879da1bf9fa210764c6b437342bd2c73efa802f" isNormal="1">
            <s:text>
              <s:r>
                <s:t xml:space="preserve">Administrator:
12/18上 日语贴纸 616 pcs</s:t>
              </s:r>
            </s:text>
          </item>
        </commentChain>
      </unresolved>
      <resolved/>
    </commentChains>
    <commentChains s:ref="AB52" rgbClr="FF0000">
      <unresolved>
        <commentChain chainId="cda0a87622b6bdfb8653305de8fbd8a71b09a80a">
          <item id="02bb8a4f27c05d0df83ef598f7f566e0958673d2" isNormal="1">
            <s:text>
              <s:r>
                <s:t xml:space="preserve">Administrator:
0001139 1/18 1498 pcs 华兴三楼A22</s:t>
              </s:r>
            </s:text>
          </item>
        </commentChain>
      </unresolved>
      <resolved/>
    </commentChains>
    <commentChains s:ref="AB53" rgbClr="FF0000">
      <unresolved>
        <commentChain chainId="df014a2c70a05380994fa7ced260c60a462206c8">
          <item id="5a44026afcdbbce87e12d37272c27414b7df335f" isNormal="1">
            <s:text>
              <s:r>
                <s:t xml:space="preserve">Administrator:
0001105 1/16 1008 pcs</s:t>
              </s:r>
            </s:text>
          </item>
        </commentChain>
      </unresolved>
      <resolved/>
    </commentChains>
    <commentChains s:ref="AD53" rgbClr="FF0000">
      <unresolved>
        <commentChain chainId="240a580039b09968e9a4b35084197a7e473c5ba6">
          <item id="7f171461d97e721b3ba9a3941a271a2d133d80af" isNormal="1">
            <s:text>
              <s:r>
                <s:t xml:space="preserve">Administrator:
12/12上 客人白色Cat.label 1008 pcs</s:t>
              </s:r>
            </s:text>
          </item>
        </commentChain>
      </unresolved>
      <resolved/>
    </commentChains>
    <commentChains s:ref="AB54" rgbClr="FF0000">
      <unresolved>
        <commentChain chainId="786e74f89ae835c38ebfc57b5e566cf8a5a40904">
          <item id="2cdaed8b55330ed03cf039880e67d3d9132fa7fc" isNormal="1">
            <s:text>
              <s:r>
                <s:t xml:space="preserve">Administrator:
0001105 1/16 616 pcs</s:t>
              </s:r>
            </s:text>
          </item>
        </commentChain>
      </unresolved>
      <resolved/>
    </commentChains>
    <commentChains s:ref="AD54" rgbClr="FF0000">
      <unresolved>
        <commentChain chainId="64472a0f7b2ac01c4df69209bb3210d792971493">
          <item id="4cc92c6089935e4c5e336cb7cbe2a61e997fdca2" isNormal="1">
            <s:text>
              <s:r>
                <s:t xml:space="preserve">Administrator:
1/3上 价格贴纸 647 pcs</s:t>
              </s:r>
            </s:text>
          </item>
        </commentChain>
      </unresolved>
      <resolved/>
    </commentChains>
    <commentChains s:ref="AB55" rgbClr="FF0000">
      <unresolved>
        <commentChain chainId="2ee6e6d7d34fca050d3c2e960a2fdc15fd2cf107">
          <item id="9acdf95ac78d6762ba443e6443f296178eb97486" isNormal="1">
            <s:text>
              <s:r>
                <s:t xml:space="preserve">Administrator:
0001166 1/22 240 pcs 华兴三楼B5</s:t>
              </s:r>
            </s:text>
          </item>
        </commentChain>
      </unresolved>
      <resolved/>
    </commentChains>
    <commentChains s:ref="AD55" rgbClr="FF0000">
      <unresolved>
        <commentChain chainId="1326b321aff2af1bb9abc4e42b2f2bca33393cf3">
          <item id="5f79fb9ff53cc25bac4b82c0c09e54cdac8cde7e" isNormal="1">
            <s:text>
              <s:r>
                <s:t xml:space="preserve">Administrator:
12/30上 EAN条码贴纸 240 pcs
贴纸做错补订
1/14上 条码贴纸 240 pcs</s:t>
              </s:r>
            </s:text>
          </item>
        </commentChain>
      </unresolved>
      <resolved/>
    </commentChains>
    <commentChains s:ref="AB56" rgbClr="FF0000">
      <unresolved>
        <commentChain chainId="592c5a3b08a6be0b9086a3b2fb0cfc974baef1cf">
          <item id="3845d1dd483af585d898e0ada633d7d545f1ae7c" isNormal="1">
            <s:text>
              <s:r>
                <s:t xml:space="preserve">Administrator:
0001166 1/22 288 pcs 华兴三楼B5</s:t>
              </s:r>
            </s:text>
          </item>
        </commentChain>
      </unresolved>
      <resolved/>
    </commentChains>
    <commentChains s:ref="AD56" rgbClr="FF0000">
      <unresolved>
        <commentChain chainId="a050d6ac7e346f9262727d052d8dc97378ed1f38">
          <item id="f53f32027714abc79549d075344c2bd4f670af57" isNormal="1">
            <s:text>
              <s:r>
                <s:t xml:space="preserve">Administrator:
12/30上 EAN条码贴纸 288 pcs
贴纸做错补订
1/14上 条码贴纸 288 pcs</s:t>
              </s:r>
            </s:text>
          </item>
        </commentChain>
      </unresolved>
      <resolved/>
    </commentChains>
    <commentChains s:ref="AB57" rgbClr="FF0000">
      <unresolved>
        <commentChain chainId="284c1567d0465b4131fee5fb2d5895fa02acddc4">
          <item id="a4f6129eaec148a4226002b7400ffbae19706b4b" isNormal="1">
            <s:text>
              <s:r>
                <s:t xml:space="preserve">Administrator:
0001166 1/22 288 pcs 华兴三楼B5</s:t>
              </s:r>
            </s:text>
          </item>
        </commentChain>
      </unresolved>
      <resolved/>
    </commentChains>
    <commentChains s:ref="AD57" rgbClr="FF0000">
      <unresolved>
        <commentChain chainId="59c89d6a51ce887a0e0ce23355c50b6163ec079e">
          <item id="2c567b235949b0c3dc2c48f1ab92e61b834b672f" isNormal="1">
            <s:text>
              <s:r>
                <s:t xml:space="preserve">Administrator:
12/30上 EAN条码贴纸 288 pcs
贴纸做错补订
1/14上 条码贴纸 288 pcs</s:t>
              </s:r>
            </s:text>
          </item>
        </commentChain>
      </unresolved>
      <resolved/>
    </commentChains>
    <commentChains s:ref="AB58" rgbClr="FF0000">
      <unresolved>
        <commentChain chainId="7f18ce364748399d598f9b37a26d0c6e2fe172a7">
          <item id="5356966e370506d4fb2f06dbf50d2069e3019af1" isNormal="1">
            <s:text>
              <s:r>
                <s:t xml:space="preserve">Administrator:
0001166 1/22 408 pcs 华兴三楼B5</s:t>
              </s:r>
            </s:text>
          </item>
        </commentChain>
      </unresolved>
      <resolved/>
    </commentChains>
    <commentChains s:ref="AD58" rgbClr="FF0000">
      <unresolved>
        <commentChain chainId="9444bbd81875369137b49704227ebdb1392f2753">
          <item id="3d9dd23f5feac5b0b8cb56679a740a9f05909689" isNormal="1">
            <s:text>
              <s:r>
                <s:t xml:space="preserve">Administrator:
12/30上 EAN条码贴纸 408 pcs
贴纸做错补订
1/14上 条码贴纸 408 pcs</s:t>
              </s:r>
            </s:text>
          </item>
        </commentChain>
      </unresolved>
      <resolved/>
    </commentChains>
    <commentChains s:ref="AB59" rgbClr="FF0000">
      <unresolved>
        <commentChain chainId="502ae3898e9de05c8805bec0b1cabf14fd2790cc">
          <item id="c314e400877c4e2e0193db43d098c07322bb3a9b" isNormal="1">
            <s:text>
              <s:r>
                <s:t xml:space="preserve">Administrator:
0001170 2/12 814 pcs华兴三楼B14
</s:t>
              </s:r>
            </s:text>
          </item>
        </commentChain>
      </unresolved>
      <resolved/>
    </commentChains>
    <commentChains s:ref="AD59" rgbClr="FF0000">
      <unresolved>
        <commentChain chainId="d8242b43adb677b8842c5117dff3014e616c666e">
          <item id="26512abeb6bee0a8336b5cfa8393f57dfee41be5" isNormal="1">
            <s:text>
              <s:r>
                <s:t xml:space="preserve">Administrator:
1/3上 EAN条码贴纸 814 pcs
WEEE声明说明书 814 pcs
 PDQ条码贴纸 74 pcs</s:t>
              </s:r>
            </s:text>
          </item>
        </commentChain>
      </unresolved>
      <resolved/>
    </commentChains>
    <commentChains s:ref="AB60" rgbClr="FF0000">
      <unresolved>
        <commentChain chainId="53fefb91e38f86ef0819ba65f018d4a4554166fb">
          <item id="4dc5ce8c34b676cde783e3f7bc951bd97db64b08" isNormal="1">
            <s:text>
              <s:r>
                <s:t xml:space="preserve">Administrator:
0001170 2/12 396 pcs 华兴三楼B14</s:t>
              </s:r>
            </s:text>
          </item>
        </commentChain>
      </unresolved>
      <resolved/>
    </commentChains>
    <commentChains s:ref="AD60" rgbClr="FF0000">
      <unresolved>
        <commentChain chainId="3c7452087794577cf6721b15f086060c2b16502d">
          <item id="411089e269198b09a1a3daef021d48841ba20d67" isNormal="1">
            <s:text>
              <s:r>
                <s:t xml:space="preserve">Administrator:
12/25上 进口商贴纸 396 pcs</s:t>
              </s:r>
            </s:text>
          </item>
        </commentChain>
      </unresolved>
      <resolved/>
    </commentChains>
    <commentChains s:ref="AB61" rgbClr="FF0000">
      <unresolved>
        <commentChain chainId="4e4c79450a000847f7550749e803299526de68c0">
          <item id="004691964eeb2ec772f331a78a76173521a74be7" isNormal="1">
            <s:text>
              <s:r>
                <s:t xml:space="preserve">Administrator:
0001170 2/12 504 pcs华兴三楼B13
</s:t>
              </s:r>
            </s:text>
          </item>
        </commentChain>
      </unresolved>
      <resolved/>
    </commentChains>
    <commentChains s:ref="AD61" rgbClr="FF0000">
      <unresolved>
        <commentChain chainId="36bd5efa8797cd1601253a0480b227c910441c00">
          <item id="3bda180492553b87f006c5e631fb954d68b243d3" isNormal="1">
            <s:text>
              <s:r>
                <s:t xml:space="preserve">Administrator:
1/6上 UPC贴纸 504 pcs
 环保标贴纸 504 pcs
 邮箱贴纸 504 pcs
1/10上 亚马逊外箱贴纸 21 pcs
 ES环保标贴纸 504 pcs
UPC贴纸做错补订
1/14上 UPC贴纸 504 pcs
</s:t>
              </s:r>
            </s:text>
          </item>
        </commentChain>
      </unresolved>
      <resolved/>
    </commentChains>
    <commentChains s:ref="AB62" rgbClr="FF0000">
      <unresolved>
        <commentChain chainId="c639d0d42070c33284b991af0195df7055d3f5e6">
          <item id="789656c2de28c174616a1dbbfb20e3e42fc4f480" isNormal="1">
            <s:text>
              <s:r>
                <s:t xml:space="preserve">Administrator:
0001237 2/18 504 pcs 华兴三楼B8</s:t>
              </s:r>
            </s:text>
          </item>
        </commentChain>
      </unresolved>
      <resolved/>
    </commentChains>
    <commentChains s:ref="AD62" rgbClr="FF0000">
      <unresolved>
        <commentChain chainId="f2ca6fe863d5d0fa0919ad15479e4c14428f3046">
          <item id="98a38e6d8f3393f71ebdc0248acfce866446869e" isNormal="1">
            <s:text>
              <s:r>
                <s:t xml:space="preserve">Administrator:
1/6上 UPC贴纸 504 pcs
 环保标贴纸 504 pcs
 邮箱贴纸 504 pcs
1/10上 亚马逊外箱贴纸 21 pcs
 ES环保标贴纸 504 pcs
UPC贴纸做错补订
1/14上 UPC贴纸 504 pcs
</s:t>
              </s:r>
            </s:text>
          </item>
        </commentChain>
      </unresolved>
      <resolved/>
    </commentChains>
    <commentChains s:ref="AB63" rgbClr="FF0000">
      <unresolved>
        <commentChain chainId="f167397bc5f27379cbc9131cdfd58a78b64dc2b8">
          <item id="080c4ffc2473294a437dfd690fd1879012038002" isNormal="1">
            <s:text>
              <s:r>
                <s:t xml:space="preserve">Administrator:
0001237 2/18 504 pcs 华兴三楼B8</s:t>
              </s:r>
            </s:text>
          </item>
        </commentChain>
      </unresolved>
      <resolved/>
    </commentChains>
    <commentChains s:ref="AD63" rgbClr="FF0000">
      <unresolved>
        <commentChain chainId="550b55064ef2d573bb291e2f97b4e36fe67a79b3">
          <item id="96601dcad2468368a6685666bd9ec61ecf425028" isNormal="1">
            <s:text>
              <s:r>
                <s:t xml:space="preserve">Administrator:
1/6上 UPC贴纸 504 pcs
 环保标贴纸 504 pcs
 邮箱贴纸 504 pcs
1/10上 亚马逊外箱贴纸 21 pcs
 ES环保标贴纸 504 pcs
UPC贴纸做错补订
1/14上 UPC贴纸 504 pcs
</s:t>
              </s:r>
            </s:text>
          </item>
        </commentChain>
      </unresolved>
      <resolved/>
    </commentChains>
    <commentChains s:ref="AB64" rgbClr="FF0000">
      <unresolved>
        <commentChain chainId="f91b60fef10952030d9d1d6d715a127e0c3ad1c0">
          <item id="83dd7b20ce917d62269ba1c51fd67b972f2b2a52" isNormal="1">
            <s:text>
              <s:r>
                <s:t xml:space="preserve">Administrator:
0001210 2/14 72 pcs 华兴三楼B12</s:t>
              </s:r>
            </s:text>
          </item>
        </commentChain>
      </unresolved>
      <resolved/>
    </commentChains>
    <commentChains s:ref="AD64" rgbClr="FF0000">
      <unresolved>
        <commentChain chainId="a32be5947e3a4e406629ae128fccff9ae1d4b493">
          <item id="507cfa8642ac8c33c65afe5ac2548d9a09ea7bff" isNormal="1">
            <s:text>
              <s:r>
                <s:t xml:space="preserve">Administrator:
12/30上 UPC贴纸 72 pcs
UPC贴纸做错补订
1/14上 UPC贴纸 72 pcs
1/18上 客供亚马逊外箱贴纸 3 pcs</s:t>
              </s:r>
            </s:text>
          </item>
        </commentChain>
      </unresolved>
      <resolved/>
    </commentChains>
    <commentChains s:ref="AB65" rgbClr="FF0000">
      <unresolved>
        <commentChain chainId="bfc950fac67d86b8c96f67cc44a2104d49536c1a">
          <item id="52c2601fdbdf2da9b68e562c0c03b23556391da5" isNormal="1">
            <s:text>
              <s:r>
                <s:t xml:space="preserve">Administrator:
0001170 2/12 1992 pcs华兴三楼B14
</s:t>
              </s:r>
            </s:text>
          </item>
        </commentChain>
      </unresolved>
      <resolved/>
    </commentChains>
    <commentChains s:ref="AD65" rgbClr="FF0000">
      <unresolved>
        <commentChain chainId="ca35917f555964e3a2dbb5df87a567b8f92d86b2">
          <item id="0b857d1b3e8ff2f8529e01148cd76601563f2e63" isNormal="1">
            <s:text>
              <s:r>
                <s:t xml:space="preserve">Administrator:
12/30上 UPC贴纸 1992 pcs
1/18上 客供亚马逊外箱贴纸 83 pcs
</s:t>
              </s:r>
            </s:text>
          </item>
        </commentChain>
      </unresolved>
      <resolved/>
    </commentChains>
    <commentChains s:ref="AB66" rgbClr="FF0000">
      <unresolved>
        <commentChain chainId="111541730dc5ab1bf44ce6bd936c08678bd916e0">
          <item id="c7772f7a6ed86e7689a65eee5cd630de8b4bc461" isNormal="1">
            <s:text>
              <s:r>
                <s:t xml:space="preserve">Administrator:
0001210 2/14 48 pcs 华兴三楼B12</s:t>
              </s:r>
            </s:text>
          </item>
        </commentChain>
      </unresolved>
      <resolved/>
    </commentChains>
    <commentChains s:ref="AD66" rgbClr="FF0000">
      <unresolved>
        <commentChain chainId="97370a639ac7c9bf4bfeada75fcb7013c1b479ea">
          <item id="71d90c11671676e5d75ce08fc95f39737a7dcd57" isNormal="1">
            <s:text>
              <s:r>
                <s:t xml:space="preserve">Administrator:
12/30上 UPC贴纸 48 pcs
UPC贴纸做错补订
1/14上 UPC贴纸 48 pcs
1/18上 客供亚马逊外箱贴纸 2 pcs
</s:t>
              </s:r>
            </s:text>
          </item>
        </commentChain>
      </unresolved>
      <resolved/>
    </commentChains>
    <commentChains s:ref="AB67" rgbClr="FF0000">
      <unresolved>
        <commentChain chainId="0bf9d6ca7646047cf45a139f9cb2ed4d3bc0543b">
          <item id="1e4f38266d42796460db5c8c7e0bdd2307b41fb1" isNormal="1">
            <s:text>
              <s:r>
                <s:t xml:space="preserve">Administrator:
0001237 2/18 528 pcs 华兴三楼B8</s:t>
              </s:r>
            </s:text>
          </item>
        </commentChain>
      </unresolved>
      <resolved/>
    </commentChains>
    <commentChains s:ref="AD67" rgbClr="FF0000">
      <unresolved>
        <commentChain chainId="9579388d2fb3263e149ed019ef9025c07fab279e">
          <item id="d9e6204304f8cc8bc8c67f7d40df8ae1e7ef5e99" isNormal="1">
            <s:text>
              <s:r>
                <s:t xml:space="preserve">Administrator:
12/30上 UPC贴纸 528 pcs1/18上 客供亚马逊外箱贴纸 22 pcs
</s:t>
              </s:r>
            </s:text>
          </item>
        </commentChain>
      </unresolved>
      <resolved/>
    </commentChains>
    <commentChains s:ref="AB68" rgbClr="FF0000">
      <unresolved>
        <commentChain chainId="edbfeb931d6483814cf3aedb2ab7f61bb25182d9">
          <item id="7c097daf986cdb6c8c8ca722d571e3e0146fe729" isNormal="1">
            <s:text>
              <s:r>
                <s:t xml:space="preserve">Administrator:
0001170 2/12 264 pcs华兴三楼B13
</s:t>
              </s:r>
            </s:text>
          </item>
        </commentChain>
      </unresolved>
      <resolved/>
    </commentChains>
    <commentChains s:ref="AD68" rgbClr="FF0000">
      <unresolved>
        <commentChain chainId="4299f25f8256f706a3369dd849963eb5c5052b15">
          <item id="b12abd6244cbe310d148f105179307c0bca90a85" isNormal="1">
            <s:text>
              <s:r>
                <s:t xml:space="preserve">Administrator:
12/30上 UPC贴纸 264 pcs
1/18上 客供亚马逊外箱贴纸 11 pcs
</s:t>
              </s:r>
            </s:text>
          </item>
        </commentChain>
      </unresolved>
      <resolved/>
    </commentChains>
    <commentChains s:ref="AB69" rgbClr="FF0000">
      <unresolved>
        <commentChain chainId="0148573e994f203e938fb3d5da2865fded45e53d">
          <item id="89c6d82184a7fb2d47e966d9247c16dd8f3d1051" isNormal="1">
            <s:text>
              <s:r>
                <s:t xml:space="preserve">Administrator:
0001170 2/12 360 pcs华兴三楼B13
</s:t>
              </s:r>
            </s:text>
          </item>
        </commentChain>
      </unresolved>
      <resolved/>
    </commentChains>
    <commentChains s:ref="AD69" rgbClr="FF0000">
      <unresolved>
        <commentChain chainId="d0fa04464521350056840b371bf00437622c25fe">
          <item id="b00a450a9947ca3cf1ddee06867a37c14743dfbb" isNormal="1">
            <s:text>
              <s:r>
                <s:t xml:space="preserve">Administrator:
12/30上 UPC贴纸 36 pcs1/18上 客供亚马逊外箱贴纸 15 pcs
</s:t>
              </s:r>
            </s:text>
          </item>
        </commentChain>
      </unresolved>
      <resolved/>
    </commentChains>
    <commentChains s:ref="AB70" rgbClr="FF0000">
      <unresolved>
        <commentChain chainId="1df116af0965641eb0254526676962db80a69814">
          <item id="2787bb90550d3f429b09788eb86448404ddc89ed" isNormal="1">
            <s:text>
              <s:r>
                <s:t xml:space="preserve">Administrator:
0001170 2/12 504 pcs华兴三楼B13
</s:t>
              </s:r>
            </s:text>
          </item>
        </commentChain>
      </unresolved>
      <resolved/>
    </commentChains>
    <commentChains s:ref="AD70" rgbClr="FF0000">
      <unresolved>
        <commentChain chainId="c6f43535ab8852bb4ae3ea50cc3fe5ecbf143b09">
          <item id="2f41e7903096cb2c8c4751060050c34032035a9b" isNormal="1">
            <s:text>
              <s:r>
                <s:t xml:space="preserve">Administrator:
1/6上 亚马逊外箱贴纸  21 pcs
1/10上 UPC贴纸 504 pcs
 ZURU邮箱 504 pcs
 环保标贴纸 504 pcs
1/10上 ES环保标贴纸 504 pcs</s:t>
              </s:r>
            </s:text>
          </item>
        </commentChain>
      </unresolved>
      <resolved/>
    </commentChains>
    <commentChains s:ref="AB71" rgbClr="FF0000">
      <unresolved>
        <commentChain chainId="92e7e6030466c3f2d84223ccf9313a5253333c16">
          <item id="76e154964a3d1d3cb8463faed502cd739916482c" isNormal="1">
            <s:text>
              <s:r>
                <s:t xml:space="preserve">Administrator:
0001252 2/19 528 pcs </s:t>
              </s:r>
            </s:text>
          </item>
        </commentChain>
      </unresolved>
      <resolved/>
    </commentChains>
    <commentChains s:ref="AD71" rgbClr="FF0000">
      <unresolved>
        <commentChain chainId="687cc9b4511b0244b464a370d7aedccc261a947c">
          <item id="c15bc5e7865e8b44526b9bd16f4b866a741392c0" isNormal="1">
            <s:text>
              <s:r>
                <s:t xml:space="preserve">Administrator:
1/17上 进口商贴纸 528 pcs</s:t>
              </s:r>
            </s:text>
          </item>
        </commentChain>
      </unresolved>
      <resolved/>
    </commentChains>
    <commentChains s:ref="AB72" rgbClr="FF0000">
      <unresolved>
        <commentChain chainId="b7a6bf4a5d664727a1128838075f5073bc8848f0">
          <item id="0fe222ac0816595924a8cc93d37a2afc3c3b061a" isNormal="1">
            <s:text>
              <s:r>
                <s:t xml:space="preserve">Administrator:
0001210 2/14 396 pcs 华兴三楼A27</s:t>
              </s:r>
            </s:text>
          </item>
        </commentChain>
      </unresolved>
      <resolved/>
    </commentChains>
    <commentChains s:ref="AD72" rgbClr="FF0000">
      <unresolved>
        <commentChain chainId="7fac704b16c291b32ea8dc1b79ded307241ba0b4">
          <item id="51ec8bd7d0d558eec174b941fbf173fb96dc369a" isNormal="1">
            <s:text>
              <s:r>
                <s:t xml:space="preserve">Administrator:
1/17上 进口商贴纸 396 pcs</s:t>
              </s:r>
            </s:text>
          </item>
        </commentChain>
      </unresolved>
      <resolved/>
    </commentChains>
    <commentChains s:ref="AB73" rgbClr="FF0000">
      <unresolved>
        <commentChain chainId="cf8f20a651de3f5b1dc74847d409699cd2a5320e">
          <item id="1965886b1acd407cf16e59dd26137ee78918896e" isNormal="1">
            <s:text>
              <s:r>
                <s:t xml:space="preserve">Administrator:
0001210 2/14 418 pcs 华兴三楼A27</s:t>
              </s:r>
            </s:text>
          </item>
        </commentChain>
      </unresolved>
      <resolved/>
    </commentChains>
    <commentChains s:ref="AD73" rgbClr="FF0000">
      <unresolved>
        <commentChain chainId="c50f6dd98bae7b48a0120606c08b4a6991a5a167">
          <item id="ce3cc00e946a8c69db566605ddae292326b0375f" isNormal="1">
            <s:text>
              <s:r>
                <s:t xml:space="preserve">Administrator:
1/17上 进口商贴纸 418 pcs</s:t>
              </s:r>
            </s:text>
          </item>
        </commentChain>
      </unresolved>
      <resolved/>
    </commentChains>
    <commentChains s:ref="AB74" rgbClr="FF0000">
      <unresolved>
        <commentChain chainId="2eb30260dca522c6f0260cea68b42c18ae807bd5">
          <item id="29e239909bc070289e986f56ceddd8f33f692452" isNormal="1">
            <s:text>
              <s:r>
                <s:t xml:space="preserve">Administrator:
0001210 2/14 176 pcs 华兴三楼A27</s:t>
              </s:r>
            </s:text>
          </item>
        </commentChain>
      </unresolved>
      <resolved/>
    </commentChains>
    <commentChains s:ref="AD74" rgbClr="FF0000">
      <unresolved>
        <commentChain chainId="842f75802e3bf7068e5bab2a645986faae521e09">
          <item id="b95878a93d9a143f0eebab4d5cb73552f2ff0592" isNormal="1">
            <s:text>
              <s:r>
                <s:t xml:space="preserve">Administrator:
1/17上 进口商贴纸 176 pcs</s:t>
              </s:r>
            </s:text>
          </item>
        </commentChain>
      </unresolved>
      <resolved/>
    </commentChains>
    <commentChains s:ref="AB75" rgbClr="FF0000">
      <unresolved>
        <commentChain chainId="9f3bf404b2df3a38c6725e78b2e8afeab840000f">
          <item id="6d34771ac5abe8b67fe73b16d435e4fd998853d3" isNormal="1">
            <s:text>
              <s:r>
                <s:t xml:space="preserve">Administrator:
0001252 2/19 1008 pcs 华兴三楼B14</s:t>
              </s:r>
            </s:text>
          </item>
        </commentChain>
      </unresolved>
      <resolved/>
    </commentChains>
    <commentChains s:ref="AD75" rgbClr="FF0000">
      <unresolved>
        <commentChain chainId="2bc5abe409e7338d3922ee788b8e258ded4a7f7c">
          <item id="3ad1d6013d75b456d3e8011295a09667c7f991b6" isNormal="1">
            <s:text>
              <s:r>
                <s:t xml:space="preserve">Administrator:
12/26上 德语callout贴纸 1008 pcs
 WEEE声明说明书纸 1008 pcs
 EAN条码贴纸 1008 pcs</s:t>
              </s:r>
            </s:text>
          </item>
        </commentChain>
      </unresolved>
      <resolved/>
    </commentChains>
    <commentChains s:ref="AB76" rgbClr="FF0000">
      <unresolved>
        <commentChain chainId="4b045d67a3eaa78056e40fee6152efb9176d7bcf">
          <item id="3b6fd6813aa6dbe52c95e0cbb5632182cf0d680d" isNormal="1">
            <s:text>
              <s:r>
                <s:t xml:space="preserve">Administrator:
0001293 2/21 24 pcs 华兴三楼B14</s:t>
              </s:r>
            </s:text>
          </item>
        </commentChain>
      </unresolved>
      <resolved/>
    </commentChains>
    <commentChains s:ref="AD76" rgbClr="FF0000">
      <unresolved>
        <commentChain chainId="28e212361dec8bd27d1fc22fefe482b7ec9f1441">
          <item id="69e146f61b822ae1dc1f4827d9dd8a829792579e" isNormal="1">
            <s:text>
              <s:r>
                <s:t xml:space="preserve">Administrator:
1/10上 UPC贴纸 24 pcs
2/10上 亚马逊外箱贴纸 1 pcs</s:t>
              </s:r>
            </s:text>
          </item>
        </commentChain>
      </unresolved>
      <resolved/>
    </commentChains>
    <commentChains s:ref="AB77" rgbClr="FF0000">
      <unresolved>
        <commentChain chainId="f8842b2633749854bed806f0be1d19fc1bb59aa0">
          <item id="3f5f812cb7b6aeac24c48f1c590a6f83bbeae6cb" isNormal="1">
            <s:text>
              <s:r>
                <s:t xml:space="preserve">Administrator:
0001293 2/21 24 pcs 华兴三楼B14</s:t>
              </s:r>
            </s:text>
          </item>
        </commentChain>
      </unresolved>
      <resolved/>
    </commentChains>
    <commentChains s:ref="AD77" rgbClr="FF0000">
      <unresolved>
        <commentChain chainId="4ee4633d994cf25756a78aaed19d0467103b7f8c">
          <item id="da321afe33d95cdc619ecca890046d6facc42a4e" isNormal="1">
            <s:text>
              <s:r>
                <s:t xml:space="preserve">Administrator:
1/10上 UPC贴纸 24 pcs
2/10上 亚马逊外箱贴纸 1 pcs</s:t>
              </s:r>
            </s:text>
          </item>
        </commentChain>
      </unresolved>
      <resolved/>
    </commentChains>
    <commentChains s:ref="AB78" rgbClr="FF0000">
      <unresolved>
        <commentChain chainId="074eeac84db304f3bfe8468fabf89f729a2ae722">
          <item id="68e121b1d3be3e6a92cacd614cf404942f28e8b2" isNormal="1">
            <s:text>
              <s:r>
                <s:t xml:space="preserve">Administrator:
0001293 2/21 24 pcs 华兴三楼B14</s:t>
              </s:r>
            </s:text>
          </item>
        </commentChain>
      </unresolved>
      <resolved/>
    </commentChains>
    <commentChains s:ref="AD78" rgbClr="FF0000">
      <unresolved>
        <commentChain chainId="289bc5b2140b2396c2f2e96bf836bc4ec74d124a">
          <item id="0191806813f60f018199c79a7dc4ce768b63b1dc" isNormal="1">
            <s:text>
              <s:r>
                <s:t xml:space="preserve">Administrator:
1/10上 UPC贴纸 24 pcs
2/10上 亚马逊外箱贴纸 1 pcs</s:t>
              </s:r>
            </s:text>
          </item>
        </commentChain>
      </unresolved>
      <resolved/>
    </commentChains>
    <commentChains s:ref="AB79" rgbClr="FF0000">
      <unresolved>
        <commentChain chainId="aa53f3a8c954921ad5f42d448085c9d93f6a901e">
          <item id="b5a98d43648fcc8c2784d77dc06fdb343c1af615" isNormal="1">
            <s:text>
              <s:r>
                <s:t xml:space="preserve">Administrator:
0001293 2/21 24 pcs 华兴三楼B14</s:t>
              </s:r>
            </s:text>
          </item>
        </commentChain>
      </unresolved>
      <resolved/>
    </commentChains>
    <commentChains s:ref="AD79" rgbClr="FF0000">
      <unresolved>
        <commentChain chainId="45b65d90dc59dcb0c87190aab36c03d5f30a0a2e">
          <item id="577d5a459858f5df8b2b916ef168d6bdda83e421" isNormal="1">
            <s:text>
              <s:r>
                <s:t xml:space="preserve">Administrator:
1/10上 UPC贴纸 24 pcs
2/10上 亚马逊外箱贴纸 1 pcs</s:t>
              </s:r>
            </s:text>
          </item>
        </commentChain>
      </unresolved>
      <resolved/>
    </commentChains>
    <commentChains s:ref="AB80" rgbClr="FF0000">
      <unresolved>
        <commentChain chainId="e1ea8e608fc539c15a54ceeda9cb4a983e525074">
          <item id="38ca1b384e4f70ffce764587cccf95a5452152df" isNormal="1">
            <s:text>
              <s:r>
                <s:t xml:space="preserve">Administrator:
0001293 2/21 1386 pcs 华兴三楼B16</s:t>
              </s:r>
            </s:text>
          </item>
        </commentChain>
      </unresolved>
      <resolved/>
    </commentChains>
    <commentChains s:ref="AD80" rgbClr="FF0000">
      <unresolved>
        <commentChain chainId="decaf2fe1cc4f19d750b82a66a1c45bc4ef9d81a">
          <item id="5ed1042066872387fcc8c861e9060048d75489f6" isNormal="1">
            <s:text>
              <s:r>
                <s:t xml:space="preserve">Administrator:
1/6上 进口商贴纸 1386 pcs</s:t>
              </s:r>
            </s:text>
          </item>
        </commentChain>
      </unresolved>
      <resolved/>
    </commentChains>
    <commentChains s:ref="AB81" rgbClr="FF0000">
      <unresolved>
        <commentChain chainId="b9fccca03980904f23190a20108d4d2c8457a17b">
          <item id="1ad2ddf9884c8efd83eaa481a6c9744de502d8be" isNormal="1">
            <s:text>
              <s:r>
                <s:t xml:space="preserve">Administrator:
0001237 2/18 2520 pcs 华兴三楼B11</s:t>
              </s:r>
            </s:text>
          </item>
        </commentChain>
      </unresolved>
      <resolved/>
    </commentChains>
    <commentChains s:ref="AD81" rgbClr="FF0000">
      <unresolved>
        <commentChain chainId="c2e7e152cfe9b9745ab4e091a6ad7daf8e909102">
          <item id="48f1850c346b4ea4feefa1b52b83e2396721c469" isNormal="1">
            <s:text>
              <s:r>
                <s:t xml:space="preserve">Administrator:
12/26上 四国语言警告语贴纸 2520 pcs</s:t>
              </s:r>
            </s:text>
          </item>
        </commentChain>
      </unresolved>
      <resolved/>
    </commentChains>
    <commentChains s:ref="AB82" rgbClr="FF0000">
      <unresolved>
        <commentChain chainId="29ebd076acfa2f7b1a7712a0ef82b160c94713a4">
          <item id="4f29162fc53eee6f52fa1a5ed85c600d7f9ce90c" isNormal="1">
            <s:text>
              <s:r>
                <s:t xml:space="preserve">Administrator:
0001293 2/21 4004 pcs 华兴三楼B16</s:t>
              </s:r>
            </s:text>
          </item>
        </commentChain>
      </unresolved>
      <resolved/>
    </commentChains>
    <commentChains s:ref="AB83" rgbClr="FF0000">
      <unresolved>
        <commentChain chainId="7c193a8304c0f83c8cfba8fce8f3135b1624448e">
          <item id="95ba11fd42db8817936cf406ba6a531b17d4151a" isNormal="1">
            <s:text>
              <s:r>
                <s:t xml:space="preserve">Administrator:
0001293 2/21 504 pcs 华兴三楼B14</s:t>
              </s:r>
            </s:text>
          </item>
        </commentChain>
      </unresolved>
      <resolved/>
    </commentChains>
    <commentChains s:ref="AD83" rgbClr="FF0000">
      <unresolved>
        <commentChain chainId="38895bb61cfef49448d0b55bb3ca91e7e39ea242">
          <item id="26dea3101cb7f644fcb212cab743bd0ac785c08f" isNormal="1">
            <s:text>
              <s:r>
                <s:t xml:space="preserve">Administrator:
1/6上 亚马逊外箱贴纸  21 pcs
1/6上 UPC贴纸 504 pcs
 环保标贴纸 504 pcs
 ES回收标 504 pcs
邮箱贴纸 504 pcs
UPC贴纸做错补订
1/14上 UPC贴纸 504 pcs
</s:t>
              </s:r>
            </s:text>
          </item>
        </commentChain>
      </unresolved>
      <resolved/>
    </commentChains>
    <commentChains s:ref="AB84" rgbClr="FF0000">
      <unresolved>
        <commentChain chainId="f026583a1bd595252e2b866af4e8c2bbefe0e0d0">
          <item id="b5a40dd847e07cb9b680c354cfeda3587b5783a1" isNormal="1">
            <s:text>
              <s:r>
                <s:t xml:space="preserve">Administrator:
0001293 2/21 504 pcs 华兴三楼B14</s:t>
              </s:r>
            </s:text>
          </item>
        </commentChain>
      </unresolved>
      <resolved/>
    </commentChains>
    <commentChains s:ref="AD84" rgbClr="FF0000">
      <unresolved>
        <commentChain chainId="736a03b3fb37ff788bb28a6842c78185abcee99f">
          <item id="4c8be40bf04a08b937799a7a38bde5b1377dd292" isNormal="1">
            <s:text>
              <s:r>
                <s:t xml:space="preserve">Administrator:
1/6上 亚马逊外箱贴纸  21 pcs
1/6上 UPC贴纸 504 pcs
 环保标贴纸 504 pcs
 ES回收标 504 pcs
邮箱贴纸 504 pcs
UPC贴纸做错补订
1/14上 UPC贴纸 504 pcs
</s:t>
              </s:r>
            </s:text>
          </item>
        </commentChain>
      </unresolved>
      <resolved/>
    </commentChains>
    <commentChains s:ref="AB85" rgbClr="FF0000">
      <unresolved>
        <commentChain chainId="5ca51041dc525189239fefdbb96d76b65e5eabbe">
          <item id="128b20ecac55bae428cec035c7d833a7646feb01" isNormal="1">
            <s:text>
              <s:r>
                <s:t xml:space="preserve">Administrator:
0001312 2/26 363 pcs 华兴三楼B12</s:t>
              </s:r>
            </s:text>
          </item>
        </commentChain>
      </unresolved>
      <resolved/>
    </commentChains>
    <commentChains s:ref="AD85" rgbClr="FF0000">
      <unresolved>
        <commentChain chainId="e2c3c1ecb7639769e463c1a39a6942542f10c72f">
          <item id="f1be75f53ebed464190e5a441fb26766248ea7cd" isNormal="1">
            <s:text>
              <s:r>
                <s:t xml:space="preserve">Administrator:
2/20上 EAN贴纸 363 pcs</s:t>
              </s:r>
            </s:text>
          </item>
        </commentChain>
      </unresolved>
      <resolved/>
    </commentChains>
    <commentChains s:ref="AB86" rgbClr="FF0000">
      <unresolved>
        <commentChain chainId="053c6b50c9aed4f82ce92d05f6c3ddfb25509111">
          <item id="c380c41fc0aa61fae4c0b5fdbf08735966ac4c38" isNormal="1">
            <s:text>
              <s:r>
                <s:t xml:space="preserve">Administrator:
0001312 2/26 5049 pcs 华兴三楼B11
0001327 2/27 11 pcs 华兴三楼B11</s:t>
              </s:r>
            </s:text>
          </item>
        </commentChain>
      </unresolved>
      <resolved/>
    </commentChains>
    <commentChains s:ref="AD86" rgbClr="FF0000">
      <unresolved>
        <commentChain chainId="eca4b0a6e5c35e45de5ee90745be3204da4bbf37">
          <item id="9e0a1eef7b3ac9f9cbd37b85d6173ab057151f3e" isNormal="1">
            <s:text>
              <s:r>
                <s:t xml:space="preserve">Administrator:
2/18上 韩语贴纸 5060 pcs</s:t>
              </s:r>
            </s:text>
          </item>
        </commentChain>
      </unresolved>
      <resolved/>
    </commentChains>
    <commentChains s:ref="AB87" rgbClr="FF0000">
      <unresolved>
        <commentChain chainId="fb1b64228dd1f403d2044dab6635679fa59c35b3">
          <item id="9553d96c64e6f37c2eb8a2998c63d99518ac82f8" isNormal="1">
            <s:text>
              <s:r>
                <s:t xml:space="preserve">Administrator:
0001312 2/26 4180 pcs 华兴三楼B11</s:t>
              </s:r>
            </s:text>
          </item>
        </commentChain>
      </unresolved>
      <resolved/>
    </commentChains>
    <commentChains s:ref="AD87" rgbClr="FF0000">
      <unresolved>
        <commentChain chainId="87a191a4b4b1a83dc7d172d4fbdf43a635b250cd">
          <item id="a546647d5badeb80448e15afbd7df383bc94a7f7" isNormal="1">
            <s:text>
              <s:r>
                <s:t xml:space="preserve">Administrator:
2/13上 进口商贴纸 4180 pcs</s:t>
              </s:r>
            </s:text>
          </item>
        </commentChain>
      </unresolved>
      <resolved/>
    </commentChains>
    <commentChains s:ref="AB88" rgbClr="FF0000">
      <unresolved>
        <commentChain chainId="68004cfa407a3b55d1e54d7b33c67a3d0e8a3c69">
          <item id="bfb1296f0faf4b6013ae769877c60d7d8c86ad6d" isNormal="1">
            <s:text>
              <s:r>
                <s:t xml:space="preserve">Administrator:
0001320 2/27 1320 pcs 华兴三楼B14</s:t>
              </s:r>
            </s:text>
          </item>
        </commentChain>
      </unresolved>
      <resolved/>
    </commentChains>
    <commentChains s:ref="AD88" rgbClr="FF0000">
      <unresolved>
        <commentChain chainId="7691ac4b4e723e327c1a749145ce0721c9fbdc46">
          <item id="8cb1f88c65db7ed61e9574c832a86b0ac1dbd513" isNormal="1">
            <s:text>
              <s:r>
                <s:t xml:space="preserve">Administrator:
2/20上 德语callout翻译贴纸 1320 pcs</s:t>
              </s:r>
            </s:text>
          </item>
        </commentChain>
      </unresolved>
      <resolved/>
    </commentChains>
    <commentChains s:ref="AB89" rgbClr="FF0000">
      <unresolved>
        <commentChain chainId="2baa37105f0851b392a0be86c27331c1823148b6">
          <item id="6ecb3acf4e9c19ab7e00054a11012ac5115cbd09" isNormal="1">
            <s:text>
              <s:r>
                <s:t xml:space="preserve">Administrator:
0001320 2/27 504 pcs 华兴三楼B14</s:t>
              </s:r>
            </s:text>
          </item>
        </commentChain>
      </unresolved>
      <resolved/>
    </commentChains>
    <commentChains s:ref="AD89" rgbClr="FF0000">
      <unresolved>
        <commentChain chainId="c5896d0d8f6e80680ba38fdd47e87806949dd703">
          <item id="9b126687c04a4f3d873a1253a52f478e21f87b04" isNormal="1">
            <s:text>
              <s:r>
                <s:t xml:space="preserve">Administrator:
1/6上 进口商贴纸 506 pcs</s:t>
              </s:r>
            </s:text>
          </item>
        </commentChain>
      </unresolved>
      <resolved/>
    </commentChains>
    <commentChains s:ref="AB90" rgbClr="FF0000">
      <unresolved>
        <commentChain chainId="ef77a28770a73097d49bc79585e770b9a75a5417">
          <item id="9ecfb2fd584081b031dc93bf2dd6d5cbcdbd6e05" isNormal="1">
            <s:text>
              <s:r>
                <s:t xml:space="preserve">Administrator:
0001320 2/27 660 pcs 华兴三楼B14</s:t>
              </s:r>
            </s:text>
          </item>
        </commentChain>
      </unresolved>
      <resolved/>
    </commentChains>
    <commentChains s:ref="AD90" rgbClr="FF0000">
      <unresolved>
        <commentChain chainId="2b657d679c37413e27e9a42f4661d40f7a993a84">
          <item id="ba69b8a4e7f620912dc72738dd6f5eb0d2112bf5" isNormal="1">
            <s:text>
              <s:r>
                <s:t xml:space="preserve">Administrator:
1/6上 进口商贴纸 660 pcs</s:t>
              </s:r>
            </s:text>
          </item>
        </commentChain>
      </unresolved>
      <resolved/>
    </commentChains>
    <commentChains s:ref="AB91" rgbClr="FF0000">
      <unresolved>
        <commentChain chainId="fa7ceac35fe8edfbc0e0c26827416a44e6e5bf43">
          <item id="e2cd022272c675e9746a0dd41092fe60d9adf0e9" isNormal="1">
            <s:text>
              <s:r>
                <s:t xml:space="preserve">Administrator:
0001320 2/27 2222 pcs 华兴三楼B16</s:t>
              </s:r>
            </s:text>
          </item>
        </commentChain>
      </unresolved>
      <resolved/>
    </commentChains>
    <commentChains s:ref="AD91" rgbClr="FF0000">
      <unresolved>
        <commentChain chainId="cc4e207e727ae8f5b901ee35756b04fb5b5ffa7a">
          <item id="e7085d7d1f372b29f449c4d4d4ab12bcb725a867" isNormal="1">
            <s:text>
              <s:r>
                <s:t xml:space="preserve">Administrator:
2/21上 进口商贴纸 2222 pcs</s:t>
              </s:r>
            </s:text>
          </item>
        </commentChain>
      </unresolved>
      <resolved/>
    </commentChains>
    <commentChains s:ref="AB92" rgbClr="FF0000">
      <unresolved>
        <commentChain chainId="fac4e3733cb3f7cacdd135f4eecec64baaa15a5e">
          <item id="9c7415d1247b85242698e42283a7ec2c1b0a039f" isNormal="1">
            <s:text>
              <s:r>
                <s:t xml:space="preserve">Administrator:
0001345 3/5 594 pcs 华兴三楼B12</s:t>
              </s:r>
            </s:text>
          </item>
        </commentChain>
      </unresolved>
      <resolved/>
    </commentChains>
    <commentChains s:ref="AD92" rgbClr="FF0000">
      <unresolved>
        <commentChain chainId="dc596156a902a4b977d3252131c1c136722f2164">
          <item id="c32bf0695b34588e5f64278ac6c1d8347168fc07" isNormal="1">
            <s:text>
              <s:r>
                <s:t xml:space="preserve">Administrator:
2/20上 日语贴纸 594 pcs
补上日语贴纸，订错
2/26上 日语贴纸 594 pcs</s:t>
              </s:r>
            </s:text>
          </item>
        </commentChain>
      </unresolved>
      <resolved/>
    </commentChains>
    <commentChains s:ref="AB93" rgbClr="FF0000">
      <unresolved>
        <commentChain chainId="ede1577bc86433617e4a4a6631386ab62ccb9845">
          <item id="ef9f1ff955650585f35cd85958fab9d113aeba7e" isNormal="1">
            <s:text>
              <s:r>
                <s:t xml:space="preserve">Administrator:
0001346 3/5 1500 pcs 华兴三楼A15</s:t>
              </s:r>
            </s:text>
          </item>
        </commentChain>
      </unresolved>
      <resolved/>
    </commentChains>
    <commentChains s:ref="AD93" rgbClr="FF0000">
      <unresolved>
        <commentChain chainId="355338a46b64b121c0e95f20c753d45aee81bf16">
          <item id="de9362d520ff8d52bfa407bfab9a8977fc95855f" isNormal="1">
            <s:text>
              <s:r>
                <s:t xml:space="preserve">Administrator:
2/10上 客供白色防盗贴纸 1500 pcs
2/25上 KM外箱贴纸 250 pcs</s:t>
              </s:r>
            </s:text>
          </item>
        </commentChain>
      </unresolved>
      <resolved/>
    </commentChains>
    <commentChains s:ref="AB94" rgbClr="FF0000">
      <unresolved>
        <commentChain chainId="313b7bc74ecf8272d93608bb3dacb3b5aa74be76">
          <item id="367ed74fb162354f65fdd88d2be35c8f9dee06b9" isNormal="1">
            <s:text>
              <s:r>
                <s:t xml:space="preserve">Administrator:
0001346 3/5 216 pcs 华兴三楼B8</s:t>
              </s:r>
            </s:text>
          </item>
        </commentChain>
      </unresolved>
      <resolved/>
    </commentChains>
    <commentChains s:ref="AD94" rgbClr="FF0000">
      <unresolved>
        <commentChain chainId="89d628a96a7b502f9dd2a09cb3a5c60657964e68">
          <item id="0411e135192475afefb305482c3ed555c93077dc" isNormal="1">
            <s:text>
              <s:r>
                <s:t xml:space="preserve">Administrator:
2/17上 EAN贴纸 216 pcs</s:t>
              </s:r>
            </s:text>
          </item>
        </commentChain>
      </unresolved>
      <resolved/>
    </commentChains>
    <commentChains s:ref="AB95" rgbClr="FF0000">
      <unresolved>
        <commentChain chainId="0ff151bd71fa51fd2aa5cefd5a64c9385bef29a4">
          <item id="f61e6e526e920c970a5f96729c345476606e5d5a" isNormal="1">
            <s:text>
              <s:r>
                <s:t xml:space="preserve">Administrator:
0001346 3/5 216 pcs 华兴三楼B8</s:t>
              </s:r>
            </s:text>
          </item>
        </commentChain>
      </unresolved>
      <resolved/>
    </commentChains>
    <commentChains s:ref="AD95" rgbClr="FF0000">
      <unresolved>
        <commentChain chainId="07ae99f5aa8258c2c87593a818e9f271e35b0567">
          <item id="1ba1a830bd44a7dc1515123ab9ea80521cc9e60f" isNormal="1">
            <s:text>
              <s:r>
                <s:t xml:space="preserve">Administrator:
2/17上 EAN贴纸 216 pcs</s:t>
              </s:r>
            </s:text>
          </item>
        </commentChain>
      </unresolved>
      <resolved/>
    </commentChains>
    <commentChains s:ref="AB96" rgbClr="FF0000">
      <unresolved>
        <commentChain chainId="bbb36296c961acb70cce5501b83093bfd55add54">
          <item id="016fcd63df3c709407e048b65615e826096ae142" isNormal="1">
            <s:text>
              <s:r>
                <s:t xml:space="preserve">Administrator:
0001346 3/5 216 pcs 华兴三楼B8</s:t>
              </s:r>
            </s:text>
          </item>
        </commentChain>
      </unresolved>
      <resolved/>
    </commentChains>
    <commentChains s:ref="AD96" rgbClr="FF0000">
      <unresolved>
        <commentChain chainId="cfe4e0838cc87236026e6b8c681f2465479fa925">
          <item id="0a55428d2ebd93fbfd85db27f04798dc963206d5" isNormal="1">
            <s:text>
              <s:r>
                <s:t xml:space="preserve">Administrator:
2/17上 EAN贴纸 216 pcs</s:t>
              </s:r>
            </s:text>
          </item>
        </commentChain>
      </unresolved>
      <resolved/>
    </commentChains>
    <commentChains s:ref="AB97" rgbClr="FF0000">
      <unresolved>
        <commentChain chainId="8c70aed0559cab6364977d7ea497d32c6c0f8e1e">
          <item id="39a1bcd9d76665ad54e58185a8e8cb76899b9dec" isNormal="1">
            <s:text>
              <s:r>
                <s:t xml:space="preserve">Administrator:
0001346 3/5 216 pcs 华兴三楼B8</s:t>
              </s:r>
            </s:text>
          </item>
        </commentChain>
      </unresolved>
      <resolved/>
    </commentChains>
    <commentChains s:ref="AD97" rgbClr="FF0000">
      <unresolved>
        <commentChain chainId="5ce18dd142e2afdaacf513024a4b74b792ea8a5d">
          <item id="ddbd912d6d2844f8977dfc9661f9b1c5e4dfabf7" isNormal="1">
            <s:text>
              <s:r>
                <s:t xml:space="preserve">Administrator:
2/17上 EAN贴纸 216 pcs</s:t>
              </s:r>
            </s:text>
          </item>
        </commentChain>
      </unresolved>
      <resolved/>
    </commentChains>
    <commentChains s:ref="AB98" rgbClr="FF0000">
      <unresolved>
        <commentChain chainId="265bee111ce4fdf0d47ec97aa0e5e33994e4b999">
          <item id="f7939ab564cf147c37c8772c24a0fbcaa80bfbd7" isNormal="1">
            <s:text>
              <s:r>
                <s:t xml:space="preserve">Administrator:
0001344 3/5 528 pcs 华兴三楼B9</s:t>
              </s:r>
            </s:text>
          </item>
        </commentChain>
      </unresolved>
      <resolved/>
    </commentChains>
    <commentChains s:ref="AD98" rgbClr="FF0000">
      <unresolved>
        <commentChain chainId="bb557e0696025d59e01e96d2695e112c5ffccb36">
          <item id="89b04ff3bd607b2c86bff60bb0c820feca30c3af" isNormal="1">
            <s:text>
              <s:r>
                <s:t xml:space="preserve">Administrator:
2/24上 进口商贴纸 528 pcs</s:t>
              </s:r>
            </s:text>
          </item>
        </commentChain>
      </unresolved>
      <resolved/>
    </commentChains>
    <commentChains s:ref="AB99" rgbClr="FF0000">
      <unresolved>
        <commentChain chainId="45fa16b0ae7bc0ab82aeab2674adde565333e727">
          <item id="100ea68db00bec8c275d6d13ca6bcce7981e64e4" isNormal="1">
            <s:text>
              <s:r>
                <s:t xml:space="preserve">Administrator:
0001344 3/5 396 pcs 华兴三楼B9</s:t>
              </s:r>
            </s:text>
          </item>
        </commentChain>
      </unresolved>
      <resolved/>
    </commentChains>
    <commentChains s:ref="AD99" rgbClr="FF0000">
      <unresolved>
        <commentChain chainId="160fb0806bd7ff2056e8a7d5c8173a3e7760aa56">
          <item id="70c114bdd5d8e21b5cd5a0aee58fc87b1054202f" isNormal="1">
            <s:text>
              <s:r>
                <s:t xml:space="preserve">Administrator:
2/24上 进口商贴纸 396 pcs</s:t>
              </s:r>
            </s:text>
          </item>
        </commentChain>
      </unresolved>
      <resolved/>
    </commentChains>
    <commentChains s:ref="AB100" rgbClr="FF0000">
      <unresolved>
        <commentChain chainId="b28e0f3523431f5e362b81cca8885ff6df2dbbc5">
          <item id="4b5d644a01da90d4fb38b3408c830bf188d74d47" isNormal="1">
            <s:text>
              <s:r>
                <s:t xml:space="preserve">Administrator:
0001344 3/5 418 pcs 华兴三楼B9</s:t>
              </s:r>
            </s:text>
          </item>
        </commentChain>
      </unresolved>
      <resolved/>
    </commentChains>
    <commentChains s:ref="AD100" rgbClr="FF0000">
      <unresolved>
        <commentChain chainId="54849851935b1762e98832f187d7df720bbf6926">
          <item id="735d1bf6b5b6502031edbef67bb81100d9410efb" isNormal="1">
            <s:text>
              <s:r>
                <s:t xml:space="preserve">Administrator:
2/24上 进口商贴纸 418 pcs</s:t>
              </s:r>
            </s:text>
          </item>
        </commentChain>
      </unresolved>
      <resolved/>
    </commentChains>
    <commentChains s:ref="AB101" rgbClr="FF0000">
      <unresolved>
        <commentChain chainId="601cf144bb3b916adf4ecc1e7853256495ab4edf">
          <item id="90b882cc8f4ceeca342ecdd9a9d6259cfdc76c5b" isNormal="1">
            <s:text>
              <s:r>
                <s:t xml:space="preserve">Administrator:
0001344 3/5 176 pcs 华兴三楼B9</s:t>
              </s:r>
            </s:text>
          </item>
        </commentChain>
      </unresolved>
      <resolved/>
    </commentChains>
    <commentChains s:ref="AD101" rgbClr="FF0000">
      <unresolved>
        <commentChain chainId="1414bb9cf0f721737b2c97e4a6927183cf086856">
          <item id="5bebc4ed41a45e7bc048029dad96a2063a48c9c1" isNormal="1">
            <s:text>
              <s:r>
                <s:t xml:space="preserve">Administrator:
2/24上 进口商贴纸 176 pcs</s:t>
              </s:r>
            </s:text>
          </item>
        </commentChain>
      </unresolved>
      <resolved/>
    </commentChains>
    <commentChains s:ref="AB102" rgbClr="FF0000">
      <unresolved>
        <commentChain chainId="c432ac589ff82ac3eaebc52639972810bf5219df">
          <item id="fdfd675b8b6985e0e1f85b02f01f991eb53e5141" isNormal="1">
            <s:text>
              <s:r>
                <s:t xml:space="preserve">Administrator:
0001345 3/5 594 pcs 华兴三楼B12</s:t>
              </s:r>
            </s:text>
          </item>
        </commentChain>
      </unresolved>
      <resolved/>
    </commentChains>
    <commentChains s:ref="AD102" rgbClr="FF0000">
      <unresolved>
        <commentChain chainId="efa185f5c8595bc8f18f215d24501d7f704b6c94">
          <item id="8ff2f6f471a7c9a141052b406bda357ab1d71d3f" isNormal="1">
            <s:text>
              <s:r>
                <s:t xml:space="preserve">Administrator:
12/18上 日语贴纸 594 pcs</s:t>
              </s:r>
            </s:text>
          </item>
        </commentChain>
      </unresolved>
      <resolved/>
    </commentChains>
    <commentChains s:ref="AB103" rgbClr="FF0000">
      <unresolved>
        <commentChain chainId="3163d553dda5aadff700783a5b390216ffaf1244">
          <item id="82d8b307b65a3ccba0cd231a50c9116e381eacee" isNormal="1">
            <s:text>
              <s:r>
                <s:t xml:space="preserve">Administrator:
0001819 3/14 506 pcs 华兴三楼B15</s:t>
              </s:r>
            </s:text>
          </item>
        </commentChain>
      </unresolved>
      <resolved/>
    </commentChains>
    <commentChains s:ref="AD103" rgbClr="FF0000">
      <unresolved>
        <commentChain chainId="4aac9b122e40ce08a674567555838e09d10bce32">
          <item id="b185dfa43c81fe801a8ea0bc45c628ea2640a50b" isNormal="1">
            <s:text>
              <s:r>
                <s:t xml:space="preserve">Administrator:
2/21上 进口商贴纸 506 pcs</s:t>
              </s:r>
            </s:text>
          </item>
        </commentChain>
      </unresolved>
      <resolved/>
    </commentChains>
    <commentChains s:ref="AB104" rgbClr="FF0000">
      <unresolved>
        <commentChain chainId="920675de88da2738cb811cdf39b1a0f19be41dca">
          <item id="9ab42730684623876a5122238b40a15c4a621264" isNormal="1">
            <s:text>
              <s:r>
                <s:t xml:space="preserve">Administrator:
0001346 3/5 1197 pcs 华兴三楼B8</s:t>
              </s:r>
            </s:text>
          </item>
        </commentChain>
      </unresolved>
      <resolved/>
    </commentChains>
    <commentChains s:ref="AB105" rgbClr="FF0000">
      <unresolved>
        <commentChain chainId="dbc739cc17b69032708d4580af96103c0b4418ef">
          <item id="2ae53f2409852a860bdef9350c44f84463d69fbe" isNormal="1">
            <s:text>
              <s:r>
                <s:t xml:space="preserve">Administrator:
0001346 3/5 504 pcs 华兴三楼B10</s:t>
              </s:r>
            </s:text>
          </item>
        </commentChain>
      </unresolved>
      <resolved/>
    </commentChains>
    <commentChains s:ref="AD105" rgbClr="FF0000">
      <unresolved>
        <commentChain chainId="3e75b15d0252f781181b4a362f828751214a709c">
          <item id="b2cc6980c5728bf6f4fcd940848333baec1ebf69" isNormal="1">
            <s:text>
              <s:r>
                <s:t xml:space="preserve">Administrator:
2/20上 客人白色Cat.label 504 pcs</s:t>
              </s:r>
            </s:text>
          </item>
        </commentChain>
      </unresolved>
      <resolved/>
    </commentChains>
    <commentChains s:ref="AB106" rgbClr="FF0000">
      <unresolved>
        <commentChain chainId="5e2bf14bac7015a0acc8e1afbfce5b670677e30d">
          <item id="7e864cf14b018406a138f8932db72ba6dc74f6eb" isNormal="1">
            <s:text>
              <s:r>
                <s:t xml:space="preserve">Administrator:
0001819 3/14 616 pcs 华兴三楼B15</s:t>
              </s:r>
            </s:text>
          </item>
        </commentChain>
      </unresolved>
      <resolved/>
    </commentChains>
    <commentChains s:ref="AD106" rgbClr="FF0000">
      <unresolved>
        <commentChain chainId="d09db344cdccefacd443c57af5a3a7529d8999ac">
          <item id="0b70edf580c6f4f45a0b6a4708a8cfc4589db513" isNormal="1">
            <s:text>
              <s:r>
                <s:t xml:space="preserve">Administrator:
2/27上 进口商贴纸 616 pcs</s:t>
              </s:r>
            </s:text>
          </item>
        </commentChain>
      </unresolved>
      <resolved/>
    </commentChains>
    <commentChains s:ref="AB107" rgbClr="FF0000">
      <unresolved>
        <commentChain chainId="4772837dd3f7cb13045d4ee2e9d7096e08f6df36">
          <item id="50c4904dee18c62252222ecdcfbe0c91cd359250" isNormal="1">
            <s:text>
              <s:r>
                <s:t xml:space="preserve">Administrator:
0001478 3/17 1804 pcs B四楼-A6</s:t>
              </s:r>
            </s:text>
          </item>
        </commentChain>
      </unresolved>
      <resolved/>
    </commentChains>
    <commentChains s:ref="AD107" rgbClr="FF0000">
      <unresolved>
        <commentChain chainId="56caa6e61ac78947c7d240aa88f867c3754d6950">
          <item id="10bb17ba0ed4d47d96fa3bf6c66f722f3417b531" isNormal="1">
            <s:text>
              <s:r>
                <s:t xml:space="preserve">Administrator:
3/11上 SSCC外箱贴纸 82 pcs</s:t>
              </s:r>
            </s:text>
          </item>
        </commentChain>
      </unresolved>
      <resolved/>
    </commentChains>
    <commentChains s:ref="AB108" rgbClr="FF0000">
      <unresolved>
        <commentChain chainId="a4f9dc981f9dd4bf66b0744719653da08c43f10b">
          <item id="b9b301c9ccab8fc9133b7542037c008507431ef5" isNormal="1">
            <s:text>
              <s:r>
                <s:t xml:space="preserve">Administrator:
0001503 3/19 1452 pcs 华兴三楼B7</s:t>
              </s:r>
            </s:text>
          </item>
        </commentChain>
      </unresolved>
      <resolved/>
    </commentChains>
    <commentChains s:ref="AD108" rgbClr="FF0000">
      <unresolved>
        <commentChain chainId="28c71156ca3c94436491d08eaec46ed0526fda08">
          <item id="1d507d3243cca74bfcc2b64daeb59ad0cf2e30e5" isNormal="1">
            <s:text>
              <s:r>
                <s:t xml:space="preserve">Administrator:
3/4上 WIC贴纸 1452 pcs
 PDQ折页 242 pcs</s:t>
              </s:r>
            </s:text>
          </item>
        </commentChain>
      </unresolved>
      <resolved/>
    </commentChains>
    <commentChains s:ref="AB109" rgbClr="FF0000">
      <unresolved>
        <commentChain chainId="86ceeec25432e21fac56ce0bdbd510a72dd94d5c">
          <item id="c9b522eb1b0b5b2334d669d5b0451f090b68feb3" isNormal="1">
            <s:text>
              <s:r>
                <s:t xml:space="preserve">Administrator:
0001503 3/19 2226 pcs 华兴三楼B7</s:t>
              </s:r>
            </s:text>
          </item>
        </commentChain>
      </unresolved>
      <resolved/>
    </commentChains>
    <commentChains s:ref="AD109" rgbClr="FF0000">
      <unresolved>
        <commentChain chainId="1a4c53822f29a620ab66f8e58e277e1fe3cef8a6">
          <item id="0e9e656d0a9edf30b7664d9befc8c11defa82f14" isNormal="1">
            <s:text>
              <s:r>
                <s:t xml:space="preserve">Administrator:
3/4上 WIC贴纸 2226 pcs
 PDQ折页 371 pcs</s:t>
              </s:r>
            </s:text>
          </item>
        </commentChain>
      </unresolved>
      <resolved/>
    </commentChains>
    <commentChains s:ref="AB110" rgbClr="FF0000">
      <unresolved>
        <commentChain chainId="f2743e878bb8ddd541e9fdac4574919c14f72b0b">
          <item id="b822d8c9c9514d33583b5fb8e66d5f04a7df48e7" isNormal="1">
            <s:text>
              <s:r>
                <s:t xml:space="preserve">Administrator:
0001571 3/26 312 pcs 华兴三楼B14</s:t>
              </s:r>
            </s:text>
          </item>
        </commentChain>
      </unresolved>
      <resolved/>
    </commentChains>
    <commentChains s:ref="AD110" rgbClr="FF0000">
      <unresolved>
        <commentChain chainId="fa4edd5a6e13af7ba37060f9dba052f511f7127d">
          <item id="f1c898434af149916b84854edbbebfa6e5ef95af" isNormal="1">
            <s:text>
              <s:r>
                <s:t xml:space="preserve">Administrator:
2/27上 亚马逊外箱贴纸 13 pcs
3/4上 UPC贴纸 312 pcs</s:t>
              </s:r>
            </s:text>
          </item>
        </commentChain>
      </unresolved>
      <resolved/>
    </commentChains>
    <commentChains s:ref="AB111" rgbClr="FF0000">
      <unresolved>
        <commentChain chainId="fb014a8ae7902996ab83216efa3c708937feeda0">
          <item id="9553e7840fe10cdb5bb967d3a5469017c70fcc79" isNormal="1">
            <s:text>
              <s:r>
                <s:t xml:space="preserve">Administrator:
0001518 3/20 1 363 pcs 华兴三楼B14</s:t>
              </s:r>
            </s:text>
          </item>
        </commentChain>
      </unresolved>
      <resolved/>
    </commentChains>
    <commentChains s:ref="AD111" rgbClr="FF0000">
      <unresolved>
        <commentChain chainId="f8db1ec5af86f5ae14b651d34ac4a9189dff1b0a">
          <item id="f3c37a395f42ddbb095ff7f257deb228154552f8" isNormal="1">
            <s:text>
              <s:r>
                <s:t xml:space="preserve">Administrator:
3/7上 警告语贴纸 363 pcs
  EAN贴纸 363 pcs</s:t>
              </s:r>
            </s:text>
          </item>
        </commentChain>
      </unresolved>
      <resolved/>
    </commentChains>
    <commentChains s:ref="AB112" rgbClr="FF0000">
      <unresolved>
        <commentChain chainId="77f70c3527374cf8ad9cf868470b73cdf1166380">
          <item id="c3ddc9cfece5ef817c33e9e06ccc807e4888594d" isNormal="1">
            <s:text>
              <s:r>
                <s:t xml:space="preserve">Administrator:
0001518 3/20 1 176 pcs 华兴三楼B13</s:t>
              </s:r>
            </s:text>
          </item>
        </commentChain>
      </unresolved>
      <resolved/>
    </commentChains>
    <commentChains s:ref="AB113" rgbClr="FF0000">
      <unresolved>
        <commentChain chainId="294a96e143c52ed9868ec08f8f545d19da679b46">
          <item id="9fac66bc1c58d51b9b084b6c1e626fab944eb551" isNormal="1">
            <s:text>
              <s:r>
                <s:t xml:space="preserve">Administrator:
0001694 3/27 1080 pcs 华兴三楼B15
</s:t>
              </s:r>
            </s:text>
          </item>
        </commentChain>
      </unresolved>
      <resolved/>
    </commentChains>
    <commentChains s:ref="AD113" rgbClr="FF0000">
      <unresolved>
        <commentChain chainId="961c5944bbc812199d7c0f987f808b69b30b4ffa">
          <item id="9d596f44edc3984c4c6e52c449b387ba19473d4e" isNormal="1">
            <s:text>
              <s:r>
                <s:t xml:space="preserve">Administrator:
12/3上 进口商贴纸 1080 pcs
  EAN条码贴纸 1080 pcs</s:t>
              </s:r>
            </s:text>
          </item>
        </commentChain>
      </unresolved>
      <resolved/>
    </commentChains>
    <commentChains s:ref="AB114" rgbClr="FF0000">
      <unresolved>
        <commentChain chainId="0fb374e1efa40ee8b2bc30d9de0d12dec9d8917c">
          <item id="20887cc9786df5c8ff96dacfab1197ad27850332" isNormal="1">
            <s:text>
              <s:r>
                <s:t xml:space="preserve">Administrator:
0001590 3/28 506 pcs 华兴三楼B8</s:t>
              </s:r>
            </s:text>
          </item>
        </commentChain>
      </unresolved>
      <resolved/>
    </commentChains>
    <commentChains s:ref="AD114" rgbClr="FF0000">
      <unresolved>
        <commentChain chainId="61a1d8ea378beb3dbc4d569ccd67ab36be984cd0">
          <item id="4490d6d0e3e2758feb7ab2c0b465cbb83f9fa4c0" isNormal="1">
            <s:text>
              <s:r>
                <s:t xml:space="preserve">Administrator:
3/13上 进口商贴纸（含客人条码） 506 pcs
 外箱条码贴纸 46 pcs
 PDQ 进口商贴纸 46 pcs</s:t>
              </s:r>
            </s:text>
          </item>
        </commentChain>
      </unresolved>
      <resolved/>
    </commentChains>
    <commentChains s:ref="AB115" rgbClr="FF0000">
      <unresolved>
        <commentChain chainId="4456024c07a971e5808e3b5c4a742456cab07007">
          <item id="fdb9a7084af6b833067a79bf539baa3cc39f0a22" isNormal="1">
            <s:text>
              <s:r>
                <s:t xml:space="preserve">Administrator:
0001590 3/28 528 pcs 华兴三楼B8</s:t>
              </s:r>
            </s:text>
          </item>
        </commentChain>
      </unresolved>
      <resolved/>
    </commentChains>
    <commentChains s:ref="AD115" rgbClr="FF0000">
      <unresolved>
        <commentChain chainId="3c4f7e8530e194e26a066ec47dbc0a161f98dfe1">
          <item id="ab8a06d6323ef0b6c7f48af09f8c094ba43721e5" isNormal="1">
            <s:text>
              <s:r>
                <s:t xml:space="preserve">Administrator:
3/19上 进口商贴纸 528 pcs</s:t>
              </s:r>
            </s:text>
          </item>
        </commentChain>
      </unresolved>
      <resolved/>
    </commentChains>
    <commentChains s:ref="AB116" rgbClr="FF0000">
      <unresolved>
        <commentChain chainId="53c2bd5607d1c4a63e312b7afa7ff4f2f94cb3df">
          <item id="ea90a099921524875d914a90063cc6c5701d5492" isNormal="1">
            <s:text>
              <s:r>
                <s:t xml:space="preserve">Administrator:
0001693 3/27 396 pcs 华兴三楼B14</s:t>
              </s:r>
            </s:text>
          </item>
        </commentChain>
      </unresolved>
      <resolved/>
    </commentChains>
    <commentChains s:ref="AD116" rgbClr="FF0000">
      <unresolved>
        <commentChain chainId="34d87a24b52046f54b1e22b574c1aab39d55459b">
          <item id="93e0a63b4e222193e781a8c051b8e1228976305d" isNormal="1">
            <s:text>
              <s:r>
                <s:t xml:space="preserve">Administrator:
3/19上 进口商贴纸 396 pcs</s:t>
              </s:r>
            </s:text>
          </item>
        </commentChain>
      </unresolved>
      <resolved/>
    </commentChains>
    <commentChains s:ref="AB117" rgbClr="FF0000">
      <unresolved>
        <commentChain chainId="f70c282401c5d5d47cde70ad3da7b6d55fb89d66">
          <item id="cc7c649a0e2160c87439f4a59e64f4c96c13852a" isNormal="1">
            <s:text>
              <s:r>
                <s:t xml:space="preserve">Administrator:
0001693 3/27 418 pcs 华兴三楼B14</s:t>
              </s:r>
            </s:text>
          </item>
        </commentChain>
      </unresolved>
      <resolved/>
    </commentChains>
    <commentChains s:ref="AD117" rgbClr="FF0000">
      <unresolved>
        <commentChain chainId="2837fef841c177a3309aeb3d3923a3f5d88b8f7d">
          <item id="c05040793a742772f927f54364b13746c8b62918" isNormal="1">
            <s:text>
              <s:r>
                <s:t xml:space="preserve">Administrator:
3/19上 进口商贴纸 418 pcs</s:t>
              </s:r>
            </s:text>
          </item>
        </commentChain>
      </unresolved>
      <resolved/>
    </commentChains>
    <commentChains s:ref="AB118" rgbClr="FF0000">
      <unresolved>
        <commentChain chainId="e254a50100dedec6aea79cbd8c85002f908819b3">
          <item id="812c04ab47d465f007c6b34c0117a41e844d9f49" isNormal="1">
            <s:text>
              <s:r>
                <s:t xml:space="preserve">Administrator:
0001693 3/27 176 pcs 华兴三楼B14</s:t>
              </s:r>
            </s:text>
          </item>
        </commentChain>
      </unresolved>
      <resolved/>
    </commentChains>
    <commentChains s:ref="AD118" rgbClr="FF0000">
      <unresolved>
        <commentChain chainId="929fbbb3966c992b20cc733b4023c0aac0b0b76a">
          <item id="9976f34a2c6d875f460c1b4f8f097e7e5a9a2be4" isNormal="1">
            <s:text>
              <s:r>
                <s:t xml:space="preserve">Administrator:
3/19上 进口商贴纸 176 pcs</s:t>
              </s:r>
            </s:text>
          </item>
        </commentChain>
      </unresolved>
      <resolved/>
    </commentChains>
    <commentChains s:ref="AB119" rgbClr="FF0000">
      <unresolved>
        <commentChain chainId="414d05bee9d346ae7cc02c0486cfdb2b32b79c47">
          <item id="e311b259439a7b3cd2033d26816c36db092e103c" isNormal="1">
            <s:text>
              <s:r>
                <s:t xml:space="preserve">Administrator:
0001694 3/27 3300 pcs 华兴三楼B12
</s:t>
              </s:r>
            </s:text>
          </item>
        </commentChain>
      </unresolved>
      <resolved/>
    </commentChains>
    <commentChains s:ref="AD119" rgbClr="FF0000">
      <unresolved>
        <commentChain chainId="14c82e164829f86d9c136f6849767b4e7262ad94">
          <item id="3a7c3216a67ec03800519adc216dd538987a493f" isNormal="1">
            <s:text>
              <s:r>
                <s:t xml:space="preserve">Administrator:
3/4上 EAN条码贴纸 3300 pcs
 WEEE通用黑白说明书 3300 pcs</s:t>
              </s:r>
            </s:text>
          </item>
        </commentChain>
      </unresolved>
      <resolved/>
    </commentChains>
    <commentChains s:ref="AB120" rgbClr="FF0000">
      <unresolved>
        <commentChain chainId="ea42c8516940a5e7f985ec06feeb6dc3796dc288">
          <item id="450009c2492456f57a9ad6face9c7645a87ad6c4" isNormal="1">
            <s:text>
              <s:r>
                <s:t xml:space="preserve">Administrator:
0001571 3/26 616 pcs 华兴三楼B14</s:t>
              </s:r>
            </s:text>
          </item>
        </commentChain>
      </unresolved>
      <resolved/>
    </commentChains>
    <commentChains s:ref="AD120" rgbClr="FF0000">
      <unresolved>
        <commentChain chainId="aa64ff4ef082098b01779dad89d94d4bfb36b898">
          <item id="73abb56515a0989d8b8fa0c18ba4879b1c90a0e2" isNormal="1">
            <s:text>
              <s:r>
                <s:t xml:space="preserve">Administrator:
2/20上 日语贴纸 616 pcs
补上日语贴纸，订错
2/26上 日语贴纸 616 pcs
</s:t>
              </s:r>
            </s:text>
          </item>
        </commentChain>
      </unresolved>
      <resolved/>
    </commentChains>
    <commentChains s:ref="AB121" rgbClr="FF0000">
      <unresolved>
        <commentChain chainId="9788022cf02cff835ff65ac3956abb7ad674a2ac">
          <item id="aefae6e06131d00c835d2fd63a1628fc5835d003" isNormal="1">
            <s:text>
              <s:r>
                <s:t xml:space="preserve">Administrator:
0001694 3/27 2420 pcs  华兴三楼B12</s:t>
              </s:r>
            </s:text>
          </item>
        </commentChain>
      </unresolved>
      <resolved/>
    </commentChains>
    <commentChains s:ref="AD121" rgbClr="FF0000">
      <unresolved>
        <commentChain chainId="a3991a01137a4e6e337537bbdb0ab53a65daa56f">
          <item id="cc1e6bcfb11aefeef1fd6d26eb6ebc6c8ef31dca" isNormal="1">
            <s:text>
              <s:r>
                <s:t xml:space="preserve">Administrator:
3/19上 德语callout翻译贴纸 2420 pcs
4/1上 更正正确的德语callout翻译贴纸 2420 pcs
</s:t>
              </s:r>
            </s:text>
          </item>
        </commentChain>
      </unresolved>
      <resolved/>
    </commentChains>
    <commentChains s:ref="AB122" rgbClr="FF0000">
      <unresolved>
        <commentChain chainId="210ec4d468b06d3ac9a9e59b8961196256c03142">
          <item id="8c26728f5350d9ad355d7bec5c2c0a1f461217ae" isNormal="1">
            <s:text>
              <s:r>
                <s:t xml:space="preserve">Administrator:
0000533 12/30 384 pcs 华兴三楼A16</s:t>
              </s:r>
            </s:text>
          </item>
        </commentChain>
      </unresolved>
      <resolved/>
    </commentChains>
    <commentChains s:ref="AD122" rgbClr="FF0000">
      <unresolved>
        <commentChain chainId="8bdd9af7d2352b2daef0b520f9634f52b145cf23">
          <item id="8302577b0600c09b8afd88ed0fb701a690b78036" isNormal="1">
            <s:text>
              <s:r>
                <s:t xml:space="preserve">Administrator:
12/3上 进口商贴纸 384 pcs
  EAN条码贴纸 384 pcs</s:t>
              </s:r>
            </s:text>
          </item>
        </commentChain>
      </unresolved>
      <resolved/>
    </commentChains>
    <commentChains s:ref="AB123" rgbClr="FF0000">
      <unresolved>
        <commentChain chainId="c54d84aa53df11fbe43524f663cdedffa94c2e55">
          <item id="a84b08351d44d1ab92775bb53dc45c1cc8cf0f8c" isNormal="1">
            <s:text>
              <s:r>
                <s:t xml:space="preserve">Administrator:
0001907 4/2 3300 pcs 华兴三楼B15</s:t>
              </s:r>
            </s:text>
          </item>
        </commentChain>
      </unresolved>
      <resolved/>
    </commentChains>
    <commentChains s:ref="AD123" rgbClr="FF0000">
      <unresolved>
        <commentChain chainId="85e7821726402f25b555a9380d503c7ec15c5efd">
          <item id="cd765236083589e00da80e30db45aa9b0a0f996d" isNormal="1">
            <s:text>
              <s:r>
                <s:t xml:space="preserve">Administrator:
3/4上 EAN条码贴纸 3300 pcs
 WEEE通用黑白说明书 3300 pcs</s:t>
              </s:r>
            </s:text>
          </item>
        </commentChain>
      </unresolved>
      <resolved/>
    </commentChains>
    <commentChains s:ref="AB124" rgbClr="FF0000">
      <unresolved>
        <commentChain chainId="b150146ca041149d0ea6a45f3f899ce4f63c295a">
          <item id="3596465feedb8556063626d5eef23f07e6c27d4c" isNormal="1">
            <s:text>
              <s:r>
                <s:t xml:space="preserve">Administrator:
0001848 4/9 220 pcs</s:t>
              </s:r>
            </s:text>
          </item>
        </commentChain>
      </unresolved>
      <resolved/>
    </commentChains>
    <commentChains s:ref="AB125" rgbClr="FF0000">
      <unresolved>
        <commentChain chainId="062bd5b767d23c545cf027f0752abdb2f6100dd8">
          <item id="1d633f1ec3aed0d16642d4c33ccf92fab3c0511f" isNormal="1">
            <s:text>
              <s:r>
                <s:t xml:space="preserve">Administrator:
0001840 4/8 1680 pcs 华兴三楼B10</s:t>
              </s:r>
            </s:text>
          </item>
        </commentChain>
      </unresolved>
      <resolved/>
    </commentChains>
    <commentChains s:ref="AD125" rgbClr="FF0000">
      <unresolved>
        <commentChain chainId="9d9b8f6b02c0a172289bf5200a8e18720e3bcb45">
          <item id="38fe6022264c36c17bc85c196064d51167ca36ef" isNormal="1">
            <s:text>
              <s:r>
                <s:t xml:space="preserve">Administrator:
3/25上 UPC贴纸 1680 pcs</s:t>
              </s:r>
            </s:text>
          </item>
        </commentChain>
      </unresolved>
      <resolved/>
    </commentChains>
    <commentChains s:ref="AB126" rgbClr="FF0000">
      <unresolved>
        <commentChain chainId="e706a5a044c9894bf1f6b99f40ea2b32751cb590">
          <item id="c1beb33943571c3caf56983d6768589ea886c832" isNormal="1">
            <s:text>
              <s:r>
                <s:t xml:space="preserve">Administrator:
0001845 4/9 88 pcs 华兴三楼B10
</s:t>
              </s:r>
            </s:text>
          </item>
        </commentChain>
      </unresolved>
      <resolved/>
    </commentChains>
    <commentChains s:ref="AD126" rgbClr="FF0000">
      <unresolved>
        <commentChain chainId="5adb374d7ff01d23f0f253061298733619b0b230">
          <item id="e2bafe136eb8aa41bb95c2a0b27819749f2798e8" isNormal="1">
            <s:text>
              <s:r>
                <s:t xml:space="preserve">Administrator:
3/27上 进口商贴纸 88 pcs</s:t>
              </s:r>
            </s:text>
          </item>
        </commentChain>
      </unresolved>
      <resolved/>
    </commentChains>
    <commentChains s:ref="AB127" rgbClr="FF0000">
      <unresolved>
        <commentChain chainId="15983ed7d67585b050a2739f3a1aac26ac72c0c9">
          <item id="a134d41fa4c87d801e90cf04ba389745da465d66" isNormal="1">
            <s:text>
              <s:r>
                <s:t xml:space="preserve">Administrator:
0001845 4/9 660 pcs 华兴三楼B10</s:t>
              </s:r>
            </s:text>
          </item>
        </commentChain>
      </unresolved>
      <resolved/>
    </commentChains>
    <commentChains s:ref="AD127" rgbClr="FF0000">
      <unresolved>
        <commentChain chainId="e5cbeec26196111e73abec097f3221e224ce8b76">
          <item id="ec5828a3ad559cc27f2bec414c01e7303b9cd176" isNormal="1">
            <s:text>
              <s:r>
                <s:t xml:space="preserve">Administrator:
3/27上 进口商贴纸 660 pcs</s:t>
              </s:r>
            </s:text>
          </item>
        </commentChain>
      </unresolved>
      <resolved/>
    </commentChains>
    <commentChains s:ref="AB128" rgbClr="FF0000">
      <unresolved>
        <commentChain chainId="5e8a7684b7e6031c163730a35b33d5add50c170e">
          <item id="e33fe2ede7fab0d4a4651413e286c7db9e5254d3" isNormal="1">
            <s:text>
              <s:r>
                <s:t xml:space="preserve">Administrator:
0001840 4/8 176 pcs 华兴三楼B10</s:t>
              </s:r>
            </s:text>
          </item>
        </commentChain>
      </unresolved>
      <resolved/>
    </commentChains>
    <commentChains s:ref="AD128" rgbClr="FF0000">
      <unresolved>
        <commentChain chainId="8df41d6bb9ee0a03c1f74a295f7b7b13e34e1b7f">
          <item id="500b0feecba179a6963c642534417929af45253c" isNormal="1">
            <s:text>
              <s:r>
                <s:t xml:space="preserve">Administrator:
3/27上 进口商贴纸 176 pcs</s:t>
              </s:r>
            </s:text>
          </item>
        </commentChain>
      </unresolved>
      <resolved/>
    </commentChains>
    <commentChains s:ref="AB129" rgbClr="FF0000">
      <unresolved>
        <commentChain chainId="8a919089a12cca48475cd6f187f81a5b79f12a15">
          <item id="16d2b06f53bb0d1e1df370f11a97c3a1957e4e3f" isNormal="1">
            <s:text>
              <s:r>
                <s:t xml:space="preserve">Administrator:
0001845 4/9 264 pcs 华兴三楼B10
</s:t>
              </s:r>
            </s:text>
          </item>
        </commentChain>
      </unresolved>
      <resolved/>
    </commentChains>
    <commentChains s:ref="AD129" rgbClr="FF0000">
      <unresolved>
        <commentChain chainId="365ac46a41429a3b2d7baca92e89e8f6e42c8ec4">
          <item id="fc3f0c21bb66125f565923bd7c809b302bd979a3" isNormal="1">
            <s:text>
              <s:r>
                <s:t xml:space="preserve">Administrator:
3/27上 进口商贴纸 264 pcs</s:t>
              </s:r>
            </s:text>
          </item>
        </commentChain>
      </unresolved>
      <resolved/>
    </commentChains>
    <commentChains s:ref="AB130" rgbClr="FF0000">
      <unresolved>
        <commentChain chainId="901ef5a0eae3640a8a26e121659de9aad8b3d582">
          <item id="4184c5ae4b54c730225c740085bba7c821925b4c" isNormal="1">
            <s:text>
              <s:r>
                <s:t xml:space="preserve">Administrator:
0001845 4/9 484 pcs 华兴三楼B10
</s:t>
              </s:r>
            </s:text>
          </item>
        </commentChain>
      </unresolved>
      <resolved/>
    </commentChains>
    <commentChains s:ref="AD130" rgbClr="FF0000">
      <unresolved>
        <commentChain chainId="e6cfc555a8b21c5566693387a24d5ba4d395eb87">
          <item id="bce3f99e96dc42abbf9c0fae25ae2ec75fcd9bef" isNormal="1">
            <s:text>
              <s:r>
                <s:t xml:space="preserve">Administrator:
3/27上 进口商贴纸 484 pcs</s:t>
              </s:r>
            </s:text>
          </item>
        </commentChain>
      </unresolved>
      <resolved/>
    </commentChains>
    <commentChains s:ref="AB131" rgbClr="FF0000">
      <unresolved>
        <commentChain chainId="5e2e0e5ea6335e3fd8cd36869d55895e155a8faf">
          <item id="13db1ed49ea05d859f2251b4ca45315e9ac6b0f2" isNormal="1">
            <s:text>
              <s:r>
                <s:t xml:space="preserve">Administrator:
0001848 4/9 24 pcs 华兴三楼B12</s:t>
              </s:r>
            </s:text>
          </item>
        </commentChain>
      </unresolved>
      <resolved/>
    </commentChains>
    <commentChains s:ref="AD131" rgbClr="FF0000">
      <unresolved>
        <commentChain chainId="328649b87fcb6b10c4d8d67991a1394ec9ede4b6">
          <item id="b0cc5cef55328275b251ee3432e54b5ad200940d" isNormal="1">
            <s:text>
              <s:r>
                <s:t xml:space="preserve">Administrator:
3/26上 UPC贴纸 24 pcs
 3/21上 亚马逊外箱贴纸 1 pcs</s:t>
              </s:r>
            </s:text>
          </item>
        </commentChain>
      </unresolved>
      <resolved/>
    </commentChains>
    <commentChains s:ref="AB132" rgbClr="FF0000">
      <unresolved>
        <commentChain chainId="607dd93b17a7b2ddb13f3dbfde82a00118180262">
          <item id="c72e06578388518bccf94d0ec539b9c212e7cd31" isNormal="1">
            <s:text>
              <s:r>
                <s:t xml:space="preserve">Administrator:
0001848 4/9 24 pcs 华兴三楼B12
</s:t>
              </s:r>
            </s:text>
          </item>
        </commentChain>
      </unresolved>
      <resolved/>
    </commentChains>
    <commentChains s:ref="AD132" rgbClr="FF0000">
      <unresolved>
        <commentChain chainId="27f80f62ab9f5e7e3ec455d48edbf241a6053118">
          <item id="a4e9f37b2b135461e4d4614107d40a5c977155f9" isNormal="1">
            <s:text>
              <s:r>
                <s:t xml:space="preserve">Administrator:
3/26上 UPC贴纸 24 pcs
 3/21上 亚马逊外箱贴纸 1 pcs</s:t>
              </s:r>
            </s:text>
          </item>
        </commentChain>
      </unresolved>
      <resolved/>
    </commentChains>
    <commentChains s:ref="AB133" rgbClr="FF0000">
      <unresolved>
        <commentChain chainId="9d8d5bee69e9e3a8e62511a731db3343d4ef4ec5">
          <item id="f6cfb7a1d3e7d7a4c124c46b37f025e9c70dadf2" isNormal="1">
            <s:text>
              <s:r>
                <s:t xml:space="preserve">Administrator:
0001933 4/11 354 pcs 华兴三楼A30</s:t>
              </s:r>
            </s:text>
          </item>
        </commentChain>
      </unresolved>
      <resolved/>
    </commentChains>
    <commentChains s:ref="AD133" rgbClr="FF0000">
      <unresolved>
        <commentChain chainId="4fe41350232ffe6409e07a0d5a1e3b3b90667f86">
          <item id="1f9e8e6fba2b72e3ee4d525101abdc59aff151e1" isNormal="1">
            <s:text>
              <s:r>
                <s:t xml:space="preserve">Administrator:
3/4上 WIC贴纸 354 pcs
 PDQ折页 59 pcs</s:t>
              </s:r>
            </s:text>
          </item>
        </commentChain>
      </unresolved>
      <resolved/>
    </commentChains>
    <commentChains s:ref="AB134" rgbClr="FF0000">
      <unresolved>
        <commentChain chainId="883deeb72f91bfc793b86d1a5a0fdc8a31ae6b12">
          <item id="85aa7f2091f52f03ea82e4bc6afcfd9ff1d39a88" isNormal="1">
            <s:text>
              <s:r>
                <s:t xml:space="preserve">Administrator:
0001933 4/11 1710 pcs 华兴三楼A30</s:t>
              </s:r>
            </s:text>
          </item>
        </commentChain>
      </unresolved>
      <resolved/>
    </commentChains>
    <commentChains s:ref="AD134" rgbClr="FF0000">
      <unresolved>
        <commentChain chainId="74e3163c72688c5c773abd77376b780aa93045de">
          <item id="17ee030c9912d15f0ac297647fddea5138d75307" isNormal="1">
            <s:text>
              <s:r>
                <s:t xml:space="preserve">Administrator:
3/4上 WIC贴纸 1710 pcs
 PDQ折页 285 pcs</s:t>
              </s:r>
            </s:text>
          </item>
        </commentChain>
      </unresolved>
      <resolved/>
    </commentChains>
    <commentChains s:ref="AB135" rgbClr="FF0000">
      <unresolved>
        <commentChain chainId="c552951ac8bd402a99e35e6795b489f6a7cecc1f">
          <item id="e0c08f6740aae336e96962adbe44199dffdeb0b1" isNormal="1">
            <s:text>
              <s:r>
                <s:t xml:space="preserve">Administrator:
0001933 4/11 702 pcs 华兴三楼A30</s:t>
              </s:r>
            </s:text>
          </item>
        </commentChain>
      </unresolved>
      <resolved/>
    </commentChains>
    <commentChains s:ref="AD135" rgbClr="FF0000">
      <unresolved>
        <commentChain chainId="b7de4832d6186e1a7bd1d989a30bfd4960ecf087">
          <item id="634ca1a980f0acfe2f343d8e1c807ed846b2a02b" isNormal="1">
            <s:text>
              <s:r>
                <s:t xml:space="preserve">Administrator:
3/4上 WIC贴纸 702 pcs
 PDQ折页 117 pcs</s:t>
              </s:r>
            </s:text>
          </item>
        </commentChain>
      </unresolved>
      <resolved/>
    </commentChains>
    <commentChains s:ref="AB136" rgbClr="FF0000">
      <unresolved>
        <commentChain chainId="00f4735c27442b8b3b9d343d31d0c50da2464ccf">
          <item id="3c766ce59e0a9881a9f2d94ff560391ac2bb6b0a" isNormal="1">
            <s:text>
              <s:r>
                <s:t xml:space="preserve">Administrator:
0001933 4/11 3336 pcs 华兴三楼A30</s:t>
              </s:r>
            </s:text>
          </item>
        </commentChain>
      </unresolved>
      <resolved/>
    </commentChains>
    <commentChains s:ref="AD136" rgbClr="FF0000">
      <unresolved>
        <commentChain chainId="a1b1ee84f3ffa924e0b0c5449fa76b2629349b2c">
          <item id="8d052d75bd2668ea23f2ddc8f8adfdb65dacb4e8" isNormal="1">
            <s:text>
              <s:r>
                <s:t xml:space="preserve">Administrator:
3/4上 WIC贴纸 3336 pcs
 PDQ折页 556 pcs</s:t>
              </s:r>
            </s:text>
          </item>
        </commentChain>
      </unresolved>
      <resolved/>
    </commentChains>
    <commentChains s:ref="AB137" rgbClr="FF0000">
      <unresolved>
        <commentChain chainId="76cea4dc6cc4b170906342db7f9e9dcae38967ec">
          <item id="a2c2957c2373df7355393304d59a44cde8f332e0" isNormal="1">
            <s:text>
              <s:r>
                <s:t xml:space="preserve">Administrator:
0001933 4/11 1890 pcs 华兴三楼A30</s:t>
              </s:r>
            </s:text>
          </item>
        </commentChain>
      </unresolved>
      <resolved/>
    </commentChains>
    <commentChains s:ref="AD137" rgbClr="FF0000">
      <unresolved>
        <commentChain chainId="a29e3a5d08d049ddfedda9a190ea699789ebf0fa">
          <item id="0448cbf751b045ca091f3606b82dd31012f217c1" isNormal="1">
            <s:text>
              <s:r>
                <s:t xml:space="preserve">Administrator:
3/4上 WIC贴纸 1890 pcs
 PDQ折页 315 pcs</s:t>
              </s:r>
            </s:text>
          </item>
        </commentChain>
      </unresolved>
      <resolved/>
    </commentChains>
    <commentChains s:ref="AB138" rgbClr="FF0000">
      <unresolved>
        <commentChain chainId="5283596d33e2eadb227cb12064c9c5f15606bd20">
          <item id="57208e251eed2afc60ff087b98e1ab3ffb71f200" isNormal="1">
            <s:text>
              <s:r>
                <s:t xml:space="preserve">Administrator:
0001933 4/11 2898 pcs 华兴三楼A30</s:t>
              </s:r>
            </s:text>
          </item>
        </commentChain>
      </unresolved>
      <resolved/>
    </commentChains>
    <commentChains s:ref="AD138" rgbClr="FF0000">
      <unresolved>
        <commentChain chainId="d06890fd77c8fe5d6b30c670e805c9acda6febdd">
          <item id="ecf20fd53320bea8749337125f2ad319dcac9a36" isNormal="1">
            <s:text>
              <s:r>
                <s:t xml:space="preserve">Administrator:
3/4上 WIC贴纸 2898 pcs
 PDQ折页 483 pcs</s:t>
              </s:r>
            </s:text>
          </item>
        </commentChain>
      </unresolved>
      <resolved/>
    </commentChains>
    <commentChains s:ref="AB139" rgbClr="FF0000">
      <unresolved>
        <commentChain chainId="53aa5deb47381c58a0848dbc36e8254fb00cc854">
          <item id="89d8df3e73ce2fd31d00b04e22d4220d4367ff12" isNormal="1">
            <s:text>
              <s:r>
                <s:t xml:space="preserve">Administrator:
0001683 4/15 504 pcs 华兴三楼A32</s:t>
              </s:r>
            </s:text>
          </item>
        </commentChain>
      </unresolved>
      <resolved/>
    </commentChains>
    <commentChains s:ref="AD139" rgbClr="FF0000">
      <unresolved>
        <commentChain chainId="6aacec8fe359c5234bde86db0bdbd76510e8c7a9">
          <item id="189e537e99090836c24864a57d735e9c4eba2587" isNormal="1">
            <s:text>
              <s:r>
                <s:t xml:space="preserve">Administrator:
3/26 上环保标贴纸 504 pcs
上UPC贴纸 504 pcs
ES回收标贴纸 504 pcs
 邮箱贴纸 504 pcs
3/31上 胶袋UPC贴纸 504 pcs
 亚马逊外箱贴纸 21 pcs</s:t>
              </s:r>
            </s:text>
          </item>
        </commentChain>
      </unresolved>
      <resolved/>
    </commentChains>
    <commentChains s:ref="AB140" rgbClr="FF0000">
      <unresolved>
        <commentChain chainId="e2084b7a564e30c768e9e880a1785d4744bf841f">
          <item id="fd860e6db162ba90fd9e794cd3653c3f5082133b" isNormal="1">
            <s:text>
              <s:r>
                <s:t xml:space="preserve">Administrator:
0001933 4/11 2502 pcs 华兴三楼A30</s:t>
              </s:r>
            </s:text>
          </item>
        </commentChain>
      </unresolved>
      <resolved/>
    </commentChains>
    <commentChains s:ref="AD140" rgbClr="FF0000">
      <unresolved>
        <commentChain chainId="428f0f161770e63929192559d4d25a8829c94bd1">
          <item id="ed86acaf90aba61942f24d1cc7b5522b0d274a77" isNormal="1">
            <s:text>
              <s:r>
                <s:t xml:space="preserve">Administrator:
3/4上 WIC贴纸 2502 pcs
 PDQ折页 417 pcs</s:t>
              </s:r>
            </s:text>
          </item>
        </commentChain>
      </unresolved>
      <resolved/>
    </commentChains>
    <commentChains s:ref="AB141" rgbClr="FF0000">
      <unresolved>
        <commentChain chainId="90225291ecb4bfdb583f509b0baccae94a157a6d">
          <item id="b73272d6b9689d82889887bd84698e3760f4cc6e" isNormal="1">
            <s:text>
              <s:r>
                <s:t xml:space="preserve">Administrator:
0001683 4/15 2002 pcs 华兴三楼B17</s:t>
              </s:r>
            </s:text>
          </item>
        </commentChain>
      </unresolved>
      <resolved/>
    </commentChains>
    <commentChains s:ref="AD141" rgbClr="FF0000">
      <unresolved>
        <commentChain chainId="d05190ac80e2fe59978012c241910df9c8f08a54">
          <item id="6ccbe3453db11af90d78c4948aa115e647dabca0" isNormal="1">
            <s:text>
              <s:r>
                <s:t xml:space="preserve">Administrator:
3/26上 德语callout翻译贴纸 2002 pcs
 产品贴纸 2002 pcs
 WEEE声明通用说明书 2002 pcs
3/31上 更正正确贴纸 德语callout翻译贴纸 2002 pcs</s:t>
              </s:r>
            </s:text>
          </item>
        </commentChain>
      </unresolved>
      <resolved/>
    </commentChains>
    <commentChains s:ref="AB142" rgbClr="FF0000">
      <unresolved>
        <commentChain chainId="93112e1c176429cff3f1a1368569dda74972048e">
          <item id="ba90105f25a09174073267f95ead970d243d5e25" isNormal="1">
            <s:text>
              <s:r>
                <s:t xml:space="preserve">Administrator:
0001683 4/15 504 pcs 华兴三楼A32</s:t>
              </s:r>
            </s:text>
          </item>
        </commentChain>
      </unresolved>
      <resolved/>
    </commentChains>
    <commentChains s:ref="AD142" rgbClr="FF0000">
      <unresolved>
        <commentChain chainId="e939db5e00a232601142f42745af800cefaa5cca">
          <item id="e57039fbd16cf195d64bef9e3d2dbc2caa6f9281" isNormal="1">
            <s:text>
              <s:r>
                <s:t xml:space="preserve">Administrator:
3/26 上环保标贴纸 504 pcs
上UPC贴纸 504 pcs
ES回收标贴纸 504 pcs
 邮箱贴纸 504 pcs
3/31上 胶袋UPC贴纸 504 pcs
 亚马逊外箱贴纸 21 pcs
</s:t>
              </s:r>
            </s:text>
          </item>
        </commentChain>
      </unresolved>
      <resolved/>
    </commentChains>
    <commentChains s:ref="AB143" rgbClr="FF0000">
      <unresolved>
        <commentChain chainId="4a44cd612cf19debc134c44565ccf6ca7e154ce9">
          <item id="1c635352a09203fc8689b846ef7e0232c9505dcd" isNormal="1">
            <s:text>
              <s:r>
                <s:t xml:space="preserve">Administrator:
0001683 4/15 504 pcs 华兴三楼A32</s:t>
              </s:r>
            </s:text>
          </item>
        </commentChain>
      </unresolved>
      <resolved/>
    </commentChains>
    <commentChains s:ref="AD143" rgbClr="FF0000">
      <unresolved>
        <commentChain chainId="8da6138793a57be0ded6f0dbdabd266495462fcd">
          <item id="30f65434b0bcc7272f6839cead2fc0e58e6fd9eb" isNormal="1">
            <s:text>
              <s:r>
                <s:t xml:space="preserve">Administrator:
3/26 上环保标贴纸 504 pcs
上UPC贴纸 504 pcs
ES回收标贴纸 504 pcs
 邮箱贴纸 504 pcs
3/31上 胶袋UPC贴纸 504 pcs
 亚马逊外箱贴纸 21 pcs
</s:t>
              </s:r>
            </s:text>
          </item>
        </commentChain>
      </unresolved>
      <resolved/>
    </commentChains>
    <commentChains s:ref="AB144" rgbClr="FF0000">
      <unresolved>
        <commentChain chainId="331f74beb99560263c141742f045b3254d847a8c">
          <item id="04d7b0e618246dd45787de8351a0232103e79cec" isNormal="1">
            <s:text>
              <s:r>
                <s:t xml:space="preserve">Administrator:
0001683 4/15 4620 pcs 华兴三楼B16</s:t>
              </s:r>
            </s:text>
          </item>
        </commentChain>
      </unresolved>
      <resolved/>
    </commentChains>
    <commentChains s:ref="AD144" rgbClr="FF0000">
      <unresolved>
        <commentChain chainId="9597ed369a497e87167b5557beaf95ea1f22f9cc">
          <item id="4d795ef2d5da708a9561f161162abd0c326470a2" isNormal="1">
            <s:text>
              <s:r>
                <s:t xml:space="preserve">Administrator:
3/19上 德语callout翻译贴纸 4620 pcs
4/1上更正正确的德语callout翻译贴纸 4620 pcs
</s:t>
              </s:r>
            </s:text>
          </item>
        </commentChain>
      </unresolved>
      <resolved/>
    </commentChains>
    <commentChains s:ref="AB145" rgbClr="FF0000">
      <unresolved>
        <commentChain chainId="20dbd754066bbefe08d7ced7a70e723d94187936">
          <item id="36892f32fcd9f3405ff692cdf515dc429da8b7b6" isNormal="1">
            <s:text>
              <s:r>
                <s:t xml:space="preserve">Administrator:
0001656 4/16 616 pcs 华兴三楼B4</s:t>
              </s:r>
            </s:text>
          </item>
        </commentChain>
      </unresolved>
      <resolved/>
    </commentChains>
    <commentChains s:ref="AB146" rgbClr="FF0000">
      <unresolved>
        <commentChain chainId="d4f1802b5870fcaf29f832e8e4eb5dd2895c9fad">
          <item id="f7bac78c461e659545586b9d044a5bf66cd103eb" isNormal="1">
            <s:text>
              <s:r>
                <s:t xml:space="preserve">Administrator:
0001604 4/24 1398 pcs 华兴三楼B14</s:t>
              </s:r>
            </s:text>
          </item>
        </commentChain>
      </unresolved>
      <resolved/>
    </commentChains>
    <commentChains s:ref="AD146" rgbClr="FF0000">
      <unresolved>
        <commentChain chainId="50ee55a8eae0311645f0dd942da40ae611fcc1a2">
          <item id="e63eaedd0b57f850b87c11b0ee464dff3de8eff7" isNormal="1">
            <s:text>
              <s:r>
                <s:t xml:space="preserve">Administrator:
3/31上 白色防盗贴纸 1398 pcs
4/9上 KM外箱贴纸 233 pcs</s:t>
              </s:r>
            </s:text>
          </item>
        </commentChain>
      </unresolved>
      <resolved/>
    </commentChains>
    <commentChains s:ref="AB147" rgbClr="FF0000">
      <unresolved>
        <commentChain chainId="1c2a78d73b32e6deb366b18bf6a2e297b2a9aaff">
          <item id="52eebb612c1068beffef3d809ec825228fb34f8d" isNormal="1">
            <s:text>
              <s:r>
                <s:t xml:space="preserve">Administrator:
0001604 4/24 102 pcs 华兴三楼B14</s:t>
              </s:r>
            </s:text>
          </item>
        </commentChain>
      </unresolved>
      <resolved/>
    </commentChains>
    <commentChains s:ref="AD147" rgbClr="FF0000">
      <unresolved>
        <commentChain chainId="f140de4059c0e0d68141542aea836c8ffbed3fd8">
          <item id="c5829d734fc5b766668bffa5b0c1b9e97cd1a80b" isNormal="1">
            <s:text>
              <s:r>
                <s:t xml:space="preserve">Administrator:
3/31上 白色防盗贴纸 102 pcs
4/9上 KM外箱贴纸 17 pcs
</s:t>
              </s:r>
            </s:text>
          </item>
        </commentChain>
      </unresolved>
      <resolved/>
    </commentChains>
    <commentChains s:ref="AB148" rgbClr="FF0000">
      <unresolved>
        <commentChain chainId="9938deab6f65f64a05315033c3fe69294e5e959d">
          <item id="b99cd1ab5255bb95cd8cd4ab5fff962be1344811" isNormal="1">
            <s:text>
              <s:r>
                <s:t xml:space="preserve">Administrator:
0001604 4/24 1518 pcs 华兴三楼B15</s:t>
              </s:r>
            </s:text>
          </item>
        </commentChain>
      </unresolved>
      <resolved/>
    </commentChains>
    <commentChains s:ref="AD148" rgbClr="FF0000">
      <unresolved>
        <commentChain chainId="5d951419a8a0e0427726a05df345876181b44cb9">
          <item id="a0aa562c86b06a001dc97fd2b94af569c37d6d8c" isNormal="1">
            <s:text>
              <s:r>
                <s:t xml:space="preserve">Administrator:
3/27上 EAN条码贴纸 1518 pcs
3/28上 进口商贴纸 1518 pcs</s:t>
              </s:r>
            </s:text>
          </item>
        </commentChain>
      </unresolved>
      <resolved/>
    </commentChains>
    <commentChains s:ref="AB149" rgbClr="FF0000">
      <unresolved>
        <commentChain chainId="0211551ed8e25c0493b0006c6dbe1a47138f8b7c">
          <item id="6a196871f990494d77dfc8e709c6513b21bc1267" isNormal="1">
            <s:text>
              <s:r>
                <s:t xml:space="preserve">Administrator:
0001604 4/24 2497 pcs 华兴三楼B14</s:t>
              </s:r>
            </s:text>
          </item>
        </commentChain>
      </unresolved>
      <resolved/>
    </commentChains>
    <commentChains s:ref="AB150" rgbClr="FF0000">
      <unresolved>
        <commentChain chainId="30565cb863798947bc23e26fb98659cc01f8ab81">
          <item id="93f6440dfc9d571790908f85a03737bbffbc23b0" isNormal="1">
            <s:text>
              <s:r>
                <s:t xml:space="preserve">Administrator:
0001604 4/24 24 pcs 华兴三楼B14</s:t>
              </s:r>
            </s:text>
          </item>
        </commentChain>
      </unresolved>
      <resolved/>
    </commentChains>
    <commentChains s:ref="AD150" rgbClr="FF0000">
      <unresolved>
        <commentChain chainId="9dc26351c58b6b94adef3f8a56e9869a25f1aa7f">
          <item id="b177d0fbac5d8233c04cebcde47559a4046477a5" isNormal="1">
            <s:text>
              <s:r>
                <s:t xml:space="preserve">Administrator:
4/9上 UPC贴纸 24 pcs
 进口商贴纸 24 pcs
4/14上 客供外箱SSCC贴纸 1 pcs</s:t>
              </s:r>
            </s:text>
          </item>
        </commentChain>
      </unresolved>
      <resolved/>
    </commentChains>
    <commentChains s:ref="AB151" rgbClr="FF0000">
      <unresolved>
        <commentChain chainId="0b633c666d5656ca57907956c481d821f38b6435">
          <item id="cb6b8f3e6d00b6433fd2b416bea6526a3ff0282c" isNormal="1">
            <s:text>
              <s:r>
                <s:t xml:space="preserve">Administrator:
2001008 5/8 1100 pcs 华兴三楼B17</s:t>
              </s:r>
            </s:text>
          </item>
        </commentChain>
      </unresolved>
      <resolved/>
    </commentChains>
    <commentChains s:ref="AD151" rgbClr="FF0000">
      <unresolved>
        <commentChain chainId="e4ab571a42b426796ca9cdc9777abef53e32b276">
          <item id="439f6a27963f6c520c9bd16abdaf558acaa38837" isNormal="1">
            <s:text>
              <s:r>
                <s:t xml:space="preserve">Administrator:
4/21上 进口商贴纸 1100 pcs</s:t>
              </s:r>
            </s:text>
          </item>
        </commentChain>
      </unresolved>
      <resolved/>
    </commentChains>
    <commentChains s:ref="AB152" rgbClr="FF0000">
      <unresolved>
        <commentChain chainId="854ac64fe0d9dbebe99f1f396b36cb9fd3950b4a">
          <item id="787f43813661bb734f502e05f5916fcfa8ba369d" isNormal="1">
            <s:text>
              <s:r>
                <s:t xml:space="preserve">Administrator:
0001742 5/28 3784 pcs</s:t>
              </s:r>
            </s:text>
          </item>
        </commentChain>
      </unresolved>
      <resolved/>
    </commentChains>
    <commentChains s:ref="AD152" rgbClr="FF0000">
      <unresolved>
        <commentChain chainId="de207f1242b3fb58e26cf3891f25a817311fcd3d">
          <item id="90a3d6c8a9acd12a26c1a7d2ae3de0348dca6ecd" isNormal="1">
            <s:text>
              <s:r>
                <s:t xml:space="preserve">Administrator:
4/17上 警告语EAN条码贴纸 3784 pcs
4/21上 北欧6语通用不带电池出货黑白电池说明书 3784 pcs</s:t>
              </s:r>
            </s:text>
          </item>
        </commentChain>
      </unresolved>
      <resolved/>
    </commentChains>
    <commentChains s:ref="AB153" rgbClr="FF0000">
      <unresolved>
        <commentChain chainId="e3dc24b59d77370824b57461a34cc3ad738ce662">
          <item id="894a6112674a8d23c5df15e0e503e4d6a19c32f0" isNormal="1">
            <s:text>
              <s:r>
                <s:t xml:space="preserve">Administrator:
0001907 4/2 2016 pcs 华兴三楼B15</s:t>
              </s:r>
            </s:text>
          </item>
        </commentChain>
      </unresolved>
      <resolved/>
    </commentChains>
    <commentChains s:ref="AD153" rgbClr="FF0000">
      <unresolved>
        <commentChain chainId="4eeb90c781d5a916c21eafc72d4eb9075ad94d36">
          <item id="19a9a810eccf948abf0411c64f338d46c4268eac" isNormal="1">
            <s:text>
              <s:r>
                <s:t xml:space="preserve">Administrator:
3/25上 价格贴纸 2016 pcs
 外箱贴码贴纸 168 pcs</s:t>
              </s:r>
            </s:text>
          </item>
        </commentChain>
      </unresolved>
      <resolved/>
    </commentChains>
    <commentChains s:ref="AB154" rgbClr="FF0000">
      <unresolved>
        <commentChain chainId="3aa5a8d40dc848e169232e27f95bb94f1b88fb6d">
          <item id="1d39fe19ee2087c1cf9de8fd791e4f262c429e79" isNormal="1">
            <s:text>
              <s:r>
                <s:t xml:space="preserve">Administrator:
2001008 5/8 1056 pcs  B17     
2001071 5/8 946 pcs 华兴三楼B17</s:t>
              </s:r>
            </s:text>
          </item>
        </commentChain>
      </unresolved>
      <resolved/>
    </commentChains>
    <commentChains s:ref="AD154" rgbClr="FF0000">
      <unresolved>
        <commentChain chainId="8c54f82956c2fa7dec966da75ba71dbc48883e65">
          <item id="b66c318c1f5863a9cd83870c9a21ce6c142cf402" isNormal="1">
            <s:text>
              <s:r>
                <s:t xml:space="preserve">Administrator:
4/14上 德语callout翻译贴纸 2002 pcs
 产品贴纸 2002 pcs
 WEEE声明通用8L说明书 2002 pcs</s:t>
              </s:r>
            </s:text>
          </item>
        </commentChain>
      </unresolved>
      <resolved/>
    </commentChains>
    <commentChains s:ref="AB155" rgbClr="FF0000">
      <unresolved>
        <commentChain chainId="58ecb66e3cdbf9429fc86f630a017546fd60e2e3">
          <item id="a267860f7be17596fe5e92ae4138dd7e8119cd12" isNormal="1">
            <s:text>
              <s:r>
                <s:t xml:space="preserve">Administrator:
2001008 5/8 506 pcs 华兴三楼B17</s:t>
              </s:r>
            </s:text>
          </item>
        </commentChain>
      </unresolved>
      <resolved/>
    </commentChains>
    <commentChains s:ref="AB156" rgbClr="FF0000">
      <unresolved>
        <commentChain chainId="2ea1c7e5ab9d54e1779489d81e7d3d77687cdf05">
          <item id="3e379bd2077fb93d2e2f6bd64264ac7cb5f27c55" isNormal="1">
            <s:text>
              <s:r>
                <s:t xml:space="preserve">Administrator:
2001008 5/8 990 pcs 华兴三楼B17</s:t>
              </s:r>
            </s:text>
          </item>
        </commentChain>
      </unresolved>
      <resolved/>
    </commentChains>
    <commentChains s:ref="AB157" rgbClr="FF0000">
      <unresolved>
        <commentChain chainId="dad6154a2520d40b245cd391df01e890e24d176e">
          <item id="89ed0e1a1123e822f3a2ea1efc49a0449d854213" isNormal="1">
            <s:text>
              <s:r>
                <s:t xml:space="preserve">Administrator:
2001090 5/9 1826 PCS  华兴三楼B9</s:t>
              </s:r>
            </s:text>
          </item>
        </commentChain>
      </unresolved>
      <resolved/>
    </commentChains>
    <commentChains s:ref="AB158" rgbClr="FF0000">
      <unresolved>
        <commentChain chainId="08073a1f0f9b5bc6f5b2c8b40fbbc1e5ae96ac69">
          <item id="560df860c12ff2ecaf46b9ce06635c372d5cfeec" isNormal="1">
            <s:text>
              <s:r>
                <s:t xml:space="preserve">Administrator:
0001840 4/8 912 pcs 华兴三楼B10
0001793 4/28 2688 pcs 华兴三楼A27</s:t>
              </s:r>
            </s:text>
          </item>
        </commentChain>
      </unresolved>
      <resolved/>
    </commentChains>
    <commentChains s:ref="AB159" rgbClr="FF0000">
      <unresolved>
        <commentChain chainId="5703355ecdc4def8179b2ce5207e1dea345bdf93">
          <item id="d2f70b79dda114df0535ce859e06c83949cb95d9" isNormal="1">
            <s:text>
              <s:r>
                <s:t xml:space="preserve">Administrator:
0001656 4/16 616 pcs 华兴三楼B4</s:t>
              </s:r>
            </s:text>
          </item>
        </commentChain>
      </unresolved>
      <resolved/>
    </commentChains>
    <commentChains s:ref="AD159" rgbClr="FF0000">
      <unresolved>
        <commentChain chainId="a7501ec532a2c65753eb9ef7b70cfd7674f9e365">
          <item id="d98b987b072299a4946d34cd4ef6b74a09d292cd" isNormal="1">
            <s:text>
              <s:r>
                <s:t xml:space="preserve">Administrator:
3/31上 客供价格贴纸 647 pcs</s:t>
              </s:r>
            </s:text>
          </item>
        </commentChain>
      </unresolved>
      <resolved/>
    </commentChains>
    <commentChains s:ref="AB160" rgbClr="FF0000">
      <unresolved>
        <commentChain chainId="e54ffdee04ff59c7c4d53925b21c2fdedfa39f1a">
          <item id="187ebba3d2f05402e0f14d0aa7b1d33c6919ab58" isNormal="1">
            <s:text>
              <s:r>
                <s:t xml:space="preserve">Administrator:
2001114 5/10 504 pcs 华兴三楼A25</s:t>
              </s:r>
            </s:text>
          </item>
        </commentChain>
      </unresolved>
      <resolved/>
    </commentChains>
    <commentChains s:ref="AD160" rgbClr="FF0000">
      <unresolved>
        <commentChain chainId="3daa84fc7dabc8e296f9a0eec8340bf806ec38cf">
          <item id="dfd1d2ebbf5021899fee44f12513d19969024683" isNormal="1">
            <s:text>
              <s:r>
                <s:t xml:space="preserve">Administrator:
4/16上环保标贴纸 504 pcs
上UPC贴纸 504 pcs
ES回收标贴纸 504 pcs
 邮箱贴纸 504 pcs
4/21上 胶袋UPC贴纸 504 pcs
4/25上 亚马逊外箱贴纸 21 pcs</s:t>
              </s:r>
            </s:text>
          </item>
        </commentChain>
      </unresolved>
      <resolved/>
    </commentChains>
    <commentChains s:ref="AB161" rgbClr="FF0000">
      <unresolved>
        <commentChain chainId="506d7bc2f76f29013d46b449b68779465f29949c">
          <item id="ce62f5456d58c2aee2079a7b53deef5f299c5b29" isNormal="1">
            <s:text>
              <s:r>
                <s:t xml:space="preserve">Administrator:
2001114 5/10 504 pcs 华兴三楼A25</s:t>
              </s:r>
            </s:text>
          </item>
        </commentChain>
      </unresolved>
      <resolved/>
    </commentChains>
    <commentChains s:ref="AD161" rgbClr="FF0000">
      <unresolved>
        <commentChain chainId="5386602793a2c4df47c897b3815e468b7ba6f36d">
          <item id="50859f9504719873ea99631c30292be799a43c91" isNormal="1">
            <s:text>
              <s:r>
                <s:t xml:space="preserve">Administrator:
4/16上环保标贴纸 504 pcs
上UPC贴纸 504 pcs
ES回收标贴纸 504 pcs
 邮箱贴纸 504 pcs
4/21上 胶袋UPC贴纸 504 pcs
4/25上 亚马逊外箱贴纸 21 pcs
</s:t>
              </s:r>
            </s:text>
          </item>
        </commentChain>
      </unresolved>
      <resolved/>
    </commentChains>
    <commentChains s:ref="AB162" rgbClr="FF0000">
      <unresolved>
        <commentChain chainId="082b77cac5887bd1a53ac1b0d939f2793f3c46e5">
          <item id="fa8d2042f8d2cfc35433ff06277e8de00bc0af80" isNormal="1">
            <s:text>
              <s:r>
                <s:t xml:space="preserve">Administrator:
2001114 5/10 504 pcs 华兴三楼A25</s:t>
              </s:r>
            </s:text>
          </item>
        </commentChain>
      </unresolved>
      <resolved/>
    </commentChains>
    <commentChains s:ref="AD162" rgbClr="FF0000">
      <unresolved>
        <commentChain chainId="8a2e2a70111af7fe34d0b6c48c77cfe20f824e75">
          <item id="a05e41500442c76e33686a6a61a6629048adc2dd" isNormal="1">
            <s:text>
              <s:r>
                <s:t xml:space="preserve">Administrator:
4/16上环保标贴纸 504 pcs
上UPC贴纸 504 pcs
ES回收标贴纸 504 pcs
 邮箱贴纸 504 pcs
4/21上 胶袋UPC贴纸 504 pcs
4/25上 亚马逊外箱贴纸 21 pcs</s:t>
              </s:r>
            </s:text>
          </item>
        </commentChain>
      </unresolved>
      <resolved/>
    </commentChains>
    <commentChains s:ref="AB163" rgbClr="FF0000">
      <unresolved>
        <commentChain chainId="c9caa9f94a7efb266bce1984819e07972cf17b87">
          <item id="9eb0b040b04f242a2ceadaf6b82747bb6f3080f7" isNormal="1">
            <s:text>
              <s:r>
                <s:t xml:space="preserve">Administrator:
2001114 5/10 504 pcs 华兴三楼A25</s:t>
              </s:r>
            </s:text>
          </item>
        </commentChain>
      </unresolved>
      <resolved/>
    </commentChains>
    <commentChains s:ref="AD163" rgbClr="FF0000">
      <unresolved>
        <commentChain chainId="cea866392a87170e57b1f53a3d5316a4d2341bb7">
          <item id="cb4692e5192fb1c0b0aea8854a18f5aee31ccc72" isNormal="1">
            <s:text>
              <s:r>
                <s:t xml:space="preserve">Administrator:
4/16上环保标贴纸 504 pcs
上UPC贴纸 504 pcs
ES回收标贴纸 504 pcs
 邮箱贴纸 504 pcs
4/21上 胶袋UPC贴纸 504 pcs
4/25上 亚马逊外箱贴纸 21 pcs</s:t>
              </s:r>
            </s:text>
          </item>
        </commentChain>
      </unresolved>
      <resolved/>
    </commentChains>
    <commentChains s:ref="AB164" rgbClr="FF0000">
      <unresolved>
        <commentChain chainId="3867b752db8ad86853ff36ce05381ab7dd1bc88a">
          <item id="182afa2fb4bac116f6a127bb1731aa151f50fa01" isNormal="1">
            <s:text>
              <s:r>
                <s:t xml:space="preserve">Administrator:
2001114 5/10 504 pcs 华兴三楼A25</s:t>
              </s:r>
            </s:text>
          </item>
        </commentChain>
      </unresolved>
      <resolved/>
    </commentChains>
    <commentChains s:ref="AD164" rgbClr="FF0000">
      <unresolved>
        <commentChain chainId="b76ed601b121ee291e59ba487d28348bf0b0f8e0">
          <item id="0282290bdc9a0d0faf164758e98f8bedc0921096" isNormal="1">
            <s:text>
              <s:r>
                <s:t xml:space="preserve">Administrator:
4/16上环保标贴纸 504 pcs
上UPC贴纸 504 pcs
ES回收标贴纸 504 pcs
 邮箱贴纸 504 pcs
4/21上 胶袋UPC贴纸 504 pcs
4/25上 亚马逊外箱贴纸 21 pcs</s:t>
              </s:r>
            </s:text>
          </item>
        </commentChain>
      </unresolved>
      <resolved/>
    </commentChains>
    <commentChains s:ref="AB165" rgbClr="FF0000">
      <unresolved>
        <commentChain chainId="60976a53abbbfd94ad2f0d3b85350eab23785a60">
          <item id="57b6a3c836789dfda1d4840f58ccbd9c38abc10f" isNormal="1">
            <s:text>
              <s:r>
                <s:t xml:space="preserve">Administrator:
2001114 5/10 504 pcs 华兴三楼A25</s:t>
              </s:r>
            </s:text>
          </item>
        </commentChain>
      </unresolved>
      <resolved/>
    </commentChains>
    <commentChains s:ref="AD165" rgbClr="FF0000">
      <unresolved>
        <commentChain chainId="1ed0adcbba72f3579534cd234ebdaa151cc31e5e">
          <item id="1ceaa56bf7117480f2676c741a7a28931ccdb392" isNormal="1">
            <s:text>
              <s:r>
                <s:t xml:space="preserve">Administrator:
4/16上环保标贴纸 504 pcs
上UPC贴纸 504 pcs
ES回收标贴纸 504 pcs
 邮箱贴纸 504 pcs
4/21上 胶袋UPC贴纸 504 pcs
4/25上 亚马逊外箱贴纸 21 pcs</s:t>
              </s:r>
            </s:text>
          </item>
        </commentChain>
      </unresolved>
      <resolved/>
    </commentChains>
    <commentChains s:ref="AB166" rgbClr="FF0000">
      <unresolved>
        <commentChain chainId="27fcfd4fb10468f0bca24a86351af3a08de3de73">
          <item id="672c48fd43840f7e0ca7be81d1fc533ab8228dbd" isNormal="1">
            <s:text>
              <s:r>
                <s:t xml:space="preserve">Administrator:
2001227 5/15 1210 pcs 华兴三楼A15</s:t>
              </s:r>
            </s:text>
          </item>
        </commentChain>
      </unresolved>
      <resolved/>
    </commentChains>
    <commentChains s:ref="AD166" rgbClr="FF0000">
      <unresolved>
        <commentChain chainId="7b73f4d7364d8709459613c5c045eb264026791f">
          <item id="176b464721ea8d277bbf1ff0273cd8fa01e3f949" isNormal="1">
            <s:text>
              <s:r>
                <s:t xml:space="preserve">Administrator:
5/7上 进口商贴纸 1210 pcs</s:t>
              </s:r>
            </s:text>
          </item>
        </commentChain>
      </unresolved>
      <resolved/>
    </commentChains>
    <commentChains s:ref="AB167" rgbClr="FF0000">
      <unresolved>
        <commentChain chainId="27cc68c80d9123cfea94a8bd3156ca7ec47f920c">
          <item id="3ef3980141bf9800fb537f26c36bf5c8d1c05e23" isNormal="1">
            <s:text>
              <s:r>
                <s:t xml:space="preserve">Administrator:
2001203 5/15 770 pcs 华兴三楼B13</s:t>
              </s:r>
            </s:text>
          </item>
        </commentChain>
      </unresolved>
      <resolved/>
    </commentChains>
    <commentChains s:ref="AD167" rgbClr="FF0000">
      <unresolved>
        <commentChain chainId="c4a4596c027a86241fe9ea1423135709a42fd53d">
          <item id="5e50471516e980354c5ece7dc1106724b8fdc8cd" isNormal="1">
            <s:text>
              <s:r>
                <s:t xml:space="preserve">Administrator:
5/7上 进口商贴纸 770 pcs</s:t>
              </s:r>
            </s:text>
          </item>
        </commentChain>
      </unresolved>
      <resolved/>
    </commentChains>
    <commentChains s:ref="AB168" rgbClr="FF0000">
      <unresolved>
        <commentChain chainId="a5c643dd2cadfc3fde5c3616f4a6249e8183f8fc">
          <item id="a6de35005a333f02cbdaaeb24263a7d75fde9b2f" isNormal="1">
            <s:text>
              <s:r>
                <s:t xml:space="preserve">Administrator:
2001199 5/14 1100 pcs 华兴三楼B13
</s:t>
              </s:r>
            </s:text>
          </item>
        </commentChain>
      </unresolved>
      <resolved/>
    </commentChains>
    <commentChains s:ref="AB169" rgbClr="FF0000">
      <unresolved>
        <commentChain chainId="0dcb959b3e783e2d8bb7ce79fbfd369b445c27a8">
          <item id="c6165cdedf65b48e8656c57603ccaab85212db61" isNormal="1">
            <s:text>
              <s:r>
                <s:t xml:space="preserve">Administrator:
2001210 5/14 506 pcs 华兴三楼B14
</s:t>
              </s:r>
            </s:text>
          </item>
        </commentChain>
      </unresolved>
      <resolved/>
    </commentChains>
    <commentChains s:ref="AD169" rgbClr="FF0000">
      <unresolved>
        <commentChain chainId="b4b71da0dc1690f95c3ae4c70ee3ca59ef7a2b92">
          <item id="176b39ea8c798bb1a1e43f78c875b6fac85b8661" isNormal="1">
            <s:text>
              <s:r>
                <s:t xml:space="preserve">Administrator:
4/21上 进口商贴纸 506 pcs</s:t>
              </s:r>
            </s:text>
          </item>
        </commentChain>
      </unresolved>
      <resolved/>
    </commentChains>
    <commentChains s:ref="AB170" rgbClr="FF0000">
      <unresolved>
        <commentChain chainId="29ad9041d251b51111681ab693c919f2db115e0c">
          <item id="9663e1ff7b463c8148c9b1a453d253a1a2f86ee8" isNormal="1">
            <s:text>
              <s:r>
                <s:t xml:space="preserve">Administrator:
2001199 5/14 594 pcs 华兴三楼B12
</s:t>
              </s:r>
            </s:text>
          </item>
        </commentChain>
      </unresolved>
      <resolved/>
    </commentChains>
    <commentChains s:ref="AD170" rgbClr="FF0000">
      <unresolved>
        <commentChain chainId="16b791286b8368c117e8e505c30fce90288553f1">
          <item id="2cff57a181411491a839e45ef6222b34f679bd82" isNormal="1">
            <s:text>
              <s:r>
                <s:t xml:space="preserve">Administrator:
4/17上 警告语/客人进口商贴纸 594 pcs
4/21上 不带电池走货北欧六语通用黑白电池说明书 594 pcs</s:t>
              </s:r>
            </s:text>
          </item>
        </commentChain>
      </unresolved>
      <resolved/>
    </commentChains>
    <commentChains s:ref="AB171" rgbClr="FF0000">
      <unresolved>
        <commentChain chainId="ed0d5e05239ec8c2a3ae2b5dc59c951d4aac5310">
          <item id="82f4dc84636ea35a0fbac88af8fd8507d178ca62" isNormal="1">
            <s:text>
              <s:r>
                <s:t xml:space="preserve">Administrator:
2001199 5/14 4992 pcs 华兴三楼B16
2001227 5/15 24 pcs B6</s:t>
              </s:r>
            </s:text>
          </item>
        </commentChain>
      </unresolved>
      <resolved/>
    </commentChains>
    <commentChains s:ref="AD171" rgbClr="FF0000">
      <unresolved>
        <commentChain chainId="554587e002806685e25a3daa721807e497644cc6">
          <item id="d08546c07896e07951c4a159cc580030ba29bef2" isNormal="1">
            <s:text>
              <s:r>
                <s:t xml:space="preserve">Administrator:
4/21上 客人白色Cat.label 5016 pcs
4/29上 更新正确的贴纸 客人白色Cat.label 5016 pcs</s:t>
              </s:r>
            </s:text>
          </item>
        </commentChain>
      </unresolved>
      <resolved/>
    </commentChains>
    <commentChains s:ref="AB172" rgbClr="FF0000">
      <unresolved>
        <commentChain chainId="e58ddd994b1d4836e442150dd7887c3d5f93cfe1">
          <item id="67c3a535f568636917ecb8f4619c9b32165c8a09" isNormal="1">
            <s:text>
              <s:r>
                <s:t xml:space="preserve">Administrator:
2001199 5/14 2409 pcs 华兴三楼B16
</s:t>
              </s:r>
            </s:text>
          </item>
        </commentChain>
      </unresolved>
      <resolved/>
    </commentChains>
    <commentChains s:ref="AB173" rgbClr="FF0000">
      <unresolved>
        <commentChain chainId="0e6b130f621e8fee49df13e7ec1af375dc9335e2">
          <item id="cb28c80d2b56d012c8176519b930a4f48360118f" isNormal="1">
            <s:text>
              <s:r>
                <s:t xml:space="preserve">Administrator:
2001211 5/14 102 pcs 华兴三楼B13</s:t>
              </s:r>
            </s:text>
          </item>
        </commentChain>
      </unresolved>
      <resolved/>
    </commentChains>
    <commentChains s:ref="AD173" rgbClr="FF0000">
      <unresolved>
        <commentChain chainId="99e33067b33ea8e84e416ea26788efdd64bd79e1">
          <item id="df7a3d420fcefcb919d742f2c91d1db763753638" isNormal="1">
            <s:text>
              <s:r>
                <s:t xml:space="preserve">Administrator:
3/31上 白色防盗贴纸 102 pcs
5/8上 KM外箱贴纸 17 pcs</s:t>
              </s:r>
            </s:text>
          </item>
        </commentChain>
      </unresolved>
      <resolved/>
    </commentChains>
    <commentChains s:ref="AB174" rgbClr="FF0000">
      <unresolved>
        <commentChain chainId="86d5502eed9a57f188d904ae01a4456e0ba6afbc">
          <item id="381effd02f6fdfc46aebe375991edbd31ec1adbf" isNormal="1">
            <s:text>
              <s:r>
                <s:t xml:space="preserve">Administrator:
2001211 5/14 1398 pcs 华兴三楼B13
</s:t>
              </s:r>
            </s:text>
          </item>
        </commentChain>
      </unresolved>
      <resolved/>
    </commentChains>
    <commentChains s:ref="AD174" rgbClr="FF0000">
      <unresolved>
        <commentChain chainId="a6789c58dbdf24b436c8e48d62f77feed6dd4778">
          <item id="3c4da00e382547b5dc2cf27f2302bebc607ee2d0" isNormal="1">
            <s:text>
              <s:r>
                <s:t xml:space="preserve">Administrator:
3/31上 白色防盗贴纸 1398 pcs
5/8上 KM外箱贴纸 233 pcs
</s:t>
              </s:r>
            </s:text>
          </item>
        </commentChain>
      </unresolved>
      <resolved/>
    </commentChains>
    <commentChains s:ref="AB175" rgbClr="FF0000">
      <unresolved>
        <commentChain chainId="1934ba8545d0b322be7ae56e35414348433069bf">
          <item id="d32d34d8d333c238084221e536225ede950e2865" isNormal="1">
            <s:text>
              <s:r>
                <s:t xml:space="preserve">Administrator:
2001210 5/14 220 pcs 华兴三楼B14</s:t>
              </s:r>
            </s:text>
          </item>
        </commentChain>
      </unresolved>
      <resolved/>
    </commentChains>
    <commentChains s:ref="AD175" rgbClr="FF0000">
      <unresolved>
        <commentChain chainId="f35c384597b14fa4b684c107f3977bb9204cc2d9">
          <item id="d97e20ef04de5ea3ea811a50db6ab7f085404e33" isNormal="1">
            <s:text>
              <s:r>
                <s:t xml:space="preserve">Administrator:
4/28上 说明书/UPC/警示语贴纸 220 pcs
5/6上 不带电池走货北欧六语通用说明书 220 pcs</s:t>
              </s:r>
            </s:text>
          </item>
        </commentChain>
      </unresolved>
      <resolved/>
    </commentChains>
    <commentChains s:ref="AB176" rgbClr="FF0000">
      <unresolved>
        <commentChain chainId="a5e5e854c3a3cb275bde68ea35781d97a38b91ce">
          <item id="0c6f6459dd8598aac15f8973c9aa898a84acf8ca" isNormal="1">
            <s:text>
              <s:r>
                <s:t xml:space="preserve">Administrator:
2001210 5/14 2112 pcs 华兴三楼B14
</s:t>
              </s:r>
            </s:text>
          </item>
        </commentChain>
      </unresolved>
      <resolved/>
    </commentChains>
    <commentChains s:ref="AB177" rgbClr="FF0000">
      <unresolved>
        <commentChain chainId="76713886ba83a774f86f7680a0efa0e753c6bfb2">
          <item id="0d164d1f7c1e92002b06a0427b694a8b1dbb9a6b" isNormal="1">
            <s:text>
              <s:r>
                <s:t xml:space="preserve">Administrator:
2001210 5/14 275 pcs 华兴三楼B14
</s:t>
              </s:r>
            </s:text>
          </item>
        </commentChain>
      </unresolved>
      <resolved/>
    </commentChains>
    <commentChains s:ref="AD177" rgbClr="FF0000">
      <unresolved>
        <commentChain chainId="bf9b7a92a2d288f952c5134e840779faa4c9eb8a">
          <item id="a0cdb57fc7d383ebef564371e2537935045302d5" isNormal="1">
            <s:text>
              <s:r>
                <s:t xml:space="preserve">Administrator:
4/21上 不带电池走货北欧六语通  275 pcs
 警告语/EAN贴纸 275 pcs</s:t>
              </s:r>
            </s:text>
          </item>
        </commentChain>
      </unresolved>
      <resolved/>
    </commentChains>
    <commentChains s:ref="AB178" rgbClr="FF0000">
      <unresolved>
        <commentChain chainId="ead75551688e7c431c2d873b310371e397f987cd">
          <item id="4a14bf4ef8f60ba4a5adbc59ded0e05bca70dd9d" isNormal="1">
            <s:text>
              <s:r>
                <s:t xml:space="preserve">Administrator:
2001006 5/19 1410 pcs 华兴三楼A15
</s:t>
              </s:r>
            </s:text>
          </item>
        </commentChain>
      </unresolved>
      <resolved/>
    </commentChains>
    <commentChains s:ref="AD178" rgbClr="FF0000">
      <unresolved>
        <commentChain chainId="46f7a85c770b70a6d69ae65e49fdc2eab8a0667d">
          <item id="1be51fc46b2392c900d4727f15619606f79ec05c" isNormal="1">
            <s:text>
              <s:r>
                <s:t xml:space="preserve">Administrator:
5/12上 KM外箱贴纸 235 pcs
 白色防盗贴纸 1410 pcs</s:t>
              </s:r>
            </s:text>
          </item>
        </commentChain>
      </unresolved>
      <resolved/>
    </commentChains>
    <commentChains s:ref="AB179" rgbClr="FF0000">
      <unresolved>
        <commentChain chainId="f6b0f7a331c0699220d1ce8e261f3715850dcd62">
          <item id="e7ead75725d8a9a21d9ea068025bc2af2c7f6a4d" isNormal="1">
            <s:text>
              <s:r>
                <s:t xml:space="preserve">Administrator:
2001006 5/19 90 pcs 华兴三楼A15
</s:t>
              </s:r>
            </s:text>
          </item>
        </commentChain>
      </unresolved>
      <resolved/>
    </commentChains>
    <commentChains s:ref="AD179" rgbClr="FF0000">
      <unresolved>
        <commentChain chainId="7ab7182dff7db499a86749f5b7cfefafe0e2160c">
          <item id="8bdef43a8f8c43a82be433ebefb56f9a716d0bf6" isNormal="1">
            <s:text>
              <s:r>
                <s:t xml:space="preserve">Administrator:
5/12上 KM外箱贴纸 15 pcs
  白色防盗贴纸 90 pcs
</s:t>
              </s:r>
            </s:text>
          </item>
        </commentChain>
      </unresolved>
      <resolved/>
    </commentChains>
    <commentChains s:ref="AB180" rgbClr="FF0000">
      <unresolved>
        <commentChain chainId="a873e3583a06ff07df0fb83d018698051b733e64">
          <item id="0283de71b390b7ff22d7153bb55c83a3e4285887" isNormal="1">
            <s:text>
              <s:r>
                <s:t xml:space="preserve">Administrator:
2001006 5/19 10340 pcs 华兴三楼A22
</s:t>
              </s:r>
            </s:text>
          </item>
        </commentChain>
      </unresolved>
      <resolved/>
    </commentChains>
    <commentChains s:ref="AB181" rgbClr="FF0000">
      <unresolved>
        <commentChain chainId="6e9d49de0c6a719092f073dc67735bdf894645a2">
          <item id="dd5859238eda36277cfd666089c813c6c83c4a68" isNormal="1">
            <s:text>
              <s:r>
                <s:t xml:space="preserve">Administrator:
2001006 5/19 10340 pcs 华兴三楼A24</s:t>
              </s:r>
            </s:text>
          </item>
        </commentChain>
      </unresolved>
      <resolved/>
    </commentChains>
    <commentChains s:ref="AB182" rgbClr="FF0000">
      <unresolved>
        <commentChain chainId="cc41fe41de3e3d5f40d802d502dab89f4a770513">
          <item id="3199abd77b45ac9fce38069f3afb6fc33b5424fa" isNormal="1">
            <s:text>
              <s:r>
                <s:t xml:space="preserve">Administrator:
2000773 5/23 1518 pcs 华兴三楼A23</s:t>
              </s:r>
            </s:text>
          </item>
        </commentChain>
      </unresolved>
      <resolved/>
    </commentChains>
    <commentChains s:ref="AD182" rgbClr="FF0000">
      <unresolved>
        <commentChain chainId="c52f2cee76bf2238a615e14c8f87916f8100a5e8">
          <item id="d244d72904759164861256e5a2679b976f58ba5a" isNormal="1">
            <s:text>
              <s:r>
                <s:t xml:space="preserve">Administrator:
5/17上 SSCC外箱贴纸 69 pcs</s:t>
              </s:r>
            </s:text>
          </item>
        </commentChain>
      </unresolved>
      <resolved/>
    </commentChains>
    <commentChains s:ref="AB183" rgbClr="FF0000">
      <unresolved>
        <commentChain chainId="af527adceba6b13befd0ed62b822cbec01c75895">
          <item id="ed5ace5f5e8add2b194a654f9e74170267f3b417" isNormal="1">
            <s:text>
              <s:r>
                <s:t xml:space="preserve">Administrator:
2000671 5/28 20706 pcs 华兴一楼B1  
2001239 5/28 24 pcs B3</s:t>
              </s:r>
            </s:text>
          </item>
        </commentChain>
      </unresolved>
      <resolved/>
    </commentChains>
    <commentChains s:ref="AD183" rgbClr="FF0000">
      <unresolved>
        <commentChain chainId="70e787c9bac9ec515aed9ae4f1ec757f2a6eab06">
          <item id="beaf69cbc3dfd273ef6a0fc7a8c9457fcbc60bd1" isNormal="1">
            <s:text>
              <s:r>
                <s:t xml:space="preserve">Administrator:
5/6上 价格贴纸 20730 pcs
  彩色产品贴纸 6910 pcs</s:t>
              </s:r>
            </s:text>
          </item>
        </commentChain>
      </unresolved>
      <resolved/>
    </commentChains>
    <commentChains s:ref="AB185" rgbClr="FF0000">
      <unresolved>
        <commentChain chainId="f1f2457b7e8932f366df69477cb9d2c41cdd65ef">
          <item id="a0ce0a2be02bb87cb3fb4ae741f562ef78e3d5e2" isNormal="1">
            <s:text>
              <s:r>
                <s:t xml:space="preserve">Administrator:
20006882 5/28 132 pcs 华兴三楼B4</s:t>
              </s:r>
            </s:text>
          </item>
        </commentChain>
      </unresolved>
      <resolved/>
    </commentChains>
    <commentChains s:ref="AD185" rgbClr="FF0000">
      <unresolved>
        <commentChain chainId="fc106679bab11d87911f9881f5d8491d831ef796">
          <item id="d6648c0f0d3b5e4646145c9958bd2612a4548fc8" isNormal="1">
            <s:text>
              <s:r>
                <s:t xml:space="preserve">Administrator:
5/9上 通用贴纸 132 pcs</s:t>
              </s:r>
            </s:text>
          </item>
        </commentChain>
      </unresolved>
      <resolved/>
    </commentChains>
    <commentChains s:ref="AB186" rgbClr="FF0000">
      <unresolved>
        <commentChain chainId="1b23455a1b49f5fa93e6105aa2217b5cee4fe3ee">
          <item id="7f4be6e3f8138b590fa5f28c04fad100b0f2a7ee" isNormal="1">
            <s:text>
              <s:r>
                <s:t xml:space="preserve">Administrator:
20006882 5/28 1562 pcs 华兴三楼B4</s:t>
              </s:r>
            </s:text>
          </item>
        </commentChain>
      </unresolved>
      <resolved/>
    </commentChains>
    <commentChains s:ref="AB187" rgbClr="FF0000">
      <unresolved>
        <commentChain chainId="cded4e517745fa9cefa0adfffe04c6c308546eda">
          <item id="01d41b60cbbcc9b995d6ed473eaa6d60c187cffb" isNormal="1">
            <s:text>
              <s:r>
                <s:t xml:space="preserve">Administrator:
2000655 5/27 847 pcs 华兴三楼A30</s:t>
              </s:r>
            </s:text>
          </item>
        </commentChain>
      </unresolved>
      <resolved/>
    </commentChains>
    <commentChains s:ref="AB188" rgbClr="FF0000">
      <unresolved>
        <commentChain chainId="5d7356edee128d137b98e060336d060578db9b5b">
          <item id="e6d66b2452848e484925ef8b6ace69a5377b4129" isNormal="1">
            <s:text>
              <s:r>
                <s:t xml:space="preserve">Administrator:
2002460 5/29 1210 pcs</s:t>
              </s:r>
            </s:text>
          </item>
        </commentChain>
      </unresolved>
      <resolved/>
    </commentChains>
    <commentChains s:ref="AB189" rgbClr="FF0000">
      <unresolved>
        <commentChain chainId="47aa83b38daacb9c17b7ecbb22ea77bcc326731e">
          <item id="9fecf30459f3ecaeaf0a4e5a84c4bf60c2fc7423" isNormal="1">
            <s:text>
              <s:r>
                <s:t xml:space="preserve">Administrator:
2002460 5/29 473 pcs
2002467 5/30 11 pcs</s:t>
              </s:r>
            </s:text>
          </item>
        </commentChain>
      </unresolved>
      <resolved/>
    </commentChains>
    <commentChains s:ref="AD189" rgbClr="FF0000">
      <unresolved>
        <commentChain chainId="268dbd411b1a64864169d13ff7340564d47f2200">
          <item id="a9996493ac5b077e071d4f44f475d24033c45cca" isNormal="1">
            <s:text>
              <s:r>
                <s:t xml:space="preserve">Administrator:
5/16上 不带电池走货北欧六语通用黑白电池说明书 484 pcs 
 EAN/警告语/进口商 484 pcs</s:t>
              </s:r>
            </s:text>
          </item>
        </commentChain>
      </unresolved>
      <resolved/>
    </commentChains>
    <commentChains s:ref="AB190" rgbClr="FF0000">
      <unresolved>
        <commentChain chainId="dd64c4c214ed193a68e3f4b8e180039fa8215fa4">
          <item id="d9acb2a9e0c2a1e01f6b0c264df8913b14cc5481" isNormal="1">
            <s:text>
              <s:r>
                <s:t xml:space="preserve">Administrator:
2000695 5/26 1353 pcs 华兴三楼B12</s:t>
              </s:r>
            </s:text>
          </item>
        </commentChain>
      </unresolved>
      <resolved/>
    </commentChains>
    <commentChains s:ref="AB191" rgbClr="FF0000">
      <unresolved>
        <commentChain chainId="18d441dfe08660828bfa213ce6bfa7613fe19ec8">
          <item id="e7f47c2ebd46fcc3674f10450f096233d53d5394" isNormal="1">
            <s:text>
              <s:r>
                <s:t xml:space="preserve">Administrator:
2000695 5/26 693 pcs 华兴三楼B6</s:t>
              </s:r>
            </s:text>
          </item>
        </commentChain>
      </unresolved>
      <resolved/>
    </commentChains>
    <commentChains s:ref="AB192" rgbClr="FF0000">
      <unresolved>
        <commentChain chainId="6e9a202bb7274dcbcb4fe4a54a1efc4c82c3fb3a">
          <item id="168c72ade89be0963f4b1d190a6b65e469d465be" isNormal="1">
            <s:text>
              <s:r>
                <s:t xml:space="preserve">Administrator:
2000695 5/26 539 pcs 华兴三楼B10</s:t>
              </s:r>
            </s:text>
          </item>
        </commentChain>
      </unresolved>
      <resolved/>
    </commentChains>
    <commentChains s:ref="AB193" rgbClr="FF0000">
      <unresolved>
        <commentChain chainId="399637b98f0a8e8cdcab05d1f6817656995e95ee">
          <item id="59adfa05fc6895c33f03e433ea78ace1c9954aff" isNormal="1">
            <s:text>
              <s:r>
                <s:t xml:space="preserve">Administrator:
2000695 5/26 1012 pcs 华兴三楼B12</s:t>
              </s:r>
            </s:text>
          </item>
        </commentChain>
      </unresolved>
      <resolved/>
    </commentChains>
    <commentChains s:ref="AB194" rgbClr="FF0000">
      <unresolved>
        <commentChain chainId="8aa954c0711c1a0f4c15e427a252cbce4de116f2">
          <item id="df15f4e82af8dbb736bd490ed378ff060ef28fac" isNormal="1">
            <s:text>
              <s:r>
                <s:t xml:space="preserve">Administrator:
2000696 5/26 242 pcs 华兴三楼B7</s:t>
              </s:r>
            </s:text>
          </item>
        </commentChain>
      </unresolved>
      <resolved/>
    </commentChains>
    <commentChains s:ref="AB195" rgbClr="FF0000">
      <unresolved>
        <commentChain chainId="34dd3c954e2d2ae5e5341e07998a0ee97ae1f3c3">
          <item id="c8e292fe7fcec8b65a5a84150c6f4cedaf6e412c" isNormal="1">
            <s:text>
              <s:r>
                <s:t xml:space="preserve">Administrator:
2000696 5/26 627 pcs 华兴三楼B6</s:t>
              </s:r>
            </s:text>
          </item>
        </commentChain>
      </unresolved>
      <resolved/>
    </commentChains>
    <commentChains s:ref="AB196" rgbClr="FF0000">
      <unresolved>
        <commentChain chainId="b82185a93d233b9c1a2e1cb5548c57dba03b0cf2">
          <item id="8bac30732ec5186ccbd19fb2b647316d6b88e872" isNormal="1">
            <s:text>
              <s:r>
                <s:t xml:space="preserve">Administrator:
2000696 5/26 319 pcs 华兴三楼B10</s:t>
              </s:r>
            </s:text>
          </item>
        </commentChain>
      </unresolved>
      <resolved/>
    </commentChains>
    <commentChains s:ref="AB197" rgbClr="FF0000">
      <unresolved>
        <commentChain chainId="67fa4100099ea87df3f12a0916fd19a5f287805c">
          <item id="0590c5cc49e63cd18df5dc144c3b5e6288eb08bf" isNormal="1">
            <s:text>
              <s:r>
                <s:t xml:space="preserve">Administrator:
2000696 5/26 836 pcs 华兴三楼B6</s:t>
              </s:r>
            </s:text>
          </item>
        </commentChain>
      </unresolved>
      <resolved/>
    </commentChains>
    <commentChains s:ref="AB198" rgbClr="FF0000">
      <unresolved>
        <commentChain chainId="da5c80c26e4cf43dbab3f232216956d637f85b79">
          <item id="9614e65b81f586a585bea0b43d3751f3b467e2c4" isNormal="1">
            <s:text>
              <s:r>
                <s:t xml:space="preserve">Administrator:
2000697 5/26 550 pcs 华兴三楼B14</s:t>
              </s:r>
            </s:text>
          </item>
        </commentChain>
      </unresolved>
      <resolved/>
    </commentChains>
    <commentChains s:ref="AB199" rgbClr="FF0000">
      <unresolved>
        <commentChain chainId="da06fcb9fe8004c978acba30e6ab582cff9077b1">
          <item id="41d4160d27559b6dfbd902617423b9056e4ca58c" isNormal="1">
            <s:text>
              <s:r>
                <s:t xml:space="preserve">Administrator:
2000812 5/30 1012 pcs 华兴三楼B8</s:t>
              </s:r>
            </s:text>
          </item>
        </commentChain>
      </unresolved>
      <resolved/>
    </commentChains>
    <commentChains s:ref="AD199" rgbClr="FF0000">
      <unresolved>
        <commentChain chainId="3fcdc525616acf71e00948a15773b9c68b8e2223">
          <item id="4ed1a4e287b14fd9b3d273396e1ff0bccf7b6ad9" isNormal="1">
            <s:text>
              <s:r>
                <s:t xml:space="preserve">Administrator:
5/14上 德语callout翻译贴纸 1012 pcs
 WEEE电池通用30L说明书 1012 pcs</s:t>
              </s:r>
            </s:text>
          </item>
        </commentChain>
      </unresolved>
      <resolved/>
    </commentChains>
    <commentChains s:ref="AB200" rgbClr="FF0000">
      <unresolved>
        <commentChain chainId="9c9cc50100d2c03b339ca3129c0a7adc79fd221b">
          <item id="d13e5ec1f315474bb0b590913ebaf933846b7df0" isNormal="1">
            <s:text>
              <s:r>
                <s:t xml:space="preserve">Administrator:
2002425 6/3 24 pcs 华兴三楼B14</s:t>
              </s:r>
            </s:text>
          </item>
        </commentChain>
      </unresolved>
      <resolved/>
    </commentChains>
    <commentChains s:ref="AD200" rgbClr="FF0000">
      <unresolved>
        <commentChain chainId="8b9c0a8958f276c46f59c6b04fa8bec9d2a9830a">
          <item id="0a0718c5347bb0d5f49e8fbbff4221b556017168" isNormal="1">
            <s:text>
              <s:r>
                <s:t xml:space="preserve">Administrator:
5/6上 进口商贴纸 24 pcs 
 UPC 贴纸 24 pcs
5/26上 客供亚马逊外箱贴纸 1 pcs</s:t>
              </s:r>
            </s:text>
          </item>
        </commentChain>
      </unresolved>
      <resolved/>
    </commentChains>
    <commentChains s:ref="AB201" rgbClr="FF0000">
      <unresolved>
        <commentChain chainId="cdfc7102e11f710b2ef6fc62b51e41d91fba5716">
          <item id="20bb83e603d4abf507e85ee9124db3271790adff" isNormal="1">
            <s:text>
              <s:r>
                <s:t xml:space="preserve">Administrator:
2002402 6/5 504 pcs 新仓库一楼B10</s:t>
              </s:r>
            </s:text>
          </item>
        </commentChain>
      </unresolved>
      <resolved/>
    </commentChains>
    <commentChains s:ref="AD201" rgbClr="FF0000">
      <unresolved>
        <commentChain chainId="202015e50f7ee4aaba3f3fb13d509b6af3990704">
          <item id="d5db0ad628111139207c1562a6f9bf4ebd4e87f9" isNormal="1">
            <s:text>
              <s:r>
                <s:t xml:space="preserve">Administrator:
4/28上 环保标含ZURU邮箱贴纸 504 pcs 
  UPC贴纸 504 pcs
5/12上 亚马逊外箱贴纸 21 pcs
5/19上 胶袋贴纸 504 pcs</s:t>
              </s:r>
            </s:text>
          </item>
        </commentChain>
      </unresolved>
      <resolved/>
    </commentChains>
    <commentChains s:ref="AB202" rgbClr="FF0000">
      <unresolved>
        <commentChain chainId="d58d767c4706da3430d66f1bfc2499452218835e">
          <item id="757cf6bcd029c064ee25da4788deb5b385ee5d5e" isNormal="1">
            <s:text>
              <s:r>
                <s:t xml:space="preserve">Administrator:
2002425 6/3 1276 pcs 华兴三楼B11</s:t>
              </s:r>
            </s:text>
          </item>
        </commentChain>
      </unresolved>
      <resolved/>
    </commentChains>
    <commentChains s:ref="AD202" rgbClr="FF0000">
      <unresolved>
        <commentChain chainId="617616ba7c7f18a2b04402264ae57efb97bb1807">
          <item id="cbc3f232dc314d90684235ab1cff9fa1237b4fc6" isNormal="1">
            <s:text>
              <s:r>
                <s:t xml:space="preserve">Administrator:
5/14上 进口商贴纸 1276 pcs</s:t>
              </s:r>
            </s:text>
          </item>
        </commentChain>
      </unresolved>
      <resolved/>
    </commentChains>
    <commentChains s:ref="AB203" rgbClr="FF0000">
      <unresolved>
        <commentChain chainId="7231b8e17aa7551e9728a697b46a106cd09d5d6f">
          <item id="baec02df40393f296752c4bab400af73175c7e0e" isNormal="1">
            <s:text>
              <s:r>
                <s:t xml:space="preserve">Administrator:
2002402 6/5 504 pcs 新仓库一楼B10</s:t>
              </s:r>
            </s:text>
          </item>
        </commentChain>
      </unresolved>
      <resolved/>
    </commentChains>
    <commentChains s:ref="AD203" rgbClr="FF0000">
      <unresolved>
        <commentChain chainId="f4cdf441d4a356244a370a6683f83d31dc9266f0">
          <item id="96c0eb712fec47439202c5a2e99369acfaf3226a" isNormal="1">
            <s:text>
              <s:r>
                <s:t xml:space="preserve">Administrator:
5/17上 亚马逊外箱贴纸 21 pcs
5/19上 环保标含ZURU邮箱贴纸 504 pcs
胶袋+UPC贴纸 1008 pcs
</s:t>
              </s:r>
            </s:text>
          </item>
        </commentChain>
      </unresolved>
      <resolved/>
    </commentChains>
    <commentChains s:ref="AB204" rgbClr="FF0000">
      <unresolved>
        <commentChain chainId="49476848bb08d86f4b637fba7715f0bc1c1c0513">
          <item id="00afe7f01f98e66534f01ce3b4ba5a521a7d211d" isNormal="1">
            <s:text>
              <s:r>
                <s:t xml:space="preserve">Administrator:
2002402 6/5 504 pcs 新仓库一楼B10</s:t>
              </s:r>
            </s:text>
          </item>
        </commentChain>
      </unresolved>
      <resolved/>
    </commentChains>
    <commentChains s:ref="AD204" rgbClr="FF0000">
      <unresolved>
        <commentChain chainId="a6a667e34bea19e80b0fee2ebd7b93359c162440">
          <item id="5e79f87dd97d3f29430a0ac9fffa56b16ecb2a1b" isNormal="1">
            <s:text>
              <s:r>
                <s:t xml:space="preserve">Administrator:
5/17上 亚马逊外箱贴纸 21 pcs
5/19上 环保标含ZURU邮箱贴纸 504 pcs
胶袋+UPC贴纸 1008 pcs
</s:t>
              </s:r>
            </s:text>
          </item>
        </commentChain>
      </unresolved>
      <resolved/>
    </commentChains>
    <commentChains s:ref="AB205" rgbClr="FF0000">
      <unresolved>
        <commentChain chainId="dc6fbceffaab99737a73d168fcb1359c8b99e171">
          <item id="1c5580412ad76b04616cb75bef1731863fad894c" isNormal="1">
            <s:text>
              <s:r>
                <s:t xml:space="preserve">Administrator:
2000812 5/30 2992 pcs
华兴三楼B8
2002449 6/2 22 pcs</s:t>
              </s:r>
            </s:text>
          </item>
        </commentChain>
      </unresolved>
      <resolved/>
    </commentChains>
    <commentChains s:ref="AD205" rgbClr="FF0000">
      <unresolved>
        <commentChain chainId="57879a1d2312f75d0783c5f179fffa60732ba4cd">
          <item id="ce42af2ef75f4b720c473130ddf0b90b337df3b0" isNormal="1">
            <s:text>
              <s:r>
                <s:t xml:space="preserve">Administrator:
5/24上 德语callout贴纸 3014 pcs
 产品贴纸 3014 pcs
 WEEE声明通用30L说明书 3014 pcs</s:t>
              </s:r>
            </s:text>
          </item>
        </commentChain>
      </unresolved>
      <resolved/>
    </commentChains>
    <commentChains s:ref="AB206" rgbClr="FF0000">
      <unresolved>
        <commentChain chainId="dc620149f65208c85dc21fc4f054d15be3f39f38">
          <item id="b79e4b92cd74426406b77e7ef1b7c63da5a17090" isNormal="1">
            <s:text>
              <s:r>
                <s:t xml:space="preserve">Administrator:
2002398 6/4 308 pcs</s:t>
              </s:r>
            </s:text>
          </item>
        </commentChain>
      </unresolved>
      <resolved/>
    </commentChains>
    <commentChains s:ref="AD206" rgbClr="FF0000">
      <unresolved>
        <commentChain chainId="976807c2594c8a147bc20d7ca2515a8f185eaf81">
          <item id="2ec248645d457d57e2745104645ae60fe497b93b" isNormal="1">
            <s:text>
              <s:r>
                <s:t xml:space="preserve">Administrator:
5/7上 EAN条码贴纸 308 pcs 
 不带电池走货北欧六语通用黑白电池说明书 308 pcs</s:t>
              </s:r>
            </s:text>
          </item>
        </commentChain>
      </unresolved>
      <resolved/>
    </commentChains>
    <commentChains s:ref="AB207" rgbClr="FF0000">
      <unresolved>
        <commentChain chainId="82d694f49ab5c07fca033767d7dbf4241c817f71">
          <item id="d0aa888dc42722843960be111535a74cf66581f9" isNormal="1">
            <s:text>
              <s:r>
                <s:t xml:space="preserve">Administrator:
2002360 6/6 3500 pcs 莫四楼B7</s:t>
              </s:r>
            </s:text>
          </item>
        </commentChain>
      </unresolved>
      <resolved/>
    </commentChains>
    <commentChains s:ref="AD207" rgbClr="FF0000">
      <unresolved>
        <commentChain chainId="3a78cc5b355b235fae5d78bede54a7e8588477b0">
          <item id="ed3a90c01ac675736f344f814fcc57c4db6d10df" isNormal="1">
            <s:text>
              <s:r>
                <s:t xml:space="preserve">Administrator:
5/9上 四国语言警告语贴纸 3500 pcs</s:t>
              </s:r>
            </s:text>
          </item>
        </commentChain>
      </unresolved>
      <resolved/>
    </commentChains>
    <commentChains s:ref="AB208" rgbClr="FF0000">
      <unresolved>
        <commentChain chainId="ce063bd2813ef38b7827f2da0b21c67b6a468ac3">
          <item id="988c0a112afb9117fad79ba270b197ace015b59c" isNormal="1">
            <s:text>
              <s:r>
                <s:t xml:space="preserve">Administrator:
2002360 6/6 4494 pcs 莫四楼B9</s:t>
              </s:r>
            </s:text>
          </item>
        </commentChain>
      </unresolved>
      <resolved/>
    </commentChains>
    <commentChains s:ref="AB209" rgbClr="FF0000">
      <unresolved>
        <commentChain chainId="554b1204ddba35df8aabc70e398d75a64963c0df">
          <item id="d189e89a354791605f773944831cd2e0c92b4b52" isNormal="1">
            <s:text>
              <s:r>
                <s:t xml:space="preserve">Administrator:
2002370 6/5 1804 pcs 新仓库一楼B3</s:t>
              </s:r>
            </s:text>
          </item>
        </commentChain>
      </unresolved>
      <resolved/>
    </commentChains>
    <commentChains s:ref="AD209" rgbClr="FF0000">
      <unresolved>
        <commentChain chainId="583f75600b87428b843202e449dbc92331cd0bfb">
          <item id="ca1a09ac42296fda3efd898be717b4cf7dc61c65" isNormal="1">
            <s:text>
              <s:r>
                <s:t xml:space="preserve">Administrator:
5/19上 EAN贴纸 1804 pcs
 进口商贴纸 1804 pcs
 WEEE带电池走货欧洲30说明书 1804 pcs</s:t>
              </s:r>
            </s:text>
          </item>
        </commentChain>
      </unresolved>
      <resolved/>
    </commentChains>
    <commentChains s:ref="AB210" rgbClr="FF0000">
      <unresolved>
        <commentChain chainId="d5d2e4adcbccad20ea0c6c96529cf7e85be4d24f">
          <item id="7e1228322c527d2e26958b7f99120a5c177b8185" isNormal="1">
            <s:text>
              <s:r>
                <s:t xml:space="preserve">Administrator:
2002398 6/4 242 pcs</s:t>
              </s:r>
            </s:text>
          </item>
        </commentChain>
      </unresolved>
      <resolved/>
    </commentChains>
    <commentChains s:ref="AD210" rgbClr="FF0000">
      <unresolved>
        <commentChain chainId="3b7e80ebe086a20e1e4430fd58cf23d6a1269a5f">
          <item id="51fb00c5c4cba1f82df5deaf9f1d1080e27265da" isNormal="1">
            <s:text>
              <s:r>
                <s:t xml:space="preserve">Administrator:
5/16上 通用进口商贴纸 242 pcs</s:t>
              </s:r>
            </s:text>
          </item>
        </commentChain>
      </unresolved>
      <resolved/>
    </commentChains>
    <commentChains s:ref="AB211" rgbClr="FF0000">
      <unresolved>
        <commentChain chainId="e0808ab5819cedf67b6577c07422f666350a7c8c">
          <item id="5d890759ea72c11c14a0987c9367c1e40e0ffe60" isNormal="1">
            <s:text>
              <s:r>
                <s:t xml:space="preserve">Administrator:
2002348 6/6 1254 pcs 新仓库一楼A4</s:t>
              </s:r>
            </s:text>
          </item>
        </commentChain>
      </unresolved>
      <resolved/>
    </commentChains>
    <commentChains s:ref="AB212" rgbClr="FF0000">
      <unresolved>
        <commentChain chainId="6e2a50d70677d6899ba85a1e7d8a1ea115db18e5">
          <item id="43f8440db83b8f589cf9aa6c2e3f675a2e461165" isNormal="1">
            <s:text>
              <s:r>
                <s:t xml:space="preserve">Administrator:
2002348 6/6 2592 pcs 新仓库一楼A4
2002326 6/7 24 ocs 新A4</s:t>
              </s:r>
            </s:text>
          </item>
        </commentChain>
      </unresolved>
      <resolved/>
    </commentChains>
    <commentChains s:ref="AD212" rgbClr="FF0000">
      <unresolved>
        <commentChain chainId="7899731606fd212b194d1f5187241e9f3c35464d">
          <item id="4f2f5b3097a11665f12c0a0303aa44dcc1232569" isNormal="1">
            <s:text>
              <s:r>
                <s:t xml:space="preserve">Administrator:
5/12上 进口商贴纸 2616 pcs</s:t>
              </s:r>
            </s:text>
          </item>
        </commentChain>
      </unresolved>
      <resolved/>
    </commentChains>
    <commentChains s:ref="AB213" rgbClr="FF0000">
      <unresolved>
        <commentChain chainId="57d6e0ba0be23bca050ecb2b7150bfb147e802fe">
          <item id="237d566a02683a3eae2e34e34d8e33218bb8edbc" isNormal="1">
            <s:text>
              <s:r>
                <s:t xml:space="preserve">Administrator:
2002278 6/9 504 pcs 华兴三楼B14</s:t>
              </s:r>
            </s:text>
          </item>
        </commentChain>
      </unresolved>
      <resolved/>
    </commentChains>
    <commentChains s:ref="AD213" rgbClr="FF0000">
      <unresolved>
        <commentChain chainId="d8fe81dfbdabab0169b884fa2e5c96eca94612fa">
          <item id="bb473f6999217d6433db021a731c29ca2c25f4be" isNormal="1">
            <s:text>
              <s:r>
                <s:t xml:space="preserve">Administrator:
5/19上 环保标含ZURU邮箱贴纸 504 pcs
胶袋+UPC贴纸 1008 pcs
5/20上 WEEE电子产品说明书 504 pcs
5/24上 亚马逊外箱贴纸 21 pcs
</s:t>
              </s:r>
            </s:text>
          </item>
        </commentChain>
      </unresolved>
      <resolved/>
    </commentChains>
    <commentChains s:ref="AB214" rgbClr="FF0000">
      <unresolved>
        <commentChain chainId="e2ec80b7f0e3fc7c85bc7fca76e096d19f6f8e4b">
          <item id="01eed59db7fab87395eaa9d2da3bf60cf4108f97" isNormal="1">
            <s:text>
              <s:r>
                <s:t xml:space="preserve">Administrator:
2002272 6/11 1200 pcs 华兴三楼B14</s:t>
              </s:r>
            </s:text>
          </item>
        </commentChain>
      </unresolved>
      <resolved/>
    </commentChains>
    <commentChains s:ref="AD214" rgbClr="FF0000">
      <unresolved>
        <commentChain chainId="bf9842c7d359cf78709c100fff11216a9c27cf7f">
          <item id="abfffdf0a4a1decb9f5ef715a869088f379dd0e6" isNormal="1">
            <s:text>
              <s:r>
                <s:t xml:space="preserve">Administrator:
5/26上 价格贴纸 1200 pcs 
 外箱条码贴纸 100 pcs</s:t>
              </s:r>
            </s:text>
          </item>
        </commentChain>
      </unresolved>
      <resolved/>
    </commentChains>
    <commentChains s:ref="AB215" rgbClr="FF0000">
      <unresolved>
        <commentChain chainId="41c9ab73a72811d256714d8ba4ddbfc7827cfd59">
          <item id="96e69d8bc9fd9dad4f9f15231d539b4d22d01936" isNormal="1">
            <s:text>
              <s:r>
                <s:t xml:space="preserve">Administrator:
2002278 6/9 990 pcs 华兴三楼B14
2002253 6/10 11 pcs B14</s:t>
              </s:r>
            </s:text>
          </item>
        </commentChain>
      </unresolved>
      <resolved/>
    </commentChains>
    <commentChains s:ref="AD215" rgbClr="FF0000">
      <unresolved>
        <commentChain chainId="2889dff4d004ea5f44604805e503ec98917769d6">
          <item id="be75eb2d494de410bca71a0f7083b7a07fdac798" isNormal="1">
            <s:text>
              <s:r>
                <s:t xml:space="preserve">Administrator:
5/21上 警告语/EAN贴纸 1001 pcs 打湿补订
5/27上 警告语贴纸 1001 pcs
 条码贴纸 1001 pcs
5/30 补警告语/EAN贴纸 1001 pcs</s:t>
              </s:r>
            </s:text>
          </item>
        </commentChain>
      </unresolved>
      <resolved/>
    </commentChains>
    <commentChains s:ref="AB216" rgbClr="FF0000">
      <unresolved>
        <commentChain chainId="dd9b26258479e6c431f61ad510377d8f03d5abbc">
          <item id="3da1ad90f6a8a4f6677f67353f3c5328e336fc95" isNormal="1">
            <s:text>
              <s:r>
                <s:t xml:space="preserve">Administrator:
2002285 6/10 138 pcs 华兴三楼B13</s:t>
              </s:r>
            </s:text>
          </item>
        </commentChain>
      </unresolved>
      <resolved/>
    </commentChains>
    <commentChains s:ref="AD216" rgbClr="FF0000">
      <unresolved>
        <commentChain chainId="2f44f7eca5aa4c414e91ee1a698e69c61a1fb41f">
          <item id="af3a0f49bb8b7117ce392e6d8cb63e43f5287cfa" isNormal="1">
            <s:text>
              <s:r>
                <s:t xml:space="preserve">Administrator:
5/20上 白色防盗贴纸 138 pcs
5/30上 KM外箱贴纸 23 pcs</s:t>
              </s:r>
            </s:text>
          </item>
        </commentChain>
      </unresolved>
      <resolved/>
    </commentChains>
    <commentChains s:ref="AB217" rgbClr="FF0000">
      <unresolved>
        <commentChain chainId="42da939e2ade00fb4318b30ca6ec9fbdfbca0811">
          <item id="89ac89cf66cab9c73fd2b30de0d5f9afa949ea54" isNormal="1">
            <s:text>
              <s:r>
                <s:t xml:space="preserve">Administrator:
2002285 6/10 138 pcs 华兴三楼A23</s:t>
              </s:r>
            </s:text>
          </item>
        </commentChain>
      </unresolved>
      <resolved/>
    </commentChains>
    <commentChains s:ref="AD217" rgbClr="FF0000">
      <unresolved>
        <commentChain chainId="6960d8b35a2787162d9d914e8f625814d0e3b20d">
          <item id="a03c9064d1506f4e8e929c1457cf28fef7b17637" isNormal="1">
            <s:text>
              <s:r>
                <s:t xml:space="preserve">Administrator:
5/20上 白色防盗贴纸 1362 pcs
5/30上 KM外箱贴纸 227 pcs
</s:t>
              </s:r>
            </s:text>
          </item>
        </commentChain>
      </unresolved>
      <resolved/>
    </commentChains>
    <commentChains s:ref="AB218" rgbClr="FF0000">
      <unresolved>
        <commentChain chainId="143d322e695b421834fbe117a33a00dac7e8ecd1">
          <item id="61a612a57cac96e913930b2e9b8ad84ad71a2061" isNormal="1">
            <s:text>
              <s:r>
                <s:t xml:space="preserve">Administrator:
2002278 6/9 506 pcs 华兴三楼B15</s:t>
              </s:r>
            </s:text>
          </item>
        </commentChain>
      </unresolved>
      <resolved/>
    </commentChains>
    <commentChains s:ref="AD218" rgbClr="FF0000">
      <unresolved>
        <commentChain chainId="7e0337e8c6fc01202e02443a51f72ca52d287931">
          <item id="5159c1be4720a25509a26ec0b2c3311fe9723bfe" isNormal="1">
            <s:text>
              <s:r>
                <s:t xml:space="preserve">Administrator:
5/27上 WEEE 不带电池走货 通用30L 说明书 506 pcs
6/3上 EAN贴纸 506 pcs</s:t>
              </s:r>
            </s:text>
          </item>
        </commentChain>
      </unresolved>
      <resolved/>
    </commentChains>
    <commentChains s:ref="AB219" rgbClr="FF0000">
      <unresolved>
        <commentChain chainId="8b540d391b0f6aff8d58075d2cc58b90c90004a8">
          <item id="3b48fee6db4620e53b01c8afea5912bfd3b72fb7" isNormal="1">
            <s:text>
              <s:r>
                <s:t xml:space="preserve">Administrator:
2000769 5/23 2563 pcs 华兴三楼A24
6/4退湖南消耗517pcs/47箱</s:t>
              </s:r>
            </s:text>
          </item>
        </commentChain>
      </unresolved>
      <resolved/>
    </commentChains>
    <commentChains s:ref="AB220" rgbClr="FF0000">
      <unresolved>
        <commentChain chainId="b668d2428581c376d24d455ef2f3a9e58fd75b5e">
          <item id="4be0137b1efea56b0bec617a289122783b5746a5" isNormal="1">
            <s:text>
              <s:r>
                <s:t xml:space="preserve">Administrator:
2002083 6/18 10131 pcs 华兴三楼A31       
2002122 6/18 209 pcs A31</s:t>
              </s:r>
            </s:text>
          </item>
        </commentChain>
      </unresolved>
      <resolved/>
    </commentChains>
    <commentChains s:ref="AB221" rgbClr="FF0000">
      <unresolved>
        <commentChain chainId="df6e55d4a71017c0924ad00aa036205274dbc4e0">
          <item id="c8438d713d205bbf77b88329438ef70559945e71" isNormal="1">
            <s:text>
              <s:r>
                <s:t xml:space="preserve">Administrator:
2002083 6/18 7920 pcs 华兴三A31楼       
2002122 6/18 2420 pcs A31 
</s:t>
              </s:r>
            </s:text>
          </item>
        </commentChain>
      </unresolved>
      <resolved/>
    </commentChains>
    <commentChains s:ref="AB222" rgbClr="FF0000">
      <unresolved>
        <commentChain chainId="e5c6c5d5a02786bc835f6b5eacc0293e6b5fe565">
          <item id="37a6cd8d2d99f885db055d7ef8e02ed0c6b813ff" isNormal="1">
            <s:text>
              <s:r>
                <s:t xml:space="preserve">Administrator:
2002162 6/18 504 pcs 华兴三楼A16</s:t>
              </s:r>
            </s:text>
          </item>
        </commentChain>
      </unresolved>
      <resolved/>
    </commentChains>
    <commentChains s:ref="AD222" rgbClr="FF0000">
      <unresolved>
        <commentChain chainId="6416d13690550b9c3a7f2e27f55d21c11ceae84b">
          <item id="2ceaed6afafcf1604a3faab50b5d9badb3ca6b65" isNormal="1">
            <s:text>
              <s:r>
                <s:t xml:space="preserve">Administrator:
5/19上 环保标含ZURU邮箱贴纸 504 pcs
 胶袋+UPC贴纸 1008 pcs
5/20上 WEEE电子产品说明书 504 pcs
5/24上 亚马逊外箱贴纸 21 pcs</s:t>
              </s:r>
            </s:text>
          </item>
        </commentChain>
      </unresolved>
      <resolved/>
    </commentChains>
    <commentChains s:ref="AB223" rgbClr="FF0000">
      <unresolved>
        <commentChain chainId="9955fc1b0ffa852d751c9054d7c16b1806ef1b7a">
          <item id="1f966a3288ec73e5b757c00ca68937f710b35711" isNormal="1">
            <s:text>
              <s:r>
                <s:t xml:space="preserve">Administrator:
2002162 6/18 504 pcs 华兴三楼A16</s:t>
              </s:r>
            </s:text>
          </item>
        </commentChain>
      </unresolved>
      <resolved/>
    </commentChains>
    <commentChains s:ref="AD223" rgbClr="FF0000">
      <unresolved>
        <commentChain chainId="89e5f303c55d6aa96c4db69bb13cfcc75bf9e936">
          <item id="c94a8ee1c9ecfde73c3e2b2180de5888cdb0eb68" isNormal="1">
            <s:text>
              <s:r>
                <s:t xml:space="preserve">Administrator:
5/19上 环保标含ZURU邮箱贴纸 504 pcs
 胶袋+UPC贴纸 1008 pcs
5/20上 WEEE电子产品说明书 504 pcs
5/24上 亚马逊外箱贴纸 21 pcs
</s:t>
              </s:r>
            </s:text>
          </item>
        </commentChain>
      </unresolved>
      <resolved/>
    </commentChains>
    <commentChains s:ref="AB224" rgbClr="FF0000">
      <unresolved>
        <commentChain chainId="ca19e6b3c95dde1d75bfb23e41bfcd0c8f47ddab">
          <item id="6241fea348903832488070e402c0436299bef38d" isNormal="1">
            <s:text>
              <s:r>
                <s:t xml:space="preserve">Administrator:
2002162 6/18 552 pcs 华兴三楼A16</s:t>
              </s:r>
            </s:text>
          </item>
        </commentChain>
      </unresolved>
      <resolved/>
    </commentChains>
    <commentChains s:ref="AD224" rgbClr="FF0000">
      <unresolved>
        <commentChain chainId="a2a0b2f905170d3c0d55e8a5c06e9f805c4052ce">
          <item id="35fc27137a113ee59e0543827b9596948ac607d5" isNormal="1">
            <s:text>
              <s:r>
                <s:t xml:space="preserve">Administrator:
5/19上 环保标含ZURU邮箱贴纸 504 pcs
胶袋+UPC贴纸 1104 pcs
5/20上 WEEE电子产品说明书 552 pcs
5/24上 亚马逊外箱贴纸 23 pcs
</s:t>
              </s:r>
            </s:text>
          </item>
        </commentChain>
      </unresolved>
      <resolved/>
    </commentChains>
    <commentChains s:ref="AB225" rgbClr="FF0000">
      <unresolved>
        <commentChain chainId="e23f5a3c974883f381685b2cbb101755c1f5d8c8">
          <item id="87c5c304d79df88e8534d7331f5bb5d2156e8bee" isNormal="1">
            <s:text>
              <s:r>
                <s:t xml:space="preserve">Administrator:
2002162 6/18 1001 pcs 华兴三楼A16</s:t>
              </s:r>
            </s:text>
          </item>
        </commentChain>
      </unresolved>
      <resolved/>
    </commentChains>
    <commentChains s:ref="AD225" rgbClr="FF0000">
      <unresolved>
        <commentChain chainId="ff53f5fe19e049752d075199ca1f05efbd50304d">
          <item id="87c52560602212dda198c855be56456425661244" isNormal="1">
            <s:text>
              <s:r>
                <s:t xml:space="preserve">Administrator:
5/27上 EAN条码贴纸 1001 pcs</s:t>
              </s:r>
            </s:text>
          </item>
        </commentChain>
      </unresolved>
      <resolved/>
    </commentChains>
    <commentChains s:ref="AB226" rgbClr="FF0000">
      <unresolved>
        <commentChain chainId="badb7b1e07d18bb9b9d143df716ae6128d103d3f">
          <item id="7970ec321efe44fab526cdde4e97bbc871da03eb" isNormal="1">
            <s:text>
              <s:r>
                <s:t xml:space="preserve">Administrator:
2002162 6/18 506 pcs 华兴三楼B14</s:t>
              </s:r>
            </s:text>
          </item>
        </commentChain>
      </unresolved>
      <resolved/>
    </commentChains>
    <commentChains s:ref="AD226" rgbClr="FF0000">
      <unresolved>
        <commentChain chainId="82922601361446191ce1bb145e8c3c49b9008da9">
          <item id="83e885785ca96b006986d406ef8e20d34c0c8fc5" isNormal="1">
            <s:text>
              <s:r>
                <s:t xml:space="preserve">Administrator:
W5/27上 EEE不带电池走货欧洲30语通用黑白说明书 506 pcs</s:t>
              </s:r>
            </s:text>
          </item>
        </commentChain>
      </unresolved>
      <resolved/>
    </commentChains>
    <commentChains s:ref="AB227" rgbClr="FF0000">
      <unresolved>
        <commentChain chainId="1e4ddbe3d637dbb7868bc911d806dbf8cc9ad567">
          <item id="8f8023f1905439a5f06cb03bdc1e882de4b59bcf" isNormal="1">
            <s:text>
              <s:r>
                <s:t xml:space="preserve">Administrator:
2002162 6/18 264 pcs 华兴三楼B8</s:t>
              </s:r>
            </s:text>
          </item>
        </commentChain>
      </unresolved>
      <resolved/>
    </commentChains>
    <commentChains s:ref="AD227" rgbClr="FF0000">
      <unresolved>
        <commentChain chainId="23c59e14c3f61d6663f7ded751ccc4bcd0392f30">
          <item id="70b28288f0564e5cf56d12e6f336c098245169ec" isNormal="1">
            <s:text>
              <s:r>
                <s:t xml:space="preserve">Administrator:
5/29上 进口商贴纸 264 pcs</s:t>
              </s:r>
            </s:text>
          </item>
        </commentChain>
      </unresolved>
      <resolved/>
    </commentChains>
    <commentChains s:ref="AB228" rgbClr="FF0000">
      <unresolved>
        <commentChain chainId="5bf1d2d7a6766ded7a58ce764661dab9eef78c5f">
          <item id="24d5953ffdb1fa8e895913e05983ff2d6119cb11" isNormal="1">
            <s:text>
              <s:r>
                <s:t xml:space="preserve">Administrator:
2002134 6/19 1210 pcs 华兴三楼B14</s:t>
              </s:r>
            </s:text>
          </item>
        </commentChain>
      </unresolved>
      <resolved/>
    </commentChains>
    <commentChains s:ref="AD228" rgbClr="FF0000">
      <unresolved>
        <commentChain chainId="fc146802541d3549767673f76e5c8a8e4db4f798">
          <item id="67f46a328483a33368ec6fb37c7906b45381a3a8" isNormal="1">
            <s:text>
              <s:r>
                <s:t xml:space="preserve">Administrator:
5/14上 进口商贴纸 1210 pcs</s:t>
              </s:r>
            </s:text>
          </item>
        </commentChain>
      </unresolved>
      <resolved/>
    </commentChains>
    <commentChains s:ref="AB229" rgbClr="FF0000">
      <unresolved>
        <commentChain chainId="f173f3bf141487ca05f77202a0bc191537c4ba50">
          <item id="cbdd7a57acc803a4780f2569c3ebab1a5354e16b" isNormal="1">
            <s:text>
              <s:r>
                <s:t xml:space="preserve">Administrator:
2002136 6/19 176 pcs 华兴三楼A24</s:t>
              </s:r>
            </s:text>
          </item>
        </commentChain>
      </unresolved>
      <resolved/>
    </commentChains>
    <commentChains s:ref="AB230" rgbClr="FF0000">
      <unresolved>
        <commentChain chainId="29ae705755c698287cace54144e1d4eb75e9d6af">
          <item id="9b117e55bfda9d145ed162869dd0a13be343d8e0" isNormal="1">
            <s:text>
              <s:r>
                <s:t xml:space="preserve">Administrator:
2002135 6/19 528 pcs 华兴三楼B8</s:t>
              </s:r>
            </s:text>
          </item>
        </commentChain>
      </unresolved>
      <resolved/>
    </commentChains>
    <commentChains s:ref="AB231" rgbClr="FF0000">
      <unresolved>
        <commentChain chainId="b938a7c2c6ee65beab0aec3090f722a3dbedc9e2">
          <item id="8b834f8b4656ff47f4837fb1314ea753dc859f5d" isNormal="1">
            <s:text>
              <s:r>
                <s:t xml:space="preserve">Administrator:
2002134 6/19 286 pcs 华兴三楼B12</s:t>
              </s:r>
            </s:text>
          </item>
        </commentChain>
      </unresolved>
      <resolved/>
    </commentChains>
    <commentChains s:ref="AB232" rgbClr="FF0000">
      <unresolved>
        <commentChain chainId="3cf820c1ef88a795f0dd773566330e5091679d5f">
          <item id="9aee1fbb0f8bafa52db68954a34d6fb98c3effd1" isNormal="1">
            <s:text>
              <s:r>
                <s:t xml:space="preserve">Administrator:
2002134 6/19 528 pcs 华兴三楼A24</s:t>
              </s:r>
            </s:text>
          </item>
        </commentChain>
      </unresolved>
      <resolved/>
    </commentChains>
    <commentChains s:ref="AD232" rgbClr="FF0000">
      <unresolved>
        <commentChain chainId="ecb030fd159ec0be299d7c7aa2df299708ca6bcc">
          <item id="39f5bdb10d42cb4714e3c4cbf5a91271eb2351e5" isNormal="1">
            <s:text>
              <s:r>
                <s:t xml:space="preserve">Administrator:
6/6上 进口商贴纸 528 pcs</s:t>
              </s:r>
            </s:text>
          </item>
        </commentChain>
      </unresolved>
      <resolved/>
    </commentChains>
    <commentChains s:ref="AB233" rgbClr="FF0000">
      <unresolved>
        <commentChain chainId="d2a3cb9191903689ef8eadcf0caef732f3cfbb29">
          <item id="f48b0b7270897d04e43ef5207bd356a0b96329af" isNormal="1">
            <s:text>
              <s:r>
                <s:t xml:space="preserve">Administrator:
2002135 6/19 418 pcs 华兴三楼A24
</s:t>
              </s:r>
            </s:text>
          </item>
        </commentChain>
      </unresolved>
      <resolved/>
    </commentChains>
    <commentChains s:ref="AD233" rgbClr="FF0000">
      <unresolved>
        <commentChain chainId="2e21dedf406dfb40cce5156797f719940f59d220">
          <item id="69e9b5e1f04b32e00ce689a5f6c92604026d08c2" isNormal="1">
            <s:text>
              <s:r>
                <s:t xml:space="preserve">Administrator:
6/6上 进口商贴纸 418 pcs</s:t>
              </s:r>
            </s:text>
          </item>
        </commentChain>
      </unresolved>
      <resolved/>
    </commentChains>
    <commentChains s:ref="AB234" rgbClr="FF0000">
      <unresolved>
        <commentChain chainId="bcf3971687bfd3e1fe7c3f6737c8672dd277d83d">
          <item id="fdf00d335986c2c7067c3937d3e6c95affd9a384" isNormal="1">
            <s:text>
              <s:r>
                <s:t xml:space="preserve">Administrator:
2002135 6/19 418 pcs 华兴三楼A24
</s:t>
              </s:r>
            </s:text>
          </item>
        </commentChain>
      </unresolved>
      <resolved/>
    </commentChains>
    <commentChains s:ref="AD234" rgbClr="FF0000">
      <unresolved>
        <commentChain chainId="48ff5b023e482daf2bd63a0b0c8954660c49e0b5">
          <item id="da4754ec32822cfa70a9b353fad5a5d79a5bc71c" isNormal="1">
            <s:text>
              <s:r>
                <s:t xml:space="preserve">Administrator:
6/6上 进口商贴纸 418 pcs</s:t>
              </s:r>
            </s:text>
          </item>
        </commentChain>
      </unresolved>
      <resolved/>
    </commentChains>
    <commentChains s:ref="AB235" rgbClr="FF0000">
      <unresolved>
        <commentChain chainId="6c3dd8c12d5399e0db3ccfd135f4c2ae6dc9fc0e">
          <item id="ab44105d9b69f32e65b03280787b74a069bae12b" isNormal="1">
            <s:text>
              <s:r>
                <s:t xml:space="preserve">Administrator:
2002135 6/19 154 pcs 华兴三楼A24
</s:t>
              </s:r>
            </s:text>
          </item>
        </commentChain>
      </unresolved>
      <resolved/>
    </commentChains>
    <commentChains s:ref="AD235" rgbClr="FF0000">
      <unresolved>
        <commentChain chainId="aa497e9c5e0e8009e5b9e66e65fe89a43c982f42">
          <item id="c91adf770f2bc0fd02c0115e0b1841d2e0e93669" isNormal="1">
            <s:text>
              <s:r>
                <s:t xml:space="preserve">Administrator:
6/6上 进口商贴纸 154 pcs</s:t>
              </s:r>
            </s:text>
          </item>
        </commentChain>
      </unresolved>
      <resolved/>
    </commentChains>
    <commentChains s:ref="AB236" rgbClr="FF0000">
      <unresolved>
        <commentChain chainId="4d6cffe4a4f96b7657a42a5ac5ece60b828d818d">
          <item id="d2d3cc605e39ed75db07d8b8c77ce4115f427245" isNormal="1">
            <s:text>
              <s:r>
                <s:t xml:space="preserve">Administrator:
2001986 6/24 638 pcs 新仓库3-B10</s:t>
              </s:r>
            </s:text>
          </item>
        </commentChain>
      </unresolved>
      <resolved/>
    </commentChains>
    <commentChains s:ref="AB237" rgbClr="FF0000">
      <unresolved>
        <commentChain chainId="e7268c8b02d5919f7c30cd6828a3e1bdeb39b21d">
          <item id="2f94216fc8484a3213e4c4344a58d8cb2749bf9f" isNormal="1">
            <s:text>
              <s:r>
                <s:t xml:space="preserve">Administrator:
3001866 6/24 363 pcs 华兴三楼B9</s:t>
              </s:r>
            </s:text>
          </item>
        </commentChain>
      </unresolved>
      <resolved/>
    </commentChains>
    <commentChains s:ref="AD237" rgbClr="FF0000">
      <unresolved>
        <commentChain chainId="d1820165a9207fe719299acd8ecd4bd64bf48ce1">
          <item id="272d4a0211e9547a308758ba47abda85996d42f5" isNormal="1">
            <s:text>
              <s:r>
                <s:t xml:space="preserve">Administrator:
6/6上 EAN/邮箱贴纸 363 pcs
6/17上 不带电池走货北欧六语通用说明书 363 pcs
6/20补上正确的6/17是错的 WEEE不带电池走货-说明书北欧 363 pcs
6/23补上 因返工说明书撕膜后补的 EAN邮箱贴纸 363 pcs</s:t>
              </s:r>
            </s:text>
          </item>
        </commentChain>
      </unresolved>
      <resolved/>
    </commentChains>
    <commentChains s:ref="AB238" rgbClr="FF0000">
      <unresolved>
        <commentChain chainId="c4762dabbad542e59a711aeb1d394ec4ad6cf280">
          <item id="2e6ca32fe8dc9c1646267d92d59dea0001cbf375" isNormal="1">
            <s:text>
              <s:r>
                <s:t xml:space="preserve">Administrator:
3001866 6/24 1210 pcs 华兴三楼B11</s:t>
              </s:r>
            </s:text>
          </item>
        </commentChain>
      </unresolved>
      <resolved/>
    </commentChains>
    <commentChains s:ref="AD238" rgbClr="FF0000">
      <unresolved>
        <commentChain chainId="7271141cc312d56faad46b3c54e2fb5bd1b84874">
          <item id="bb60c1fe9c3176e4cb7f2b6f347467b813e821cb" isNormal="1">
            <s:text>
              <s:r>
                <s:t xml:space="preserve">Administrator:
6/6上 客人通用进口商贴纸 1210 pcs</s:t>
              </s:r>
            </s:text>
          </item>
        </commentChain>
      </unresolved>
      <resolved/>
    </commentChains>
    <commentChains s:ref="AB239" rgbClr="FF0000">
      <unresolved>
        <commentChain chainId="ddc81a25c0c78170171629a180f54c79e0fd3b23">
          <item id="d2aacb6f9e62fd5b326bff40d68f0b8425add59b" isNormal="1">
            <s:text>
              <s:r>
                <s:t xml:space="preserve">Administrator:
2001990 6/23 5005 pcs 新仓库3-C12</s:t>
              </s:r>
            </s:text>
          </item>
        </commentChain>
      </unresolved>
      <resolved/>
    </commentChains>
    <commentChains s:ref="AD239" rgbClr="FF0000">
      <unresolved>
        <commentChain chainId="b31bcf547fa7fb79652895d4d8cdb785c809a1d3">
          <item id="094b8381e3f41ee17f127659f4fe5c1f75642be8" isNormal="1">
            <s:text>
              <s:r>
                <s:t xml:space="preserve">Administrator:
6/6上 韩语贴纸 5005 pcs
上到湖南不见补订
6/14上 韩语贴纸 5005 pcs</s:t>
              </s:r>
            </s:text>
          </item>
        </commentChain>
      </unresolved>
      <resolved/>
    </commentChains>
    <commentChains s:ref="AB240" rgbClr="FF0000">
      <unresolved>
        <commentChain chainId="7a419c4c99c2303a1e9253b2c753f794e5d10e95">
          <item id="6bce2377b5fc76e0e1da408b4a9bdc0133bca2eb" isNormal="1">
            <s:text>
              <s:r>
                <s:t xml:space="preserve">Administrator:
2002023 6/21 2002 pcs 新仓库1-A4</s:t>
              </s:r>
            </s:text>
          </item>
        </commentChain>
      </unresolved>
      <resolved/>
    </commentChains>
    <commentChains s:ref="AD240" rgbClr="FF0000">
      <unresolved>
        <commentChain chainId="ae7c80fd0cb039720218320e071a3cc4e25adb23">
          <item id="acf1247942a67ae1b977d6ebdf5158706b3cb606" isNormal="1">
            <s:text>
              <s:r>
                <s:t xml:space="preserve">Administrator:
6/13上 进口商贴纸 2002 pcs</s:t>
              </s:r>
            </s:text>
          </item>
        </commentChain>
      </unresolved>
      <resolved/>
    </commentChains>
    <commentChains s:ref="AB241" rgbClr="FF0000">
      <unresolved>
        <commentChain chainId="0b0910d2fb6a84ae521056b01c214fb11d7195fe">
          <item id="fd59267dd87d500203af612ee78f88540fcfa0db" isNormal="1">
            <s:text>
              <s:r>
                <s:t xml:space="preserve">Administrator:
3001866 6/24 24 pcs 华兴三楼B11</s:t>
              </s:r>
            </s:text>
          </item>
        </commentChain>
      </unresolved>
      <resolved/>
    </commentChains>
    <commentChains s:ref="AD241" rgbClr="FF0000">
      <unresolved>
        <commentChain chainId="38d27e63ece4f6670eba31fa3cbcff8754832184">
          <item id="5f894eca3349e75c56d5c9f8ef659963b804902a" isNormal="1">
            <s:text>
              <s:r>
                <s:t xml:space="preserve">Administrator:
6/6上 E款UPC贴纸 24 pcs
6/11上 客供亚马逊外箱贴纸 1 pcs</s:t>
              </s:r>
            </s:text>
          </item>
        </commentChain>
      </unresolved>
      <resolved/>
    </commentChains>
    <commentChains s:ref="AB242" rgbClr="FF0000">
      <unresolved>
        <commentChain chainId="c64b2923863f34daedc877305a29b1108d77c046">
          <item id="15a90aca9f49c983a4aa914342e69f5623a973cb" isNormal="1">
            <s:text>
              <s:r>
                <s:t xml:space="preserve">Administrator:
3001866 6/24 24 pcs 华兴三楼B11</s:t>
              </s:r>
            </s:text>
          </item>
        </commentChain>
      </unresolved>
      <resolved/>
    </commentChains>
    <commentChains s:ref="AD242" rgbClr="FF0000">
      <unresolved>
        <commentChain chainId="630ae72c3dbaa3b09d17b9936d05777214a341d3">
          <item id="9fc3eaae9d7e19e20261cd87dda50b23636ca1fe" isNormal="1">
            <s:text>
              <s:r>
                <s:t xml:space="preserve">Administrator:
6/6上 E款UPC贴纸 24 pcs
6/11上 客供亚马逊外箱贴纸 1 pcs</s:t>
              </s:r>
            </s:text>
          </item>
        </commentChain>
      </unresolved>
      <resolved/>
    </commentChains>
    <commentChains s:ref="AB243" rgbClr="FF0000">
      <unresolved>
        <commentChain chainId="a9f5ca9680ffe4db665da194a0ef3bfed27224cd">
          <item id="8d4203865245df4fb13a657faff55d4aebcf8d57" isNormal="1">
            <s:text>
              <s:r>
                <s:t xml:space="preserve">Administrator:
3001866 6/24 24 pcs 华兴三楼B11</s:t>
              </s:r>
            </s:text>
          </item>
        </commentChain>
      </unresolved>
      <resolved/>
    </commentChains>
    <commentChains s:ref="AD243" rgbClr="FF0000">
      <unresolved>
        <commentChain chainId="9d9b6d70adadd21c0c3fdcef8cedb28f3c8b8108">
          <item id="b0037d074efb6e83c2744e4d35ef7afbfe57208a" isNormal="1">
            <s:text>
              <s:r>
                <s:t xml:space="preserve">Administrator:
6/6上 E款UPC贴纸 24 pcs
6/11上 客供亚马逊外箱贴纸 1 pcs</s:t>
              </s:r>
            </s:text>
          </item>
        </commentChain>
      </unresolved>
      <resolved/>
    </commentChains>
    <commentChains s:ref="AB244" rgbClr="FF0000">
      <unresolved>
        <commentChain chainId="28ce78ae259e28b63d8749ee26605a502baac376">
          <item id="dad82670b706d7144209269a2515586493efed2b" isNormal="1">
            <s:text>
              <s:r>
                <s:t xml:space="preserve">Administrator:
3001865 6/24 24 pcs 新仓库3-B11
</s:t>
              </s:r>
            </s:text>
          </item>
        </commentChain>
      </unresolved>
      <resolved/>
    </commentChains>
    <commentChains s:ref="AD244" rgbClr="FF0000">
      <unresolved>
        <commentChain chainId="9a3dde4157cf5b1dcf9066f0e37b3f005092a962">
          <item id="38cc15d83dbc6cf3c83d699b115656dcd391def0" isNormal="1">
            <s:text>
              <s:r>
                <s:t xml:space="preserve">Administrator:
6/6上 E款UPC贴纸 24 pcs
6/11上 客供亚马逊外箱贴纸 1 pcs</s:t>
              </s:r>
            </s:text>
          </item>
        </commentChain>
      </unresolved>
      <resolved/>
    </commentChains>
    <commentChains s:ref="AB245" rgbClr="FF0000">
      <unresolved>
        <commentChain chainId="6920e22ad150719962afa8d76f656185588f674e">
          <item id="1cf7092af77d3b2746a08d78d88d0b3acbe7ceb1" isNormal="1">
            <s:text>
              <s:r>
                <s:t xml:space="preserve">Administrator:
3001865 6/24 24 pcs 新仓库3-B11
</s:t>
              </s:r>
            </s:text>
          </item>
        </commentChain>
      </unresolved>
      <resolved/>
    </commentChains>
    <commentChains s:ref="AD245" rgbClr="FF0000">
      <unresolved>
        <commentChain chainId="23c73b10ca5f0c3944ad5f50cb6174d8f586169c">
          <item id="f162829d03938db7e47ad3b10ed35fa39241913c" isNormal="1">
            <s:text>
              <s:r>
                <s:t xml:space="preserve">Administrator:
6/6上 E款UPC贴纸 24 pcs
6/11上 客供亚马逊外箱贴纸 1 pcs</s:t>
              </s:r>
            </s:text>
          </item>
        </commentChain>
      </unresolved>
      <resolved/>
    </commentChains>
    <commentChains s:ref="AB246" rgbClr="FF0000">
      <unresolved>
        <commentChain chainId="78d616e9c75ec40637e89b306439c84690ee68dd">
          <item id="1734942b71bb64d7d18e1b2d704db91a751d8596" isNormal="1">
            <s:text>
              <s:r>
                <s:t xml:space="preserve">Administrator:
3001865 6/24 24 pcs 新仓库3-B11
</s:t>
              </s:r>
            </s:text>
          </item>
        </commentChain>
      </unresolved>
      <resolved/>
    </commentChains>
    <commentChains s:ref="AD246" rgbClr="FF0000">
      <unresolved>
        <commentChain chainId="148c367a3eb9b17415d3090d448a6580f4b0f516">
          <item id="046de7f44aac08ec6aef076ac0432ed8f5e0cc4e" isNormal="1">
            <s:text>
              <s:r>
                <s:t xml:space="preserve">Administrator:
6/6上 B款UPC贴纸 48 pcs
6/11上 客供亚马逊外箱贴纸 1 pcs</s:t>
              </s:r>
            </s:text>
          </item>
        </commentChain>
      </unresolved>
      <resolved/>
    </commentChains>
    <commentChains s:ref="AB247" rgbClr="FF0000">
      <unresolved>
        <commentChain chainId="03ce7391bac457890c0ba131b30c7137758713cd">
          <item id="436a75468c3a3db51c15ba47aa89b128726f7bc9" isNormal="1">
            <s:text>
              <s:r>
                <s:t xml:space="preserve">Administrator:
3001865 6/24 24 pcs 新仓库3-B11
</s:t>
              </s:r>
            </s:text>
          </item>
        </commentChain>
      </unresolved>
      <resolved/>
    </commentChains>
    <commentChains s:ref="AD247" rgbClr="FF0000">
      <unresolved>
        <commentChain chainId="60cd38096e4c310027ebe88a40f9968a22f92ac6">
          <item id="d835e3d1535151886c7feb93cd7ff5ccdf6fb360" isNormal="1">
            <s:text>
              <s:r>
                <s:t xml:space="preserve">Administrator:
6/6上 B款UPC贴纸 48 pcs
6/11上 客供亚马逊外箱贴纸 1 pcs</s:t>
              </s:r>
            </s:text>
          </item>
        </commentChain>
      </unresolved>
      <resolved/>
    </commentChains>
    <commentChains s:ref="AB248" rgbClr="FF0000">
      <unresolved>
        <commentChain chainId="9a9b29ad08f4072225a4009b1372338846a5363c">
          <item id="2e4b3c27cd4a6c688905bb54f1eae5ff3320edc6" isNormal="1">
            <s:text>
              <s:r>
                <s:t xml:space="preserve">Administrator:
3001865 6/24 24 pcs 新仓库3-B11
</s:t>
              </s:r>
            </s:text>
          </item>
        </commentChain>
      </unresolved>
      <resolved/>
    </commentChains>
    <commentChains s:ref="AD248" rgbClr="FF0000">
      <unresolved>
        <commentChain chainId="f97af442ece0b88afac73a662c3b8210fb897f0e">
          <item id="c9205fa6a28b584b6a82919f55d87b651bb62cb3" isNormal="1">
            <s:text>
              <s:r>
                <s:t xml:space="preserve">Administrator:
6/6上 A款UPC贴纸 24 pcs
6/11上 客供亚马逊外箱贴纸 1 pcs</s:t>
              </s:r>
            </s:text>
          </item>
        </commentChain>
      </unresolved>
      <resolved/>
    </commentChains>
    <commentChains s:ref="AB249" rgbClr="FF0000">
      <unresolved>
        <commentChain chainId="3fd0bd5366f91f9f29543870673a83f811c016be">
          <item id="4bdba39ccb5a8c288c90c4a7dc59863785768bab" isNormal="1">
            <s:text>
              <s:r>
                <s:t xml:space="preserve">Administrator:
3001866 6/24 48 pcs 华兴三楼B11</s:t>
              </s:r>
            </s:text>
          </item>
        </commentChain>
      </unresolved>
      <resolved/>
    </commentChains>
    <commentChains s:ref="AD249" rgbClr="FF0000">
      <unresolved>
        <commentChain chainId="bf85a722f6adc07f298c6f24a9228f4891ee767f">
          <item id="b082f35129e325263c0d49792596eda8422b6d8a" isNormal="1">
            <s:text>
              <s:r>
                <s:t xml:space="preserve">Administrator:
6/6上 A款UPC贴纸 48 pcs
6/11上 客供亚马逊外箱贴纸 2 pcs</s:t>
              </s:r>
            </s:text>
          </item>
        </commentChain>
      </unresolved>
      <resolved/>
    </commentChains>
    <commentChains s:ref="AB250" rgbClr="FF0000">
      <unresolved>
        <commentChain chainId="7d7450268df2780bf63089e3a7c5153157fd79c8">
          <item id="199f231383b0bde2d9d80cd41e255a2e022050cc" isNormal="1">
            <s:text>
              <s:r>
                <s:t xml:space="preserve">Administrator:
3001865 6/24 24 pcs 新仓库3-B11
</s:t>
              </s:r>
            </s:text>
          </item>
        </commentChain>
      </unresolved>
      <resolved/>
    </commentChains>
    <commentChains s:ref="AD250" rgbClr="FF0000">
      <unresolved>
        <commentChain chainId="5811c9c341b2f2eef07cee4befa0e2c6e32f0c83">
          <item id="36f91c8ebd06d5e93df3ea08fd62f731ad0e9658" isNormal="1">
            <s:text>
              <s:r>
                <s:t xml:space="preserve">Administrator:
6/6上 A款UPC贴纸 24 pcs
6/11上 客供亚马逊外箱贴纸 1 pcs</s:t>
              </s:r>
            </s:text>
          </item>
        </commentChain>
      </unresolved>
      <resolved/>
    </commentChains>
    <commentChains s:ref="AB251" rgbClr="FF0000">
      <unresolved>
        <commentChain chainId="de142f443db11f9466467eb443414f147d214761">
          <item id="a2b92d7f30facf08870ff13464c547b22d95bb39" isNormal="1">
            <s:text>
              <s:r>
                <s:t xml:space="preserve">Administrator:
3001865 6/24 24 pcs 新仓库3-B11
</s:t>
              </s:r>
            </s:text>
          </item>
        </commentChain>
      </unresolved>
      <resolved/>
    </commentChains>
    <commentChains s:ref="AD251" rgbClr="FF0000">
      <unresolved>
        <commentChain chainId="5b734efb4376b30711706bf75784ab4519bf47e0">
          <item id="ef7f3717c0cb215073235d77e422eefd18ce31bd" isNormal="1">
            <s:text>
              <s:r>
                <s:t xml:space="preserve">Administrator:
6/6上 A款UPC贴纸 24 pcs
6/11上 客供亚马逊外箱贴纸 1 pcs</s:t>
              </s:r>
            </s:text>
          </item>
        </commentChain>
      </unresolved>
      <resolved/>
    </commentChains>
    <commentChains s:ref="AB252" rgbClr="FF0000">
      <unresolved>
        <commentChain chainId="394e4d737a4d357e3452ff6fc881892b884be60a">
          <item id="820ae5167881dd8385ae2fb4edb7d033db14505b" isNormal="1">
            <s:text>
              <s:r>
                <s:t xml:space="preserve">Administrator:
3001836 6/25 550 pcs 华兴三楼B15</s:t>
              </s:r>
            </s:text>
          </item>
        </commentChain>
      </unresolved>
      <resolved/>
    </commentChains>
    <commentChains s:ref="AD252" rgbClr="FF0000">
      <unresolved>
        <commentChain chainId="74837c20982893b65afda8ece902b092d2f5daac">
          <item id="001eb27af95b108d385a95e4cf3720cfc8ca70bd" isNormal="1">
            <s:text>
              <s:r>
                <s:t xml:space="preserve">Administrator:
5/30上 欧洲通用30L WEEE说明书纸 550 pcs
6/5上 EAN条码贴纸 550 pcs
 客人警语贴纸 550 pcs
6/17上 黑白说明书 550 pcs</s:t>
              </s:r>
            </s:text>
          </item>
        </commentChain>
      </unresolved>
      <resolved/>
    </commentChains>
    <commentChains s:ref="AB253" rgbClr="FF0000">
      <unresolved>
        <commentChain chainId="7ba756f50a433950d18e56d2e1208e2eb1c0ba0f">
          <item id="a3de28a0d8af4e0ef2eab257f92b490a02cd9021" isNormal="1">
            <s:text>
              <s:r>
                <s:t xml:space="preserve">Administrator:
3001836 6/25 858 pcs 华兴三楼B14</s:t>
              </s:r>
            </s:text>
          </item>
        </commentChain>
      </unresolved>
      <resolved/>
    </commentChains>
    <commentChains s:ref="AB254" rgbClr="FF0000">
      <unresolved>
        <commentChain chainId="14a3814b0e6b97b2a13798fd14a80d1fdb6f5346">
          <item id="48c526ca686e88ac33963aa7acb9731edc68e6c3" isNormal="1">
            <s:text>
              <s:r>
                <s:t xml:space="preserve">Administrator:
3001819 6/26 6000 pcs 华兴三楼B10</s:t>
              </s:r>
            </s:text>
          </item>
        </commentChain>
      </unresolved>
      <resolved/>
    </commentChains>
    <commentChains s:ref="AD254" rgbClr="FF0000">
      <unresolved>
        <commentChain chainId="3c2d512b65413c4bc6dca8624462487e6675c916">
          <item id="802c96cdf0974cc5794dfc1685c41b224ba27c56" isNormal="1">
            <s:text>
              <s:r>
                <s:t xml:space="preserve">Administrator:
6/10上 价格贴纸 6000 pcs
外箱条码贴纸 500 pcs</s:t>
              </s:r>
            </s:text>
          </item>
        </commentChain>
      </unresolved>
      <resolved/>
    </commentChains>
    <commentChains s:ref="AB255" rgbClr="FF0000">
      <unresolved>
        <commentChain chainId="4b72bd16cca0fd02830eee6ec0599508a30dd204">
          <item id="78e65954f99def74bac4637796e2288faabc48f7" isNormal="1">
            <s:text>
              <s:r>
                <s:t xml:space="preserve">Administrator:
3001819 6/26 1992 pcs 华兴三楼B9
3001776 6/26 24 pcs B9</s:t>
              </s:r>
            </s:text>
          </item>
        </commentChain>
      </unresolved>
      <resolved/>
    </commentChains>
    <commentChains s:ref="AD255" rgbClr="FF0000">
      <unresolved>
        <commentChain chainId="2b8c4743ad585d4fe9ce5caa349d9a35c00f80bb">
          <item id="7d88a84857effb3b05ff13a1227da9ff7005fda7" isNormal="1">
            <s:text>
              <s:r>
                <s:t xml:space="preserve">Administrator:
6/14上 WEEE不带电池走货说明书北欧 2016 pcs
 客人白色Cat.label 2016 pcs</s:t>
              </s:r>
            </s:text>
          </item>
        </commentChain>
      </unresolved>
      <resolved/>
    </commentChains>
    <commentChains s:ref="AB256" rgbClr="FF0000">
      <unresolved>
        <commentChain chainId="4703b0d8a784a557edd603031b56c15db7cf55b7">
          <item id="32dfea05bace7d93138985d514e90c468bd7468b" isNormal="1">
            <s:text>
              <s:r>
                <s:t xml:space="preserve">Administrator:
3001785 6/26 2992 pcs 华兴三楼B7
3001776 6/26 22 pcs B7</s:t>
              </s:r>
            </s:text>
          </item>
        </commentChain>
      </unresolved>
      <resolved/>
    </commentChains>
    <commentChains s:ref="AD256" rgbClr="FF0000">
      <unresolved>
        <commentChain chainId="7edc69a53a9baaa35e9d8b67d3e8c9d31fe36134">
          <item id="b3a1fa9e9bfd41f4bf039f5a4e1afb1340289019" isNormal="1">
            <s:text>
              <s:r>
                <s:t xml:space="preserve">Administrator:
6/14上 WEEE电池通用30L说明书（不带电池） 3014 pcs
 德语callout翻译贴纸 3014 pcs</s:t>
              </s:r>
            </s:text>
          </item>
        </commentChain>
      </unresolved>
      <resolved/>
    </commentChains>
    <commentChains s:ref="AB257" rgbClr="FF0000">
      <unresolved>
        <commentChain chainId="11554467313e0569577d0e41151c0c400e13d162">
          <item id="04bfcbfdc6ef67d809b24736b40ec2547eecb66d" isNormal="1">
            <s:text>
              <s:r>
                <s:t xml:space="preserve">Administrator:
3001776 6/26 4512 pcs</s:t>
              </s:r>
            </s:text>
          </item>
        </commentChain>
      </unresolved>
      <resolved/>
    </commentChains>
    <commentChains s:ref="AD257" rgbClr="FF0000">
      <unresolved>
        <commentChain chainId="c2c559a405c667ad3cde0ab010c8e137116316a0">
          <item id="73890870f0311d68aa0cb24d8395383bbdda2bbb" isNormal="1">
            <s:text>
              <s:r>
                <s:t xml:space="preserve">Administrator:
6/18上 德语callout警语贴纸 4512 pcs
 EAN条码贴纸 4512 pcs
欧洲通用WEEE声明30L说明书(不带电池) 4512 pcs</s:t>
              </s:r>
            </s:text>
          </item>
        </commentChain>
      </unresolved>
      <resolved/>
    </commentChains>
    <commentChains s:ref="AB258" rgbClr="FF0000">
      <unresolved>
        <commentChain chainId="190334fe68c371fe9f15c183434790059ecc60fb">
          <item id="6cbc030ee5d415be15c672103c6ebe3bd369cc20" isNormal="1">
            <s:text>
              <s:r>
                <s:t xml:space="preserve">Administrator:
2001227 5/15 484 pcs 华兴三楼A8
</s:t>
              </s:r>
            </s:text>
          </item>
        </commentChain>
      </unresolved>
      <resolved/>
    </commentChains>
    <commentChains s:ref="AD258" rgbClr="FF0000">
      <unresolved>
        <commentChain chainId="4e0d6fbc19f0a5d7a9c7b30b067431d752554fca">
          <item id="990b64061fdce6b8409eaf2b5d252c3bfd44ac5b" isNormal="1">
            <s:text>
              <s:r>
                <s:t xml:space="preserve">Administrator:
5/7上 进口商贴纸 484 pcs</s:t>
              </s:r>
            </s:text>
          </item>
        </commentChain>
      </unresolved>
      <resolved/>
    </commentChains>
    <commentChains s:ref="AB259" rgbClr="FF0000">
      <unresolved>
        <commentChain chainId="3840361fa5aa882b30cabf3ceb8deaae3aff2aac">
          <item id="a9baac6df26ec563e9d27e970787754e97acab45" isNormal="1">
            <s:text>
              <s:r>
                <s:t xml:space="preserve">Administrator:
3001563 7/2 1410 pcs 莫B四楼B8</s:t>
              </s:r>
            </s:text>
          </item>
        </commentChain>
      </unresolved>
      <resolved/>
    </commentChains>
    <commentChains s:ref="AD259" rgbClr="FF0000">
      <unresolved>
        <commentChain chainId="f46fc7ce813cf1a8fd415cdc585526fc8b6f57be">
          <item id="d88e9edf5f8e322ca319afcda2c11f5b708154bd" isNormal="1">
            <s:text>
              <s:r>
                <s:t xml:space="preserve">Administrator:
6/18上 白色防盗贴纸 1410 pcs
6/20上 KM外箱贴纸 235 pcs</s:t>
              </s:r>
            </s:text>
          </item>
        </commentChain>
      </unresolved>
      <resolved/>
    </commentChains>
    <commentChains s:ref="AB260" rgbClr="FF0000">
      <unresolved>
        <commentChain chainId="ec965f050305f9c2bf8b9504009f1a5584b6ae68">
          <item id="95a337487589d2ecf7ef193e5d54a6dfd2747aa5" isNormal="1">
            <s:text>
              <s:r>
                <s:t xml:space="preserve">Administrator:
3001563 7/2 90 pcs 莫B四楼B8</s:t>
              </s:r>
            </s:text>
          </item>
        </commentChain>
      </unresolved>
      <resolved/>
    </commentChains>
    <commentChains s:ref="AD260" rgbClr="FF0000">
      <unresolved>
        <commentChain chainId="49fdb9777feea29e255a706bbfc3319a766bc377">
          <item id="b5ecd7334f99701e293a684d1d14f14bfca17162" isNormal="1">
            <s:text>
              <s:r>
                <s:t xml:space="preserve">Administrator:
6/18上 白色防盗贴纸 90 pcs
6/20上 KM外箱贴纸 15 pcs</s:t>
              </s:r>
            </s:text>
          </item>
        </commentChain>
      </unresolved>
      <resolved/>
    </commentChains>
    <commentChains s:ref="AB261" rgbClr="FF0000">
      <unresolved>
        <commentChain chainId="4c93991059148ca40ff69ad36bc771c34b6ad74f">
          <item id="26cb1562d715e5b5e2eec1967a50a60c57906969" isNormal="1">
            <s:text>
              <s:r>
                <s:t xml:space="preserve">Administrator:
消耗东莞取消掉2016 pcs
3001776 6/26 840 pcs 兴信</s:t>
              </s:r>
            </s:text>
          </item>
        </commentChain>
      </unresolved>
      <resolved/>
    </commentChains>
    <commentChains s:ref="AD261" rgbClr="FF0000">
      <unresolved>
        <commentChain chainId="c9ba7f0ee237ea358a14f41f72729b5849b4d000">
          <item id="fce1764ed640ffcdb399343166fc96c6f6f48d36" isNormal="1">
            <s:text>
              <s:r>
                <s:t xml:space="preserve">Administrator:
6/14上 UPC贴纸 840 pcs</s:t>
              </s:r>
            </s:text>
          </item>
        </commentChain>
      </unresolved>
      <resolved/>
    </commentChains>
    <commentChains s:ref="AB262" rgbClr="FF0000">
      <unresolved>
        <commentChain chainId="b2c5656521a8058ad6f2c556fcec0015c6ec38f9">
          <item id="802e0de812057c5c1aada683d4333d18d452d87b" isNormal="1">
            <s:text>
              <s:r>
                <s:t xml:space="preserve">Administrator:
3001661 7/9 504 pcs 刘三楼B12</s:t>
              </s:r>
            </s:text>
          </item>
        </commentChain>
      </unresolved>
      <resolved/>
    </commentChains>
    <commentChains s:ref="AD262" rgbClr="FF0000">
      <unresolved>
        <commentChain chainId="6673432aa2ef7af65e6b507ccf90cae8ac68821b">
          <item id="7a78e476c75e9932f1bbfda375fb3a101b66feb6" isNormal="1">
            <s:text>
              <s:r>
                <s:t xml:space="preserve">Administrator:
6/24上 客供Hu贴纸（条码贴）23 pcs
 客供ASN贴纸 23 pcs
6/27上 价标贴纸 506 pcs
6/28上 进口商贴纸 506 pcs
 说明书贴纸 506 pcs
7/5补上说明书218 pcs 湖南发贴纸点数发现少数</s:t>
              </s:r>
            </s:text>
          </item>
        </commentChain>
      </unresolved>
      <resolved/>
    </commentChains>
    <commentChains s:ref="AB263" rgbClr="FF0000">
      <unresolved>
        <commentChain chainId="0b1caf5cf5dac6aacc2079645433aca6e8895d04">
          <item id="d0300b12cb81c999594ac31920011691d2c99843" isNormal="1">
            <s:text>
              <s:r>
                <s:t xml:space="preserve">Administrator:
3001696 7/8 1507 pcs 新仓库三楼B15</s:t>
              </s:r>
            </s:text>
          </item>
        </commentChain>
      </unresolved>
      <resolved/>
    </commentChains>
    <commentChains s:ref="AB264" rgbClr="FF0000">
      <unresolved>
        <commentChain chainId="c7e2ecf918a476c0000f985d19cf9fc45239fe54">
          <item id="620987d22289cd9774ae60903a0a4d8e8e181810" isNormal="1">
            <s:text>
              <s:r>
                <s:t xml:space="preserve">Administrator:
3001696 7/8 616 pcs 新仓库三楼B8</s:t>
              </s:r>
            </s:text>
          </item>
        </commentChain>
      </unresolved>
      <resolved/>
    </commentChains>
    <commentChains s:ref="AD264" rgbClr="FF0000">
      <unresolved>
        <commentChain chainId="1934e41bae99af4caa477a42caf4201d503fd50c">
          <item id="2f7010bb3606db3ed14418da83a2d456716fa079" isNormal="1">
            <s:text>
              <s:r>
                <s:t xml:space="preserve">Administrator:
5/9上 日语贴纸 616 pcs</s:t>
              </s:r>
            </s:text>
          </item>
        </commentChain>
      </unresolved>
      <resolved/>
    </commentChains>
    <commentChains s:ref="AB265" rgbClr="FF0000">
      <unresolved>
        <commentChain chainId="ab2bd440a911f3169731d60ca466750c22cdbb25">
          <item id="61f540d074e77d8b749aac75ebf1deac87935a89" isNormal="1">
            <s:text>
              <s:r>
                <s:t xml:space="preserve">Administrator:
3001696 7/8 6952 pcs
新仓库三楼A25
3001659 7/9 66 pcs A25</s:t>
              </s:r>
            </s:text>
          </item>
        </commentChain>
      </unresolved>
      <resolved/>
    </commentChains>
    <commentChains s:ref="AD265" rgbClr="FF0000">
      <unresolved>
        <commentChain chainId="da70388bcc3f01502a47041e35253697bd823036">
          <item id="99dce1cb20c6b7d8b765e63ceca7c25a664a3e28" isNormal="1">
            <s:text>
              <s:r>
                <s:t xml:space="preserve">Administrator:
6/23上 保证书 7018 pcs
 产品进口商 7018 pcs
 包装进口商贴纸 7018 pcs
 说明书进口商 7018 pcs</s:t>
              </s:r>
            </s:text>
          </item>
        </commentChain>
      </unresolved>
      <resolved/>
    </commentChains>
    <commentChains s:ref="AB266" rgbClr="FF0000">
      <unresolved>
        <commentChain chainId="804a94cfa14e801076a82a369bba095393cac82c">
          <item id="4f7add483c8e94e2cb152524812c5e7c00aa499e" isNormal="1">
            <s:text>
              <s:r>
                <s:t xml:space="preserve">Administrator:
3001630 7/10 3696 pcs 华兴三楼A18</s:t>
              </s:r>
            </s:text>
          </item>
        </commentChain>
      </unresolved>
      <resolved/>
    </commentChains>
    <commentChains s:ref="AD266" rgbClr="FF0000">
      <unresolved>
        <commentChain chainId="0e16170ff0baadaae92b92f62f486ad14924e855">
          <item id="0076410f5c13bdc0c92489bfd00a61a51f75a512" isNormal="1">
            <s:text>
              <s:r>
                <s:t xml:space="preserve">Administrator:
6/23上 进口商贴纸 3696 pcs</s:t>
              </s:r>
            </s:text>
          </item>
        </commentChain>
      </unresolved>
      <resolved/>
    </commentChains>
    <commentChains s:ref="AB267" rgbClr="FF0000">
      <unresolved>
        <commentChain chainId="56e9e72014146ecfc40a1886531c2d94ebd7ac13">
          <item id="7f9fe33841e83662e309d9c2b8943bc65753675e" isNormal="1">
            <s:text>
              <s:r>
                <s:t xml:space="preserve">Administrator:
3001630 7/10 660 pcs 华兴三楼B3</s:t>
              </s:r>
            </s:text>
          </item>
        </commentChain>
      </unresolved>
      <resolved/>
    </commentChains>
    <commentChains s:ref="AD267" rgbClr="FF0000">
      <unresolved>
        <commentChain chainId="5cd970ee6926e3bfd02e50a875ff22fb0457b6f7">
          <item id="34c1bd34b5533620bc079d9adf746a402c0cf89f" isNormal="1">
            <s:text>
              <s:r>
                <s:t xml:space="preserve">Administrator:
6/23上 进口商贴纸 660 pcs</s:t>
              </s:r>
            </s:text>
          </item>
        </commentChain>
      </unresolved>
      <resolved/>
    </commentChains>
    <commentChains s:ref="AB268" rgbClr="FF0000">
      <unresolved>
        <commentChain chainId="bb2b82f28dc5a1b6f0ac30b0015d7ad121b51c9b">
          <item id="e4e98ec4ee961f15e15b4dd2a4965e75392077d3" isNormal="1">
            <s:text>
              <s:r>
                <s:t xml:space="preserve">Administrator:
3001630 7/10 1518 pcs 华兴三楼A27</s:t>
              </s:r>
            </s:text>
          </item>
        </commentChain>
      </unresolved>
      <resolved/>
    </commentChains>
    <commentChains s:ref="AD268" rgbClr="FF0000">
      <unresolved>
        <commentChain chainId="c6ae458f290826b97d2447f2b6fb67da9aba5a5f">
          <item id="e7fa82431e22774e239263e792f542a35ab410a9" isNormal="1">
            <s:text>
              <s:r>
                <s:t xml:space="preserve">Administrator:
7/5上 SSCC外箱贴纸 69 pcs</s:t>
              </s:r>
            </s:text>
          </item>
        </commentChain>
      </unresolved>
      <resolved/>
    </commentChains>
    <commentChains s:ref="AB269" rgbClr="FF0000">
      <unresolved>
        <commentChain chainId="b8f32a5d26f13085cf7dc8305825cfbee3ab43e6">
          <item id="55966f2f708e673b0bdfb8c8c8c921c0db3a6d4d" isNormal="1">
            <s:text>
              <s:r>
                <s:t xml:space="preserve">Administrator:
3001405 7/16 1008 pcs 华兴三楼B13</s:t>
              </s:r>
            </s:text>
          </item>
        </commentChain>
      </unresolved>
      <resolved/>
    </commentChains>
    <commentChains s:ref="AD269" rgbClr="FF0000">
      <unresolved>
        <commentChain chainId="d0d2f995df68f8d5f51357a1be805fb14b721ad4">
          <item id="67a3924aa68968e077863ffbb4a8dfa928b804fa" isNormal="1">
            <s:text>
              <s:r>
                <s:t xml:space="preserve">Administrator:
7/11上 进口商贴纸 1008 pcs</s:t>
              </s:r>
            </s:text>
          </item>
        </commentChain>
      </unresolved>
      <resolved/>
    </commentChains>
    <commentChains s:ref="AB270" rgbClr="FF0000">
      <unresolved>
        <commentChain chainId="cf76602b5b133ab82ffcc287bce9dfeac0ddd110">
          <item id="5af0710cc4ac48dbc4837d4fc77eedf4ff84c98d" isNormal="1">
            <s:text>
              <s:r>
                <s:t xml:space="preserve">Administrator:
3001437 7/16 10010 pcs 唐金金一楼A3</s:t>
              </s:r>
            </s:text>
          </item>
        </commentChain>
      </unresolved>
      <resolved/>
    </commentChains>
    <commentChains s:ref="AD270" rgbClr="FF0000">
      <unresolved>
        <commentChain chainId="24b3442a81e8f05f46431d3b7ce7251b780d189e">
          <item id="3aab04e1565d63615e9d9238907e6ccc2f934acc" isNormal="1">
            <s:text>
              <s:r>
                <s:t xml:space="preserve">Administrator:
7/1上 进口商贴纸 10010 pcs</s:t>
              </s:r>
            </s:text>
          </item>
        </commentChain>
      </unresolved>
      <resolved/>
    </commentChains>
    <commentChains s:ref="AB271" rgbClr="FF0000">
      <unresolved>
        <commentChain chainId="6695785f55e8c047306e47465b85213c9641eb4a">
          <item id="b5427218700d36a86829a4101ad8aed8fe13c209" isNormal="1">
            <s:text>
              <s:r>
                <s:t xml:space="preserve">Administrator:
3001381 7/17 3969 pcs  B12     
3002602 7/19 28 pcs 华兴三楼B12</s:t>
              </s:r>
            </s:text>
          </item>
        </commentChain>
      </unresolved>
      <resolved/>
    </commentChains>
    <commentChains s:ref="AD271" rgbClr="FF0000">
      <unresolved>
        <commentChain chainId="bed0d0d94c181878b4ad5968f3c600a57e70748b">
          <item id="d3b097795500eb6e942da7349a9f1312382c2b79" isNormal="1">
            <s:text>
              <s:r>
                <s:t xml:space="preserve">Administrator:
5/30上 欧洲通用30L WEEE说明书纸 3997 pcs</s:t>
              </s:r>
            </s:text>
          </item>
        </commentChain>
      </unresolved>
      <resolved/>
    </commentChains>
    <commentChains s:ref="AB272" rgbClr="FF0000">
      <unresolved>
        <commentChain chainId="5041d609324622e6beb908741c6629f876387a68">
          <item id="6374aab36e61356916d3848fb9ab75630a3c5176" isNormal="1">
            <s:text>
              <s:r>
                <s:t xml:space="preserve">Administrator:
3002615 7/19 2717 pcs  B15    
3002622 7/19 33 pcs 华兴三楼B15</s:t>
              </s:r>
            </s:text>
          </item>
        </commentChain>
      </unresolved>
      <resolved/>
    </commentChains>
    <commentChains s:ref="AD272" rgbClr="FF0000">
      <unresolved>
        <commentChain chainId="e2f9cea98deaca49603e0b83b93a052e66659c0a">
          <item id="4526d2dce4e08208ee7ed82965a663241632ca16" isNormal="1">
            <s:text>
              <s:r>
                <s:t xml:space="preserve">Administrator:
7/7上 logo贴纸 2750 pcs
 1-说明书贴纸 2750 pcs
 2-说明书贴纸 2750 pcs
 正面PDQ贴纸 2750 pcs
 侧面PDQ贴纸 2570 pcs</s:t>
              </s:r>
            </s:text>
          </item>
        </commentChain>
      </unresolved>
      <resolved/>
    </commentChains>
    <commentChains s:ref="AB273" rgbClr="FF0000">
      <unresolved>
        <commentChain chainId="0a7879412007e122cd486c5cd4b555210f91d7f2">
          <item id="ce10b09d9f1c2194f5ccf915e32780927add1a83" isNormal="1">
            <s:text>
              <s:r>
                <s:t xml:space="preserve">Administrator:
3002615 7/19 2002 pcs 华兴三楼B4
</s:t>
              </s:r>
            </s:text>
          </item>
        </commentChain>
      </unresolved>
      <resolved/>
    </commentChains>
    <commentChains s:ref="AD273" rgbClr="FF0000">
      <unresolved>
        <commentChain chainId="095c3f6a4af65007758a319f5021b4e2e4a1c7b8">
          <item id="9d5f419babf8986ce37d5543cb5823f1d7daea38" isNormal="1">
            <s:text>
              <s:r>
                <s:t xml:space="preserve">Administrator:
7/9上 logo贴纸 2002 pcs
 1-说明书贴纸 2002 pcs
 2-说明书贴纸 2002 pcs
 正面PDQ贴纸 2002 pcs
 侧面PDQ贴纸 2002 pcs</s:t>
              </s:r>
            </s:text>
          </item>
        </commentChain>
      </unresolved>
      <resolved/>
    </commentChains>
    <commentChains s:ref="AB274" rgbClr="FF0000">
      <unresolved>
        <commentChain chainId="67a5a2fbc7d8a810c82d6df795b54a6841f266f6">
          <item id="0339654ea848c7ef1c43b310d8c3d25bd3c2331c" isNormal="1">
            <s:text>
              <s:r>
                <s:t xml:space="preserve">Administrator:
3002602 7/19 506 pcs 华兴三楼B8</s:t>
              </s:r>
            </s:text>
          </item>
        </commentChain>
      </unresolved>
      <resolved/>
    </commentChains>
    <commentChains s:ref="AD274" rgbClr="FF0000">
      <unresolved>
        <commentChain chainId="0356ceff3d2a3b32d9f481260a338dbbfd673b42">
          <item id="bd69c78fa06b8168be1aa0c0a74f315ee9e8e82d" isNormal="1">
            <s:text>
              <s:r>
                <s:t xml:space="preserve">Administrator:
6/28上 进口商贴纸 506 pcs</s:t>
              </s:r>
            </s:text>
          </item>
        </commentChain>
      </unresolved>
      <resolved/>
    </commentChains>
    <commentChains s:ref="AB275" rgbClr="FF0000">
      <unresolved>
        <commentChain chainId="5056422c8b449d56f67a671ec6b97e081404d94f">
          <item id="3dd91e306a8aeb7e7e946720d233ee211a5cc81e" isNormal="1">
            <s:text>
              <s:r>
                <s:t xml:space="preserve">Administrator:
3001414 7/17 5472 pcs 华兴一楼B1      
3001394 7/17 3488 pcs B1</s:t>
              </s:r>
            </s:text>
          </item>
        </commentChain>
      </unresolved>
      <resolved/>
    </commentChains>
    <commentChains s:ref="AD275" rgbClr="FF0000">
      <unresolved>
        <commentChain chainId="46f6c1064e011296ea08647fae1ee9351f042d06">
          <item id="59f7bcf7193625a2ec12872bb5f04bf84f8cd520" isNormal="1">
            <s:text>
              <s:r>
                <s:t xml:space="preserve">Administrator:
6/27上 WEEE不带电池走货欧洲30语通用黑白说明书 8960 pcs</s:t>
              </s:r>
            </s:text>
          </item>
        </commentChain>
      </unresolved>
      <resolved/>
    </commentChains>
    <commentChains s:ref="AB276" rgbClr="FF0000">
      <unresolved>
        <commentChain chainId="ceac314ab309034d7ab284ff339ce04ab653e612">
          <item id="7e87da1e4a641089281d6d8425ee151b03665119" isNormal="1">
            <s:text>
              <s:r>
                <s:t xml:space="preserve">Administrator:
3002541 7/22 3000 pcs 华兴三楼A22</s:t>
              </s:r>
            </s:text>
          </item>
        </commentChain>
      </unresolved>
      <resolved/>
    </commentChains>
    <commentChains s:ref="AD276" rgbClr="FF0000">
      <unresolved>
        <commentChain chainId="79ff6e5ab4063cc227b41440a3d3f2846a38a02b">
          <item id="3130649bf90a673dd2f5c263b83b61553ac744f3" isNormal="1">
            <s:text>
              <s:r>
                <s:t xml:space="preserve">Administrator:
7/1上 德语callout警语贴纸 3000 pcs
 EAN条码贴纸 3000 pcs
 欧洲通用WEEE声明30L说明书（不带电池）
7/9上 地址产品贴纸 3000 pcs 贴纸尺寸订大，需重新补订
7/11上 地址贴纸 3000 pcs
7/23号补上 欧洲通用WEEE声明30L说明书 3000 pcs</s:t>
              </s:r>
            </s:text>
          </item>
        </commentChain>
      </unresolved>
      <resolved/>
    </commentChains>
    <commentChains s:ref="AB277" rgbClr="FF0000">
      <unresolved>
        <commentChain chainId="71c3a5c0bd56067a1c6303e12665df7bd9af1879">
          <item id="fe280727a1282c0b7de697c68c402912ef932e2e" isNormal="1">
            <s:text>
              <s:r>
                <s:t xml:space="preserve">Administrator:
3002515 7/23 2496 pcs 莫B四楼A6</s:t>
              </s:r>
            </s:text>
          </item>
        </commentChain>
      </unresolved>
      <resolved/>
    </commentChains>
    <commentChains s:ref="AD277" rgbClr="FF0000">
      <unresolved>
        <commentChain chainId="01d14a820a0b5ba99002ef383a177d337d628468">
          <item id="18b7a7d5f3fe77afc99d3e6c68d58e423d6ff46e" isNormal="1">
            <s:text>
              <s:r>
                <s:t xml:space="preserve">Administrator:
7/1上 D款 UPC贴纸 2496 pcs</s:t>
              </s:r>
            </s:text>
          </item>
        </commentChain>
      </unresolved>
      <resolved/>
    </commentChains>
    <commentChains s:ref="AB278" rgbClr="FF0000">
      <unresolved>
        <commentChain chainId="481e8236eb1c191bb7c609b6117d679b17c8f67a">
          <item id="e58b818dbbc18b55512cb754e44df18ea8a39c5d" isNormal="1">
            <s:text>
              <s:r>
                <s:t xml:space="preserve">Administrator:
3002515 7/23 2496 pcs 莫B四楼A6</s:t>
              </s:r>
            </s:text>
          </item>
        </commentChain>
      </unresolved>
      <resolved/>
    </commentChains>
    <commentChains s:ref="AD278" rgbClr="FF0000">
      <unresolved>
        <commentChain chainId="de4f0cd804f607d891741e1c7ba0a6cd0c87e20d">
          <item id="0ea9ef54a24606e8fd84dc0768e6674cf4fa770f" isNormal="1">
            <s:text>
              <s:r>
                <s:t xml:space="preserve">Administrator:
7/1上 E款 UPC贴纸 2496 pcs</s:t>
              </s:r>
            </s:text>
          </item>
        </commentChain>
      </unresolved>
      <resolved/>
    </commentChains>
    <commentChains s:ref="AB279" rgbClr="FF0000">
      <unresolved>
        <commentChain chainId="a14891c819aa645c4376d560b793d4a98e1313bc">
          <item id="c691a531862d3a7bd2ef1f68c8fcf34bce5d526a" isNormal="1">
            <s:text>
              <s:r>
                <s:t xml:space="preserve">Administrator:
3002515 7/23 2472 pcs 莫B四楼A6
3002476 7/26 24 pcs 五车间</s:t>
              </s:r>
            </s:text>
          </item>
        </commentChain>
      </unresolved>
      <resolved/>
    </commentChains>
    <commentChains s:ref="AD279" rgbClr="FF0000">
      <unresolved>
        <commentChain chainId="48ee97adbdea6e6c524208c81b80137629036df6">
          <item id="66cb8024eebff02de8daf6fc517b4ebf1bf2553b" isNormal="1">
            <s:text>
              <s:r>
                <s:t xml:space="preserve">Administrator:
7/1上 A款 UPC贴纸 2496 pcs</s:t>
              </s:r>
            </s:text>
          </item>
        </commentChain>
      </unresolved>
      <resolved/>
    </commentChains>
    <commentChains s:ref="AB280" rgbClr="FF0000">
      <unresolved>
        <commentChain chainId="f97d9e831d8bacdafb89f391bf5183d7f644cd3b">
          <item id="d0e0f610982597f77dc865279c1186b6b0c65fe8" isNormal="1">
            <s:text>
              <s:r>
                <s:t xml:space="preserve">Administrator:
3002532 7/23 24 pcs 莫B四楼C4
</s:t>
              </s:r>
            </s:text>
          </item>
        </commentChain>
      </unresolved>
      <resolved/>
    </commentChains>
    <commentChains s:ref="AD280" rgbClr="FF0000">
      <unresolved>
        <commentChain chainId="6f7f437d96892f5ec31a263d96e45763cb7e24c6">
          <item id="d9f542a31938b75faae3c36d5b28650ec4a0907a" isNormal="1">
            <s:text>
              <s:r>
                <s:t xml:space="preserve">Administrator:
6/28上 E款 UPC贴纸 24 pcs
7/12上 E款 客供亚马逊外箱贴纸 1 pcs</s:t>
              </s:r>
            </s:text>
          </item>
        </commentChain>
      </unresolved>
      <resolved/>
    </commentChains>
    <commentChains s:ref="AB281" rgbClr="FF0000">
      <unresolved>
        <commentChain chainId="2f030d7fed78ea7549cbbbea22bcc49532ef7459">
          <item id="482846f30fdc95f49955227575149be73f6f0da5" isNormal="1">
            <s:text>
              <s:r>
                <s:t xml:space="preserve">Administrator:
3002532 7/23 24 pcs</s:t>
              </s:r>
            </s:text>
          </item>
        </commentChain>
      </unresolved>
      <resolved/>
    </commentChains>
    <commentChains s:ref="AD281" rgbClr="FF0000">
      <unresolved>
        <commentChain chainId="0be61e4146ef74ee84cdb12aaa2ed153763ec426">
          <item id="555ecc2bb2c624d6c42a4f40ee7ba12759a5f607" isNormal="1">
            <s:text>
              <s:r>
                <s:t xml:space="preserve">Administrator:
6/28上 E款 UPC贴纸 24 pcs
7/12上 E款 客供亚马逊外箱贴纸 1 pcs</s:t>
              </s:r>
            </s:text>
          </item>
        </commentChain>
      </unresolved>
      <resolved/>
    </commentChains>
    <commentChains s:ref="AB282" rgbClr="FF0000">
      <unresolved>
        <commentChain chainId="c88263f216b1953b4e4cd1d69cb6bf7839be3a70">
          <item id="b88863a8ba27aeada52dc3058434328563b066a0" isNormal="1">
            <s:text>
              <s:r>
                <s:t xml:space="preserve">Administrator:
3002532 7/23 24 pcs</s:t>
              </s:r>
            </s:text>
          </item>
        </commentChain>
      </unresolved>
      <resolved/>
    </commentChains>
    <commentChains s:ref="AD282" rgbClr="FF0000">
      <unresolved>
        <commentChain chainId="2329fb79fbeb6d1570ddde1f2232d229ae60ebd0">
          <item id="4753def123d20d047de884a7bb10c119923fa763" isNormal="1">
            <s:text>
              <s:r>
                <s:t xml:space="preserve">Administrator:
6/28上 E款 UPC贴纸 24 pcs
7/12上 E款 客供亚马逊外箱贴纸 1 pcs</s:t>
              </s:r>
            </s:text>
          </item>
        </commentChain>
      </unresolved>
      <resolved/>
    </commentChains>
    <commentChains s:ref="AB283" rgbClr="FF0000">
      <unresolved>
        <commentChain chainId="306d876df5b618fb8c68463ccad1746bd7dd6829">
          <item id="1a17b36ce02f789174b10d1d566adc45a3331b7a" isNormal="1">
            <s:text>
              <s:r>
                <s:t xml:space="preserve">Administrator:
3002532 7/23 24 pcs</s:t>
              </s:r>
            </s:text>
          </item>
        </commentChain>
      </unresolved>
      <resolved/>
    </commentChains>
    <commentChains s:ref="AD283" rgbClr="FF0000">
      <unresolved>
        <commentChain chainId="6f3836d73be78775c03ad502889976aef6e91c9b">
          <item id="614a5dd3b67d5296c4fae104a5406094407a952f" isNormal="1">
            <s:text>
              <s:r>
                <s:t xml:space="preserve">Administrator:
6/28上 E款 UPC贴纸 24 pcs
7/12上 E款 客供亚马逊外箱贴纸 1 pcs</s:t>
              </s:r>
            </s:text>
          </item>
        </commentChain>
      </unresolved>
      <resolved/>
    </commentChains>
    <commentChains s:ref="AB284" rgbClr="FF0000">
      <unresolved>
        <commentChain chainId="e5859ad43a2e93dbe1070ee402487dedb07069c7">
          <item id="0c6d7b3b8a17bf4c48b88848031c272381ffe9b1" isNormal="1">
            <s:text>
              <s:r>
                <s:t xml:space="preserve">Administrator:
3002532 7/23 24 pcs</s:t>
              </s:r>
            </s:text>
          </item>
        </commentChain>
      </unresolved>
      <resolved/>
    </commentChains>
    <commentChains s:ref="AD284" rgbClr="FF0000">
      <unresolved>
        <commentChain chainId="4feb44518f7cfc82ab9243b47a452b23f637acb9">
          <item id="650ea609fdec3839deb918261252046e9435b0f7" isNormal="1">
            <s:text>
              <s:r>
                <s:t xml:space="preserve">Administrator:
6/28上 E款 UPC贴纸 24 pcs
7/12上 E款 客供亚马逊外箱贴纸 1 pcs</s:t>
              </s:r>
            </s:text>
          </item>
        </commentChain>
      </unresolved>
      <resolved/>
    </commentChains>
    <commentChains s:ref="AB285" rgbClr="FF0000">
      <unresolved>
        <commentChain chainId="92365cf612c773d46ee08a1a9cbb5ac7ab170a2e">
          <item id="4ab721a1fde87d46dc876300cb13a0ef34975b42" isNormal="1">
            <s:text>
              <s:r>
                <s:t xml:space="preserve">Administrator:
3002509 7/23 48 pcs</s:t>
              </s:r>
            </s:text>
          </item>
        </commentChain>
      </unresolved>
      <resolved/>
    </commentChains>
    <commentChains s:ref="AD285" rgbClr="FF0000">
      <unresolved>
        <commentChain chainId="dc00ff8bd1aaab8d81ea6a892842660b5253e703">
          <item id="cb87bc667f2b3deaa5ee2348b1dd6d7aa7d4c370" isNormal="1">
            <s:text>
              <s:r>
                <s:t xml:space="preserve">Administrator:
6/28上 B款 UPC贴纸 48 pcs
7/12上 B款 客供亚马逊外箱贴纸 2 pcs</s:t>
              </s:r>
            </s:text>
          </item>
        </commentChain>
      </unresolved>
      <resolved/>
    </commentChains>
    <commentChains s:ref="AB286" rgbClr="FF0000">
      <unresolved>
        <commentChain chainId="496268476a78b3ea52f883f2235dffa39e6ef031">
          <item id="b240b1021e48d2240ce53823b8622e599dd6d54a" isNormal="1">
            <s:text>
              <s:r>
                <s:t xml:space="preserve">Administrator:
3002509 7/23 72 pcs</s:t>
              </s:r>
            </s:text>
          </item>
        </commentChain>
      </unresolved>
      <resolved/>
    </commentChains>
    <commentChains s:ref="AD286" rgbClr="FF0000">
      <unresolved>
        <commentChain chainId="c70e82013fc551ddd6ed55bce2d22687e89896ff">
          <item id="df57c91249d0d946bd900955507c311eb2b6b926" isNormal="1">
            <s:text>
              <s:r>
                <s:t xml:space="preserve">Administrator:
6/28上 B款 UPC贴纸 72 pcs
7/12上 B款 客供亚马逊外箱贴纸 3 pcs</s:t>
              </s:r>
            </s:text>
          </item>
        </commentChain>
      </unresolved>
      <resolved/>
    </commentChains>
    <commentChains s:ref="AB287" rgbClr="FF0000">
      <unresolved>
        <commentChain chainId="e4f1fed2cc5e4f37a785334ef332b1335764840d">
          <item id="bfced204d737c98592a646a1d2c897c9cf70f5ea" isNormal="1">
            <s:text>
              <s:r>
                <s:t xml:space="preserve">Administrator:
3002509 7/23 72 pcs 莫B四楼C4
</s:t>
              </s:r>
            </s:text>
          </item>
        </commentChain>
      </unresolved>
      <resolved/>
    </commentChains>
    <commentChains s:ref="AD287" rgbClr="FF0000">
      <unresolved>
        <commentChain chainId="8a40db99b69d9147f30bcb864ce18139bd4ed6e5">
          <item id="c5cc871e09ca5f9d1b57f0b17891e3ae23133671" isNormal="1">
            <s:text>
              <s:r>
                <s:t xml:space="preserve">Administrator:
6/28上 B款 UPC贴纸 72 pcs
7/12上 B款 客供亚马逊外箱贴纸 3 pcs</s:t>
              </s:r>
            </s:text>
          </item>
        </commentChain>
      </unresolved>
      <resolved/>
    </commentChains>
    <commentChains s:ref="AB288" rgbClr="FF0000">
      <unresolved>
        <commentChain chainId="d33e51ca572c5a41ba659026617b54d1b0553d13">
          <item id="c4e4ab76e57995226c3f850fa776203a3bd3e125" isNormal="1">
            <s:text>
              <s:r>
                <s:t xml:space="preserve">Administrator:
3002509 7/23 48 pcs</s:t>
              </s:r>
            </s:text>
          </item>
        </commentChain>
      </unresolved>
      <resolved/>
    </commentChains>
    <commentChains s:ref="AD288" rgbClr="FF0000">
      <unresolved>
        <commentChain chainId="c061f30d2d28477dc7ae28c9980e0e325e18a5c5">
          <item id="8326e2be34daebd4d13aea3ad1084a67c6fd4c1d" isNormal="1">
            <s:text>
              <s:r>
                <s:t xml:space="preserve">Administrator:
6/28上 B款 UPC贴纸 48 pcs
7/12上 B款 客供亚马逊外箱贴纸 2 pcs</s:t>
              </s:r>
            </s:text>
          </item>
        </commentChain>
      </unresolved>
      <resolved/>
    </commentChains>
    <commentChains s:ref="AB289" rgbClr="FF0000">
      <unresolved>
        <commentChain chainId="04a07f4b391eb5c8a9f4d149d693a2e81af2dd18">
          <item id="556019e4aecc771d2e16b3b8e2991dc654dd3ed2" isNormal="1">
            <s:text>
              <s:r>
                <s:t xml:space="preserve">Administrator:
3002509 7/23 48 pcs</s:t>
              </s:r>
            </s:text>
          </item>
        </commentChain>
      </unresolved>
      <resolved/>
    </commentChains>
    <commentChains s:ref="AD289" rgbClr="FF0000">
      <unresolved>
        <commentChain chainId="64171dce8d07d948d403a86ec3f0d4ff9d4f36ec">
          <item id="51b357ca48eefaca1079f1ca12ba0cebfe56cda4" isNormal="1">
            <s:text>
              <s:r>
                <s:t xml:space="preserve">Administrator:
6/28上 B款 UPC贴纸 48 pcs
7/12上 B款 客供亚马逊外箱贴纸 2 pcs</s:t>
              </s:r>
            </s:text>
          </item>
        </commentChain>
      </unresolved>
      <resolved/>
    </commentChains>
    <commentChains s:ref="AB290" rgbClr="FF0000">
      <unresolved>
        <commentChain chainId="f77ac03462ac50c3cb1c14b1c5007a5f31106a8a">
          <item id="1280d27850fad1f1cc08a99581a5ebaf6c16e5e9" isNormal="1">
            <s:text>
              <s:r>
                <s:t xml:space="preserve">Administrator:
3002509 7/23 24 pcs</s:t>
              </s:r>
            </s:text>
          </item>
        </commentChain>
      </unresolved>
      <resolved/>
    </commentChains>
    <commentChains s:ref="AD290" rgbClr="FF0000">
      <unresolved>
        <commentChain chainId="f9dde6fb6d0d286a03bc1c3d528eec4878e0ccbe">
          <item id="536847db30a4ec3da235ee246998d69c6d420e5f" isNormal="1">
            <s:text>
              <s:r>
                <s:t xml:space="preserve">Administrator:
6/28上 B款 UPC贴纸 24 pcs
7/12上 B款 客供亚马逊外箱贴纸 1 pcs</s:t>
              </s:r>
            </s:text>
          </item>
        </commentChain>
      </unresolved>
      <resolved/>
    </commentChains>
    <commentChains s:ref="AB291" rgbClr="FF0000">
      <unresolved>
        <commentChain chainId="37334b69a7e72229f799c729fad0f7e1808b66ba">
          <item id="59c8a5e1677121c12e26b3e6ec9aeb0f5d50d56b" isNormal="1">
            <s:text>
              <s:r>
                <s:t xml:space="preserve">Administrator:
3002509 7/23 48 pcs</s:t>
              </s:r>
            </s:text>
          </item>
        </commentChain>
      </unresolved>
      <resolved/>
    </commentChains>
    <commentChains s:ref="AD291" rgbClr="FF0000">
      <unresolved>
        <commentChain chainId="2437435aae3267e7debb87d051623cf7a6be3b1e">
          <item id="cb703cae56839e6604f74f81cdf833d904aacc42" isNormal="1">
            <s:text>
              <s:r>
                <s:t xml:space="preserve">Administrator:
6/28上 B款 UPC贴纸 48 pcs
7/12上 B款 客供亚马逊外箱贴纸 2 pcs</s:t>
              </s:r>
            </s:text>
          </item>
        </commentChain>
      </unresolved>
      <resolved/>
    </commentChains>
    <commentChains s:ref="AB292" rgbClr="FF0000">
      <unresolved>
        <commentChain chainId="4684633231cc1829f5320915f59d5778d68cb8c2">
          <item id="8f60d69fcbc881d9940a09d57805d1a327bca986" isNormal="1">
            <s:text>
              <s:r>
                <s:t xml:space="preserve">Administrator:
3002532 7/23 48 pcs</s:t>
              </s:r>
            </s:text>
          </item>
        </commentChain>
      </unresolved>
      <resolved/>
    </commentChains>
    <commentChains s:ref="AD292" rgbClr="FF0000">
      <unresolved>
        <commentChain chainId="856e96aba6ac4f5feb107fb0cb684d80d335bb57">
          <item id="b5cc4cbbdb7aa2898c86f3cfceb8d63afe18302a" isNormal="1">
            <s:text>
              <s:r>
                <s:t xml:space="preserve">Administrator:
6/28上 E款 UPC贴纸 48 pcs
7/12上 E款 客供亚马逊外箱贴纸 2 pcs</s:t>
              </s:r>
            </s:text>
          </item>
        </commentChain>
      </unresolved>
      <resolved/>
    </commentChains>
    <commentChains s:ref="AB293" rgbClr="FF0000">
      <unresolved>
        <commentChain chainId="272f0d9484601adac1262763a2d5f498c309ae0c">
          <item id="c84fc2496835a3a406cff03faf1fe1abab010649" isNormal="1">
            <s:text>
              <s:r>
                <s:t xml:space="preserve">Administrator:
3002532 7/23 24 pcs</s:t>
              </s:r>
            </s:text>
          </item>
        </commentChain>
      </unresolved>
      <resolved/>
    </commentChains>
    <commentChains s:ref="AD293" rgbClr="FF0000">
      <unresolved>
        <commentChain chainId="d342b116910a1c23aeed9f9b4ebf971ad3de8fd2">
          <item id="5fd5df48b285f3407c7d0bb14898beaf8bc2b0e0" isNormal="1">
            <s:text>
              <s:r>
                <s:t xml:space="preserve">Administrator:
6/28上 E款 UPC贴纸 24 pcs
7/12上 E款 客供亚马逊外箱贴纸 1 pcs
</s:t>
              </s:r>
            </s:text>
          </item>
        </commentChain>
      </unresolved>
      <resolved/>
    </commentChains>
    <commentChains s:ref="AB294" rgbClr="FF0000">
      <unresolved>
        <commentChain chainId="2141beb25134e5b0af8700def037a51d0070f8a9">
          <item id="393ee4578f23e170be98448a216d52c9ef11a1de" isNormal="1">
            <s:text>
              <s:r>
                <s:t xml:space="preserve">Administrator:
3002532 7/23 24 pcs</s:t>
              </s:r>
            </s:text>
          </item>
        </commentChain>
      </unresolved>
      <resolved/>
    </commentChains>
    <commentChains s:ref="AD294" rgbClr="FF0000">
      <unresolved>
        <commentChain chainId="f13c3683c07c85e2c59d57d6726e13001f4629d6">
          <item id="b891f947b7a92a2c0ba9d3fc1c69546f61843895" isNormal="1">
            <s:text>
              <s:r>
                <s:t xml:space="preserve">Administrator:
6/28上 E款 UPC贴纸 24 pcs
7/12上 E款 客供亚马逊外箱贴纸 1 pcs
</s:t>
              </s:r>
            </s:text>
          </item>
        </commentChain>
      </unresolved>
      <resolved/>
    </commentChains>
    <commentChains s:ref="AB295" rgbClr="FF0000">
      <unresolved>
        <commentChain chainId="df48fef778a58579c68f429b63af0116f25cdfc1">
          <item id="87b8ff807d5649b1537605ebb4e3b5a75d4054ad" isNormal="1">
            <s:text>
              <s:r>
                <s:t xml:space="preserve">Administrator:
3002532 7/23 24 pcs</s:t>
              </s:r>
            </s:text>
          </item>
        </commentChain>
      </unresolved>
      <resolved/>
    </commentChains>
    <commentChains s:ref="AD295" rgbClr="FF0000">
      <unresolved>
        <commentChain chainId="a8d46d87e5230fc5634ff3aecc27b438f46df56c">
          <item id="90f905d485b67d1bed661ef7c25ca34caa34efba" isNormal="1">
            <s:text>
              <s:r>
                <s:t xml:space="preserve">Administrator:
6/28上 E款 UPC贴纸 24 pcs
7/12上 E款 客供亚马逊外箱贴纸 1 pcs
</s:t>
              </s:r>
            </s:text>
          </item>
        </commentChain>
      </unresolved>
      <resolved/>
    </commentChains>
    <commentChains s:ref="AB296" rgbClr="FF0000">
      <unresolved>
        <commentChain chainId="9667d5ad60f0921062f034f4587ec89ff4ac5145">
          <item id="b5faba6a73c4809978eaf77afa0a0ca00a7f1df2" isNormal="1">
            <s:text>
              <s:r>
                <s:t xml:space="preserve">Administrator:
3002532 7/23 24 pcs</s:t>
              </s:r>
            </s:text>
          </item>
        </commentChain>
      </unresolved>
      <resolved/>
    </commentChains>
    <commentChains s:ref="AD296" rgbClr="FF0000">
      <unresolved>
        <commentChain chainId="06e689750639910c5dd8b963e9bf2bdb410068b8">
          <item id="c0933d2769a0bcd7b0f10bc9367f7a466c35c66e" isNormal="1">
            <s:text>
              <s:r>
                <s:t xml:space="preserve">Administrator:
6/28上 E款 UPC贴纸 24 pcs
7/12上 E款 客供亚马逊外箱贴纸 1 pcs
</s:t>
              </s:r>
            </s:text>
          </item>
        </commentChain>
      </unresolved>
      <resolved/>
    </commentChains>
    <commentChains s:ref="AB297" rgbClr="FF0000">
      <unresolved>
        <commentChain chainId="d30005d0e9d7c7846b4584fcbc678f8af9aae1e7">
          <item id="aff643d550f1c6f8e4b63b380f6403a77cdabed5" isNormal="1">
            <s:text>
              <s:r>
                <s:t xml:space="preserve">Administrator:
3002532 7/23 24 pcs</s:t>
              </s:r>
            </s:text>
          </item>
        </commentChain>
      </unresolved>
      <resolved/>
    </commentChains>
    <commentChains s:ref="AD297" rgbClr="FF0000">
      <unresolved>
        <commentChain chainId="84d1c2eb7fc96d0a8352af10575e2c719e251a37">
          <item id="94a4d042ae09a81acfa2deadeab90ba0463c9712" isNormal="1">
            <s:text>
              <s:r>
                <s:t xml:space="preserve">Administrator:
6/28上 E款 UPC贴纸 24 pcs
7/12上 E款 客供亚马逊外箱贴纸 1 pcs
</s:t>
              </s:r>
            </s:text>
          </item>
        </commentChain>
      </unresolved>
      <resolved/>
    </commentChains>
    <commentChains s:ref="AB298" rgbClr="FF0000">
      <unresolved>
        <commentChain chainId="88251d3118891ad8461a89db107506dc09318e5c">
          <item id="64e1a2cd6b3b7679e93fc3eced6456fc7e5dd781" isNormal="1">
            <s:text>
              <s:r>
                <s:t xml:space="preserve">Administrator:
3002533 7/23 24 pcs</s:t>
              </s:r>
            </s:text>
          </item>
        </commentChain>
      </unresolved>
      <resolved/>
    </commentChains>
    <commentChains s:ref="AD298" rgbClr="FF0000">
      <unresolved>
        <commentChain chainId="489ca16bf4a357e30ee63fd301f9ffecdf8de48f">
          <item id="c48fb2008b9719da22d16eaf0058bb202b4e2f61" isNormal="1">
            <s:text>
              <s:r>
                <s:t xml:space="preserve">Administrator:
6/28上 E款 UPC贴纸 24 pcs
7/12上 E款 客供亚马逊外箱贴纸 1 pcs
</s:t>
              </s:r>
            </s:text>
          </item>
        </commentChain>
      </unresolved>
      <resolved/>
    </commentChains>
    <commentChains s:ref="AB299" rgbClr="FF0000">
      <unresolved>
        <commentChain chainId="00299d55c89da3846889f53694284eac83522812">
          <item id="457708f12e2eaa5f244225ba27f1025493c7a06a" isNormal="1">
            <s:text>
              <s:r>
                <s:t xml:space="preserve">Administrator:
3002533 7/23 24 pcs</s:t>
              </s:r>
            </s:text>
          </item>
        </commentChain>
      </unresolved>
      <resolved/>
    </commentChains>
    <commentChains s:ref="AD299" rgbClr="FF0000">
      <unresolved>
        <commentChain chainId="8121a2c42f03cd6c8983d1764ae395d4cb99e4f7">
          <item id="4b5bc712a3001ccb71bef6c8924157a185ee604c" isNormal="1">
            <s:text>
              <s:r>
                <s:t xml:space="preserve">Administrator:
6/28上 E款 UPC贴纸 24 pcs
7/12上 E款 客供亚马逊外箱贴纸 1 pcs
</s:t>
              </s:r>
            </s:text>
          </item>
        </commentChain>
      </unresolved>
      <resolved/>
    </commentChains>
    <commentChains s:ref="AB300" rgbClr="FF0000">
      <unresolved>
        <commentChain chainId="8a970073f8b7fb7eb620d60ab63511cda94b03a6">
          <item id="a5a92cec1d8b16ef4ec3a65495b4a5d4b5b2e796" isNormal="1">
            <s:text>
              <s:r>
                <s:t xml:space="preserve">Administrator:
3002533 7/23 24 pcs</s:t>
              </s:r>
            </s:text>
          </item>
        </commentChain>
      </unresolved>
      <resolved/>
    </commentChains>
    <commentChains s:ref="AD300" rgbClr="FF0000">
      <unresolved>
        <commentChain chainId="f0c63326b0673cd4313dca83ccc9406108fa27d1">
          <item id="f0e313a1078ae3782c2ff8af7d50a131ac25ddc0" isNormal="1">
            <s:text>
              <s:r>
                <s:t xml:space="preserve">Administrator:
6/28上 E款 UPC贴纸 24 pcs
7/12上 E款 客供亚马逊外箱贴纸 1 pcs
</s:t>
              </s:r>
            </s:text>
          </item>
        </commentChain>
      </unresolved>
      <resolved/>
    </commentChains>
    <commentChains s:ref="AB301" rgbClr="FF0000">
      <unresolved>
        <commentChain chainId="d57860fad9257851c6f42ff571a1b13a010a1681">
          <item id="82d4aa42d1d17a74f745eb31496ac7147ff75b07" isNormal="1">
            <s:text>
              <s:r>
                <s:t xml:space="preserve">Administrator:
3002509 7/23 48 pcs</s:t>
              </s:r>
            </s:text>
          </item>
        </commentChain>
      </unresolved>
      <resolved/>
    </commentChains>
    <commentChains s:ref="AD301" rgbClr="FF0000">
      <unresolved>
        <commentChain chainId="ddae3142b4749c68898dfc880a821b2b0f0d45d9">
          <item id="7c97f51f1d1d23a6e7350af837a8930ff84f4529" isNormal="1">
            <s:text>
              <s:r>
                <s:t xml:space="preserve">Administrator:
6/28上 B款 UPC贴纸 48 pcs
7/12上 B款 客供亚马逊外箱贴纸 2 pcs</s:t>
              </s:r>
            </s:text>
          </item>
        </commentChain>
      </unresolved>
      <resolved/>
    </commentChains>
    <commentChains s:ref="AB302" rgbClr="FF0000">
      <unresolved>
        <commentChain chainId="94224099a9953b6efa17cc4bfe32d45609988c06">
          <item id="a02677dd8102c0e1cf13277c8927eca3a3ba26e7" isNormal="1">
            <s:text>
              <s:r>
                <s:t xml:space="preserve">Administrator:
3002509 7/23 48 pcs</s:t>
              </s:r>
            </s:text>
          </item>
        </commentChain>
      </unresolved>
      <resolved/>
    </commentChains>
    <commentChains s:ref="AD302" rgbClr="FF0000">
      <unresolved>
        <commentChain chainId="24a9955a8b36b03825e577659d389969f17764b7">
          <item id="ca17eea161c4e5f1902ea4fb7f604693173b258c" isNormal="1">
            <s:text>
              <s:r>
                <s:t xml:space="preserve">Administrator:
6/28上 B款 UPC贴纸 48 pcs
7/12上 B款 客供亚马逊外箱贴纸 2 pcs</s:t>
              </s:r>
            </s:text>
          </item>
        </commentChain>
      </unresolved>
      <resolved/>
    </commentChains>
    <commentChains s:ref="AB303" rgbClr="FF0000">
      <unresolved>
        <commentChain chainId="e2c275a2666db4caf11b88f31e058c5ca735d040">
          <item id="faf2560002423b3d0f362462e35588353a89525b" isNormal="1">
            <s:text>
              <s:r>
                <s:t xml:space="preserve">Administrator:
3002509 7/23 24 pcs</s:t>
              </s:r>
            </s:text>
          </item>
        </commentChain>
      </unresolved>
      <resolved/>
    </commentChains>
    <commentChains s:ref="AD303" rgbClr="FF0000">
      <unresolved>
        <commentChain chainId="8ba3949716369dbc2e424fafd5c8c5db4fff6ea3">
          <item id="c4de234dd2f5156c3eec79fa076860e97ec0023f" isNormal="1">
            <s:text>
              <s:r>
                <s:t xml:space="preserve">Administrator:
6/28上 B款 UPC贴纸 24 pcs
7/12上 B款 客供亚马逊外箱贴纸 1 pcs</s:t>
              </s:r>
            </s:text>
          </item>
        </commentChain>
      </unresolved>
      <resolved/>
    </commentChains>
    <commentChains s:ref="AB304" rgbClr="FF0000">
      <unresolved>
        <commentChain chainId="d71f4272da1d0b1e01a105c55364f954abafb97e">
          <item id="e619ff6283552816a814e8bd7c248591b222bdac" isNormal="1">
            <s:text>
              <s:r>
                <s:t xml:space="preserve">Administrator:
3002509 7/23 24 pcs</s:t>
              </s:r>
            </s:text>
          </item>
        </commentChain>
      </unresolved>
      <resolved/>
    </commentChains>
    <commentChains s:ref="AD304" rgbClr="FF0000">
      <unresolved>
        <commentChain chainId="5b6bdb7b080052dd5891397163696b6539389b79">
          <item id="9800498b88eba60d76b6ba4e73f6a0ce345fd302" isNormal="1">
            <s:text>
              <s:r>
                <s:t xml:space="preserve">Administrator:
6/28上 B款 UPC贴纸 24 pcs
7/12上 B款 客供亚马逊外箱贴纸 1 pcs</s:t>
              </s:r>
            </s:text>
          </item>
        </commentChain>
      </unresolved>
      <resolved/>
    </commentChains>
    <commentChains s:ref="AB305" rgbClr="FF0000">
      <unresolved>
        <commentChain chainId="7a06e5335850aed8415c45bbe2123b2d54987754">
          <item id="6d9a8129f2fb3e308183e972c7454f0093578ced" isNormal="1">
            <s:text>
              <s:r>
                <s:t xml:space="preserve">Administrator:
3002510 7/23 24 pcs</s:t>
              </s:r>
            </s:text>
          </item>
        </commentChain>
      </unresolved>
      <resolved/>
    </commentChains>
    <commentChains s:ref="AD305" rgbClr="FF0000">
      <unresolved>
        <commentChain chainId="99d175fc729f3c929931334295af5d4db3cb1acd">
          <item id="f00d95b3194517b981d0993f47b0d6b22aab5b20" isNormal="1">
            <s:text>
              <s:r>
                <s:t xml:space="preserve">Administrator:
6/28上 B款 UPC贴纸 24 pcs
7/12上 B款 客供亚马逊外箱贴纸 1 pcs</s:t>
              </s:r>
            </s:text>
          </item>
        </commentChain>
      </unresolved>
      <resolved/>
    </commentChains>
    <commentChains s:ref="AB306" rgbClr="FF0000">
      <unresolved>
        <commentChain chainId="6203ba7ca21d333c0dae7821cd7542804ff2d142">
          <item id="7fbf610fac3af240c71ff427309cd598c7d03fb8" isNormal="1">
            <s:text>
              <s:r>
                <s:t xml:space="preserve">Administrator:
3002510 7/23 48 pcs</s:t>
              </s:r>
            </s:text>
          </item>
        </commentChain>
      </unresolved>
      <resolved/>
    </commentChains>
    <commentChains s:ref="AD306" rgbClr="FF0000">
      <unresolved>
        <commentChain chainId="25509ba438eb0462367d02a3e7e6e35360e77358">
          <item id="e60e8cac0e90027f24482a7ba3597c3670dc5753" isNormal="1">
            <s:text>
              <s:r>
                <s:t xml:space="preserve">Administrator:
6/28上 B款 UPC贴纸 48 pcs
7/12上 B款 客供亚马逊外箱贴纸 2 pcs</s:t>
              </s:r>
            </s:text>
          </item>
        </commentChain>
      </unresolved>
      <resolved/>
    </commentChains>
    <commentChains s:ref="AB307" rgbClr="FF0000">
      <unresolved>
        <commentChain chainId="c0d19ff90236dbd3580fb0b2bbf8ab0950f65aab">
          <item id="233daac92845ecda42532c86b04549793f40edbb" isNormal="1">
            <s:text>
              <s:r>
                <s:t xml:space="preserve">Administrator:
3002510 7/23 24 pcs</s:t>
              </s:r>
            </s:text>
          </item>
        </commentChain>
      </unresolved>
      <resolved/>
    </commentChains>
    <commentChains s:ref="AD307" rgbClr="FF0000">
      <unresolved>
        <commentChain chainId="8ab34b311dd4b87187c5c317211a81284dff6e99">
          <item id="f87fbd7af88e512cb0970008abfec8ac3067a4c1" isNormal="1">
            <s:text>
              <s:r>
                <s:t xml:space="preserve">Administrator:
6/28上 B款 UPC贴纸 24 pcs
7/12上 B款 客供亚马逊外箱贴纸 1 pcs</s:t>
              </s:r>
            </s:text>
          </item>
        </commentChain>
      </unresolved>
      <resolved/>
    </commentChains>
    <commentChains s:ref="AB308" rgbClr="FF0000">
      <unresolved>
        <commentChain chainId="35555463bb45d3c5faca5f2d7f476e3efa98e39f">
          <item id="80d3aa1c9b5eb3c79adfd7979769d0ee6e624e44" isNormal="1">
            <s:text>
              <s:r>
                <s:t xml:space="preserve">Administrator:
3002510 7/23 24 pcs</s:t>
              </s:r>
            </s:text>
          </item>
        </commentChain>
      </unresolved>
      <resolved/>
    </commentChains>
    <commentChains s:ref="AD308" rgbClr="FF0000">
      <unresolved>
        <commentChain chainId="f42889450af7d7a73afc17dc2a6769e2a62e4029">
          <item id="4e8d3f5b5d1226e4f5a2ea9d240ba7b0deaa51b2" isNormal="1">
            <s:text>
              <s:r>
                <s:t xml:space="preserve">Administrator:
6/28上 B款 UPC贴纸 24 pcs
7/12上 B款 客供亚马逊外箱贴纸 1 pcs</s:t>
              </s:r>
            </s:text>
          </item>
        </commentChain>
      </unresolved>
      <resolved/>
    </commentChains>
    <commentChains s:ref="AB309" rgbClr="FF0000">
      <unresolved>
        <commentChain chainId="584a7f78289c856504ab19ed916192efbfc714dc">
          <item id="4d91fa01a9d863accd736a5b4a396b35f02b2585" isNormal="1">
            <s:text>
              <s:r>
                <s:t xml:space="preserve">Administrator:
3002510 7/23 24 pcs</s:t>
              </s:r>
            </s:text>
          </item>
        </commentChain>
      </unresolved>
      <resolved/>
    </commentChains>
    <commentChains s:ref="AD309" rgbClr="FF0000">
      <unresolved>
        <commentChain chainId="87fdd5c1cfad579979383be15e72a57017a0157c">
          <item id="82e114efe56b12c5acf6c4cbcd330178534258b0" isNormal="1">
            <s:text>
              <s:r>
                <s:t xml:space="preserve">Administrator:
6/28上 B款 UPC贴纸 24 pcs
7/12上 B款 客供亚马逊外箱贴纸 1 pcs</s:t>
              </s:r>
            </s:text>
          </item>
        </commentChain>
      </unresolved>
      <resolved/>
    </commentChains>
    <commentChains s:ref="AB310" rgbClr="FF0000">
      <unresolved>
        <commentChain chainId="918fd8ad01376c122c08bb92f681ccb47669cb00">
          <item id="4be75e775005cc38fcd3696da9b7c0b9782cd098" isNormal="1">
            <s:text>
              <s:r>
                <s:t xml:space="preserve">Administrator:
3002511 7/23 120 pcs</s:t>
              </s:r>
            </s:text>
          </item>
        </commentChain>
      </unresolved>
      <resolved/>
    </commentChains>
    <commentChains s:ref="AD310" rgbClr="FF0000">
      <unresolved>
        <commentChain chainId="b638b64c71c9035338c91fbf0e371e7f1be95b08">
          <item id="f2d0864b662feaeaced39c71938cb0b8a74df702" isNormal="1">
            <s:text>
              <s:r>
                <s:t xml:space="preserve">Administrator:
6/28上 D款 UPC贴纸 120 pcs
7/12上 D款 客供亚马逊外箱贴纸 5 pcs
</s:t>
              </s:r>
            </s:text>
          </item>
        </commentChain>
      </unresolved>
      <resolved/>
    </commentChains>
    <commentChains s:ref="AB311" rgbClr="FF0000">
      <unresolved>
        <commentChain chainId="05eacf67ebbb263ba78a562e19fa9142ed46688b">
          <item id="82f46b3f5d39c9d9762646220c8b197cd6511615" isNormal="1">
            <s:text>
              <s:r>
                <s:t xml:space="preserve">Administrator:
3002511 7/23 96 pcs</s:t>
              </s:r>
            </s:text>
          </item>
        </commentChain>
      </unresolved>
      <resolved/>
    </commentChains>
    <commentChains s:ref="AD311" rgbClr="FF0000">
      <unresolved>
        <commentChain chainId="a1161e6d77b20b96252174a83b906831c2eec9ad">
          <item id="a3e448f3b30845d0a34525a8dcf84ca8d594cf3a" isNormal="1">
            <s:text>
              <s:r>
                <s:t xml:space="preserve">Administrator:
6/28上 D款 UPC贴纸 96 pcs
7/12上 D款 客供亚马逊外箱贴纸 5 pcs
</s:t>
              </s:r>
            </s:text>
          </item>
        </commentChain>
      </unresolved>
      <resolved/>
    </commentChains>
    <commentChains s:ref="AB312" rgbClr="FF0000">
      <unresolved>
        <commentChain chainId="8fad8f47aeff159e96b90890f907578dbb9db651">
          <item id="71000e98b78838d5419e2d80cb6d798a64d4d6bd" isNormal="1">
            <s:text>
              <s:r>
                <s:t xml:space="preserve">Administrator:
3002511 7/23 72 pcs</s:t>
              </s:r>
            </s:text>
          </item>
        </commentChain>
      </unresolved>
      <resolved/>
    </commentChains>
    <commentChains s:ref="AD312" rgbClr="FF0000">
      <unresolved>
        <commentChain chainId="f0630ff1632d533cb42d3ffc6a95118077766e1c">
          <item id="73f6e703eec321df8d76f8e87c9eb5f2f99b8b1f" isNormal="1">
            <s:text>
              <s:r>
                <s:t xml:space="preserve">Administrator:
6/28上 D款 UPC贴纸 72 pcs
7/12上 D款 客供亚马逊外箱贴纸 3 pcs
</s:t>
              </s:r>
            </s:text>
          </item>
        </commentChain>
      </unresolved>
      <resolved/>
    </commentChains>
    <commentChains s:ref="AB313" rgbClr="FF0000">
      <unresolved>
        <commentChain chainId="cd9d89a8445409127fb4b621a7d0d96ac8b14be3">
          <item id="25e01227e49b00edd6897f967c5313dc6206abc7" isNormal="1">
            <s:text>
              <s:r>
                <s:t xml:space="preserve">Administrator:
3002511 7/23 96 pcs</s:t>
              </s:r>
            </s:text>
          </item>
        </commentChain>
      </unresolved>
      <resolved/>
    </commentChains>
    <commentChains s:ref="AD313" rgbClr="FF0000">
      <unresolved>
        <commentChain chainId="921b823668c5a148021217abb6725f63d499088f">
          <item id="7c8c9819f148c15e1250c7639f0096775a17dd06" isNormal="1">
            <s:text>
              <s:r>
                <s:t xml:space="preserve">Administrator:
6/28上 D款 UPC贴纸 96 pcs
7/12上 D款 客供亚马逊外箱贴纸 5 pcs
</s:t>
              </s:r>
            </s:text>
          </item>
        </commentChain>
      </unresolved>
      <resolved/>
    </commentChains>
    <commentChains s:ref="AB314" rgbClr="FF0000">
      <unresolved>
        <commentChain chainId="e467343d4c128b0dae5f7e5d788c613dd3137440">
          <item id="235516608d996a54b39cd6e18f484383aad2b975" isNormal="1">
            <s:text>
              <s:r>
                <s:t xml:space="preserve">Administrator:
3002511 7/23 72 pcs</s:t>
              </s:r>
            </s:text>
          </item>
        </commentChain>
      </unresolved>
      <resolved/>
    </commentChains>
    <commentChains s:ref="AD314" rgbClr="FF0000">
      <unresolved>
        <commentChain chainId="f455868ec01b52e6da011e1525e3e6cee5674ac0">
          <item id="49a1c9e390e42a9c0ce18b49468fadea0f1589b8" isNormal="1">
            <s:text>
              <s:r>
                <s:t xml:space="preserve">Administrator:
6/28上 D款 UPC贴纸 72 pcs
7/12上 D款 客供亚马逊外箱贴纸 3 pcs
</s:t>
              </s:r>
            </s:text>
          </item>
        </commentChain>
      </unresolved>
      <resolved/>
    </commentChains>
    <commentChains s:ref="AB315" rgbClr="FF0000">
      <unresolved>
        <commentChain chainId="d0cd26697db181b18acde97ac40b1e75a0cf783c">
          <item id="6e2ebb6ae934a2048774c7d1f8fe5ef32b95cd47" isNormal="1">
            <s:text>
              <s:r>
                <s:t xml:space="preserve">Administrator:
3002511 7/23 72 pcs</s:t>
              </s:r>
            </s:text>
          </item>
        </commentChain>
      </unresolved>
      <resolved/>
    </commentChains>
    <commentChains s:ref="AD315" rgbClr="FF0000">
      <unresolved>
        <commentChain chainId="7aa5a62025ffc40d08a178e889ac5773e47ec801">
          <item id="147193ff8f126f33161f90ca69d13c2741587e1b" isNormal="1">
            <s:text>
              <s:r>
                <s:t xml:space="preserve">Administrator:
6/28上 D款 UPC贴纸 72 pcs
7/12上 D款 客供亚马逊外箱贴纸 3 pcs
</s:t>
              </s:r>
            </s:text>
          </item>
        </commentChain>
      </unresolved>
      <resolved/>
    </commentChains>
    <commentChains s:ref="AB316" rgbClr="FF0000">
      <unresolved>
        <commentChain chainId="0a7621d7fbaf5374455cfb0094ced776500713df">
          <item id="b52e74e82800d6c86915bdf0f91d21000fddcd3f" isNormal="1">
            <s:text>
              <s:r>
                <s:t xml:space="preserve">Administrator:
3002511 7/23 48 pcs</s:t>
              </s:r>
            </s:text>
          </item>
        </commentChain>
      </unresolved>
      <resolved/>
    </commentChains>
    <commentChains s:ref="AD316" rgbClr="FF0000">
      <unresolved>
        <commentChain chainId="38f44b8fa554e6d349d6536d8057f03b29a09cb1">
          <item id="e3d057c581979e24e9918df5ab2d9f48c9e2b4c6" isNormal="1">
            <s:text>
              <s:r>
                <s:t xml:space="preserve">Administrator:
6/28上 D款 UPC贴纸 48 pcs
7/12上 D款 客供亚马逊外箱贴纸 2 pcs
</s:t>
              </s:r>
            </s:text>
          </item>
        </commentChain>
      </unresolved>
      <resolved/>
    </commentChains>
    <commentChains s:ref="AB317" rgbClr="FF0000">
      <unresolved>
        <commentChain chainId="a2c2c0e0a9edfad04349e03408194738fa036aa2">
          <item id="9920fc6d629f53bdd964e733903c7ae8fa5da02f" isNormal="1">
            <s:text>
              <s:r>
                <s:t xml:space="preserve">Administrator:
3002511 7/23 24 pcs</s:t>
              </s:r>
            </s:text>
          </item>
        </commentChain>
      </unresolved>
      <resolved/>
    </commentChains>
    <commentChains s:ref="AD317" rgbClr="FF0000">
      <unresolved>
        <commentChain chainId="a316d59a9e4ef86b5709cc48aa55d03762ff8457">
          <item id="5697cf78f865ccce7e1c0b221dd016cb77cf6a61" isNormal="1">
            <s:text>
              <s:r>
                <s:t xml:space="preserve">Administrator:
6/28上 D款 UPC贴纸 24 pcs
7/12上 D款 客供亚马逊外箱贴纸 1 pcs
</s:t>
              </s:r>
            </s:text>
          </item>
        </commentChain>
      </unresolved>
      <resolved/>
    </commentChains>
    <commentChains s:ref="AB318" rgbClr="FF0000">
      <unresolved>
        <commentChain chainId="848ea94535fa01b1e2b07d92453cf6881f88135e">
          <item id="6c2b2550c3837f8337dba49b6c9bb6442007528f" isNormal="1">
            <s:text>
              <s:r>
                <s:t xml:space="preserve">Administrator:
3002511 7/23 24 pcs</s:t>
              </s:r>
            </s:text>
          </item>
        </commentChain>
      </unresolved>
      <resolved/>
    </commentChains>
    <commentChains s:ref="AD318" rgbClr="FF0000">
      <unresolved>
        <commentChain chainId="c0930801609ffe4e8adf34b4f24306c3c479352d">
          <item id="aada43ac30c318d979056a10bf38607bf6db6d31" isNormal="1">
            <s:text>
              <s:r>
                <s:t xml:space="preserve">Administrator:
6/28上 D款 UPC贴纸 24 pcs
7/12上 D款 客供亚马逊外箱贴纸 1 pcs
</s:t>
              </s:r>
            </s:text>
          </item>
        </commentChain>
      </unresolved>
      <resolved/>
    </commentChains>
    <commentChains s:ref="AB319" rgbClr="FF0000">
      <unresolved>
        <commentChain chainId="6bb13078068bce899814f74237ea56d33dc70aaf">
          <item id="6e868cda022ceecdb90369fb44c649254ee0105e" isNormal="1">
            <s:text>
              <s:r>
                <s:t xml:space="preserve">Administrator:
3002511 7/23 48 pcs</s:t>
              </s:r>
            </s:text>
          </item>
        </commentChain>
      </unresolved>
      <resolved/>
    </commentChains>
    <commentChains s:ref="AD319" rgbClr="FF0000">
      <unresolved>
        <commentChain chainId="b07f1db3e206cd7cf08cbb36a82a9178eee66126">
          <item id="e3347e46fc6aad88d70a6dd0656db2027d5c6d26" isNormal="1">
            <s:text>
              <s:r>
                <s:t xml:space="preserve">Administrator:
6/28上 D款 UPC贴纸 48 pcs
7/12上 D款 客供亚马逊外箱贴纸 2 pcs
</s:t>
              </s:r>
            </s:text>
          </item>
        </commentChain>
      </unresolved>
      <resolved/>
    </commentChains>
    <commentChains s:ref="AB320" rgbClr="FF0000">
      <unresolved>
        <commentChain chainId="ac5a66be9294ff786200056837d370dad9bb6dbe">
          <item id="21de9813cae2f5e3c07bfef6b7f62f61f0eba53f" isNormal="1">
            <s:text>
              <s:r>
                <s:t xml:space="preserve">Administrator:
3002511 7/23 24 pcs</s:t>
              </s:r>
            </s:text>
          </item>
        </commentChain>
      </unresolved>
      <resolved/>
    </commentChains>
    <commentChains s:ref="AD320" rgbClr="FF0000">
      <unresolved>
        <commentChain chainId="681d5ac9a84afb3961cd22be6cd6d0e8b49e29e4">
          <item id="61a3358819a6cd6af6c3f5c732a9f0eac0edb5ac" isNormal="1">
            <s:text>
              <s:r>
                <s:t xml:space="preserve">Administrator:
6/28上 D款 UPC贴纸 24 pcs
7/12上 D款 客供亚马逊外箱贴纸 1 pcs
</s:t>
              </s:r>
            </s:text>
          </item>
        </commentChain>
      </unresolved>
      <resolved/>
    </commentChains>
    <commentChains s:ref="AB321" rgbClr="FF0000">
      <unresolved>
        <commentChain chainId="b07a4068dab1b8f87b2144fcb8a38f40dd07c697">
          <item id="01f6a0e94ed2a0618a6f4a61865e77902e46dca3" isNormal="1">
            <s:text>
              <s:r>
                <s:t xml:space="preserve">Administrator:
3002512 7/23 24 pcs</s:t>
              </s:r>
            </s:text>
          </item>
        </commentChain>
      </unresolved>
      <resolved/>
    </commentChains>
    <commentChains s:ref="AD321" rgbClr="FF0000">
      <unresolved>
        <commentChain chainId="fc96157eb6ad1335af30beda2864095248071021">
          <item id="5f3213186b8606647752e6fecd7f121c714eb33c" isNormal="1">
            <s:text>
              <s:r>
                <s:t xml:space="preserve">Administrator:
6/28上 D款 UPC贴纸 24 pcs
7/12上 D款 客供亚马逊外箱贴纸 1 pcs
</s:t>
              </s:r>
            </s:text>
          </item>
        </commentChain>
      </unresolved>
      <resolved/>
    </commentChains>
    <commentChains s:ref="AB322" rgbClr="FF0000">
      <unresolved>
        <commentChain chainId="4243e61989c456b3875d550db66ed4c02f1c9867">
          <item id="556f3c4374ba31398e0c3694e516e8376df12d48" isNormal="1">
            <s:text>
              <s:r>
                <s:t xml:space="preserve">Administrator:
3002512 7/23 48 pcs</s:t>
              </s:r>
            </s:text>
          </item>
        </commentChain>
      </unresolved>
      <resolved/>
    </commentChains>
    <commentChains s:ref="AD322" rgbClr="FF0000">
      <unresolved>
        <commentChain chainId="2f24e974a4d6f40ec65ce938828a9e5e4c34e061">
          <item id="cea11b4856a99939c3963b14f3f315813bbdcd72" isNormal="1">
            <s:text>
              <s:r>
                <s:t xml:space="preserve">Administrator:
6/28上 D款 UPC贴纸 48 pcs
7/12上 D款 客供亚马逊外箱贴纸 2 pcs
</s:t>
              </s:r>
            </s:text>
          </item>
        </commentChain>
      </unresolved>
      <resolved/>
    </commentChains>
    <commentChains s:ref="AB323" rgbClr="FF0000">
      <unresolved>
        <commentChain chainId="8aa957662cc2cecf04f8829eae36088db41addf4">
          <item id="bd9db926276f5119355ca735b33ac5ea27400fed" isNormal="1">
            <s:text>
              <s:r>
                <s:t xml:space="preserve">Administrator:
3002512 7/23 24 pcs</s:t>
              </s:r>
            </s:text>
          </item>
        </commentChain>
      </unresolved>
      <resolved/>
    </commentChains>
    <commentChains s:ref="AD323" rgbClr="FF0000">
      <unresolved>
        <commentChain chainId="95e82a0e27f0bb64d14f002d92ca7dbcd4e246be">
          <item id="6b53080675751b7719db05da619b0e625660b90d" isNormal="1">
            <s:text>
              <s:r>
                <s:t xml:space="preserve">Administrator:
6/28上 D款 UPC贴纸 24 pcs
7/12上 D款 客供亚马逊外箱贴纸 1 pcs
</s:t>
              </s:r>
            </s:text>
          </item>
        </commentChain>
      </unresolved>
      <resolved/>
    </commentChains>
    <commentChains s:ref="AB324" rgbClr="FF0000">
      <unresolved>
        <commentChain chainId="ff25ca97dd8e4dc9b0533ba40fa32cb56839ae64">
          <item id="6900dd16276e55708c4034767108689dfda34ebe" isNormal="1">
            <s:text>
              <s:r>
                <s:t xml:space="preserve">Administrator:
3002514 7/23 66 pcs 莫B四楼A6</s:t>
              </s:r>
            </s:text>
          </item>
        </commentChain>
      </unresolved>
      <resolved/>
    </commentChains>
    <commentChains s:ref="AD324" rgbClr="FF0000">
      <unresolved>
        <commentChain chainId="a35eb921cf5524b177393991c7dd9533aa09e8f5">
          <item id="7745cc52e366a0226b71b6ca0f38fee70a042096" isNormal="1">
            <s:text>
              <s:r>
                <s:t xml:space="preserve">Administrator:
7/8上 进口商贴纸 66 pcs</s:t>
              </s:r>
            </s:text>
          </item>
        </commentChain>
      </unresolved>
      <resolved/>
    </commentChains>
    <commentChains s:ref="AB325" rgbClr="FF0000">
      <unresolved>
        <commentChain chainId="a37cc53ba950df8170dcbc016a02bebfb59d07fe">
          <item id="966261aca05ee598ba200b72f9f8e275ae0141ae" isNormal="1">
            <s:text>
              <s:r>
                <s:t xml:space="preserve">Administrator:
3002515 7/23 1008 pcs 莫B四楼A5</s:t>
              </s:r>
            </s:text>
          </item>
        </commentChain>
      </unresolved>
      <resolved/>
    </commentChains>
    <commentChains s:ref="AD325" rgbClr="FF0000">
      <unresolved>
        <commentChain chainId="d41e3a72dd322710dd4a296a3f0d4012d8d976e5">
          <item id="6838b4604f65370391b979e0a8b8e71cc0fead8d" isNormal="1">
            <s:text>
              <s:r>
                <s:t xml:space="preserve">Administrator:
7/11上 进口商贴纸 1008 pcs</s:t>
              </s:r>
            </s:text>
          </item>
        </commentChain>
      </unresolved>
      <resolved/>
    </commentChains>
    <commentChains s:ref="AB326" rgbClr="FF0000">
      <unresolved>
        <commentChain chainId="b2ea017ee7ab6b28e45acb7ff045e3e07a22f746">
          <item id="b655897c3949fc05d1de19b3ecf595429c684b2a" isNormal="1">
            <s:text>
              <s:r>
                <s:t xml:space="preserve">Administrator:
3002533 7/23 48 pcs</s:t>
              </s:r>
            </s:text>
          </item>
        </commentChain>
      </unresolved>
      <resolved/>
    </commentChains>
    <commentChains s:ref="AD326" rgbClr="FF0000">
      <unresolved>
        <commentChain chainId="1547422fd9ea3f6e8c38e7ac8a95817d3c26e520">
          <item id="77c48559ab4c7c6414d4a522f5cc5e1ee37b88ea" isNormal="1">
            <s:text>
              <s:r>
                <s:t xml:space="preserve">Administrator:
6/28上 E款 UPC贴纸 48 pcs
7/12上 B款 客供亚马逊外箱贴纸 2 pcs</s:t>
              </s:r>
            </s:text>
          </item>
        </commentChain>
      </unresolved>
      <resolved/>
    </commentChains>
    <commentChains s:ref="AB327" rgbClr="FF0000">
      <unresolved>
        <commentChain chainId="0e6ec34c712aa5e8d86ac7a3ecdbce3128c132ac">
          <item id="8fb0f36f2c417a6706ef016467ae1df2df1f3307" isNormal="1">
            <s:text>
              <s:r>
                <s:t xml:space="preserve">Administrator:
3002533 7/23 24 pcs</s:t>
              </s:r>
            </s:text>
          </item>
        </commentChain>
      </unresolved>
      <resolved/>
    </commentChains>
    <commentChains s:ref="AD327" rgbClr="FF0000">
      <unresolved>
        <commentChain chainId="8e9b83c9587d02f77129d01109e22d1ad4b72bbe">
          <item id="3b7450c5ee1fc8e4eecbf50bb7fbaba33d4930a3" isNormal="1">
            <s:text>
              <s:r>
                <s:t xml:space="preserve">Administrator:
6/28上 E款 UPC贴纸 24 pcs
7/12上 B款 客供亚马逊外箱贴纸 1 pcs</s:t>
              </s:r>
            </s:text>
          </item>
        </commentChain>
      </unresolved>
      <resolved/>
    </commentChains>
    <commentChains s:ref="AB328" rgbClr="FF0000">
      <unresolved>
        <commentChain chainId="bd42b3b29496297ab2927cb7f1f69064061a4a26">
          <item id="2f4ec581fe6bdeba10e7fa97c8caf2707fec1fec" isNormal="1">
            <s:text>
              <s:r>
                <s:t xml:space="preserve">Administrator:
3002533 7/23 24 pcs</s:t>
              </s:r>
            </s:text>
          </item>
        </commentChain>
      </unresolved>
      <resolved/>
    </commentChains>
    <commentChains s:ref="AD328" rgbClr="FF0000">
      <unresolved>
        <commentChain chainId="34d5c15c336634227c54338a834f6c3ab89e3aec">
          <item id="06ef79ba9cfb2cfa7eabd0f992905ba5e0a89600" isNormal="1">
            <s:text>
              <s:r>
                <s:t xml:space="preserve">Administrator:
6/28上 E款 UPC贴纸 24 pcs
7/12上 B款 客供亚马逊外箱贴纸 1 pcs</s:t>
              </s:r>
            </s:text>
          </item>
        </commentChain>
      </unresolved>
      <resolved/>
    </commentChains>
    <commentChains s:ref="AB329" rgbClr="FF0000">
      <unresolved>
        <commentChain chainId="bdf3e0b5c6df025f61185def2e25bd0a7c881d7c">
          <item id="195279318e4b05d21e3ad0be741404440ed56621" isNormal="1">
            <s:text>
              <s:r>
                <s:t xml:space="preserve">Administrator:
3002533 7/23 24 pcs</s:t>
              </s:r>
            </s:text>
          </item>
        </commentChain>
      </unresolved>
      <resolved/>
    </commentChains>
    <commentChains s:ref="AD329" rgbClr="FF0000">
      <unresolved>
        <commentChain chainId="66d6e15a8fb7934234f99b4d624a274c8b2d44d7">
          <item id="4a077620609ae019c5045a183cb94f4ec58f1586" isNormal="1">
            <s:text>
              <s:r>
                <s:t xml:space="preserve">Administrator:
6/28上 E款 UPC贴纸 24 pcs
7/12上 B款 客供亚马逊外箱贴纸 1 pcs</s:t>
              </s:r>
            </s:text>
          </item>
        </commentChain>
      </unresolved>
      <resolved/>
    </commentChains>
    <commentChains s:ref="AB330" rgbClr="FF0000">
      <unresolved>
        <commentChain chainId="8951470b90d3c706bce587958707479d04ccfab7">
          <item id="ad2e31163f6866d5df24f70f93e9e48177bb275d" isNormal="1">
            <s:text>
              <s:r>
                <s:t xml:space="preserve">Administrator:
3002533 7/23 24 pcs</s:t>
              </s:r>
            </s:text>
          </item>
        </commentChain>
      </unresolved>
      <resolved/>
    </commentChains>
    <commentChains s:ref="AD330" rgbClr="FF0000">
      <unresolved>
        <commentChain chainId="d2e32cdef87e52e0767f686c02ff5ca9d5721147">
          <item id="b1323c5f7c857014028e682198b93194921a8790" isNormal="1">
            <s:text>
              <s:r>
                <s:t xml:space="preserve">Administrator:
6/28上 E款 UPC贴纸 24 pcs
7/12上 B款 客供亚马逊外箱贴纸 1 pcs</s:t>
              </s:r>
            </s:text>
          </item>
        </commentChain>
      </unresolved>
      <resolved/>
    </commentChains>
    <commentChains s:ref="AB331" rgbClr="FF0000">
      <unresolved>
        <commentChain chainId="8f4e1179e93b2b3ac081cf23cf6fe7fcdd4ae3e5">
          <item id="7cd0686ccbbc5f4cf92ca8541f465f3684e9e8ea" isNormal="1">
            <s:text>
              <s:r>
                <s:t xml:space="preserve">Administrator:
3002533 7/23 48 pcs</s:t>
              </s:r>
            </s:text>
          </item>
        </commentChain>
      </unresolved>
      <resolved/>
    </commentChains>
    <commentChains s:ref="AD331" rgbClr="FF0000">
      <unresolved>
        <commentChain chainId="c6b411f242b2e2ae714138f9677502a38709c6a2">
          <item id="b6c0cadbfd08461cdfcc0a57a31721d0e309a823" isNormal="1">
            <s:text>
              <s:r>
                <s:t xml:space="preserve">Administrator:
6/28上 E款 UPC贴纸 48 pcs
7/12上 B款 客供亚马逊外箱贴纸 2 pcs</s:t>
              </s:r>
            </s:text>
          </item>
        </commentChain>
      </unresolved>
      <resolved/>
    </commentChains>
    <commentChains s:ref="AB332" rgbClr="FF0000">
      <unresolved>
        <commentChain chainId="cdbf57a7c7120c308c924850041ffa53285d7e9e">
          <item id="484f2da58c0ccde183f52365e479145481a0998c" isNormal="1">
            <s:text>
              <s:r>
                <s:t xml:space="preserve">Administrator:
3002510 7/23 24 pcs</s:t>
              </s:r>
            </s:text>
          </item>
        </commentChain>
      </unresolved>
      <resolved/>
    </commentChains>
    <commentChains s:ref="AD332" rgbClr="FF0000">
      <unresolved>
        <commentChain chainId="ae088d64c2aa5ae93070856ba864f88cd31390a1">
          <item id="c4d5fe1cee47142d1d80a3e9c9a5f5dd14472e58" isNormal="1">
            <s:text>
              <s:r>
                <s:t xml:space="preserve">Administrator:
6/28上 D款 UPC贴纸 24 pcs
7/12上 B款 客供亚马逊外箱贴纸 1 pcs</s:t>
              </s:r>
            </s:text>
          </item>
        </commentChain>
      </unresolved>
      <resolved/>
    </commentChains>
    <commentChains s:ref="AB333" rgbClr="FF0000">
      <unresolved>
        <commentChain chainId="59efca6b1f59f1c46cbdd92118a3e34c8098e32b">
          <item id="8a0ca189acc0687090816b5ef7e6959d60e37c60" isNormal="1">
            <s:text>
              <s:r>
                <s:t xml:space="preserve">Administrator:
3002510 7/23 48 pcs</s:t>
              </s:r>
            </s:text>
          </item>
        </commentChain>
      </unresolved>
      <resolved/>
    </commentChains>
    <commentChains s:ref="AD333" rgbClr="FF0000">
      <unresolved>
        <commentChain chainId="ace4936ef753f12cfcb732cbd7d80018de0ab6b6">
          <item id="4179e468245d064c725c060383c3407930e2f820" isNormal="1">
            <s:text>
              <s:r>
                <s:t xml:space="preserve">Administrator:
6/28上 D款 UPC贴纸 48 pcs
7/12上 B款 客供亚马逊外箱贴纸 2 pcs</s:t>
              </s:r>
            </s:text>
          </item>
        </commentChain>
      </unresolved>
      <resolved/>
    </commentChains>
    <commentChains s:ref="AB334" rgbClr="FF0000">
      <unresolved>
        <commentChain chainId="e6394a32faf20f256103dbefbff61c9d7489cd52">
          <item id="09e3ab57579e26e7bb6dbb4c1ac74ee7802dd12c" isNormal="1">
            <s:text>
              <s:r>
                <s:t xml:space="preserve">Administrator:
3002510 7/23 48 pcs</s:t>
              </s:r>
            </s:text>
          </item>
        </commentChain>
      </unresolved>
      <resolved/>
    </commentChains>
    <commentChains s:ref="AD334" rgbClr="FF0000">
      <unresolved>
        <commentChain chainId="9493e3e351fa952e43ec0d256ff5d172a1a47f0c">
          <item id="55c6413620527d11c0d64a8e1967354c18f0cd5f" isNormal="1">
            <s:text>
              <s:r>
                <s:t xml:space="preserve">Administrator:
6/28上 D款 UPC贴纸 48 pcs
7/12上 B款 客供亚马逊外箱贴纸 2 pcs</s:t>
              </s:r>
            </s:text>
          </item>
        </commentChain>
      </unresolved>
      <resolved/>
    </commentChains>
    <commentChains s:ref="AB335" rgbClr="FF0000">
      <unresolved>
        <commentChain chainId="2a21b26411b7425f75ef88e57e909bc41b37e4ab">
          <item id="a1ca39d57665a6cbc58744e8d1457b105cd01625" isNormal="1">
            <s:text>
              <s:r>
                <s:t xml:space="preserve">Administrator:
3002510 7/23 24 pcs</s:t>
              </s:r>
            </s:text>
          </item>
        </commentChain>
      </unresolved>
      <resolved/>
    </commentChains>
    <commentChains s:ref="AD335" rgbClr="FF0000">
      <unresolved>
        <commentChain chainId="1914255272ee1091d8f1e5a3c5c4995e89adbd6e">
          <item id="39f3e04e50d1113964e2a3f08b95194b9757667f" isNormal="1">
            <s:text>
              <s:r>
                <s:t xml:space="preserve">Administrator:
6/28上 D款 UPC贴纸 24 pcs
7/12上 B款 客供亚马逊外箱贴纸 1 pcs</s:t>
              </s:r>
            </s:text>
          </item>
        </commentChain>
      </unresolved>
      <resolved/>
    </commentChains>
    <commentChains s:ref="AB336" rgbClr="FF0000">
      <unresolved>
        <commentChain chainId="a536d594dc25eab7213a55c3bcd4118b0aaf8875">
          <item id="65a3a15124fa09c8256ba76bde2982a3de3394e1" isNormal="1">
            <s:text>
              <s:r>
                <s:t xml:space="preserve">Administrator:
3002510 7/23 24 pcs</s:t>
              </s:r>
            </s:text>
          </item>
        </commentChain>
      </unresolved>
      <resolved/>
    </commentChains>
    <commentChains s:ref="AD336" rgbClr="FF0000">
      <unresolved>
        <commentChain chainId="df00928bd7ed4baf962951e3380a3a8b72f3bf01">
          <item id="1cd6bd083f35fe1f791d5284584983f5cad747c8" isNormal="1">
            <s:text>
              <s:r>
                <s:t xml:space="preserve">Administrator:
6/28上 D款 UPC贴纸 24 pcs
7/12上 B款 客供亚马逊外箱贴纸 1 pcs</s:t>
              </s:r>
            </s:text>
          </item>
        </commentChain>
      </unresolved>
      <resolved/>
    </commentChains>
    <commentChains s:ref="AB337" rgbClr="FF0000">
      <unresolved>
        <commentChain chainId="de04f44b22955e5dd4e9f7e4cb740199b3c418fd">
          <item id="efb1f1ddef3a98aa28897ba075c8e14bb65c2248" isNormal="1">
            <s:text>
              <s:r>
                <s:t xml:space="preserve">Administrator:
3002516 7/23 48 pcs 华兴三楼B14</s:t>
              </s:r>
            </s:text>
          </item>
        </commentChain>
      </unresolved>
      <resolved/>
    </commentChains>
    <commentChains s:ref="AD337" rgbClr="FF0000">
      <unresolved>
        <commentChain chainId="9d8693d59e10ff12da08a5fc6cf92bcb122fbcce">
          <item id="db43d6d50ec9250560323ff99f7aa750a95d6af8" isNormal="1">
            <s:text>
              <s:r>
                <s:t xml:space="preserve">Administrator:
6/28上 D款 UPC贴纸 48 pcs
7/12上 B款 客供亚马逊外箱贴纸 2 pcs</s:t>
              </s:r>
            </s:text>
          </item>
        </commentChain>
      </unresolved>
      <resolved/>
    </commentChains>
    <commentChains s:ref="AB338" rgbClr="FF0000">
      <unresolved>
        <commentChain chainId="37374d577994fe2019c20803d1cacd7977280d19">
          <item id="2f9d5119baef6c1d5974848ca0620aa7ef190054" isNormal="1">
            <s:text>
              <s:r>
                <s:t xml:space="preserve">Administrator:
3002510 7/23 24 pcs</s:t>
              </s:r>
            </s:text>
          </item>
        </commentChain>
      </unresolved>
      <resolved/>
    </commentChains>
    <commentChains s:ref="AD338" rgbClr="FF0000">
      <unresolved>
        <commentChain chainId="8bf130e6cfb34407cca9ff911358bbcd96a3faf0">
          <item id="96770eff5624906c11fa7ca8ffae7f0e5f7ae6a6" isNormal="1">
            <s:text>
              <s:r>
                <s:t xml:space="preserve">Administrator:
6/28上 D款 UPC贴纸 24 pcs
7/12上 B款 客供亚马逊外箱贴纸 1 pcs</s:t>
              </s:r>
            </s:text>
          </item>
        </commentChain>
      </unresolved>
      <resolved/>
    </commentChains>
    <commentChains s:ref="AB339" rgbClr="FF0000">
      <unresolved>
        <commentChain chainId="1b85b8ffb9b7c65dc5877adeb56eb6c6fcea6a1b">
          <item id="25d35c1c69c31faf5bc586c6218ff9f96d00b1ee" isNormal="1">
            <s:text>
              <s:r>
                <s:t xml:space="preserve">Administrator:
3002513 7/23 72 pcs</s:t>
              </s:r>
            </s:text>
          </item>
        </commentChain>
      </unresolved>
      <resolved/>
    </commentChains>
    <commentChains s:ref="AD339" rgbClr="FF0000">
      <unresolved>
        <commentChain chainId="60e509ebc14616c83121fdda59ef864a6ea934b9">
          <item id="dc805f8217f6b8ca1b9ba55538ca5092da1a1705" isNormal="1">
            <s:text>
              <s:r>
                <s:t xml:space="preserve">Administrator:
6/28上 A款 UPC贴纸 72 pcs
7/12上 B款 客供亚马逊外箱贴纸 3 pcs</s:t>
              </s:r>
            </s:text>
          </item>
        </commentChain>
      </unresolved>
      <resolved/>
    </commentChains>
    <commentChains s:ref="AB340" rgbClr="FF0000">
      <unresolved>
        <commentChain chainId="9332f2c738339a7c5c5e208836a6e68c9e3ae24b">
          <item id="12b503cf02c0a1c0c22362c9d6ed61ed00ea078b" isNormal="1">
            <s:text>
              <s:r>
                <s:t xml:space="preserve">Administrator:
3002513 7/23 72 pcs</s:t>
              </s:r>
            </s:text>
          </item>
        </commentChain>
      </unresolved>
      <resolved/>
    </commentChains>
    <commentChains s:ref="AD340" rgbClr="FF0000">
      <unresolved>
        <commentChain chainId="f975d1539127a9b2927fabfe87b5724466229bb5">
          <item id="864c17ee9ecfe3cf04358abe48cdb5d470acb534" isNormal="1">
            <s:text>
              <s:r>
                <s:t xml:space="preserve">Administrator:
6/28上 A款 UPC贴纸 72 pcs
7/12上 B款 客供亚马逊外箱贴纸 3 pcs</s:t>
              </s:r>
            </s:text>
          </item>
        </commentChain>
      </unresolved>
      <resolved/>
    </commentChains>
    <commentChains s:ref="AB341" rgbClr="FF0000">
      <unresolved>
        <commentChain chainId="41ef8d68644a4df29d74b9e3a1366eb50ae2daec">
          <item id="48fddd02ba429885a9082d3cae0487b3b06b9618" isNormal="1">
            <s:text>
              <s:r>
                <s:t xml:space="preserve">Administrator:
3002513 7/23 96 pcs</s:t>
              </s:r>
            </s:text>
          </item>
        </commentChain>
      </unresolved>
      <resolved/>
    </commentChains>
    <commentChains s:ref="AD341" rgbClr="FF0000">
      <unresolved>
        <commentChain chainId="87e3a5c6f3bde572f5a32bd6e7c5148160efcda7">
          <item id="7ce5f169ab7c634a1155e8787cdcebffb0ea538f" isNormal="1">
            <s:text>
              <s:r>
                <s:t xml:space="preserve">Administrator:
6/28上 A款 UPC贴纸 96 pcs
7/12上 B款 客供亚马逊外箱贴纸 4 pcs</s:t>
              </s:r>
            </s:text>
          </item>
        </commentChain>
      </unresolved>
      <resolved/>
    </commentChains>
    <commentChains s:ref="AB342" rgbClr="FF0000">
      <unresolved>
        <commentChain chainId="25ea14b5232b60ccc68273eb6115d423e47187d9">
          <item id="c515277f3f614d8680fad7205f3378e50c7c19f0" isNormal="1">
            <s:text>
              <s:r>
                <s:t xml:space="preserve">Administrator:
3002513 7/23 48 pcs</s:t>
              </s:r>
            </s:text>
          </item>
        </commentChain>
      </unresolved>
      <resolved/>
    </commentChains>
    <commentChains s:ref="AD342" rgbClr="FF0000">
      <unresolved>
        <commentChain chainId="2391e8cc1e94fd7407b04822561641110b529280">
          <item id="5011f29f800194eb3005c1b5cc67c9fb43837b52" isNormal="1">
            <s:text>
              <s:r>
                <s:t xml:space="preserve">Administrator:
6/28上 A款 UPC贴纸 48 pcs
7/12上 B款 客供亚马逊外箱贴纸 2 pcs</s:t>
              </s:r>
            </s:text>
          </item>
        </commentChain>
      </unresolved>
      <resolved/>
    </commentChains>
    <commentChains s:ref="AB343" rgbClr="FF0000">
      <unresolved>
        <commentChain chainId="35ba75e475bc932b1736431ec17aa4c867ddc254">
          <item id="557f9efadf32501bd5f3368163f810c10e07b9ef" isNormal="1">
            <s:text>
              <s:r>
                <s:t xml:space="preserve">Administrator:
3002513 7/23 72 pcs</s:t>
              </s:r>
            </s:text>
          </item>
        </commentChain>
      </unresolved>
      <resolved/>
    </commentChains>
    <commentChains s:ref="AD343" rgbClr="FF0000">
      <unresolved>
        <commentChain chainId="290248238d095fa1dcaf1a320e70a5c006183b95">
          <item id="04b020b48067753440d7d9f621670def240b483a" isNormal="1">
            <s:text>
              <s:r>
                <s:t xml:space="preserve">Administrator:
6/28上 A款 UPC贴纸 72 pcs
7/12上 B款 客供亚马逊外箱贴纸 3 pcs</s:t>
              </s:r>
            </s:text>
          </item>
        </commentChain>
      </unresolved>
      <resolved/>
    </commentChains>
    <commentChains s:ref="AB344" rgbClr="FF0000">
      <unresolved>
        <commentChain chainId="b4a31892e962abc226c72ad204c9a23122b4c44d">
          <item id="5bc8cbfc532f0b5561d03501be1e67d011dbeb00" isNormal="1">
            <s:text>
              <s:r>
                <s:t xml:space="preserve">Administrator:
3002513 7/23 96 pcs</s:t>
              </s:r>
            </s:text>
          </item>
        </commentChain>
      </unresolved>
      <resolved/>
    </commentChains>
    <commentChains s:ref="AD344" rgbClr="FF0000">
      <unresolved>
        <commentChain chainId="4bbc10625d1e98010905c210b7b512d8bee3e672">
          <item id="de5c6f7c25ece1ed137e25ba07961622aea62f2d" isNormal="1">
            <s:text>
              <s:r>
                <s:t xml:space="preserve">Administrator:
6/28上 A款 UPC贴纸 96 pcs
7/12上 B款 客供亚马逊外箱贴纸 4 pcs</s:t>
              </s:r>
            </s:text>
          </item>
        </commentChain>
      </unresolved>
      <resolved/>
    </commentChains>
    <commentChains s:ref="AB345" rgbClr="FF0000">
      <unresolved>
        <commentChain chainId="274f7f8ca2a189943721c1527878695a9cb0da67">
          <item id="01e470c58f02e6a6618497ca9667d9df443a5f95" isNormal="1">
            <s:text>
              <s:r>
                <s:t xml:space="preserve">Administrator:
3002513 7/23 24 pcs</s:t>
              </s:r>
            </s:text>
          </item>
        </commentChain>
      </unresolved>
      <resolved/>
    </commentChains>
    <commentChains s:ref="AD345" rgbClr="FF0000">
      <unresolved>
        <commentChain chainId="f9b556724cbf1c8903f675f2c2b064a9b7ebfd50">
          <item id="1d4a10ddf7ae495e6bbb61abeef19b598e5105f9" isNormal="1">
            <s:text>
              <s:r>
                <s:t xml:space="preserve">Administrator:
6/28上 A款 UPC贴纸 24 pcs
7/12上 B款 客供亚马逊外箱贴纸 1 pcs</s:t>
              </s:r>
            </s:text>
          </item>
        </commentChain>
      </unresolved>
      <resolved/>
    </commentChains>
    <commentChains s:ref="AB346" rgbClr="FF0000">
      <unresolved>
        <commentChain chainId="2119322fb453b47d16897bc88938a3a8d5e75fe2">
          <item id="4412d66eda582ed08d719de0d44d885707b2c97b" isNormal="1">
            <s:text>
              <s:r>
                <s:t xml:space="preserve">Administrator:
3002513 7/23 24 pcs</s:t>
              </s:r>
            </s:text>
          </item>
        </commentChain>
      </unresolved>
      <resolved/>
    </commentChains>
    <commentChains s:ref="AD346" rgbClr="FF0000">
      <unresolved>
        <commentChain chainId="4c962943dede4e01d2f84b77b1d8caa87881b8c1">
          <item id="ec68412bab7b2667b57378011efc09beb1d931fa" isNormal="1">
            <s:text>
              <s:r>
                <s:t xml:space="preserve">Administrator:
6/28上 A款 UPC贴纸 24 pcs
7/12上 B款 客供亚马逊外箱贴纸 1 pcs</s:t>
              </s:r>
            </s:text>
          </item>
        </commentChain>
      </unresolved>
      <resolved/>
    </commentChains>
    <commentChains s:ref="AB347" rgbClr="FF0000">
      <unresolved>
        <commentChain chainId="31fe17fb0c3921cd33f577ba309ffad948269bdf">
          <item id="29b53efd1c870909860f56f79f106702ffa06de7" isNormal="1">
            <s:text>
              <s:r>
                <s:t xml:space="preserve">Administrator:
3002513 7/23 48 pcs</s:t>
              </s:r>
            </s:text>
          </item>
        </commentChain>
      </unresolved>
      <resolved/>
    </commentChains>
    <commentChains s:ref="AD347" rgbClr="FF0000">
      <unresolved>
        <commentChain chainId="2d0af33c947e5a98d6cfde401822d4858fa4b5bf">
          <item id="6ed27ec9c5fb43a2bcbee22b1de9be54d08344c9" isNormal="1">
            <s:text>
              <s:r>
                <s:t xml:space="preserve">Administrator:
6/28上 A款 UPC贴纸 48 pcs
7/12上 B款 客供亚马逊外箱贴纸 2 pcs</s:t>
              </s:r>
            </s:text>
          </item>
        </commentChain>
      </unresolved>
      <resolved/>
    </commentChains>
    <commentChains s:ref="AB348" rgbClr="FF0000">
      <unresolved>
        <commentChain chainId="33bac21a1971b542647515cd0503b806623ded4b">
          <item id="1d35b70f6c45c595216b0341c32fed1981d3f534" isNormal="1">
            <s:text>
              <s:r>
                <s:t xml:space="preserve">Administrator:
3002533 7/23 72 pcs</s:t>
              </s:r>
            </s:text>
          </item>
        </commentChain>
      </unresolved>
      <resolved/>
    </commentChains>
    <commentChains s:ref="AD348" rgbClr="FF0000">
      <unresolved>
        <commentChain chainId="4cc29903a0db4e3a6f50e5a93aa664e093bff17c">
          <item id="5a0fbe63adc327583157114f22e33146706c7ce6" isNormal="1">
            <s:text>
              <s:r>
                <s:t xml:space="preserve">Administrator:
7/3上 E款 UPC贴纸 72 pcs
7/12上 E款 客供亚马逊外箱贴纸 3 pcs</s:t>
              </s:r>
            </s:text>
          </item>
        </commentChain>
      </unresolved>
      <resolved/>
    </commentChains>
    <commentChains s:ref="AB349" rgbClr="FF0000">
      <unresolved>
        <commentChain chainId="806633cb94b9f7ae2b8b1b810fce775660fca5cf">
          <item id="9b2c455806d26649df700dcf8f7c11c7941ac1fe" isNormal="1">
            <s:text>
              <s:r>
                <s:t xml:space="preserve">Administrator:
3002533 7/23 24 pcs</s:t>
              </s:r>
            </s:text>
          </item>
        </commentChain>
      </unresolved>
      <resolved/>
    </commentChains>
    <commentChains s:ref="AD349" rgbClr="FF0000">
      <unresolved>
        <commentChain chainId="bc0894382a50f677868b28c8ca6cc10a1be20b07">
          <item id="d92797d92f2036e3819856960bd2cc37b2adbcd1" isNormal="1">
            <s:text>
              <s:r>
                <s:t xml:space="preserve">Administrator:
7/3上 E款 UPC贴纸 24 pcs
7/12上 E款 客供亚马逊外箱贴纸 1 pcs</s:t>
              </s:r>
            </s:text>
          </item>
        </commentChain>
      </unresolved>
      <resolved/>
    </commentChains>
    <commentChains s:ref="AB350" rgbClr="FF0000">
      <unresolved>
        <commentChain chainId="7b3c1d86bd301d9b00642db1e210132ba064d47d">
          <item id="2133a9b5e0d90d6e83fa50b87ca655b003e1f1d3" isNormal="1">
            <s:text>
              <s:r>
                <s:t xml:space="preserve">Administrator:
3002514 7/23 990 pcs 莫B四楼A6
</s:t>
              </s:r>
            </s:text>
          </item>
        </commentChain>
      </unresolved>
      <resolved/>
    </commentChains>
    <commentChains s:ref="AD350" rgbClr="FF0000">
      <unresolved>
        <commentChain chainId="a22a552a32cf348ed9a9c7389df8d57f31e192f2">
          <item id="2e073cdb29c949e6edc5661b97cfb50f40fed675" isNormal="1">
            <s:text>
              <s:r>
                <s:t xml:space="preserve">Administrator:
7/8上 进口商贴纸 990 pcs</s:t>
              </s:r>
            </s:text>
          </item>
        </commentChain>
      </unresolved>
      <resolved/>
    </commentChains>
    <commentChains s:ref="AB351" rgbClr="FF0000">
      <unresolved>
        <commentChain chainId="d8747e9ff46eeed5bfc27a0776fd66524d2254dd">
          <item id="5ae6d365de42d3267efec4be08ab464f4f17b1f1" isNormal="1">
            <s:text>
              <s:r>
                <s:t xml:space="preserve">Administrator:
3002514 7/23 550 pcs 莫B四楼A6
</s:t>
              </s:r>
            </s:text>
          </item>
        </commentChain>
      </unresolved>
      <resolved/>
    </commentChains>
    <commentChains s:ref="AD351" rgbClr="FF0000">
      <unresolved>
        <commentChain chainId="6802f778b32ae5cdd74cff26a0803ea59aa7e04b">
          <item id="0d339434fc1fd58b8aba27b4cdbd8be4676edb58" isNormal="1">
            <s:text>
              <s:r>
                <s:t xml:space="preserve">Administrator:
6/30上 EAN条码贴纸 550 pcs
 欧洲通用B版30LWEEEE不带电池走货说明书 550 pcs
7/9上 地址产品贴纸 500 pcs 贴纸尺寸订大，需重新补订
7/11上 地址贴纸 500 pcs
</s:t>
              </s:r>
            </s:text>
          </item>
        </commentChain>
      </unresolved>
      <resolved/>
    </commentChains>
    <commentChains s:ref="AB352" rgbClr="FF0000">
      <unresolved>
        <commentChain chainId="dbce03e63969e7d63ca8720eb26e1e1f9bb2fa8d">
          <item id="832db728f9340a5f0a2c41bc3174965cf5d97493" isNormal="1">
            <s:text>
              <s:r>
                <s:t xml:space="preserve">Administrator:
3002514 7/23 506 pcs 莫B四楼A6
</s:t>
              </s:r>
            </s:text>
          </item>
        </commentChain>
      </unresolved>
      <resolved/>
    </commentChains>
    <commentChains s:ref="AD352" rgbClr="FF0000">
      <unresolved>
        <commentChain chainId="3ad7331f04d11b4e2f754cff895768f8c4e3a3d5">
          <item id="778a8034048d44da137572c01d5c13c04b0e19dd" isNormal="1">
            <s:text>
              <s:r>
                <s:t xml:space="preserve">Administrator:
6/28上 WEEE不带电池走货欧洲30语通用黑白说明书 506 pcs</s:t>
              </s:r>
            </s:text>
          </item>
        </commentChain>
      </unresolved>
      <resolved/>
    </commentChains>
    <commentChains s:ref="AB353" rgbClr="FF0000">
      <unresolved>
        <commentChain chainId="aac83af68132e4dfce6ce855a1f667108acc5fb2">
          <item id="e9f0a5fd63fd463fc6c8068bab5a8fdb9eec3b4d" isNormal="1">
            <s:text>
              <s:r>
                <s:t xml:space="preserve">Administrator:
3002476 7/26 682 pcs 华兴三楼B14</s:t>
              </s:r>
            </s:text>
          </item>
        </commentChain>
      </unresolved>
      <resolved/>
    </commentChains>
    <commentChains s:ref="AD353" rgbClr="FF0000">
      <unresolved>
        <commentChain chainId="5d577ef5e2cfc62fb5996e26f06f55fe68f5fb57">
          <item id="de2220d745efbf12c765923e12a3bb16438d84cb" isNormal="1">
            <s:text>
              <s:r>
                <s:t xml:space="preserve">Administrator:
7/7上 进口商贴纸（含客人条码）682 pcs
 外箱贴纸 62 pcs
 PDQ进口商贴纸（含条码） 341 pcs
7/19补上 进口商贴纸  450 pcs</s:t>
              </s:r>
            </s:text>
          </item>
        </commentChain>
      </unresolved>
      <resolved/>
    </commentChains>
    <commentChains s:ref="AB354" rgbClr="FF0000">
      <unresolved>
        <commentChain chainId="0bb5330080d0653b6df97b9a81edfd466e659d5f">
          <item id="f884f6f88e54fa4dd20af3979fc938abfc06ebf4" isNormal="1">
            <s:text>
              <s:r>
                <s:t xml:space="preserve">Administrator:
3002093 7/26 48 pcs 华兴三楼B13</s:t>
              </s:r>
            </s:text>
          </item>
        </commentChain>
      </unresolved>
      <resolved/>
    </commentChains>
    <commentChains s:ref="AD354" rgbClr="FF0000">
      <unresolved>
        <commentChain chainId="e9aa6f433c9de0d45fa0f1f58e640e01532c24e4">
          <item id="f91a70d62c510982486680518a89728416c3b8fa" isNormal="1">
            <s:text>
              <s:r>
                <s:t xml:space="preserve">Administrator:
7/3上 A款 UPC贴纸 48 pcs
7/12上 E款 客供亚马逊外箱贴纸 2 pcs</s:t>
              </s:r>
            </s:text>
          </item>
        </commentChain>
      </unresolved>
      <resolved/>
    </commentChains>
    <commentChains s:ref="AB355" rgbClr="FF0000">
      <unresolved>
        <commentChain chainId="3ce8eb7087e4a7eedcb448bf4b07c43865c4309c">
          <item id="47bd180ab784e45de37acfd5575edc204c0bb561" isNormal="1">
            <s:text>
              <s:r>
                <s:t xml:space="preserve">Administrator:
3002093 7/26 1356 pcs 华兴三楼A16
</s:t>
              </s:r>
            </s:text>
          </item>
        </commentChain>
      </unresolved>
      <resolved/>
    </commentChains>
    <commentChains s:ref="AD355" rgbClr="FF0000">
      <unresolved>
        <commentChain chainId="b4ddbc3c9fc185c4b36a62fdf14bd79f1b51f2c5">
          <item id="978c6c6b1516db57c3dbdfc1e417414fc2b2c7b0" isNormal="1">
            <s:text>
              <s:r>
                <s:t xml:space="preserve">Administrator:
6/18上 白色防盗贴纸 1356 pcs
7/9上 KM外箱贴纸 226 pcs</s:t>
              </s:r>
            </s:text>
          </item>
        </commentChain>
      </unresolved>
      <resolved/>
    </commentChains>
    <commentChains s:ref="AB356" rgbClr="FF0000">
      <unresolved>
        <commentChain chainId="d5e25efdb745eca18ff00d01ae2b42ff4796363a">
          <item id="9985680683efdd1b88cdda79580c366846b02454" isNormal="1">
            <s:text>
              <s:r>
                <s:t xml:space="preserve">Administrator:
3002093 7/26 144 pcs 华兴三楼B12
</s:t>
              </s:r>
            </s:text>
          </item>
        </commentChain>
      </unresolved>
      <resolved/>
    </commentChains>
    <commentChains s:ref="AD356" rgbClr="FF0000">
      <unresolved>
        <commentChain chainId="c3c567d616837da9b75da618f048f0fb6c7cb435">
          <item id="fe4e14bbdcc163c96244e0331f4e8f556b373515" isNormal="1">
            <s:text>
              <s:r>
                <s:t xml:space="preserve">Administrator:
6/18上 白色防盗贴纸 144 pcs
7/9上 KM外箱贴纸 24 pcs
</s:t>
              </s:r>
            </s:text>
          </item>
        </commentChain>
      </unresolved>
      <resolved/>
    </commentChains>
    <commentChains s:ref="AB357" rgbClr="FF0000">
      <unresolved>
        <commentChain chainId="685b50a3660ecfb340a605bbba38b688031382a6">
          <item id="3119d57485dc8195f0a37624b227f256d0e501b2" isNormal="1">
            <s:text>
              <s:r>
                <s:t xml:space="preserve">Administrator:
3002093 7/26 935 pcs 华兴三楼A19
3002085 7/29 11 pcs</s:t>
              </s:r>
            </s:text>
          </item>
        </commentChain>
      </unresolved>
      <resolved/>
    </commentChains>
    <commentChains s:ref="AD357" rgbClr="FF0000">
      <unresolved>
        <commentChain chainId="61e484e8a3fb56afce5e5657bafd92bf570dff6f">
          <item id="853e3764699ce822cc8509827326d499543f5147" isNormal="1">
            <s:text>
              <s:r>
                <s:t xml:space="preserve">Administrator:
7/11上 EAN/瑞典语警告语/进口商贴纸 946 pcs</s:t>
              </s:r>
            </s:text>
          </item>
        </commentChain>
      </unresolved>
      <resolved/>
    </commentChains>
    <commentChains s:ref="AB358" rgbClr="FF0000">
      <unresolved>
        <commentChain chainId="412e431f7f42caaa7ac389d4c99b8438577c54a1">
          <item id="ff507e11df56c24fae92a746e2263fca93e888b7" isNormal="1">
            <s:text>
              <s:r>
                <s:t xml:space="preserve">Administrator:
3002103 7/28 528 pcs</s:t>
              </s:r>
            </s:text>
          </item>
        </commentChain>
      </unresolved>
      <resolved/>
    </commentChains>
    <commentChains s:ref="AD358" rgbClr="FF0000">
      <unresolved>
        <commentChain chainId="6653b7b3fcdffa916613233b1928293df2287d7d">
          <item id="605ea3fca5501512cdab71d43c340301ae7d227e" isNormal="1">
            <s:text>
              <s:r>
                <s:t xml:space="preserve">Administrator:
7/5 上 进口商贴纸 528 pcs</s:t>
              </s:r>
            </s:text>
          </item>
        </commentChain>
      </unresolved>
      <resolved/>
    </commentChains>
    <commentChains s:ref="AB359" rgbClr="FF0000">
      <unresolved>
        <commentChain chainId="dd5170e3cb5373b7721cbd038665fb374e67fa50">
          <item id="00e68a3b20190e079776ed498de54dbd33bfb876" isNormal="1">
            <s:text>
              <s:r>
                <s:t xml:space="preserve">Administrator:
3002103 7/28 418 pcs</s:t>
              </s:r>
            </s:text>
          </item>
        </commentChain>
      </unresolved>
      <resolved/>
    </commentChains>
    <commentChains s:ref="AD359" rgbClr="FF0000">
      <unresolved>
        <commentChain chainId="8c626bd5da33fb1111e12f66be8ea3888eb3f3e6">
          <item id="08a966b3b484c3a15a484590a808effe0fe05172" isNormal="1">
            <s:text>
              <s:r>
                <s:t xml:space="preserve">Administrator:
7/5 上 进口商贴纸 418 pcs</s:t>
              </s:r>
            </s:text>
          </item>
        </commentChain>
      </unresolved>
      <resolved/>
    </commentChains>
    <commentChains s:ref="AB360" rgbClr="FF0000">
      <unresolved>
        <commentChain chainId="891c6385226a3aa4b061c4a83899c53feeed209f">
          <item id="12d59b2e60537b9df8cac0bdaf7eb3c93d88d13e" isNormal="1">
            <s:text>
              <s:r>
                <s:t xml:space="preserve">Administrator:
3002103 7/28 418 pcs</s:t>
              </s:r>
            </s:text>
          </item>
        </commentChain>
      </unresolved>
      <resolved/>
    </commentChains>
    <commentChains s:ref="AD360" rgbClr="FF0000">
      <unresolved>
        <commentChain chainId="403dafac14fe31dd30aba0f587f3723d3ea3753c">
          <item id="4c7706c5879a69085b406fd013021e45652e6de3" isNormal="1">
            <s:text>
              <s:r>
                <s:t xml:space="preserve">Administrator:
7/5 上 进口商贴纸 418 pcs</s:t>
              </s:r>
            </s:text>
          </item>
        </commentChain>
      </unresolved>
      <resolved/>
    </commentChains>
    <commentChains s:ref="AB361" rgbClr="FF0000">
      <unresolved>
        <commentChain chainId="26e6275846db40352795b5d3450997684de7e89c">
          <item id="9cda14c75b6ddbdb22cb90be6f9aecb9b17d51f0" isNormal="1">
            <s:text>
              <s:r>
                <s:t xml:space="preserve">Administrator:
3002103 7/28 154 pcs</s:t>
              </s:r>
            </s:text>
          </item>
        </commentChain>
      </unresolved>
      <resolved/>
    </commentChains>
    <commentChains s:ref="AD361" rgbClr="FF0000">
      <unresolved>
        <commentChain chainId="c4780fc6ebfec473bacdfceb6d496de0731768d8">
          <item id="e37a80005b84f886ed5cec342eef9cb55b8c943e" isNormal="1">
            <s:text>
              <s:r>
                <s:t xml:space="preserve">Administrator:
7/5 上 进口商贴纸 154 pcs</s:t>
              </s:r>
            </s:text>
          </item>
        </commentChain>
      </unresolved>
      <resolved/>
    </commentChains>
    <commentChains s:ref="AB362" rgbClr="FF0000">
      <unresolved>
        <commentChain chainId="797f6d0cc1bd57325437d2ec479351c66caba1b6">
          <item id="4b5f3f0bbe93c79a81fb583023c5a6ac297adf19" isNormal="1">
            <s:text>
              <s:r>
                <s:t xml:space="preserve">Administrator:
3002047 7/30 1012 pcs</s:t>
              </s:r>
            </s:text>
          </item>
        </commentChain>
      </unresolved>
      <resolved/>
    </commentChains>
    <commentChains s:ref="AD362" rgbClr="FF0000">
      <unresolved>
        <commentChain chainId="de2123f19bd7c18e132353d762d7c4cd455cf2d0">
          <item id="a04f262c300511b067fffef0d0fad3cbe1ba483e" isNormal="1">
            <s:text>
              <s:r>
                <s:t xml:space="preserve">Administrator:
7/8上 德语callout翻译贴纸  1012 pcs
WEEE_不带电池走货 _ 说明书欧洲EN+30LB 1012 pcs</s:t>
              </s:r>
            </s:text>
          </item>
        </commentChain>
      </unresolved>
      <resolved/>
    </commentChains>
    <commentChains s:ref="AB363" rgbClr="FF0000">
      <unresolved>
        <commentChain chainId="a237607d61b85aa49f2d65f6cdbbc343105aec6e">
          <item id="a1315959a8eb080206d33ca0fa911d6b89938e9e" isNormal="1">
            <s:text>
              <s:r>
                <s:t xml:space="preserve">Administrator:
3002047 7/30 2256 pcs</s:t>
              </s:r>
            </s:text>
          </item>
        </commentChain>
      </unresolved>
      <resolved/>
    </commentChains>
    <commentChains s:ref="AD363" rgbClr="FF0000">
      <unresolved>
        <commentChain chainId="9618396095c36e7225cb1374befc11336c35763c">
          <item id="9ecff96ecc07a8a7ed96ff9e1a90121db08c56b3" isNormal="1">
            <s:text>
              <s:r>
                <s:t xml:space="preserve">Administrator:
6/11上 进口商贴纸(含EAN条码贴纸） 1680 pcs
 </s:t>
              </s:r>
            </s:text>
          </item>
        </commentChain>
      </unresolved>
      <resolved/>
    </commentChains>
    <commentChains s:ref="AB364" rgbClr="FF0000">
      <unresolved>
        <commentChain chainId="e0b035ca68bb38c29c76c258ee2e4624a6ca4f0c">
          <item id="9a2bffebb3d3bdbc0a0d57b854939630d81b2db4" isNormal="1">
            <s:text>
              <s:r>
                <s:t xml:space="preserve">Administrator:
3002047 7/30 864 pcs</s:t>
              </s:r>
            </s:text>
          </item>
        </commentChain>
      </unresolved>
      <resolved/>
    </commentChains>
    <commentChains s:ref="AD364" rgbClr="FF0000">
      <unresolved>
        <commentChain chainId="3b675adb889eaf57836e3be3cda75dde178c462e">
          <item id="1e722a78396f8edd92fafd8e49b221a7b93e3c5a" isNormal="1">
            <s:text>
              <s:r>
                <s:t xml:space="preserve">Administrator:
6/11上 进口商贴纸(含EAN条码贴纸） 684 pcs
 </s:t>
              </s:r>
            </s:text>
          </item>
        </commentChain>
      </unresolved>
      <resolved/>
    </commentChains>
    <commentChains s:ref="AB365" rgbClr="FF0000">
      <unresolved>
        <commentChain chainId="3a9dbe8403cf4f880080f6b467f14e47b7fe349a">
          <item id="fe5261fce7666bccb5f46c8ff455099a570bee70" isNormal="1">
            <s:text>
              <s:r>
                <s:t xml:space="preserve">Administrator:
3002138 8/2 1512 pcs 华兴三楼B12</s:t>
              </s:r>
            </s:text>
          </item>
        </commentChain>
      </unresolved>
      <resolved/>
    </commentChains>
    <commentChains s:ref="AD365" rgbClr="FF0000">
      <unresolved>
        <commentChain chainId="61605073e3888ce38dc33f78416b1d006ac35422">
          <item id="af990e4d9bde8148224179fabb8dc90d1cffc610" isNormal="1">
            <s:text>
              <s:r>
                <s:t xml:space="preserve">Administrator:
7/11上 WEEE不带电池走货说明书北欧B版 1512 pcs
客人白色Cat.label 1512 pcs</s:t>
              </s:r>
            </s:text>
          </item>
        </commentChain>
      </unresolved>
      <resolved/>
    </commentChains>
    <commentChains s:ref="AB366" rgbClr="FF0000">
      <unresolved>
        <commentChain chainId="76cb2d9dde3aa3648fffb65b321d31dbcb05be59">
          <item id="f0a31aa8ff888103fa3f15e728df44c9b1301047" isNormal="1">
            <s:text>
              <s:r>
                <s:t xml:space="preserve">Administrator:
3002138 8/2 1001 pcs 华兴三楼B11</s:t>
              </s:r>
            </s:text>
          </item>
        </commentChain>
      </unresolved>
      <resolved/>
    </commentChains>
    <commentChains s:ref="AD366" rgbClr="FF0000">
      <unresolved>
        <commentChain chainId="f56d4653d0991f239e91e23b2a5610aa77f9b800">
          <item id="3e374a3c7e8e0e4a2feb37ab75d31bff7ac2e4fb" isNormal="1">
            <s:text>
              <s:r>
                <s:t xml:space="preserve">Administrator:
7/16上 EAN条码贴纸 1001 pcs</s:t>
              </s:r>
            </s:text>
          </item>
        </commentChain>
      </unresolved>
      <resolved/>
    </commentChains>
    <commentChains s:ref="AB367" rgbClr="FF0000">
      <unresolved>
        <commentChain chainId="b64f7c10840f8da0fa3ff40cb4a42bffe479158b">
          <item id="b771db1e96bbebcfd6abc5ac6426d685ee7f184c" isNormal="1">
            <s:text>
              <s:r>
                <s:t xml:space="preserve">Administrator:
3002328 8/6 2288 pcs 华兴三楼A28</s:t>
              </s:r>
            </s:text>
          </item>
        </commentChain>
      </unresolved>
      <resolved/>
    </commentChains>
    <commentChains s:ref="AD367" rgbClr="FF0000">
      <unresolved>
        <commentChain chainId="6c66f3e901d58b0c37df6da598afc589d5b4da34">
          <item id="67dfc709e4bba5a24e3b8d464bfbdd5b0c629019" isNormal="1">
            <s:text>
              <s:r>
                <s:t xml:space="preserve">Administrator:
7/23上 进口商贴纸 2288 pcs
 UPC贴纸 2288 pcs</s:t>
              </s:r>
            </s:text>
          </item>
        </commentChain>
      </unresolved>
      <resolved/>
    </commentChains>
    <commentChains s:ref="AB368" rgbClr="FF0000">
      <unresolved>
        <commentChain chainId="5a79b5e85a50247647d06f0b23b23b70d4181eec">
          <item id="82255351f200d17d14d52395852aa2fe20412072" isNormal="1">
            <s:text>
              <s:r>
                <s:t xml:space="preserve">Administrator:
4000271 8/9 5016 pcs 莫B四楼B9</s:t>
              </s:r>
            </s:text>
          </item>
        </commentChain>
      </unresolved>
      <resolved/>
    </commentChains>
    <commentChains s:ref="AD368" rgbClr="FF0000">
      <unresolved>
        <commentChain chainId="ed12b165818ca57def947cfc2f126cff556cf492">
          <item id="c4a63e3e1125de42b9463d0af4fabfd4772674e4" isNormal="1">
            <s:text>
              <s:r>
                <s:t xml:space="preserve">Administrator:
7/8上 德语callout翻译贴纸  5016 pcs
WEEE_不带电池走货 _ 说明书欧洲EN+30LB 5016 pcs
8/7上 德语翻译贴纸 6028 pcs,注明一下，是补贴纸 上次上的是错的，3*5电池，正确的是2*5电池</s:t>
              </s:r>
            </s:text>
          </item>
        </commentChain>
      </unresolved>
      <resolved/>
    </commentChains>
    <commentChains s:ref="AB369" rgbClr="FF0000">
      <unresolved>
        <commentChain chainId="f63326c5cac25478eb1804029fca914dc088103f">
          <item id="0da9767730dd067817bc9201b210096885f81419" isNormal="1">
            <s:text>
              <s:r>
                <s:t xml:space="preserve">Administrator:
3002311 8/8 506 pcs 华兴三楼B8</s:t>
              </s:r>
            </s:text>
          </item>
        </commentChain>
      </unresolved>
      <resolved/>
    </commentChains>
    <commentChains s:ref="AB370" rgbClr="FF0000">
      <unresolved>
        <commentChain chainId="1e2afa4fa2f87c4bafb547f315e58aee92fbc9fc">
          <item id="d7bab26adbd7b5eeb47768b4dba8fe7c268893fa" isNormal="1">
            <s:text>
              <s:r>
                <s:t xml:space="preserve">Administrator:
3002328 8/6 1512 pcs 华兴三楼B14</s:t>
              </s:r>
            </s:text>
          </item>
        </commentChain>
      </unresolved>
      <resolved/>
    </commentChains>
    <commentChains s:ref="AD370" rgbClr="FF0000">
      <unresolved>
        <commentChain chainId="94e918dbeeec5c5ce8f06f1c2503918a4d6ed5d5">
          <item id="4703f75c4e16ffae5426da68754a48bf50ad2730" isNormal="1">
            <s:text>
              <s:r>
                <s:t xml:space="preserve">Administrator:
6/11上 进口商贴纸(含EAN条码贴纸） 1512 pcs
 </s:t>
              </s:r>
            </s:text>
          </item>
        </commentChain>
      </unresolved>
      <resolved/>
    </commentChains>
    <commentChains s:ref="AB371" rgbClr="FF0000">
      <unresolved>
        <commentChain chainId="184b1807fbe4956956ad0e30ea75cdc5a0e43449">
          <item id="effd9bce9f93ea1c6904e6aa98dd5afcd066c146" isNormal="1">
            <s:text>
              <s:r>
                <s:t xml:space="preserve">Administrator:
3002328 8/6 576 pcs 华兴三楼A27</s:t>
              </s:r>
            </s:text>
          </item>
        </commentChain>
      </unresolved>
      <resolved/>
    </commentChains>
    <commentChains s:ref="AD371" rgbClr="FF0000">
      <unresolved>
        <commentChain chainId="8f755375155ed9bdaf32d50c6bbaff0520503dac">
          <item id="4c64469ca7398bde06ac522d25bdabdd553edfbb" isNormal="1">
            <s:text>
              <s:r>
                <s:t xml:space="preserve">Administrator:
6/11上 进口商贴纸(含EAN条码贴纸） 576 pcs
 </s:t>
              </s:r>
            </s:text>
          </item>
        </commentChain>
      </unresolved>
      <resolved/>
    </commentChains>
    <commentChains s:ref="AB372" rgbClr="FF0000">
      <unresolved>
        <commentChain chainId="78c03104e52da4a2d136cec14d0ae59c74a0a37d">
          <item id="9276373470ffa05638c668cd78ab67e38ac42194" isNormal="1">
            <s:text>
              <s:r>
                <s:t xml:space="preserve">Administrator:
3002327 8/6 24 pcs 华兴三楼A27</s:t>
              </s:r>
            </s:text>
          </item>
        </commentChain>
      </unresolved>
      <resolved/>
    </commentChains>
    <commentChains s:ref="AD372" rgbClr="FF0000">
      <unresolved>
        <commentChain chainId="1cfe7b1f6de48fa8800fd326b6277d96be385c0f">
          <item id="8fc4db00cc42565640bc4e75a8f3e099576d549a" isNormal="1">
            <s:text>
              <s:r>
                <s:t xml:space="preserve">Administrator:
7/16上 E款 UPC贴纸 24 pcs
7/23上 客供外箱贴纸 1 pcs
</s:t>
              </s:r>
            </s:text>
          </item>
        </commentChain>
      </unresolved>
      <resolved/>
    </commentChains>
    <commentChains s:ref="AB373" rgbClr="FF0000">
      <unresolved>
        <commentChain chainId="bd15aaab31427842c975187fe0d4272ca390cd3d">
          <item id="55ab1b7168c02189f6fff245a3d6147d1c166c19" isNormal="1">
            <s:text>
              <s:r>
                <s:t xml:space="preserve">Administrator:
3002327 8/6 48 pcs 华兴三楼A27
</s:t>
              </s:r>
            </s:text>
          </item>
        </commentChain>
      </unresolved>
      <resolved/>
    </commentChains>
    <commentChains s:ref="AD373" rgbClr="FF0000">
      <unresolved>
        <commentChain chainId="69763f36672696fdfbf34cab55e38209b8b81ea2">
          <item id="52fea89683859a2ce8f5258b1dbb14f2cc029993" isNormal="1">
            <s:text>
              <s:r>
                <s:t xml:space="preserve">Administrator:
7/16上 E款 UPC贴纸 48 pcs
7/23上 客供外箱贴纸 2 pcs
</s:t>
              </s:r>
            </s:text>
          </item>
        </commentChain>
      </unresolved>
      <resolved/>
    </commentChains>
    <commentChains s:ref="AB374" rgbClr="FF0000">
      <unresolved>
        <commentChain chainId="92e3d64bba10810506e13efabe5ba866072a8eb7">
          <item id="0a952901a5120463bb92ab2fce2ba77998ab6dc5" isNormal="1">
            <s:text>
              <s:r>
                <s:t xml:space="preserve">Administrator:
3002327 8/6 24 pcs 华兴三楼A27
</s:t>
              </s:r>
            </s:text>
          </item>
        </commentChain>
      </unresolved>
      <resolved/>
    </commentChains>
    <commentChains s:ref="AD374" rgbClr="FF0000">
      <unresolved>
        <commentChain chainId="93f418a9c0bbe9e1e6fad0690a404c4d8fa70ab8">
          <item id="79cf68ecb87bc0efa4556a04d3aec375542e7e3e" isNormal="1">
            <s:text>
              <s:r>
                <s:t xml:space="preserve">Administrator:
7/16上 E款 UPC贴纸 24 pcs
7/23上 客供外箱贴纸 1 pcs
</s:t>
              </s:r>
            </s:text>
          </item>
        </commentChain>
      </unresolved>
      <resolved/>
    </commentChains>
    <commentChains s:ref="AB375" rgbClr="FF0000">
      <unresolved>
        <commentChain chainId="f0d93980ea0c68f13dccbd58521679e49d8973d0">
          <item id="3d63cf560663769455149d1c0d26a999661dbd29" isNormal="1">
            <s:text>
              <s:r>
                <s:t xml:space="preserve">Administrator:
3002327 8/6 24 pcs 华兴三楼A27
</s:t>
              </s:r>
            </s:text>
          </item>
        </commentChain>
      </unresolved>
      <resolved/>
    </commentChains>
    <commentChains s:ref="AD375" rgbClr="FF0000">
      <unresolved>
        <commentChain chainId="b8ec0a1a00df4b6c52dc51edfd9f8c91fc10de95">
          <item id="4602067ea305cfcbc8f2e64f8b1f6a271c8c391d" isNormal="1">
            <s:text>
              <s:r>
                <s:t xml:space="preserve">Administrator:
7/16上 A款 UPC贴纸 24 pcs
7/23上 客供外箱贴纸 1 pcs</s:t>
              </s:r>
            </s:text>
          </item>
        </commentChain>
      </unresolved>
      <resolved/>
    </commentChains>
    <commentChains s:ref="AB376" rgbClr="FF0000">
      <unresolved>
        <commentChain chainId="3c6f08608bd0e68c02f8d8db6deee4bbcf7b7313">
          <item id="be8f19d66dc61d2888862d16e045591542d7c4db" isNormal="1">
            <s:text>
              <s:r>
                <s:t xml:space="preserve">Administrator:
3002327 8/6 24 pcs 华兴三楼A27
</s:t>
              </s:r>
            </s:text>
          </item>
        </commentChain>
      </unresolved>
      <resolved/>
    </commentChains>
    <commentChains s:ref="AD376" rgbClr="FF0000">
      <unresolved>
        <commentChain chainId="1aec0902ba486fc5f73af3a76acf557619585600">
          <item id="3a264516a4eb20a3b6244f55e7290e3c2d109b27" isNormal="1">
            <s:text>
              <s:r>
                <s:t xml:space="preserve">Administrator:
7/16上 A款 UPC贴纸 24 pcs
7/23上 客供外箱贴纸 1 pcs
</s:t>
              </s:r>
            </s:text>
          </item>
        </commentChain>
      </unresolved>
      <resolved/>
    </commentChains>
    <commentChains s:ref="AB377" rgbClr="FF0000">
      <unresolved>
        <commentChain chainId="2cd5a200c9be7c3399a88ae8f54cc8767f2b2ef2">
          <item id="251d684d51f7835401c100d92af35180cbc01481" isNormal="1">
            <s:text>
              <s:r>
                <s:t xml:space="preserve">Administrator:
3002327 8/6 24 pcs 华兴三楼A27
</s:t>
              </s:r>
            </s:text>
          </item>
        </commentChain>
      </unresolved>
      <resolved/>
    </commentChains>
    <commentChains s:ref="AD377" rgbClr="FF0000">
      <unresolved>
        <commentChain chainId="c444d67bca24176692e8b0b397d7749aa5f5a84d">
          <item id="c75448475b5786fb0239ad3e663d1bb19e721ae8" isNormal="1">
            <s:text>
              <s:r>
                <s:t xml:space="preserve">Administrator:
7/16上 A款 UPC贴纸 24 pcs
7/23上 客供外箱贴纸 1 pcs
</s:t>
              </s:r>
            </s:text>
          </item>
        </commentChain>
      </unresolved>
      <resolved/>
    </commentChains>
    <commentChains s:ref="AB378" rgbClr="FF0000">
      <unresolved>
        <commentChain chainId="2e427ebed544447f993ed801f1694283ff341212">
          <item id="9dec3f401dfd8e2f60097543a67beeba18bcc4e5" isNormal="1">
            <s:text>
              <s:r>
                <s:t xml:space="preserve">Administrator:
3002327 8/6 48 pcs 华兴三楼A27
</s:t>
              </s:r>
            </s:text>
          </item>
        </commentChain>
      </unresolved>
      <resolved/>
    </commentChains>
    <commentChains s:ref="AD378" rgbClr="FF0000">
      <unresolved>
        <commentChain chainId="52cc5b2d985911a9ab0fa0c942ff062bd3ceb32d">
          <item id="a98f4f0597fa56a34fb2fa126f41e2f2b32d01af" isNormal="1">
            <s:text>
              <s:r>
                <s:t xml:space="preserve">Administrator:
7/16上 A款 UPC贴纸 48 pcs
7/23上 客供外箱贴纸 2 pcs
</s:t>
              </s:r>
            </s:text>
          </item>
        </commentChain>
      </unresolved>
      <resolved/>
    </commentChains>
    <commentChains s:ref="AB379" rgbClr="FF0000">
      <unresolved>
        <commentChain chainId="515f21513210e1ff9f44d55e7e1190eb7f315bce">
          <item id="fa173bfe272569d186f2a45d5c45fd463be6f2cd" isNormal="1">
            <s:text>
              <s:r>
                <s:t xml:space="preserve">Administrator:
3002327 8/6 24 pcs 华兴三楼A27
</s:t>
              </s:r>
            </s:text>
          </item>
        </commentChain>
      </unresolved>
      <resolved/>
    </commentChains>
    <commentChains s:ref="AD379" rgbClr="FF0000">
      <unresolved>
        <commentChain chainId="71ba06428b6f0966c09257ee78311bde1b1180e3">
          <item id="07ef1fff58048d7e078f176495aec79ddbe8169c" isNormal="1">
            <s:text>
              <s:r>
                <s:t xml:space="preserve">Administrator:
7/16上 A款 UPC贴纸 24 pcs
7/23上 客供外箱贴纸 1 pcs
</s:t>
              </s:r>
            </s:text>
          </item>
        </commentChain>
      </unresolved>
      <resolved/>
    </commentChains>
    <commentChains s:ref="AB380" rgbClr="FF0000">
      <unresolved>
        <commentChain chainId="9dd34df6745f31cbb37fc929aca2d8a083a1e642">
          <item id="a97f1e967321845d22730517794cf56b197c65f1" isNormal="1">
            <s:text>
              <s:r>
                <s:t xml:space="preserve">Administrator:
3002327 8/6 48 pcs 华兴三楼A27
</s:t>
              </s:r>
            </s:text>
          </item>
        </commentChain>
      </unresolved>
      <resolved/>
    </commentChains>
    <commentChains s:ref="AD380" rgbClr="FF0000">
      <unresolved>
        <commentChain chainId="6d5babf8f4ecb3d1c232730a464032220ac95080">
          <item id="241feeac78d6d3c49c4811546beead46038c6290" isNormal="1">
            <s:text>
              <s:r>
                <s:t xml:space="preserve">Administrator:
7/16上 D款 UPC贴纸48 pcs
7/23上 客供外箱贴纸 2 pcs
</s:t>
              </s:r>
            </s:text>
          </item>
        </commentChain>
      </unresolved>
      <resolved/>
    </commentChains>
    <commentChains s:ref="AB381" rgbClr="FF0000">
      <unresolved>
        <commentChain chainId="8a66e99b77c86d28be3fa2153cc93fe85ff09a06">
          <item id="1a98ef125a6b7b219694b5cec5c68c934e5bbeda" isNormal="1">
            <s:text>
              <s:r>
                <s:t xml:space="preserve">Administrator:
3002327 8/6 48 pcs 华兴三楼A27
</s:t>
              </s:r>
            </s:text>
          </item>
        </commentChain>
      </unresolved>
      <resolved/>
    </commentChains>
    <commentChains s:ref="AD381" rgbClr="FF0000">
      <unresolved>
        <commentChain chainId="294fdf1ac0d5df38dafcd893c01d78b2e9f647cc">
          <item id="b3e82a06b4d24f896f1f4e0297b18bc8828e4068" isNormal="1">
            <s:text>
              <s:r>
                <s:t xml:space="preserve">Administrator:
7/16上 D款 UPC贴纸48 pcs
7/23上 客供外箱贴纸 2 pcs
</s:t>
              </s:r>
            </s:text>
          </item>
        </commentChain>
      </unresolved>
      <resolved/>
    </commentChains>
    <commentChains s:ref="AB382" rgbClr="FF0000">
      <unresolved>
        <commentChain chainId="d2bb53e3c0cf282eaccbe8c27640ae27e165fc94">
          <item id="b1edf9d90db9ccebc571bd94bb81242a7c55f671" isNormal="1">
            <s:text>
              <s:r>
                <s:t xml:space="preserve">Administrator:
3002327 8/6 24 pcs 华兴三楼A27
</s:t>
              </s:r>
            </s:text>
          </item>
        </commentChain>
      </unresolved>
      <resolved/>
    </commentChains>
    <commentChains s:ref="AD382" rgbClr="FF0000">
      <unresolved>
        <commentChain chainId="691c1fcca4a3fe25c6c22fdf00a63fca5fc5d221">
          <item id="35fff15cace75c8d741e5cd755d3603107727546" isNormal="1">
            <s:text>
              <s:r>
                <s:t xml:space="preserve">Administrator:
7/16上 D款 UPC贴纸 24 pcs
7/23上 客供外箱贴纸 1 pcs
</s:t>
              </s:r>
            </s:text>
          </item>
        </commentChain>
      </unresolved>
      <resolved/>
    </commentChains>
    <commentChains s:ref="AB383" rgbClr="FF0000">
      <unresolved>
        <commentChain chainId="857319412275d7d4f45e508000e8c16089aa4213">
          <item id="58ed0fab08e97841199296d99cdd7f27464c8eb3" isNormal="1">
            <s:text>
              <s:r>
                <s:t xml:space="preserve">Administrator:
3002327 8/6 72 pcs 华兴三楼A27
</s:t>
              </s:r>
            </s:text>
          </item>
        </commentChain>
      </unresolved>
      <resolved/>
    </commentChains>
    <commentChains s:ref="AD383" rgbClr="FF0000">
      <unresolved>
        <commentChain chainId="2f2f0c3381c6c1fcd6f21f89e0af7499750bb67f">
          <item id="9d57d64ff8c3ee8232823e4d1dc8c3ff8e687680" isNormal="1">
            <s:text>
              <s:r>
                <s:t xml:space="preserve">Administrator:
7/16上 D款 UPC贴纸 72 pcs
7/23上 客供外箱贴纸 3 pcs
</s:t>
              </s:r>
            </s:text>
          </item>
        </commentChain>
      </unresolved>
      <resolved/>
    </commentChains>
    <commentChains s:ref="AB384" rgbClr="FF0000">
      <unresolved>
        <commentChain chainId="d8bdd9752d430d41bd890ddbb7e51ef0b6d98344">
          <item id="07aad1d083d4718270434c38714ab638c753b63d" isNormal="1">
            <s:text>
              <s:r>
                <s:t xml:space="preserve">Administrator:
4000348 8/12 2000 pcs 新仓库一楼B6</s:t>
              </s:r>
            </s:text>
          </item>
        </commentChain>
      </unresolved>
      <resolved/>
    </commentChains>
    <commentChains s:ref="AD384" rgbClr="FF0000">
      <unresolved>
        <commentChain chainId="45539c4afa7ed624f3106c49c14f8d4c8b7fd585">
          <item id="520e1a04d4b9975ca59861ce955be207b5f3598e" isNormal="1">
            <s:text>
              <s:r>
                <s:t xml:space="preserve">Administrator:
7/24上 客供价格贴纸 2100 pcs</s:t>
              </s:r>
            </s:text>
          </item>
        </commentChain>
      </unresolved>
      <resolved/>
    </commentChains>
    <commentChains s:ref="AB385" rgbClr="FF0000">
      <unresolved>
        <commentChain chainId="533a34bd8f4eb15d90e5d0ac939799ad9af96f67">
          <item id="51a5cbb85060fba0c51ea5e6ef0427084b11ddf9" isNormal="1">
            <s:text>
              <s:r>
                <s:t xml:space="preserve">Administrator:
400534 8/14 1848 pcs 莫B四楼A1</s:t>
              </s:r>
            </s:text>
          </item>
        </commentChain>
      </unresolved>
      <resolved/>
    </commentChains>
    <commentChains s:ref="AB386" rgbClr="FF0000">
      <unresolved>
        <commentChain chainId="61b3def3433c0f7746b02e892ec7cfb8f4735a7d">
          <item id="1808c26d0a858397cd2cb5d9894cc3f9dd0deffa" isNormal="1">
            <s:text>
              <s:r>
                <s:t xml:space="preserve">Administrator:
400534 8/14 2640 pcs 莫B四楼A1
</s:t>
              </s:r>
            </s:text>
          </item>
        </commentChain>
      </unresolved>
      <resolved/>
    </commentChains>
    <commentChains s:ref="AB387" rgbClr="FF0000">
      <unresolved>
        <commentChain chainId="ac3417d3ac057e1ad308b53869ff92f5c383f48a">
          <item id="7ca7df930fe0524ca0b4b2f30246d72387335ab1" isNormal="1">
            <s:text>
              <s:r>
                <s:t xml:space="preserve">Administrator:
4000551 8/15 2000 pcs 华兴一楼F12</s:t>
              </s:r>
            </s:text>
          </item>
        </commentChain>
      </unresolved>
      <resolved/>
    </commentChains>
    <commentChains s:ref="AD387" rgbClr="FF0000">
      <unresolved>
        <commentChain chainId="73e44362966c2bb0a48b4638a4c21456aaae0485">
          <item id="96fa5efb9a4038d81971502c9085293610390783" isNormal="1">
            <s:text>
              <s:r>
                <s:t xml:space="preserve">Administrator:
7/16上 客供价格贴纸 2100 pcs</s:t>
              </s:r>
            </s:text>
          </item>
        </commentChain>
      </unresolved>
      <resolved/>
    </commentChains>
    <commentChains s:ref="AB388" rgbClr="FF0000">
      <unresolved>
        <commentChain chainId="da5b885fd4f0af7b8da66e325946561436dea539">
          <item id="b5a6b1ad2ba5bcc678bc1cad957edb5fce68166f" isNormal="1">
            <s:text>
              <s:r>
                <s:t xml:space="preserve">Administrator:
4000551 8/15 1504 pcs 华兴一楼f12</s:t>
              </s:r>
            </s:text>
          </item>
        </commentChain>
      </unresolved>
      <resolved/>
    </commentChains>
    <commentChains s:ref="AD388" rgbClr="FF0000">
      <unresolved>
        <commentChain chainId="80f3cf14596a57fd1342fc468ed9d75f83f7fc3c">
          <item id="d38bf2adc3bc7f538e95c52fbad077f2a9d2eab2" isNormal="1">
            <s:text>
              <s:r>
                <s:t xml:space="preserve">Administrator:
7/16上 客供价格贴纸 1575 pcs</s:t>
              </s:r>
            </s:text>
          </item>
        </commentChain>
      </unresolved>
      <resolved/>
    </commentChains>
    <commentChains s:ref="AB389" rgbClr="FF0000">
      <unresolved>
        <commentChain chainId="0890bb4636cb58fc2317a1b4734bd48636835933">
          <item id="2bedfe997f79e32a442ba833407eabc7cf5f46b1" isNormal="1">
            <s:text>
              <s:r>
                <s:t xml:space="preserve">Administrator:
4000348 8/12 1606 pcs 新仓库一楼B7</s:t>
              </s:r>
            </s:text>
          </item>
        </commentChain>
      </unresolved>
      <resolved/>
    </commentChains>
    <commentChains s:ref="AD389" rgbClr="FF0000">
      <unresolved>
        <commentChain chainId="f0395c6a86b4ff75081d3cefadea387d4149359f">
          <item id="264e2c963064c670975b3b7de0445853cd9448d8" isNormal="1">
            <s:text>
              <s:r>
                <s:t xml:space="preserve">Administrator:
8/1上 SSCC外箱贴纸 73 pcs</s:t>
              </s:r>
            </s:text>
          </item>
        </commentChain>
      </unresolved>
      <resolved/>
    </commentChains>
    <commentChains s:ref="AB390" rgbClr="FF0000">
      <unresolved>
        <commentChain chainId="32646fe3dd3550b126c854ee41f34a77fbe193a3">
          <item id="9d30f4af2f5ff4427464091b82b5d42ef79d23ac" isNormal="1">
            <s:text>
              <s:r>
                <s:t xml:space="preserve">Administrator:
4000590 8/18 660 pcs 华兴三楼B4</s:t>
              </s:r>
            </s:text>
          </item>
        </commentChain>
      </unresolved>
      <resolved/>
    </commentChains>
    <commentChains s:ref="AB391" rgbClr="FF0000">
      <unresolved>
        <commentChain chainId="dc26805aac988da7405502d61c9f73a37a9f2b43">
          <item id="204e80416699dbb19c60207870bce95741c4b933" isNormal="1">
            <s:text>
              <s:r>
                <s:t xml:space="preserve">Administrator:
4000568 8/16 3212 pcs 莫B四楼B8</s:t>
              </s:r>
            </s:text>
          </item>
        </commentChain>
      </unresolved>
      <resolved/>
    </commentChains>
    <commentChains s:ref="AD391" rgbClr="FF0000">
      <unresolved>
        <commentChain chainId="03e4cd5021d504c1a6a3737b9be7ff6cea130b1b">
          <item id="0b08cf728944cd268fb8808cb5fe6e0035aeb085" isNormal="1">
            <s:text>
              <s:r>
                <s:t xml:space="preserve">Administrator:
7/25上 德语callout翻译贴纸 3212 pcs
 产品贴纸 3212 pcs
 WEEE声明通用30L-B版说明书 3212 pcs</s:t>
              </s:r>
            </s:text>
          </item>
        </commentChain>
      </unresolved>
      <resolved/>
    </commentChains>
    <commentChains s:ref="AB392" rgbClr="FF0000">
      <unresolved>
        <commentChain chainId="dc3f16fa04ff677598ad77c0ba83e52f0dc0d7af">
          <item id="35201ab981621283a97f8f6b6cdcea6c4a463abe" isNormal="1">
            <s:text>
              <s:r>
                <s:t xml:space="preserve">Administrator:
4000590 8/18 1200 pcs 华兴三楼B11</s:t>
              </s:r>
            </s:text>
          </item>
        </commentChain>
      </unresolved>
      <resolved/>
    </commentChains>
    <commentChains s:ref="AD392" rgbClr="FF0000">
      <unresolved>
        <commentChain chainId="998ca7a5b446557f61a026ec104512a9b6fd8509">
          <item id="23b642e80b8fd96e28363cf72dd96276a606ff7a" isNormal="1">
            <s:text>
              <s:r>
                <s:t xml:space="preserve">Administrator:
7/24上 价格贴纸 1200 pcs
 外箱条码贴纸 100 pcs</s:t>
              </s:r>
            </s:text>
          </item>
        </commentChain>
      </unresolved>
      <resolved/>
    </commentChains>
    <commentChains s:ref="AB393" rgbClr="FF0000">
      <unresolved>
        <commentChain chainId="ed167b7c24c5f2d33e271d541500624415385faf">
          <item id="b479394fa7e465db99a36ab5fcd9c324d4c880bc" isNormal="1">
            <s:text>
              <s:r>
                <s:t xml:space="preserve">Administrator:
4000614 8/19 1458 pcs 莫B四楼B4</s:t>
              </s:r>
            </s:text>
          </item>
        </commentChain>
      </unresolved>
      <resolved/>
    </commentChains>
    <commentChains s:ref="AD393" rgbClr="FF0000">
      <unresolved>
        <commentChain chainId="06c2506ea6648e1646d0859c633b4222f942dfd0">
          <item id="b3bdb967bae00f733c1ba8da89bae5f8b47c6f7a" isNormal="1">
            <s:text>
              <s:r>
                <s:t xml:space="preserve">Administrator:
7/16上 白色防盗贴纸 1458 pcs
7/31上 SSCC外箱贴纸 243 pcs</s:t>
              </s:r>
            </s:text>
          </item>
        </commentChain>
      </unresolved>
      <resolved/>
    </commentChains>
    <commentChains s:ref="AB394" rgbClr="FF0000">
      <unresolved>
        <commentChain chainId="25123a36baed387b28dd06b37720de68a0329ae2">
          <item id="5f495229f286935684114bb2d5b7b57d3a61cc39" isNormal="1">
            <s:text>
              <s:r>
                <s:t xml:space="preserve">Administrator:
4000614 8/19 42 pcs 莫B四楼B8</s:t>
              </s:r>
            </s:text>
          </item>
        </commentChain>
      </unresolved>
      <resolved/>
    </commentChains>
    <commentChains s:ref="AD394" rgbClr="FF0000">
      <unresolved>
        <commentChain chainId="3af079cc4de0795b4f904da3c20c0b86413e0d82">
          <item id="91c4d448abf18747cfcd95264660921714ca4f6e" isNormal="1">
            <s:text>
              <s:r>
                <s:t xml:space="preserve">Administrator:
7/16上 白色防盗贴纸 42 pcs
7/31上 SSCC外箱贴纸 7 pcs
</s:t>
              </s:r>
            </s:text>
          </item>
        </commentChain>
      </unresolved>
      <resolved/>
    </commentChains>
    <commentChains s:ref="AB395" rgbClr="FF0000">
      <unresolved>
        <commentChain chainId="820ce93fe7c224e4d74c2f2b62bf840df9bed139">
          <item id="d4c45521bdcc4af65324acbd99e620b6ba8f212b" isNormal="1">
            <s:text>
              <s:r>
                <s:t xml:space="preserve">Administrator:
4000590 8/18 1008 pcs 华兴一楼F3</s:t>
              </s:r>
            </s:text>
          </item>
        </commentChain>
      </unresolved>
      <resolved/>
    </commentChains>
    <commentChains s:ref="AD395" rgbClr="FF0000">
      <unresolved>
        <commentChain chainId="efe46233690f6111d279cf67b9e8d4fab398c827">
          <item id="24846de8de6707407a14acfcdd984f4c0a1c7760" isNormal="1">
            <s:text>
              <s:r>
                <s:t xml:space="preserve">Administrator:
7/11上 进口商贴纸 1008 pcs</s:t>
              </s:r>
            </s:text>
          </item>
        </commentChain>
      </unresolved>
      <resolved/>
    </commentChains>
    <commentChains s:ref="AB396" rgbClr="FF0000">
      <unresolved>
        <commentChain chainId="2d13ab15f4d5b6d04b4d786d5cd7cb1aec6b92ad">
          <item id="8194493b8f61ff953952c4cfcc21bc8711123f08" isNormal="1">
            <s:text>
              <s:r>
                <s:t xml:space="preserve">Administrator:
4000641 8/20 1504 pcs 新仓库一楼B8</s:t>
              </s:r>
            </s:text>
          </item>
        </commentChain>
      </unresolved>
      <resolved/>
    </commentChains>
    <commentChains s:ref="AD396" rgbClr="FF0000">
      <unresolved>
        <commentChain chainId="64079ce477a3027792b80cd262eb0880c55449ce">
          <item id="b307db20e7ecdf3601251f10431aacf41e8edec9" isNormal="1">
            <s:text>
              <s:r>
                <s:t xml:space="preserve">Administrator:
8/14上 客供价格贴纸 1575 pcs</s:t>
              </s:r>
            </s:text>
          </item>
        </commentChain>
      </unresolved>
      <resolved/>
    </commentChains>
    <commentChains s:ref="AB397" rgbClr="FF0000">
      <unresolved>
        <commentChain chainId="14cf7021b4903154d7a284606b9fce7416320bf7">
          <item id="3a928a94acc5ad5149faa0306ec1933f27429ff4" isNormal="1">
            <s:text>
              <s:r>
                <s:t xml:space="preserve">Administrator:
4000631 8/21 1504 pcs 新仓库一楼B5</s:t>
              </s:r>
            </s:text>
          </item>
        </commentChain>
      </unresolved>
      <resolved/>
    </commentChains>
    <commentChains s:ref="AD397" rgbClr="FF0000">
      <unresolved>
        <commentChain chainId="5f0714b90bf81c9dbf6da79fd134243e496f3974">
          <item id="510ae2ca31e668678e3bdbde38fe9b1570e996d5" isNormal="1">
            <s:text>
              <s:r>
                <s:t xml:space="preserve">Administrator:
8/14上 客供价格贴纸 1575 pcs</s:t>
              </s:r>
            </s:text>
          </item>
        </commentChain>
      </unresolved>
      <resolved/>
    </commentChains>
    <commentChains s:ref="AB398" rgbClr="FF0000">
      <unresolved>
        <commentChain chainId="b28c5f3daede1922487306938927e66158053cd3">
          <item id="749da7e65bdc76ccf1c3f25ace87bc2e75ec9f1c" isNormal="1">
            <s:text>
              <s:r>
                <s:t xml:space="preserve">Administrator:
4000641 8/20 616 pcs 新仓库一楼B8</s:t>
              </s:r>
            </s:text>
          </item>
        </commentChain>
      </unresolved>
      <resolved/>
    </commentChains>
    <commentChains s:ref="AD398" rgbClr="FF0000">
      <unresolved>
        <commentChain chainId="d9a4735d1c6c0354fe53498cea713b5b550366b2">
          <item id="e390e052b8d4e8f236f65a78ad7b6ab20a8d2d83" isNormal="1">
            <s:text>
              <s:r>
                <s:t xml:space="preserve">Administrator:
8/2上 客供价格贴纸 630 pcs</s:t>
              </s:r>
            </s:text>
          </item>
        </commentChain>
      </unresolved>
      <resolved/>
    </commentChains>
    <commentChains s:ref="AB399" rgbClr="FF0000">
      <unresolved>
        <commentChain chainId="756d2a8c0b35694fde1dddd06ac7486f918d27e3">
          <item id="6583d65f087f5a90426b6a53d8fdaafbc47b9796" isNormal="1">
            <s:text>
              <s:r>
                <s:t xml:space="preserve">Administrator:
4000641 8/20 2420 pcs 新仓库一楼A5</s:t>
              </s:r>
            </s:text>
          </item>
        </commentChain>
      </unresolved>
      <resolved/>
    </commentChains>
    <commentChains s:ref="AD399" rgbClr="FF0000">
      <unresolved>
        <commentChain chainId="91c48ed69c58c55c10527a90227484b1f9fe40a3">
          <item id="3863698f5981be8dd28d14e528bbc8b90d3b7b01" isNormal="1">
            <s:text>
              <s:r>
                <s:t xml:space="preserve">Administrator:
7/28上 B版 WEEE 30L不带电池走货说明书 2420 pcs 
 EAN贴纸 2420 pcs
8/5上 可语可折叠贴纸 2420 pcs
8/8补上 B款 EAN贴纸 660 pcs
      A款 EAN贴纸 550 pcs
8/11上 地址贴纸 2420 pcs
</s:t>
              </s:r>
            </s:text>
          </item>
        </commentChain>
      </unresolved>
      <resolved/>
    </commentChains>
    <commentChains s:ref="AB400" rgbClr="FF0000">
      <unresolved>
        <commentChain chainId="3765b591561b12e49b472ca131c245fa31f982ce">
          <item id="f2d446a4d8e10b5cddd07b357a2f06fba793286c" isNormal="1">
            <s:text>
              <s:r>
                <s:t xml:space="preserve">Administrator:
4000245 8/22 4879 pcs 莫B四楼C7
4000227 8/22 1120 pcs 莫B四楼C7</s:t>
              </s:r>
            </s:text>
          </item>
        </commentChain>
      </unresolved>
      <resolved/>
    </commentChains>
    <commentChains s:ref="AD400" rgbClr="FF0000">
      <unresolved>
        <commentChain chainId="eb6bc0a9542586890469405322535668ffbb696f">
          <item id="c225be451a01728122b34089bed3372ab336cc32" isNormal="1">
            <s:text>
              <s:r>
                <s:t xml:space="preserve">Administrator:
5/30上 欧洲通用30L WEEE说明书纸 5999 pcs</s:t>
              </s:r>
            </s:text>
          </item>
        </commentChain>
      </unresolved>
      <resolved/>
    </commentChains>
    <commentChains s:ref="AB401" rgbClr="FF0000">
      <unresolved>
        <commentChain chainId="c339ea0536dfa8fe3cbe2f5685f9bac27fb5983b">
          <item id="3ed0c1b4d11c8f945b232628dcc521d68983933b" isNormal="1">
            <s:text>
              <s:r>
                <s:t xml:space="preserve">Administrator:
400236 8/21 1210 pcs莫B四楼A7</s:t>
              </s:r>
            </s:text>
          </item>
        </commentChain>
      </unresolved>
      <resolved/>
    </commentChains>
    <commentChains s:ref="AD401" rgbClr="FF0000">
      <unresolved>
        <commentChain chainId="85680a82908c2657b7884c04293d22c2c335bc19">
          <item id="c56cc2c9d760d2923bffa35f3f11cf2ef1e74145" isNormal="1">
            <s:text>
              <s:r>
                <s:t xml:space="preserve">Administrator:
7/29上 WEEE_不带电池走货 _ 说明书欧洲EN+30L 1210 pcs
7/30上 客人款号带EAN条码 1210 pcs
生产做错补
8/19补上 客人款号带EAN条码贴纸 1210 pcs</s:t>
              </s:r>
            </s:text>
          </item>
        </commentChain>
      </unresolved>
      <resolved/>
    </commentChains>
    <commentChains s:ref="AB402" rgbClr="FF0000">
      <unresolved>
        <commentChain chainId="a11ab1bd9df33abe3e407490593ae7dea750bcd8">
          <item id="97a9c29fb5ccc4cca8aeaf25453f77285726e8ba" isNormal="1">
            <s:text>
              <s:r>
                <s:t xml:space="preserve">Administrator:
4000233 8/22 704 pcs 莫A一楼B7
</s:t>
              </s:r>
            </s:text>
          </item>
        </commentChain>
      </unresolved>
      <resolved/>
    </commentChains>
    <commentChains s:ref="AD402" rgbClr="FF0000">
      <unresolved>
        <commentChain chainId="52ac0e8140ab64de744fde5b35a0cf75be8f2f1c">
          <item id="634420ef7bbadbf534f0983118da611983da6d5c" isNormal="1">
            <s:text>
              <s:r>
                <s:t xml:space="preserve">Administrator:
7/29上 进口商贴纸  704 pcs</s:t>
              </s:r>
            </s:text>
          </item>
        </commentChain>
      </unresolved>
      <resolved/>
    </commentChains>
    <commentChains s:ref="AB403" rgbClr="FF0000">
      <unresolved>
        <commentChain chainId="aab0a2fc1bd88077bb26f6895567d376ddc5788c">
          <item id="0dd80fc5442d162ad894dc62ad880b1d532dae28" isNormal="1">
            <s:text>
              <s:r>
                <s:t xml:space="preserve">Administrator:
4000233 8/22 550 pcs 莫A一楼B7
</s:t>
              </s:r>
            </s:text>
          </item>
        </commentChain>
      </unresolved>
      <resolved/>
    </commentChains>
    <commentChains s:ref="AD403" rgbClr="FF0000">
      <unresolved>
        <commentChain chainId="33b6cd10661577227d86d5d0b6e605aeab61d333">
          <item id="cc2928994231fcd11bd1d21e9cc675796e6b6bbd" isNormal="1">
            <s:text>
              <s:r>
                <s:t xml:space="preserve">Administrator:
7/29上 进口商贴纸  550 pcs</s:t>
              </s:r>
            </s:text>
          </item>
        </commentChain>
      </unresolved>
      <resolved/>
    </commentChains>
    <commentChains s:ref="AB404" rgbClr="FF0000">
      <unresolved>
        <commentChain chainId="7428885e51fb67134c04d004ab7e4d945974ab11">
          <item id="bf2bb2b46a526c6c6bd8bf328e432ec2fd1fccf5" isNormal="1">
            <s:text>
              <s:r>
                <s:t xml:space="preserve">Administrator:
4000233 8/22 550 pcs 莫A一楼B8
</s:t>
              </s:r>
            </s:text>
          </item>
        </commentChain>
      </unresolved>
      <resolved/>
    </commentChains>
    <commentChains s:ref="AD404" rgbClr="FF0000">
      <unresolved>
        <commentChain chainId="32273ba31246fe5c0d841497c38d191edcd889c4">
          <item id="3dc23a372d1eff1c944eb2297af748aa575fcc83" isNormal="1">
            <s:text>
              <s:r>
                <s:t xml:space="preserve">Administrator:
7/29上 进口商贴纸  550 pcs</s:t>
              </s:r>
            </s:text>
          </item>
        </commentChain>
      </unresolved>
      <resolved/>
    </commentChains>
    <commentChains s:ref="AB405" rgbClr="FF0000">
      <unresolved>
        <commentChain chainId="1a5bf1ae1e4ac309776564f84e61c03c5ef2e82d">
          <item id="df9b6448d866aeb441b292a4404e9751d3210e8e" isNormal="1">
            <s:text>
              <s:r>
                <s:t xml:space="preserve">Administrator:
4000228 8/22 418 pcs 莫A四楼A7</s:t>
              </s:r>
            </s:text>
          </item>
        </commentChain>
      </unresolved>
      <resolved/>
    </commentChains>
    <commentChains s:ref="AD405" rgbClr="FF0000">
      <unresolved>
        <commentChain chainId="77edb0bf1f7c4fcc0568080e241dced7dabeccdb">
          <item id="54e4d4a0a7a27027cb1ebb3d3506d23225a90dba" isNormal="1">
            <s:text>
              <s:r>
                <s:t xml:space="preserve">Administrator:
7/29上 进口商贴纸  418 pcs</s:t>
              </s:r>
            </s:text>
          </item>
        </commentChain>
      </unresolved>
      <resolved/>
    </commentChains>
    <commentChains s:ref="AB406" rgbClr="FF0000">
      <unresolved>
        <commentChain chainId="0b9d6368fd274168bd2dcb836746279fcf07edc0">
          <item id="53e23953a867f9e909582e6976be0d089a4dc47b" isNormal="1">
            <s:text>
              <s:r>
                <s:t xml:space="preserve">Administrator:           
4000227 8/22 132 pcs 莫B四楼B9
</s:t>
              </s:r>
            </s:text>
          </item>
        </commentChain>
      </unresolved>
      <resolved/>
    </commentChains>
    <commentChains s:ref="AD406" rgbClr="FF0000">
      <unresolved>
        <commentChain chainId="97bff1ea178dccfee2c7ca5f7ac481dc2a18ca08">
          <item id="2104babf149dc43a304bae6d98df9fe63fea2dd8" isNormal="1">
            <s:text>
              <s:r>
                <s:t xml:space="preserve">Administrator:
7/25上 进口商贴纸 132 pcs</s:t>
              </s:r>
            </s:text>
          </item>
        </commentChain>
      </unresolved>
      <resolved/>
    </commentChains>
    <commentChains s:ref="AB407" rgbClr="FF0000">
      <unresolved>
        <commentChain chainId="e483e186c719b3d07bd4e50828218b5f0f7ac90f">
          <item id="75d445d7353ca7b7a5eed80b0038cb41c5a8403d" isNormal="1">
            <s:text>
              <s:r>
                <s:t xml:space="preserve">Administrator:           
4000227 8/22 286 pcs 莫B四楼B9
</s:t>
              </s:r>
            </s:text>
          </item>
        </commentChain>
      </unresolved>
      <resolved/>
    </commentChains>
    <commentChains s:ref="AD407" rgbClr="FF0000">
      <unresolved>
        <commentChain chainId="7cc9b6214729f1bb3167d288594d859f83b56f5d">
          <item id="20f59876ba76ef04a53ada5089b8fad5f1a9c98e" isNormal="1">
            <s:text>
              <s:r>
                <s:t xml:space="preserve">Administrator:
7/25上 进口商贴纸 286 pcs</s:t>
              </s:r>
            </s:text>
          </item>
        </commentChain>
      </unresolved>
      <resolved/>
    </commentChains>
    <commentChains s:ref="AB408" rgbClr="FF0000">
      <unresolved>
        <commentChain chainId="aba6d32b9e7d21deb99e2c41a3cfe004ed455b85">
          <item id="abba11ab432813c59bbcb89161cf5c6d1d30e253" isNormal="1">
            <s:text>
              <s:r>
                <s:t xml:space="preserve">Administrator:           
4000227 8/22 594 pcs 莫B四楼B9
</s:t>
              </s:r>
            </s:text>
          </item>
        </commentChain>
      </unresolved>
      <resolved/>
    </commentChains>
    <commentChains s:ref="AD408" rgbClr="FF0000">
      <unresolved>
        <commentChain chainId="74e8070918d87c166803564af04af574434da52b">
          <item id="d19139dfc0d71d3b0515d88300ea37a893ec9193" isNormal="1">
            <s:text>
              <s:r>
                <s:t xml:space="preserve">Administrator:
7/25上 进口商贴纸 594 pcs</s:t>
              </s:r>
            </s:text>
          </item>
        </commentChain>
      </unresolved>
      <resolved/>
    </commentChains>
    <commentChains s:ref="AB409" rgbClr="FF0000">
      <unresolved>
        <commentChain chainId="2c48108742129ccf1f1b5f853895fa3aacfe2a28">
          <item id="90f221fd4f85d678659d5d3bcf5177e41fa0e770" isNormal="1">
            <s:text>
              <s:r>
                <s:t xml:space="preserve">Administrator:
4000228 8/22 3504 pcs 莫A四楼B10
</s:t>
              </s:r>
            </s:text>
          </item>
        </commentChain>
      </unresolved>
      <resolved/>
    </commentChains>
    <commentChains s:ref="AD409" rgbClr="FF0000">
      <unresolved>
        <commentChain chainId="e81a8c3540caf36c7b7ce200db257bfae4b957c6">
          <item id="35edce5321b93277cdecba6946e2853b32231b78" isNormal="1">
            <s:text>
              <s:r>
                <s:t xml:space="preserve">Administrator:
7/11上 WEEE不带电池走货说明书北欧B版 3504 pcs
客人白色Cat.label 3504 pcs</s:t>
              </s:r>
            </s:text>
          </item>
        </commentChain>
      </unresolved>
      <resolved/>
    </commentChains>
    <commentChains s:ref="AB410" rgbClr="FF0000">
      <unresolved>
        <commentChain chainId="b5eccd4137247e8e584df989ebc8263d68365271">
          <item id="a3fded9b42e17e0eb4a8242f430400d80332ab93" isNormal="1">
            <s:text>
              <s:r>
                <s:t xml:space="preserve">Administrator:
4000178 8/25 330 pcs 莫四楼B4</s:t>
              </s:r>
            </s:text>
          </item>
        </commentChain>
      </unresolved>
      <resolved/>
    </commentChains>
    <commentChains s:ref="AB411" rgbClr="FF0000">
      <unresolved>
        <commentChain chainId="cae0a31aff95015059a99ac0cdefb1e857e0c5a8">
          <item id="3c5c51d6b3c0e7624294a3889b675848321dbeec" isNormal="1">
            <s:text>
              <s:r>
                <s:t xml:space="preserve">Administrator:
4000150 8/26 4070 pcs 莫四楼B10东莞帮忙返工验货，我叫多送两箱当补查货 550箱这单的</s:t>
              </s:r>
            </s:text>
          </item>
        </commentChain>
      </unresolved>
      <resolved/>
    </commentChains>
    <commentChains s:ref="AD411" rgbClr="FF0000">
      <unresolved>
        <commentChain chainId="ae0e2286f811ae341495384f5657b1f09f29b7ec">
          <item id="d9ad4b64ecae147ad789b373a520fdba0cc7b507" isNormal="1">
            <s:text>
              <s:r>
                <s:t xml:space="preserve">Administrator:
7/29上 WEEE_不带电池走货 _ 说明书欧洲EN+30L 4070 pcs
8/5上 可语可折叠贴纸 4070 pcs
8/8上 EAN贴纸 4070 pcs
8/11上 地址贴纸 4070 pcs</s:t>
              </s:r>
            </s:text>
          </item>
        </commentChain>
      </unresolved>
      <resolved/>
    </commentChains>
    <commentChains s:ref="AB412" rgbClr="FF0000">
      <unresolved>
        <commentChain chainId="b1d6914f210c4b08440fcad3f68784021b82358c">
          <item id="b75e7386e129d83064db06a08c55681be84f9086" isNormal="1">
            <s:text>
              <s:r>
                <s:t xml:space="preserve">Administrator:
4000150 8/26 1296 pcs 莫四楼A6</s:t>
              </s:r>
            </s:text>
          </item>
        </commentChain>
      </unresolved>
      <resolved/>
    </commentChains>
    <commentChains s:ref="AD412" rgbClr="FF0000">
      <unresolved>
        <commentChain chainId="dded8294f52d723e1987e2b194a02d7d748f5bcc">
          <item id="0c7a0c29180b763eb69b1f3377949d066575f1fd" isNormal="1">
            <s:text>
              <s:r>
                <s:t xml:space="preserve">Administrator:
6/11上 进口商贴纸(含EAN条码贴纸） 1296 pcs
 </s:t>
              </s:r>
            </s:text>
          </item>
        </commentChain>
      </unresolved>
      <resolved/>
    </commentChains>
    <commentChains s:ref="AB413" rgbClr="FF0000">
      <unresolved>
        <commentChain chainId="8504699ea9fb82443c8f37d842347a2ba7dc92d6">
          <item id="a14f76f179333e3dbb7d1330124f74ed95e8fb0e" isNormal="1">
            <s:text>
              <s:r>
                <s:t xml:space="preserve">Administrator:
4000150 8/26 504 pcs 莫四楼A6
</s:t>
              </s:r>
            </s:text>
          </item>
        </commentChain>
      </unresolved>
      <resolved/>
    </commentChains>
    <commentChains s:ref="AD413" rgbClr="FF0000">
      <unresolved>
        <commentChain chainId="42f2393d9a5c9e681a593e5e52463fa46ca8502f">
          <item id="c1fe391485a0e8b824d9241104857e647f9a6930" isNormal="1">
            <s:text>
              <s:r>
                <s:t xml:space="preserve">Administrator:
6/11上 进口商贴纸(含EAN条码贴纸） 504 pcs
 </s:t>
              </s:r>
            </s:text>
          </item>
        </commentChain>
      </unresolved>
      <resolved/>
    </commentChains>
    <commentChains s:ref="AB414" rgbClr="FF0000">
      <unresolved>
        <commentChain chainId="77d4ff7c284ffb3084fe7902962a5e07a611835f">
          <item id="e68cea88c07217b4e1bd93d85ffb1936785341ae" isNormal="1">
            <s:text>
              <s:r>
                <s:t xml:space="preserve">Administrator:
4000086 8/29 6050 pcs 华兴三楼B16</s:t>
              </s:r>
            </s:text>
          </item>
        </commentChain>
      </unresolved>
      <resolved/>
    </commentChains>
    <commentChains s:ref="AD414" rgbClr="FF0000">
      <unresolved>
        <commentChain chainId="5565291c622d805714b331ecfbafa1683aee5462">
          <item id="826fce2f332c44b30c8e4c9bfd557e20fec023ae" isNormal="1">
            <s:text>
              <s:r>
                <s:t xml:space="preserve">Administrator:
7/29上 WEEE_不带电池走货 _ 说明书欧洲EN+30L 6050 pcs
8/5上 可语可折叠贴纸 6050 pcs
8/8上 EAN贴纸 6050 pcs
8/11上 地址贴纸 6050 pcs</s:t>
              </s:r>
            </s:text>
          </item>
        </commentChain>
      </unresolved>
      <resolved/>
    </commentChains>
    <commentChains s:ref="AB415" rgbClr="FF0000">
      <unresolved>
        <commentChain chainId="80d084cbc19e67b6baf4460c924357f28471be11">
          <item id="30ca95ab9480bd031e844d29baa2776d9d57e69d" isNormal="1">
            <s:text>
              <s:r>
                <s:t xml:space="preserve">Administrator:
4000086 8/29 506 pcs 华兴三楼B17</s:t>
              </s:r>
            </s:text>
          </item>
        </commentChain>
      </unresolved>
      <resolved/>
    </commentChains>
    <commentChains s:ref="AD415" rgbClr="FF0000">
      <unresolved>
        <commentChain chainId="f7afc03bca33ca51d9c9512b94d586e9d7278291">
          <item id="9642178c51ebf7bd1ea73494cbf56bc333b98181" isNormal="1">
            <s:text>
              <s:r>
                <s:t xml:space="preserve">Administrator:
8/8上 WEEE电池通用30L-B版说明书（不带电池） 506 pcs
 德语callout翻译贴纸 506 pcs</s:t>
              </s:r>
            </s:text>
          </item>
        </commentChain>
      </unresolved>
      <resolved/>
    </commentChains>
    <commentChains s:ref="AB416" rgbClr="FF0000">
      <unresolved>
        <commentChain chainId="fb8195e751ea01d84865a93a97bdb6bf1c55d581">
          <item id="8d720d549571ffe8ff49d266aa1cd98348cfe0d7" isNormal="1">
            <s:text>
              <s:r>
                <s:t xml:space="preserve">Administrator:
4000086 8/29 220 pcs 华兴三楼B16</s:t>
              </s:r>
            </s:text>
          </item>
        </commentChain>
      </unresolved>
      <resolved/>
    </commentChains>
    <commentChains s:ref="AD416" rgbClr="FF0000">
      <unresolved>
        <commentChain chainId="1d02873fb41d6f6174070b78038ab2bfd9a0d732">
          <item id="322418159457d6a14d0a8027cfab45221bb3184f" isNormal="1">
            <s:text>
              <s:r>
                <s:t xml:space="preserve">Administrator:
8/8上 WEEE电池通用30L-B版说明书（不带电池） 220 pcs
  德语callout翻译贴纸 220 pcs</s:t>
              </s:r>
            </s:text>
          </item>
        </commentChain>
      </unresolved>
      <resolved/>
    </commentChains>
    <commentChains s:ref="AB417" rgbClr="FF0000">
      <unresolved>
        <commentChain chainId="55864a8b3198448f6ef4da48ddec3b64d4d87732">
          <item id="2e1debdd6f3120095d58d47cee4ec53daec9c207" isNormal="1">
            <s:text>
              <s:r>
                <s:t xml:space="preserve">Administrator:
4000086 8/29 2592 pcs 华兴三楼A29      
4000100  8/30 1368 pcs 华兴三楼B8</s:t>
              </s:r>
            </s:text>
          </item>
        </commentChain>
      </unresolved>
      <resolved/>
    </commentChains>
    <commentChains s:ref="AD417" rgbClr="FF0000">
      <unresolved>
        <commentChain chainId="9a5f4d0ace055ca82c035b64974684c611439d86">
          <item id="bb4c3ccf8bab111137eb8bd664ac0123d37098e7" isNormal="1">
            <s:text>
              <s:r>
                <s:t xml:space="preserve">Administrator:
8/8上 价格贴纸  3960 pcs
 外箱条码贴纸 330 pcs</s:t>
              </s:r>
            </s:text>
          </item>
        </commentChain>
      </unresolved>
      <resolved/>
    </commentChains>
    <commentChains s:ref="AB418" rgbClr="FF0000">
      <unresolved>
        <commentChain chainId="9f8a80ae2886923f550e680f272b33087a7e708c">
          <item id="e24c4984ba9b7c02f587a2e412b1e9d7a2318352" isNormal="1">
            <s:text>
              <s:r>
                <s:t xml:space="preserve">Administrator:
4000014 9/3 504 pcs 华兴三楼B13</s:t>
              </s:r>
            </s:text>
          </item>
        </commentChain>
      </unresolved>
      <resolved/>
    </commentChains>
    <commentChains s:ref="AD418" rgbClr="FF0000">
      <unresolved>
        <commentChain chainId="d1c28a25e52319a87c4b039c3e2d1ec82dd5b5a6">
          <item id="f6cf455b5a72741d1d7a60f09f597eda4b968429" isNormal="1">
            <s:text>
              <s:r>
                <s:t xml:space="preserve">Administrator:
8/5上 WEEE电子产品说明书30L(不带电池走货B版) 504 pcs
8/7上 亚马逊外箱贴纸 21 pcs
8/21上 邮包盒贴纸 504 pcs</s:t>
              </s:r>
            </s:text>
          </item>
        </commentChain>
      </unresolved>
      <resolved/>
    </commentChains>
    <commentChains s:ref="AB419" rgbClr="FF0000">
      <unresolved>
        <commentChain chainId="1354727d02088c2ca84c42c00c503bc2417372e3">
          <item id="f5b0af1c763d3523b712b3bdc732afe31839bf54" isNormal="1">
            <s:text>
              <s:r>
                <s:t xml:space="preserve">Administrator:
4000014 9/3 480 pcs 华兴三楼B13
</s:t>
              </s:r>
            </s:text>
          </item>
        </commentChain>
      </unresolved>
      <resolved/>
    </commentChains>
    <commentChains s:ref="AD419" rgbClr="FF0000">
      <unresolved>
        <commentChain chainId="64b07b1404bcb9730592e2ecd92e4822791ddab1">
          <item id="7084e5a8a0889e4e8cd8ecfe730de2711300572b" isNormal="1">
            <s:text>
              <s:r>
                <s:t xml:space="preserve">Administrator:
8/7上 亚马逊外箱贴纸 20 pcs
8/8上 WEEE电子产品说明书30L(不带电池走货B版) 480 pcs
8/21上 邮包盒贴纸 480 pcs
</s:t>
              </s:r>
            </s:text>
          </item>
        </commentChain>
      </unresolved>
      <resolved/>
    </commentChains>
    <commentChains s:ref="AB420" rgbClr="FF0000">
      <unresolved>
        <commentChain chainId="b0b11683a55d61a1d3b7924e7e631e141a74364d">
          <item id="a8ed3365ded3d6c744dcc268c7015b988558e6e3" isNormal="1">
            <s:text>
              <s:r>
                <s:t xml:space="preserve">Administrator:
4000014 9/3 480 pcs 华兴三楼B13
</s:t>
              </s:r>
            </s:text>
          </item>
        </commentChain>
      </unresolved>
      <resolved/>
    </commentChains>
    <commentChains s:ref="AD420" rgbClr="FF0000">
      <unresolved>
        <commentChain chainId="9f227dcc9d964e2afd392a0e625085437a678e04">
          <item id="e276fbdaabfa4e0f6c42d4c3f75d938f1dc428f8" isNormal="1">
            <s:text>
              <s:r>
                <s:t xml:space="preserve">Administrator:
8/7上 亚马逊外箱贴纸 20 pcs
8/8上 WEEE电子产品说明书30L(不带电池走货B版) 480 pcs
8/21上 邮包盒贴纸 480 pcs
</s:t>
              </s:r>
            </s:text>
          </item>
        </commentChain>
      </unresolved>
      <resolved/>
    </commentChains>
    <commentChains s:ref="AB421" rgbClr="FF0000">
      <unresolved>
        <commentChain chainId="43aafea756acf760817abab8ab19b0b2f0a496e4">
          <item id="c3203c57402a3fbd2ba18cb470e68998ac7e7298" isNormal="1">
            <s:text>
              <s:r>
                <s:t xml:space="preserve">Administrator:
4000014 9/3 504 pcs 华兴三楼B13
</s:t>
              </s:r>
            </s:text>
          </item>
        </commentChain>
      </unresolved>
      <resolved/>
    </commentChains>
    <commentChains s:ref="AD421" rgbClr="FF0000">
      <unresolved>
        <commentChain chainId="e7441c8c339d3d5fb191c20972f83320bf90503a">
          <item id="743cbc6975e15e8d84c4eaf7b0a9ecf7b248c96b" isNormal="1">
            <s:text>
              <s:r>
                <s:t xml:space="preserve">Administrator:
8/7上 亚马逊外箱贴纸 21 pcs
8/8上 WEEE电子产品说明书30L(不带电池走货B版) 504 pcs
8/21上 邮包盒贴纸 504 pcs
</s:t>
              </s:r>
            </s:text>
          </item>
        </commentChain>
      </unresolved>
      <resolved/>
    </commentChains>
    <commentChains s:ref="AB422" rgbClr="FF0000">
      <unresolved>
        <commentChain chainId="30d86b98f733ab98454b78bf45bbf267fcb61d82">
          <item id="62beed64beea42cb73927eec5a49d747ec90876e" isNormal="1">
            <s:text>
              <s:r>
                <s:t xml:space="preserve">Administrator:
4000014 9/3 480 pcs 华兴三楼B13
</s:t>
              </s:r>
            </s:text>
          </item>
        </commentChain>
      </unresolved>
      <resolved/>
    </commentChains>
    <commentChains s:ref="AD422" rgbClr="FF0000">
      <unresolved>
        <commentChain chainId="f88009638d819e81531b8793a4b5f5f9338c3120">
          <item id="49c9ea9aa378c15da87900c5d4e82016bd872e1e" isNormal="1">
            <s:text>
              <s:r>
                <s:t xml:space="preserve">Administrator:
8/7上 亚马逊外箱贴纸 20 pcs
8/8上 WEEE电子产品说明书30L(不带电池走货B版) 480 pcs
8/21上 邮包盒贴纸 480 pcs
1/12有多订1944 pcs 环保标贴纸上湖南</s:t>
              </s:r>
            </s:text>
          </item>
        </commentChain>
      </unresolved>
      <resolved/>
    </commentChains>
    <commentChains s:ref="AB423" rgbClr="FF0000">
      <unresolved>
        <commentChain chainId="826701daf90dd0e131162876a7e1a604511063c4">
          <item id="53371bd0b1e6b3176fce2b93938b86c5fbff0f79" isNormal="1">
            <s:text>
              <s:r>
                <s:t xml:space="preserve">Administrator:
4000041 9/2 5120 pcs 华兴三楼A29     
4000046 9/2 1280 pcs A36</s:t>
              </s:r>
            </s:text>
          </item>
        </commentChain>
      </unresolved>
      <resolved/>
    </commentChains>
    <commentChains s:ref="AB424" rgbClr="FF0000">
      <unresolved>
        <commentChain chainId="f135060c9a753419b4c37391b790f8c7e2368696">
          <item id="65a8177281e572a3fc138821f6b4a70c3eb8c7f7" isNormal="1">
            <s:text>
              <s:r>
                <s:t xml:space="preserve">Administrator:
3001353 9/6 3509 pcs 莫B四楼B3</s:t>
              </s:r>
            </s:text>
          </item>
        </commentChain>
      </unresolved>
      <resolved/>
    </commentChains>
    <commentChains s:ref="AB425" rgbClr="FF0000">
      <unresolved>
        <commentChain chainId="b2b86995f942aa77501a449f0841bd4eee9b375f">
          <item id="fbc125ccf8b98515649a66d5085abe84b7293e04" isNormal="1">
            <s:text>
              <s:r>
                <s:t xml:space="preserve">Administrator:
3002581 9/5 144 pcs 莫四楼A6</s:t>
              </s:r>
            </s:text>
          </item>
        </commentChain>
      </unresolved>
      <resolved/>
    </commentChains>
    <commentChains s:ref="AD425" rgbClr="FF0000">
      <unresolved>
        <commentChain chainId="15c8f992e512d300df0dd46180d2f5383434ad1f">
          <item id="4483693202238f89b8d07135db4a24bbee4ca0cd" isNormal="1">
            <s:text>
              <s:r>
                <s:t xml:space="preserve">Administrator:
8/11上 A款 UPC贴纸 144 pcs
8/18上 客供亚马逊外箱贴纸 6 pcs</s:t>
              </s:r>
            </s:text>
          </item>
        </commentChain>
      </unresolved>
      <resolved/>
    </commentChains>
    <commentChains s:ref="AB426" rgbClr="FF0000">
      <unresolved>
        <commentChain chainId="51d35e0965691799fda0d76358079eb7c561ae14">
          <item id="a2192f16a1ff962dfa492ad9fabbd8c4b107422b" isNormal="1">
            <s:text>
              <s:r>
                <s:t xml:space="preserve">Administrator:
3002581 9/5 72 pcs 莫四楼A6
</s:t>
              </s:r>
            </s:text>
          </item>
        </commentChain>
      </unresolved>
      <resolved/>
    </commentChains>
    <commentChains s:ref="AD426" rgbClr="FF0000">
      <unresolved>
        <commentChain chainId="15664a98b049963a5ae82d016cf9184236d89cba">
          <item id="06318f51542ba25254b40119e2eea6b5359a5e20" isNormal="1">
            <s:text>
              <s:r>
                <s:t xml:space="preserve">Administrator:
8/11上 D款 UPC贴纸 72 pcs
8/18上 客供亚马逊外箱贴纸 3 pcs
</s:t>
              </s:r>
            </s:text>
          </item>
        </commentChain>
      </unresolved>
      <resolved/>
    </commentChains>
    <commentChains s:ref="AB427" rgbClr="FF0000">
      <unresolved>
        <commentChain chainId="2f0116bbc1c9caa35307305705fa4e33e5bb60bd">
          <item id="4805e4f1718c3cb668d8cbf9a488b975d8280315" isNormal="1">
            <s:text>
              <s:r>
                <s:t xml:space="preserve">Administrator:
3002581 9/5 24 pcs 莫四楼A6
</s:t>
              </s:r>
            </s:text>
          </item>
        </commentChain>
      </unresolved>
      <resolved/>
    </commentChains>
    <commentChains s:ref="AD427" rgbClr="FF0000">
      <unresolved>
        <commentChain chainId="90061b3b9b9cec2a1f7312e21996fcf146cef245">
          <item id="3502f52dc9989e7b1be1f4d9865615f87278ed6d" isNormal="1">
            <s:text>
              <s:r>
                <s:t xml:space="preserve">Administrator:
8/11上 D款 UPC贴纸 24 pcs
8/18上 客供亚马逊外箱贴纸 1 pcs
</s:t>
              </s:r>
            </s:text>
          </item>
        </commentChain>
      </unresolved>
      <resolved/>
    </commentChains>
    <commentChains s:ref="AB428" rgbClr="FF0000">
      <unresolved>
        <commentChain chainId="6d8828bf92c6a1059ffc39a4ea8d79b1d3cf241d">
          <item id="dbd283cb9fc9fa82248520f4567a71afdc401282" isNormal="1">
            <s:text>
              <s:r>
                <s:t xml:space="preserve">Administrator:
3001948 9/6 1210 pcs 华兴三楼B14</s:t>
              </s:r>
            </s:text>
          </item>
        </commentChain>
      </unresolved>
      <resolved/>
    </commentChains>
    <commentChains s:ref="AD428" rgbClr="FF0000">
      <unresolved>
        <commentChain chainId="a7d47c6458dcfffae13d05615293e2e445cc2b83">
          <item id="192fcb185c241c0ac82dcfc648a51409e031d7a4" isNormal="1">
            <s:text>
              <s:r>
                <s:t xml:space="preserve">Administrator:
8/13上 进口商贴纸 1210 pcs</s:t>
              </s:r>
            </s:text>
          </item>
        </commentChain>
      </unresolved>
      <resolved/>
    </commentChains>
    <commentChains s:ref="AB429" rgbClr="FF0000">
      <unresolved>
        <commentChain chainId="b4a8e47810e01904f1bba50f05343b0b6b9454d4">
          <item id="32a98e108a2bddb8c4c687ebf90f70c7dfb74ba3" isNormal="1">
            <s:text>
              <s:r>
                <s:t xml:space="preserve">Administrator:
4000491 9/9 1518 pcs 华兴三楼B12
</s:t>
              </s:r>
            </s:text>
          </item>
        </commentChain>
      </unresolved>
      <resolved/>
    </commentChains>
    <commentChains s:ref="AD429" rgbClr="FF0000">
      <unresolved>
        <commentChain chainId="3250d45b033874694bda31e9c69b6e280a2d5027">
          <item id="9e324adbd6fe682d36998412c60f8275cb02effa" isNormal="1">
            <s:text>
              <s:r>
                <s:t xml:space="preserve">Administrator:
8/29上 SSCC外箱贴纸 69 pcs</s:t>
              </s:r>
            </s:text>
          </item>
        </commentChain>
      </unresolved>
      <resolved/>
    </commentChains>
    <commentChains s:ref="AB430" rgbClr="FF0000">
      <unresolved>
        <commentChain chainId="3f676048c72d689e60362ee5481fb58f2e16abb6">
          <item id="5aef93078ee13b474bfd0e58913e09b51087bdb9" isNormal="1">
            <s:text>
              <s:r>
                <s:t xml:space="preserve">Administrator:
4000491 9/9 616 pcs 华兴三楼A27
</s:t>
              </s:r>
            </s:text>
          </item>
        </commentChain>
      </unresolved>
      <resolved/>
    </commentChains>
    <commentChains s:ref="AD430" rgbClr="FF0000">
      <unresolved>
        <commentChain chainId="d0f882e88a3cca3d5112ce901ccd7a843868cd6c">
          <item id="0f03f2e94b93d2424428678f126ef344da03e336" isNormal="1">
            <s:text>
              <s:r>
                <s:t xml:space="preserve">Administrator:
8/14上 客供价格贴纸 630 pcs</s:t>
              </s:r>
            </s:text>
          </item>
        </commentChain>
      </unresolved>
      <resolved/>
    </commentChains>
    <commentChains s:ref="AB431" rgbClr="FF0000">
      <unresolved>
        <commentChain chainId="6cc41b2362c5b3e458c03a1b0593c3fb1902be58">
          <item id="4ccf500b9c5c011f5b509ea509b74852cbf91638" isNormal="1">
            <s:text>
              <s:r>
                <s:t xml:space="preserve">Administrator:
4000492 9/9 1100 pcs 华兴三楼B13</s:t>
              </s:r>
            </s:text>
          </item>
        </commentChain>
      </unresolved>
      <resolved/>
    </commentChains>
    <commentChains s:ref="AD431" rgbClr="FF0000">
      <unresolved>
        <commentChain chainId="6c1fa9ae52f9a09d6857ecfc723ec9e90d54199e">
          <item id="82a2e2bc3bc8a60442981648c09127dbdb25724d" isNormal="1">
            <s:text>
              <s:r>
                <s:t xml:space="preserve">Administrator:
8/11上 地址贴纸 1100 pcs
另外多上 5000pcs地址贴纸 自行分配
8/19上 B版 WEEE 30L不带电池走货说明书 1100 pcs
  EAN贴纸 1100 pcs错的
 地址贴纸 1100 pcs
8/27上 A款EAN贴纸 250 pcs B款EAN贴纸 300 pcs
    D款EAN贴纸 300 pcs  E款EAN贴纸 250 pcs
 多语折叠警告语贴纸 1100 pcs
8/30上 黑白说明书 1100 pcs
</s:t>
              </s:r>
            </s:text>
          </item>
        </commentChain>
      </unresolved>
      <resolved/>
    </commentChains>
    <commentChains s:ref="AB432" rgbClr="FF0000">
      <unresolved>
        <commentChain chainId="93d04608c5320a34e4241d9472d845ad8c7aece5">
          <item id="8f3a738988a625c7324e28c343f1a362335c0937" isNormal="1">
            <s:text>
              <s:r>
                <s:t xml:space="preserve">Administrator:
4000491 9/9 220 pcs 华兴三楼A27
</s:t>
              </s:r>
            </s:text>
          </item>
        </commentChain>
      </unresolved>
      <resolved/>
    </commentChains>
    <commentChains s:ref="AD432" rgbClr="FF0000">
      <unresolved>
        <commentChain chainId="784141c8a7b43e17da9ea8003107044ae1561687">
          <item id="9f64c3e52be7d30c24473a9465e388743d3d978f" isNormal="1">
            <s:text>
              <s:r>
                <s:t xml:space="preserve">Administrator:
8/18上 进口商贴纸 220 pcs</s:t>
              </s:r>
            </s:text>
          </item>
        </commentChain>
      </unresolved>
      <resolved/>
    </commentChains>
    <commentChains s:ref="AB433" rgbClr="FF0000">
      <unresolved>
        <commentChain chainId="f4583c6a295574e890a662fde0efbc1a73c6f18e">
          <item id="d7e1c4213bc698946f074b184ffea72bd5ad2b93" isNormal="1">
            <s:text>
              <s:r>
                <s:t xml:space="preserve">Administrator:
4000491 9/9 616 pcs 华兴三楼A27
</s:t>
              </s:r>
            </s:text>
          </item>
        </commentChain>
      </unresolved>
      <resolved/>
    </commentChains>
    <commentChains s:ref="AD433" rgbClr="FF0000">
      <unresolved>
        <commentChain chainId="d5e5f292425436629d0310a639af372e251d68c6">
          <item id="2f38b22c570a19982e331d9a4877718809433393" isNormal="1">
            <s:text>
              <s:r>
                <s:t xml:space="preserve">Administrator:
8/14上 客供价格贴纸 630 pcs</s:t>
              </s:r>
            </s:text>
          </item>
        </commentChain>
      </unresolved>
      <resolved/>
    </commentChains>
    <commentChains s:ref="AB434" rgbClr="FF0000">
      <unresolved>
        <commentChain chainId="89349a120183f9fce4b946b7a5e406a7c7009a6b">
          <item id="848a65e83a952dfd73e7a0ebaa5b583df98ccf73" isNormal="1">
            <s:text>
              <s:r>
                <s:t xml:space="preserve">Administrator:
4000422 9/11 312 pcs 莫四楼B8</s:t>
              </s:r>
            </s:text>
          </item>
        </commentChain>
      </unresolved>
      <resolved/>
    </commentChains>
    <commentChains s:ref="AD434" rgbClr="FF0000">
      <unresolved>
        <commentChain chainId="29aeb1cb2982571571e460f86bdd8dc5e0c525ab">
          <item id="93faaa355c5e5f7ede51667d8f812bcfb897a99b" isNormal="1">
            <s:text>
              <s:r>
                <s:t xml:space="preserve">Administrator:
8/21上 白色防盗贴纸 312 pcs
8/29上 KM外箱贴纸 52 pcs</s:t>
              </s:r>
            </s:text>
          </item>
        </commentChain>
      </unresolved>
      <resolved/>
    </commentChains>
    <commentChains s:ref="AB435" rgbClr="FF0000">
      <unresolved>
        <commentChain chainId="9e81c66994e802b0518ece7627aea8913008bc82">
          <item id="ecfe3061c8dcd952d34904d5ab1ab1503f7221f4" isNormal="1">
            <s:text>
              <s:r>
                <s:t xml:space="preserve">Administrator:
4000422 9/11 1188 pcs 莫四楼A5</s:t>
              </s:r>
            </s:text>
          </item>
        </commentChain>
      </unresolved>
      <resolved/>
    </commentChains>
    <commentChains s:ref="AD435" rgbClr="FF0000">
      <unresolved>
        <commentChain chainId="17063835ae459e30e65b4ec019ff9499908ff9fb">
          <item id="06e5ceea118053de0591b78db1c23a3f8e120ada" isNormal="1">
            <s:text>
              <s:r>
                <s:t xml:space="preserve">Administrator:
8/21上 白色防盗贴纸 1188 pcs
8/29上 KM外箱贴纸 198 pcs
</s:t>
              </s:r>
            </s:text>
          </item>
        </commentChain>
      </unresolved>
      <resolved/>
    </commentChains>
    <commentChains s:ref="AB436" rgbClr="FF0000">
      <unresolved>
        <commentChain chainId="d1c5d4461d108cb80eeba72036c9bb0ca340116b">
          <item id="8643f61d8a4f006add5e252399f76361504d867b" isNormal="1">
            <s:text>
              <s:r>
                <s:t xml:space="preserve">Administrator:
4000130 8/29 2000 pcs 华兴三楼B8</s:t>
              </s:r>
            </s:text>
          </item>
        </commentChain>
      </unresolved>
      <resolved/>
    </commentChains>
    <commentChains s:ref="AD436" rgbClr="FF0000">
      <unresolved>
        <commentChain chainId="081d03997ea823639f44e1509c1f8a7b7e085cf6">
          <item id="542a2db2da2b7231786f59d3c4aa76b561dcb08e" isNormal="1">
            <s:text>
              <s:r>
                <s:t xml:space="preserve">Administrator:
8/14上 客供价格贴纸 2100 pcs</s:t>
              </s:r>
            </s:text>
          </item>
        </commentChain>
      </unresolved>
      <resolved/>
    </commentChains>
    <commentChains s:ref="AB437" rgbClr="FF0000">
      <unresolved>
        <commentChain chainId="dea85c0b84e88a0bc14013600bfa4b7a16a229ef">
          <item id="9c3fc56fc562e7195ffa9fce2e35b0dd937cc015" isNormal="1">
            <s:text>
              <s:r>
                <s:t xml:space="preserve">Administrator:
4000389 9/5 2000 pcs 华兴三楼A22</s:t>
              </s:r>
            </s:text>
          </item>
        </commentChain>
      </unresolved>
      <resolved/>
    </commentChains>
    <commentChains s:ref="AD437" rgbClr="FF0000">
      <unresolved>
        <commentChain chainId="22b1bf260b8cbb80579ad87b3dbf027e1bc6c185">
          <item id="de98b7fda6dfa41dd215918a07b3da58d16fb005" isNormal="1">
            <s:text>
              <s:r>
                <s:t xml:space="preserve">Administrator:
8/14上 客供价格贴纸 2100 pcs</s:t>
              </s:r>
            </s:text>
          </item>
        </commentChain>
      </unresolved>
      <resolved/>
    </commentChains>
    <commentChains s:ref="AB438" rgbClr="FF0000">
      <unresolved>
        <commentChain chainId="c44fa5ff8a92a07115b7e459c7f2dcf1a9a59d70">
          <item id="8cabc15b39d75d7ef2096cfb0024bc297e24573c" isNormal="1">
            <s:text>
              <s:r>
                <s:t xml:space="preserve">Administrator:
4000492 9/9 2000 pcs 华兴三楼B16
</s:t>
              </s:r>
            </s:text>
          </item>
        </commentChain>
      </unresolved>
      <resolved/>
    </commentChains>
    <commentChains s:ref="AD438" rgbClr="FF0000">
      <unresolved>
        <commentChain chainId="b783ad3a0e9e1891a571c2df41a469bca19100a0">
          <item id="e314310b91cb704405f3a2e339f3dd773f7ea320" isNormal="1">
            <s:text>
              <s:r>
                <s:t xml:space="preserve">Administrator:
8/14上 客供价格贴纸 2100 pcs</s:t>
              </s:r>
            </s:text>
          </item>
        </commentChain>
      </unresolved>
      <resolved/>
    </commentChains>
    <commentChains s:ref="AB439" rgbClr="FF0000">
      <unresolved>
        <commentChain chainId="6794253202fb41896dff746261fb9d59622da11b">
          <item id="7105fd004d4d32c2653ca1eed965daadbb06f19d" isNormal="1">
            <s:text>
              <s:r>
                <s:t xml:space="preserve">Administrator:
5000108 9/17 682 pcs 华兴三楼B17</s:t>
              </s:r>
            </s:text>
          </item>
        </commentChain>
      </unresolved>
      <resolved/>
    </commentChains>
    <commentChains s:ref="AB440" rgbClr="FF0000">
      <unresolved>
        <commentChain chainId="80975699c355ab26638e9482c05e5ba014705763">
          <item id="2396e3fb7cff7561568341f23f5ed653141a61a2" isNormal="1">
            <s:text>
              <s:r>
                <s:t xml:space="preserve">Administrator:
5000121 9/16 1350 pcs 华兴三楼B15</s:t>
              </s:r>
            </s:text>
          </item>
        </commentChain>
      </unresolved>
      <resolved/>
    </commentChains>
    <commentChains s:ref="AD440" rgbClr="FF0000">
      <unresolved>
        <commentChain chainId="2c758ba10782cd9f299f4ddcdb66ab724dad46d4">
          <item id="f882128af81705ce6e637f3ab77fa0a94f144875" isNormal="1">
            <s:text>
              <s:r>
                <s:t xml:space="preserve">Administrator:
9/3上 KM外箱贴纸 225 pcs
9/8上 白色防盗贴纸 1350 pcs</s:t>
              </s:r>
            </s:text>
          </item>
        </commentChain>
      </unresolved>
      <resolved/>
    </commentChains>
    <commentChains s:ref="AB441" rgbClr="FF0000">
      <unresolved>
        <commentChain chainId="e046c6e1502d6b1dbfc4529c949a5e5dc9f2a4f4">
          <item id="5a482b73a2ffaf75f4bfbed20dd9905f9a4552b4" isNormal="1">
            <s:text>
              <s:r>
                <s:t xml:space="preserve">Administrator:
5000121 9/16 150 pcs 华兴三楼A32</s:t>
              </s:r>
            </s:text>
          </item>
        </commentChain>
      </unresolved>
      <resolved/>
    </commentChains>
    <commentChains s:ref="AD441" rgbClr="FF0000">
      <unresolved>
        <commentChain chainId="8e2161df36391ae0edfb5cd0cba753140d619170">
          <item id="6f207ce139f9081586c6e552c7d0e57f93246fe6" isNormal="1">
            <s:text>
              <s:r>
                <s:t xml:space="preserve">Administrator:
9/3上 KM外箱贴纸 25 pcs
9/8上 白色防盗贴纸 150 pcs
</s:t>
              </s:r>
            </s:text>
          </item>
        </commentChain>
      </unresolved>
      <resolved/>
    </commentChains>
    <commentChains s:ref="AB442" rgbClr="FF0000">
      <unresolved>
        <commentChain chainId="6f88c7689b8ca4b58b280bceb54318ba4830d083">
          <item id="d422d0454aa735533523b74e896b93a5f5dc58ea" isNormal="1">
            <s:text>
              <s:r>
                <s:t xml:space="preserve">Administrator:
5000265 9/18 704 pcs 华兴三楼B13
</s:t>
              </s:r>
            </s:text>
          </item>
        </commentChain>
      </unresolved>
      <resolved/>
    </commentChains>
    <commentChains s:ref="AD442" rgbClr="FF0000">
      <unresolved>
        <commentChain chainId="3748183e8f47d26396cab4843838380518159df3">
          <item id="9adc096db85df578f054cd50313d62738400cc9e" isNormal="1">
            <s:text>
              <s:r>
                <s:t xml:space="preserve">Administrator:
8/26上 进口商贴纸 704 pcs</s:t>
              </s:r>
            </s:text>
          </item>
        </commentChain>
      </unresolved>
      <resolved/>
    </commentChains>
    <commentChains s:ref="AB443" rgbClr="FF0000">
      <unresolved>
        <commentChain chainId="3157fb05427fa57f331c2662f22c2b1915cd0a82">
          <item id="5f108d40360155fa57ffcc4643d43cf1ebad0a97" isNormal="1">
            <s:text>
              <s:r>
                <s:t xml:space="preserve">Administrator:
5000265 9/18 550 pcs 华兴三楼B14</s:t>
              </s:r>
            </s:text>
          </item>
        </commentChain>
      </unresolved>
      <resolved/>
    </commentChains>
    <commentChains s:ref="AD443" rgbClr="FF0000">
      <unresolved>
        <commentChain chainId="b87f64accaac98d01594cc798eeff7b2d342ee94">
          <item id="01c84c94bcd9c325730e6ba2bbd1ba4343641c20" isNormal="1">
            <s:text>
              <s:r>
                <s:t xml:space="preserve">Administrator:
8/26上 进口商贴纸 550 pcs</s:t>
              </s:r>
            </s:text>
          </item>
        </commentChain>
      </unresolved>
      <resolved/>
    </commentChains>
    <commentChains s:ref="AB444" rgbClr="FF0000">
      <unresolved>
        <commentChain chainId="26ff306e6967b8100243e2d81e0632f9e2eeb0af">
          <item id="8050139ee7707a98f61256722af64f0fbc70b907" isNormal="1">
            <s:text>
              <s:r>
                <s:t xml:space="preserve">Administrator:
5000530 9/17 550 pcs 华兴三楼B14</s:t>
              </s:r>
            </s:text>
          </item>
        </commentChain>
      </unresolved>
      <resolved/>
    </commentChains>
    <commentChains s:ref="AD444" rgbClr="FF0000">
      <unresolved>
        <commentChain chainId="2e0355d41c2c37a3fcbfbc9fd5493c04db8f752d">
          <item id="5d7c0e09d40973bafcb18c2b0842061bbca34783" isNormal="1">
            <s:text>
              <s:r>
                <s:t xml:space="preserve">Administrator:
8/26上 进口商贴纸 550 pcs</s:t>
              </s:r>
            </s:text>
          </item>
        </commentChain>
      </unresolved>
      <resolved/>
    </commentChains>
    <commentChains s:ref="AB445" rgbClr="FF0000">
      <unresolved>
        <commentChain chainId="dbf151b845f7fb26542d254a35aed0627a05653d">
          <item id="df74f019d506038ee09e41efb4d3160e116bb27b" isNormal="1">
            <s:text>
              <s:r>
                <s:t xml:space="preserve">Administrator:
5000530 9/17 2420 pcs 华兴三楼A32</s:t>
              </s:r>
            </s:text>
          </item>
        </commentChain>
      </unresolved>
      <resolved/>
    </commentChains>
    <commentChains s:ref="AB446" rgbClr="FF0000">
      <unresolved>
        <commentChain chainId="580bca0cd72fa17676de76121a66bf26e5bc0261">
          <item id="c0b0f3ff9b60275760dd00cd082d432b2421b05d" isNormal="1">
            <s:text>
              <s:r>
                <s:t xml:space="preserve">Administrator:
5000265 9/18 440 pcs 华兴三楼B14
</s:t>
              </s:r>
            </s:text>
          </item>
        </commentChain>
      </unresolved>
      <resolved/>
    </commentChains>
    <commentChains s:ref="AB447" rgbClr="FF0000">
      <unresolved>
        <commentChain chainId="163ca13b03b470955b1029a2195e36c823b798e9">
          <item id="6545014afbbb16c2f8daa40661235a02272ba49f" isNormal="1">
            <s:text>
              <s:r>
                <s:t xml:space="preserve">Administrator:
5000265 9/18 682 pcs 华兴三楼B13
</s:t>
              </s:r>
            </s:text>
          </item>
        </commentChain>
      </unresolved>
      <resolved/>
    </commentChains>
    <commentChains s:ref="AD447" rgbClr="FF0000">
      <unresolved>
        <commentChain chainId="9b2a07fd838e3fe8c1560f87224633b08291195b">
          <item id="2712bd80b7caea55f3665fa40c5b86ae16fb29fe" isNormal="1">
            <s:text>
              <s:r>
                <s:t xml:space="preserve">Administrator:
9/2上 通用进口商贴纸 682 pcs</s:t>
              </s:r>
            </s:text>
          </item>
        </commentChain>
      </unresolved>
      <resolved/>
    </commentChains>
    <commentChains s:ref="AB448" rgbClr="FF0000">
      <unresolved>
        <commentChain chainId="30a38e4426ee31e8b2aff3b703cab5a419509b88">
          <item id="f7d343fa250b4d9219f66774d331079712934eba" isNormal="1">
            <s:text>
              <s:r>
                <s:t xml:space="preserve">Administrator:
5000306 9/19 2394 pcs 华兴三楼B8</s:t>
              </s:r>
            </s:text>
          </item>
        </commentChain>
      </unresolved>
      <resolved/>
    </commentChains>
    <commentChains s:ref="AD448" rgbClr="FF0000">
      <unresolved>
        <commentChain chainId="1c12b829fdabe7bd787fc8fcf6d2fc1155089573">
          <item id="8d65d95e72da518141676ed3975e460c60d2491c" isNormal="1">
            <s:text>
              <s:r>
                <s:t xml:space="preserve">Administrator:
8/30上 WIC贴纸 11982 pcs
 PDQ折页 1997 pcs </s:t>
              </s:r>
            </s:text>
          </item>
        </commentChain>
      </unresolved>
      <resolved/>
    </commentChains>
    <commentChains s:ref="AB449" rgbClr="FF0000">
      <unresolved>
        <commentChain chainId="80dfedb4d28f1988999baeef2f4941e5f3f9e3e6">
          <item id="842843f10be4d977ed877f40a443add92600aa31" isNormal="1">
            <s:text>
              <s:r>
                <s:t xml:space="preserve">Administrator:
5000306 9/19 666 pcs 华兴三楼B8
</s:t>
              </s:r>
            </s:text>
          </item>
        </commentChain>
      </unresolved>
      <resolved/>
    </commentChains>
    <commentChains s:ref="AB450" rgbClr="FF0000">
      <unresolved>
        <commentChain chainId="5c7b0ef2f940e3b493b2da785f90b75aa2714cd3">
          <item id="c53e870265b772335f2bd56847cb48c06c4618f4" isNormal="1">
            <s:text>
              <s:r>
                <s:t xml:space="preserve">Administrator:
5000306 9/19 1614 pcs 华兴三楼B8
</s:t>
              </s:r>
            </s:text>
          </item>
        </commentChain>
      </unresolved>
      <resolved/>
    </commentChains>
    <commentChains s:ref="AB451" rgbClr="FF0000">
      <unresolved>
        <commentChain chainId="b00e47660159cac214d56f3e4c2c6a18d62cf815">
          <item id="914465c983ae4a4da37125295aa5d34de2d1e642" isNormal="1">
            <s:text>
              <s:r>
                <s:t xml:space="preserve">Administrator:
5000306 9/19 1638 pcs 华兴三楼B8
</s:t>
              </s:r>
            </s:text>
          </item>
        </commentChain>
      </unresolved>
      <resolved/>
    </commentChains>
    <commentChains s:ref="AB452" rgbClr="FF0000">
      <unresolved>
        <commentChain chainId="4a9ef1e3d9344b36e7073efd64273cf98bb737a7">
          <item id="e8b19f4d322c4dc69adbfa3fe7e55788582ba321" isNormal="1">
            <s:text>
              <s:r>
                <s:t xml:space="preserve">Administrator:
5000306 9/19 300 pcs 华兴三楼B8
</s:t>
              </s:r>
            </s:text>
          </item>
        </commentChain>
      </unresolved>
      <resolved/>
    </commentChains>
    <commentChains s:ref="AB453" rgbClr="FF0000">
      <unresolved>
        <commentChain chainId="5a5e92929b0cf9f8fcfa6d2ebb34de4b60236c72">
          <item id="869fba190aeeb6ee2cd8d02efe7f96fafd979247" isNormal="1">
            <s:text>
              <s:r>
                <s:t xml:space="preserve">Administrator:
5000306 9/19 792 pcs 华兴三楼B8
</s:t>
              </s:r>
            </s:text>
          </item>
        </commentChain>
      </unresolved>
      <resolved/>
    </commentChains>
    <commentChains s:ref="AB454" rgbClr="FF0000">
      <unresolved>
        <commentChain chainId="541cd540b8ad6757842044629d3350887fdc45f3">
          <item id="8cd863249813b2141ebfb467dfa197ae3f75b219" isNormal="1">
            <s:text>
              <s:r>
                <s:t xml:space="preserve">Administrator:
5000306 9/19 2286 pcs 华兴三楼B8
</s:t>
              </s:r>
            </s:text>
          </item>
        </commentChain>
      </unresolved>
      <resolved/>
    </commentChains>
    <commentChains s:ref="AB455" rgbClr="FF0000">
      <unresolved>
        <commentChain chainId="9c482a35febcbbf1955919c0baab784e20e05fa5">
          <item id="f88794632e410e6f04f4abbcd24221e0200322e1" isNormal="1">
            <s:text>
              <s:r>
                <s:t xml:space="preserve">Administrator:
5000306 9/19 1512 pcs 华兴三楼B8
</s:t>
              </s:r>
            </s:text>
          </item>
        </commentChain>
      </unresolved>
      <resolved/>
    </commentChains>
    <commentChains s:ref="AB456" rgbClr="FF0000">
      <unresolved>
        <commentChain chainId="8320e412ac5a891c7a365f6ffb03177cb181657e">
          <item id="4ef900b752850cc418689d4814b3b9542cb01b60" isNormal="1">
            <s:text>
              <s:r>
                <s:t xml:space="preserve">Administrator:
5000306 9/19 480 pcs 华兴三楼B8
</s:t>
              </s:r>
            </s:text>
          </item>
        </commentChain>
      </unresolved>
      <resolved/>
    </commentChains>
    <commentChains s:ref="AB457" rgbClr="FF0000">
      <unresolved>
        <commentChain chainId="b367e8abb064e1581a451f68a40d735f19331f66">
          <item id="f2a99926fc07b67fa7bf26f156f36205d7cfd785" isNormal="1">
            <s:text>
              <s:r>
                <s:t xml:space="preserve">Administrator:
5000277 9/22 616 pcs 莫四楼B4</s:t>
              </s:r>
            </s:text>
          </item>
        </commentChain>
      </unresolved>
      <resolved/>
    </commentChains>
    <commentChains s:ref="AD457" rgbClr="FF0000">
      <unresolved>
        <commentChain chainId="159e6148e32f32b5c5d57b2ee0e8f1a1623b72b4">
          <item id="d362e91018a117f4d13cbd3864ffbc9814babb5f" isNormal="1">
            <s:text>
              <s:r>
                <s:t xml:space="preserve">Administrator:
9/12上 客供价格贴纸 630 pcs</s:t>
              </s:r>
            </s:text>
          </item>
        </commentChain>
      </unresolved>
      <resolved/>
    </commentChains>
    <commentChains s:ref="AB458" rgbClr="FF0000">
      <unresolved>
        <commentChain chainId="544b3210019be14fed36a03b00dd5a76853b27cc">
          <item id="349c91b72859cfc5f7c626c61ecf6ae0226233db" isNormal="1">
            <s:text>
              <s:r>
                <s:t xml:space="preserve">Administrator:
5000387 9/26 1584 pcs 莫四楼B7         
5000394 9/27 22 pcs B7</s:t>
              </s:r>
            </s:text>
          </item>
        </commentChain>
      </unresolved>
      <resolved/>
    </commentChains>
    <commentChains s:ref="AD458" rgbClr="FF0000">
      <unresolved>
        <commentChain chainId="89ed54872b044b796a62ff81b5def7cce0fabd0c">
          <item id="d13c322288feaa04346afb4eb782e0729f5f20f6" isNormal="1">
            <s:text>
              <s:r>
                <s:t xml:space="preserve">Administrator:
9/18上 SSCC外箱贴纸 73 pcs</s:t>
              </s:r>
            </s:text>
          </item>
        </commentChain>
      </unresolved>
      <resolved/>
    </commentChains>
    <commentChains s:ref="AB459" rgbClr="FF0000">
      <unresolved>
        <commentChain chainId="a7c794b802dba860ea15d2624d9fe410258844ea">
          <item id="1dabc5204d06fcc4351d84b3e737982bfd25ff3c" isNormal="1">
            <s:text>
              <s:r>
                <s:t xml:space="preserve">Administrator:
5000389 9/27 506 pcs 华兴三楼B8</s:t>
              </s:r>
            </s:text>
          </item>
        </commentChain>
      </unresolved>
      <resolved/>
    </commentChains>
    <commentChains s:ref="AD459" rgbClr="FF0000">
      <unresolved>
        <commentChain chainId="0a633516e7b1b54ccee63dadfbb71368836b5355">
          <item id="f4ecbcf2f4db534a65e4f5a1ac1af30b3d53cddb" isNormal="1">
            <s:text>
              <s:r>
                <s:t xml:space="preserve">Administrator:
8/27上 WEEE声明不带电池走货欧洲 30 语通用黑白说明书 506 pcs</s:t>
              </s:r>
            </s:text>
          </item>
        </commentChain>
      </unresolved>
      <resolved/>
    </commentChains>
    <commentChains s:ref="AB460" rgbClr="FF0000">
      <unresolved>
        <commentChain chainId="21b41bc5d45092c0fcc37ec107f1eeb94dbe6157">
          <item id="35987698364331fbcce3bc0dc5a8f3a5210128a0" isNormal="1">
            <s:text>
              <s:r>
                <s:t xml:space="preserve">Administrator:
5000389 9/27 240 pcs 华兴三楼14
</s:t>
              </s:r>
            </s:text>
          </item>
        </commentChain>
      </unresolved>
      <resolved/>
    </commentChains>
    <commentChains s:ref="AD460" rgbClr="FF0000">
      <unresolved>
        <commentChain chainId="957638c3beb47a4384420d05182088720a9195c4">
          <item id="c8e4e24338a18a8b8f8a6e94a55ff9708e1485e4" isNormal="1">
            <s:text>
              <s:r>
                <s:t xml:space="preserve">Administrator:
9/9上 B款 UPC贴纸 240 pcs
9/18上 客供亚马逊外箱贴纸 10 pcs</s:t>
              </s:r>
            </s:text>
          </item>
        </commentChain>
      </unresolved>
      <resolved/>
    </commentChains>
    <commentChains s:ref="AB461" rgbClr="FF0000">
      <unresolved>
        <commentChain chainId="7b8ef7bbfccc9cce5795339db14faf31849102c8">
          <item id="f7ee454f2c14d81bd81ff8b7aa204a7e056980f7" isNormal="1">
            <s:text>
              <s:r>
                <s:t xml:space="preserve">Administrator:
5000389 9/27 312 pcs 华兴三楼B13</s:t>
              </s:r>
            </s:text>
          </item>
        </commentChain>
      </unresolved>
      <resolved/>
    </commentChains>
    <commentChains s:ref="AD461" rgbClr="FF0000">
      <unresolved>
        <commentChain chainId="cd82ffeb25bb9d4d5da81dd60a8d63ec06a4967e">
          <item id="891d8ecfa3f5a72085ad08900867ac679985f7cd" isNormal="1">
            <s:text>
              <s:r>
                <s:t xml:space="preserve">Administrator:
9/9上 B款 UPC贴纸 312 pcs
9/18上 客供亚马逊外箱贴纸 13 pcs
</s:t>
              </s:r>
            </s:text>
          </item>
        </commentChain>
      </unresolved>
      <resolved/>
    </commentChains>
    <commentChains s:ref="AB462" rgbClr="FF0000">
      <unresolved>
        <commentChain chainId="a9c91d66415e8a52f58991ed7b1280aa3f63ca43">
          <item id="765f97f6f458e659437aeaf8369472555d0045b3" isNormal="1">
            <s:text>
              <s:r>
                <s:t xml:space="preserve">Administrator:
5000389 9/27 120 pcs 华兴三楼B14</s:t>
              </s:r>
            </s:text>
          </item>
        </commentChain>
      </unresolved>
      <resolved/>
    </commentChains>
    <commentChains s:ref="AD462" rgbClr="FF0000">
      <unresolved>
        <commentChain chainId="5a9c729cced4603cd014475ebc58465ac02b9f64">
          <item id="5dcd79e14653cd86e0e32346f1e6a5e8e72c7e02" isNormal="1">
            <s:text>
              <s:r>
                <s:t xml:space="preserve">Administrator:
9/9上 B款 UPC贴纸 120 pcs
9/18上 客供亚马逊外箱贴纸 5 pcs
</s:t>
              </s:r>
            </s:text>
          </item>
        </commentChain>
      </unresolved>
      <resolved/>
    </commentChains>
    <commentChains s:ref="AB463" rgbClr="FF0000">
      <unresolved>
        <commentChain chainId="72859c56800cae8b5cb32589f16cc436e9687a48">
          <item id="71e37ae99bb366cf14835bc953fe57514a0aad14" isNormal="1">
            <s:text>
              <s:r>
                <s:t xml:space="preserve">Administrator:
5000389 9/27 216 pcs 华兴三楼B14</s:t>
              </s:r>
            </s:text>
          </item>
        </commentChain>
      </unresolved>
      <resolved/>
    </commentChains>
    <commentChains s:ref="AD463" rgbClr="FF0000">
      <unresolved>
        <commentChain chainId="4cc49b1b2a0072c60143fdd2fa32c9fdaa41705a">
          <item id="cbfdfead43c7ec6a40eb808c9dd1bb244a75f535" isNormal="1">
            <s:text>
              <s:r>
                <s:t xml:space="preserve">Administrator:
9/9上 B款 UPC贴纸 216 pcs
9/18上 客供亚马逊外箱贴纸 9 pcs
</s:t>
              </s:r>
            </s:text>
          </item>
        </commentChain>
      </unresolved>
      <resolved/>
    </commentChains>
    <commentChains s:ref="AB464" rgbClr="FF0000">
      <unresolved>
        <commentChain chainId="632b586b051ca3b98a464fc1c223567b5d789a6d">
          <item id="624db25e51c62fc2174772cbaf72baf84934134c" isNormal="1">
            <s:text>
              <s:r>
                <s:t xml:space="preserve">Administrator:
5000389 9/27 192 pcs 华兴三楼B14</s:t>
              </s:r>
            </s:text>
          </item>
        </commentChain>
      </unresolved>
      <resolved/>
    </commentChains>
    <commentChains s:ref="AD464" rgbClr="FF0000">
      <unresolved>
        <commentChain chainId="c60fd3454d1882eec460b859dc80b5d44fb03890">
          <item id="b63f06b1e0772ecd99a0619a9e1f749f3f0cadb6" isNormal="1">
            <s:text>
              <s:r>
                <s:t xml:space="preserve">Administrator:
9/9上 B款 UPC贴纸 192 pcs
9/18上 客供亚马逊外箱贴纸 8 pcs
</s:t>
              </s:r>
            </s:text>
          </item>
        </commentChain>
      </unresolved>
      <resolved/>
    </commentChains>
    <commentChains s:ref="AB465" rgbClr="FF0000">
      <unresolved>
        <commentChain chainId="ce8bb543a4012a4c642621163731dc4823e3a332">
          <item id="2d520b791558cc3278048c7e91f3990a3fc5e4a9" isNormal="1">
            <s:text>
              <s:r>
                <s:t xml:space="preserve">Administrator:
5000394 9/27 2000 pcs 华兴三楼B14</s:t>
              </s:r>
            </s:text>
          </item>
        </commentChain>
      </unresolved>
      <resolved/>
    </commentChains>
    <commentChains s:ref="AD465" rgbClr="FF0000">
      <unresolved>
        <commentChain chainId="875afb68e468191407a5d24908a4e12143816465">
          <item id="261b4e4ff8fe3d3d636bac20a4f154109cedb9b2" isNormal="1">
            <s:text>
              <s:r>
                <s:t xml:space="preserve">Administrator:
8/14上 客供价格贴纸 2100 pcs</s:t>
              </s:r>
            </s:text>
          </item>
        </commentChain>
      </unresolved>
      <resolved/>
    </commentChains>
    <commentChains s:ref="AB466" rgbClr="FF0000">
      <unresolved>
        <commentChain chainId="0bb8bba1a73ba196c7de49fa8d808facc6c589d5">
          <item id="2ec502ed0d2975afd98f5a621278b1d3ff3bc4a6" isNormal="1">
            <s:text>
              <s:r>
                <s:t xml:space="preserve">Administrator:
5000411 9/27 1023 pcs 莫四楼B7</s:t>
              </s:r>
            </s:text>
          </item>
        </commentChain>
      </unresolved>
      <resolved/>
    </commentChains>
    <commentChains s:ref="AD466" rgbClr="FF0000">
      <unresolved>
        <commentChain chainId="0b6a4cf5fa28cce77cc6c8f59071de848c70091f">
          <item id="caafe496ad6aada6115c517954f54d63ca9f7818" isNormal="1">
            <s:text>
              <s:r>
                <s:t xml:space="preserve">Administrator:
9/9上 进口商贴纸(含EAN条码） 1023 pcs</s:t>
              </s:r>
            </s:text>
          </item>
        </commentChain>
      </unresolved>
      <resolved/>
    </commentChains>
    <commentChains s:ref="AB467" rgbClr="FF0000">
      <unresolved>
        <commentChain chainId="0fc0076ae9b61397e7784411436c5d0c4a51303a">
          <item id="6398c1b797ea2e3b0922e60647a610fb12134853" isNormal="1">
            <s:text>
              <s:r>
                <s:t xml:space="preserve">Administrator:
5000411 9/27 1914 pcs 莫四楼B10
5000462 9/30 22 pcs B10</s:t>
              </s:r>
            </s:text>
          </item>
        </commentChain>
      </unresolved>
      <resolved/>
    </commentChains>
    <commentChains s:ref="AD467" rgbClr="FF0000">
      <unresolved>
        <commentChain chainId="0dc27d705631e86e6001c3c6e6e3217fe9733597">
          <item id="a27ee6f178c5432ab7cf5ff7210b0fe98f4737a4" isNormal="1">
            <s:text>
              <s:r>
                <s:t xml:space="preserve">Administrator:
9/9上 进口商贴纸(含EAN条码） 1936 pcs</s:t>
              </s:r>
            </s:text>
          </item>
        </commentChain>
      </unresolved>
      <resolved/>
    </commentChains>
    <commentChains s:ref="AB468" rgbClr="FF0000">
      <unresolved>
        <commentChain chainId="f6b25c8595140eeca9c53b2902288a9d9c417566">
          <item id="63ab2c6ad8ab5243a89fc8ae37e8c783abdaa5a2" isNormal="1">
            <s:text>
              <s:r>
                <s:t xml:space="preserve">Administrator:
5000438 9/30 286 pcs 莫四楼A6</s:t>
              </s:r>
            </s:text>
          </item>
        </commentChain>
      </unresolved>
      <resolved/>
    </commentChains>
    <commentChains s:ref="AD468" rgbClr="FF0000">
      <unresolved>
        <commentChain chainId="81e3563f1ad27b1aae39f9b210d6c8fa011f14d7">
          <item id="3318c4103168020902b7a75e2f816efda73b6f20" isNormal="1">
            <s:text>
              <s:r>
                <s:t xml:space="preserve">Administrator:
9/9上 进口商贴纸 286 pcs</s:t>
              </s:r>
            </s:text>
          </item>
        </commentChain>
      </unresolved>
      <resolved/>
    </commentChains>
    <commentChains s:ref="AB469" rgbClr="FF0000">
      <unresolved>
        <commentChain chainId="b72f4889de6ca01acb221a6f7073959f93d6b935">
          <item id="c27c3ebf42d443bc19460b4d5712904016a43e48" isNormal="1">
            <s:text>
              <s:r>
                <s:t xml:space="preserve">Administrator:
5000462 9/30 726 pcs 华兴三楼A17</s:t>
              </s:r>
            </s:text>
          </item>
        </commentChain>
      </unresolved>
      <resolved/>
    </commentChains>
    <commentChains s:ref="AD469" rgbClr="FF0000">
      <unresolved>
        <commentChain chainId="cf677aa38caa5d38feda9fd4ac0932385a5650f6">
          <item id="dfbd9619736cc825bf420a116a39a6257a7eafd2" isNormal="1">
            <s:text>
              <s:r>
                <s:t xml:space="preserve">Administrator:
9/9上 进口商贴纸 726 pcs</s:t>
              </s:r>
            </s:text>
          </item>
        </commentChain>
      </unresolved>
      <resolved/>
    </commentChains>
    <commentChains s:ref="AB470" rgbClr="FF0000">
      <unresolved>
        <commentChain chainId="74f2f1afe52843b29afbdbf19e05135846a4b1b6">
          <item id="316f872b53cd0c322d7f958c3a8abaa113d8712f" isNormal="1">
            <s:text>
              <s:r>
                <s:t xml:space="preserve">Administrator:
5000462 9/30 220 pcs 华兴三楼B7</s:t>
              </s:r>
            </s:text>
          </item>
        </commentChain>
      </unresolved>
      <resolved/>
    </commentChains>
    <commentChains s:ref="AD470" rgbClr="FF0000">
      <unresolved>
        <commentChain chainId="5bb352530772fb629f191ae09c2d8ddbeaa1926a">
          <item id="5a9a2040a3a233f8ba487c75efa9c560a6ac44ff" isNormal="1">
            <s:text>
              <s:r>
                <s:t xml:space="preserve">Administrator:
9/9上 进口商贴纸 220 pcs</s:t>
              </s:r>
            </s:text>
          </item>
        </commentChain>
      </unresolved>
      <resolved/>
    </commentChains>
    <commentChains s:ref="AB471" rgbClr="FF0000">
      <unresolved>
        <commentChain chainId="726d223a77ade4237e62616c88d6057395dd47e8">
          <item id="e04314a3269e53096b16aa918dfd6b06f1102cc8" isNormal="1">
            <s:text>
              <s:r>
                <s:t xml:space="preserve">Administrator:
5000463 9/30 616 pcs 华兴三楼B7</s:t>
              </s:r>
            </s:text>
          </item>
        </commentChain>
      </unresolved>
      <resolved/>
    </commentChains>
    <commentChains s:ref="AD471" rgbClr="FF0000">
      <unresolved>
        <commentChain chainId="d7c754c3214e9ea31b4b9670e89ddc9e1d7bfd91">
          <item id="d274d7bc12b83b3b59f7d449d14dc6b261b87a7c" isNormal="1">
            <s:text>
              <s:r>
                <s:t xml:space="preserve">Administrator:
9/12上 客供价格贴纸 630 pcs</s:t>
              </s:r>
            </s:text>
          </item>
        </commentChain>
      </unresolved>
      <resolved/>
    </commentChains>
    <commentChains s:ref="AB472" rgbClr="FF0000">
      <unresolved>
        <commentChain chainId="707e41b95c11d3c36a84748889715a2f62cf83c5">
          <item id="0f92acbf48535209c1e997edc040aa6fbf4a570b" isNormal="1">
            <s:text>
              <s:r>
                <s:t xml:space="preserve">Administrator:
5000463 9/30 1056 pcs 华兴三楼A17</s:t>
              </s:r>
            </s:text>
          </item>
        </commentChain>
      </unresolved>
      <resolved/>
    </commentChains>
    <commentChains s:ref="AB473" rgbClr="FF0000">
      <unresolved>
        <commentChain chainId="23d96038b7d893ade60b95ad8cc09b4cee6d4299">
          <item id="3d5b1c1bce47cb35a6f1ca31a195edeed18eb075" isNormal="1">
            <s:text>
              <s:r>
                <s:t xml:space="preserve">Administrator:
5000489 10/10 2000 pcs 华兴三楼B12</s:t>
              </s:r>
            </s:text>
          </item>
        </commentChain>
      </unresolved>
      <resolved/>
    </commentChains>
    <commentChains s:ref="AD473" rgbClr="FF0000">
      <unresolved>
        <commentChain chainId="c194c76923df693ceddf463ab7d2fa02c4aa396f">
          <item id="cd75416014b6148d9a4382539748bdc88fb3ac95" isNormal="1">
            <s:text>
              <s:r>
                <s:t xml:space="preserve">Administrator:
9/23上 客供价格贴纸 2100 pcs</s:t>
              </s:r>
            </s:text>
          </item>
        </commentChain>
      </unresolved>
      <resolved/>
    </commentChains>
    <commentChains s:ref="AB474" rgbClr="FF0000">
      <unresolved>
        <commentChain chainId="1814d0227e107087491cb4434f58f3a96cbec647">
          <item id="185703c0fbc6771e977de6f65b1f111ca0dee161" isNormal="1">
            <s:text>
              <s:r>
                <s:t xml:space="preserve">Administrator:
500540 10/14 1540 pcs 莫四楼B7</s:t>
              </s:r>
            </s:text>
          </item>
        </commentChain>
      </unresolved>
      <resolved/>
    </commentChains>
    <commentChains s:ref="AD474" rgbClr="FF0000">
      <unresolved>
        <commentChain chainId="adc8d34308293a3449df7b407757e5be45e3a874">
          <item id="80915b970eef2f483e09fa41044addc60a927218" isNormal="1">
            <s:text>
              <s:r>
                <s:t xml:space="preserve">Administrator:
9/25上 进口商贴纸含EAN条码 1540 pcs
  外箱条码贴纸 140 pcs
  PDQ贴纸 770 pcs</s:t>
              </s:r>
            </s:text>
          </item>
        </commentChain>
      </unresolved>
      <resolved/>
    </commentChains>
    <commentChains s:ref="AB475" rgbClr="FF0000">
      <unresolved>
        <commentChain chainId="06570207d51a529287ad328892f2f6cf05e4f0a1">
          <item id="8425d314bfea1f24ae6b538862a0ce5ec1226c4f" isNormal="1">
            <s:text>
              <s:r>
                <s:t xml:space="preserve">Administrator:
5000387 9/26 1504 pcs 送回以上订单是为了挪用走货，以上订单湖南那边还需重做
5000609 10/18 1376 pcs 华兴一楼F4</s:t>
              </s:r>
            </s:text>
          </item>
        </commentChain>
      </unresolved>
      <resolved/>
    </commentChains>
    <commentChains s:ref="AD475" rgbClr="FF0000">
      <unresolved>
        <commentChain chainId="109751599d952ebc147d6464ef18d793bcca753a">
          <item id="dcca83bed1713635db574a43d690354a35879ef9" isNormal="1">
            <s:text>
              <s:r>
                <s:t xml:space="preserve">Administrator:
9/23上 客供价格贴纸 1575 pcs
重新做货
10/9上 价格贴纸 1650 pcs</s:t>
              </s:r>
            </s:text>
          </item>
        </commentChain>
      </unresolved>
      <resolved/>
    </commentChains>
    <commentChains s:ref="AB476" rgbClr="FF0000">
      <unresolved>
        <commentChain chainId="e5ed9d229637eaf19d0da6f7ebdd4692bf00832f">
          <item id="3ec7c0c125ed438d0797daa964976ddf0429f201" isNormal="1">
            <s:text>
              <s:r>
                <s:t xml:space="preserve">Administrator:
500540 10/14 1100 pcs 莫四楼B8</s:t>
              </s:r>
            </s:text>
          </item>
        </commentChain>
      </unresolved>
      <resolved/>
    </commentChains>
    <commentChains s:ref="AB477" rgbClr="FF0000">
      <unresolved>
        <commentChain chainId="21042f193755f412f7ab828ab8ba66413790b4ba">
          <item id="7d000abc900c45107cb583d909cded6f0d66e580" isNormal="1">
            <s:text>
              <s:r>
                <s:t xml:space="preserve">Administrator:
5000620 10/18 1430 pcs 华兴三楼A32
</s:t>
              </s:r>
            </s:text>
          </item>
        </commentChain>
      </unresolved>
      <resolved/>
    </commentChains>
    <commentChains s:ref="AB478" rgbClr="FF0000">
      <unresolved>
        <commentChain chainId="2c5b343b1ce618ac950931486e47a3d69bc5b079">
          <item id="473cf2c20fc79a9aaf6a7530d5bfa707645829f6" isNormal="1">
            <s:text>
              <s:r>
                <s:t xml:space="preserve">Administrator:
5000181 10/24 1200 pcs 华兴三楼B14</s:t>
              </s:r>
            </s:text>
          </item>
        </commentChain>
      </unresolved>
      <resolved/>
    </commentChains>
    <commentChains s:ref="AD478" rgbClr="FF0000">
      <unresolved>
        <commentChain chainId="bc28d966df4ebc22e2cb31d87aeb59f383ef97cc">
          <item id="8aa0e093b6b3f12d3b5983cb08ed00907c532ffb" isNormal="1">
            <s:text>
              <s:r>
                <s:t xml:space="preserve">Administrator:
10/13上 价格贴纸 1200 pcs
 外箱贴纸 100 pcs</s:t>
              </s:r>
            </s:text>
          </item>
        </commentChain>
      </unresolved>
      <resolved/>
    </commentChains>
    <commentChains s:ref="AB479" rgbClr="FF0000">
      <unresolved>
        <commentChain chainId="7e34fc9a26bc8a2b2536ece36c4c5152657e7c54">
          <item id="862338e3c9c531e00d877857cbc734ce25ce02de" isNormal="1">
            <s:text>
              <s:r>
                <s:t xml:space="preserve">Administrator:
5000193 10/25 1012 pcs 华兴三楼B15</s:t>
              </s:r>
            </s:text>
          </item>
        </commentChain>
      </unresolved>
      <resolved/>
    </commentChains>
    <commentChains s:ref="AD479" rgbClr="FF0000">
      <unresolved>
        <commentChain chainId="aea6e1c024867543837265a658bc6f252a521ce4">
          <item id="d77096b68a81393dcc5a01b90955df5f4cfa3e8f" isNormal="1">
            <s:text>
              <s:r>
                <s:t xml:space="preserve">Administrator:
9/30上 WEEE声明(不带电池)走货欧洲通用30L-B版说明书 1012 pcs
 德语callout翻译贴纸 1012 pcs</s:t>
              </s:r>
            </s:text>
          </item>
        </commentChain>
      </unresolved>
      <resolved/>
    </commentChains>
    <commentChains s:ref="AB480" rgbClr="FF0000">
      <unresolved>
        <commentChain chainId="ee26e4683fe5f260a6e0cdeae4b6fef7fd7fc0d3">
          <item id="094901caa468fb8c7c9f818a6a387954a6de9bcd" isNormal="1">
            <s:text>
              <s:r>
                <s:t xml:space="preserve">Administrator:
5000193 10/25 504 pcs 华兴三楼B15</s:t>
              </s:r>
            </s:text>
          </item>
        </commentChain>
      </unresolved>
      <resolved/>
    </commentChains>
    <commentChains s:ref="AD480" rgbClr="FF0000">
      <unresolved>
        <commentChain chainId="7f87bec77411cbfb72ab205fb72ce4428343befa">
          <item id="c7e1d804d0b63ac0f88d19e3fea32785bb59068e" isNormal="1">
            <s:text>
              <s:r>
                <s:t xml:space="preserve">Administrator:
9/30上 WEEE电子产品说明书30L(带电池走货B版) 504 pcs
10/13上 EAN贴纸 504 pcs
10/13上 邮包盒贴纸 504 pcs
10/21上 地址贴纸 504 pcs</s:t>
              </s:r>
            </s:text>
          </item>
        </commentChain>
      </unresolved>
      <resolved/>
    </commentChains>
    <commentChains s:ref="AB481" rgbClr="FF0000">
      <unresolved>
        <commentChain chainId="f51860beecba15953e96f429198976b1c5cc93a3">
          <item id="364ddfb2f1f417c284f7dc085234f2b283173f13" isNormal="1">
            <s:text>
              <s:r>
                <s:t xml:space="preserve">Administrator:
1200270 11/1 1518 pcs 王付建四楼A6
</s:t>
              </s:r>
            </s:text>
          </item>
        </commentChain>
      </unresolved>
      <resolved/>
    </commentChains>
    <commentChains s:ref="AD481" rgbClr="FF0000">
      <unresolved>
        <commentChain chainId="43f41abb461051242fdfdd78cb83557a04efb9f8">
          <item id="8cd9f7dfc84199842587ba732cb049efcbf27067" isNormal="1">
            <s:text>
              <s:r>
                <s:t xml:space="preserve">Administrator:
10/28上 SSCC外箱贴纸 69 pcs</s:t>
              </s:r>
            </s:text>
          </item>
        </commentChain>
      </unresolved>
      <resolved/>
    </commentChains>
    <commentChains s:ref="AB482" rgbClr="FF0000">
      <unresolved>
        <commentChain chainId="7607a51c7660ccb6bde3d2238aeb2395b6bd639d">
          <item id="58cfe5c573937d0d031791f957da5766d0f197ad" isNormal="1">
            <s:text>
              <s:r>
                <s:t xml:space="preserve">Administrator:
1200270 11/1 504 pcs 王付建四楼B9
</s:t>
              </s:r>
            </s:text>
          </item>
        </commentChain>
      </unresolved>
      <resolved/>
    </commentChains>
    <commentChains s:ref="AD482" rgbClr="FF0000">
      <unresolved>
        <commentChain chainId="c7ae5c53acb3fe15bea1edc2632c43897913bf20">
          <item id="66edfba516285c0ca7329aa9826fe19fd4919119" isNormal="1">
            <s:text>
              <s:r>
                <s:t xml:space="preserve">Administrator:
10/13上 邮包盒贴纸 504 pcs
10/14上 洗涤说明西班牙语 504 pcs
10/16上 WEEE电子产品说明书30L(不带电池走货B版) 504 pcs
10/17上 亚马逊外箱贴纸 21 pcs</s:t>
              </s:r>
            </s:text>
          </item>
        </commentChain>
      </unresolved>
      <resolved/>
    </commentChains>
    <commentChains s:ref="AB483" rgbClr="FF0000">
      <unresolved>
        <commentChain chainId="675658973864da94f29a0520bd66417d3e414d2f">
          <item id="9cfd2d977f005cd0f1e7d48291995bb05f6c4445" isNormal="1">
            <s:text>
              <s:r>
                <s:t xml:space="preserve">Administrator:
1200270 11/1 504 pcs 王付建四楼B8
</s:t>
              </s:r>
            </s:text>
          </item>
        </commentChain>
      </unresolved>
      <resolved/>
    </commentChains>
    <commentChains s:ref="AD483" rgbClr="FF0000">
      <unresolved>
        <commentChain chainId="fedb016495f09b44a2afb1a08c2db6110fd946dc">
          <item id="55390e89f47f13e4e7051e02a770065f86618bef" isNormal="1">
            <s:text>
              <s:r>
                <s:t xml:space="preserve">Administrator:
10/13上 邮包盒贴纸 504 pcs
10/14上 洗涤说明西班牙语 504 pcs
10/16上 WEEE电子产品说明书30L(不带电池走货B版) 504 pcs
10/17上 亚马逊外箱贴纸 21 pcs
</s:t>
              </s:r>
            </s:text>
          </item>
        </commentChain>
      </unresolved>
      <resolved/>
    </commentChains>
    <commentChains s:ref="AB484" rgbClr="FF0000">
      <unresolved>
        <commentChain chainId="74f0ec7dee437185a501769c4e7a3337e0dd316a">
          <item id="0778e31a25d2e56e834c07d79e47c9c246fc6262" isNormal="1">
            <s:text>
              <s:r>
                <s:t xml:space="preserve">Administrator:
1200270 11/1 504 pcs 王付建四楼B9
</s:t>
              </s:r>
            </s:text>
          </item>
        </commentChain>
      </unresolved>
      <resolved/>
    </commentChains>
    <commentChains s:ref="AD484" rgbClr="FF0000">
      <unresolved>
        <commentChain chainId="b8c2931959752d26cf772dc0f85dba97382e7a6d">
          <item id="7cfeddd5bf2551766449643f075a222e3ec4c522" isNormal="1">
            <s:text>
              <s:r>
                <s:t xml:space="preserve">Administrator:
10/13上 邮包盒贴纸 504 pcs
10/16上 WEEE电子产品说明书30L(不带电池走货B版) 504 pcs
10/28上 亚马逊外箱贴纸 21 pcs</s:t>
              </s:r>
            </s:text>
          </item>
        </commentChain>
      </unresolved>
      <resolved/>
    </commentChains>
    <commentChains s:ref="AB485" rgbClr="FF0000">
      <unresolved>
        <commentChain chainId="4ef63256deb32009d8a96dab2f9df4d8f659b24f">
          <item id="1e9572904d1ca23772404e6a2387ed6d587e988f" isNormal="1">
            <s:text>
              <s:r>
                <s:t xml:space="preserve">Administrator:
1200270 11/1 792 pcs 王付建四楼B1
</s:t>
              </s:r>
            </s:text>
          </item>
        </commentChain>
      </unresolved>
      <resolved/>
    </commentChains>
    <commentChains s:ref="AD485" rgbClr="FF0000">
      <unresolved>
        <commentChain chainId="91376529cdfb2c02fb097f1882dd6e9080cc7a44">
          <item id="f2327989006caadaa26f3fcc50116239b265a04d" isNormal="1">
            <s:text>
              <s:r>
                <s:t xml:space="preserve">Administrator:
10/13上 邮包盒贴纸 792 pcs
10/16上 WEEE电子产品说明书30L(不带电池走货B版) 792 pcs
10/28上 亚马逊外箱贴纸 33 pcs
</s:t>
              </s:r>
            </s:text>
          </item>
        </commentChain>
      </unresolved>
      <resolved/>
    </commentChains>
    <commentChains s:ref="AB486" rgbClr="FF0000">
      <unresolved>
        <commentChain chainId="a1a7582e2106eae09b9d210e2c8f083a7496939c">
          <item id="9f1b1cbab53202fa1ca7c67b55cd429b0943b6b3" isNormal="1">
            <s:text>
              <s:r>
                <s:t xml:space="preserve">Administrator:
1200270 11/1 480 pcs 王付建四楼B9
</s:t>
              </s:r>
            </s:text>
          </item>
        </commentChain>
      </unresolved>
      <resolved/>
    </commentChains>
    <commentChains s:ref="AD486" rgbClr="FF0000">
      <unresolved>
        <commentChain chainId="def37a0927a5dc5a9a96aa297624667f3bcfa562">
          <item id="bd82efa47949afb74b4cbae5f2a25eeaa24d3cf5" isNormal="1">
            <s:text>
              <s:r>
                <s:t xml:space="preserve">Administrator:
10/13上 邮包盒贴纸 480 pcs
10/16上 WEEE电子产品说明书30L(不带电池走货B版) 480 pcs
10/28上 亚马逊外箱贴纸 20 pcs
</s:t>
              </s:r>
            </s:text>
          </item>
        </commentChain>
      </unresolved>
      <resolved/>
    </commentChains>
    <commentChains s:ref="AB487" rgbClr="FF0000">
      <unresolved>
        <commentChain chainId="19095316f813d3d211e5e70c3b98045a16b57321">
          <item id="2c880b1f34b67c242de16945227cf4a30ae3d52f" isNormal="1">
            <s:text>
              <s:r>
                <s:t xml:space="preserve">Administrator:
1200335 11/8 1507 pcs 华兴三楼B15</s:t>
              </s:r>
            </s:text>
          </item>
        </commentChain>
      </unresolved>
      <resolved/>
    </commentChains>
    <commentChains s:ref="AD487" rgbClr="FF0000">
      <unresolved>
        <commentChain chainId="07e94753d22e16b1eccb39f01e4fdecf6b85b0ca">
          <item id="6222b0abb56ede2dff0770903da17d92e17a3e6a" isNormal="1">
            <s:text>
              <s:r>
                <s:t xml:space="preserve">Administrator:
9/29上 警告语/EAN贴纸  1507 pcs
前面上的是错的
10/28上 警告语贴纸 1507 pcs
 条码贴纸 1507 pcs</s:t>
              </s:r>
            </s:text>
          </item>
        </commentChain>
      </unresolved>
      <resolved/>
    </commentChains>
    <commentChains s:ref="AB488" rgbClr="FF0000">
      <unresolved>
        <commentChain chainId="0a7f935b6521143b311dc15d61bfbd8d07249e70">
          <item id="00543e516c4eb56c6744f1918c8bbec50b6f1a7a" isNormal="1">
            <s:text>
              <s:r>
                <s:t xml:space="preserve">Administrator:
1200311 11/5 504 pcs 华兴三楼A17</s:t>
              </s:r>
            </s:text>
          </item>
        </commentChain>
      </unresolved>
      <resolved/>
    </commentChains>
    <commentChains s:ref="AD488" rgbClr="FF0000">
      <unresolved>
        <commentChain chainId="fb796769d96fcc349f417c8862fe838300396150">
          <item id="a652a83cc5b18d6cb8b818716e8def3294722a3b" isNormal="1">
            <s:text>
              <s:r>
                <s:t xml:space="preserve">Administrator:
10/13上 邮包盒贴纸 504 pcs
10/21上 WEEE电子产品说明书30L(不带电池走货B版) 504 pcs
10/22上 亚马逊外箱贴纸  21 pcs
11/4上 洗涤说明西班牙语贴纸  504 pcs</s:t>
              </s:r>
            </s:text>
          </item>
        </commentChain>
      </unresolved>
      <resolved/>
    </commentChains>
    <commentChains s:ref="AB489" rgbClr="FF0000">
      <unresolved>
        <commentChain chainId="4458636da387d9d8a7622dd24cff6f590d738a1f">
          <item id="3945c3dfecc84e79c88d03a9f9ef6ef4e64a6492" isNormal="1">
            <s:text>
              <s:r>
                <s:t xml:space="preserve">Administrator:
1200311 11/5 504 pcs 华兴三楼A17</s:t>
              </s:r>
            </s:text>
          </item>
        </commentChain>
      </unresolved>
      <resolved/>
    </commentChains>
    <commentChains s:ref="AD489" rgbClr="FF0000">
      <unresolved>
        <commentChain chainId="f94785d342c477a20bf2ebdd5d891ac2ee73f2ee">
          <item id="b88935f3213d70ac017ddc6db9290810ae8ed005" isNormal="1">
            <s:text>
              <s:r>
                <s:t xml:space="preserve">Administrator:
10/13上 邮包盒贴纸 504 pcs
10/21上 WEEE电子产品说明书30L(不带电池走货B版) 504 pcs
10/22上 亚马逊外箱贴纸  21 pcs
11/4上 洗涤说明西班牙语贴纸  504 pcs
</s:t>
              </s:r>
            </s:text>
          </item>
        </commentChain>
      </unresolved>
      <resolved/>
    </commentChains>
    <commentChains s:ref="AB490" rgbClr="FF0000">
      <unresolved>
        <commentChain chainId="f4fb6ae2824b094d56aa418736621e6f679b015a">
          <item id="56e8c062e54c9725416d827a35bcab8a1d577c83" isNormal="1">
            <s:text>
              <s:r>
                <s:t xml:space="preserve">Administrator:
11/10 1200353 2244 pcs 华兴三楼B9
11/11 200360 1320 pcs</s:t>
              </s:r>
            </s:text>
          </item>
        </commentChain>
      </unresolved>
      <resolved/>
    </commentChains>
    <commentChains s:ref="AD490" rgbClr="FF0000">
      <unresolved>
        <commentChain chainId="11863a46c564c2c0d1f6a3664ca311d86838a757">
          <item id="eb0a25efb2b7200d30ef410e279abc10a5bcfc50" isNormal="1">
            <s:text>
              <s:r>
                <s:t xml:space="preserve">Administrator:
10/21上 地址贴纸 3300 pcs
10/23上 价格贴纸 3300 pcs
 EAN贴纸 3300 pcs
 WEEE不带电池走货通用B版30L说明书 3300 pcs</s:t>
              </s:r>
            </s:text>
          </item>
        </commentChain>
      </unresolved>
      <resolved/>
    </commentChains>
    <commentChains s:ref="AB491" rgbClr="FF0000">
      <unresolved>
        <commentChain chainId="61d26b981d713a1d4278b9670f8058c509c695b5">
          <item id="6cb864c9f7a61c29f12e0f6ea4b6e628cd5e2940" isNormal="1">
            <s:text>
              <s:r>
                <s:t xml:space="preserve">Administrator:
1200429 11/18 594 pcs 华兴三楼B1</s:t>
              </s:r>
            </s:text>
          </item>
        </commentChain>
      </unresolved>
      <resolved/>
    </commentChains>
    <commentChains s:ref="AD491" rgbClr="FF0000">
      <unresolved>
        <commentChain chainId="84375a1b78197e0540b882fa77e2d4989420ae92">
          <item id="3bf269601b3aae3f2601f178d98fe1ef77a6f577" isNormal="1">
            <s:text>
              <s:r>
                <s:t xml:space="preserve">Administrator:
11/3上 警语贴纸 594 pcs
 不带电池出货版本WEEE说明书 594 pcs</s:t>
              </s:r>
            </s:text>
          </item>
        </commentChain>
      </unresolved>
      <resolved/>
    </commentChains>
    <commentChains s:ref="AB492" rgbClr="FF0000">
      <unresolved>
        <commentChain chainId="cd9c24df9c98af1030a36fb29003fe507c40dffe">
          <item id="9667e6b04965aec360275283d87095b0d1aa2a08" isNormal="1">
            <s:text>
              <s:r>
                <s:t xml:space="preserve">Administrator:
1200429 11/18 1122 pcs 华兴三楼A12</s:t>
              </s:r>
            </s:text>
          </item>
        </commentChain>
      </unresolved>
      <resolved/>
    </commentChains>
    <commentChains s:ref="AD492" rgbClr="FF0000">
      <unresolved>
        <commentChain chainId="259e4bcb4fb15680a8efc463a638d08d94c3ed0d">
          <item id="05e62115135bcfab33642ab15404e3b6d2a12426" isNormal="1">
            <s:text>
              <s:r>
                <s:t xml:space="preserve">Administrator:
10/30上 多语折叠贴纸 1122 pcs
10/31上 WEEE B 30L 通用不带电池出货黑白电池说明书 1122 pcs
 EAN条码贴纸 1122 pcs
 黑白简易说明书 1122 pcs 错的/有一面是白纸
11/7上 黑白简易说明书 1122 pcs</s:t>
              </s:r>
            </s:text>
          </item>
        </commentChain>
      </unresolved>
      <resolved/>
    </commentChains>
    <commentChains s:ref="AB493" rgbClr="FF0000">
      <unresolved>
        <commentChain chainId="561e5efacec33195ba0490431b66551d6a25bdcf">
          <item id="9fefbbe483251ccf8ef2b499471d4fd28933818f" isNormal="1">
            <s:text>
              <s:r>
                <s:t xml:space="preserve">Administrator:
1200429 11/18 1100 pcs 华兴三楼B15</s:t>
              </s:r>
            </s:text>
          </item>
        </commentChain>
      </unresolved>
      <resolved/>
    </commentChains>
    <commentChains s:ref="AD493" rgbClr="FF0000">
      <unresolved>
        <commentChain chainId="84ec6f9382f6668a4473984435636131b01cd9c8">
          <item id="b482c238aaf42236d96f7372a06f211befa06d27" isNormal="1">
            <s:text>
              <s:r>
                <s:t xml:space="preserve">Administrator:
11/4上 EAN条码贴纸 1100 pcs</s:t>
              </s:r>
            </s:text>
          </item>
        </commentChain>
      </unresolved>
      <resolved/>
    </commentChains>
    <commentChains s:ref="AB494" rgbClr="FF0000">
      <unresolved>
        <commentChain chainId="51acdf15c63ef20528cac5fa50b181080ad3ac0f">
          <item id="b412674ca7ef9a603e369f206f7af72d41ea8437" isNormal="1">
            <s:text>
              <s:r>
                <s:t xml:space="preserve">Administrator:
1200477 11/20 1188 pcs 王四楼A8
1200499 11/24 22 pcs</s:t>
              </s:r>
            </s:text>
          </item>
        </commentChain>
      </unresolved>
      <resolved/>
    </commentChains>
    <commentChains s:ref="AD494" rgbClr="FF0000">
      <unresolved>
        <commentChain chainId="a24cd73298cfbe007943c54df0df0d62078638ae">
          <item id="fb3fa2522ef1c68bd420dec524f0e9aa345fcc06" isNormal="1">
            <s:text>
              <s:r>
                <s:t xml:space="preserve">Administrator:
10/21上 WEEE声明（不带电池走货版本的通用30L说明书） 1210 pcs
11/10上 进口商贴纸 1815 pcs</s:t>
              </s:r>
            </s:text>
          </item>
        </commentChain>
      </unresolved>
      <resolved/>
    </commentChains>
    <commentChains s:ref="AB495" rgbClr="FF0000">
      <unresolved>
        <commentChain chainId="b3d3c2afc10d6a8f70bda3b81acf6e0dcf4d3930">
          <item id="e5b0d2bd90bc6c6a85c4c4fae07fa6d687f1a947" isNormal="1">
            <s:text>
              <s:r>
                <s:t xml:space="preserve">Administrator:
1200437 11/18 4796 pcs 华兴三楼B12
1200451 11/19 11 pcs B12</s:t>
              </s:r>
            </s:text>
          </item>
        </commentChain>
      </unresolved>
      <resolved/>
    </commentChains>
    <commentChains s:ref="AD495" rgbClr="FF0000">
      <unresolved>
        <commentChain chainId="62efb987912782b7d4b19d86ac668485986739a7">
          <item id="a3df1d4011cbd4d4a98192ce4a3e3edd803c97e9" isNormal="1">
            <s:text>
              <s:r>
                <s:t xml:space="preserve">Administrator:
11/10上 EAN条码贴纸 4807 pcs
 B版WEEE30L不带电池走货说明书 4807 pcs
11/13上 多语折叠警语贴纸 4807 pcs</s:t>
              </s:r>
            </s:text>
          </item>
        </commentChain>
      </unresolved>
      <resolved/>
    </commentChains>
    <commentChains s:ref="AB496" rgbClr="FF0000">
      <unresolved>
        <commentChain chainId="b1248270cee2c6f89d482ace57be6fb3549c013d">
          <item id="357b5718c1aa486de7f6cf20f4550e2dc906297f" isNormal="1">
            <s:text>
              <s:r>
                <s:t xml:space="preserve">Administrator:
1200433 11/18 504 pcs 华兴三楼B9</s:t>
              </s:r>
            </s:text>
          </item>
        </commentChain>
      </unresolved>
      <resolved/>
    </commentChains>
    <commentChains s:ref="AD496" rgbClr="FF0000">
      <unresolved>
        <commentChain chainId="315d3c701078aacd6605a40ec10a9263746f7f24">
          <item id="da512bc8edc0e0e1f57cae6cd125495c54d42ba2" isNormal="1">
            <s:text>
              <s:r>
                <s:t xml:space="preserve">Administrator:
10/13上 邮包盒贴纸 504 pcs
11/7上 WEEE电子产品说明书30L(不带电
池走货B版) 504 pcs
11/11上 亚马逊外箱贴纸21 pcs</s:t>
              </s:r>
            </s:text>
          </item>
        </commentChain>
      </unresolved>
      <resolved/>
    </commentChains>
    <commentChains s:ref="AB497" rgbClr="FF0000">
      <unresolved>
        <commentChain chainId="960bd908f2d4360c1fa5c7b1006b590868fd6534">
          <item id="ae282004e3ff3322de81791b35e79264899b7440" isNormal="1">
            <s:text>
              <s:r>
                <s:t xml:space="preserve">Administrator:
1200437 11/18 768 pcs 华兴三楼B9</s:t>
              </s:r>
            </s:text>
          </item>
        </commentChain>
      </unresolved>
      <resolved/>
    </commentChains>
    <commentChains s:ref="AD497" rgbClr="FF0000">
      <unresolved>
        <commentChain chainId="675f9dd71902b1bb37ad5d9c758fb0a293b0135c">
          <item id="2d9c3509dc364c010139edd03e30d2a516a500cd" isNormal="1">
            <s:text>
              <s:r>
                <s:t xml:space="preserve">Administrator:
10/13上 邮包盒贴纸768 pcs
11/7上 WEEE电子产品说明书30L(不带电
池走货B版) 768 pcs
11/11上 亚马逊外箱贴纸 32 pcs
</s:t>
              </s:r>
            </s:text>
          </item>
        </commentChain>
      </unresolved>
      <resolved/>
    </commentChains>
    <commentChains s:ref="AB498" rgbClr="FF0000">
      <unresolved>
        <commentChain chainId="304bb0231144419a10c00fbbe7e57a0f8afcbcd7">
          <item id="0ebb7d588611e325c9cf50fde9c7cb1567f8cfc9" isNormal="1">
            <s:text>
              <s:r>
                <s:t xml:space="preserve">Administrator:
1200433 11/18 960 pcs 华兴三楼B9</s:t>
              </s:r>
            </s:text>
          </item>
        </commentChain>
      </unresolved>
      <resolved/>
    </commentChains>
    <commentChains s:ref="AD498" rgbClr="FF0000">
      <unresolved>
        <commentChain chainId="c30a0f780c10311bbcba2991794b7ca28905a18a">
          <item id="2653fa6b79334cf95efe9d0e725d6b735ed08ede" isNormal="1">
            <s:text>
              <s:r>
                <s:t xml:space="preserve">Administrator:
10/13上 邮包盒贴纸 960 pcs
11/7上 WEEE电子产品说明书30L(不带电池走货B版) 960 pcs
11/11上 亚马逊外箱贴纸 40 pcs</s:t>
              </s:r>
            </s:text>
          </item>
        </commentChain>
      </unresolved>
      <resolved/>
    </commentChains>
    <commentChains s:ref="AB499" rgbClr="FF0000">
      <unresolved>
        <commentChain chainId="d979e2dc5a5a05eb6815513b28fdd7748e3f4d44">
          <item id="280ff2cf23ac4a9e1aabe44494a655f6ba777d5a" isNormal="1">
            <s:text>
              <s:r>
                <s:t xml:space="preserve">Administrator:
1200433 11/18 504 pcs 华兴三楼B9</s:t>
              </s:r>
            </s:text>
          </item>
        </commentChain>
      </unresolved>
      <resolved/>
    </commentChains>
    <commentChains s:ref="AD499" rgbClr="FF0000">
      <unresolved>
        <commentChain chainId="d971cfa1e2f4355de30f3fbc53269d3a20906f83">
          <item id="adcfb441d7624542a7a01b6c2ae619f5daeee668" isNormal="1">
            <s:text>
              <s:r>
                <s:t xml:space="preserve">Administrator:
10/13上 邮包盒贴纸 504 pcs
11/7上 WEEE电子产品说明书30L(不带电
池走货B版) 504 pcs
11/11上 亚马逊外箱贴纸 21 pcs</s:t>
              </s:r>
            </s:text>
          </item>
        </commentChain>
      </unresolved>
      <resolved/>
    </commentChains>
    <commentChains s:ref="AB500" rgbClr="FF0000">
      <unresolved>
        <commentChain chainId="776feb9329ce2c7cd4005b53a654e204c1d8f17d">
          <item id="6663c9d14841f5b9e6968bd265313d27bb98f514" isNormal="1">
            <s:text>
              <s:r>
                <s:t xml:space="preserve">Administrator:
1200433 11/18 504 pcs 华兴三楼B9</s:t>
              </s:r>
            </s:text>
          </item>
        </commentChain>
      </unresolved>
      <resolved/>
    </commentChains>
    <commentChains s:ref="AD500" rgbClr="FF0000">
      <unresolved>
        <commentChain chainId="3b5ab1ce80d5aa1ac2ee1083a6013ad3189e7f55">
          <item id="bd3b4a5fa0d9651f8f49a1f98c00bd31c6f4d291" isNormal="1">
            <s:text>
              <s:r>
                <s:t xml:space="preserve">Administrator:
10/13上 邮包盒贴纸 504 pcs
11/7上 WEEE电子产品说明书30L(不带电
池走货B版) 504 pcs
11/11上 亚马逊外箱贴纸 21 pcs</s:t>
              </s:r>
            </s:text>
          </item>
        </commentChain>
      </unresolved>
      <resolved/>
    </commentChains>
    <commentChains s:ref="AB501" rgbClr="FF0000">
      <unresolved>
        <commentChain chainId="e5bca08b081c0b61d110863e6d3ca48e12f6b601">
          <item id="d1ec67b3ef8e226d63437e8ffa135698f13a36fc" isNormal="1">
            <s:text>
              <s:r>
                <s:t xml:space="preserve">Administrator:
1200511 11/25 3600 pcs 王四楼B7</s:t>
              </s:r>
            </s:text>
          </item>
        </commentChain>
      </unresolved>
      <resolved/>
    </commentChains>
    <commentChains s:ref="AD501" rgbClr="FF0000">
      <unresolved>
        <commentChain chainId="7443322a9e22a34d0cfd9e5374d0d61ada7c1aa6">
          <item id="695e1c5a71599ca7502aa99e54caef112b52ff7e" isNormal="1">
            <s:text>
              <s:r>
                <s:t xml:space="preserve">Administrator:
11/3上 价格贴纸 3600 pcs 
 外箱条码贴纸 300 pcs</s:t>
              </s:r>
            </s:text>
          </item>
        </commentChain>
      </unresolved>
      <resolved/>
    </commentChains>
    <commentChains s:ref="AB502" rgbClr="FF0000">
      <unresolved>
        <commentChain chainId="6d3877a0cd399bc29819f9a07b3be237e99f79bc">
          <item id="56ba102645776e6523eb284f3d327a02eb101797" isNormal="1">
            <s:text>
              <s:r>
                <s:t xml:space="preserve">Administrator:
1200525 11/26 1078  pcs 华兴三楼B8
1200561 11/28 22 pcs</s:t>
              </s:r>
            </s:text>
          </item>
        </commentChain>
      </unresolved>
      <resolved/>
    </commentChains>
    <commentChains s:ref="AD502" rgbClr="FF0000">
      <unresolved>
        <commentChain chainId="e3172f5b2feaaddec15e63ff82bb1103a39e5d68">
          <item id="db8139adaf0cbb40fa28e51f0d704f1add09650f" isNormal="1">
            <s:text>
              <s:r>
                <s:t xml:space="preserve">Administrator:
11/7上 多语折叠贴纸 1100 pcs
11/4上 B版WEEE不带电池走货说明书 1100 pcs
11/14上 条码贴纸 1100 pcs</s:t>
              </s:r>
            </s:text>
          </item>
        </commentChain>
      </unresolved>
      <resolved/>
    </commentChains>
    <commentChains s:ref="AB503" rgbClr="FF0000">
      <unresolved>
        <commentChain chainId="1a1aa431a00fe4e6db7aaabd567aa404dec5820b">
          <item id="7bfa6403fe7fe3054f51d9216625f52efa7bbae1" isNormal="1">
            <s:text>
              <s:r>
                <s:t xml:space="preserve">Administrator:
1200433 11/18 2016 pcs 华兴三楼B12</s:t>
              </s:r>
            </s:text>
          </item>
        </commentChain>
      </unresolved>
      <resolved/>
    </commentChains>
    <commentChains s:ref="AD503" rgbClr="FF0000">
      <unresolved>
        <commentChain chainId="bd7e62d3c89a347b6653eb2ee081f98b247f2be1">
          <item id="e5875919c0f54c20f1b50b0d26a6d63098b6b858" isNormal="1">
            <s:text>
              <s:r>
                <s:t xml:space="preserve">Administrator:
10/11上 客人白色Cat.label 2016 pcs
 B版WEEE30L不带电走货说明书 2016 pcs</s:t>
              </s:r>
            </s:text>
          </item>
        </commentChain>
      </unresolved>
      <resolved/>
    </commentChains>
    <commentChains s:ref="AB504" rgbClr="FF0000">
      <unresolved>
        <commentChain chainId="cfe2762c4ffd0fd18c0d2061b66d14321535c37d">
          <item id="12fd0cfd22abbce68cfc947eb9f4343644dcb043" isNormal="1">
            <s:text>
              <s:r>
                <s:t xml:space="preserve">Administrator:
1200550 11/27 504 pcs 华兴三楼B8</s:t>
              </s:r>
            </s:text>
          </item>
        </commentChain>
      </unresolved>
      <resolved/>
    </commentChains>
    <commentChains s:ref="AD504" rgbClr="FF0000">
      <unresolved>
        <commentChain chainId="032dc014c01e4c91555c78a4f9bbfae4ef7fe74a">
          <item id="08669d5e45f0b954a424ebd18091d8ad66c6bdd8" isNormal="1">
            <s:text>
              <s:r>
                <s:t xml:space="preserve">Administrator:
10/13上 邮包盒贴纸 504 pcs
10/30上 亚马逊外箱贴纸 21 pcs
11/7上 WEEE电子产品说明书30L(不带电池走货B版) 504 pcs</s:t>
              </s:r>
            </s:text>
          </item>
        </commentChain>
      </unresolved>
      <resolved/>
    </commentChains>
    <commentChains s:ref="AB505" rgbClr="FF0000">
      <unresolved>
        <commentChain chainId="2bf58e255be50cbbc614aadc86b0998d0b1d9653">
          <item id="2d6c2e9699cdc78fa406396c2026e68dd01589b2" isNormal="1">
            <s:text>
              <s:r>
                <s:t xml:space="preserve">Administrator:
1200550 11/27 504 pcs 华兴三楼B8</s:t>
              </s:r>
            </s:text>
          </item>
        </commentChain>
      </unresolved>
      <resolved/>
    </commentChains>
    <commentChains s:ref="AD505" rgbClr="FF0000">
      <unresolved>
        <commentChain chainId="795f46b8e4cf2618cb3f924b20e94f77d28c013e">
          <item id="2b398c5aec03c523437956f597e407a8d1e3a321" isNormal="1">
            <s:text>
              <s:r>
                <s:t xml:space="preserve">Administrator:
10/13上 邮包盒贴纸 504 pcs
10/30上 亚马逊外箱贴纸 21 pcs
11/7上 WEEE电子产品说明书30L(不带电池走货B版) 504 pcs</s:t>
              </s:r>
            </s:text>
          </item>
        </commentChain>
      </unresolved>
      <resolved/>
    </commentChains>
    <commentChains s:ref="AB506" rgbClr="FF0000">
      <unresolved>
        <commentChain chainId="9c3dc8c5128353e3f069291a2dc38756fb446c7c">
          <item id="3b23b97c255506b16bf44e8afd00689136127443" isNormal="1">
            <s:text>
              <s:r>
                <s:t xml:space="preserve">Administrator:
1200525 11/26 2496  pcs 华兴三楼B9</s:t>
              </s:r>
            </s:text>
          </item>
        </commentChain>
      </unresolved>
      <resolved/>
    </commentChains>
    <commentChains s:ref="AD506" rgbClr="FF0000">
      <unresolved>
        <commentChain chainId="8f1c728d5500b3162001d61c68f23626c956b714">
          <item id="a39bbe19e4445f346044c85e2245e479af2f2ba4" isNormal="1">
            <s:text>
              <s:r>
                <s:t xml:space="preserve">Administrator:
11/10上 EAN条码贴纸2496 pcs
德语callout贴纸 2496 pcs
欧洲通用30LB版WEEE说明书（不带电）2496 pcs</s:t>
              </s:r>
            </s:text>
          </item>
        </commentChain>
      </unresolved>
      <resolved/>
    </commentChains>
    <commentChains s:ref="AB507" rgbClr="FF0000">
      <unresolved>
        <commentChain chainId="f43af636c69e70e525da78bcffe8e06c6b888def">
          <item id="b113caa0d0e84498cc95ef5c9df8640845753145" isNormal="1">
            <s:text>
              <s:r>
                <s:t xml:space="preserve">Administrator:
1200557 11/27 2376 pcs 华兴一楼F3
1200561 11/28 24 pcs</s:t>
              </s:r>
            </s:text>
          </item>
        </commentChain>
      </unresolved>
      <resolved/>
    </commentChains>
    <commentChains s:ref="AD507" rgbClr="FF0000">
      <unresolved>
        <commentChain chainId="697bb8363a4638531251f16484e51f189e14d6b6">
          <item id="7b4ccc8d922593bf1ec94736142660559a94bb9f" isNormal="1">
            <s:text>
              <s:r>
                <s:t xml:space="preserve">Administrator:
10/31上 WEEE不带电池走货欧洲30语通用黑白说明书 2400 pcs
111/5上 客供价格贴纸 2520 pcs</s:t>
              </s:r>
            </s:text>
          </item>
        </commentChain>
      </unresolved>
      <resolved/>
    </commentChains>
    <commentChains s:ref="AB508" rgbClr="FF0000">
      <unresolved>
        <commentChain chainId="5457f6c4d49d64b3849b0b14d0c732aa09e69b70">
          <item id="2dd4f4b125dcc1c622269b485713df63ee6a6cf5" isNormal="1">
            <s:text>
              <s:r>
                <s:t xml:space="preserve">Administrator:
1200557 11/27 1536 pcs 华兴一楼F3
1200561 11/28 24 pcs
</s:t>
              </s:r>
            </s:text>
          </item>
        </commentChain>
      </unresolved>
      <resolved/>
    </commentChains>
    <commentChains s:ref="AD508" rgbClr="FF0000">
      <unresolved>
        <commentChain chainId="68d38340c5b0db082a57c92aeee0d9a2486b022e">
          <item id="027fc575c16efbde266937833cb7700147d6dfef" isNormal="1">
            <s:text>
              <s:r>
                <s:t xml:space="preserve">Administrator:
10/13上 WEEE不带电池走货欧洲30语通用黑白说明书 1560 pcs
  波兰语警告语贴纸 1560 pcs
11/5上 客供价格贴纸 1683 pcs</s:t>
              </s:r>
            </s:text>
          </item>
        </commentChain>
      </unresolved>
      <resolved/>
    </commentChains>
    <commentChains s:ref="AB509" rgbClr="FF0000">
      <unresolved>
        <commentChain chainId="3b6722dfecf954cbc96744c5daec39705a285320">
          <item id="e5a3254ebc1d4b0ed65060d936a7b17639f51c88" isNormal="1">
            <s:text>
              <s:r>
                <s:t xml:space="preserve">Administrator:
1200181 12/1 605 pcs 华兴三楼B4</s:t>
              </s:r>
            </s:text>
          </item>
        </commentChain>
      </unresolved>
      <resolved/>
    </commentChains>
    <commentChains s:ref="AD509" rgbClr="FF0000">
      <unresolved>
        <commentChain chainId="fd8a5f3a0079dbe892b821199336764e11d9da8a">
          <item id="dddf1fe9946a20ea3afd0310e0b40418549a528c" isNormal="1">
            <s:text>
              <s:r>
                <s:t xml:space="preserve">Administrator:
10/25上 瑞典语/EAN贴纸 605 pcs
 说明书 605 pcs
11/21上 条码贴纸 605 pcs</s:t>
              </s:r>
            </s:text>
          </item>
        </commentChain>
      </unresolved>
      <resolved/>
    </commentChains>
    <commentChains s:ref="AB510" rgbClr="FF0000">
      <unresolved>
        <commentChain chainId="56774c6cc9a53ee8bc4292a5c96458457bafef77">
          <item id="46142c26835bbfe8867d6fe4504e5d137a6d2fb0" isNormal="1">
            <s:text>
              <s:r>
                <s:t xml:space="preserve">Administrator:
1200614 12/2 1210 pcs 华兴三楼B15</s:t>
              </s:r>
            </s:text>
          </item>
        </commentChain>
      </unresolved>
      <resolved/>
    </commentChains>
    <commentChains s:ref="AD510" rgbClr="FF0000">
      <unresolved>
        <commentChain chainId="f25d90748562e31b49620b5aade1ade37cac1557">
          <item id="133e663916b2774eaa2ff113892f8307c9c1c292" isNormal="1">
            <s:text>
              <s:r>
                <s:t xml:space="preserve">Administrator:
11/7上 多语折叠贴纸 1210 pcs
11/4上 B版WEEE不带电池走货说明书 1210 pcs
11/29上 EAN贴纸 1210 pcs</s:t>
              </s:r>
            </s:text>
          </item>
        </commentChain>
      </unresolved>
      <resolved/>
    </commentChains>
    <commentChains s:ref="AB511" rgbClr="FF0000">
      <unresolved>
        <commentChain chainId="bbc66956510004d88177401b962c0a6a67f28078">
          <item id="bfc390fd475acc89bce65a26738b5fd92e8ac9b9" isNormal="1">
            <s:text>
              <s:r>
                <s:t xml:space="preserve">Administrator:
1200181 12/1 616 pcs 华兴三楼A6</s:t>
              </s:r>
            </s:text>
          </item>
        </commentChain>
      </unresolved>
      <resolved/>
    </commentChains>
    <commentChains s:ref="AD511" rgbClr="FF0000">
      <unresolved>
        <commentChain chainId="e11506526acbac3989b291b2cc56fd5d5e74986f">
          <item id="39168b17e6f0d298ebbe1f56070a359f4a2d6431" isNormal="1">
            <s:text>
              <s:r>
                <s:t xml:space="preserve">Administrator:
11/13上 客供价格贴纸 630 pcs</s:t>
              </s:r>
            </s:text>
          </item>
        </commentChain>
      </unresolved>
      <resolved/>
    </commentChains>
    <commentChains s:ref="AB512" rgbClr="FF0000">
      <unresolved>
        <commentChain chainId="89cf318c3b691d4ba6b7974999774aa2efa0c6fd">
          <item id="4196e045017fee5eef72522b42e96bf946c06045" isNormal="1">
            <s:text>
              <s:r>
                <s:t xml:space="preserve">Administrator:
1200177 11/29 220 pcs 兴信</s:t>
              </s:r>
            </s:text>
          </item>
        </commentChain>
      </unresolved>
      <resolved/>
    </commentChains>
    <commentChains s:ref="AB513" rgbClr="FF0000">
      <unresolved>
        <commentChain chainId="a8d70d1fa6ef0d51ea1d487f3bb76aa3f0cbb765">
          <item id="278551433196191718f6ff9973f3a0ddadd0e973" isNormal="1">
            <s:text>
              <s:r>
                <s:t xml:space="preserve">Administrator:
1200646 12/4 308 pcs  华兴三楼B14
</s:t>
              </s:r>
            </s:text>
          </item>
        </commentChain>
      </unresolved>
      <resolved/>
    </commentChains>
    <commentChains s:ref="AD513" rgbClr="FF0000">
      <unresolved>
        <commentChain chainId="3d552b5f95d5a14712f813a8fbd7da229134ba31">
          <item id="89c715038487fa0b3a3dfaa87fd904772afba095" isNormal="1">
            <s:text>
              <s:r>
                <s:t xml:space="preserve">Administrator:
11/21上 丹麦瑞典芬兰挪威语警告语 308 pcs</s:t>
              </s:r>
            </s:text>
          </item>
        </commentChain>
      </unresolved>
      <resolved/>
    </commentChains>
    <commentChains s:ref="AB514" rgbClr="FF0000">
      <unresolved>
        <commentChain chainId="38add6edc3e06af685a5dbb1cc274b93c56014c9">
          <item id="438b9f6ab32a0c784179df2087b5ab1404ded878" isNormal="1">
            <s:text>
              <s:r>
                <s:t xml:space="preserve">Administrator:
1200768 12/12 506 pcs 王四楼B1</s:t>
              </s:r>
            </s:text>
          </item>
        </commentChain>
      </unresolved>
      <resolved/>
    </commentChains>
    <commentChains s:ref="AD514" rgbClr="FF0000">
      <unresolved>
        <commentChain chainId="cb8325d5e1bd9097b0220b464f7b180391889d2a">
          <item id="b40d432868b97d6e2749c1dd8fd44a7726f198ee" isNormal="1">
            <s:text>
              <s:r>
                <s:t xml:space="preserve">Administrator:
11/15上 进口商贴纸 506 pcs
 PDQ 贴纸 46 pcs
因少订PDQ贴纸 11/25上 218 PDQ贴纸 </s:t>
              </s:r>
            </s:text>
          </item>
        </commentChain>
      </unresolved>
      <resolved/>
    </commentChains>
    <commentChains s:ref="AB515" rgbClr="FF0000">
      <unresolved>
        <commentChain chainId="429458a97d2c37e1251fa7885f315936ce987e91">
          <item id="1e75131a31f4e64f873057418a662e0e66f790ba" isNormal="1">
            <s:text>
              <s:r>
                <s:t xml:space="preserve">Administrator:
1200768 12/12 7986 pcs 王四楼A6
1200788 12/13 22 pcs </s:t>
              </s:r>
            </s:text>
          </item>
        </commentChain>
      </unresolved>
      <resolved/>
    </commentChains>
    <commentChains s:ref="AD515" rgbClr="FF0000">
      <unresolved>
        <commentChain chainId="4478de97cfe7bb61a7796424ecbf4dbaf3904c93">
          <item id="1c66550c4000a9e8477276b04d4bcce7098ace28" isNormal="1">
            <s:text>
              <s:r>
                <s:t xml:space="preserve">Administrator:
11/7上 保证书 8008 pcs
 产品进口商贴纸 8008 pcs
 包装进口商贴纸 8008 pcs
说明书进口商贴纸 8008 pcs</s:t>
              </s:r>
            </s:text>
          </item>
        </commentChain>
      </unresolved>
      <resolved/>
    </commentChains>
    <commentChains s:ref="AB516" rgbClr="FF0000">
      <unresolved>
        <commentChain chainId="4153fbc7d2b02b1a331a43dbf545ceac9729a017">
          <item id="ed9d3329a5a88940e32e8818162f320f2f770a77" isNormal="1">
            <s:text>
              <s:r>
                <s:t xml:space="preserve">Administrator:
1601017 1/7 682 pcs 四楼B5     
1601044 1/8 22 pcs</s:t>
              </s:r>
            </s:text>
          </item>
        </commentChain>
      </unresolved>
      <resolved/>
    </commentChains>
    <commentChains s:ref="AD516" rgbClr="FF0000">
      <unresolved>
        <commentChain chainId="92bb2a78c1d8cf699ee56c00f35d022d09d80f79">
          <item id="7df517e101a7326d01b479f4c8ae2f11be10dc42" isNormal="1">
            <s:text>
              <s:r>
                <s:t xml:space="preserve">Administrator:
12/1上 客供价格贴纸 735 pcs
12/31上 保证书 704 pcs
 包装贴纸 704 pcs
 说明书贴纸 704 pcs</s:t>
              </s:r>
            </s:text>
          </item>
        </commentChain>
      </unresolved>
      <resolved/>
    </commentChains>
    <commentChains s:ref="AB517" rgbClr="FF0000">
      <unresolved>
        <commentChain chainId="15ea7e917b50ec95e35e2d892e8961e1f175c90a">
          <item id="ef24a4d42a9d9d232d681d5d38233bc9e28e7f9c" isNormal="1">
            <s:text>
              <s:r>
                <s:t xml:space="preserve">Administrator:
1200198 12/6 756 pcs 王四楼A3</s:t>
              </s:r>
            </s:text>
          </item>
        </commentChain>
      </unresolved>
      <resolved/>
    </commentChains>
    <commentChains s:ref="AD517" rgbClr="FF0000">
      <unresolved>
        <commentChain chainId="5959b7d2f65285ddb41940e69b267e5aadf0c5ac">
          <item id="20dcfb4cad4ec29d441c150b9d4c889b4c9affd0" isNormal="1">
            <s:text>
              <s:r>
                <s:t xml:space="preserve">Administrator:
11/28上 WIC贴纸 6378 pcs
12/1上 PDQ折页 1063 pcs</s:t>
              </s:r>
            </s:text>
          </item>
        </commentChain>
      </unresolved>
      <resolved/>
    </commentChains>
    <commentChains s:ref="AB518" rgbClr="FF0000">
      <unresolved>
        <commentChain chainId="05edd3c76f47012cc8180c3de3811d0b15d4af94">
          <item id="1f058e44d9e4b8eb613e209117df2f2377db8a69" isNormal="1">
            <s:text>
              <s:r>
                <s:t xml:space="preserve">Administrator:
1200198 12/6 1386 pcs 王四楼A3</s:t>
              </s:r>
            </s:text>
          </item>
        </commentChain>
      </unresolved>
      <resolved/>
    </commentChains>
    <commentChains s:ref="AB519" rgbClr="FF0000">
      <unresolved>
        <commentChain chainId="81225978525c14c885e74d0a1b624df136af8350">
          <item id="7b095bb1e490faa9c77f9db7675b3dc0c0682e63" isNormal="1">
            <s:text>
              <s:r>
                <s:t xml:space="preserve">Administrator:
1200198 12/6 630 pcs 王四楼A3</s:t>
              </s:r>
            </s:text>
          </item>
        </commentChain>
      </unresolved>
      <resolved/>
    </commentChains>
    <commentChains s:ref="AB520" rgbClr="FF0000">
      <unresolved>
        <commentChain chainId="387d6eebb6a08e2821f9107a76c409a5232e5d36">
          <item id="83a5b3eed2a4133ec9569618189ae555b51b689c" isNormal="1">
            <s:text>
              <s:r>
                <s:t xml:space="preserve">Administrator:
1200198 12/6 276 pcs 王四楼A3</s:t>
              </s:r>
            </s:text>
          </item>
        </commentChain>
      </unresolved>
      <resolved/>
    </commentChains>
    <commentChains s:ref="AB521" rgbClr="FF0000">
      <unresolved>
        <commentChain chainId="40a15a4aeca52a3bfed3a7a9c3ffb315c60863d1">
          <item id="a5eb3601ed4d72f8f48db205b0b9fae5c4b1a47e" isNormal="1">
            <s:text>
              <s:r>
                <s:t xml:space="preserve">Administrator:
1200198 12/6 72 pcs 王四楼A3</s:t>
              </s:r>
            </s:text>
          </item>
        </commentChain>
      </unresolved>
      <resolved/>
    </commentChains>
    <commentChains s:ref="AB522" rgbClr="FF0000">
      <unresolved>
        <commentChain chainId="6c2a3bb0b7f3c3fc74d8f2320769761d010189d4">
          <item id="c061eb8d51b1015950038ff48be3d3d5dcfe6138" isNormal="1">
            <s:text>
              <s:r>
                <s:t xml:space="preserve">Administrator:
1200198 12/6 1134 pcs王四楼A3</s:t>
              </s:r>
            </s:text>
          </item>
        </commentChain>
      </unresolved>
      <resolved/>
    </commentChains>
    <commentChains s:ref="AB523" rgbClr="FF0000">
      <unresolved>
        <commentChain chainId="8d61132bf90c8c6d09adfc286999380298bda3e3">
          <item id="0b743b36c3563aa88d5494fc946a5dfb2238386d" isNormal="1">
            <s:text>
              <s:r>
                <s:t xml:space="preserve">Administrator:
1200198 12/6 444 pcs 王四楼A3</s:t>
              </s:r>
            </s:text>
          </item>
        </commentChain>
      </unresolved>
      <resolved/>
    </commentChains>
    <commentChains s:ref="AB524" rgbClr="FF0000">
      <unresolved>
        <commentChain chainId="93a49a75477b2f48eaba7127d897037fb827ff3c">
          <item id="b956855bf222413f3614afb1033d73adbc774257" isNormal="1">
            <s:text>
              <s:r>
                <s:t xml:space="preserve">Administrator:
1200198 12/6 822 pcs 王四楼A3</s:t>
              </s:r>
            </s:text>
          </item>
        </commentChain>
      </unresolved>
      <resolved/>
    </commentChains>
    <commentChains s:ref="AB525" rgbClr="FF0000">
      <unresolved>
        <commentChain chainId="734469d0772d5557e92a5f3f8d9bdfe9dff22f96">
          <item id="9bfe949c68b29217b619ab2d3ca423c4f22fe7d6" isNormal="1">
            <s:text>
              <s:r>
                <s:t xml:space="preserve">Administrator:
1200198 12/6 858 pcs 王四楼A3</s:t>
              </s:r>
            </s:text>
          </item>
        </commentChain>
      </unresolved>
      <resolved/>
    </commentChains>
    <commentChains s:ref="AB526" rgbClr="FF0000">
      <unresolved>
        <commentChain chainId="e9fb854b9268781f520d932cf22e910238ad9228">
          <item id="8c6a7b3c66cc61621723f2afbb5310324af2c370" isNormal="1">
            <s:text>
              <s:r>
                <s:t xml:space="preserve">Administrator:
1200157 12/19 924 pcs 四楼B9</s:t>
              </s:r>
            </s:text>
          </item>
        </commentChain>
      </unresolved>
      <resolved/>
    </commentChains>
    <commentChains s:ref="AD526" rgbClr="FF0000">
      <unresolved>
        <commentChain chainId="e31a698cbc3ecff5ff53033afc054d1135e768f5">
          <item id="8e7a8bdd371c7d6ac7b31027ffbdfe66e04ca467" isNormal="1">
            <s:text>
              <s:r>
                <s:t xml:space="preserve">Administrator:
11/18上 EAN条码贴纸 924 pcs
11/21上 进口商贴纸 924 pcs</s:t>
              </s:r>
            </s:text>
          </item>
        </commentChain>
      </unresolved>
      <resolved/>
    </commentChains>
    <commentChains s:ref="AB527" rgbClr="FF0000">
      <unresolved>
        <commentChain chainId="59964bc45616d3ff6a757c532b4f8b926dcb4ae5">
          <item id="99055fb0007d8c061d41fdca0de2eb31a78e4ffe" isNormal="1">
            <s:text>
              <s:r>
                <s:t xml:space="preserve">Administrator:
1201010 12/19 96 pcs 华兴三楼B15</s:t>
              </s:r>
            </s:text>
          </item>
        </commentChain>
      </unresolved>
      <resolved/>
    </commentChains>
    <commentChains s:ref="AD527" rgbClr="FF0000">
      <unresolved>
        <commentChain chainId="e38db7d6c766925ccb6a244a96e365b2e9b2e961">
          <item id="f1026eca440226d2eed062800ba4556797268b15" isNormal="1">
            <s:text>
              <s:r>
                <s:t xml:space="preserve">Administrator:
11/27上 客供亚马逊外箱贴纸 4 pcs
12/3上 UPC贴纸 96 pcs</s:t>
              </s:r>
            </s:text>
          </item>
        </commentChain>
      </unresolved>
      <resolved/>
    </commentChains>
    <commentChains s:ref="AB528" rgbClr="FF0000">
      <unresolved>
        <commentChain chainId="db25206e2a580f6551d3d92d9bcd6d6bce7b2767">
          <item id="a2b20fa61c9c852bfd1a960e6c6e76feb0c9979b" isNormal="1">
            <s:text>
              <s:r>
                <s:t xml:space="preserve">Administrator:
1201010 12/19 24 pcs 华兴三楼B15
</s:t>
              </s:r>
            </s:text>
          </item>
        </commentChain>
      </unresolved>
      <resolved/>
    </commentChains>
    <commentChains s:ref="AD528" rgbClr="FF0000">
      <unresolved>
        <commentChain chainId="76c1715e8f75d930baff3be5c61cb782d5877bd4">
          <item id="32df5f3449bd1dacde3dcb5c09ec931b09de23b0" isNormal="1">
            <s:text>
              <s:r>
                <s:t xml:space="preserve">Administrator:
11/27上 客供亚马逊外箱贴纸 1 pcs
12/3上 UPC贴纸 24 pcs
</s:t>
              </s:r>
            </s:text>
          </item>
        </commentChain>
      </unresolved>
      <resolved/>
    </commentChains>
    <commentChains s:ref="AB529" rgbClr="FF0000">
      <unresolved>
        <commentChain chainId="d6d47ba72195c8b9dea2ca41235d54dcfd42616b">
          <item id="439a186bbfdcc9d282bbb9f9bc3556d0b01092f2" isNormal="1">
            <s:text>
              <s:r>
                <s:t xml:space="preserve">Administrator:
1201010 12/19 72 pcs 华兴三楼B15
</s:t>
              </s:r>
            </s:text>
          </item>
        </commentChain>
      </unresolved>
      <resolved/>
    </commentChains>
    <commentChains s:ref="AD529" rgbClr="FF0000">
      <unresolved>
        <commentChain chainId="912156aa56e500b4eab57af39658bfa285a59192">
          <item id="30e4b41d75a77f12aaa16391b7abe6267f7e6adc" isNormal="1">
            <s:text>
              <s:r>
                <s:t xml:space="preserve">Administrator:
11/27上 客供亚马逊外箱贴纸 3 pcs
12/3上 UPC贴纸 72 pcs
</s:t>
              </s:r>
            </s:text>
          </item>
        </commentChain>
      </unresolved>
      <resolved/>
    </commentChains>
    <commentChains s:ref="AB530" rgbClr="FF0000">
      <unresolved>
        <commentChain chainId="cf45d3e908da7b47067076fdaff1f578ea205e12">
          <item id="2c6d6e6f72368a8364540f86ef1ee80746d931a3" isNormal="1">
            <s:text>
              <s:r>
                <s:t xml:space="preserve">Administrator:
1201010 12/19 24 pcs 华兴三楼B15
</s:t>
              </s:r>
            </s:text>
          </item>
        </commentChain>
      </unresolved>
      <resolved/>
    </commentChains>
    <commentChains s:ref="AD530" rgbClr="FF0000">
      <unresolved>
        <commentChain chainId="1915cba90d59417c76bccc5ba08cf6ee2f0ff554">
          <item id="8f6c06c75b7fd12fc83945be448756cb4496d62b" isNormal="1">
            <s:text>
              <s:r>
                <s:t xml:space="preserve">Administrator:
11/27上 客供亚马逊外箱贴纸 1 pcs
12/3上 UPC贴纸 24 pcs
</s:t>
              </s:r>
            </s:text>
          </item>
        </commentChain>
      </unresolved>
      <resolved/>
    </commentChains>
    <commentChains s:ref="AB531" rgbClr="FF0000">
      <unresolved>
        <commentChain chainId="be2ba52359ccddf65da8d226103046f6e0a8ce22">
          <item id="afbd91b03e2ff5a21f68dbe6f56ae756bfd1a3e6" isNormal="1">
            <s:text>
              <s:r>
                <s:t xml:space="preserve">Administrator:
1200983 12/18 1936 pcs 华兴三楼B14</s:t>
              </s:r>
            </s:text>
          </item>
        </commentChain>
      </unresolved>
      <resolved/>
    </commentChains>
    <commentChains s:ref="AD531" rgbClr="FF0000">
      <unresolved>
        <commentChain chainId="235420348fe3445d869f983efdbbd869b51644b3">
          <item id="32d49f759d3365d5939333f23bc710fbcb704db7" isNormal="1">
            <s:text>
              <s:r>
                <s:t xml:space="preserve">Administrator:
12/1上 德语callout翻译贴纸 1936 pcs错的 有更新
 产品贴纸 1936 pcs
12/12上 正确的 德国荷兰语贴纸 1936 pcs</s:t>
              </s:r>
            </s:text>
          </item>
        </commentChain>
      </unresolved>
      <resolved/>
    </commentChains>
    <commentChains s:ref="AB532" rgbClr="FF0000">
      <unresolved>
        <commentChain chainId="316465b7c590b6e1000c92b7a175b8e5ff0d7e71">
          <item id="fcfea893e6a888e61572f3458e235d5b716e5229" isNormal="1">
            <s:text>
              <s:r>
                <s:t xml:space="preserve">Administrator:
1201009 12/19 1584 pcs 华兴三楼A27</s:t>
              </s:r>
            </s:text>
          </item>
        </commentChain>
      </unresolved>
      <resolved/>
    </commentChains>
    <commentChains s:ref="AD532" rgbClr="FF0000">
      <unresolved>
        <commentChain chainId="a260364ee50ceddd46ccfdea4f35bc5fb93ec3ec">
          <item id="27ba6f5a6ac8bc12c8c5a933f622f74ee942b00c" isNormal="1">
            <s:text>
              <s:r>
                <s:t xml:space="preserve">Administrator:
12/1上 德语callout翻译贴纸 1584 pcs
 产品贴纸 1584 pcs
12/12上 正确的 德国荷兰语贴纸 1584 pcs</s:t>
              </s:r>
            </s:text>
          </item>
        </commentChain>
      </unresolved>
      <resolved/>
    </commentChains>
    <commentChains s:ref="AB533" rgbClr="FF0000">
      <unresolved>
        <commentChain chainId="18e37ba0a16a093fd5015933cce23c0e371d5c2e">
          <item id="b7d7cbe43ff0ea052d2062f9296f35f9c91819fc" isNormal="1">
            <s:text>
              <s:r>
                <s:t xml:space="preserve">Administrator:
1200983 12/18 462 pcs 华兴三楼B14
</s:t>
              </s:r>
            </s:text>
          </item>
        </commentChain>
      </unresolved>
      <resolved/>
    </commentChains>
    <commentChains s:ref="AD533" rgbClr="FF0000">
      <unresolved>
        <commentChain chainId="0cc6c2330a3130639ffa04f66626bfe04ed0f8c4">
          <item id="759fefaca4c42915a64baaa0c9ad7b0741d78cb7" isNormal="1">
            <s:text>
              <s:r>
                <s:t xml:space="preserve">Administrator:
11/28上  UPC贴纸 462 pcs
12/3上 进口商贴纸 462 pcs</s:t>
              </s:r>
            </s:text>
          </item>
        </commentChain>
      </unresolved>
      <resolved/>
    </commentChains>
    <commentChains s:ref="AB534" rgbClr="FF0000">
      <unresolved>
        <commentChain chainId="f5ecb8c6a14bc5f5c91159d2f8adbe81f99d7fb9">
          <item id="91eeff604d326df0695c658ee45beb7df8935d0e" isNormal="1">
            <s:text>
              <s:r>
                <s:t xml:space="preserve">Administrator:
1200983 12/18 418 pcs 华兴三楼B17
1201039 12/22  22 pcs </s:t>
              </s:r>
            </s:text>
          </item>
        </commentChain>
      </unresolved>
      <resolved/>
    </commentChains>
    <commentChains s:ref="AD534" rgbClr="FF0000">
      <unresolved>
        <commentChain chainId="d40f7430f196d26df4e4818b240646761722d8fc">
          <item id="ee27871bf1df7ee40db4c2d039397fa9a39c9fca" isNormal="1">
            <s:text>
              <s:r>
                <s:t xml:space="preserve">Administrator:
11/18上 进口商贴纸 440 pcs
11/28上 UPC贴纸 440 pcs</s:t>
              </s:r>
            </s:text>
          </item>
        </commentChain>
      </unresolved>
      <resolved/>
    </commentChains>
    <commentChains s:ref="AB535" rgbClr="FF0000">
      <unresolved>
        <commentChain chainId="191b4ee2c155ac70347ffbe1dc774324a1262ab0">
          <item id="9629981af09cbec9136b72656f0c82767a50780a" isNormal="1">
            <s:text>
              <s:r>
                <s:t xml:space="preserve">Administrator:
1200983 12/18 418 pcs 华兴三楼B14
</s:t>
              </s:r>
            </s:text>
          </item>
        </commentChain>
      </unresolved>
      <resolved/>
    </commentChains>
    <commentChains s:ref="AD535" rgbClr="FF0000">
      <unresolved>
        <commentChain chainId="5089ab7c42a923fc8b60f0678bdf1c58914e8064">
          <item id="dd99327a02d7e409387ce0f842eaa1ca30345a18" isNormal="1">
            <s:text>
              <s:r>
                <s:t xml:space="preserve">Administrator:
11/28上 UPC贴纸 418 pcs
 进口商贴纸 418 pcs</s:t>
              </s:r>
            </s:text>
          </item>
        </commentChain>
      </unresolved>
      <resolved/>
    </commentChains>
    <commentChains s:ref="AB536" rgbClr="FF0000">
      <unresolved>
        <commentChain chainId="11ea8bd01ef145de523b9c0821fd4e846cf36d8d">
          <item id="8d587f9d4269c553093fee508f5a9d1579732310" isNormal="1">
            <s:text>
              <s:r>
                <s:t xml:space="preserve">Administrator:
1600044 12/23 6000 pcs 华兴三楼B16</s:t>
              </s:r>
            </s:text>
          </item>
        </commentChain>
      </unresolved>
      <resolved/>
    </commentChains>
    <commentChains s:ref="AD536" rgbClr="FF0000">
      <unresolved>
        <commentChain chainId="3882b82fc78b0e92c9856b647215b85569e299a2">
          <item id="66b9abc56947297514b0b05c6f915beea1db4f1e" isNormal="1">
            <s:text>
              <s:r>
                <s:t xml:space="preserve">Administrator:
12/3上 价格贴纸 6000 pcs
 外箱条码贴纸 500 pcs</s:t>
              </s:r>
            </s:text>
          </item>
        </commentChain>
      </unresolved>
      <resolved/>
    </commentChains>
    <commentChains s:ref="AB537" rgbClr="FF0000">
      <unresolved>
        <commentChain chainId="ca0ec0a23b5fe5e669fc62e7c9086ee13a666bb1">
          <item id="391e793abdca9af60f1101c491e53d2825df118e" isNormal="1">
            <s:text>
              <s:r>
                <s:t xml:space="preserve">Administrator:
1600074 12/24 12672 pcs 四楼C8                
1600075 12/24 528 pcs 兴信</s:t>
              </s:r>
            </s:text>
          </item>
        </commentChain>
      </unresolved>
      <resolved/>
    </commentChains>
    <commentChains s:ref="AD537" rgbClr="FF0000">
      <unresolved>
        <commentChain chainId="0ea2b4a6da2ca8a6b8f933dac502e41790c4efec">
          <item id="5976185feb0e9397c3356ea4e584087aa5e4d5c0" isNormal="1">
            <s:text>
              <s:r>
                <s:t xml:space="preserve">Administrator:
11/27上 保证书 13200 pcs
 产品进口商贴纸 13200 pcs
 包装进口商贴纸 13200 pcs
 说明书进口商贴纸 13200 pcs
11/28上 UPC贴纸 13200 pcs
12/11上 说明书进口商贴纸 3500 pcs
12/20补上 说明书贴纸 13200 pcs
   包装贴纸 13200 pcs
 UPC贴纸13200 pcs</s:t>
              </s:r>
            </s:text>
          </item>
        </commentChain>
      </unresolved>
      <resolved/>
    </commentChains>
    <commentChains s:ref="AB538" rgbClr="FF0000">
      <unresolved>
        <commentChain chainId="0e3dbdfefcb1d560465fd6e9ce7b98dfa5c8b2eb">
          <item id="eb9d2e1c2cd61f156f767ae7d9519e506a577159" isNormal="1">
            <s:text>
              <s:r>
                <s:t xml:space="preserve">Administrator:
1600044 12/23 1012 pcs 华兴一楼F4</s:t>
              </s:r>
            </s:text>
          </item>
        </commentChain>
      </unresolved>
      <resolved/>
    </commentChains>
    <commentChains s:ref="AB539" rgbClr="FF0000">
      <unresolved>
        <commentChain chainId="11efdd6ea0a244bd6f1d3bbec28cc72675f98d39">
          <item id="a081cb38fa53c1512ee7a689606b5915cbad1784" isNormal="1">
            <s:text>
              <s:r>
                <s:t xml:space="preserve">Administrator:
1200940 12/16 290 pcs 华兴三楼B13</s:t>
              </s:r>
            </s:text>
          </item>
        </commentChain>
      </unresolved>
      <resolved/>
    </commentChains>
    <commentChains s:ref="AD539" rgbClr="FF0000">
      <unresolved>
        <commentChain chainId="8d936225aef6342e4b341e3377317e71006380c4">
          <item id="4dbf5c1793374f6d389f97c27da002399e756b19" isNormal="1">
            <s:text>
              <s:r>
                <s:t xml:space="preserve">Administrator:
11/15上 进口商贴纸 290 pcs
 </s:t>
              </s:r>
            </s:text>
          </item>
        </commentChain>
      </unresolved>
      <resolved/>
    </commentChains>
    <commentChains s:ref="AB540" rgbClr="FF0000">
      <unresolved>
        <commentChain chainId="9f3998d1c2d448b9b0adbb8d651ee953acf050df">
          <item id="cc6c6f7bc29c61fb1e2534431b8f18b8120b83a3" isNormal="1">
            <s:text>
              <s:r>
                <s:t xml:space="preserve">Administrator:
1200768 12/12 1606 pcs 王四楼B1</s:t>
              </s:r>
            </s:text>
          </item>
        </commentChain>
      </unresolved>
      <resolved/>
    </commentChains>
    <commentChains s:ref="AD540" rgbClr="FF0000">
      <unresolved>
        <commentChain chainId="1711b0efd9f870539375fda0b32126acd2547c72">
          <item id="06dc5f9b9ed52337050b294f88f634628e7cc890" isNormal="1">
            <s:text>
              <s:r>
                <s:t xml:space="preserve">Administrator:
11/15上 进口商贴纸 1606 pcs
 PDQ 贴纸 146 pcs</s:t>
              </s:r>
            </s:text>
          </item>
        </commentChain>
      </unresolved>
      <resolved/>
    </commentChains>
    <commentChains s:ref="AB542" rgbClr="FF0000">
      <unresolved>
        <commentChain chainId="c84a41dffc1b6f4755c4702b128dff41ce063187">
          <item id="7c4b07d02012b022ee4d46a706f6179e9195a53c" isNormal="1">
            <s:text>
              <s:r>
                <s:t xml:space="preserve">Administrator:
1600137 12/29 154 pcs 华兴三楼B14</s:t>
              </s:r>
            </s:text>
          </item>
        </commentChain>
      </unresolved>
      <resolved/>
    </commentChains>
    <commentChains s:ref="AD542" rgbClr="FF0000">
      <unresolved>
        <commentChain chainId="bcbc075960e26efc1e1bb6318f3f874803329fe0">
          <item id="ce4ea2f7b24cefddf28afe4f3ba7aa83d6e2ad08" isNormal="1">
            <s:text>
              <s:r>
                <s:t xml:space="preserve">Administrator:
12/9上 通用进口商贴纸 154 pcs</s:t>
              </s:r>
            </s:text>
          </item>
        </commentChain>
      </unresolved>
      <resolved/>
    </commentChains>
    <commentChains s:ref="AB543" rgbClr="FF0000">
      <unresolved>
        <commentChain chainId="1700542acb0297d4fff6821bce4e5cf2264eb29c">
          <item id="f6a23c95768e4c04fbfa9220288f0a5d54546c2f" isNormal="1">
            <s:text>
              <s:r>
                <s:t xml:space="preserve">Administrator:
1600158 12/30 1512 pcs 华兴三楼A27</s:t>
              </s:r>
            </s:text>
          </item>
        </commentChain>
      </unresolved>
      <resolved/>
    </commentChains>
    <commentChains s:ref="AD543" rgbClr="FF0000">
      <unresolved>
        <commentChain chainId="e142d3a786b294783d1ff35fbc99e91e539da8f5">
          <item id="cc23adcb4d976b52b101f9ba249229a2ef5546ad" isNormal="1">
            <s:text>
              <s:r>
                <s:t xml:space="preserve">Administrator:
12/9上 四国语言警告语贴纸 1512 pcs</s:t>
              </s:r>
            </s:text>
          </item>
        </commentChain>
      </unresolved>
      <resolved/>
    </commentChains>
    <commentChains s:ref="AB544" rgbClr="FF0000">
      <unresolved>
        <commentChain chainId="5ea9b9ea3a2dbe8e44d1f22a6e3932dfeddcea62">
          <item id="ab46dc2c98afc2ca99fc1f424e9a4f004548ba2a" isNormal="1">
            <s:text>
              <s:r>
                <s:t xml:space="preserve">Administrator:
1600167 12/31 2016 pcs 四楼A8</s:t>
              </s:r>
            </s:text>
          </item>
        </commentChain>
      </unresolved>
      <resolved/>
    </commentChains>
    <commentChains s:ref="AD544" rgbClr="FF0000">
      <unresolved>
        <commentChain chainId="50ba0c2eee85195cd8aeee364cb4ba19b1678311">
          <item id="cb2531d56b654563fa9146b28b797cabfc9774eb" isNormal="1">
            <s:text>
              <s:r>
                <s:t xml:space="preserve">Administrator:
12/6上 客人白色Cat.label 2016 pcs</s:t>
              </s:r>
            </s:text>
          </item>
        </commentChain>
      </unresolved>
      <resolved/>
    </commentChains>
    <commentChains s:ref="AB545" rgbClr="FF0000">
      <unresolved>
        <commentChain chainId="0fb2be390a0ffae8ba1e5a506bcc51ad29445e78">
          <item id="46e9705a695ecfd822c8405b3301bae54be1bbd6" isNormal="1">
            <s:text>
              <s:r>
                <s:t xml:space="preserve">Administrator:
1600158 12/30 704 pcs 华兴三楼B14</s:t>
              </s:r>
            </s:text>
          </item>
        </commentChain>
      </unresolved>
      <resolved/>
    </commentChains>
    <commentChains s:ref="AD545" rgbClr="FF0000">
      <unresolved>
        <commentChain chainId="26db80a1116ebae52e47e4ea9dcc56dc8c885f31">
          <item id="838da1ad916536284317fbf2f72b4c3a906b5735" isNormal="1">
            <s:text>
              <s:r>
                <s:t xml:space="preserve">Administrator:
12/12上 易撕价格贴纸 704 pcs</s:t>
              </s:r>
            </s:text>
          </item>
        </commentChain>
      </unresolved>
      <resolved/>
    </commentChains>
    <commentChains s:ref="AB546" rgbClr="FF0000">
      <unresolved>
        <commentChain chainId="1131bd1c3f7ef9f2319dc54bea58a4d5e26edabb">
          <item id="33aaf6c598f5e05b7e07ec369d00e956be3da1c6" isNormal="1">
            <s:text>
              <s:r>
                <s:t xml:space="preserve">Administrator:
1600158 12/30 1296 pcs 华兴三楼B11
1600167 12/31 720 pcs </s:t>
              </s:r>
            </s:text>
          </item>
        </commentChain>
      </unresolved>
      <resolved/>
    </commentChains>
    <commentChains s:ref="AD546" rgbClr="FF0000">
      <unresolved>
        <commentChain chainId="5922135d789d6af450ec33ff288d01a59a59b5e0">
          <item id="3999fce036bad872ac858842b105580a92bff26b" isNormal="1">
            <s:text>
              <s:r>
                <s:t xml:space="preserve">Administrator:
12/10上 客人白色Cat.label 2016 pcs</s:t>
              </s:r>
            </s:text>
          </item>
        </commentChain>
      </unresolved>
      <resolved/>
    </commentChains>
    <commentChains s:ref="AB547" rgbClr="FF0000">
      <unresolved>
        <commentChain chainId="2eddd36be6aa215c7453c0db902430ac837bc168">
          <item id="5df80fe2856be3fc99f13e529efa12d3733aaa4c" isNormal="1">
            <s:text>
              <s:r>
                <s:t xml:space="preserve">Administrator:
1501000 1/5 2607 pcs 华兴三楼B9</s:t>
              </s:r>
            </s:text>
          </item>
        </commentChain>
      </unresolved>
      <resolved/>
    </commentChains>
    <commentChains s:ref="AD547" rgbClr="FF0000">
      <unresolved>
        <commentChain chainId="b6e1bb290b4d8f865eaa228ab9e7d579deec970e">
          <item id="41846df2f9a76ffb0fc03891d64eade03648c078" isNormal="1">
            <s:text>
              <s:r>
                <s:t xml:space="preserve">Administrator:
12/15上 黑白说明书 2607 pcs
 A款EAN贴纸 593 pcs
 B款EAN贴纸 711 pcs
 D款EAN贴纸 711 pcs
 E款EAN贴纸 593 pcs
12/18上 多语警语折叠贴纸 2607 pcs</s:t>
              </s:r>
            </s:text>
          </item>
        </commentChain>
      </unresolved>
      <resolved/>
    </commentChains>
    <commentChains s:ref="AB548" rgbClr="FF0000">
      <unresolved>
        <commentChain chainId="921eb19ebc41d4fd3a03d0fa5545b8d338bcdbbc">
          <item id="158d274d4e2419d8435332d9b255bf5e05ba0786" isNormal="1">
            <s:text>
              <s:r>
                <s:t xml:space="preserve">Administrator:
1601027 1/7 1518 pcs 华兴三楼B9</s:t>
              </s:r>
            </s:text>
          </item>
        </commentChain>
      </unresolved>
      <resolved/>
    </commentChains>
    <commentChains s:ref="AD548" rgbClr="FF0000">
      <unresolved>
        <commentChain chainId="dcb2683a9609f10afed8a04866b37fbaaccebe75">
          <item id="d3a0b464f4df1ee806f10c752a2b25cf3a4f063d" isNormal="1">
            <s:text>
              <s:r>
                <s:t xml:space="preserve">Administrator:
12/12上 日语贴纸 1518 pcs</s:t>
              </s:r>
            </s:text>
          </item>
        </commentChain>
      </unresolved>
      <resolved/>
    </commentChains>
    <commentChains s:ref="AB549" rgbClr="FF0000">
      <unresolved>
        <commentChain chainId="e0284163c859032d0191da412028b77e09e3e824">
          <item id="977b9fc73271e2f5dcafc11a81756efb68b15566" isNormal="1">
            <s:text>
              <s:r>
                <s:t xml:space="preserve">Administrator:
1600969 1/3 1507 pcs 四楼C5</s:t>
              </s:r>
            </s:text>
          </item>
        </commentChain>
      </unresolved>
      <resolved/>
    </commentChains>
    <commentChains s:ref="AB550" rgbClr="FF0000">
      <unresolved>
        <commentChain chainId="f98151135586ed7e4be5b9cdce32e56323127e3f">
          <item id="ec99dc2306900cc11330b614f67333633fec892e" isNormal="1">
            <s:text>
              <s:r>
                <s:t xml:space="preserve">Administrator:
1600979 1/3 504 pcs 华兴三楼B16</s:t>
              </s:r>
            </s:text>
          </item>
        </commentChain>
      </unresolved>
      <resolved/>
    </commentChains>
    <commentChains s:ref="AD550" rgbClr="FF0000">
      <unresolved>
        <commentChain chainId="b7ce70b7544199f2c767d8524bcdbb16b6641219">
          <item id="2ae718395697f7b981cf3f2a3fbc0d712e1c89fa" isNormal="1">
            <s:text>
              <s:r>
                <s:t xml:space="preserve">Administrator:
12/16上 进口商贴纸 504 pcs</s:t>
              </s:r>
            </s:text>
          </item>
        </commentChain>
      </unresolved>
      <resolved/>
    </commentChains>
    <commentChains s:ref="AB551" rgbClr="FF0000">
      <unresolved>
        <commentChain chainId="6ddc0db0ce6873d608c38b19b5f84f243d645940">
          <item id="3e48f3a71ef9c238900510aa7eae3582e565b7a6" isNormal="1">
            <s:text>
              <s:r>
                <s:t xml:space="preserve">Administrator:
1601017 1/7 1034 pcs 四楼B5</s:t>
              </s:r>
            </s:text>
          </item>
        </commentChain>
      </unresolved>
      <resolved/>
    </commentChains>
    <commentChains s:ref="AD551" rgbClr="FF0000">
      <unresolved>
        <commentChain chainId="75b881723e04534a16351f16854062ae2863ee34">
          <item id="e5963be9974320281b2c926e9a7f219f42e5fab0" isNormal="1">
            <s:text>
              <s:r>
                <s:t xml:space="preserve">Administrator:
12/18上进口商贴纸 1034 pcs</s:t>
              </s:r>
            </s:text>
          </item>
        </commentChain>
      </unresolved>
      <resolved/>
    </commentChains>
    <commentChains s:ref="AB552" rgbClr="FF0000">
      <unresolved>
        <commentChain chainId="bd883cfd9e95d1b6e0e38a7d76045da087c8180b">
          <item id="b5350b77e6428d2eb1951f070324342175a3a1c3" isNormal="1">
            <s:text>
              <s:r>
                <s:t xml:space="preserve">Administrator:
1601004 1/5 1804 pcs 华兴三楼B14</s:t>
              </s:r>
            </s:text>
          </item>
        </commentChain>
      </unresolved>
      <resolved/>
    </commentChains>
    <commentChains s:ref="AB553" rgbClr="FF0000">
      <unresolved>
        <commentChain chainId="8798edc91c5fbf2e90f00a7b6d62257475d24d76">
          <item id="9dd46ce23324c3adc08d3b7e683144497bc2a067" isNormal="1">
            <s:text>
              <s:r>
                <s:t xml:space="preserve">Administrator:
1601029 1/6 660 pcs 华兴三楼A22</s:t>
              </s:r>
            </s:text>
          </item>
        </commentChain>
      </unresolved>
      <resolved/>
    </commentChains>
    <commentChains s:ref="AD553" rgbClr="FF0000">
      <unresolved>
        <commentChain chainId="2a98557b7bcf08f22a499587b87179c62d9a67cf">
          <item id="849d54e3996b91d40ba6b7e6f2d9027900a45700" isNormal="1">
            <s:text>
              <s:r>
                <s:t xml:space="preserve">Administrator:
12/16上 进口商贴纸 600 pcs
 UPC 贴纸600 pcs</s:t>
              </s:r>
            </s:text>
          </item>
        </commentChain>
      </unresolved>
      <resolved/>
    </commentChains>
    <commentChains s:ref="AB554" rgbClr="FF0000">
      <unresolved>
        <commentChain chainId="997788547145ada673cf6ef496e4615788409d6d">
          <item id="217abee1bf4bd785dfad67d7ced7512cfa89df8f" isNormal="1">
            <s:text>
              <s:r>
                <s:t xml:space="preserve">Administrator:
1601030 1/6 24 pcs 华兴三楼A30
</s:t>
              </s:r>
            </s:text>
          </item>
        </commentChain>
      </unresolved>
      <resolved/>
    </commentChains>
    <commentChains s:ref="AD554" rgbClr="FF0000">
      <unresolved>
        <commentChain chainId="39c2311e3677c75f11d8a3013f26ba379f9cbd37">
          <item id="4b776e9b9de9d821640a89c79c20a690cbd2d60b" isNormal="1">
            <s:text>
              <s:r>
                <s:t xml:space="preserve">Administrator:
12/23上 客供亚马逊外箱贴纸 1 pcs
 UPC贴纸 24 pcs</s:t>
              </s:r>
            </s:text>
          </item>
        </commentChain>
      </unresolved>
      <resolved/>
    </commentChains>
    <commentChains s:ref="AB555" rgbClr="FF0000">
      <unresolved>
        <commentChain chainId="dac92a9c5765370fa38a1c1cbe331eb1860093f6">
          <item id="6a7a1a5dfb2c7c51a31cdf306b5fc86490782e24" isNormal="1">
            <s:text>
              <s:r>
                <s:t xml:space="preserve">Administrator:
1601030 1/6 24 pcs 华兴三楼A30
</s:t>
              </s:r>
            </s:text>
          </item>
        </commentChain>
      </unresolved>
      <resolved/>
    </commentChains>
    <commentChains s:ref="AD555" rgbClr="FF0000">
      <unresolved>
        <commentChain chainId="d6eebf84f09bb813a98c72cc900a7d9034ce5e2c">
          <item id="f24fb336e89edbe08d22e433ddb334631a025eb2" isNormal="1">
            <s:text>
              <s:r>
                <s:t xml:space="preserve">Administrator:
12/23上 客供亚马逊外箱贴纸 1 pcs
 UPC贴纸 24 pcs</s:t>
              </s:r>
            </s:text>
          </item>
        </commentChain>
      </unresolved>
      <resolved/>
    </commentChains>
    <commentChains s:ref="AB556" rgbClr="FF0000">
      <unresolved>
        <commentChain chainId="88b5c79f67a1b630ba6cda89eaa4a00cec64f560">
          <item id="a5efc561155e5705634f0b388f367e25276d2c99" isNormal="1">
            <s:text>
              <s:r>
                <s:t xml:space="preserve">Administrator:
1601029 1/6 370 pcs 华兴三楼A30</s:t>
              </s:r>
            </s:text>
          </item>
        </commentChain>
      </unresolved>
      <resolved/>
    </commentChains>
    <commentChains s:ref="AB557" rgbClr="FF0000">
      <unresolved>
        <commentChain chainId="ecb4963b775e4a15853176ddee202445a4a4c71d">
          <item id="4a198a7ddc643b4c378afa352c742582207c656a" isNormal="1">
            <s:text>
              <s:r>
                <s:t xml:space="preserve">Administrator:
1601029 1/6 370 pcs 华兴三楼A30
</s:t>
              </s:r>
            </s:text>
          </item>
        </commentChain>
      </unresolved>
      <resolved/>
    </commentChains>
    <commentChains s:ref="AB558" rgbClr="FF0000">
      <unresolved>
        <commentChain chainId="8293b26093a2c2c034c95e031e73e001f9782b71">
          <item id="b354015df6f0a94cbe77de05f70f69eb6b4043dc" isNormal="1">
            <s:text>
              <s:r>
                <s:t xml:space="preserve">Administrator:
1601029 1/6 370 pcs 华兴三楼A30
</s:t>
              </s:r>
            </s:text>
          </item>
        </commentChain>
      </unresolved>
      <resolved/>
    </commentChains>
    <commentChains s:ref="AB559" rgbClr="FF0000">
      <unresolved>
        <commentChain chainId="ccec6f8ec2d59698959dbbe65a20b3a872ee58aa">
          <item id="114855b32b66a2b27f114c135d4a4b32f9225596" isNormal="1">
            <s:text>
              <s:r>
                <s:t xml:space="preserve">Administrator:
1601054 1/9 336 pcs 华兴三楼A27</s:t>
              </s:r>
            </s:text>
          </item>
        </commentChain>
      </unresolved>
      <resolved/>
    </commentChains>
    <commentChains s:ref="AD559" rgbClr="FF0000">
      <unresolved>
        <commentChain chainId="6ac3cc52fcb7008f8f29eae4604a520bb2efb2a3">
          <item id="c35c097c93a2d6935a6e6e7475f55e7ab4e979bd" isNormal="1">
            <s:text>
              <s:r>
                <s:t xml:space="preserve">Administrator:
12/15上 UPC贴纸 336 pcs
1/5上 客供亚马逊外箱贴纸 14 pcs</s:t>
              </s:r>
            </s:text>
          </item>
        </commentChain>
      </unresolved>
      <resolved/>
    </commentChains>
    <commentChains s:ref="AB560" rgbClr="FF0000">
      <unresolved>
        <commentChain chainId="c021dd55f9f5d829806eeb773fe9e1c2739e6f8c">
          <item id="33ec92f94236cb04dce2e7ed1353b60494d84f17" isNormal="1">
            <s:text>
              <s:r>
                <s:t xml:space="preserve">Administrator:
1601054 1/9 96 pcs 华兴三楼A27</s:t>
              </s:r>
            </s:text>
          </item>
        </commentChain>
      </unresolved>
      <resolved/>
    </commentChains>
    <commentChains s:ref="AD560" rgbClr="FF0000">
      <unresolved>
        <commentChain chainId="326baa88629230da4b57259055f87e3cd190218a">
          <item id="003e3633ae6041b3651be954eda5d27398a99cc4" isNormal="1">
            <s:text>
              <s:r>
                <s:t xml:space="preserve">Administrator:
12/15上 UPC贴纸 96 pcs
1/5上 客供亚马逊外箱贴纸 4 pcs
</s:t>
              </s:r>
            </s:text>
          </item>
        </commentChain>
      </unresolved>
      <resolved/>
    </commentChains>
    <commentChains s:ref="AB561" rgbClr="FF0000">
      <unresolved>
        <commentChain chainId="436e0abc02468d4206f8f2506df26db13dfee0e0">
          <item id="68df6e24cb93bd1c177ae8ce8e7048ef2b10c407" isNormal="1">
            <s:text>
              <s:r>
                <s:t xml:space="preserve">Administrator:
1601054 1/9 120 pcs 华兴三楼A27</s:t>
              </s:r>
            </s:text>
          </item>
        </commentChain>
      </unresolved>
      <resolved/>
    </commentChains>
    <commentChains s:ref="AD561" rgbClr="FF0000">
      <unresolved>
        <commentChain chainId="e2acce06002c9aeda3033fcaf3b209f6eabf5c79">
          <item id="d9cc611eb4a887e2e7d482f027623384bccf8c16" isNormal="1">
            <s:text>
              <s:r>
                <s:t xml:space="preserve">Administrator:
12/15上 UPC贴纸 120 pcs
1/5上 客供亚马逊外箱贴纸 5 pcs
</s:t>
              </s:r>
            </s:text>
          </item>
        </commentChain>
      </unresolved>
      <resolved/>
    </commentChains>
    <commentChains s:ref="AB562" rgbClr="FF0000">
      <unresolved>
        <commentChain chainId="1e4f0d46633c7d9470cd43604fcb2d8e0dceefd0">
          <item id="32365eea37d5bf1bbb0fd561fcab6475277f1538" isNormal="1">
            <s:text>
              <s:r>
                <s:t xml:space="preserve">Administrator:
1501000 1/5 594 pcs 华兴三楼A28</s:t>
              </s:r>
            </s:text>
          </item>
        </commentChain>
      </unresolved>
      <resolved/>
    </commentChains>
    <commentChains s:ref="AD562" rgbClr="FF0000">
      <unresolved>
        <commentChain chainId="a2f157ca74644a6b3f457fb75aa0e4556f99ba95">
          <item id="4f33eed37415268db5318de77c03f70340d2e1de" isNormal="1">
            <s:text>
              <s:r>
                <s:t xml:space="preserve">Administrator:
12/26上 UPC贴纸 594 pcs</s:t>
              </s:r>
            </s:text>
          </item>
        </commentChain>
      </unresolved>
      <resolved/>
    </commentChains>
    <commentChains s:ref="AB563" rgbClr="FF0000">
      <unresolved>
        <commentChain chainId="634249c62c952545a43b94d636744480551b7d98">
          <item id="b3d5060510143d4588772701060035c00feebfc1" isNormal="1">
            <s:text>
              <s:r>
                <s:t xml:space="preserve">Administrator:
1601030 1/6 308 pcs华兴三楼A30
</s:t>
              </s:r>
            </s:text>
          </item>
        </commentChain>
      </unresolved>
      <resolved/>
    </commentChains>
    <commentChains s:ref="AD563" rgbClr="FF0000">
      <unresolved>
        <commentChain chainId="cb9458d402eed67b779caf4af7a88060a279b232">
          <item id="38fde9150e0b1a096c0cfeb6826ae5db50e3cf0a" isNormal="1">
            <s:text>
              <s:r>
                <s:t xml:space="preserve">Administrator:
12/15上 客供价格贴纸 315 pcs</s:t>
              </s:r>
            </s:text>
          </item>
        </commentChain>
      </unresolved>
      <resolved/>
    </commentChains>
    <commentChains s:ref="AB564" rgbClr="FF0000">
      <unresolved>
        <commentChain chainId="e359d1d18227230dba32bbb34f0a572678414b30">
          <item id="b81246e20e910ca58e6f24ff67e30ee8642cb31b" isNormal="1">
            <s:text>
              <s:r>
                <s:t xml:space="preserve">Administrator:
1601030 1/6 24 pcs 华兴三楼A30
</s:t>
              </s:r>
            </s:text>
          </item>
        </commentChain>
      </unresolved>
      <resolved/>
    </commentChains>
    <commentChains s:ref="AD564" rgbClr="FF0000">
      <unresolved>
        <commentChain chainId="aac19df618b5398e383c3d9560827ce49275068f">
          <item id="69c084702aa99b9516ce8aaafe1627cb502ed898" isNormal="1">
            <s:text>
              <s:r>
                <s:t xml:space="preserve">Administrator:
12/23上 客供亚马逊外箱贴纸 1 pcs
12/26上 UPC贴纸 24 pcs</s:t>
              </s:r>
            </s:text>
          </item>
        </commentChain>
      </unresolved>
      <resolved/>
    </commentChains>
    <commentChains s:ref="AB565" rgbClr="FF0000">
      <unresolved>
        <commentChain chainId="f3d8b947acaf543b79a8a37b40cf6ccb8b2c8e24">
          <item id="f6bfce6da70394cedff693b7da3a4cd8cb8764d5" isNormal="1">
            <s:text>
              <s:r>
                <s:t xml:space="preserve">Administrator:
1601030 1/6 48 pcs 华兴三楼A30
</s:t>
              </s:r>
            </s:text>
          </item>
        </commentChain>
      </unresolved>
      <resolved/>
    </commentChains>
    <commentChains s:ref="AD565" rgbClr="FF0000">
      <unresolved>
        <commentChain chainId="0d06dcbd712b5b3ce5c0d6eb808c4b8061297ef7">
          <item id="4558a6ce7779f68b7b3671343da7514dd35060a3" isNormal="1">
            <s:text>
              <s:r>
                <s:t xml:space="preserve">Administrator:
12/23上 客供亚马逊外箱贴纸 2 pcs
12/26上 UPC贴纸 48 pcs
</s:t>
              </s:r>
            </s:text>
          </item>
        </commentChain>
      </unresolved>
      <resolved/>
    </commentChains>
    <commentChains s:ref="AB566" rgbClr="FF0000">
      <unresolved>
        <commentChain chainId="e3a14742dc937b8d837296b1d0cf2e1ef670bb3a">
          <item id="c86023c0048d9bdd3ee970382fa37b2e1d729fc5" isNormal="1">
            <s:text>
              <s:r>
                <s:t xml:space="preserve">Administrator:
1601030 1/6 484 pcs 华兴三楼A23</s:t>
              </s:r>
            </s:text>
          </item>
        </commentChain>
      </unresolved>
      <resolved/>
    </commentChains>
    <commentChains s:ref="AB567" rgbClr="FF0000">
      <unresolved>
        <commentChain chainId="17149cc3c8e50a3057b9fb15bc6e84f10077de18">
          <item id="a233185aa48b87cdfc50647061a59f9c59182b4a" isNormal="1">
            <s:text>
              <s:r>
                <s:t xml:space="preserve">Administrator:
1601126 1/14 2002 pcs 四楼B7</s:t>
              </s:r>
            </s:text>
          </item>
        </commentChain>
      </unresolved>
      <resolved/>
    </commentChains>
    <commentChains s:ref="AD567" rgbClr="FF0000">
      <unresolved>
        <commentChain chainId="9472abb1c381b389dbb3a154a89c703bc17f4a00">
          <item id="bfb1fc72122d930cb357c44a100231d0b9fa2db9" isNormal="1">
            <s:text>
              <s:r>
                <s:t xml:space="preserve">Administrator:
12/29上 进口商贴纸 2002 pcs</s:t>
              </s:r>
            </s:text>
          </item>
        </commentChain>
      </unresolved>
      <resolved/>
    </commentChains>
    <commentChains s:ref="AB568" rgbClr="FF0000">
      <unresolved>
        <commentChain chainId="9d86d0649cb29084c8a496b0f822975088bf09f5">
          <item id="1543a5153f81630c21cc3dde0835c7f9634f8802" isNormal="1">
            <s:text>
              <s:r>
                <s:t xml:space="preserve">Administrator:
1601218 1/21 504 pcs 华兴登一楼</s:t>
              </s:r>
            </s:text>
          </item>
        </commentChain>
      </unresolved>
      <resolved/>
    </commentChains>
    <commentChains s:ref="AD568" rgbClr="FF0000">
      <unresolved>
        <commentChain chainId="a9fac1545a4c82bdefab0a95ced4dadf9038a303">
          <item id="e5356fc0258dc628ad482cc056a4b9788ae8c14b" isNormal="1">
            <s:text>
              <s:r>
                <s:t xml:space="preserve">Administrator:
12/19上 亚马逊外箱贴纸 21 pcs
1/12上 环保标贴纸 504 pcs</s:t>
              </s:r>
            </s:text>
          </item>
        </commentChain>
      </unresolved>
      <resolved/>
    </commentChains>
    <commentChains s:ref="AB569" rgbClr="FF0000">
      <unresolved>
        <commentChain chainId="7d4f1a11b58150fe87ea4dab57f74a14c7666418">
          <item id="13d1efdbc8e63939470b4f5dec57344a5a373cff" isNormal="1">
            <s:text>
              <s:r>
                <s:t xml:space="preserve">Administrator:
1601218 1/21 504 pcs 华兴登一楼</s:t>
              </s:r>
            </s:text>
          </item>
        </commentChain>
      </unresolved>
      <resolved/>
    </commentChains>
    <commentChains s:ref="AD569" rgbClr="FF0000">
      <unresolved>
        <commentChain chainId="ccfa964e48ddd18a6b1c4cb1d8bcd76ba7b762c9">
          <item id="bf3b6cffbdcb57f5792871d39f8144faf04c042c" isNormal="1">
            <s:text>
              <s:r>
                <s:t xml:space="preserve">Administrator:
12/19上 亚马逊外箱贴纸 21 pcs
1/12上 环保标贴纸 504 pcs</s:t>
              </s:r>
            </s:text>
          </item>
        </commentChain>
      </unresolved>
      <resolved/>
    </commentChains>
    <commentChains s:ref="AB570" rgbClr="FF0000">
      <unresolved>
        <commentChain chainId="be5a0a2f1576c51751446dfe31955cfd1383c1ad">
          <item id="e23fdebd250d6ea7354cac8db4c543fba741d6bb" isNormal="1">
            <s:text>
              <s:r>
                <s:t xml:space="preserve">Administrator:
1601218 1/21 504 pcs 华兴登一楼</s:t>
              </s:r>
            </s:text>
          </item>
        </commentChain>
      </unresolved>
      <resolved/>
    </commentChains>
    <commentChains s:ref="AD570" rgbClr="FF0000">
      <unresolved>
        <commentChain chainId="23898673aa3293b4625cb18b54c54ef6b10b9c8b">
          <item id="66bc3dbe92b8cc46d7b7e3846ef9aeb34c3d64fb" isNormal="1">
            <s:text>
              <s:r>
                <s:t xml:space="preserve">Administrator:
12/19上 亚马逊外箱贴纸 21 pcs
1/12上 环保标贴纸 504 pcs</s:t>
              </s:r>
            </s:text>
          </item>
        </commentChain>
      </unresolved>
      <resolved/>
    </commentChains>
    <commentChains s:ref="AB571" rgbClr="FF0000">
      <unresolved>
        <commentChain chainId="fe107441ebddcac7631a1a2679f438a1c96dadd7">
          <item id="31fe8fd7f497c61f0b081c6edd93063cb0202a6d" isNormal="1">
            <s:text>
              <s:r>
                <s:t xml:space="preserve">Administrator:
1601218 1/21 504 pcs 华兴登一楼</s:t>
              </s:r>
            </s:text>
          </item>
        </commentChain>
      </unresolved>
      <resolved/>
    </commentChains>
    <commentChains s:ref="AD571" rgbClr="FF0000">
      <unresolved>
        <commentChain chainId="0077a4e2954de9b6ae3d1615841337c6c2aa4b6e">
          <item id="428eaf69c029fd0046ebb862d80de54396c144e5" isNormal="1">
            <s:text>
              <s:r>
                <s:t xml:space="preserve">Administrator:
12/19上 亚马逊外箱贴纸 21 pcs
1/12上 环保标贴纸 504 pcs</s:t>
              </s:r>
            </s:text>
          </item>
        </commentChain>
      </unresolved>
      <resolved/>
    </commentChains>
    <commentChains s:ref="AB572" rgbClr="FF0000">
      <unresolved>
        <commentChain chainId="e4e083960802c1ab0fa60062625577120ed3c19e">
          <item id="60a002499ca9f74454bffbbb618a20f6537c9e7d" isNormal="1">
            <s:text>
              <s:r>
                <s:t xml:space="preserve">Administrator:
1601218 1/21 504 pcs 华兴登一楼</s:t>
              </s:r>
            </s:text>
          </item>
        </commentChain>
      </unresolved>
      <resolved/>
    </commentChains>
    <commentChains s:ref="AD572" rgbClr="FF0000">
      <unresolved>
        <commentChain chainId="fd9ea5df2beea8925fce77559858bfce0e0f1f05">
          <item id="5a3f4b9ef720ad15615ba0a1af87d161b0f867d9" isNormal="1">
            <s:text>
              <s:r>
                <s:t xml:space="preserve">Administrator:
12/19上 亚马逊外箱贴纸 21 pcs
1/12上 环保标贴纸 504 pcs</s:t>
              </s:r>
            </s:text>
          </item>
        </commentChain>
      </unresolved>
      <resolved/>
    </commentChains>
    <commentChains s:ref="AB573" rgbClr="FF0000">
      <unresolved>
        <commentChain chainId="7367eac4c1b8bd9607740b1f465fe1eec3ab2cbb">
          <item id="c6386913e68e46ac88e6e87a5953f45c419e564d" isNormal="1">
            <s:text>
              <s:r>
                <s:t xml:space="preserve">Administrator:
1601214 1/20 1518 pcs 华兴三楼B14</s:t>
              </s:r>
            </s:text>
          </item>
        </commentChain>
      </unresolved>
      <resolved/>
    </commentChains>
    <commentChains s:ref="AD573" rgbClr="FF0000">
      <unresolved>
        <commentChain chainId="6693f402f87af43f15ffaf8ec5a91fec9d672de5">
          <item id="cee2f198b1deec6587c46bc0a6d281faca0c60ab" isNormal="1">
            <s:text>
              <s:r>
                <s:t xml:space="preserve">Administrator:
12/27上 进口商贴纸 1518 pcs
 UPC 贴纸 1518 pcs</s:t>
              </s:r>
            </s:text>
          </item>
        </commentChain>
      </unresolved>
      <resolved/>
    </commentChains>
    <commentChains s:ref="AB574" rgbClr="FF0000">
      <unresolved>
        <commentChain chainId="7a9b35b0df2eddd4d471ab2cc694853c354914a2">
          <item id="bd4e51e53a7cbc5bd688ebf6d0ddf3285bf6ff70" isNormal="1">
            <s:text>
              <s:r>
                <s:t xml:space="preserve">Administrator:
1601221 1/21 3000 pcs 华兴登一楼</s:t>
              </s:r>
            </s:text>
          </item>
        </commentChain>
      </unresolved>
      <resolved/>
    </commentChains>
    <commentChains s:ref="AD574" rgbClr="FF0000">
      <unresolved>
        <commentChain chainId="3f310923060a13d058a2de5bd09c690940fb84a6">
          <item id="719358e98bafbe37180709382af7e16ba464decf" isNormal="1">
            <s:text>
              <s:r>
                <s:t xml:space="preserve">Administrator:
12/29上 价格贴纸 3000 pcs
  外箱条码贴纸 250 pcs</s:t>
              </s:r>
            </s:text>
          </item>
        </commentChain>
      </unresolved>
      <resolved/>
    </commentChains>
    <commentChains s:ref="AB575" rgbClr="FF0000">
      <unresolved>
        <commentChain chainId="8cee6bc9263911df2deae5874ee82a6a26bd9240">
          <item id="76725ff23cc1b41250a8d3597dcec524d511d4b1" isNormal="1">
            <s:text>
              <s:r>
                <s:t xml:space="preserve">Administrator:
1601260 1/23 1210 pcs 华兴三楼B14</s:t>
              </s:r>
            </s:text>
          </item>
        </commentChain>
      </unresolved>
      <resolved/>
    </commentChains>
    <commentChains s:ref="AD575" rgbClr="FF0000">
      <unresolved>
        <commentChain chainId="014bdda832c52725dc81ce73e72f942fedaabf11">
          <item id="4f181797a1d08ebb05f6e3bb1958483dce9bef33" isNormal="1">
            <s:text>
              <s:r>
                <s:t xml:space="preserve">Administrator:
12/31上 进口商贴纸 1210 pcs</s:t>
              </s:r>
            </s:text>
          </item>
        </commentChain>
      </unresolved>
      <resolved/>
    </commentChains>
    <commentChains s:ref="AB576" rgbClr="FF0000">
      <unresolved>
        <commentChain chainId="136823c138ca8048a468a8c6a827bd7e82822ce6">
          <item id="c6c72ed6ac91d7c1bd01ac348d1bc39dabaaa85a" isNormal="1">
            <s:text>
              <s:r>
                <s:t xml:space="preserve">Administrator:
1601260 1/23 1320 pcs 华兴三楼B9</s:t>
              </s:r>
            </s:text>
          </item>
        </commentChain>
      </unresolved>
      <resolved/>
    </commentChains>
    <commentChains s:ref="AD576" rgbClr="FF0000">
      <unresolved>
        <commentChain chainId="4ba2944b310369a00bc961b6d36835b9b10c62f1">
          <item id="e016fb47eeffd5bac62730fc40df09350d8ae3be" isNormal="1">
            <s:text>
              <s:r>
                <s:t xml:space="preserve">Administrator:
1/13上 供价格贴纸 1320 pcs</s:t>
              </s:r>
            </s:text>
          </item>
        </commentChain>
      </unresolved>
      <resolved/>
    </commentChains>
    <commentChains s:ref="AB577" rgbClr="FF0000">
      <unresolved>
        <commentChain chainId="daa3169b496a0416462ad17e8541282be0cf8411">
          <item id="9055d8ebe336be373c1ac26c4d2d85bc2855257d" isNormal="1">
            <s:text>
              <s:r>
                <s:t xml:space="preserve">Administrator:
1601260 1/23 1200 pcs 华兴三楼B10</s:t>
              </s:r>
            </s:text>
          </item>
        </commentChain>
      </unresolved>
      <resolved/>
    </commentChains>
    <commentChains s:ref="AD577" rgbClr="FF0000">
      <unresolved>
        <commentChain chainId="9959ed78b6513194c02df170a7555bb9d839e68d">
          <item id="ea20a28b5e2f0fa906b95eb1050f9ea1a3b0bf44" isNormal="1">
            <s:text>
              <s:r>
                <s:t xml:space="preserve">Administrator:
12/15上 客供价格贴纸 1260 pcs</s:t>
              </s:r>
            </s:text>
          </item>
        </commentChain>
      </unresolved>
      <resolved/>
    </commentChains>
    <commentChains s:ref="AB578" rgbClr="FF0000">
      <unresolved>
        <commentChain chainId="b5adf28d9496bf87f3b3fcd5542abb1f095626b7">
          <item id="f275735abe29e1ca48dae1b8ac800da42f7f31d6" isNormal="1">
            <s:text>
              <s:r>
                <s:t xml:space="preserve">Administrator:
1601143 1/26 220 pcs 华兴三楼B15</s:t>
              </s:r>
            </s:text>
          </item>
        </commentChain>
      </unresolved>
      <resolved/>
    </commentChains>
    <commentChains s:ref="AD578" rgbClr="FF0000">
      <unresolved>
        <commentChain chainId="8052c76b7d3ba6cbabd21360ac6ff56986566a94">
          <item id="31a0a66c7a2e8b1750c3eeb1c2f46f8da9f565cc" isNormal="1">
            <s:text>
              <s:r>
                <s:t xml:space="preserve">Administrator:
1/15上 UPC贴纸 220 pcs</s:t>
              </s:r>
            </s:text>
          </item>
        </commentChain>
      </unresolved>
      <resolved/>
    </commentChains>
    <commentChains s:ref="AB579" rgbClr="FF0000">
      <unresolved>
        <commentChain chainId="c4a367b5180877c2033746c223e9867b9ad92b57">
          <item id="8d6d88476a6da532b55216d5015fc389139dd32e" isNormal="1">
            <s:text>
              <s:r>
                <s:t xml:space="preserve">Administrator:
1601143 1/26 506 pcs 华兴三楼B15</s:t>
              </s:r>
            </s:text>
          </item>
        </commentChain>
      </unresolved>
      <resolved/>
    </commentChains>
    <commentChains s:ref="AD579" rgbClr="FF0000">
      <unresolved>
        <commentChain chainId="9f357295df1108dc2225da0366ed32e23d75bcf3">
          <item id="e34bdb104772271d65bbc870d0ae96fc5ee8663c" isNormal="1">
            <s:text>
              <s:r>
                <s:t xml:space="preserve">Administrator:
1/15上 UPC贴纸 506 pcs</s:t>
              </s:r>
            </s:text>
          </item>
        </commentChain>
      </unresolved>
      <resolved/>
    </commentChains>
    <commentChains s:ref="AB580" rgbClr="FF0000">
      <unresolved>
        <commentChain chainId="507c1829ec84cf3c827aefce066b2f66c4105598">
          <item id="a7d44294b584ae621addc90078b9cc27e032c735" isNormal="1">
            <s:text>
              <s:r>
                <s:t xml:space="preserve">Administrator:
1405614 2/4 5698 pcs 华兴一楼</s:t>
              </s:r>
            </s:text>
          </item>
        </commentChain>
      </unresolved>
      <resolved/>
    </commentChains>
    <commentChains s:ref="AD580" rgbClr="FF0000">
      <unresolved>
        <commentChain chainId="3280d0d714e8351f00eef71eacfe2ed09d1e7e10">
          <item id="ec32b54559b59a224591b2228213e60b885727b4" isNormal="1">
            <s:text>
              <s:r>
                <s:t xml:space="preserve">Administrator:
12/30上 多语折叠警告语贴纸 3190 pcs
  5L(PL+HU+CZ+SK+RO)说明书 3190 pcs
 地址贴纸 3190 pcs
A款 EAN贴纸 725 pcs
B款 EAN贴纸 870 pcs
D款 EAN贴纸 870 pcs
E款 EAN贴纸 725 pcs
1/26上 多语折叠警告语贴纸 2250 pcs
  A款 EAN贴纸 580 pcs
B款 EAN贴纸 695 pcs
D款 EAN贴纸 695 pcs
E款 EAN贴纸 580 pcs
 地址贴纸 2550 pcs
1/28上 黑白说明书 2550 pcs</s:t>
              </s:r>
            </s:text>
          </item>
        </commentChain>
      </unresolved>
      <resolved/>
    </commentChains>
    <commentChains s:ref="AB581" rgbClr="FF0000">
      <unresolved>
        <commentChain chainId="c3c17a06190726558689fcc942e26847aa2a6079">
          <item id="a3f62ad54c08c5e31237f1416e52ac0b7889e772" isNormal="1">
            <s:text>
              <s:r>
                <s:t xml:space="preserve">Administrator:
1405617 2/3 814 pcs 华兴三楼B14</s:t>
              </s:r>
            </s:text>
          </item>
        </commentChain>
      </unresolved>
      <resolved/>
    </commentChains>
    <commentChains s:ref="AD581" rgbClr="FF0000">
      <unresolved>
        <commentChain chainId="fd90e18bd0cbd9733294c5661ae357ceb5d2722b">
          <item id="54c5be4c01ae09b4d9c967f2cda28e7bedb04387" isNormal="1">
            <s:text>
              <s:r>
                <s:t xml:space="preserve">Administrator:
1/12上 QR 贴纸 814 pcs
 进口商贴纸 814 pcs</s:t>
              </s:r>
            </s:text>
          </item>
        </commentChain>
      </unresolved>
      <resolved/>
    </commentChains>
    <commentChains s:ref="AB582" rgbClr="FF0000">
      <unresolved>
        <commentChain chainId="4d253733423829b93d47d1d1cd862eea4795e7df">
          <item id="b54770acd9ee951c6a46246135abf25943bd89ee" isNormal="1">
            <s:text>
              <s:r>
                <s:t xml:space="preserve">Administrator:
1405704 1/29 924 pcs 华兴三楼A25
1405707 1/30 2332 pcs A25</s:t>
              </s:r>
            </s:text>
          </item>
        </commentChain>
      </unresolved>
      <resolved/>
    </commentChains>
    <commentChains s:ref="AD582" rgbClr="FF0000">
      <unresolved>
        <commentChain chainId="812be8fc2995b037dc965c6568f2102809b04c77">
          <item id="68e3072bc3eb3c02610b776105d3c032ae1157e5" isNormal="1">
            <s:text>
              <s:r>
                <s:t xml:space="preserve">Administrator:
1/19上 进口商贴纸 3256 pcs
 UPC贴纸 3256 pcs</s:t>
              </s:r>
            </s:text>
          </item>
        </commentChain>
      </unresolved>
      <resolved/>
    </commentChains>
    <commentChains s:ref="AB583" rgbClr="FF0000">
      <unresolved>
        <commentChain chainId="b82db11f94918e5f1b8a2f796362610cb1231158">
          <item id="29f3d3c6ea6a1205854c0d7855b45acd8f86775c" isNormal="1">
            <s:text>
              <s:r>
                <s:t xml:space="preserve">Administrator:
1405705 1/29 240 pcs 华兴三楼B13</s:t>
              </s:r>
            </s:text>
          </item>
        </commentChain>
      </unresolved>
      <resolved/>
    </commentChains>
    <commentChains s:ref="AD583" rgbClr="FF0000">
      <unresolved>
        <commentChain chainId="73a1c70ad7e9224efa33bf4d8ea86918242eee33">
          <item id="fa730b09b08d992c6e7cb76727d33b45598e3437" isNormal="1">
            <s:text>
              <s:r>
                <s:t xml:space="preserve">Administrator:
1/12上 警告语贴纸 240 pcs
 EAN条码贴纸 240 pcs
 空白贴纸 204 pcs
1/28补上 邮包盒贴纸 984 pcs</s:t>
              </s:r>
            </s:text>
          </item>
        </commentChain>
      </unresolved>
      <resolved/>
    </commentChains>
    <commentChains s:ref="AB584" rgbClr="FF0000">
      <unresolved>
        <commentChain chainId="388fdf5b30eb33498d9cf7852729cbcb83a81061">
          <item id="7753b78b7da52f84e1bd6145939dc671f3b2f759" isNormal="1">
            <s:text>
              <s:r>
                <s:t xml:space="preserve">Administrator:
1405705 1/29 240 pcs 华兴三楼B13</s:t>
              </s:r>
            </s:text>
          </item>
        </commentChain>
      </unresolved>
      <resolved/>
    </commentChains>
    <commentChains s:ref="AD584" rgbClr="FF0000">
      <unresolved>
        <commentChain chainId="2f4f1edbfba4175bb7c65b1a29218086fcac123a">
          <item id="0925fd0f34cf968ad7d858e6c6dd75de473b5bc0" isNormal="1">
            <s:text>
              <s:r>
                <s:t xml:space="preserve">Administrator:
1/12上 警告语贴纸 240 pcs
 EAN条码贴纸 240 pcs
 空白贴纸 204 pcs</s:t>
              </s:r>
            </s:text>
          </item>
        </commentChain>
      </unresolved>
      <resolved/>
    </commentChains>
    <commentChains s:ref="AB585" rgbClr="FF0000">
      <unresolved>
        <commentChain chainId="aaf0598c73217c3b82245013db810d96d2cf60de">
          <item id="6a90678eadbde563ecb54b03cca87247444fec20" isNormal="1">
            <s:text>
              <s:r>
                <s:t xml:space="preserve">Administrator:
1405705 1/29 504 pcs 华兴三楼B13</s:t>
              </s:r>
            </s:text>
          </item>
        </commentChain>
      </unresolved>
      <resolved/>
    </commentChains>
    <commentChains s:ref="AD585" rgbClr="FF0000">
      <unresolved>
        <commentChain chainId="02cb92b8a2c94cd83c685316a04eaa8b6faa0937">
          <item id="80692e15e6b7c3bd7293773de8f105182af916f0" isNormal="1">
            <s:text>
              <s:r>
                <s:t xml:space="preserve">Administrator:
1/12上 警告语贴纸504 pcs
 EAN条码贴纸 504 pcs
 空白贴纸 504 pcs</s:t>
              </s:r>
            </s:text>
          </item>
        </commentChain>
      </unresolved>
      <resolved/>
    </commentChains>
    <commentChains s:ref="AB586" rgbClr="FF0000">
      <unresolved>
        <commentChain chainId="f2749fd0cc31f48e6280bcb6e7557167f5dc1caa">
          <item id="a597938dadb90b149c53b819c9525d09bca7477f" isNormal="1">
            <s:text>
              <s:r>
                <s:t xml:space="preserve">Administrator:
1405657 2/2 2400 pcs 直走</s:t>
              </s:r>
            </s:text>
          </item>
        </commentChain>
      </unresolved>
      <resolved/>
    </commentChains>
    <commentChains s:ref="AD586" rgbClr="FF0000">
      <unresolved>
        <commentChain chainId="c9525e0dc776827833fd86211b1c8fec4aa79e5f">
          <item id="3a0709e597ec7562253fce34c7351842a355967a" isNormal="1">
            <s:text>
              <s:r>
                <s:t xml:space="preserve">Administrator:
12/15上 客供价格贴纸 2520 pcs</s:t>
              </s:r>
            </s:text>
          </item>
        </commentChain>
      </unresolved>
      <resolved/>
    </commentChains>
    <commentChains s:ref="AB587" rgbClr="FF0000">
      <unresolved>
        <commentChain chainId="0f2853560d486c9536d35753b8de77d57966afe8">
          <item id="4fe7690213c3cb265325a8fdc15d0d05eb5b3f4c" isNormal="1">
            <s:text>
              <s:r>
                <s:t xml:space="preserve">Administrator:
1405663 2/3 1560 pcs 华兴登一楼</s:t>
              </s:r>
            </s:text>
          </item>
        </commentChain>
      </unresolved>
      <resolved/>
    </commentChains>
    <commentChains s:ref="AD587" rgbClr="FF0000">
      <unresolved>
        <commentChain chainId="8342668d61ef4234e5c48bdbe8086ed4917fe656">
          <item id="3f8c1870b154ee48daa3bfdc7d3a324526110e0a" isNormal="1">
            <s:text>
              <s:r>
                <s:t xml:space="preserve">Administrator:
12/15上 客供价格贴纸 1638 pcs
12/23上 警告语贴纸 1560 pcs</s:t>
              </s:r>
            </s:text>
          </item>
        </commentChain>
      </unresolved>
      <resolved/>
    </commentChains>
    <commentChains s:ref="AB588" rgbClr="FF0000">
      <unresolved>
        <commentChain chainId="9441003d2e104c91595d92b466f17d628377b22b">
          <item id="1a036b5c38de08434c90d1b526695d5a4bb7373c" isNormal="1">
            <s:text>
              <s:r>
                <s:t xml:space="preserve">Administrator:
1405614 2/4 2200 pcs 华兴三楼B8</s:t>
              </s:r>
            </s:text>
          </item>
        </commentChain>
      </unresolved>
      <resolved/>
    </commentChains>
    <commentChains s:ref="AD588" rgbClr="FF0000">
      <unresolved>
        <commentChain chainId="8a7d2a3fc8ec8dd2220e80a8c9969104b1bba117">
          <item id="fe5cdf09b98d590d9281ac60f8964ffc190bf06d" isNormal="1">
            <s:text>
              <s:r>
                <s:t xml:space="preserve">Administrator:
1/15上 韩语贴纸 2200 pcs</s:t>
              </s:r>
            </s:text>
          </item>
        </commentChain>
      </unresolved>
      <resolved/>
    </commentChains>
    <commentChains s:ref="AB589" rgbClr="FF0000">
      <unresolved>
        <commentChain chainId="7ea8de89042ae04c0f87f9adae5b618450fa3d66">
          <item id="ac03b066873efbe6964ccbf925a895417d47e3ce" isNormal="1">
            <s:text>
              <s:r>
                <s:t xml:space="preserve">Administrator:
1405662 2/3 24 pcs 华兴三楼B13</s:t>
              </s:r>
            </s:text>
          </item>
        </commentChain>
      </unresolved>
      <resolved/>
    </commentChains>
    <commentChains s:ref="AD589" rgbClr="FF0000">
      <unresolved>
        <commentChain chainId="41d47d56714f178befa116a5778dd87ef252503c">
          <item id="0b4e178b371ab7ba31837d1b5ab3ea80fc73c942" isNormal="1">
            <s:text>
              <s:r>
                <s:t xml:space="preserve">Administrator:
1/19上 UPC贴纸 24 pcs
1/28上 客供亚马逊外箱贴纸 1 pcs
</s:t>
              </s:r>
            </s:text>
          </item>
        </commentChain>
      </unresolved>
      <resolved/>
    </commentChains>
    <commentChains s:ref="AB590" rgbClr="FF0000">
      <unresolved>
        <commentChain chainId="0f8151334a65d31ff8751d13a625b7c6ab27660b">
          <item id="3618a95393766b65894ce987c789550db07baad4" isNormal="1">
            <s:text>
              <s:r>
                <s:t xml:space="preserve">Administrator:
1405662 2/3 24 pcs 华兴三楼B13</s:t>
              </s:r>
            </s:text>
          </item>
        </commentChain>
      </unresolved>
      <resolved/>
    </commentChains>
    <commentChains s:ref="AD590" rgbClr="FF0000">
      <unresolved>
        <commentChain chainId="a2b83b959df92b5cf4e6f587f86e07e896c07685">
          <item id="8f2c20ea0708809973e8fafceb52663d9116cdf0" isNormal="1">
            <s:text>
              <s:r>
                <s:t xml:space="preserve">Administrator:
1/19上 UPC贴纸 24 pcs
1/28上 客供亚马逊外箱贴纸 1 pcs</s:t>
              </s:r>
            </s:text>
          </item>
        </commentChain>
      </unresolved>
      <resolved/>
    </commentChains>
    <commentChains s:ref="AB591" rgbClr="FF0000">
      <unresolved>
        <commentChain chainId="66339d52d8500cb32b7edab062fa228bf309fb47">
          <item id="558faa56f673e6d19691686ed6ececd886d8720f" isNormal="1">
            <s:text>
              <s:r>
                <s:t xml:space="preserve">Administrator:
1405662 2/3 24 pcs 华兴三楼B13</s:t>
              </s:r>
            </s:text>
          </item>
        </commentChain>
      </unresolved>
      <resolved/>
    </commentChains>
    <commentChains s:ref="AD591" rgbClr="FF0000">
      <unresolved>
        <commentChain chainId="e089c65836f90cb32bb4842fe0ba2b0cedc416d6">
          <item id="bc136ee66372d236c39fd25c258a7e203ee75017" isNormal="1">
            <s:text>
              <s:r>
                <s:t xml:space="preserve">Administrator:
1/19上 UPC贴纸 24 pcs
1/28上 客供亚马逊外箱贴纸 1 pcs</s:t>
              </s:r>
            </s:text>
          </item>
        </commentChain>
      </unresolved>
      <resolved/>
    </commentChains>
    <commentChains s:ref="AB592" rgbClr="FF0000">
      <unresolved>
        <commentChain chainId="e7d1719fb348dbadd6272ed116c822946a67c616">
          <item id="899fcd456fe07e0c7b1fb8566237027c6ee1b646" isNormal="1">
            <s:text>
              <s:r>
                <s:t xml:space="preserve">Administrator:
1405662 2/3 72 pcs 华兴三楼B13</s:t>
              </s:r>
            </s:text>
          </item>
        </commentChain>
      </unresolved>
      <resolved/>
    </commentChains>
    <commentChains s:ref="AD592" rgbClr="FF0000">
      <unresolved>
        <commentChain chainId="102e25314d659b350db10c49fbc388cee5a9b529">
          <item id="4df4d803f484befc10fa0b8c0c19f26cf270325e" isNormal="1">
            <s:text>
              <s:r>
                <s:t xml:space="preserve">Administrator:
1/19上 UPC贴纸 72 pcs
1/28上 客供亚马逊外箱贴纸 3 pcs</s:t>
              </s:r>
            </s:text>
          </item>
        </commentChain>
      </unresolved>
      <resolved/>
    </commentChains>
    <commentChains s:ref="AB593" rgbClr="FF0000">
      <unresolved>
        <commentChain chainId="a19b84875006790e4e84273b4395a601c1671d5e">
          <item id="197c20303c2b1f0e3d2b32165c88e8b4b29267f4" isNormal="1">
            <s:text>
              <s:r>
                <s:t xml:space="preserve">Administrator:
1405662 2/3 24 pcs 华兴三楼B13</s:t>
              </s:r>
            </s:text>
          </item>
        </commentChain>
      </unresolved>
      <resolved/>
    </commentChains>
    <commentChains s:ref="AD593" rgbClr="FF0000">
      <unresolved>
        <commentChain chainId="0f84ec5762b4f3cccb904cec810849b7b9a7d290">
          <item id="ed7b9deb9632c86c889a9d8f39d4924603707cc9" isNormal="1">
            <s:text>
              <s:r>
                <s:t xml:space="preserve">Administrator:
1/19上 UPC贴纸 24 pcs
1/28上 客供亚马逊外箱贴纸 1 pcs</s:t>
              </s:r>
            </s:text>
          </item>
        </commentChain>
      </unresolved>
      <resolved/>
    </commentChains>
    <commentChains s:ref="AB594" rgbClr="FF0000">
      <unresolved>
        <commentChain chainId="11d9092d24d18d961a12d2c48d66fb958068e849">
          <item id="38b881c7105219e1a618c8d1239ff12e2687f112" isNormal="1">
            <s:text>
              <s:r>
                <s:t xml:space="preserve">Administrator:
1405662 2/3 24 pcs 华兴三楼B13</s:t>
              </s:r>
            </s:text>
          </item>
        </commentChain>
      </unresolved>
      <resolved/>
    </commentChains>
    <commentChains s:ref="AD594" rgbClr="FF0000">
      <unresolved>
        <commentChain chainId="c5ad712e8dd19c9266bfc47ca4db59e5eb6dac64">
          <item id="5e2c3f3db1b7d242dbd029a14c6f94f32465efbe" isNormal="1">
            <s:text>
              <s:r>
                <s:t xml:space="preserve">Administrator:
1/19上 UPC贴纸 24 pcs
1/28上 客供亚马逊外箱贴纸 1 pcs</s:t>
              </s:r>
            </s:text>
          </item>
        </commentChain>
      </unresolved>
      <resolved/>
    </commentChains>
    <commentChains s:ref="AB595" rgbClr="FF0000">
      <unresolved>
        <commentChain chainId="a372cc9f2e34df152d7aea729e23c973b5d8951a">
          <item id="fb9f9ed924e602c101791905c0afa316433a8306" isNormal="1">
            <s:text>
              <s:r>
                <s:t xml:space="preserve">Administrator:
1405662 2/3 24 pcs 华兴三楼B13</s:t>
              </s:r>
            </s:text>
          </item>
        </commentChain>
      </unresolved>
      <resolved/>
    </commentChains>
    <commentChains s:ref="AD595" rgbClr="FF0000">
      <unresolved>
        <commentChain chainId="68cc0fea8eac57d44bf51a425e775f2f76ac491c">
          <item id="6ac40322a1bbe8db39c67fa2acea4e5f0ea6c8f1" isNormal="1">
            <s:text>
              <s:r>
                <s:t xml:space="preserve">Administrator:
1/19上 UPC贴纸 24 pcs
1/28上 客供亚马逊外箱贴纸 1 pcs</s:t>
              </s:r>
            </s:text>
          </item>
        </commentChain>
      </unresolved>
      <resolved/>
    </commentChains>
    <commentChains s:ref="AB596" rgbClr="FF0000">
      <unresolved>
        <commentChain chainId="45e4f48064fe8ed95cebc98433cceabb2bda768e">
          <item id="309a832777946e079fff5a61875c4cfbfbba8f23" isNormal="1">
            <s:text>
              <s:r>
                <s:t xml:space="preserve">Administrator:
1405662 2/3 24 pcs 华兴三楼B13</s:t>
              </s:r>
            </s:text>
          </item>
        </commentChain>
      </unresolved>
      <resolved/>
    </commentChains>
    <commentChains s:ref="AD596" rgbClr="FF0000">
      <unresolved>
        <commentChain chainId="07d68b645c8853cd84625691c7c3db555fd923c9">
          <item id="f60444e99dbef203768a34601eaccc3d93065355" isNormal="1">
            <s:text>
              <s:r>
                <s:t xml:space="preserve">Administrator:
1/19上 UPC贴纸 24 pcs
1/28上 客供亚马逊外箱贴纸 1 pcs</s:t>
              </s:r>
            </s:text>
          </item>
        </commentChain>
      </unresolved>
      <resolved/>
    </commentChains>
    <commentChains s:ref="AB597" rgbClr="FF0000">
      <unresolved>
        <commentChain chainId="3591bec281715a847f058a86481354fa881a4d34">
          <item id="d84c3796d323705e9c8895cdff45f46aa19f0550" isNormal="1">
            <s:text>
              <s:r>
                <s:t xml:space="preserve">Administrator:
1405662 2/3 24 pcs 华兴三楼B13</s:t>
              </s:r>
            </s:text>
          </item>
        </commentChain>
      </unresolved>
      <resolved/>
    </commentChains>
    <commentChains s:ref="AD597" rgbClr="FF0000">
      <unresolved>
        <commentChain chainId="3984dbbf2ae82b28a57eda1c6ba41678d864442d">
          <item id="d34abe867a49ec3aaad6a604d11cd56de4ca8146" isNormal="1">
            <s:text>
              <s:r>
                <s:t xml:space="preserve">Administrator:
1/19上 UPC贴纸 24 pcs
1/28上 客供亚马逊外箱贴纸 1 pcs</s:t>
              </s:r>
            </s:text>
          </item>
        </commentChain>
      </unresolved>
      <resolved/>
    </commentChains>
    <commentChains s:ref="AB598" rgbClr="FF0000">
      <unresolved>
        <commentChain chainId="8cb8348b3eba18db5f3e07d5885cd877e663d008">
          <item id="72bb6e4d22bf748c065aa9b821a03f16a0175a37" isNormal="1">
            <s:text>
              <s:r>
                <s:t xml:space="preserve">Administrator:
1405663 2/3 308 pcs 华兴登一楼</s:t>
              </s:r>
            </s:text>
          </item>
        </commentChain>
      </unresolved>
      <resolved/>
    </commentChains>
    <commentChains s:ref="AD598" rgbClr="FF0000">
      <unresolved>
        <commentChain chainId="127c1e8425bcfd8df6fd411c641dada2442cdbab">
          <item id="12e6522aceb37c5ab4bcd90d4d3de9b3f6229627" isNormal="1">
            <s:text>
              <s:r>
                <s:t xml:space="preserve">Administrator:
1/15上 客供价格贴纸 315 pcs</s:t>
              </s:r>
            </s:text>
          </item>
        </commentChain>
      </unresolved>
      <resolved/>
    </commentChains>
    <commentChains s:ref="AB599" rgbClr="FF0000">
      <unresolved>
        <commentChain chainId="8feb2b05f01e5a5f3393a13c9a67f49675bb64eb">
          <item id="bc4a64c684db551541b667e6e714e8e10bb3f2c4" isNormal="1">
            <s:text>
              <s:r>
                <s:t xml:space="preserve">Administrator:
1405595 2/5 960 pcs</s:t>
              </s:r>
            </s:text>
          </item>
        </commentChain>
      </unresolved>
      <resolved/>
    </commentChains>
    <commentChains s:ref="AD599" rgbClr="FF0000">
      <unresolved>
        <commentChain chainId="20108043c007e34887657ed1aa21d5b895a34de8">
          <item id="a6299b347132d19b31d8ff11760b7a901c8765ab" isNormal="1">
            <s:text>
              <s:r>
                <s:t xml:space="preserve">Administrator:
1/19上 环保标贴纸 960 pcs
1/19上 洗涤说明西班牙语贴纸 960 pcs
1/26上 亚马逊外箱贴纸 40 pcs</s:t>
              </s:r>
            </s:text>
          </item>
        </commentChain>
      </unresolved>
      <resolved/>
    </commentChains>
    <commentChains s:ref="AB600" rgbClr="FF0000">
      <unresolved>
        <commentChain chainId="ef513aee43faf69237e8e43ad325473fc9394440">
          <item id="eeab16fb4efee9fe6b8e53c54bdd64fe1233fadc" isNormal="1">
            <s:text>
              <s:r>
                <s:t xml:space="preserve">Administrator:
1405595 2/5 504 pcs </s:t>
              </s:r>
            </s:text>
          </item>
        </commentChain>
      </unresolved>
      <resolved/>
    </commentChains>
    <commentChains s:ref="AD600" rgbClr="FF0000">
      <unresolved>
        <commentChain chainId="e9f2bf08eb380f1680de7fc5c4ca0654a81829c2">
          <item id="1ca247ae3810b12139b16683c21c9fc2af07cde2" isNormal="1">
            <s:text>
              <s:r>
                <s:t xml:space="preserve">Administrator:
1/19上 环保标贴纸 504 pcs
1/19上 洗涤说明西班牙语贴纸 504 pcs
1/26上 亚马逊外箱贴纸 21 pcs
</s:t>
              </s:r>
            </s:text>
          </item>
        </commentChain>
      </unresolved>
      <resolved/>
    </commentChains>
    <commentChains s:ref="AB601" rgbClr="FF0000">
      <unresolved>
        <commentChain chainId="88d158175465057d953460e3cedc592b0ed74d45">
          <item id="eb04439daef5597268a50e4bfb1f7e0a9394d7db" isNormal="1">
            <s:text>
              <s:r>
                <s:t xml:space="preserve">Administrator:
1405595 2/5 504 pcs </s:t>
              </s:r>
            </s:text>
          </item>
        </commentChain>
      </unresolved>
      <resolved/>
    </commentChains>
    <commentChains s:ref="AD601" rgbClr="FF0000">
      <unresolved>
        <commentChain chainId="e1b8d576d0189560a792397226b7d7921a5abc5e">
          <item id="32a4065da899c75fa16459730e59303512cac8f4" isNormal="1">
            <s:text>
              <s:r>
                <s:t xml:space="preserve">Administrator:
1/19上 环保标贴纸 504 pcs
1/19上 洗涤说明西班牙语贴纸 504 pcs
1/26上 亚马逊外箱贴纸 21 pcs
</s:t>
              </s:r>
            </s:text>
          </item>
        </commentChain>
      </unresolved>
      <resolved/>
    </commentChains>
    <commentChains s:ref="AB602" rgbClr="FF0000">
      <unresolved>
        <commentChain chainId="96f9e61c4d6b7f2346a45134ccb167be2cc185ac">
          <item id="cdd1c3e1ea382f0f862a52f634b3a0d764d91c7d" isNormal="1">
            <s:text>
              <s:r>
                <s:t xml:space="preserve">Administrator:
1405595 2/5 504 pcs </s:t>
              </s:r>
            </s:text>
          </item>
        </commentChain>
      </unresolved>
      <resolved/>
    </commentChains>
    <commentChains s:ref="AD602" rgbClr="FF0000">
      <unresolved>
        <commentChain chainId="e3cf91c9b36726a3c56e8f040481e9b99376b9ed">
          <item id="1742298b1aed435df8cd26d88dbbba983f9242f5" isNormal="1">
            <s:text>
              <s:r>
                <s:t xml:space="preserve">Administrator:
1/19上 环保标贴纸 504 pcs
1/19上 洗涤说明西班牙语贴纸 504 pcs
1/26上 亚马逊外箱贴纸 21 pcs
</s:t>
              </s:r>
            </s:text>
          </item>
        </commentChain>
      </unresolved>
      <resolved/>
    </commentChains>
    <commentChains s:ref="AB603" rgbClr="FF0000">
      <unresolved>
        <commentChain chainId="93374c932704c199e04b63165702cea35f9a202a">
          <item id="154c822446d0b3728a8ba84ab4add8492316ef5e" isNormal="1">
            <s:text>
              <s:r>
                <s:t xml:space="preserve">Administrator:
1405595 2/5 504 pcs </s:t>
              </s:r>
            </s:text>
          </item>
        </commentChain>
      </unresolved>
      <resolved/>
    </commentChains>
    <commentChains s:ref="AD603" rgbClr="FF0000">
      <unresolved>
        <commentChain chainId="a53ec8f3118abd76ec0b8b57f438e772bf9dfab0">
          <item id="8deafe9ebfca6cf166af592c682ddff38655d46c" isNormal="1">
            <s:text>
              <s:r>
                <s:t xml:space="preserve">Administrator:
1/19上 环保标贴纸 504 pcs
1/19上 洗涤说明西班牙语贴纸 504 pcs
1/26上 亚马逊外箱贴纸 21 pcs
</s:t>
              </s:r>
            </s:text>
          </item>
        </commentChain>
      </unresolved>
      <resolved/>
    </commentChains>
    <commentChains s:ref="AB604" rgbClr="FF0000">
      <unresolved>
        <commentChain chainId="4d768991dd11bacd0ae9fbbe864f1de5345688e8">
          <item id="9ca6418cb1b4dc30ddf4d598f5f2affe73c3b705" isNormal="1">
            <s:text>
              <s:r>
                <s:t xml:space="preserve">Administrator:
1405624 2/4 1296 pcs 华兴三楼B12   
1405627 2/4 1200 pcs B12</s:t>
              </s:r>
            </s:text>
          </item>
        </commentChain>
      </unresolved>
      <resolved/>
    </commentChains>
    <commentChains s:ref="AD604" rgbClr="FF0000">
      <unresolved>
        <commentChain chainId="efd822d24cb7135730d3dec5d392b365df3e7a04">
          <item id="9d11481912d436c9c07540dd9128f46d67f785f0" isNormal="1">
            <s:text>
              <s:r>
                <s:t xml:space="preserve">Administrator:
1/29上 德语callout贴纸 2496 pcs
 EAN条码贴纸 2496 pcs</s:t>
              </s:r>
            </s:text>
          </item>
        </commentChain>
      </unresolved>
      <resolved/>
    </commentChains>
    <commentChains s:ref="AB605" rgbClr="FF0000">
      <unresolved>
        <commentChain chainId="74d4692c33dcd0db3dc27df264cd26b9fdc57b88">
          <item id="65b1e53d2ceb194350ce47af26e84ee5ead4a416" isNormal="1">
            <s:text>
              <s:r>
                <s:t xml:space="preserve">Administrator:
1405576 2/7 784 pcs B5     
1405528 2/7 28 pcs 四楼B5</s:t>
              </s:r>
            </s:text>
          </item>
        </commentChain>
      </unresolved>
      <resolved/>
    </commentChains>
    <commentChains s:ref="AD605" rgbClr="FF0000">
      <unresolved>
        <commentChain chainId="224d77b8b0dceb00c71d751414ddbd04f9c99380">
          <item id="c92fab461fc2d6a1041372f548695dd2502e3c01" isNormal="1">
            <s:text>
              <s:r>
                <s:t xml:space="preserve">Administrator:
1/19上 四国语言警告语贴纸 1512 pcs</s:t>
              </s:r>
            </s:text>
          </item>
        </commentChain>
      </unresolved>
      <resolved/>
    </commentChains>
    <commentChains s:ref="AB606" rgbClr="FF0000">
      <unresolved>
        <commentChain chainId="2723e96f20cabd79555aa21460620a169420f402">
          <item id="fb53fa4cdfe5bec3527b9ecd41ce4f3ef51e6be4" isNormal="1">
            <s:text>
              <s:r>
                <s:t xml:space="preserve">Administrator:
1405576 2/7 288 pcs 四楼B5</s:t>
              </s:r>
            </s:text>
          </item>
        </commentChain>
      </unresolved>
      <resolved/>
    </commentChains>
    <commentChains s:ref="AD606" rgbClr="FF0000">
      <unresolved>
        <commentChain chainId="2fffc6158267f8131b5f82df1c62152c8cb99431">
          <item id="c3b87c70c494ae027e271a357ead5608f7a71aff" isNormal="1">
            <s:text>
              <s:r>
                <s:t xml:space="preserve">Administrator:
1/19上 UPC贴纸 288 pcs
1/28上 客供亚马逊外箱贴纸 12 pcs</s:t>
              </s:r>
            </s:text>
          </item>
        </commentChain>
      </unresolved>
      <resolved/>
    </commentChains>
    <commentChains s:ref="AB607" rgbClr="FF0000">
      <unresolved>
        <commentChain chainId="d4ebaaa6fc36524fbee02634ff86f1beda54dcc7">
          <item id="9ddd74d86541c8ac87f4afe8f754274bd4429067" isNormal="1">
            <s:text>
              <s:r>
                <s:t xml:space="preserve">Administrator:
1405576 2/7 552 pcs 四楼B5</s:t>
              </s:r>
            </s:text>
          </item>
        </commentChain>
      </unresolved>
      <resolved/>
    </commentChains>
    <commentChains s:ref="AD607" rgbClr="FF0000">
      <unresolved>
        <commentChain chainId="bc8acec06dcd7a25a88bae9d116c67f68aa3a1a1">
          <item id="cc17fa4199dc55771e4b7272d0f1bc58bb07b80b" isNormal="1">
            <s:text>
              <s:r>
                <s:t xml:space="preserve">Administrator:
1/22上 邮包盒贴纸 552 pcs
1/26上 亚马逊外箱贴纸 23 pcs</s:t>
              </s:r>
            </s:text>
          </item>
        </commentChain>
      </unresolved>
      <resolved/>
    </commentChains>
    <commentChains s:ref="AB608" rgbClr="FF0000">
      <unresolved>
        <commentChain chainId="4ad550b3cbbb975d3de49b0ef769fd52c0f11820">
          <item id="46a8873f5485d18d254defb3a5930d56b9d58377" isNormal="1">
            <s:text>
              <s:r>
                <s:t xml:space="preserve">Administrator:
1405576 2/7 240 pcs 四楼B5</s:t>
              </s:r>
            </s:text>
          </item>
        </commentChain>
      </unresolved>
      <resolved/>
    </commentChains>
    <commentChains s:ref="AD608" rgbClr="FF0000">
      <unresolved>
        <commentChain chainId="abd1a64bc9f71538026ecbfa7ee9039cc42758a1">
          <item id="0bdd8dcfdf2fa25534d57bcf73d922c969d83e1d" isNormal="1">
            <s:text>
              <s:r>
                <s:t xml:space="preserve">Administrator:
1/22上 UPC贴纸 240 pcs
1/30上 客供亚马逊外箱贴纸 10 pcs</s:t>
              </s:r>
            </s:text>
          </item>
        </commentChain>
      </unresolved>
      <resolved/>
    </commentChains>
    <commentChains s:ref="AB609" rgbClr="FF0000">
      <unresolved>
        <commentChain chainId="b92e5ae45a8991c7071eaaf01b981db395178eeb">
          <item id="4570faddc1f2dff77c950db3ab1a331d9c7e6688" isNormal="1">
            <s:text>
              <s:r>
                <s:t xml:space="preserve">Administrator:
1405576 2/7 312 pcs 四楼B5</s:t>
              </s:r>
            </s:text>
          </item>
        </commentChain>
      </unresolved>
      <resolved/>
    </commentChains>
    <commentChains s:ref="AD609" rgbClr="FF0000">
      <unresolved>
        <commentChain chainId="95c499a4bf07f2b3b896746e7f5192b3e502c787">
          <item id="22402582a53b32792282342eccc4b4c8c562dce4" isNormal="1">
            <s:text>
              <s:r>
                <s:t xml:space="preserve">Administrator:
1/22上 UPC贴纸 312 pcs
1/30上 客供亚马逊外箱贴纸 13 pcs</s:t>
              </s:r>
            </s:text>
          </item>
        </commentChain>
      </unresolved>
      <resolved/>
    </commentChains>
    <commentChains s:ref="AB610" rgbClr="FF0000">
      <unresolved>
        <commentChain chainId="25121b0d5ecd69143e7135b0f8e9afe33bce8f4c">
          <item id="31fb54dba98db71403e9794ffab27c77dfb35467" isNormal="1">
            <s:text>
              <s:r>
                <s:t xml:space="preserve">Administrator:
1405553 2/7 330 pcs 四楼B5</s:t>
              </s:r>
            </s:text>
          </item>
        </commentChain>
      </unresolved>
      <resolved/>
    </commentChains>
    <commentChains s:ref="AD610" rgbClr="FF0000">
      <unresolved>
        <commentChain chainId="7b5753566cf3cffa5559f20df213cbe8fb56b85e">
          <item id="eebff719cee5830a4694734925f975a4f56ad77d" isNormal="1">
            <s:text>
              <s:r>
                <s:t xml:space="preserve">Administrator:
1/22上 说明书/UPC/警示语贴纸 330 pcs</s:t>
              </s:r>
            </s:text>
          </item>
        </commentChain>
      </unresolved>
      <resolved/>
    </commentChains>
    <commentChains s:ref="AB611" rgbClr="FF0000">
      <unresolved>
        <commentChain chainId="13546a1310eaea0d2303d121171ec5885fd2c9c8">
          <item id="b25dda0ad38822d0ce5180ea50617dccb662eab0" isNormal="1">
            <s:text>
              <s:r>
                <s:t xml:space="preserve">Administrator:
1405576 2/7 1200 pcs 四楼A9</s:t>
              </s:r>
            </s:text>
          </item>
        </commentChain>
      </unresolved>
      <resolved/>
    </commentChains>
    <commentChains s:ref="AD611" rgbClr="FF0000">
      <unresolved>
        <commentChain chainId="00c7faadfcd847998fd4c734a10e1cc8141b6f73">
          <item id="cd7efe3a28a206559981dbf25cad620205449698" isNormal="1">
            <s:text>
              <s:r>
                <s:t xml:space="preserve">Administrator:
1/19上 价格贴纸 1200 pcs
 外箱条码贴纸 100 pcs</s:t>
              </s:r>
            </s:text>
          </item>
        </commentChain>
      </unresolved>
      <resolved/>
    </commentChains>
    <commentChains s:ref="AB612" rgbClr="FF0000">
      <unresolved>
        <commentChain chainId="d343380f4ab4b2a4f1d8eedf7ed8388b1d7b7c73">
          <item id="9fdf2931892e73cfd93e09dca301031b275aaad3" isNormal="1">
            <s:text>
              <s:r>
                <s:t xml:space="preserve">Administrator:
1405574 2/7 24 pcs 四楼B5</s:t>
              </s:r>
            </s:text>
          </item>
        </commentChain>
      </unresolved>
      <resolved/>
    </commentChains>
    <commentChains s:ref="AD612" rgbClr="FF0000">
      <unresolved>
        <commentChain chainId="ddbf5d40df87cd4f13d5b4040fca25538a277a47">
          <item id="8af293a2c4fe85817005c62a1294366c3ddd2253" isNormal="1">
            <s:text>
              <s:r>
                <s:t xml:space="preserve">Administrator:
1/26上 UPC贴纸 24 pcs
1/30上 客供亚马逊外箱贴纸 1 pcs</s:t>
              </s:r>
            </s:text>
          </item>
        </commentChain>
      </unresolved>
      <resolved/>
    </commentChains>
    <commentChains s:ref="AB613" rgbClr="FF0000">
      <unresolved>
        <commentChain chainId="b11de159581ea862aa9905107ff9c1f144f045f5">
          <item id="2a922ed342779fa671a86caa0a21d60a15c60357" isNormal="1">
            <s:text>
              <s:r>
                <s:t xml:space="preserve">Administrator:
1405574 2/7 24 pcs 四楼B5</s:t>
              </s:r>
            </s:text>
          </item>
        </commentChain>
      </unresolved>
      <resolved/>
    </commentChains>
    <commentChains s:ref="AD613" rgbClr="FF0000">
      <unresolved>
        <commentChain chainId="10509eb8dd59241498ceebee356565ec66b134e3">
          <item id="87bd296c1ffc005d0e11c457d53f929cc4b3c6dc" isNormal="1">
            <s:text>
              <s:r>
                <s:t xml:space="preserve">Administrator:
1/26上 UPC贴纸 24 pcs 
1/30上 客供亚马逊外箱贴纸 1 pcs
</s:t>
              </s:r>
            </s:text>
          </item>
        </commentChain>
      </unresolved>
      <resolved/>
    </commentChains>
    <commentChains s:ref="AB614" rgbClr="FF0000">
      <unresolved>
        <commentChain chainId="99bd522421db96addeb6f8c24d5cfa048f13b495">
          <item id="7ff58b97e5bff869c32973d119acf21ed0d94fdf" isNormal="1">
            <s:text>
              <s:r>
                <s:t xml:space="preserve">Administrator:
1405574 2/7 24 pcs 四楼B5</s:t>
              </s:r>
            </s:text>
          </item>
        </commentChain>
      </unresolved>
      <resolved/>
    </commentChains>
    <commentChains s:ref="AD614" rgbClr="FF0000">
      <unresolved>
        <commentChain chainId="1233891437110d6b567eeeafcf7c47abaec68ed6">
          <item id="2d51dd6e587220898f7e606ce4dfad8c4a4e78ba" isNormal="1">
            <s:text>
              <s:r>
                <s:t xml:space="preserve">Administrator:
1/26上 UPC贴纸 24 pcs 
1/30上 客供亚马逊外箱贴纸 1 pcs
</s:t>
              </s:r>
            </s:text>
          </item>
        </commentChain>
      </unresolved>
      <resolved/>
    </commentChains>
    <commentChains s:ref="AB615" rgbClr="FF0000">
      <unresolved>
        <commentChain chainId="dbd048177e8f7d417a7b76cf602f886334e71198">
          <item id="910851ac97d89ba96a8bb00d504b1d0a3bd94cd9" isNormal="1">
            <s:text>
              <s:r>
                <s:t xml:space="preserve">Administrator:
1405574 2/7 24 pcs 四楼B5</s:t>
              </s:r>
            </s:text>
          </item>
        </commentChain>
      </unresolved>
      <resolved/>
    </commentChains>
    <commentChains s:ref="AD615" rgbClr="FF0000">
      <unresolved>
        <commentChain chainId="2b74437da31a974e135b0bd979a9c7d74bbb5dcb">
          <item id="c02f8aa823d0588ab021f0d686e51fcc9e1ca4bb" isNormal="1">
            <s:text>
              <s:r>
                <s:t xml:space="preserve">Administrator:
1/26上 UPC贴纸 24 pcs 
1/30上 客供亚马逊外箱贴纸 1 pcs
</s:t>
              </s:r>
            </s:text>
          </item>
        </commentChain>
      </unresolved>
      <resolved/>
    </commentChains>
    <commentChains s:ref="AB616" rgbClr="FF0000">
      <unresolved>
        <commentChain chainId="026c9e509fd7b49ddbd4660e4e7dff195001597d">
          <item id="816ea2b79c16bcd8c57668f0cebb83bd7eeabdfe" isNormal="1">
            <s:text>
              <s:r>
                <s:t xml:space="preserve">Administrator:
1405574 2/7 24 pcs 四楼B5</s:t>
              </s:r>
            </s:text>
          </item>
        </commentChain>
      </unresolved>
      <resolved/>
    </commentChains>
    <commentChains s:ref="AD616" rgbClr="FF0000">
      <unresolved>
        <commentChain chainId="96e87a4d94a3d2a2e75ab25eeee84cba9832e0fb">
          <item id="bb351ba2306d1e47de7c3f8800adec2e15afb94c" isNormal="1">
            <s:text>
              <s:r>
                <s:t xml:space="preserve">Administrator:
1/26上 UPC贴纸 24 pcs 
1/30上 客供亚马逊外箱贴纸 1 pcs
</s:t>
              </s:r>
            </s:text>
          </item>
        </commentChain>
      </unresolved>
      <resolved/>
    </commentChains>
    <commentChains s:ref="AB617" rgbClr="FF0000">
      <unresolved>
        <commentChain chainId="695aa5f1e8c8295ad9391dba0a44c4372b231b16">
          <item id="753810a9f68b8cf14bac190ec0ab70d5e5bd3fb5" isNormal="1">
            <s:text>
              <s:r>
                <s:t xml:space="preserve">Administrator:
1405574 2/7 24 pcs 四楼B5</s:t>
              </s:r>
            </s:text>
          </item>
        </commentChain>
      </unresolved>
      <resolved/>
    </commentChains>
    <commentChains s:ref="AD617" rgbClr="FF0000">
      <unresolved>
        <commentChain chainId="9973a9eb9cf4429240277f7be14ac867314ab3ba">
          <item id="f4727a6aa2d3eb59053b3af41ec27be041e99a70" isNormal="1">
            <s:text>
              <s:r>
                <s:t xml:space="preserve">Administrator:
1/26上 UPC贴纸 24 pcs 
1/30上 客供亚马逊外箱贴纸 1 pcs
</s:t>
              </s:r>
            </s:text>
          </item>
        </commentChain>
      </unresolved>
      <resolved/>
    </commentChains>
    <commentChains s:ref="AB618" rgbClr="FF0000">
      <unresolved>
        <commentChain chainId="f2f063033d5a233195e3bafb7bf2956b2cbf3d0c">
          <item id="566114e84bf2baedb9177105586b22e3acd76ced" isNormal="1">
            <s:text>
              <s:r>
                <s:t xml:space="preserve">Administrator:
1405574 2/7 24 pcs 四楼B5</s:t>
              </s:r>
            </s:text>
          </item>
        </commentChain>
      </unresolved>
      <resolved/>
    </commentChains>
    <commentChains s:ref="AD618" rgbClr="FF0000">
      <unresolved>
        <commentChain chainId="572150a3fdaa8701d91e40d08ff67847c664b7dd">
          <item id="0b97c947c1c1696213bab8f3cae249c9fcdc180f" isNormal="1">
            <s:text>
              <s:r>
                <s:t xml:space="preserve">Administrator:
1/26上 UPC贴纸 24 pcs 
1/30上 客供亚马逊外箱贴纸 1 pcs
</s:t>
              </s:r>
            </s:text>
          </item>
        </commentChain>
      </unresolved>
      <resolved/>
    </commentChains>
    <commentChains s:ref="AB619" rgbClr="FF0000">
      <unresolved>
        <commentChain chainId="703f44d9d9c91d3b0e234979240e7c421cffa439">
          <item id="0d256677f3a30d5b3dfeffa89205ca98deb9da16" isNormal="1">
            <s:text>
              <s:r>
                <s:t xml:space="preserve">Administrator:
1405575 2/7 24 pcs 四楼B5</s:t>
              </s:r>
            </s:text>
          </item>
        </commentChain>
      </unresolved>
      <resolved/>
    </commentChains>
    <commentChains s:ref="AD619" rgbClr="FF0000">
      <unresolved>
        <commentChain chainId="36468773fabeab5e23b39e49901b44caad4556bf">
          <item id="20621a48303c4cd504221d1715d0c12e427f4001" isNormal="1">
            <s:text>
              <s:r>
                <s:t xml:space="preserve">Administrator:
1/26上 UPC贴纸 24 pcs 
1/30上 客供亚马逊外箱贴纸 1 pcs
</s:t>
              </s:r>
            </s:text>
          </item>
        </commentChain>
      </unresolved>
      <resolved/>
    </commentChains>
    <commentChains s:ref="AB620" rgbClr="FF0000">
      <unresolved>
        <commentChain chainId="cdd2568b81d379d31eab3c39cbf4521f10fa09c2">
          <item id="d0ab144a5ad85da4ff4e6d4b02f8de4c94f1494a" isNormal="1">
            <s:text>
              <s:r>
                <s:t xml:space="preserve">Administrator:
1405575 2/7 24 pcs 四楼B5</s:t>
              </s:r>
            </s:text>
          </item>
        </commentChain>
      </unresolved>
      <resolved/>
    </commentChains>
    <commentChains s:ref="AD620" rgbClr="FF0000">
      <unresolved>
        <commentChain chainId="4039f645b148c7a95915ceb5ccaa2e2e66400b05">
          <item id="de1d8a3dd53e69c2b72097eae3c9ed8310d0d3ef" isNormal="1">
            <s:text>
              <s:r>
                <s:t xml:space="preserve">Administrator:
1/26上 UPC贴纸 24 pcs 
1/30上 客供亚马逊外箱贴纸 1 pcs
</s:t>
              </s:r>
            </s:text>
          </item>
        </commentChain>
      </unresolved>
      <resolved/>
    </commentChains>
    <commentChains s:ref="AB621" rgbClr="FF0000">
      <unresolved>
        <commentChain chainId="0223a72c0b2978bd6f50bf8a5762ae5cacde88e8">
          <item id="a6da22df9fd276b6ca10780169dd81992134b9bf" isNormal="1">
            <s:text>
              <s:r>
                <s:t xml:space="preserve">Administrator:
1405575 2/7 24 pcs 四楼B5</s:t>
              </s:r>
            </s:text>
          </item>
        </commentChain>
      </unresolved>
      <resolved/>
    </commentChains>
    <commentChains s:ref="AD621" rgbClr="FF0000">
      <unresolved>
        <commentChain chainId="a7717ad77c35424c379de7b39b7cd42ad1718331">
          <item id="1db037da82d8958362caa3e238c510bad0a6be7d" isNormal="1">
            <s:text>
              <s:r>
                <s:t xml:space="preserve">Administrator:
1/26上 UPC贴纸 24 pcs 
1/30上 客供亚马逊外箱贴纸 1 pcs
</s:t>
              </s:r>
            </s:text>
          </item>
        </commentChain>
      </unresolved>
      <resolved/>
    </commentChains>
    <commentChains s:ref="AB622" rgbClr="FF0000">
      <unresolved>
        <commentChain chainId="b2ff5ab4a731ef7561ffa87de92de2cdc1f53824">
          <item id="2db1da44a20f39194b724fe41ee32ae57c77bb3f" isNormal="1">
            <s:text>
              <s:r>
                <s:t xml:space="preserve">Administrator:
1405575 2/7 24 pcs 四楼B5</s:t>
              </s:r>
            </s:text>
          </item>
        </commentChain>
      </unresolved>
      <resolved/>
    </commentChains>
    <commentChains s:ref="AD622" rgbClr="FF0000">
      <unresolved>
        <commentChain chainId="193494b5eaad5fc3e7140094cde4096d2db9b72a">
          <item id="fad1e30ad98e532cfeaa0f9a6d9afa53bb99ad0b" isNormal="1">
            <s:text>
              <s:r>
                <s:t xml:space="preserve">Administrator:
1/26上 UPC贴纸 24 pcs 
1/30上 客供亚马逊外箱贴纸 1 pcs
</s:t>
              </s:r>
            </s:text>
          </item>
        </commentChain>
      </unresolved>
      <resolved/>
    </commentChains>
    <commentChains s:ref="AB623" rgbClr="FF0000">
      <unresolved>
        <commentChain chainId="acfaf1ad1fd1013d1f8ed4b48264ba98ff1666c5">
          <item id="bedc18fe0ea6f91310829669cdf40b929ae74355" isNormal="1">
            <s:text>
              <s:r>
                <s:t xml:space="preserve">Administrator:
1405575 2/7 24 pcs 四楼B5</s:t>
              </s:r>
            </s:text>
          </item>
        </commentChain>
      </unresolved>
      <resolved/>
    </commentChains>
    <commentChains s:ref="AD623" rgbClr="FF0000">
      <unresolved>
        <commentChain chainId="cd4d37cc100c2dd18468e39e09da53af4965880e">
          <item id="4617a7d27e65b9c604e8c9cddd4446eca161b753" isNormal="1">
            <s:text>
              <s:r>
                <s:t xml:space="preserve">Administrator:
1/26上 UPC贴纸 24 pcs 
1/30上 客供亚马逊外箱贴纸 1 pcs
</s:t>
              </s:r>
            </s:text>
          </item>
        </commentChain>
      </unresolved>
      <resolved/>
    </commentChains>
    <commentChains s:ref="AB624" rgbClr="FF0000">
      <unresolved>
        <commentChain chainId="0c94bb1347cd06667aa49bc462288f1762415979">
          <item id="ff3b0f26ec175e3e4178064b96fa390bb33ac6fd" isNormal="1">
            <s:text>
              <s:r>
                <s:t xml:space="preserve">Administrator:
1405575 2/7 24 pcs 四楼B5</s:t>
              </s:r>
            </s:text>
          </item>
        </commentChain>
      </unresolved>
      <resolved/>
    </commentChains>
    <commentChains s:ref="AD624" rgbClr="FF0000">
      <unresolved>
        <commentChain chainId="ccb696d03dea294e3480fce42381882f7a88687a">
          <item id="934964c94ed8ba52048806a63870d16ecb00eedc" isNormal="1">
            <s:text>
              <s:r>
                <s:t xml:space="preserve">Administrator:
1/26上 UPC贴纸 24 pcs 
1/30上 客供亚马逊外箱贴纸 1 pcs
</s:t>
              </s:r>
            </s:text>
          </item>
        </commentChain>
      </unresolved>
      <resolved/>
    </commentChains>
    <commentChains s:ref="AB625" rgbClr="FF0000">
      <unresolved>
        <commentChain chainId="a6c5f93c930e9264153bd6836938dc2865a65f13">
          <item id="804bc5c8da9135040e5ad4b5f480d6fcc341089d" isNormal="1">
            <s:text>
              <s:r>
                <s:t xml:space="preserve">Administrator:
1405307 3/10 120 pcs 四楼B9</s:t>
              </s:r>
            </s:text>
          </item>
        </commentChain>
      </unresolved>
      <resolved/>
    </commentChains>
    <commentChains s:ref="AD625" rgbClr="FF0000">
      <unresolved>
        <commentChain chainId="5eb426d2899133b54a6a1c00428f2396f0306c76">
          <item id="f0a0beffe355f5a9980a622b4230e4a0358457f5" isNormal="1">
            <s:text>
              <s:r>
                <s:t xml:space="preserve">Administrator:
1/29上 保证书 120 pcs
 baby UPC条码贴纸 120 pcs
 进口商贴纸 120 pcs</s:t>
              </s:r>
            </s:text>
          </item>
        </commentChain>
      </unresolved>
      <resolved/>
    </commentChains>
    <commentChains s:ref="AB626" rgbClr="FF0000">
      <unresolved>
        <commentChain chainId="90da8d5fcd84d453f707dd2767ef346b352dab9e">
          <item id="1176fc9ad996f4474380fd157dba4bf26cafcf24" isNormal="1">
            <s:text>
              <s:r>
                <s:t xml:space="preserve">Administrator:
1405307 3/10 120 pcs 四楼B9</s:t>
              </s:r>
            </s:text>
          </item>
        </commentChain>
      </unresolved>
      <resolved/>
    </commentChains>
    <commentChains s:ref="AD626" rgbClr="FF0000">
      <unresolved>
        <commentChain chainId="65f75ab3c2e2f61471cfa93d399d873127c95492">
          <item id="b2a10e2ae98a1165c0ce0595761683a5bc8f87d3" isNormal="1">
            <s:text>
              <s:r>
                <s:t xml:space="preserve">Administrator:
1/29上 保证书 120 pcs
 baby UPC条码贴纸 120 pcs
 进口商贴纸 120 pcs</s:t>
              </s:r>
            </s:text>
          </item>
        </commentChain>
      </unresolved>
      <resolved/>
    </commentChains>
    <commentChains s:ref="AB627" rgbClr="FF0000">
      <unresolved>
        <commentChain chainId="7ec773837e2cac2c3b8494a79417dbd8313847f0">
          <item id="21657216b958e17919f30f63c6d5e8be38c99cd9" isNormal="1">
            <s:text>
              <s:r>
                <s:t xml:space="preserve">Administrator:
1405325 3/12 1386 pcs 华兴三楼B17</s:t>
              </s:r>
            </s:text>
          </item>
        </commentChain>
      </unresolved>
      <resolved/>
    </commentChains>
    <commentChains s:ref="AD627" rgbClr="FF0000">
      <unresolved>
        <commentChain chainId="7db9babde8c8d4002bf2b60af3c5dc56f9081ee9">
          <item id="43e4f42d6a14e7cacc2c8a52f34fcfab902aadfe" isNormal="1">
            <s:text>
              <s:r>
                <s:t xml:space="preserve">Administrator:
1/30上 WIC贴纸 1386 pcs
  PDQ折页 231 pcs</s:t>
              </s:r>
            </s:text>
          </item>
        </commentChain>
      </unresolved>
      <resolved/>
    </commentChains>
    <commentChains s:ref="AB628" rgbClr="FF0000">
      <unresolved>
        <commentChain chainId="fc32b6ad7f1b0a909b96b1949d2e73ecabeea625">
          <item id="8008e6472b2447a1716b4ec3f68410d53517198d" isNormal="1">
            <s:text>
              <s:r>
                <s:t xml:space="preserve">Administrator:
1405325 3/12 1236 pcs 华兴三楼B17</s:t>
              </s:r>
            </s:text>
          </item>
        </commentChain>
      </unresolved>
      <resolved/>
    </commentChains>
    <commentChains s:ref="AD628" rgbClr="FF0000">
      <unresolved>
        <commentChain chainId="d86c4d26b1c806004f08f60209ae6e2840c8b6a1">
          <item id="efd78eadd5bc708f115734e2bec0b463e69caa7d" isNormal="1">
            <s:text>
              <s:r>
                <s:t xml:space="preserve">Administrator:
1/30上 WIC贴纸 1236 pcs
  PDQ折页 206 pcs</s:t>
              </s:r>
            </s:text>
          </item>
        </commentChain>
      </unresolved>
      <resolved/>
    </commentChains>
    <commentChains s:ref="AB629" rgbClr="FF0000">
      <unresolved>
        <commentChain chainId="6f1ede0c232e539f9bf7423037f20052630c845d">
          <item id="6a3a03c09d1b697af3173dc548b56e8dfeb287d3" isNormal="1">
            <s:text>
              <s:r>
                <s:t xml:space="preserve">Administrator:
1405325 3/12 780 pcs 华兴三楼B17
1405287 3/17 1146 pcs</s:t>
              </s:r>
            </s:text>
          </item>
        </commentChain>
      </unresolved>
      <resolved/>
    </commentChains>
    <commentChains s:ref="AD629" rgbClr="FF0000">
      <unresolved>
        <commentChain chainId="cbdcc0d00ce76fcd74a5e76da69daeb6458c1565">
          <item id="4146ffed57cb513cf8722c5b7eeeafd55755fb23" isNormal="1">
            <s:text>
              <s:r>
                <s:t xml:space="preserve">Administrator:
1/30上 WIC贴纸 1926 pcs
  PDQ折页 321 pcs</s:t>
              </s:r>
            </s:text>
          </item>
        </commentChain>
      </unresolved>
      <resolved/>
    </commentChains>
    <commentChains s:ref="AB630" rgbClr="FF0000">
      <unresolved>
        <commentChain chainId="36e3543598d1f977479e441dcbfd0c7d9cc2760e">
          <item id="cf7714a824f9d330f2a9bda3c3465133b6e2b226" isNormal="1">
            <s:text>
              <s:r>
                <s:t xml:space="preserve">Administrator:
1405287 3/17 1638 pcs 直走</s:t>
              </s:r>
            </s:text>
          </item>
        </commentChain>
      </unresolved>
      <resolved/>
    </commentChains>
    <commentChains s:ref="AD630" rgbClr="FF0000">
      <unresolved>
        <commentChain chainId="ae2cfa3d50bf62427bec230bf103eed374dc8604">
          <item id="5ae626c91003e72d05929e9162b5fcbfb17473a7" isNormal="1">
            <s:text>
              <s:r>
                <s:t xml:space="preserve">Administrator:
1/30上 WIC贴纸 1638 pcs
  PDQ折页 273 pcs</s:t>
              </s:r>
            </s:text>
          </item>
        </commentChain>
      </unresolved>
      <resolved/>
    </commentChains>
    <commentChains s:ref="AB631" rgbClr="FF0000">
      <unresolved>
        <commentChain chainId="c120098cef333877077ac9a92e90749fb931a8ec">
          <item id="3b3f14ad83903bc03b1dfa2e6b966198eb31abc8" isNormal="1">
            <s:text>
              <s:r>
                <s:t xml:space="preserve">Administrator:
1405287 3/17 1638 pcs 直走</s:t>
              </s:r>
            </s:text>
          </item>
        </commentChain>
      </unresolved>
      <resolved/>
    </commentChains>
    <commentChains s:ref="AD631" rgbClr="FF0000">
      <unresolved>
        <commentChain chainId="8feab555351d4a2b89c08e6927cdc903bd213c08">
          <item id="0c33379dd3040dcb1561d3a2fc98aac96b282466" isNormal="1">
            <s:text>
              <s:r>
                <s:t xml:space="preserve">Administrator:
1/30上 WIC贴纸 1638 pcs
  PDQ折页 273 pcs</s:t>
              </s:r>
            </s:text>
          </item>
        </commentChain>
      </unresolved>
      <resolved/>
    </commentChains>
    <commentChains s:ref="AB632" rgbClr="FF0000">
      <unresolved>
        <commentChain chainId="54a0bdcaad6e3f77fd439f5c89408fb0a2b11de5">
          <item id="8ec0b07209a16c9b7edf9fa46161406f4d7a2c95" isNormal="1">
            <s:text>
              <s:r>
                <s:t xml:space="preserve">Administrator:
1405287 3/17 1638 pcs 直走</s:t>
              </s:r>
            </s:text>
          </item>
        </commentChain>
      </unresolved>
      <resolved/>
    </commentChains>
    <commentChains s:ref="AD632" rgbClr="FF0000">
      <unresolved>
        <commentChain chainId="23213ec89f98d677b998721714e454888c5ce1dc">
          <item id="b4fce016060cfbb8a0ad0498f7aeb5f00fc4c474" isNormal="1">
            <s:text>
              <s:r>
                <s:t xml:space="preserve">Administrator:
1/30上 WIC贴纸 1638 pcs
  PDQ折页 273 pcs</s:t>
              </s:r>
            </s:text>
          </item>
        </commentChain>
      </unresolved>
      <resolved/>
    </commentChains>
    <commentChains s:ref="AB633" rgbClr="FF0000">
      <unresolved>
        <commentChain chainId="eebb1f66fed28bd2309997fc0ee2335a8bbbd7c1">
          <item id="d39f13f7dd40055746a4835f009878061c1f1d6a" isNormal="1">
            <s:text>
              <s:r>
                <s:t xml:space="preserve">Administrator:
1405287 3/17 930 pcs 直走</s:t>
              </s:r>
            </s:text>
          </item>
        </commentChain>
      </unresolved>
      <resolved/>
    </commentChains>
    <commentChains s:ref="AD633" rgbClr="FF0000">
      <unresolved>
        <commentChain chainId="cabd63654ff2b7fc7134807a26607027c1fdd0e2">
          <item id="fdb6ad09e1651929916b9498bb83d41f495ef3bd" isNormal="1">
            <s:text>
              <s:r>
                <s:t xml:space="preserve">Administrator:
1/30上 WIC贴纸 930 pcs
  PDQ折页 155 pcs</s:t>
              </s:r>
            </s:text>
          </item>
        </commentChain>
      </unresolved>
      <resolved/>
    </commentChains>
    <commentChains s:ref="AB634" rgbClr="FF0000">
      <unresolved>
        <commentChain chainId="d3b3cfbb89a5d64898d3c83a67328809c4a63dd9">
          <item id="f1251fe1e10c04c3e6b19752140d97974fbeec87" isNormal="1">
            <s:text>
              <s:r>
                <s:t xml:space="preserve">Administrator:
1405242 3/19 1441 pcs</s:t>
              </s:r>
            </s:text>
          </item>
        </commentChain>
      </unresolved>
      <resolved/>
    </commentChains>
    <commentChains s:ref="AD634" rgbClr="FF0000">
      <unresolved>
        <commentChain chainId="8deeac3075ddf477e792ffe2e3a1f605c992a407">
          <item id="c39fb59d3c1acf4300aa2241f7a2bc0cc05488e4" isNormal="1">
            <s:text>
              <s:r>
                <s:t xml:space="preserve">Administrator:
3/2上 客户进口商贴纸 1441 pcs</s:t>
              </s:r>
            </s:text>
          </item>
        </commentChain>
      </unresolved>
      <resolved/>
    </commentChains>
    <commentChains s:ref="AB635" rgbClr="FF0000">
      <unresolved>
        <commentChain chainId="b37f08249078ed35bed61d18bfb8d4fa2d225ba3">
          <item id="9bd10e8c1f21a4dc9fd364f48977c13192bef99b" isNormal="1">
            <s:text>
              <s:r>
                <s:t xml:space="preserve">Administrator:
1405242 3/19 1210 pcs</s:t>
              </s:r>
            </s:text>
          </item>
        </commentChain>
      </unresolved>
      <resolved/>
    </commentChains>
    <commentChains s:ref="AD635" rgbClr="FF0000">
      <unresolved>
        <commentChain chainId="53c77867c084296294b5cd8346fa92c5d304c07c">
          <item id="21adcd47620b792f94fb527ae30fef508b856be6" isNormal="1">
            <s:text>
              <s:r>
                <s:t xml:space="preserve">Administrator:
3/2上 进口商贴纸 1210 pcs</s:t>
              </s:r>
            </s:text>
          </item>
        </commentChain>
      </unresolved>
      <resolved/>
    </commentChains>
    <commentChains s:ref="AB636" rgbClr="FF0000">
      <unresolved>
        <commentChain chainId="7d835694ffd33e1f3de58bb3e4887592e0f63235">
          <item id="b5e72890b8b2c1b6eadc053d40f2a8864dfbfd6b" isNormal="1">
            <s:text>
              <s:r>
                <s:t xml:space="preserve">Administrator:
1405226 3/26 1992 pcs 华兴三楼B15</s:t>
              </s:r>
            </s:text>
          </item>
        </commentChain>
      </unresolved>
      <resolved/>
    </commentChains>
    <commentChains s:ref="AD636" rgbClr="FF0000">
      <unresolved>
        <commentChain chainId="b32fdd278b48aa465d98bf04ff4e78925e15f1bd">
          <item id="b3d62552f9f1ca7837f51c36affe52a5921905af" isNormal="1">
            <s:text>
              <s:r>
                <s:t xml:space="preserve">Administrator:
3/6上 UPC贴纸 1992 pcs
3/10上 客供亚马逊外箱贴纸 83 pcs</s:t>
              </s:r>
            </s:text>
          </item>
        </commentChain>
      </unresolved>
      <resolved/>
    </commentChains>
    <commentChains s:ref="AB637" rgbClr="FF0000">
      <unresolved>
        <commentChain chainId="fa3696816b900b65fd161c0c2fbdc27faa987892">
          <item id="7fe1f215d9fca680f889c2716e5e08599dc2c2e1" isNormal="1">
            <s:text>
              <s:r>
                <s:t xml:space="preserve">Administrator:
1405226 3/26 1656 pcs 华兴三楼B15</s:t>
              </s:r>
            </s:text>
          </item>
        </commentChain>
      </unresolved>
      <resolved/>
    </commentChains>
    <commentChains s:ref="AD637" rgbClr="FF0000">
      <unresolved>
        <commentChain chainId="5dec72f7b5217ba4aab3aa1f6924909841d73c26">
          <item id="c4228a2ea674744ea234125aa0795b8e0c9a759a" isNormal="1">
            <s:text>
              <s:r>
                <s:t xml:space="preserve">Administrator:
3/6上 UPC贴纸 1656 pcs
3/10上 客供亚马逊外箱贴纸 69 pcs</s:t>
              </s:r>
            </s:text>
          </item>
        </commentChain>
      </unresolved>
      <resolved/>
    </commentChains>
    <commentChains s:ref="AB638" rgbClr="FF0000">
      <unresolved>
        <commentChain chainId="4841b246d3a753eb197f761d409461930f31374e">
          <item id="2907936899c4c2783b2cf121ad13964118ac62da" isNormal="1">
            <s:text>
              <s:r>
                <s:t xml:space="preserve">Administrator:
1405209 3/28 308 pcs 华兴三楼B13</s:t>
              </s:r>
            </s:text>
          </item>
        </commentChain>
      </unresolved>
      <resolved/>
    </commentChains>
    <commentChains s:ref="AD638" rgbClr="FF0000">
      <unresolved>
        <commentChain chainId="a18ee3218b18a34fa4f3826aba981d2ea9d7498c">
          <item id="ae24c49ed625b1993ce1f2492b39ed56f1d22928" isNormal="1">
            <s:text>
              <s:r>
                <s:t xml:space="preserve">Administrator:
3/9上 丹麦瑞典芬兰挪威语言贴纸 308 pcs</s:t>
              </s:r>
            </s:text>
          </item>
        </commentChain>
      </unresolved>
      <resolved/>
    </commentChains>
    <commentChains s:ref="AB639" rgbClr="FF0000">
      <unresolved>
        <commentChain chainId="c8b413170f51ffd72d9c13f98802467b46ee2bbe">
          <item id="8f55ca19da2cb5bb16acee543d040495ca5ccb74" isNormal="1">
            <s:text>
              <s:r>
                <s:t xml:space="preserve">Administrator:
1405208 3/27 粉色 60 pcs
         紫色 60 pcs
     黄色 50 pcs
   蓝色 50 pcs
 无功能 10 pcs</s:t>
              </s:r>
            </s:text>
          </item>
        </commentChain>
      </unresolved>
      <resolved/>
    </commentChains>
    <commentChains s:ref="AD639" rgbClr="FF0000">
      <unresolved>
        <commentChain chainId="63a15de228a4f45c23df9225f1db34a022c070b8">
          <item id="70eaf0767a31fc27f71d05792b091e23763037cb" isNormal="1">
            <s:text>
              <s:r>
                <s:t xml:space="preserve">Administrator:
3/21上 PDQ+进口商贴纸 240 pcs</s:t>
              </s:r>
            </s:text>
          </item>
        </commentChain>
      </unresolved>
      <resolved/>
    </commentChains>
    <commentChains s:ref="AB640" rgbClr="FF0000">
      <unresolved>
        <commentChain chainId="7abf019c11ac7772fcc40cdaa09a87338190e523">
          <item id="a929bf7e70080a8551577c628dd13a3bfe4cb5d5" isNormal="1">
            <s:text>
              <s:r>
                <s:t xml:space="preserve">Administrator:
1405344 4/8 1548 pcs 华兴三楼A25</s:t>
              </s:r>
            </s:text>
          </item>
        </commentChain>
      </unresolved>
      <resolved/>
    </commentChains>
    <commentChains s:ref="AD640" rgbClr="FF0000">
      <unresolved>
        <commentChain chainId="15180951ce57b0e4d17ee0a810b2ce28563cd73f">
          <item id="98c09d62914e818520b4f05143ba648bd11052e0" isNormal="1">
            <s:text>
              <s:r>
                <s:t xml:space="preserve">Administrator:
3/12上 WIC贴纸 11748 pcs
  PDQ折页 1958 pcs
3/17上 通用警告语贴纸 说明书 14000 pcs
  通用警告语贴纸 收缩膜 2000 pcs</s:t>
              </s:r>
            </s:text>
          </item>
        </commentChain>
      </unresolved>
      <resolved/>
    </commentChains>
    <commentChains s:ref="AB641" rgbClr="FF0000">
      <unresolved>
        <commentChain chainId="b527742ebe5cbbebcea0f3061260fbae47244a96">
          <item id="0e5e3c4aa6ee9f37b9595e6264f91e26a481ad6e" isNormal="1">
            <s:text>
              <s:r>
                <s:t xml:space="preserve">Administrator:
1405344 4/8 1890 pcs 华兴三楼A25</s:t>
              </s:r>
            </s:text>
          </item>
        </commentChain>
      </unresolved>
      <resolved/>
    </commentChains>
    <commentChains s:ref="AB642" rgbClr="FF0000">
      <unresolved>
        <commentChain chainId="d870569b77dc881877791d88e2b1b03dc91df1f7">
          <item id="62b9d9f103f93869d6ba48cfde86571937031a4e" isNormal="1">
            <s:text>
              <s:r>
                <s:t xml:space="preserve">Administrator:
1405344 4/8 126 pcs 华兴三楼A25</s:t>
              </s:r>
            </s:text>
          </item>
        </commentChain>
      </unresolved>
      <resolved/>
    </commentChains>
    <commentChains s:ref="AB643" rgbClr="FF0000">
      <unresolved>
        <commentChain chainId="2cb90131c78d9ee97243686ad9c39034a9f3d8c1">
          <item id="64f2b5670a517253d9128c1378ef74cb86218996" isNormal="1">
            <s:text>
              <s:r>
                <s:t xml:space="preserve">Administrator:
1405344 4/8 1638 pcs 华兴三楼A25</s:t>
              </s:r>
            </s:text>
          </item>
        </commentChain>
      </unresolved>
      <resolved/>
    </commentChains>
    <commentChains s:ref="AB644" rgbClr="FF0000">
      <unresolved>
        <commentChain chainId="d5ebcca7ea1a5e0f90b03ae8a7d23a169429f0cf">
          <item id="e88ea0d42df9d7f2816e8ea606793b11cbb8fbac" isNormal="1">
            <s:text>
              <s:r>
                <s:t xml:space="preserve">Administrator:
1405344 4/8 888 pcs 华兴三楼A25</s:t>
              </s:r>
            </s:text>
          </item>
        </commentChain>
      </unresolved>
      <resolved/>
    </commentChains>
    <commentChains s:ref="AB645" rgbClr="FF0000">
      <unresolved>
        <commentChain chainId="f3cbaa5c75877ccdaaafae760a7fd9c9cc82f6c6">
          <item id="52e0821c6baab7fbbc7da6b1f4216caf23b40f53" isNormal="1">
            <s:text>
              <s:r>
                <s:t xml:space="preserve">Administrator:
1405344 4/8 1944 pcs 华兴三楼A25</s:t>
              </s:r>
            </s:text>
          </item>
        </commentChain>
      </unresolved>
      <resolved/>
    </commentChains>
    <commentChains s:ref="AB646" rgbClr="FF0000">
      <unresolved>
        <commentChain chainId="5b1a7f0fc314e225767dac8d938d4100f2b7a3b2">
          <item id="2ffea310c0f6fdc1d8d30e16383b26d38c295246" isNormal="1">
            <s:text>
              <s:r>
                <s:t xml:space="preserve">Administrator:
1405344 4/8 1944 pcs 华兴三楼A25</s:t>
              </s:r>
            </s:text>
          </item>
        </commentChain>
      </unresolved>
      <resolved/>
    </commentChains>
    <commentChains s:ref="AB647" rgbClr="FF0000">
      <unresolved>
        <commentChain chainId="b1d97d6e44248ae32d6d8df7b167e73250a5a458">
          <item id="194d8b0e2420a5a54d5846969bc289ae86fcff57" isNormal="1">
            <s:text>
              <s:r>
                <s:t xml:space="preserve">Administrator:
1405344 4/8 372 pcs 华兴三楼A25</s:t>
              </s:r>
            </s:text>
          </item>
        </commentChain>
      </unresolved>
      <resolved/>
    </commentChains>
    <commentChains s:ref="AB648" rgbClr="FF0000">
      <unresolved>
        <commentChain chainId="1454b11b5b86204d0567d04a25bef1ed3b189198">
          <item id="9ec5633bf48b59ed74715685d00408d33a81072c" isNormal="1">
            <s:text>
              <s:r>
                <s:t xml:space="preserve">Administrator:
1405344 4/8 2358 pcs 华兴三楼A25
1405344 4/8 606 pcs 华兴三楼A25</s:t>
              </s:r>
            </s:text>
          </item>
        </commentChain>
      </unresolved>
      <resolved/>
    </commentChains>
    <commentChains s:ref="AB649" rgbClr="FF0000">
      <unresolved>
        <commentChain chainId="9109b4f5309eefad69e8caa10b7c535d94c7feee">
          <item id="52e0cf80419006c27d9e0ec317d5b00fd5443b8f" isNormal="1">
            <s:text>
              <s:r>
                <s:t xml:space="preserve">Administrator:
1405209 3/28 696 pcs 华兴三楼B13</s:t>
              </s:r>
            </s:text>
          </item>
        </commentChain>
      </unresolved>
      <resolved/>
    </commentChains>
    <commentChains s:ref="AD649" rgbClr="FF0000">
      <unresolved>
        <commentChain chainId="b8b44bd7830d6696a800b8f04de0e8241b577906">
          <item id="408218f0c440bb0dfd00c361e2ef0e4de8a3732e" isNormal="1">
            <s:text>
              <s:r>
                <s:t xml:space="preserve">Administrator:
3/6上 PQ贴纸 696 pcs
3/12上 进口商贴纸 696 pcs</s:t>
              </s:r>
            </s:text>
          </item>
        </commentChain>
      </unresolved>
      <resolved/>
    </commentChains>
    <commentChains s:ref="AB650" rgbClr="FF0000">
      <unresolved>
        <commentChain chainId="7744cf0a9293b4021af4822b8418f6b86c664c6f">
          <item id="b81f6569d05bd8a741f8ae95b1d2d035bf9c1548" isNormal="1">
            <s:text>
              <s:r>
                <s:t xml:space="preserve">Administrator:
1405405 4/2 1012 pcs 新仓库A3</s:t>
              </s:r>
            </s:text>
          </item>
        </commentChain>
      </unresolved>
      <resolved/>
    </commentChains>
    <commentChains s:ref="AD650" rgbClr="FF0000">
      <unresolved>
        <commentChain chainId="23c4f46d439c3ac606822527d0e14d2926c658d3">
          <item id="ff5d43bf1e15ceed88382dd733ed04db9085c2e0" isNormal="1">
            <s:text>
              <s:r>
                <s:t xml:space="preserve">Administrator:
3/23上 进口商贴纸 1012 pcs</s:t>
              </s:r>
            </s:text>
          </item>
        </commentChain>
      </unresolved>
      <resolved/>
    </commentChains>
    <commentChains s:ref="AB651" rgbClr="FF0000">
      <unresolved>
        <commentChain chainId="a6bea269b0064fd6c43bd66959d8befb6e8e6f82">
          <item id="70d92dcdb35e0cdfc32c8a18a8b388a91b2984f1" isNormal="1">
            <s:text>
              <s:r>
                <s:t xml:space="preserve">Administrator:
1405405 4/2 220 pcs 新仓库A2</s:t>
              </s:r>
            </s:text>
          </item>
        </commentChain>
      </unresolved>
      <resolved/>
    </commentChains>
    <commentChains s:ref="AD651" rgbClr="FF0000">
      <unresolved>
        <commentChain chainId="4d915b5fb71862fe93b95ff5c324d86ee5a1c614">
          <item id="b1dd26bc6ace3d7fd857fc27d611a4351deb5dc6" isNormal="1">
            <s:text>
              <s:r>
                <s:t xml:space="preserve">Administrator:
3/19上 UPC贴纸 220 pcs</s:t>
              </s:r>
            </s:text>
          </item>
        </commentChain>
      </unresolved>
      <resolved/>
    </commentChains>
    <commentChains s:ref="AB652" rgbClr="FF0000">
      <unresolved>
        <commentChain chainId="4b9cbb605ca69cf6a25e9e6bf004108802d80c05">
          <item id="15614bd17a85fff125ee898898ddcc89397717d4" isNormal="1">
            <s:text>
              <s:r>
                <s:t xml:space="preserve">Administrator:
1405405 4/2 220 pcs 新仓库A3</s:t>
              </s:r>
            </s:text>
          </item>
        </commentChain>
      </unresolved>
      <resolved/>
    </commentChains>
    <commentChains s:ref="AD652" rgbClr="FF0000">
      <unresolved>
        <commentChain chainId="5f626f12b4d8123e93a980f209b01a4ea9390769">
          <item id="61696ffd34629183b3735a2f8160c5b7cece42a0" isNormal="1">
            <s:text>
              <s:r>
                <s:t xml:space="preserve">Administrator:
3/16上 UPC贴纸 24 pcs
3/18上 客供亚马逊外箱贴纸 1 pcs</s:t>
              </s:r>
            </s:text>
          </item>
        </commentChain>
      </unresolved>
      <resolved/>
    </commentChains>
    <commentChains s:ref="AB653" rgbClr="FF0000">
      <unresolved>
        <commentChain chainId="65bf4e55f3b6de56d213c9a540b7a5a9904a171c">
          <item id="0656905e8127d1a6fbd12b50a51cfb634a0ce800" isNormal="1">
            <s:text>
              <s:r>
                <s:t xml:space="preserve">Administrator:
1405405 4/2 1694 pcs 新仓库A4
1405392 4/4 22 pcs</s:t>
              </s:r>
            </s:text>
          </item>
        </commentChain>
      </unresolved>
      <resolved/>
    </commentChains>
    <commentChains s:ref="AB654" rgbClr="FF0000">
      <unresolved>
        <commentChain chainId="0d40a03b47a0d4a8315f8ca5237e05dac30858cd">
          <item id="3f5e64a554994117aa55715d404c388bac9a8a54" isNormal="1">
            <s:text>
              <s:r>
                <s:t xml:space="preserve">Administrator:
1405971 4/10 24 pcs 华兴三楼B13</s:t>
              </s:r>
            </s:text>
          </item>
        </commentChain>
      </unresolved>
      <resolved/>
    </commentChains>
    <commentChains s:ref="AD654" rgbClr="FF0000">
      <unresolved>
        <commentChain chainId="b0649830e42667cf5898c394b274e1c47d35a175">
          <item id="2c7a05806176cd251233a49ac21baf652e1f8536" isNormal="1">
            <s:text>
              <s:r>
                <s:t xml:space="preserve">Administrator:
3/16上 UPC贴纸 24 pcs
3/18上 客供亚马逊外箱贴纸 1 pcs
</s:t>
              </s:r>
            </s:text>
          </item>
        </commentChain>
      </unresolved>
      <resolved/>
    </commentChains>
    <commentChains s:ref="AB655" rgbClr="FF0000">
      <unresolved>
        <commentChain chainId="b943118b2a288c81d1ff956645cd33c606f51565">
          <item id="a21b057d5ce1bfeba00a55c28c8d4f9db56b96e3" isNormal="1">
            <s:text>
              <s:r>
                <s:t xml:space="preserve">Administrator:
1405971 4/10 48 pcs 华兴三楼B13
</s:t>
              </s:r>
            </s:text>
          </item>
        </commentChain>
      </unresolved>
      <resolved/>
    </commentChains>
    <commentChains s:ref="AD655" rgbClr="FF0000">
      <unresolved>
        <commentChain chainId="e5a8504f68ef55ee388cd82a3fd0671d981a146b">
          <item id="0cacc308a035f4cf74844aebb822ca21a6a9d286" isNormal="1">
            <s:text>
              <s:r>
                <s:t xml:space="preserve">Administrator:
3/16上 UPC贴纸 48 pcs
3/18上 客供亚马逊外箱贴纸 2 pcs
</s:t>
              </s:r>
            </s:text>
          </item>
        </commentChain>
      </unresolved>
      <resolved/>
    </commentChains>
    <commentChains s:ref="AB656" rgbClr="FF0000">
      <unresolved>
        <commentChain chainId="119c168ad1f5ecee23368761fdfa69992c7ebfc7">
          <item id="76a14a743245d70844ebbd796ed8848e9325ade8" isNormal="1">
            <s:text>
              <s:r>
                <s:t xml:space="preserve">Administrator:
1405971 4/10 24 pcs 华兴三楼B13
</s:t>
              </s:r>
            </s:text>
          </item>
        </commentChain>
      </unresolved>
      <resolved/>
    </commentChains>
    <commentChains s:ref="AD656" rgbClr="FF0000">
      <unresolved>
        <commentChain chainId="97e7f9c1453f3c99771f789c46c5dc1028f19285">
          <item id="307592593f541297b9dd2a2a28cafe10903fd869" isNormal="1">
            <s:text>
              <s:r>
                <s:t xml:space="preserve">Administrator:
3/16上 UPC贴纸 24 pcs
3/18上 客供亚马逊外箱贴纸 1 pcs
</s:t>
              </s:r>
            </s:text>
          </item>
        </commentChain>
      </unresolved>
      <resolved/>
    </commentChains>
    <commentChains s:ref="AB657" rgbClr="FF0000">
      <unresolved>
        <commentChain chainId="baed24d6a911839fd3a5fd8b5d8710ab34637625">
          <item id="a510fef4134f88ed093ba467da6d5a9113520738" isNormal="1">
            <s:text>
              <s:r>
                <s:t xml:space="preserve">Administrator:
1405971 4/10 96 pcs 华兴三楼B13
</s:t>
              </s:r>
            </s:text>
          </item>
        </commentChain>
      </unresolved>
      <resolved/>
    </commentChains>
    <commentChains s:ref="AD657" rgbClr="FF0000">
      <unresolved>
        <commentChain chainId="e8d5efb5dd0eb079385b44ad307068b90fd27c75">
          <item id="4086ff3f38f530f920b43906319daf216d8a9c87" isNormal="1">
            <s:text>
              <s:r>
                <s:t xml:space="preserve">Administrator:
3/16上 UPC贴纸 96 pcs
3/18上 客供亚马逊外箱贴纸 4 pcs
</s:t>
              </s:r>
            </s:text>
          </item>
        </commentChain>
      </unresolved>
      <resolved/>
    </commentChains>
    <commentChains s:ref="AB658" rgbClr="FF0000">
      <unresolved>
        <commentChain chainId="d4a8bc738c05566d393fc13bdc1c27c2a135309a">
          <item id="936d8cdc9dd50c363ce268a73c89b2e8095e4c39" isNormal="1">
            <s:text>
              <s:r>
                <s:t xml:space="preserve">Administrator:
1405971 4/10 72 pcs 华兴三楼B13
</s:t>
              </s:r>
            </s:text>
          </item>
        </commentChain>
      </unresolved>
      <resolved/>
    </commentChains>
    <commentChains s:ref="AD658" rgbClr="FF0000">
      <unresolved>
        <commentChain chainId="dd272b98018b130b0d906dd0418198d71b5a04f9">
          <item id="07c35c0cb9c1b6dfd9fb3fe24838616e5f1cda55" isNormal="1">
            <s:text>
              <s:r>
                <s:t xml:space="preserve">Administrator:
3/16上 UPC贴纸 72 pcs
3/18上 客供亚马逊外箱贴纸 3 pcs
</s:t>
              </s:r>
            </s:text>
          </item>
        </commentChain>
      </unresolved>
      <resolved/>
    </commentChains>
    <commentChains s:ref="AB659" rgbClr="FF0000">
      <unresolved>
        <commentChain chainId="2fd47dae017cd7ffba835fb4eba63e7a69c9e093">
          <item id="9ab26fd781baa0b45a3a8a76a2e1781ae2a8889a" isNormal="1">
            <s:text>
              <s:r>
                <s:t xml:space="preserve">Administrator:
1405961 4/11 2508 pcs 新仓库A1</s:t>
              </s:r>
            </s:text>
          </item>
        </commentChain>
      </unresolved>
      <resolved/>
    </commentChains>
    <commentChains s:ref="AD659" rgbClr="FF0000">
      <unresolved>
        <commentChain chainId="54fd0ad4cddfaa629bcb59b452fe007ed8d229c5">
          <item id="333cf6734480492ef657bd1a4f99e380d92b6e46" isNormal="1">
            <s:text>
              <s:r>
                <s:t xml:space="preserve">Administrator:
3/27上 通用说明书警示语贴纸 2508 pcs
    通用收缩膜警示语贴纸 2508 pcs</s:t>
              </s:r>
            </s:text>
          </item>
        </commentChain>
      </unresolved>
      <resolved/>
    </commentChains>
    <commentChains s:ref="AB660" rgbClr="FF0000">
      <unresolved>
        <commentChain chainId="6b4ceeee308c41813660105fc17cc6ca33c9b312">
          <item id="c4d4d149e2ac556ea7a4042db058ec20c95d2cbe" isNormal="1">
            <s:text>
              <s:r>
                <s:t xml:space="preserve">Administrator:
1405936 4/14 1200 pcs 新仓库A3</s:t>
              </s:r>
            </s:text>
          </item>
        </commentChain>
      </unresolved>
      <resolved/>
    </commentChains>
    <commentChains s:ref="AD660" rgbClr="FF0000">
      <unresolved>
        <commentChain chainId="b3f8c20e814e9772eb0aad07ef95b46a8d15585e">
          <item id="c69da3c402e7fb10bd929c2f1da9e767386b46ab" isNormal="1">
            <s:text>
              <s:r>
                <s:t xml:space="preserve">Administrator:
3/27上 价格贴纸 1200 pcs
 外箱条码贴纸 100 pcs</s:t>
              </s:r>
            </s:text>
          </item>
        </commentChain>
      </unresolved>
      <resolved/>
    </commentChains>
    <commentChains s:ref="AB661" rgbClr="FF0000">
      <unresolved>
        <commentChain chainId="02e829f6e3cba69319bebb46130020614da3fd33">
          <item id="ec98b87081dfc3d89f1c9f00d34a876998dde8ac" isNormal="1">
            <s:text>
              <s:r>
                <s:t xml:space="preserve">Administrator:
1405936 4/14 506 pcs 新仓库B3</s:t>
              </s:r>
            </s:text>
          </item>
        </commentChain>
      </unresolved>
      <resolved/>
    </commentChains>
    <commentChains s:ref="AD661" rgbClr="FF0000">
      <unresolved>
        <commentChain chainId="43bb72410e500742db983e706cdc181b5ce61116">
          <item id="cd698f86c3bee8a4c3e18bc3d7d8814b4a5b2a7a" isNormal="1">
            <s:text>
              <s:r>
                <s:t xml:space="preserve">Administrator:
3/27上 丹麦瑞典芬兰挪威爱沙尼亚语言 506 pcs
 </s:t>
              </s:r>
            </s:text>
          </item>
        </commentChain>
      </unresolved>
      <resolved/>
    </commentChains>
    <commentChains s:ref="AB662" rgbClr="FF0000">
      <unresolved>
        <commentChain chainId="975fae569463416c115c42768ce9f210c10604f5">
          <item id="e354595e7f56328bbccaa9d9d4116252f9639ae4" isNormal="1">
            <s:text>
              <s:r>
                <s:t xml:space="preserve">Administrator:
1405936 4/14 858 pcs 新仓库B3
1405928 4/15 22 pcs B3</s:t>
              </s:r>
            </s:text>
          </item>
        </commentChain>
      </unresolved>
      <resolved/>
    </commentChains>
    <commentChains s:ref="AD662" rgbClr="FF0000">
      <unresolved>
        <commentChain chainId="c108611285c4c617513b419988a94c8c621ee8f4">
          <item id="4c4039cbb1e1d4845d3881ff8d214a28e761821e" isNormal="1">
            <s:text>
              <s:r>
                <s:t xml:space="preserve">Administrator:
4/8上 UPC贴纸 880 pcs
 进口商贴纸 880 pcs</s:t>
              </s:r>
            </s:text>
          </item>
        </commentChain>
      </unresolved>
      <resolved/>
    </commentChains>
    <commentChains s:ref="AB663" rgbClr="FF0000">
      <unresolved>
        <commentChain chainId="049153558b7dc41a6c3439268089f79d7b1d06ee">
          <item id="41264ab77f85a6623785039abde7d7be048b5e38" isNormal="1">
            <s:text>
              <s:r>
                <s:t xml:space="preserve">Administrator:
1405936 4/14 110 pcs 新仓库A3</s:t>
              </s:r>
            </s:text>
          </item>
        </commentChain>
      </unresolved>
      <resolved/>
    </commentChains>
    <commentChains s:ref="AD663" rgbClr="FF0000">
      <unresolved>
        <commentChain chainId="86fe56272ee311bee2bb1f8292fc8e217197c01e">
          <item id="13065281bcf5fdaf91508b7b2016543d9b866a5e" isNormal="1">
            <s:text>
              <s:r>
                <s:t xml:space="preserve">Administrator:
4/8上 UPC贴纸 110 pcs
 进口商贴纸 110 pcs</s:t>
              </s:r>
            </s:text>
          </item>
        </commentChain>
      </unresolved>
      <resolved/>
    </commentChains>
    <commentChains s:ref="AB664" rgbClr="FF0000">
      <unresolved>
        <commentChain chainId="4d0a92904177359594e58fa9f4933518b20573b2">
          <item id="44fdcd0dc75c9664db87fc3aeebf1f8958f5155b" isNormal="1">
            <s:text>
              <s:r>
                <s:t xml:space="preserve">Administrator:
1405936 4/14 220 pcs 新仓库A3</s:t>
              </s:r>
            </s:text>
          </item>
        </commentChain>
      </unresolved>
      <resolved/>
    </commentChains>
    <commentChains s:ref="AD664" rgbClr="FF0000">
      <unresolved>
        <commentChain chainId="e2a275f488ff6c9bb5cdcfe22d5b7feec68da7dd">
          <item id="843c0df8bb38773caff6a2626b22dff71a9373cc" isNormal="1">
            <s:text>
              <s:r>
                <s:t xml:space="preserve">Administrator:
4/8上 UPC贴纸 220 pcs
 进口商贴纸 220 pcs</s:t>
              </s:r>
            </s:text>
          </item>
        </commentChain>
      </unresolved>
      <resolved/>
    </commentChains>
    <commentChains s:ref="AB665" rgbClr="FF0000">
      <unresolved>
        <commentChain chainId="af1ebe97d348567f9989551994d42b6830d44440">
          <item id="ecdcb0e2de0bf9183e469047f441ed2e27d4cdb1" isNormal="1">
            <s:text>
              <s:r>
                <s:t xml:space="preserve">Administrator:
1405966 4/11 2200 pcs 新仓库A2</s:t>
              </s:r>
            </s:text>
          </item>
        </commentChain>
      </unresolved>
      <resolved/>
    </commentChains>
    <commentChains s:ref="AD665" rgbClr="FF0000">
      <unresolved>
        <commentChain chainId="0cde339a41adf4b2f9bbdc195429b06127ebb45e">
          <item id="4c6c96a26745e47ab4946289480c5a41b00ed869" isNormal="1">
            <s:text>
              <s:r>
                <s:t xml:space="preserve">Administrator:
3/26上 德育Callout翻译贴纸 2200 pcs
 产品贴纸 2200 pcs
 通用说明书警示贴纸 2200 pcs
 通用收缩膜警示贴纸 2200 pcs</s:t>
              </s:r>
            </s:text>
          </item>
        </commentChain>
      </unresolved>
      <resolved/>
    </commentChains>
    <commentChains s:ref="AB666" rgbClr="FF0000">
      <unresolved>
        <commentChain chainId="a0df8da1fc85e7271cdbd24f8ef9487236fbcb19">
          <item id="85da9d9d9ac774eafe9207ac3242d4b2a825c651" isNormal="1">
            <s:text>
              <s:r>
                <s:t xml:space="preserve">Administrator:
1405966 4/11 1804 pcs 新仓库A2</s:t>
              </s:r>
            </s:text>
          </item>
        </commentChain>
      </unresolved>
      <resolved/>
    </commentChains>
    <commentChains s:ref="AD666" rgbClr="FF0000">
      <unresolved>
        <commentChain chainId="ed48e918bf27073fc69a4ea512d757fcd5da2bbe">
          <item id="88c3984e915b50d7a305bd8d67e8fdc98cdbd0ea" isNormal="1">
            <s:text>
              <s:r>
                <s:t xml:space="preserve">Administrator:
3/26上 德育Callout翻译贴纸 1804 pcs
 产品贴纸 1804 pcs
 通用说明书警示贴纸 1804 pcs
 通用收缩膜警示贴纸 1804 pcs</s:t>
              </s:r>
            </s:text>
          </item>
        </commentChain>
      </unresolved>
      <resolved/>
    </commentChains>
    <commentChains s:ref="AB667" rgbClr="FF0000">
      <unresolved>
        <commentChain chainId="58ef2cc59192f18ff02b23f0f4fdb96fa2f79bf1">
          <item id="ddeef28528ea61fb7741a812e2d7ae3f8cdae09a" isNormal="1">
            <s:text>
              <s:r>
                <s:t xml:space="preserve">Administrator:
1403846 4/23 336 pcs 新仓库B4</s:t>
              </s:r>
            </s:text>
          </item>
        </commentChain>
      </unresolved>
      <resolved/>
    </commentChains>
    <commentChains s:ref="AD667" rgbClr="FF0000">
      <unresolved>
        <commentChain chainId="d9fb84468c8ddee559928d7a68b4861f560d8c2b">
          <item id="c7aff133b37bb8a4e5b2ad5699d8c6f3644021c9" isNormal="1">
            <s:text>
              <s:r>
                <s:t xml:space="preserve">Administrator:
3/30上 UPC贴纸 336 pcs
4/14上 客供亚马逊外箱贴纸 14 pcs
</s:t>
              </s:r>
            </s:text>
          </item>
        </commentChain>
      </unresolved>
      <resolved/>
    </commentChains>
    <commentChains s:ref="AB668" rgbClr="FF0000">
      <unresolved>
        <commentChain chainId="dcae580d251bbea28ccc7439d1efc765ca0aa38a">
          <item id="dab6f3a67485d8d3a86534facf698c3a1314500d" isNormal="1">
            <s:text>
              <s:r>
                <s:t xml:space="preserve">Administrator:
1403846 4/23 696 pcs 新仓库B4
</s:t>
              </s:r>
            </s:text>
          </item>
        </commentChain>
      </unresolved>
      <resolved/>
    </commentChains>
    <commentChains s:ref="AD668" rgbClr="FF0000">
      <unresolved>
        <commentChain chainId="c41978987726215a9a982a0c70e1afa1ba117ee1">
          <item id="164d56fbda81ca39e5ee7d3360a7aa7e746ca0e5" isNormal="1">
            <s:text>
              <s:r>
                <s:t xml:space="preserve">Administrator:
3/30上 UPC贴纸 696 pcs
4/14上 客供亚马逊外箱贴纸 29 pcs</s:t>
              </s:r>
            </s:text>
          </item>
        </commentChain>
      </unresolved>
      <resolved/>
    </commentChains>
    <commentChains s:ref="AB669" rgbClr="FF0000">
      <unresolved>
        <commentChain chainId="4cffbb411771052292babf4209376488de44f0fb">
          <item id="7acdd7c564d2a646c60ac97654a3959531db94f6" isNormal="1">
            <s:text>
              <s:r>
                <s:t xml:space="preserve">Administrator:
1403846 4/23 336 pcs 新仓库B4
</s:t>
              </s:r>
            </s:text>
          </item>
        </commentChain>
      </unresolved>
      <resolved/>
    </commentChains>
    <commentChains s:ref="AD669" rgbClr="FF0000">
      <unresolved>
        <commentChain chainId="65b55a70678655905b8c40a521a84645e870e7d9">
          <item id="2412f0a85b3efdd00623de331b6f4618045b0a51" isNormal="1">
            <s:text>
              <s:r>
                <s:t xml:space="preserve">Administrator:
3/30上 UPC贴纸 336 pcs
4/14上 客供亚马逊外箱贴纸 14 pcs
</s:t>
              </s:r>
            </s:text>
          </item>
        </commentChain>
      </unresolved>
      <resolved/>
    </commentChains>
    <commentChains s:ref="AB670" rgbClr="FF0000">
      <unresolved>
        <commentChain chainId="35cc1706a4577df3b1df9c9e6bdce6b6503d395d">
          <item id="03558b4f13238d05af863190e24fa0f55f8e13f5" isNormal="1">
            <s:text>
              <s:r>
                <s:t xml:space="preserve">Administrator:
1403846 4/23 792 pcs 新仓库B4
</s:t>
              </s:r>
            </s:text>
          </item>
        </commentChain>
      </unresolved>
      <resolved/>
    </commentChains>
    <commentChains s:ref="AD670" rgbClr="FF0000">
      <unresolved>
        <commentChain chainId="7027230aad11a1b4a8c0a9ca880f7bc58d89650c">
          <item id="b3dbd6631ec438d29c1c826b15e0a5fc9f8d8832" isNormal="1">
            <s:text>
              <s:r>
                <s:t xml:space="preserve">Administrator:
3/30上 UPC贴纸 792 pcs
4/14上 客供亚马逊外箱贴纸 33 pcs
</s:t>
              </s:r>
            </s:text>
          </item>
        </commentChain>
      </unresolved>
      <resolved/>
    </commentChains>
    <commentChains s:ref="AB671" rgbClr="FF0000">
      <unresolved>
        <commentChain chainId="19cef9bdc06f677a475a91cfe100f1e1ca7290d6">
          <item id="c0e4d8f5fe42f49b5740b90c4dc200bee48eb0f6" isNormal="1">
            <s:text>
              <s:r>
                <s:t xml:space="preserve">Administrator:
1403846 4/23 648 pcs 新仓库B4
</s:t>
              </s:r>
            </s:text>
          </item>
        </commentChain>
      </unresolved>
      <resolved/>
    </commentChains>
    <commentChains s:ref="AD671" rgbClr="FF0000">
      <unresolved>
        <commentChain chainId="1ac7851abb777157e31d8af742f206f013de77bc">
          <item id="abac0a1e77281d684ce01d9e5a2b1d41271548dd" isNormal="1">
            <s:text>
              <s:r>
                <s:t xml:space="preserve">Administrator:
3/30上 UPC贴纸 648 pcs
4/14上 客供亚马逊外箱贴纸 27 pcs
</s:t>
              </s:r>
            </s:text>
          </item>
        </commentChain>
      </unresolved>
      <resolved/>
    </commentChains>
    <commentChains s:ref="AB672" rgbClr="FF0000">
      <unresolved>
        <commentChain chainId="14a217796a5a3bc1cf5f3409bcf9903883747466">
          <item id="03e16de21084fb0d4a08e03ef5535d67a0f90d87" isNormal="1">
            <s:text>
              <s:r>
                <s:t xml:space="preserve">Administrator:
1403846 4/23 480 pcs 新仓库B4
</s:t>
              </s:r>
            </s:text>
          </item>
        </commentChain>
      </unresolved>
      <resolved/>
    </commentChains>
    <commentChains s:ref="AD672" rgbClr="FF0000">
      <unresolved>
        <commentChain chainId="060b97297c92b56cca15ef0cb0743b93d8ba968d">
          <item id="786777b946ed5ba0353c83dab417402db5a1a1b1" isNormal="1">
            <s:text>
              <s:r>
                <s:t xml:space="preserve">Administrator:
3/30上 UPC贴纸 480 pcs
4/14上 客供亚马逊外箱贴纸 20 pcs
</s:t>
              </s:r>
            </s:text>
          </item>
        </commentChain>
      </unresolved>
      <resolved/>
    </commentChains>
    <commentChains s:ref="AB673" rgbClr="FF0000">
      <unresolved>
        <commentChain chainId="e1a5e55903ef2afa2a593b14197cd096d184b268">
          <item id="cb72f926f90f8a0bfdee7c9399ebcaef9f5cdfb2" isNormal="1">
            <s:text>
              <s:r>
                <s:t xml:space="preserve">Administrator:
1403838 4/22 456 pcs 华兴三楼B14</s:t>
              </s:r>
            </s:text>
          </item>
        </commentChain>
      </unresolved>
      <resolved/>
    </commentChains>
    <commentChains s:ref="AD673" rgbClr="FF0000">
      <unresolved>
        <commentChain chainId="c3afb100e06e6715329ba6cd0185dd251cc11486">
          <item id="470ca6fafd794579c2f40d02b6a24f1a7e179a35" isNormal="1">
            <s:text>
              <s:r>
                <s:t xml:space="preserve">Administrator:
3/30上 UPC贴纸 456 pcs
4/14上 客供亚马逊外箱贴纸 19 pcs
</s:t>
              </s:r>
            </s:text>
          </item>
        </commentChain>
      </unresolved>
      <resolved/>
    </commentChains>
    <commentChains s:ref="AB674" rgbClr="FF0000">
      <unresolved>
        <commentChain chainId="1dafe3a246caf3b847332f27a786394b9c6b910f">
          <item id="b9387a35ba120b4f4ead00a9803be4aaf27be1b1" isNormal="1">
            <s:text>
              <s:r>
                <s:t xml:space="preserve">Administrator:
1403838 4/22 504 pcs 华兴三楼B14</s:t>
              </s:r>
            </s:text>
          </item>
        </commentChain>
      </unresolved>
      <resolved/>
    </commentChains>
    <commentChains s:ref="AD674" rgbClr="FF0000">
      <unresolved>
        <commentChain chainId="142b40254461db495c00b1199dd47c703f364cb9">
          <item id="9e77bd40204c5b8ec5f489a1cf4e9e2088aaa025" isNormal="1">
            <s:text>
              <s:r>
                <s:t xml:space="preserve">Administrator:
3/30上 UPC贴纸 504 pcs
4/14上 客供亚马逊外箱贴纸 21 pcs
</s:t>
              </s:r>
            </s:text>
          </item>
        </commentChain>
      </unresolved>
      <resolved/>
    </commentChains>
    <commentChains s:ref="AB675" rgbClr="FF0000">
      <unresolved>
        <commentChain chainId="31131a24e0834c96b2e9fbeb21de3ad6acc1c03d">
          <item id="9921b2450697deb42a6540a97145cf4b8b50a252" isNormal="1">
            <s:text>
              <s:r>
                <s:t xml:space="preserve">Administrator:
1403838 4/22 1200 pcs 华兴三楼B14</s:t>
              </s:r>
            </s:text>
          </item>
        </commentChain>
      </unresolved>
      <resolved/>
    </commentChains>
    <commentChains s:ref="AD675" rgbClr="FF0000">
      <unresolved>
        <commentChain chainId="b9f19aa6cc2c00e835fdd4430cf31120a2128321">
          <item id="010ff170d5ac986a52abf85517324705106196a3" isNormal="1">
            <s:text>
              <s:r>
                <s:t xml:space="preserve">Administrator:
3/30上 UPC贴纸 1200 pcs
4/14上 客供亚马逊外箱贴纸 50 pcs
</s:t>
              </s:r>
            </s:text>
          </item>
        </commentChain>
      </unresolved>
      <resolved/>
    </commentChains>
    <commentChains s:ref="AB676" rgbClr="FF0000">
      <unresolved>
        <commentChain chainId="87b3a3a80686d4a0801842bee8e80157153e0a93">
          <item id="9fc1c967872ffe9a0ae21afc346ff523aa006724" isNormal="1">
            <s:text>
              <s:r>
                <s:t xml:space="preserve">Administrator:
1403838 4/22 1272 pcs 华兴三楼B14</s:t>
              </s:r>
            </s:text>
          </item>
        </commentChain>
      </unresolved>
      <resolved/>
    </commentChains>
    <commentChains s:ref="AD676" rgbClr="FF0000">
      <unresolved>
        <commentChain chainId="d0cb958bb7522883e552aa2df499a6b3914dcd2c">
          <item id="bf73b7e9dd2435a3b67f6de252dd5c4ca602da5c" isNormal="1">
            <s:text>
              <s:r>
                <s:t xml:space="preserve">Administrator:
3/30上 UPC贴纸 1272 pcs
4/14上 客供亚马逊外箱贴纸 53 pcs
</s:t>
              </s:r>
            </s:text>
          </item>
        </commentChain>
      </unresolved>
      <resolved/>
    </commentChains>
    <commentChains s:ref="AB677" rgbClr="FF0000">
      <unresolved>
        <commentChain chainId="d77b0cbd74cc706544d93e63de4f41dac15afd68">
          <item id="3ffd7526762c61643203090fb80ba9fbcfd4f209" isNormal="1">
            <s:text>
              <s:r>
                <s:t xml:space="preserve">Administrator:
1403824 4/21 9020 pcs 新仓库B7</s:t>
              </s:r>
            </s:text>
          </item>
        </commentChain>
      </unresolved>
      <resolved/>
    </commentChains>
    <commentChains s:ref="AD677" rgbClr="FF0000">
      <unresolved>
        <commentChain chainId="36543d731660776ca8514ca2b14220635f21acc9">
          <item id="9cc61961c483a3e846fa00d17c074d0742ed39da" isNormal="1">
            <s:text>
              <s:r>
                <s:t xml:space="preserve">Administrator:
3/30上 通用说明书警示贴纸 9020 pcs
   通用收缩膜警示贴纸 9020 pcs</s:t>
              </s:r>
            </s:text>
          </item>
        </commentChain>
      </unresolved>
      <resolved/>
    </commentChains>
    <commentChains s:ref="AB678" rgbClr="FF0000">
      <unresolved>
        <commentChain chainId="ef6bd4bb7f743d1299bb8b9395d4722ddbc0364c">
          <item id="230f30c7126560f4a5c85f177cd7208d9f7fb43a" isNormal="1">
            <s:text>
              <s:r>
                <s:t xml:space="preserve">Administrator:
1403771 4/17 4056 pcs 新仓库A4</s:t>
              </s:r>
            </s:text>
          </item>
        </commentChain>
      </unresolved>
      <resolved/>
    </commentChains>
    <commentChains s:ref="AD678" rgbClr="FF0000">
      <unresolved>
        <commentChain chainId="1789cf87cae42a0a27c2d557a6aab05fe248c445">
          <item id="86fb1f27120c8ffb9a1695a606ad3de3338e83ee" isNormal="1">
            <s:text>
              <s:r>
                <s:t xml:space="preserve">Administrator:
3/27上 PR+SSCC贴纸 169 pcs 
4/11上 进口商贴纸 4056 pcs
 EAN条码贴纸 4056 pcs
</s:t>
              </s:r>
            </s:text>
          </item>
        </commentChain>
      </unresolved>
      <resolved/>
    </commentChains>
    <commentChains s:ref="AB679" rgbClr="FF0000">
      <unresolved>
        <commentChain chainId="5d4e53b50762ec72e4a2a2b1972ee9f87712e328">
          <item id="dffdac348925e78db3722dcedb936ad5ad22cc78" isNormal="1">
            <s:text>
              <s:r>
                <s:t xml:space="preserve">Administrator:
1403771 4/17 1536 pcs 新仓库A4</s:t>
              </s:r>
            </s:text>
          </item>
        </commentChain>
      </unresolved>
      <resolved/>
    </commentChains>
    <commentChains s:ref="AD679" rgbClr="FF0000">
      <unresolved>
        <commentChain chainId="bc396f2f49cc5f4722cbb3ce0b7bde7f7a9e3ae1">
          <item id="9abaf95de513d55832fc15f1abb58b7a80741884" isNormal="1">
            <s:text>
              <s:r>
                <s:t xml:space="preserve">Administrator:
3/27上 PR+SSCC贴纸 64 pcs
4/11上 进口商贴纸 1536 pcs
 EAN条码贴纸 1536 pcs</s:t>
              </s:r>
            </s:text>
          </item>
        </commentChain>
      </unresolved>
      <resolved/>
    </commentChains>
    <commentChains s:ref="AB680" rgbClr="FF0000">
      <unresolved>
        <commentChain chainId="1c7190d68c89ebc4645fc33c2ad1c0bf46b541e4">
          <item id="fa5404de9b4b480888dff1a94a78309f98aa92b8" isNormal="1">
            <s:text>
              <s:r>
                <s:t xml:space="preserve">Administrator:
1405851 4/17 484 pcs</s:t>
              </s:r>
            </s:text>
          </item>
        </commentChain>
      </unresolved>
      <resolved/>
    </commentChains>
    <commentChains s:ref="AB681" rgbClr="FF0000">
      <unresolved>
        <commentChain chainId="86fa7e75be94521631c8a409299381bf37affac1">
          <item id="a9766c0e776de419f3224989dccc747f549e3f0d" isNormal="1">
            <s:text>
              <s:r>
                <s:t xml:space="preserve">Administrator:
1403863 4/24 504 pcs 华兴三楼B11</s:t>
              </s:r>
            </s:text>
          </item>
        </commentChain>
      </unresolved>
      <resolved/>
    </commentChains>
    <commentChains s:ref="AD681" rgbClr="FF0000">
      <unresolved>
        <commentChain chainId="f9766f4cfb1e08cd1297f1bb4c7f6a59bf6660b6">
          <item id="f39ff29e5e08c847a94eb2f3d8bbb3ffd86ecff9" isNormal="1">
            <s:text>
              <s:r>
                <s:t xml:space="preserve">Administrator:
3/30上 WIC贴纸 3120pcs
 4/2上 PDQ折页 520 pcs </s:t>
              </s:r>
            </s:text>
          </item>
        </commentChain>
      </unresolved>
      <resolved/>
    </commentChains>
    <commentChains s:ref="AB682" rgbClr="FF0000">
      <unresolved>
        <commentChain chainId="25d2673dc99a74c167e988aef719a9f0035d8c5e">
          <item id="a633904ba8c3f8062838150692af5b9cd7eea9a9" isNormal="1">
            <s:text>
              <s:r>
                <s:t xml:space="preserve">Administrator:
1403863 4/24 504 pcs 华兴三楼B11
</s:t>
              </s:r>
            </s:text>
          </item>
        </commentChain>
      </unresolved>
      <resolved/>
    </commentChains>
    <commentChains s:ref="AB683" rgbClr="FF0000">
      <unresolved>
        <commentChain chainId="f24492b1d1653006fa15ff79b06c90bdf8355bd8">
          <item id="c4492dcc372f22e0d9643340fe1c01c899fac93b" isNormal="1">
            <s:text>
              <s:r>
                <s:t xml:space="preserve">Administrator:
1403863 4/24 756 pcs 华兴三楼B11
</s:t>
              </s:r>
            </s:text>
          </item>
        </commentChain>
      </unresolved>
      <resolved/>
    </commentChains>
    <commentChains s:ref="AB684" rgbClr="FF0000">
      <unresolved>
        <commentChain chainId="44bc2588490d003c7fa059545c81e5f66f636f0a">
          <item id="1fe51c71a6fdf592c7f7d635be1531f08deb536d" isNormal="1">
            <s:text>
              <s:r>
                <s:t xml:space="preserve">Administrator:
1403863 4/24 630 pcs 华兴三楼B11
</s:t>
              </s:r>
            </s:text>
          </item>
        </commentChain>
      </unresolved>
      <resolved/>
    </commentChains>
    <commentChains s:ref="AB685" rgbClr="FF0000">
      <unresolved>
        <commentChain chainId="3c67bd544131303f95758c8c2376ca873dfda52c">
          <item id="eb1499458b1f96842926bfd07ddd720fbb81e6bd" isNormal="1">
            <s:text>
              <s:r>
                <s:t xml:space="preserve">Administrator:
1403863 4/24 726 pcs 华兴三楼B11
</s:t>
              </s:r>
            </s:text>
          </item>
        </commentChain>
      </unresolved>
      <resolved/>
    </commentChains>
    <commentChains s:ref="AB686" rgbClr="FF0000">
      <unresolved>
        <commentChain chainId="236bb0b5c315f2e2d1a67b2ec7b1a2ae05f73d60">
          <item id="b4461ed2b38d558fb9e4ff147308c9915d0dcace" isNormal="1">
            <s:text>
              <s:r>
                <s:t xml:space="preserve">Administrator:
1405529 2/7 1100 pcs 华兴三楼A27</s:t>
              </s:r>
            </s:text>
          </item>
        </commentChain>
      </unresolved>
      <resolved/>
    </commentChains>
    <commentChains s:ref="AD686" rgbClr="FF0000">
      <unresolved>
        <commentChain chainId="c5a4361676d79eaa3698fa8dd034bbb0caff9b01">
          <item id="2816b6e59ca7fbc4a94e16901121f7fd7b3c5356" isNormal="1">
            <s:text>
              <s:r>
                <s:t xml:space="preserve">Administrator:
2/2上 PDQ条码贴纸 550 pcs</s:t>
              </s:r>
            </s:text>
          </item>
        </commentChain>
      </unresolved>
      <resolved/>
    </commentChains>
    <commentChains s:ref="AB687" rgbClr="FF0000">
      <unresolved>
        <commentChain chainId="715498bb2a7db17d304053505c3d70b426cc3ac7">
          <item id="ab59c7f84db73437b087b586f5b7ad0f0745df69" isNormal="1">
            <s:text>
              <s:r>
                <s:t xml:space="preserve">Administrator:
1403860 4/25 1100 pcs 华兴三楼A27</s:t>
              </s:r>
            </s:text>
          </item>
        </commentChain>
      </unresolved>
      <resolved/>
    </commentChains>
    <commentChains s:ref="AD687" rgbClr="FF0000">
      <unresolved>
        <commentChain chainId="125a5c4285d1390dfd1cc91a4acc1357ea7eac4f">
          <item id="2deae358c6556f0ad5bcedfc6836f9ec83c8015c" isNormal="1">
            <s:text>
              <s:r>
                <s:t xml:space="preserve">Administrator:
4/10上 丹麦瑞典芬兰挪威警告语贴纸 1100 pcs</s:t>
              </s:r>
            </s:text>
          </item>
        </commentChain>
      </unresolved>
      <resolved/>
    </commentChains>
    <commentChains s:ref="AB688" rgbClr="FF0000">
      <unresolved>
        <commentChain chainId="acf154788f74a79226117f0be7f1e5f1f2d88ba2">
          <item id="c06b8a1ff3559c49ce2fa6c855ef55c6edc72ac6" isNormal="1">
            <s:text>
              <s:r>
                <s:t xml:space="preserve">Administrator:
1403860 4/25 24 pcs 华兴三楼B13</s:t>
              </s:r>
            </s:text>
          </item>
        </commentChain>
      </unresolved>
      <resolved/>
    </commentChains>
    <commentChains s:ref="AD688" rgbClr="FF0000">
      <unresolved>
        <commentChain chainId="3e099e200af6dcea00974141edafa9544aa06803">
          <item id="29be699228527c429078181d38638ae7f4a2cbb9" isNormal="1">
            <s:text>
              <s:r>
                <s:t xml:space="preserve">Administrator:
4/13上 UPC贴纸 24 pcs
4/17上 客供亚马逊外箱贴纸 1 pcs</s:t>
              </s:r>
            </s:text>
          </item>
        </commentChain>
      </unresolved>
      <resolved/>
    </commentChains>
    <commentChains s:ref="AB689" rgbClr="FF0000">
      <unresolved>
        <commentChain chainId="9a53287d1f4e55a408141bcbfdfd6c4f3f20a702">
          <item id="7946e0c72a36f76382955cd1ab11d3f67346a4d4" isNormal="1">
            <s:text>
              <s:r>
                <s:t xml:space="preserve">Administrator:
1403860 4/25 24 pcs 华兴三楼B13</s:t>
              </s:r>
            </s:text>
          </item>
        </commentChain>
      </unresolved>
      <resolved/>
    </commentChains>
    <commentChains s:ref="AD689" rgbClr="FF0000">
      <unresolved>
        <commentChain chainId="e163d401ab0fc3676e165fd954c6dc53c5358334">
          <item id="ca0f558e566aa7a417e8ea059b6b9d783a18294e" isNormal="1">
            <s:text>
              <s:r>
                <s:t xml:space="preserve">Administrator:
4/13上 UPC贴纸 24 pcs
4/17上 客供亚马逊外箱贴纸 1 pcs</s:t>
              </s:r>
            </s:text>
          </item>
        </commentChain>
      </unresolved>
      <resolved/>
    </commentChains>
    <commentChains s:ref="AB690" rgbClr="FF0000">
      <unresolved>
        <commentChain chainId="ff6867d8da6192036e050ca1a4e593a7d87e1427">
          <item id="df3d41597baed80a5557b5bab80fe179457f4605" isNormal="1">
            <s:text>
              <s:r>
                <s:t xml:space="preserve">Administrator:
1403860 4/25 24 pcs 华兴三楼B13</s:t>
              </s:r>
            </s:text>
          </item>
        </commentChain>
      </unresolved>
      <resolved/>
    </commentChains>
    <commentChains s:ref="AD690" rgbClr="FF0000">
      <unresolved>
        <commentChain chainId="9ea246f616233b916446f145c7dca7e004f17df1">
          <item id="bdd53f5238a98cfeeb7180c148fa023c3495e5b4" isNormal="1">
            <s:text>
              <s:r>
                <s:t xml:space="preserve">Administrator:
4/13上 UPC贴纸 24 pcs
4/17上 客供亚马逊外箱贴纸 1 pcs</s:t>
              </s:r>
            </s:text>
          </item>
        </commentChain>
      </unresolved>
      <resolved/>
    </commentChains>
    <commentChains s:ref="AB691" rgbClr="FF0000">
      <unresolved>
        <commentChain chainId="2cd3788f7c49bfcde937600f21d9cd483dfd4e7a">
          <item id="f178ff15bc7c5bb3f3ec0e7055f4cfa4bb7ba41a" isNormal="1">
            <s:text>
              <s:r>
                <s:t xml:space="preserve">Administrator:
1403860 4/25 24 pcs 华兴三楼B13</s:t>
              </s:r>
            </s:text>
          </item>
        </commentChain>
      </unresolved>
      <resolved/>
    </commentChains>
    <commentChains s:ref="AD691" rgbClr="FF0000">
      <unresolved>
        <commentChain chainId="f09afed301296ce20ab46ae97ceb9ca143f50b89">
          <item id="bc33f04bb9d98e07f116306c9df46d9b57459b26" isNormal="1">
            <s:text>
              <s:r>
                <s:t xml:space="preserve">Administrator:
4/13上 UPC贴纸 24 pcs
4/17上 客供亚马逊外箱贴纸 1 pcs</s:t>
              </s:r>
            </s:text>
          </item>
        </commentChain>
      </unresolved>
      <resolved/>
    </commentChains>
    <commentChains s:ref="AB692" rgbClr="FF0000">
      <unresolved>
        <commentChain chainId="f08908506bf6ba8e1f1629c55448e61b503653ad">
          <item id="2703aefc7996ce82da6aa7257ef4c13b2064e570" isNormal="1">
            <s:text>
              <s:r>
                <s:t xml:space="preserve">Administrator:
1403860 4/25 24 pcs 华兴三楼B13</s:t>
              </s:r>
            </s:text>
          </item>
        </commentChain>
      </unresolved>
      <resolved/>
    </commentChains>
    <commentChains s:ref="AD692" rgbClr="FF0000">
      <unresolved>
        <commentChain chainId="7c3435373fea28a4360c59273bde7ba7ac2aecdd">
          <item id="cc4515105fc406512d99f685000d8c7fcc3de0bb" isNormal="1">
            <s:text>
              <s:r>
                <s:t xml:space="preserve">Administrator:
4/13上 UPC贴纸 24 pcs
4/17上 客供亚马逊外箱贴纸 1 pcs</s:t>
              </s:r>
            </s:text>
          </item>
        </commentChain>
      </unresolved>
      <resolved/>
    </commentChains>
    <commentChains s:ref="AB693" rgbClr="FF0000">
      <unresolved>
        <commentChain chainId="8a7fcb0eb03a9598e4d3b0be920d7237ebfb00be">
          <item id="ab67548c72d38fb6d06984d55d7f75dcefd11fc9" isNormal="1">
            <s:text>
              <s:r>
                <s:t xml:space="preserve">Administrator:
1403860 4/25 24 pcs 华兴三楼B13</s:t>
              </s:r>
            </s:text>
          </item>
        </commentChain>
      </unresolved>
      <resolved/>
    </commentChains>
    <commentChains s:ref="AD693" rgbClr="FF0000">
      <unresolved>
        <commentChain chainId="3896e6b648c33dcd7dd8110e6fb1e87b6947c5c6">
          <item id="260446c04857256ddd92de92a8ce5bb7935b1f23" isNormal="1">
            <s:text>
              <s:r>
                <s:t xml:space="preserve">Administrator:
4/13上 UPC贴纸 24 pcs
4/17上 客供亚马逊外箱贴纸 1 pcs</s:t>
              </s:r>
            </s:text>
          </item>
        </commentChain>
      </unresolved>
      <resolved/>
    </commentChains>
    <commentChains s:ref="AB694" rgbClr="FF0000">
      <unresolved>
        <commentChain chainId="7056b671ea3182833d2c39a568f479437f33b150">
          <item id="de01156a00b06d646162695824edc06f8ffb3841" isNormal="1">
            <s:text>
              <s:r>
                <s:t xml:space="preserve">Administrator:
1403860 4/25 24 pcs 华兴三楼B13</s:t>
              </s:r>
            </s:text>
          </item>
        </commentChain>
      </unresolved>
      <resolved/>
    </commentChains>
    <commentChains s:ref="AD694" rgbClr="FF0000">
      <unresolved>
        <commentChain chainId="97d15c8e7314dfdb9f9e209933f23a13b60ed094">
          <item id="6229556481a0571ac773ec7aad23836ccd9087e3" isNormal="1">
            <s:text>
              <s:r>
                <s:t xml:space="preserve">Administrator:
4/13上 UPC贴纸 24 pcs
4/17上 客供亚马逊外箱贴纸 1 pcs</s:t>
              </s:r>
            </s:text>
          </item>
        </commentChain>
      </unresolved>
      <resolved/>
    </commentChains>
    <commentChains s:ref="AB695" rgbClr="FF0000">
      <unresolved>
        <commentChain chainId="d3ed4484ab9dd64391cd265ac85252e0693f9043">
          <item id="5bb676eecbb529bd93142af7b842dde1a49235b3" isNormal="1">
            <s:text>
              <s:r>
                <s:t xml:space="preserve">Administrator:
1403535 5/13 12001 pcs 新仓库3-C3</s:t>
              </s:r>
            </s:text>
          </item>
        </commentChain>
      </unresolved>
      <resolved/>
    </commentChains>
    <commentChains s:ref="AB696" rgbClr="FF0000">
      <unresolved>
        <commentChain chainId="43503d62f118706857246bfbb651387f932f372a">
          <item id="b30273e2d4abc923f024fb6cbb2de78faee730cb" isNormal="1">
            <s:text>
              <s:r>
                <s:t xml:space="preserve">Administrator:
1403535 5/13 11000 pcs 新仓库3-C3</s:t>
              </s:r>
            </s:text>
          </item>
        </commentChain>
      </unresolved>
      <resolved/>
    </commentChains>
    <commentChains s:ref="AB697" rgbClr="FF0000">
      <unresolved>
        <commentChain chainId="7fd2d775dd1856c4c9121da358103469dfeff1f7">
          <item id="4d14b2b320659ad525ea8f66652d46fc1fe48f86" isNormal="1">
            <s:text>
              <s:r>
                <s:t xml:space="preserve">Administrator:
1403523 5/14 1012 pcs 新仓库A6</s:t>
              </s:r>
            </s:text>
          </item>
        </commentChain>
      </unresolved>
      <resolved/>
    </commentChains>
    <commentChains s:ref="AD697" rgbClr="FF0000">
      <unresolved>
        <commentChain chainId="cd981a767ab9bd3753c847cd8fbbd4298cf9a93c">
          <item id="4f1ba39b9c38cdeba1761fb4125607d0d18409da" isNormal="1">
            <s:text>
              <s:r>
                <s:t xml:space="preserve">Administrator:
4/22上 通用说明书警示语贴纸 1012 pcs
   通用收缩膜警示语 1012 pcs</s:t>
              </s:r>
            </s:text>
          </item>
        </commentChain>
      </unresolved>
      <resolved/>
    </commentChains>
    <commentChains s:ref="AB698" rgbClr="FF0000">
      <unresolved>
        <commentChain chainId="23d0baa24c7a8d855773236ffcf269c3e69a2dc7">
          <item id="9f3154521ec7797150e19eb9221fd098af23d02f" isNormal="1">
            <s:text>
              <s:r>
                <s:t xml:space="preserve">Administrator:
1403498 5/14 1416 pcs 新仓库A5</s:t>
              </s:r>
            </s:text>
          </item>
        </commentChain>
      </unresolved>
      <resolved/>
    </commentChains>
    <commentChains s:ref="AD698" rgbClr="FF0000">
      <unresolved>
        <commentChain chainId="f7e1232860b9c7fc7d8cde54f38d236ec5156467">
          <item id="d187ef40bed0c3c61e05826d83f46d04f2ba019b" isNormal="1">
            <s:text>
              <s:r>
                <s:t xml:space="preserve">Administrator:
4/1上 QR+SSCC贴纸 59 pcs
4/11上 进口商贴纸 1416 pcs
 EAN条码贴纸 1416 pcs
</s:t>
              </s:r>
            </s:text>
          </item>
        </commentChain>
      </unresolved>
      <resolved/>
    </commentChains>
    <commentChains s:ref="AB699" rgbClr="FF0000">
      <unresolved>
        <commentChain chainId="5d2bdbac35351d28d30c0569a946d9197e8da895">
          <item id="42584d9eb4069d28079b711821a2fce195ab3b35" isNormal="1">
            <s:text>
              <s:r>
                <s:t xml:space="preserve">Administrator:
1403498 5/14 528 pcs 新仓库A5</s:t>
              </s:r>
            </s:text>
          </item>
        </commentChain>
      </unresolved>
      <resolved/>
    </commentChains>
    <commentChains s:ref="AD699" rgbClr="FF0000">
      <unresolved>
        <commentChain chainId="92e1a7dd0ad1f2092d7c3d85cf9251c0d0a9123f">
          <item id="984856dd79a1d79f3dc8cce128104a68a645b1f3" isNormal="1">
            <s:text>
              <s:r>
                <s:t xml:space="preserve">Administrator:
4/1上 QR+SSCC贴纸 22 pcs
4/11上 进口商贴纸 528 pcs
 EAN条码贴纸 528 pcs
</s:t>
              </s:r>
            </s:text>
          </item>
        </commentChain>
      </unresolved>
      <resolved/>
    </commentChains>
    <commentChains s:ref="AB700" rgbClr="FF0000">
      <unresolved>
        <commentChain chainId="7fbd01d077983a6b3dc2aa0e29b7a7f624b11a46">
          <item id="7a9ec12f4c8402c09aeffd732351eaaef41d70e1" isNormal="1">
            <s:text>
              <s:r>
                <s:t xml:space="preserve">Administrator:
1403523 5/14 660 pcs 新仓库A6</s:t>
              </s:r>
            </s:text>
          </item>
        </commentChain>
      </unresolved>
      <resolved/>
    </commentChains>
    <commentChains s:ref="AD700" rgbClr="FF0000">
      <unresolved>
        <commentChain chainId="ee8378dea29465b85eec2a6344bfeec43dce9e1f">
          <item id="d631fa706146ae01251d95f35ab2abbb3903046c" isNormal="1">
            <s:text>
              <s:r>
                <s:t xml:space="preserve">Administrator:
4/28上 进口商贴纸 660 pcs</s:t>
              </s:r>
            </s:text>
          </item>
        </commentChain>
      </unresolved>
      <resolved/>
    </commentChains>
    <commentChains s:ref="AB701" rgbClr="FF0000">
      <unresolved>
        <commentChain chainId="88891058c074be5372240da32b4b18f1c3a4a7ba">
          <item id="47d030bae04a6618a2680b2aee3cf6dd115beb44" isNormal="1">
            <s:text>
              <s:r>
                <s:t xml:space="preserve">Administrator:
1403523 5/14 5478 pcs 新仓库B11   
1405883 5/14 22 pcs 新仓库B11</s:t>
              </s:r>
            </s:text>
          </item>
        </commentChain>
      </unresolved>
      <resolved/>
    </commentChains>
    <commentChains s:ref="AD701" rgbClr="FF0000">
      <unresolved>
        <commentChain chainId="f7930c19c19a2b2fb8dddbfc7e8f60c48768aea4">
          <item id="556da2e500220f846d517e310d7fefde417be524" isNormal="1">
            <s:text>
              <s:r>
                <s:t xml:space="preserve">Administrator:
4/28上 进口商贴纸 5500 pcs</s:t>
              </s:r>
            </s:text>
          </item>
        </commentChain>
      </unresolved>
      <resolved/>
    </commentChains>
    <commentChains s:ref="AB702" rgbClr="FF0000">
      <unresolved>
        <commentChain chainId="e93fa82d0a16bb5b050bee78bba0b08654bc20c6">
          <item id="1fe6943e56aab0cf98c865da4425f62d5f2768c7" isNormal="1">
            <s:text>
              <s:r>
                <s:t xml:space="preserve">Administrator:
1403523 5/14 3014 pcs 新仓库A9</s:t>
              </s:r>
            </s:text>
          </item>
        </commentChain>
      </unresolved>
      <resolved/>
    </commentChains>
    <commentChains s:ref="AD702" rgbClr="FF0000">
      <unresolved>
        <commentChain chainId="a2140a1533f9effb14219ca314121620533f94f7">
          <item id="1899510063c759b6c34f5368943a4beabb6e82dc" isNormal="1">
            <s:text>
              <s:r>
                <s:t xml:space="preserve">Administrator:
5/8上 进口商贴纸 3014 pcs
 UPC贴纸 3014 pcs</s:t>
              </s:r>
            </s:text>
          </item>
        </commentChain>
      </unresolved>
      <resolved/>
    </commentChains>
    <commentChains s:ref="AB703" rgbClr="FF0000">
      <unresolved>
        <commentChain chainId="ce7426a76a52c5a2d416166be803af56cdb80cb3">
          <item id="4c428df143d8c38f1adba425959a288b081ae767" isNormal="1">
            <s:text>
              <s:r>
                <s:t xml:space="preserve">Administrator:
1403498 5/14 5478 pcs 新仓库A11       
1405883 5/14 22 pcs A11</s:t>
              </s:r>
            </s:text>
          </item>
        </commentChain>
      </unresolved>
      <resolved/>
    </commentChains>
    <commentChains s:ref="AB704" rgbClr="FF0000">
      <unresolved>
        <commentChain chainId="515e4ce47e7d71cc560408e48f6fb951ee8549b5">
          <item id="82c33bd410485bf7a68520f1ab02317e4bf88d94" isNormal="1">
            <s:text>
              <s:r>
                <s:t xml:space="preserve">Administrator:
1403617 5/16 600 pcs 新仓库A5</s:t>
              </s:r>
            </s:text>
          </item>
        </commentChain>
      </unresolved>
      <resolved/>
    </commentChains>
    <commentChains s:ref="AD704" rgbClr="FF0000">
      <unresolved>
        <commentChain chainId="172e47dfe97586c771974e2b976d47bb7430d26e">
          <item id="cff0f004027047b8c7e725e444e208f1dba17529" isNormal="1">
            <s:text>
              <s:r>
                <s:t xml:space="preserve">Administrator:
4/21上 QR贴纸 600 pcs
5/4上 进口商贴纸 600 pcs</s:t>
              </s:r>
            </s:text>
          </item>
        </commentChain>
      </unresolved>
      <resolved/>
    </commentChains>
    <commentChains s:ref="AB705" rgbClr="FF0000">
      <unresolved>
        <commentChain chainId="a35f544e1ed07f13b96b0e04af112c07bdbcf823">
          <item id="65534acf249c8d343c6039c9eeaacea6fcae526e" isNormal="1">
            <s:text>
              <s:r>
                <s:t xml:space="preserve">Administrator:
1403264 5/20 1342 pcs 四楼C8</s:t>
              </s:r>
            </s:text>
          </item>
        </commentChain>
      </unresolved>
      <resolved/>
    </commentChains>
    <commentChains s:ref="AD705" rgbClr="FF0000">
      <unresolved>
        <commentChain chainId="da7d81c94661e702ef60f2bb77d855601df243ba">
          <item id="518d1b4ad37e75c2d8450affd1b1671ef1115bf7" isNormal="1">
            <s:text>
              <s:r>
                <s:t xml:space="preserve">Administrator:
4/30上 德语callout/荷兰语警示语贴纸 1342 pcs
 产品贴纸 1342 pcs
 通用说明书警示语贴纸 1342 pcs
 通用收缩膜警示语贴纸 1342 pcs</s:t>
              </s:r>
            </s:text>
          </item>
        </commentChain>
      </unresolved>
      <resolved/>
    </commentChains>
    <commentChains s:ref="AB706" rgbClr="FF0000">
      <unresolved>
        <commentChain chainId="140fc296a97c5976009e057dcbb1ec1299402dfd">
          <item id="0321882eafb1c8e130923c35b0eb7d6227b2cc16" isNormal="1">
            <s:text>
              <s:r>
                <s:t xml:space="preserve">Administrator:
1403265 5/21 1078 pcs 新仓库A6</s:t>
              </s:r>
            </s:text>
          </item>
        </commentChain>
      </unresolved>
      <resolved/>
    </commentChains>
    <commentChains s:ref="AD706" rgbClr="FF0000">
      <unresolved>
        <commentChain chainId="4e6364d28fff69dc89d8eb0a63bc4c233c28a66e">
          <item id="693b36b3d7d88fae39a97f03a5cd87ba67174f43" isNormal="1">
            <s:text>
              <s:r>
                <s:t xml:space="preserve">Administrator:
4/30上 德语callout/荷兰语警示语贴纸 1078 pcs
 产品贴纸 1078 pcs
 通用说明书警示语贴纸 1078 pcs
 通用收缩膜警示语贴纸 1078 pcs
</s:t>
              </s:r>
            </s:text>
          </item>
        </commentChain>
      </unresolved>
      <resolved/>
    </commentChains>
    <commentChains s:ref="AB707" rgbClr="FF0000">
      <unresolved>
        <commentChain chainId="dea2db04272737ae17529211295051dc44e6ecb5">
          <item id="f08fbb25b17d5781f9870baa71248b3913bf2527" isNormal="1">
            <s:text>
              <s:r>
                <s:t xml:space="preserve">Administrator:
1403286 5/20 5016 pcs 新仓库A1</s:t>
              </s:r>
            </s:text>
          </item>
        </commentChain>
      </unresolved>
      <resolved/>
    </commentChains>
    <commentChains s:ref="AD707" rgbClr="FF0000">
      <unresolved>
        <commentChain chainId="c5a5a37590e8225f84c9a16118b82b38186e270f">
          <item id="842538114bdd433375f69169e6db44708d4c7b99" isNormal="1">
            <s:text>
              <s:r>
                <s:t xml:space="preserve">Administrator:
4/30上 cat label  5016 pcs</s:t>
              </s:r>
            </s:text>
          </item>
        </commentChain>
      </unresolved>
      <resolved/>
    </commentChains>
    <commentChains s:ref="AB708" rgbClr="FF0000">
      <unresolved>
        <commentChain chainId="bb4fbe439eab397948b76eae41b4b2cece4234f1">
          <item id="6d2e0d0bf40009d137e548fca38a245cd8ca885b" isNormal="1">
            <s:text>
              <s:r>
                <s:t xml:space="preserve">Administrator:
1403605 5/19 3014 pcs 新仓库3-C3</s:t>
              </s:r>
            </s:text>
          </item>
        </commentChain>
      </unresolved>
      <resolved/>
    </commentChains>
    <commentChains s:ref="AD708" rgbClr="FF0000">
      <unresolved>
        <commentChain chainId="81e4cd38f7bad852c1ac9f1464598aca54f557db">
          <item id="1a45719ccce5f8c456cac3d82739edf944d92988" isNormal="1">
            <s:text>
              <s:r>
                <s:t xml:space="preserve">Administrator:
5/4上 进口商贴纸 3014 pcs
5/11上 UPC贴纸 3014 pcs</s:t>
              </s:r>
            </s:text>
          </item>
        </commentChain>
      </unresolved>
      <resolved/>
    </commentChains>
    <commentChains s:ref="AB709" rgbClr="FF0000">
      <unresolved>
        <commentChain chainId="d4d11b9082252eab49f80ff6c19eee975c1a2ebf">
          <item id="7ccb14aa2b0613466c93b41571468b0fb18e4705" isNormal="1">
            <s:text>
              <s:r>
                <s:t xml:space="preserve">Administrator:
1403264 5/20 1034 pcs 四楼C8   
1403265 5/21 968 pcs 新仓库B1</s:t>
              </s:r>
            </s:text>
          </item>
        </commentChain>
      </unresolved>
      <resolved/>
    </commentChains>
    <commentChains s:ref="AD709" rgbClr="FF0000">
      <unresolved>
        <commentChain chainId="e11025bc690257637adc59cdb06024deb6fc8e6d">
          <item id="1cdf8bb6fb4723837ca90a49991602118e25d7de" isNormal="1">
            <s:text>
              <s:r>
                <s:t xml:space="preserve">Administrator:
5/4上 通用说明书警示语贴纸 2002 pcs
 通用收缩膜警示语贴纸 2002 pcs</s:t>
              </s:r>
            </s:text>
          </item>
        </commentChain>
      </unresolved>
      <resolved/>
    </commentChains>
    <commentChains s:ref="AB710" rgbClr="FF0000">
      <unresolved>
        <commentChain chainId="1ed197299f919c44f8a6cd5eac0901e39d4b2668">
          <item id="dc75ac8c0a46ad4456390bce544746867054e155" isNormal="1">
            <s:text>
              <s:r>
                <s:t xml:space="preserve">Administrator:
1403305 5/22 880 pcs 新仓库B4</s:t>
              </s:r>
            </s:text>
          </item>
        </commentChain>
      </unresolved>
      <resolved/>
    </commentChains>
    <commentChains s:ref="AD710" rgbClr="FF0000">
      <unresolved>
        <commentChain chainId="3dbc167f8d4fb55aefe25c1a0d4e14588a8d4ed1">
          <item id="2a7a7d8556d2b08fc45c4f1bd3b8b0e3bbd39657" isNormal="1">
            <s:text>
              <s:r>
                <s:t xml:space="preserve">Administrator:
4/27上 收缩膜贴纸 880 pcs</s:t>
              </s:r>
            </s:text>
          </item>
        </commentChain>
      </unresolved>
      <resolved/>
    </commentChains>
    <commentChains s:ref="AB711" rgbClr="FF0000">
      <unresolved>
        <commentChain chainId="73aa7d34cfa5713b4c6707d67863736dc43efcbe">
          <item id="319d9b326eb1d07844bfb92cb058a30c0779d0ad" isNormal="1">
            <s:text>
              <s:r>
                <s:t xml:space="preserve">Administrator:
1403378 5/26 1512 pcs 张新仓库A8</s:t>
              </s:r>
            </s:text>
          </item>
        </commentChain>
      </unresolved>
      <resolved/>
    </commentChains>
    <commentChains s:ref="AD711" rgbClr="FF0000">
      <unresolved>
        <commentChain chainId="6d40b7d5daa3f55babe2ed0901ee7a5098df962b">
          <item id="9d01fce6b7fc3b78a70a7ec2bfb58c8f2a395949" isNormal="1">
            <s:text>
              <s:r>
                <s:t xml:space="preserve">Administrator:
5/5上 cat label 1512 pcs</s:t>
              </s:r>
            </s:text>
          </item>
        </commentChain>
      </unresolved>
      <resolved/>
    </commentChains>
    <commentChains s:ref="AB712" rgbClr="FF0000">
      <unresolved>
        <commentChain chainId="562fd537bd23aa3d8117a7c14e5db4b42924fd41">
          <item id="59eb61080bf9118e3ff1b27e766728178a321f07" isNormal="1">
            <s:text>
              <s:r>
                <s:t xml:space="preserve">Administrator:
280020 5/27 2200 pcs</s:t>
              </s:r>
            </s:text>
          </item>
          <item id="ffd34b3c91f4e12b5acf17d6a7ad0c3c5ecc4b60" userID="1851561945" userName="石玉珍" dateTime="2026-05-30T13:39:23" isNormal="0">
            <s:text>
              <s:r>
                <s:t xml:space="preserve">280020 5/27 2200 pcs 张新仓库A10
</s:t>
              </s:r>
            </s:text>
          </item>
        </commentChain>
      </unresolved>
      <resolved/>
    </commentChains>
    <commentChains s:ref="AD712" rgbClr="FF0000">
      <unresolved>
        <commentChain chainId="ed0cc0de245e1799af4f6e5eb5c1094375bf95b4">
          <item id="6512dfbd756d9df9f9ac64e1c39de633a58c3b2b" isNormal="1">
            <s:text>
              <s:r>
                <s:t xml:space="preserve">Administrator:
5/13上 PDQ贴纸 100 pcs</s:t>
              </s:r>
            </s:text>
          </item>
          <item id="3000229fa39a6b237fee9cc67dd2749dd2506b3b" userID="1851561945" userName="石玉珍" dateTime="2026-05-30T13:42:19" isNormal="0">
            <s:text>
              <s:r>
                <s:t xml:space="preserve">5/13上 PDQ贴纸 100 pcs
5/29上 PDQ贴纸 100 pcs
</s:t>
              </s:r>
            </s:text>
          </item>
        </commentChain>
      </unresolved>
      <resolved/>
    </commentChains>
    <commentChains s:ref="AB713" rgbClr="FF0000">
      <unresolved>
        <commentChain chainId="ddf43d371b15931e356a11b75c18e3f03cef0bb8">
          <item id="e2d9acf0e7afff4287f7c729b4f51acd1378a239" userID="1851561945" userName="石玉珍" dateTime="2026-05-30T13:39:51" isNormal="0">
            <s:text>
              <s:r>
                <s:t xml:space="preserve">2800072 5/29 1540 pcs 杨新仓库B14
</s:t>
              </s:r>
            </s:text>
          </item>
          <item id="e086fba01d60753cfae6218afc64553e6dceb340" userID="1851561945" userName="石玉珍" dateTime="2026-06-01T01:44:10" isNormal="0">
            <s:text>
              <s:r>
                <s:t xml:space="preserve">2800078 5/30 1876 pcs 顶钧A2</s:t>
              </s:r>
            </s:text>
          </item>
        </commentChain>
      </unresolved>
      <resolved/>
    </commentChains>
    <commentChains s:ref="AD713" rgbClr="FF0000">
      <unresolved>
        <commentChain chainId="e43f85709cbfafeeef9898aec4c8da0eb6cd518e">
          <item id="34b355860ba6b0d8259f0df2e6fd5e95c31bac11" isNormal="1">
            <s:text>
              <s:r>
                <s:t xml:space="preserve">Administrator:
5/8上 四国语言警告语贴纸 3416 pcs</s:t>
              </s:r>
            </s:text>
          </item>
        </commentChain>
      </unresolved>
      <resolved/>
    </commentChains>
    <commentChains s:ref="AB714" rgbClr="FF0000">
      <unresolved>
        <commentChain chainId="57345a2b092653ae192be364f8524749cecbb12b">
          <item id="fa7f60ea59d808a5b48cfec54eef2fcd587e298d" userID="1851561945" userName="石玉珍" dateTime="2026-05-30T13:40:12" isNormal="0">
            <s:text>
              <s:r>
                <s:t xml:space="preserve">2800073 5/29 2002 pcs 杨新仓库B4
</s:t>
              </s:r>
            </s:text>
          </item>
        </commentChain>
      </unresolved>
      <resolved/>
    </commentChains>
    <commentChains s:ref="AD714" rgbClr="FF0000">
      <unresolved>
        <commentChain chainId="525b765e9423ee7a59cc0841dd36d54ea710a438">
          <item id="43efe0c46dfbbb694ee4377fae23a7223b06bed7" isNormal="1">
            <s:text>
              <s:r>
                <s:t xml:space="preserve">Administrator:
5/19上 丹麦瑞典芬兰挪威爱沙尼亚语言 2002 pcs</s:t>
              </s:r>
            </s:text>
          </item>
        </commentChain>
      </unresolved>
      <resolved/>
    </commentChains>
    <commentChains s:ref="AB715" rgbClr="FF0000">
      <unresolved>
        <commentChain chainId="17b7bd627ee8bcabd2ce88edbb60e177cd6171b1">
          <item id="c421a57f817a6329c8a78eb4a53845c619586298" userID="1851561945" userName="石玉珍" dateTime="2026-05-30T13:40:33" isNormal="0">
            <s:text>
              <s:r>
                <s:t xml:space="preserve">2800073 5/29 1914 pcs 杨新仓库B14
</s:t>
              </s:r>
            </s:text>
          </item>
        </commentChain>
      </unresolved>
      <resolved/>
    </commentChains>
    <commentChains s:ref="AD715" rgbClr="FF0000">
      <unresolved>
        <commentChain chainId="0204332fb10f8e72dbf35423b73392bd4c13eeab">
          <item id="c05a25b3623f1e93fdb302dec25014c8886ae0aa" isNormal="1">
            <s:text>
              <s:r>
                <s:t xml:space="preserve">Administrator:
5/13上 多语折叠警语贴纸 1914 pcs</s:t>
              </s:r>
            </s:text>
          </item>
        </commentChain>
      </unresolved>
      <resolved/>
    </commentChains>
    <commentChains s:ref="AB716" rgbClr="FF0000">
      <unresolved>
        <commentChain chainId="fec642bceb3971a7783e429864004a67451839c4">
          <item id="28f0d8a639d031b451145bcd12734dc86cb91497" userID="1851561945" userName="石玉珍" dateTime="2026-05-30T13:40:53" isNormal="0">
            <s:text>
              <s:r>
                <s:t xml:space="preserve">2800065 5/29 1100 pcs 杨新仓库B14
</s:t>
              </s:r>
            </s:text>
          </item>
        </commentChain>
      </unresolved>
      <resolved/>
    </commentChains>
    <commentChains s:ref="AB717" rgbClr="FF0000">
      <unresolved>
        <commentChain chainId="fe8f6bdb79023d151f5f085ef5b092329e7215fa">
          <item id="b58fd94e6a37615d33c2deedf8fb9fc59410dce7" userID="1851561945" userName="石玉珍" dateTime="2026-05-30T13:41:52" isNormal="0">
            <s:text>
              <s:r>
                <s:t xml:space="preserve">2800065 5/29 2856 pcs 杨新仓库B14       
2800072 5/29 24 pcs
</s:t>
              </s:r>
            </s:text>
          </item>
        </commentChain>
      </unresolved>
      <resolved/>
    </commentChains>
    <commentChains s:ref="AD717" rgbClr="FF0000">
      <unresolved>
        <commentChain chainId="bdc283a0544eb20c9ab651bac163bc39155f8cb4">
          <item id="c5441aefdb671e57f701ca1c8a2ea549d21f825b" isNormal="1">
            <s:text>
              <s:r>
                <s:t xml:space="preserve">Administrator:
4/1上 QR+SSCC贴纸 120 pcs
4/11上 进口商贴纸 2880 pcs
 EAN条码贴纸 2880 pcs
</s:t>
              </s:r>
            </s:text>
          </item>
        </commentChain>
      </unresolved>
      <resolved/>
    </commentChains>
    <commentChains s:ref="AB718" rgbClr="FF0000">
      <unresolved>
        <commentChain chainId="eb95ba3fbe107e3271ed2b171f85d60d0b3c2d76">
          <item id="e548fc5683aa8fc752c0c6d5599d3879a71e44ee" userID="1851561945" userName="石玉珍" dateTime="2026-05-30T13:41:11" isNormal="0">
            <s:text>
              <s:r>
                <s:t xml:space="preserve"> 2800065 5/29 1104 pcs 杨新仓库B14
</s:t>
              </s:r>
            </s:text>
          </item>
        </commentChain>
      </unresolved>
      <resolved/>
    </commentChains>
    <commentChains s:ref="AD718" rgbClr="FF0000">
      <unresolved>
        <commentChain chainId="3502cc87e926bc2dd21a98d7caaeb83e8502b614">
          <item id="53a4c1593e7cf6ebe909a7c59335c105639c3b1f" isNormal="1">
            <s:text>
              <s:r>
                <s:t xml:space="preserve">Administrator:
4/1上 QR+SSCC贴纸 46 pcs
4/11上 进口商贴纸 1104 pcs
 EAN条码贴纸 1104 pcs
</s:t>
              </s:r>
            </s:text>
          </item>
        </commentChain>
      </unresolved>
      <resolved/>
    </commentChains>
    <commentChains s:ref="AB719" rgbClr="FF0000">
      <unresolved>
        <commentChain chainId="a804dc23f78f4f224d691b9f5ef9e3393a9aa24c">
          <item id="2747184a6477ed1009f22c8089f5665cdda2d5f1" userID="1851561945" userName="石玉珍" dateTime="2026-06-02T01:22:14" isNormal="0">
            <s:text>
              <s:r>
                <s:t xml:space="preserve">2800111 6/1 2002 pcs 顶均C4</s:t>
              </s:r>
            </s:text>
          </item>
        </commentChain>
      </unresolved>
      <resolved/>
    </commentChains>
    <commentChains s:ref="AD719" rgbClr="FF0000">
      <unresolved>
        <commentChain chainId="842f6cd59a6975530464e3fdffe349f5aedde8fe">
          <item id="0ee43a2fcf438aa805308229cdd12d6408d21910" isNormal="1">
            <s:text>
              <s:r>
                <s:t xml:space="preserve">Administrator:
5/20上 进口商贴纸 2002 pcs</s:t>
              </s:r>
            </s:text>
          </item>
        </commentChain>
      </unresolved>
      <resolved/>
    </commentChains>
    <commentChains s:ref="AB720" rgbClr="FF0000">
      <unresolved>
        <commentChain chainId="3710857fb8f5257c7e64079e21f5f260cbb77772">
          <item id="6bd735e02deb05024098575bc8773f6859f42dde" userID="1851561945" userName="石玉珍" dateTime="2026-06-02T01:22:14" isNormal="0">
            <s:text>
              <s:r>
                <s:t xml:space="preserve">2800111 6/1 6912 pcs 顶均C5</s:t>
              </s:r>
            </s:text>
          </item>
        </commentChain>
      </unresolved>
      <resolved/>
    </commentChains>
    <commentChains s:ref="AD720" rgbClr="FF0000">
      <unresolved>
        <commentChain chainId="f55f4e606cca429a6af4da98f4186685e8a9f064">
          <item id="f47ed8e87794520520ceb9632467ab7bcd7f7724" isNormal="1">
            <s:text>
              <s:r>
                <s:t xml:space="preserve">Administrator:
5/19上 德语callout警语贴纸 6912 pcs
 EAN条码贴纸 6912 pcs</s:t>
              </s:r>
            </s:text>
          </item>
        </commentChain>
      </unresolved>
      <resolved/>
    </commentChains>
    <commentChains s:ref="AB721" rgbClr="FF0000">
      <unresolved>
        <commentChain chainId="a8f164bfcc208301a04c7c48aaec4ce460083a07">
          <item id="110578cb4099014ccb55ce5a1e85e5ce218bdf5b" userID="1851561945" userName="石玉珍" dateTime="2026-06-03T00:43:44" isNormal="0">
            <s:text>
              <s:r>
                <s:t xml:space="preserve">2801048 6/2 616 pcs 直走</s:t>
              </s:r>
            </s:text>
          </item>
        </commentChain>
      </unresolved>
      <resolved/>
    </commentChains>
    <commentChains s:ref="AB722" rgbClr="FF0000">
      <unresolved>
        <commentChain chainId="18d3cf637e31dec219f19422ce5bfa88e3498060">
          <item id="34f53351a379df06e3291748c0e5633663e849ed" userID="1851561945" userName="石玉珍" dateTime="2026-06-04T00:46:25" isNormal="0">
            <s:text>
              <s:r>
                <s:t xml:space="preserve">2801069 6/3 1210 pcs 欣泰B3</s:t>
              </s:r>
            </s:text>
          </item>
        </commentChain>
      </unresolved>
      <resolved/>
    </commentChains>
    <commentChains s:ref="AD722" rgbClr="FF0000">
      <unresolved>
        <commentChain chainId="ec6f0c033d7bac5d743f8188b3ac983f412f0c89">
          <item id="c00d41d0fb906175dfafbd31d1495fc9760b3688" isNormal="1">
            <s:text>
              <s:r>
                <s:t xml:space="preserve">Administrator:
5/19上 日语贴纸 1210 pcs</s:t>
              </s:r>
            </s:text>
          </item>
        </commentChain>
      </unresolved>
      <resolved/>
    </commentChains>
    <commentChains s:ref="AB723" rgbClr="FF0000">
      <unresolved>
        <commentChain chainId="f437ea5560ca605403e1db96efe2271b056d205a">
          <item id="15428345edbec8c2297fd0f0c4ae4386958b1858" userID="1851561945" userName="石玉珍" dateTime="2026-06-05T01:22:22" isNormal="0">
            <s:text>
              <s:r>
                <s:t xml:space="preserve">2801079 6/4 748 pcs 欣泰B4</s:t>
              </s:r>
            </s:text>
          </item>
        </commentChain>
      </unresolved>
      <resolved/>
    </commentChains>
    <commentChains s:ref="AD723" rgbClr="FF0000">
      <unresolved/>
      <resolved>
        <commentChain chainId="3fb94c44cd9a9998d4e15e67057c8175e71bcac8">
          <item id="128579ec6c487b1c401612ac390deae1b583800d" isNormal="1">
            <s:text>
              <s:r>
                <s:t xml:space="preserve">Administrator:
5/7上 进口商贴纸 748 pcs</s:t>
              </s:r>
            </s:text>
          </item>
        </commentChain>
      </resolved>
    </commentChains>
    <commentChains s:ref="AB724" rgbClr="FF0000">
      <unresolved>
        <commentChain chainId="c5478e756710b53638a39a1fa9de2ab207d95cb4">
          <item id="da2d744fb5372aac18943a2a47f6ab30545a213c" userID="1851561945" userName="石玉珍" dateTime="2026-06-10T01:45:29" isNormal="0">
            <s:text>
              <s:r>
                <s:t xml:space="preserve">2801152 6/8 4004 pcs</s:t>
              </s:r>
            </s:text>
          </item>
          <item id="0744aeca2341158b6ab07e1353b4503907d59038" userID="1851561945" userName="石玉珍" dateTime="2026-06-11T00:33:37" isNormal="0">
            <s:text>
              <s:r>
                <s:t xml:space="preserve"> 顶钧A13</s:t>
              </s:r>
            </s:text>
          </item>
        </commentChain>
      </unresolved>
      <resolved/>
    </commentChains>
    <commentChains s:ref="AD724" rgbClr="FF0000">
      <unresolved>
        <commentChain chainId="9ff85405895dadc055dfa9bac5892e9ec97f2508">
          <item id="24d7048da175926873860f80e3bae4859396dbcc" userID="1851561945" userName="石玉珍" dateTime="2026-05-30T13:44:27" isNormal="0">
            <s:text>
              <s:r>
                <s:t xml:space="preserve">5/18上</s:t>
              </s:r>
            </s:text>
          </item>
        </commentChain>
      </unresolved>
      <resolved/>
    </commentChains>
    <commentChains s:ref="AB725" rgbClr="FF0000">
      <unresolved>
        <commentChain chainId="d37022a5f26c446ee4089d5c4527b1c566720a08">
          <item id="b806202b1d517c1808271ba4549bdab50d14a8ab" userID="1851561945" userName="石玉珍" dateTime="2026-06-09T00:40:36" isNormal="0">
            <s:text>
              <s:r>
                <s:t xml:space="preserve">2801144 6/8 660 pcs 顶钧A7</s:t>
              </s:r>
            </s:text>
          </item>
        </commentChain>
      </unresolved>
      <resolved/>
    </commentChains>
    <commentChains s:ref="AD725" rgbClr="FF0000">
      <unresolved>
        <commentChain chainId="0c8620f9c492449e10b64d820ded99955f6ad5ac">
          <item id="03cfd233a06c2f8c7c94debff40b0bd380e5d3a3" isNormal="1">
            <s:text>
              <s:r>
                <s:t xml:space="preserve">Administrator:
5/22上 丹麦瑞典芬兰挪威语言 660 pcs</s:t>
              </s:r>
            </s:text>
          </item>
        </commentChain>
      </unresolved>
      <resolved/>
    </commentChains>
    <commentChains s:ref="AB726" rgbClr="FF0000">
      <unresolved>
        <commentChain chainId="b303246722fe4a15c3760ef7221e0e62cc8c44ba">
          <item id="20e201f112237ef36f26e217ae59e0b1ca14216c" userID="1851561945" userName="石玉珍" dateTime="2026-06-10T01:13:55" isNormal="0">
            <s:text>
              <s:r>
                <s:t xml:space="preserve">2801179 6/9 504 pcs 欣泰B1</s:t>
              </s:r>
            </s:text>
          </item>
        </commentChain>
      </unresolved>
      <resolved/>
    </commentChains>
    <commentChains s:ref="AD726" rgbClr="FF0000">
      <unresolved>
        <commentChain chainId="8c6f1110df1cda97a77c03373cbd7b812d2da5cb">
          <item id="b27c5c19e6c036e8b7e22ed33891a64edaba9f39" isNormal="1">
            <s:text>
              <s:r>
                <s:t xml:space="preserve">Administrator:
4/25上 环保标贴纸 504 pcs
5/11上 亚马逊外箱贴纸 21 pcs
5/23上 邮包盒贴纸 504 pcs</s:t>
              </s:r>
            </s:text>
          </item>
          <item id="82fa7a146f74964db0515e10aeb6f513372a3bbf" userID="1851561945" userName="石玉珍" dateTime="2026-06-05T13:30:29" isNormal="0">
            <s:text>
              <s:r>
                <s:t xml:space="preserve">前面上的是错的，贴纸有更新
6/5上 邮购盒贴纸 504 pcs</s:t>
              </s:r>
            </s:text>
          </item>
        </commentChain>
      </unresolved>
      <resolved/>
    </commentChains>
    <commentChains s:ref="AB727" rgbClr="FF0000">
      <unresolved>
        <commentChain chainId="a5604b71c4825f06e5598dc1ae7127bb3362e280">
          <item id="438924d4448b625f8bf5cc671c10dd1cf40a5ca5" userID="1851561945" userName="石玉珍" dateTime="2026-06-10T01:13:55" isNormal="0">
            <s:text>
              <s:r>
                <s:t xml:space="preserve">2801179 6/9 504 pcs 欣泰B1</s:t>
              </s:r>
            </s:text>
          </item>
        </commentChain>
      </unresolved>
      <resolved/>
    </commentChains>
    <commentChains s:ref="AD727" rgbClr="FF0000">
      <unresolved>
        <commentChain chainId="1b0bb6a85669ed06b224b40c6f5686f9adb250ec">
          <item id="a60217c0674b6fe30b6f7af92fd03da335669278" isNormal="1">
            <s:text>
              <s:r>
                <s:t xml:space="preserve">Administrator:
4/25上 环保标贴纸 504 pcs
5/11上 亚马逊外箱贴纸 21 pcs
5/23上 邮包盒贴纸 504 pcs</s:t>
              </s:r>
            </s:text>
          </item>
          <item id="0401129a3154ee9f83196516afb269e78000a632" userID="1851561945" userName="石玉珍" dateTime="2026-06-05T13:30:33" isNormal="0">
            <s:text>
              <s:r>
                <s:t xml:space="preserve">前面上的是错的，贴纸有更新
6/5上 邮购盒贴纸 504 pcs</s:t>
              </s:r>
            </s:text>
          </item>
        </commentChain>
      </unresolved>
      <resolved/>
    </commentChains>
    <commentChains s:ref="AB728" rgbClr="FF0000">
      <unresolved>
        <commentChain chainId="b4de89b68062fd7e8b8a2c7624e4bb0cdc89574e">
          <item id="b17da6d5ec79b9f289d87e201cedc275082df20e" userID="1851561945" userName="石玉珍" dateTime="2026-06-10T01:13:55" isNormal="0">
            <s:text>
              <s:r>
                <s:t xml:space="preserve">2801179 6/9 480 pcs 欣泰B1</s:t>
              </s:r>
            </s:text>
          </item>
        </commentChain>
      </unresolved>
      <resolved/>
    </commentChains>
    <commentChains s:ref="AD728" rgbClr="FF0000">
      <unresolved>
        <commentChain chainId="a257b5801d790badeee2bc2edf4fbd86a8d596f4">
          <item id="d9271b3f1edf1ffbff92b22edd3659018be9cef7" isNormal="1">
            <s:text>
              <s:r>
                <s:t xml:space="preserve">Administrator:
5/15上 亚马逊外箱贴纸 20 pcs
5/23上 环保标贴纸 480 pcs</s:t>
              </s:r>
            </s:text>
          </item>
          <item id="600177f2edf1ea6759b844566eb1205e26521412" userID="1851561945" userName="石玉珍" dateTime="2026-06-04T12:11:50" isNormal="0">
            <s:text>
              <s:r>
                <s:t xml:space="preserve">前面上的邮购盒贴纸是错的/有更新
6/4上 邮购盒贴纸 480 pcs</s:t>
              </s:r>
            </s:text>
          </item>
        </commentChain>
      </unresolved>
      <resolved/>
    </commentChains>
    <commentChains s:ref="AB729" rgbClr="FF0000">
      <unresolved>
        <commentChain chainId="e9d0923a46e2bd15b996ac16f391fa27f7cca262">
          <item id="47f2976d9fe4c042d183701a8d6ee6668105b7a6" userID="1851561945" userName="石玉珍" dateTime="2026-06-12T00:44:02" isNormal="0">
            <s:text>
              <s:r>
                <s:t xml:space="preserve">28001204 6/10 528 pcs 欣泰A2</s:t>
              </s:r>
            </s:text>
          </item>
        </commentChain>
      </unresolved>
      <resolved/>
    </commentChains>
    <commentChains s:ref="AD729" rgbClr="FF0000">
      <unresolved>
        <commentChain chainId="f40240c964f7c710274937eb879c7c163a3ff101">
          <item id="d6b016b9ed796bd9274a36dd4f7ecce705020d51" isNormal="1">
            <s:text>
              <s:r>
                <s:t xml:space="preserve">Administrator:
5/23上 进口商贴纸 528 pcs</s:t>
              </s:r>
            </s:text>
          </item>
          <item id="e2a4eaf28a37c49a21decfca45bd97b208e16bb7" userID="1851561945" userName="石玉珍" dateTime="2026-06-05T13:21:19" isNormal="0">
            <s:text>
              <s:r>
                <s:t xml:space="preserve">6/5上 UPC贴纸 528 pcs</s:t>
              </s:r>
            </s:text>
          </item>
        </commentChain>
      </unresolved>
      <resolved/>
    </commentChains>
    <commentChains s:ref="AB730" rgbClr="FF0000">
      <unresolved>
        <commentChain chainId="2ddde4b98439c91cf45b34e601905039abc4ef43">
          <item id="350818233f096c686e50efe0ee59d7d91c315700" userID="1851561945" userName="石玉珍" dateTime="2026-06-12T00:44:18" isNormal="0">
            <s:text>
              <s:r>
                <s:t xml:space="preserve">28001204 6/10 352 pcs 欣泰B4</s:t>
              </s:r>
            </s:text>
          </item>
        </commentChain>
      </unresolved>
      <resolved/>
    </commentChains>
    <commentChains s:ref="AD730" rgbClr="FF0000">
      <unresolved>
        <commentChain chainId="a4272c59f85f2ed49b14e11f7d7ce8e4a80bd114">
          <item id="de194fc8ef4b11bdb7a8303bbeea2f194ec18630" isNormal="1">
            <s:text>
              <s:r>
                <s:t xml:space="preserve">Administrator:
5/22上 进口商贴纸 528 pcs</s:t>
              </s:r>
            </s:text>
          </item>
          <item id="e47ed4b871a2dadfd21f06bad9282b95c5b5483a" userID="1851561945" userName="石玉珍" dateTime="2026-06-05T13:21:32" isNormal="0">
            <s:text>
              <s:r>
                <s:t xml:space="preserve">6/5上 UPC贴纸 352 pcs</s:t>
              </s:r>
            </s:text>
          </item>
        </commentChain>
      </unresolved>
      <resolved/>
    </commentChains>
    <commentChains s:ref="AB731" rgbClr="FF0000">
      <unresolved>
        <commentChain chainId="3e418689d323fa14a52c102470a6abaaf049c846">
          <item id="5f2aba3b39828e1d72dc3d25307939b829fff92d" userID="1851561945" userName="石玉珍" dateTime="2026-06-12T00:44:33" isNormal="0">
            <s:text>
              <s:r>
                <s:t xml:space="preserve">28001204 6/10 660 pcs 欣泰B2</s:t>
              </s:r>
            </s:text>
          </item>
        </commentChain>
      </unresolved>
      <resolved/>
    </commentChains>
    <commentChains s:ref="AD731" rgbClr="FF0000">
      <unresolved>
        <commentChain chainId="4e62864b7ede795e0f2c525b0271647a5941ce36">
          <item id="74fc4b40aba6f4852e68712f14eeac0f9174c253" isNormal="1">
            <s:text>
              <s:r>
                <s:t xml:space="preserve">Administrator:
5/22上 进口商贴纸 660 pcs</s:t>
              </s:r>
            </s:text>
          </item>
          <item id="8134b09aea9703807bd7fc78c85caec429ec99f3" userID="1851561945" userName="石玉珍" dateTime="2026-06-05T13:21:42" isNormal="0">
            <s:text>
              <s:r>
                <s:t xml:space="preserve">6/5上 UPC贴纸 660 pcs</s:t>
              </s:r>
            </s:text>
          </item>
        </commentChain>
      </unresolved>
      <resolved/>
    </commentChains>
    <commentChains s:ref="AB732" rgbClr="FF0000">
      <unresolved>
        <commentChain chainId="e713ee4aba4ba758e7196227d161c00aea92b498">
          <item id="39c4a900110f90b9df47b107fb8507356fba4d84" userID="1851561945" userName="石玉珍" dateTime="2026-06-12T00:44:50" isNormal="0">
            <s:text>
              <s:r>
                <s:t xml:space="preserve">28001204 6/10 176 pcs 欣泰A5</s:t>
              </s:r>
            </s:text>
          </item>
        </commentChain>
      </unresolved>
      <resolved/>
    </commentChains>
    <commentChains s:ref="AD732" rgbClr="FF0000">
      <unresolved>
        <commentChain chainId="4a6a6cf972c3c5034c43175ba3eaa453c6218379">
          <item id="af5b3bd1c860dc7ece12f181571d7b29ff2b16a7" userID="1851561945" userName="石玉珍" dateTime="2026-06-05T13:21:58" isNormal="0">
            <s:text>
              <s:r>
                <s:t xml:space="preserve">6/5上 UPC贴纸 176 pcs</s:t>
              </s:r>
            </s:text>
          </item>
        </commentChain>
      </unresolved>
      <resolved/>
    </commentChains>
    <commentChains s:ref="AB733" rgbClr="FF0000">
      <unresolved>
        <commentChain chainId="1c16b2105d71349f75185f6585115ed824a27668">
          <item id="a3f0178d35e548ae1f694887f55dca7d8316bd1a" userID="1851561945" userName="石玉珍" dateTime="2026-06-12T00:43:46" isNormal="0">
            <s:text>
              <s:r>
                <s:t xml:space="preserve">28001204 6/10 3597 pcs 欣泰B4</s:t>
              </s:r>
            </s:text>
          </item>
          <item id="eccd0df7890a3e89f5074fd95d000dd4c6658658" userID="1851561945" userName="石玉珍" dateTime="2026-06-13T03:40:16" isNormal="0">
            <s:text>
              <s:r>
                <s:t xml:space="preserve">2801199 6/11 11 pcs 顶钧C5</s:t>
              </s:r>
            </s:text>
          </item>
        </commentChain>
      </unresolved>
      <resolved/>
    </commentChains>
    <commentChains s:ref="AD733" rgbClr="FF0000">
      <unresolved>
        <commentChain chainId="b47733c2b2608e949e00f406e9d58339e7fec5aa">
          <item id="923e0224075ba86031a258debd857f22b4ebd4c7" userID="1851561945" userName="石玉珍" dateTime="2026-06-04T12:23:01" isNormal="0">
            <s:text>
              <s:r>
                <s:t xml:space="preserve">6/4上 多语折叠警语贴纸 3608 pcs</s:t>
              </s:r>
            </s:text>
          </item>
        </commentChain>
      </unresolved>
      <resolved/>
    </commentChains>
    <commentChains s:ref="AB734" rgbClr="FF0000">
      <unresolved>
        <commentChain chainId="b5392740834d98c89b8d6b526b641f4deb2e2e05">
          <item id="2c82b1efd07d473b8251ceed6fb51e0ae95e9bd0" userID="1851561945" userName="石玉珍" dateTime="2026-06-10T01:12:19" isNormal="0">
            <s:text>
              <s:r>
                <s:t xml:space="preserve">2801178 6/9 1232 pcs 欣泰B1</s:t>
              </s:r>
            </s:text>
          </item>
          <item id="f8e0a80b7c68ca4a674a28375094e447b40d3757" userID="1851561945" userName="石玉珍" dateTime="2026-06-12T00:54:49" isNormal="0">
            <s:text>
              <s:r>
                <s:t xml:space="preserve">2801185 6/10 308 pcs 欣泰B2</s:t>
              </s:r>
            </s:text>
          </item>
        </commentChain>
      </unresolved>
      <resolved/>
    </commentChains>
    <commentChains s:ref="AB735" rgbClr="FF0000">
      <unresolved>
        <commentChain chainId="766312c87b0e522803c912484b2f2ee52a128a3f">
          <item id="16981ef08540b79f7d47dfc4761d7ec4c076a93b" userID="1851561945" userName="石玉珍" dateTime="2026-06-16T00:31:23" isNormal="0">
            <s:text>
              <s:r>
                <s:t xml:space="preserve">2801243 6/13 480 pcs 欣泰C2</s:t>
              </s:r>
            </s:text>
          </item>
        </commentChain>
      </unresolved>
      <resolved/>
    </commentChains>
    <commentChains s:ref="AD735" rgbClr="FF0000">
      <unresolved>
        <commentChain chainId="d311f44de1ae8976410f5da99bae5add47c61cea">
          <item id="d7009d7946209172eba794986d1b9f4998732e08" userID="1851561945" userName="石玉珍" dateTime="2026-06-04T12:20:44" isNormal="0">
            <s:text>
              <s:r>
                <s:t xml:space="preserve">6/4上 邮购盒贴纸 480 pcs</s:t>
              </s:r>
            </s:text>
          </item>
          <item id="2e72402da5533ff21c2a4c8eddd3f651c257389c" userID="1851561945" userName="石玉珍" dateTime="2026-06-05T13:25:32" isNormal="0">
            <s:text>
              <s:r>
                <s:t xml:space="preserve">5/15上 亚马逊外箱贴纸 20 pcs</s:t>
              </s:r>
            </s:text>
          </item>
        </commentChain>
      </unresolved>
      <resolved>
        <commentChain chainId="0af8e5b3cbce2c266665c2345ce41087b7d1eb3d">
          <item id="a4323ed8325faebf9d4e0a0d71b902f9bf9bc27b" isNormal="1">
            <s:text>
              <s:r>
                <s:t xml:space="preserve">Administrator:
5/15上 亚马逊外箱贴纸 20 pcs
5/23上 环保标贴纸 480 ocs</s:t>
              </s:r>
            </s:text>
          </item>
        </commentChain>
      </resolved>
    </commentChains>
    <commentChains s:ref="AB736" rgbClr="FF0000">
      <unresolved>
        <commentChain chainId="750fbbcd67e45e98871562c8d16799bb8f532740">
          <item id="642635a7235f03794ffdf26320e6670ed41148a4" userID="1851561945" userName="石玉珍" dateTime="2026-06-16T00:31:40" isNormal="0">
            <s:text>
              <s:r>
                <s:t xml:space="preserve">2801243 6/13 660pcs 欣泰C2</s:t>
              </s:r>
            </s:text>
          </item>
        </commentChain>
      </unresolved>
      <resolved/>
    </commentChains>
    <commentChains s:ref="AB737" rgbClr="FF0000">
      <unresolved>
        <commentChain chainId="0fe2df3ed149d5e3ddeabac0c49cc52b7fd159ef">
          <item id="32e2afa7c4660ccfc48eec78ea8fcc4ad3f75953" userID="1851561945" userName="石玉珍" dateTime="2026-06-20T00:54:38" isNormal="0">
            <s:text>
              <s:r>
                <s:t xml:space="preserve">2201051 6/17 748 pcs 欣泰A1</s:t>
              </s:r>
            </s:text>
          </item>
          <item id="d5d129bf8f7ee32ea5fb6edfbb093b5018bb1dcf" userID="1851561945" userName="石玉珍" dateTime="2026-06-24T01:32:38" isNormal="0">
            <s:text>
              <s:r>
                <s:t xml:space="preserve">2201063 6/18 22 pcs A5</s:t>
              </s:r>
            </s:text>
          </item>
        </commentChain>
      </unresolved>
      <resolved/>
    </commentChains>
    <commentChains s:ref="AD737" rgbClr="FF0000">
      <unresolved>
        <commentChain chainId="e734306980754b4042298caf84714369fd2705ff">
          <item id="124a9efd242812d987e926689ae250fb38a1c654" isNormal="1">
            <s:text>
              <s:r>
                <s:t xml:space="preserve">Administrator:
5/25上 德语callout/荷兰语警示语贴纸 770 pcs</s:t>
              </s:r>
            </s:text>
          </item>
        </commentChain>
      </unresolved>
      <resolved/>
    </commentChains>
    <commentChains s:ref="AB738" rgbClr="FF0000">
      <unresolved>
        <commentChain chainId="a8e2a5f053c15a6f04ab7658deb3a8419e2541c4">
          <item id="bd43ff67ede738c23edde9a74864ab73593df065" userID="1851561945" userName="石玉珍" dateTime="2026-06-20T00:54:51" isNormal="0">
            <s:text>
              <s:r>
                <s:t xml:space="preserve">2201051 6/17 638 pcs 欣泰C6</s:t>
              </s:r>
            </s:text>
          </item>
        </commentChain>
      </unresolved>
      <resolved/>
    </commentChains>
    <commentChains s:ref="AD738" rgbClr="FF0000">
      <unresolved>
        <commentChain chainId="d263575489ac60b37e8c31d7040db3e7556ec239">
          <item id="2aac2ac3d786ff47976be4e9ce00b4b893d2701f" isNormal="1">
            <s:text>
              <s:r>
                <s:t xml:space="preserve">Administrator:
5/25上 德语callout/荷兰语警示语贴纸 628 pcs</s:t>
              </s:r>
            </s:text>
          </item>
        </commentChain>
      </unresolved>
      <resolved/>
    </commentChains>
    <commentChains s:ref="AB739" rgbClr="FF0000">
      <unresolved>
        <commentChain chainId="3676f79dacf3303c9f955d5317cf14c93bf35e63">
          <item id="9b97e812d6ce0cdc36073c76a84d5300bc831e32" userID="1851561945" userName="石玉珍" dateTime="2026-06-23T00:33:39" isNormal="0">
            <s:text>
              <s:r>
                <s:t xml:space="preserve">2201101 6/20 418 pcs 欣泰B4</s:t>
              </s:r>
            </s:text>
          </item>
        </commentChain>
      </unresolved>
      <resolved/>
    </commentChains>
    <commentChains s:ref="AD739" rgbClr="FF0000">
      <unresolved>
        <commentChain chainId="c57e6c94161d9541d2195cac502a4f2f969c1398">
          <item id="81c19fd0ff9fe40985b358bbc1360ec7e782c5ac" userID="1851561945" userName="石玉珍" dateTime="2026-05-30T13:43:17" isNormal="0">
            <s:text>
              <s:r>
                <s:t xml:space="preserve">5/28上 丹麦瑞典芬兰挪威语言贴纸 418 pcs
</s:t>
              </s:r>
            </s:text>
          </item>
        </commentChain>
      </unresolved>
      <resolved/>
    </commentChains>
    <commentChains s:ref="AB740" rgbClr="FF0000">
      <unresolved>
        <commentChain chainId="3c00c2340e8667ac2a04b9b26d8fd0dfdbd808e2">
          <item id="53699bc39405ec55d782d7fdea130b95e4fad08d" userID="1851561945" userName="石玉珍" dateTime="2026-06-23T00:33:52" isNormal="0">
            <s:text>
              <s:r>
                <s:t xml:space="preserve">2201101 6/20 902 pcs 欣泰B1</s:t>
              </s:r>
            </s:text>
          </item>
        </commentChain>
      </unresolved>
      <resolved/>
    </commentChains>
    <commentChains s:ref="AB741" rgbClr="FF0000">
      <unresolved>
        <commentChain chainId="a8f1fbd77ed53d27cfdad980f73e9a9b4745b457">
          <item id="f08c92a3639aeae10df24c5b16f091a5cc20553f" userID="1851561945" userName="石玉珍" dateTime="2026-06-26T01:40:35" isNormal="0">
            <s:text>
              <s:r>
                <s:t xml:space="preserve">2201151 6/24 8206 pcs 顶钧C4</s:t>
              </s:r>
            </s:text>
          </item>
        </commentChain>
      </unresolved>
      <resolved/>
    </commentChains>
    <commentChains s:ref="AD741" rgbClr="FF0000">
      <unresolved>
        <commentChain chainId="a773212f86e0ebb8df887fc5fe452b423cd0124a">
          <item id="1790a54f8b5b8ff5bdf18d36d4dc9ffcb6f17983" isNormal="1">
            <s:text>
              <s:r>
                <s:t xml:space="preserve">Administrator:
5/5上 保证书 8206 pcs</s:t>
              </s:r>
            </s:text>
          </item>
          <item id="1e014a1a6ec8ffb2ab67bef2e78ee8eca14d8f6d" userID="1851561945" userName="石玉珍" dateTime="2026-06-05T13:27:50" isNormal="0">
            <s:text>
              <s:r>
                <s:t xml:space="preserve">6/5上 UPC贴纸 8206 pcs
 产品贴纸 8206 pcs
 说明书贴纸 8206 pcs
 包装贴纸 8206 pcs</s:t>
              </s:r>
            </s:text>
          </item>
        </commentChain>
      </unresolved>
      <resolved/>
    </commentChains>
    <commentChains s:ref="AB742" rgbClr="FF0000">
      <unresolved>
        <commentChain chainId="02b03ee2a9e92659199e21b7e40f471f4a23fb63">
          <item id="4473f1ddc4e3202b3e27b7b68778c16f01693ac9" userID="1851561945" userName="石玉珍" dateTime="2026-06-25T00:55:24" isNormal="0">
            <s:text>
              <s:r>
                <s:t xml:space="preserve">2201147 6/23 10714 pcs 顶钧A3</s:t>
              </s:r>
            </s:text>
          </item>
          <item id="6088ed54c9de301fa57d9ba1418a10e1bb33b7ae" userID="1851561945" userName="石玉珍" dateTime="2026-06-26T01:40:55" isNormal="0">
            <s:text>
              <s:r>
                <s:t xml:space="preserve">2201151 6/24 6380 pcs 顶钧D1-A3</s:t>
              </s:r>
            </s:text>
          </item>
        </commentChain>
      </unresolved>
      <resolved/>
    </commentChains>
    <commentChains s:ref="AD742" rgbClr="FF0000">
      <unresolved>
        <commentChain chainId="eca4e305f3505d2e3458e04857f143444491b8eb">
          <item id="8856c0ddd76e357f1cd476138ff440f58f0285d8" isNormal="1">
            <s:text>
              <s:r>
                <s:t xml:space="preserve">Administrator:
5/5上 保证书 17094 pcs</s:t>
              </s:r>
            </s:text>
          </item>
          <item id="cab90a07e6d75b8daf2dc538ddf924418118fa3b" userID="1851561945" userName="石玉珍" dateTime="2026-06-05T13:28:21" isNormal="0">
            <s:text>
              <s:r>
                <s:t xml:space="preserve">6/5上 UPC贴纸 17097 pcs
 产品贴纸 17094 pcs
 说明书贴纸 17094 pcs
 包装贴纸 17094 pcs</s:t>
              </s:r>
            </s:text>
          </item>
        </commentChain>
      </unresolved>
      <resolved/>
    </commentChains>
    <commentChains s:ref="AB743" rgbClr="FF0000">
      <unresolved>
        <commentChain chainId="ad6be689ad796ca4b8f856a070d6d3a06f343236">
          <item id="b4cfc0ed2a92013674d1e1f048a2939c67c331c9" userID="1851561945" userName="石玉珍" dateTime="2026-06-24T01:29:12" isNormal="0">
            <s:text>
              <s:r>
                <s:t xml:space="preserve">2201119 6/22 2002 pcs 顶钧C5</s:t>
              </s:r>
            </s:text>
          </item>
        </commentChain>
      </unresolved>
      <resolved/>
    </commentChains>
    <commentChains s:ref="AD743" rgbClr="FF0000">
      <unresolved>
        <commentChain chainId="1c996e951aea796008835359188e7e77bc7654dd">
          <item id="f4fc883ab7db720a54fa88eb5c9af4d83d01bcc5" userID="1851561945" userName="石玉珍" dateTime="2026-06-01T12:51:19" isNormal="0">
            <s:text>
              <s:r>
                <s:t xml:space="preserve">5/30上 进口商贴纸 2002 pcs</s:t>
              </s:r>
            </s:text>
          </item>
          <item id="ee6f1693b6131d769cf6a5ab4a37b5a0947fe368" userID="1851561945" userName="石玉珍" dateTime="2026-06-10T13:49:56" isNormal="0">
            <s:text>
              <s:r>
                <s:t xml:space="preserve">6/10上 UPC贴纸 2002 pcs</s:t>
              </s:r>
            </s:text>
          </item>
        </commentChain>
      </unresolved>
      <resolved/>
    </commentChains>
    <commentChains s:ref="AB744" rgbClr="FF0000">
      <unresolved>
        <commentChain chainId="3aa79536ee1858f375514164562fc7cc252630f2">
          <item id="33aacd863f329f1c55ea412371799985a755f51a" userID="1851561945" userName="石玉珍" dateTime="2026-06-29T00:41:05" isNormal="0">
            <s:text>
              <s:r>
                <s:t xml:space="preserve">2200943 6/26 6050 pcs 欣泰D6</s:t>
              </s:r>
            </s:text>
          </item>
        </commentChain>
      </unresolved>
      <resolved/>
    </commentChains>
    <commentChains s:ref="AB745" rgbClr="FF0000">
      <unresolved>
        <commentChain chainId="03cfc74b87494dbb57d506707295a3d6ddcd6ef7">
          <item id="ad9d4f6aab5e8c924405e33eb43516a63f2f16b3" userID="1851561945" userName="石玉珍" dateTime="2026-06-29T00:41:17" isNormal="0">
            <s:text>
              <s:r>
                <s:t xml:space="preserve">2200943 6/26 6050 pcs 欣泰E6</s:t>
              </s:r>
            </s:text>
          </item>
        </commentChain>
      </unresolved>
      <resolved/>
    </commentChains>
    <commentChains s:ref="AB746" rgbClr="FF0000">
      <unresolved>
        <commentChain chainId="39e0d461d99f3f02e34bd89019883f29adf7787f">
          <item id="dce1e815cdd5c71f6c7a1c2be8e34331a4d019da" userID="1851561945" userName="石玉珍" dateTime="2026-06-29T00:41:37" isNormal="0">
            <s:text>
              <s:r>
                <s:t xml:space="preserve">2200943 6/26 3597 pcs 欣泰E2</s:t>
              </s:r>
            </s:text>
          </item>
          <item id="30d716171acb6387dac230454147b411cba9c681" userID="1851561945" userName="石玉珍" dateTime="2026-07-02T01:30:08" isNormal="0">
            <s:text>
              <s:r>
                <s:t xml:space="preserve">2200989 6/30 11 pcs 直走</s:t>
              </s:r>
            </s:text>
          </item>
        </commentChain>
      </unresolved>
      <resolved/>
    </commentChains>
    <commentChains s:ref="AD746" rgbClr="FF0000">
      <unresolved>
        <commentChain chainId="1ce1e90ed740d51f2a53ebfc008283a9cdb7293b">
          <item id="71d5b9c3d66668727f7186b8da0fa73cf5bbf282" userID="1851561945" userName="石玉珍" dateTime="2026-06-15T12:40:27" isNormal="0">
            <s:text>
              <s:r>
                <s:t xml:space="preserve">6/15上 多语折叠警语贴纸 3608 pcs</s:t>
              </s:r>
            </s:text>
          </item>
        </commentChain>
      </unresolved>
      <resolved/>
    </commentChains>
    <commentChains s:ref="AB747" rgbClr="FF0000">
      <unresolved>
        <commentChain chainId="0015fc723b9e87c95ac7831ff4e8c81f74b6281a">
          <item id="1e0f7a890cf39b5b9b9fd49532ecb89317daae67" userID="1851561945" userName="石玉珍" dateTime="2026-06-29T00:43:16" isNormal="0">
            <s:text>
              <s:r>
                <s:t xml:space="preserve">2200944 6/26 1210 pcs 欣泰B2</s:t>
              </s:r>
            </s:text>
          </item>
        </commentChain>
      </unresolved>
      <resolved/>
    </commentChains>
    <commentChains s:ref="AD747" rgbClr="FF0000">
      <unresolved>
        <commentChain chainId="28c47ffa368e9da3ef6f65c5788e214180baf61b">
          <item id="1711ad5e6c32e8584452f478102dad2bf9eef822" userID="1851561945" userName="石玉珍" dateTime="2026-06-29T08:27:38" isNormal="0">
            <s:text>
              <s:r>
                <s:t xml:space="preserve">6/29上 UPC贴纸 1210 pcs </s:t>
              </s:r>
            </s:text>
          </item>
        </commentChain>
      </unresolved>
      <resolved/>
    </commentChains>
    <commentChains s:ref="AB748" rgbClr="FF0000">
      <unresolved>
        <commentChain chainId="81fc1d097135c0a72b4512e86465b4c29f098833">
          <item id="f1ed4b19dd6a72643fa5cd197489cb3304c7354b" userID="1851561945" userName="石玉珍" dateTime="2026-07-02T01:32:35" isNormal="0">
            <s:text>
              <s:r>
                <s:t xml:space="preserve">2201016 6/30 506 pcs 顶钧A6</s:t>
              </s:r>
            </s:text>
          </item>
        </commentChain>
      </unresolved>
      <resolved/>
    </commentChains>
    <commentChains s:ref="AD748" rgbClr="FF0000">
      <unresolved>
        <commentChain chainId="0c6b46cd2a830f85df00cd1171c09f0b57e4c9f1">
          <item id="d154a7bc3db6f9bc89073911878da8c08aa6a215" userID="1851561945" userName="石玉珍" dateTime="2026-06-06T11:33:12" isNormal="0">
            <s:text>
              <s:r>
                <s:t xml:space="preserve">6/6s上 地址贴纸 506 pcs</s:t>
              </s:r>
            </s:text>
          </item>
        </commentChain>
      </unresolved>
      <resolved/>
    </commentChains>
    <commentChains s:ref="AB749" rgbClr="FF0000">
      <unresolved>
        <commentChain chainId="bd1849e4da2791512571e45e6757507765c97176">
          <item id="c5bd6ec119335782c2ea47707700282cb5bf37d8" userID="1851561945" userName="石玉珍" dateTime="2026-07-07T00:46:14" isNormal="0">
            <s:text>
              <s:r>
                <s:t xml:space="preserve">2201213 7/4 480 pcs 欣泰C5</s:t>
              </s:r>
            </s:text>
          </item>
        </commentChain>
      </unresolved>
      <resolved/>
    </commentChains>
    <commentChains s:ref="AD749" rgbClr="FF0000">
      <unresolved>
        <commentChain chainId="3dfe07e005a72490e3b2425bcc8ae59f660ecb40">
          <item id="d4f80bf48581524af93ff358a142e929d363329f" userID="1851561945" userName="石玉珍" dateTime="2026-06-05T13:29:10" isNormal="0">
            <s:text>
              <s:r>
                <s:t xml:space="preserve">6/5上 邮购盒贴纸 480 pcs</s:t>
              </s:r>
            </s:text>
          </item>
          <item id="f9b8f894d4f3e2f940660c78913fbe9d5b3efb65" userID="1851561945" userName="石玉珍" dateTime="2026-06-11T09:22:05" isNormal="0">
            <s:text>
              <s:r>
                <s:t xml:space="preserve">6/11上 亚马逊外箱贴纸 20 pcs</s:t>
              </s:r>
            </s:text>
          </item>
        </commentChain>
      </unresolved>
      <resolved/>
    </commentChains>
    <commentChains s:ref="AB750" rgbClr="FF0000">
      <unresolved>
        <commentChain chainId="5f448a6910bcf033e8d388cb6f00df2c6d1e5f74">
          <item id="1d60a6c4809912fa161c817f8c3eb00a4490f811" userID="1851561945" userName="石玉珍" dateTime="2026-07-08T01:01:26" isNormal="0">
            <s:text>
              <s:r>
                <s:t xml:space="preserve">2201232 7/6 368 pcs 欣泰E6</s:t>
              </s:r>
            </s:text>
          </item>
        </commentChain>
      </unresolved>
      <resolved/>
    </commentChains>
    <commentChains s:ref="AD750" rgbClr="FF0000">
      <unresolved>
        <commentChain chainId="fa5ec1eb69d54c1aaff8768bea280f78b3127a8c">
          <item id="c55884473beb63e2a4d4670dbaabf6cad5c687fe" userID="1851561945" userName="石玉珍" dateTime="2026-06-11T03:49:43" isNormal="0">
            <s:text>
              <s:r>
                <s:t xml:space="preserve">6/10上 客供价格贴纸 387 pcs</s:t>
              </s:r>
            </s:text>
          </item>
        </commentChain>
      </unresolved>
      <resolved/>
    </commentChains>
    <commentChains s:ref="AB751" rgbClr="FF0000">
      <unresolved>
        <commentChain chainId="69774dddd7fce501b66c59950b698a87e9b9dbb9">
          <item id="73e2d63ae76823ad2f47d81cf65548951a9550c2" userID="1851561945" userName="石玉珍" dateTime="2026-07-08T01:01:43" isNormal="0">
            <s:text>
              <s:r>
                <s:t xml:space="preserve">2201232 7/6 176 pcs 欣泰D7</s:t>
              </s:r>
            </s:text>
          </item>
        </commentChain>
      </unresolved>
      <resolved/>
    </commentChains>
    <commentChains s:ref="AD751" rgbClr="FF0000">
      <unresolved>
        <commentChain chainId="aea6e98738172049f82206d8f896bb011875f8d6">
          <item id="65c1e68d6c3dddb01d096fd8957ee15b0efbbe22" userID="1851561945" userName="石玉珍" dateTime="2026-06-11T03:49:43" isNormal="0">
            <s:text>
              <s:r>
                <s:t xml:space="preserve">6/10上 客供价格贴纸 185 pcs</s:t>
              </s:r>
            </s:text>
          </item>
        </commentChain>
      </unresolved>
      <resolved/>
    </commentChains>
    <commentChains s:ref="AB752" rgbClr="FF0000">
      <unresolved>
        <commentChain chainId="7d2f4294aeb569304a975fded7e2937ee038d2c6">
          <item id="fe1883aac2ad037d40a67b74b2f16c0d8645ebca" userID="1851561945" userName="石玉珍" dateTime="2026-07-04T03:16:43" isNormal="0">
            <s:text>
              <s:r>
                <s:t xml:space="preserve">2201194 7/2 88 pcs 欣泰A5</s:t>
              </s:r>
            </s:text>
          </item>
        </commentChain>
      </unresolved>
      <resolved/>
    </commentChains>
    <commentChains s:ref="AD752" rgbClr="FF0000">
      <unresolved>
        <commentChain chainId="a33928d99770aae01a26e3834964a084f9f4ce28">
          <item id="75084408afc620ada7e8bd916b56dbd7e7627b73" userID="1851561945" userName="石玉珍" dateTime="2026-06-15T12:41:05" isNormal="0">
            <s:text>
              <s:r>
                <s:t xml:space="preserve">6/15上 UPC贴纸 88 pcs</s:t>
              </s:r>
            </s:text>
          </item>
        </commentChain>
      </unresolved>
      <resolved/>
    </commentChains>
    <commentChains s:ref="AB753" rgbClr="FF0000">
      <unresolved>
        <commentChain chainId="e8835dbe59da5f30d9e945c18cfacaa121478d9f">
          <item id="5502723809ef155c7d5f87930dd1f9cd00ee1e2b" userID="1851561945" userName="石玉珍" dateTime="2026-07-08T01:03:52" isNormal="0">
            <s:text>
              <s:r>
                <s:t xml:space="preserve">2201225 7/6 1012 pcs 欣泰B3</s:t>
              </s:r>
            </s:text>
          </item>
        </commentChain>
      </unresolved>
      <resolved/>
    </commentChains>
    <commentChains s:ref="AD753" rgbClr="FF0000">
      <unresolved>
        <commentChain chainId="05073b0e0583b206d5d3cfed7d23c73fc805a539">
          <item id="4e8582aeee6441667d05bd103de953fe6a46a18e" userID="1851561945" userName="石玉珍" dateTime="2026-06-04T12:42:20" isNormal="0">
            <s:text>
              <s:r>
                <s:t xml:space="preserve">6/4上 QR贴纸 1012 pcs</s:t>
              </s:r>
            </s:text>
          </item>
          <item id="e8471a7fc7dabb56d7d88fec360a5fe32653ce65" userID="1851561945" userName="石玉珍" dateTime="2026-06-16T13:39:08" isNormal="0">
            <s:text>
              <s:r>
                <s:t xml:space="preserve">6/16上 进口商贴纸 1012 pcs</s:t>
              </s:r>
            </s:text>
          </item>
        </commentChain>
      </unresolved>
      <resolved/>
    </commentChains>
    <commentChains s:ref="AB754" rgbClr="FF0000">
      <unresolved>
        <commentChain chainId="af985bec78bd28f94d4b40701ba5b8e9d9756cbd">
          <item id="d905af9bc1841f25932a9245f631d96074461e01" userID="1851561945" userName="石玉珍" dateTime="2026-07-07T00:33:15" isNormal="0">
            <s:text>
              <s:r>
                <s:t xml:space="preserve">2201216 7/4 1078 pcs 欣泰C3</s:t>
              </s:r>
            </s:text>
          </item>
          <item id="5e3ca152fdb77cfb5ceaeba584a7ce87d260c94c" userID="1851561945" userName="石玉珍" dateTime="2026-07-08T01:11:53" isNormal="0">
            <s:text>
              <s:r>
                <s:t xml:space="preserve">2201224 7/6 132 pcs 欣泰C3</s:t>
              </s:r>
            </s:text>
          </item>
        </commentChain>
      </unresolved>
      <resolved/>
    </commentChains>
    <commentChains s:ref="AD754" rgbClr="FF0000">
      <unresolved>
        <commentChain chainId="7657dd0896013c0cbefe8d874bdaffd3d32b6589">
          <item id="0cc0e2e5d13f7b251159fef2e397701e60b5adc2" userID="1851561945" userName="石玉珍" dateTime="2026-06-22T11:48:57" isNormal="0">
            <s:text>
              <s:r>
                <s:t xml:space="preserve">6/22上 客人款号条码贴纸 1210 pcs
警语贴纸 1210 pcs</s:t>
              </s:r>
            </s:text>
          </item>
        </commentChain>
      </unresolved>
      <resolved/>
    </commentChains>
    <commentChains s:ref="AB755" rgbClr="FF0000">
      <unresolved>
        <commentChain chainId="1407b669555611d3b63a44a0c9a2bedfbc07839c">
          <item id="11320aa505f1793378212e6eade0d5646178a39a" userID="1851561945" userName="石玉珍" dateTime="2026-07-10T00:30:55" isNormal="0">
            <s:text>
              <s:r>
                <s:t xml:space="preserve">2201251 7/8 770 pcs pcs 顶钧C2</s:t>
              </s:r>
            </s:text>
          </item>
        </commentChain>
      </unresolved>
      <resolved/>
    </commentChains>
    <commentChains s:ref="AD755" rgbClr="FF0000">
      <unresolved>
        <commentChain chainId="9f3c00077777c31aeafab75d82cde3b12c418141">
          <item id="3e996753e297bc9a5cb537c631d54e7159fbb38f" userID="1851561945" userName="石玉珍" dateTime="2026-06-22T11:47:27" isNormal="0">
            <s:text>
              <s:r>
                <s:t xml:space="preserve">6/22上 通用贴纸 770 pcs</s:t>
              </s:r>
            </s:text>
          </item>
        </commentChain>
      </unresolved>
      <resolved/>
    </commentChains>
    <commentChains s:ref="AB756" rgbClr="FF0000">
      <unresolved>
        <commentChain chainId="416b78d50bfd5a57265fc2a2244230f535e26f9a">
          <item id="c8e604a9ce30a7a8caae6230c6b56bc516a92c30" userID="1851561945" userName="石玉珍" dateTime="2026-07-04T03:17:26" isNormal="0">
            <s:text>
              <s:r>
                <s:t xml:space="preserve">2201194 7/2 3014 pcs 欣泰2B1</s:t>
              </s:r>
            </s:text>
          </item>
        </commentChain>
      </unresolved>
      <resolved/>
    </commentChains>
    <commentChains s:ref="AB757" rgbClr="FF0000">
      <unresolved>
        <commentChain chainId="31bce5a9f5dc9e86f0ddfba71b269c3c7da03ffb">
          <item id="176b5e241afbf7c7fda3201b2cb29396ac22b203" userID="1851561945" userName="石玉珍" dateTime="2026-07-04T03:03:45" isNormal="0">
            <s:text>
              <s:r>
                <s:t xml:space="preserve">2201189 7/2 48 pcs 欣泰A6</s:t>
              </s:r>
            </s:text>
          </item>
        </commentChain>
      </unresolved>
      <resolved/>
    </commentChains>
    <commentChains s:ref="AD757" rgbClr="FF0000">
      <unresolved>
        <commentChain chainId="3e9ffe8f604b97bacbe7ec2bcbd15ae69adf32d7">
          <item id="dd3303e4b502dd874978201da76aba51fec54656" userID="1851561945" userName="石玉珍" dateTime="2026-06-05T13:32:15" isNormal="0">
            <s:text>
              <s:r>
                <s:t xml:space="preserve">6/5上 UPC贴纸 48 pcs</s:t>
              </s:r>
            </s:text>
          </item>
          <item id="aaba73136c3c843fa005883cab62e70123013f1c" userID="1851561945" userName="石玉珍" dateTime="2026-06-26T06:17:05" isNormal="0">
            <s:text>
              <s:r>
                <s:t xml:space="preserve">6/25号收到通知亚马逊后续订单东莞贴
6/24 客供亚马逊外箱贴纸 2 pcs</s:t>
              </s:r>
            </s:text>
          </item>
        </commentChain>
      </unresolved>
      <resolved/>
    </commentChains>
    <commentChains s:ref="AB758" rgbClr="FF0000">
      <unresolved>
        <commentChain chainId="862288b393144d55cbc8db68a239332f5961cf7d">
          <item id="2325fe87a2b1cf043d6b0956d5df6b1399c62289" userID="1851561945" userName="石玉珍" dateTime="2026-07-04T03:04:01" isNormal="0">
            <s:text>
              <s:r>
                <s:t xml:space="preserve">2201189 7/2 504 pcs 欣泰A6</s:t>
              </s:r>
            </s:text>
          </item>
        </commentChain>
      </unresolved>
      <resolved/>
    </commentChains>
    <commentChains s:ref="AD758" rgbClr="FF0000">
      <unresolved>
        <commentChain chainId="00747855cdfb91a273cae26b8795d831ffb26172">
          <item id="44635aa584e9a1afea3d153e284ad2bf4a7b5859" userID="1851561945" userName="石玉珍" dateTime="2026-06-05T13:32:15" isNormal="0">
            <s:text>
              <s:r>
                <s:t xml:space="preserve">6/5上 UPC贴纸 504 pcs</s:t>
              </s:r>
            </s:text>
          </item>
          <item id="50fffa12258395611d4efb49687fa41f5cf75ed9" userID="1851561945" userName="石玉珍" dateTime="2026-06-26T06:13:00" isNormal="0">
            <s:text>
              <s:r>
                <s:t xml:space="preserve">6/25号收到通知亚马逊后续订单东莞贴
6/24 客供亚马逊外箱贴纸 21 pcs</s:t>
              </s:r>
            </s:text>
          </item>
        </commentChain>
      </unresolved>
      <resolved/>
    </commentChains>
    <commentChains s:ref="AB759" rgbClr="FF0000">
      <unresolved>
        <commentChain chainId="91725d671ac1be9b1a5fdaa64e903fd0947d61af">
          <item id="6fab70b6d6387666ac3890bd6a8071bbfaf52a19" userID="1851561945" userName="石玉珍" dateTime="2026-07-04T03:04:16" isNormal="0">
            <s:text>
              <s:r>
                <s:t xml:space="preserve">2201189 7/2 48 pcs 欣泰A6</s:t>
              </s:r>
            </s:text>
          </item>
        </commentChain>
      </unresolved>
      <resolved/>
    </commentChains>
    <commentChains s:ref="AD759" rgbClr="FF0000">
      <unresolved>
        <commentChain chainId="6571448b226d1cca92b473503f0672710bc9acdb">
          <item id="f4dea3a3781fd328cedd33768b4faa5f77b0c60e" userID="1851561945" userName="石玉珍" dateTime="2026-06-05T13:32:15" isNormal="0">
            <s:text>
              <s:r>
                <s:t xml:space="preserve">6/5上 UPC贴纸 48 pcs</s:t>
              </s:r>
            </s:text>
          </item>
          <item id="3aa2f578946fb2b79824aac1f1c89ddae3c8178a" userID="1851561945" userName="石玉珍" dateTime="2026-06-26T06:17:13" isNormal="0">
            <s:text>
              <s:r>
                <s:t xml:space="preserve">6/25号收到通知亚马逊后续订单东莞贴
6/24 客供亚马逊外箱贴纸 2 pcs</s:t>
              </s:r>
            </s:text>
          </item>
        </commentChain>
      </unresolved>
      <resolved/>
    </commentChains>
    <commentChains s:ref="AB760" rgbClr="FF0000">
      <unresolved>
        <commentChain chainId="1eb7f03559b42ccd98a2f961fd48e1bf5e55dcd6">
          <item id="07e4a580fddee17880f578c1bf4f4a14744706cc" userID="1851561945" userName="石玉珍" dateTime="2026-07-04T03:04:27" isNormal="0">
            <s:text>
              <s:r>
                <s:t xml:space="preserve">2201189 7/2 24 pcs 欣泰A6</s:t>
              </s:r>
            </s:text>
          </item>
        </commentChain>
      </unresolved>
      <resolved/>
    </commentChains>
    <commentChains s:ref="AD760" rgbClr="FF0000">
      <unresolved>
        <commentChain chainId="e0e71ab33be6098978c7f548e5c65729f6fd828a">
          <item id="4967e6281c5914a76a4a5bb0cadcef8f66fe470f" userID="1851561945" userName="石玉珍" dateTime="2026-06-05T13:32:15" isNormal="0">
            <s:text>
              <s:r>
                <s:t xml:space="preserve">6/5上 UPC贴纸 24 pcs</s:t>
              </s:r>
            </s:text>
          </item>
          <item id="9a40f80ceaf44be76e2906707119acbb493ac1b7" userID="1851561945" userName="石玉珍" dateTime="2026-06-26T06:17:18" isNormal="0">
            <s:text>
              <s:r>
                <s:t xml:space="preserve">6/25号收到通知亚马逊后续订单东莞贴
6/24 客供亚马逊外箱贴纸 1 pcs</s:t>
              </s:r>
            </s:text>
          </item>
        </commentChain>
      </unresolved>
      <resolved/>
    </commentChains>
    <commentChains s:ref="AB761" rgbClr="FF0000">
      <unresolved>
        <commentChain chainId="fde2a8191a4c02e83e2e60a50f6c6efc6be8e171">
          <item id="163a5f62b975440cca072ed8504d0594d4a7883e" userID="1851561945" userName="石玉珍" dateTime="2026-07-04T03:04:38" isNormal="0">
            <s:text>
              <s:r>
                <s:t xml:space="preserve">2201189 7/2 240 pcs 欣泰A6</s:t>
              </s:r>
            </s:text>
          </item>
        </commentChain>
      </unresolved>
      <resolved/>
    </commentChains>
    <commentChains s:ref="AD761" rgbClr="FF0000">
      <unresolved>
        <commentChain chainId="219ca45a0b86bc634a61e1b434e4faa583580d28">
          <item id="5228b21a0af76ffc993472fa8151e659de0fbcdc" userID="1851561945" userName="石玉珍" dateTime="2026-06-05T13:32:15" isNormal="0">
            <s:text>
              <s:r>
                <s:t xml:space="preserve">6/5上 UPC贴纸 240 pcs</s:t>
              </s:r>
            </s:text>
          </item>
          <item id="839214c7fed1d411b7f26e25a89055d83165f4cb" userID="1851561945" userName="石玉珍" dateTime="2026-06-26T06:17:24" isNormal="0">
            <s:text>
              <s:r>
                <s:t xml:space="preserve">6/25号收到通知亚马逊后续订单东莞贴
6/24 客供亚马逊外箱贴纸 10 pcs</s:t>
              </s:r>
            </s:text>
          </item>
        </commentChain>
      </unresolved>
      <resolved/>
    </commentChains>
    <commentChains s:ref="AB762" rgbClr="FF0000">
      <unresolved>
        <commentChain chainId="0a688a210e40f5b759a970b203e3939aed63ffd6">
          <item id="052a3c73dfbf67c2367779269940c59df91a8fda" userID="1851561945" userName="石玉珍" dateTime="2026-07-04T03:04:47" isNormal="0">
            <s:text>
              <s:r>
                <s:t xml:space="preserve">2201189 7/2 72 pcs 欣泰A6</s:t>
              </s:r>
            </s:text>
          </item>
        </commentChain>
      </unresolved>
      <resolved/>
    </commentChains>
    <commentChains s:ref="AD762" rgbClr="FF0000">
      <unresolved>
        <commentChain chainId="b7dfb8a059da421fb6787ddc4252ba3a18e9398a">
          <item id="179bea9e178ea93a06b57e21cbbac98c692afd13" userID="1851561945" userName="石玉珍" dateTime="2026-06-05T13:32:15" isNormal="0">
            <s:text>
              <s:r>
                <s:t xml:space="preserve">6/5上 UPC贴纸 72 pcs</s:t>
              </s:r>
            </s:text>
          </item>
          <item id="df5f8c86bd5ee78b011645188b41416e2800e5fe" userID="1851561945" userName="石玉珍" dateTime="2026-06-26T06:17:32" isNormal="0">
            <s:text>
              <s:r>
                <s:t xml:space="preserve">6/25号收到通知亚马逊后续订单东莞贴
6/24 客供亚马逊外箱贴纸 3 pcs</s:t>
              </s:r>
            </s:text>
          </item>
        </commentChain>
      </unresolved>
      <resolved/>
    </commentChains>
    <commentChains s:ref="AB763" rgbClr="FF0000">
      <unresolved>
        <commentChain chainId="68dcd1fccef6406ef42cfa41b1a8f2e83fe6e4cc">
          <item id="517bd3812a79cf78a53a5de660541b87ee3e743a" userID="1851561945" userName="石玉珍" dateTime="2026-07-04T03:04:54" isNormal="0">
            <s:text>
              <s:r>
                <s:t xml:space="preserve">2201189 7/2 72 pcs 欣泰A6</s:t>
              </s:r>
            </s:text>
          </item>
        </commentChain>
      </unresolved>
      <resolved/>
    </commentChains>
    <commentChains s:ref="AD763" rgbClr="FF0000">
      <unresolved>
        <commentChain chainId="56b557f8a96abfaa02ec278cc67cc428d0112652">
          <item id="ca6cb57c60d76e8e0b12b4d26a5df483ef6986e9" userID="1851561945" userName="石玉珍" dateTime="2026-06-05T13:32:15" isNormal="0">
            <s:text>
              <s:r>
                <s:t xml:space="preserve">6/5上 UPC贴纸 504 pcs</s:t>
              </s:r>
            </s:text>
          </item>
          <item id="72e0979b9868734f9e8c85654be65e49f242e45e" userID="1851561945" userName="石玉珍" dateTime="2026-06-26T06:17:39" isNormal="0">
            <s:text>
              <s:r>
                <s:t xml:space="preserve">6/25号收到通知亚马逊后续订单东莞贴
6/24 客供亚马逊外箱贴纸 3 pcs</s:t>
              </s:r>
            </s:text>
          </item>
        </commentChain>
      </unresolved>
      <resolved/>
    </commentChains>
    <commentChains s:ref="AB764" rgbClr="FF0000">
      <unresolved>
        <commentChain chainId="2b2ee197ed307914128cdfc6be74826c9160d71f">
          <item id="bb777435af9961acb94763dbc3cb700a468bae0d" userID="1851561945" userName="石玉珍" dateTime="2026-07-04T03:05:02" isNormal="0">
            <s:text>
              <s:r>
                <s:t xml:space="preserve">2201189 7/2 72 pcs 欣泰A6</s:t>
              </s:r>
            </s:text>
          </item>
        </commentChain>
      </unresolved>
      <resolved/>
    </commentChains>
    <commentChains s:ref="AD764" rgbClr="FF0000">
      <unresolved>
        <commentChain chainId="094a0908455a18840f2db5798d16ea5dcd627fa6">
          <item id="4f2c317e374e745b7ca1c0a98dd5b5504e356091" userID="1851561945" userName="石玉珍" dateTime="2026-06-05T13:32:15" isNormal="0">
            <s:text>
              <s:r>
                <s:t xml:space="preserve">6/5上 UPC贴纸 72 pcs</s:t>
              </s:r>
            </s:text>
          </item>
          <item id="bacef04d407241a673fee7bb7ffd5a4970cde724" userID="1851561945" userName="石玉珍" dateTime="2026-06-26T06:17:45" isNormal="0">
            <s:text>
              <s:r>
                <s:t xml:space="preserve">6/25号收到通知亚马逊后续订单东莞贴
6/24 客供亚马逊外箱贴纸 3 pcs</s:t>
              </s:r>
            </s:text>
          </item>
        </commentChain>
      </unresolved>
      <resolved/>
    </commentChains>
    <commentChains s:ref="AB765" rgbClr="FF0000">
      <unresolved>
        <commentChain chainId="73ec664dc44a714ce2d94b4aa3d2e07db49b15d7">
          <item id="073b96442d325ab9c6f68e88d41961e026edfe8e" userID="1851561945" userName="石玉珍" dateTime="2026-07-04T03:05:17" isNormal="0">
            <s:text>
              <s:r>
                <s:t xml:space="preserve">2201189 7/2 48 pcs 欣泰A6</s:t>
              </s:r>
            </s:text>
          </item>
        </commentChain>
      </unresolved>
      <resolved/>
    </commentChains>
    <commentChains s:ref="AD765" rgbClr="FF0000">
      <unresolved>
        <commentChain chainId="d394b51ef793852bcf0f052c9dc912f28e678c19">
          <item id="ec0db2d52211331992bbb9d46db6e7f1a6ba2401" userID="1851561945" userName="石玉珍" dateTime="2026-06-05T13:32:15" isNormal="0">
            <s:text>
              <s:r>
                <s:t xml:space="preserve">6/5上 UPC贴纸 48 pcs</s:t>
              </s:r>
            </s:text>
          </item>
          <item id="f485d4232dea07ae8d048ca443aa14c60e73f99d" userID="1851561945" userName="石玉珍" dateTime="2026-06-26T06:17:52" isNormal="0">
            <s:text>
              <s:r>
                <s:t xml:space="preserve">6/25号收到通知亚马逊后续订单东莞贴
6/24 客供亚马逊外箱贴纸 2 pcs</s:t>
              </s:r>
            </s:text>
          </item>
        </commentChain>
      </unresolved>
      <resolved/>
    </commentChains>
    <commentChains s:ref="AB766" rgbClr="FF0000">
      <unresolved>
        <commentChain chainId="a87e38db091d949fb1ea001bdc5ed1914f6328ab">
          <item id="b2ad93e0ac8b4552593488a58ee99d9341c9835d" userID="1851561945" userName="石玉珍" dateTime="2026-07-04T03:14:15" isNormal="0">
            <s:text>
              <s:r>
                <s:t xml:space="preserve">2201190 7/2 168 pcs 欣泰A6</s:t>
              </s:r>
            </s:text>
          </item>
        </commentChain>
      </unresolved>
      <resolved/>
    </commentChains>
    <commentChains s:ref="AD766" rgbClr="FF0000">
      <unresolved>
        <commentChain chainId="9edb3bc04f7198daeff5149517eae23296d5a687">
          <item id="102897d68cc3c7cc63661662d2d4e5acf74e842f" userID="1851561945" userName="石玉珍" dateTime="2026-06-06T11:30:09" isNormal="0">
            <s:text>
              <s:r>
                <s:t xml:space="preserve">6/6上 UPC贴纸 168 pcs</s:t>
              </s:r>
            </s:text>
          </item>
          <item id="d473dd5d43195253f919336e1a0f18d951e57102" userID="1851561945" userName="石玉珍" dateTime="2026-06-26T06:00:15" isNormal="0">
            <s:text>
              <s:r>
                <s:t xml:space="preserve">6/25号收到通知亚马逊后续订单东莞贴
6/24 客供亚马逊外箱贴纸 7 pcs</s:t>
              </s:r>
            </s:text>
          </item>
        </commentChain>
      </unresolved>
      <resolved/>
    </commentChains>
    <commentChains s:ref="AB767" rgbClr="FF0000">
      <unresolved>
        <commentChain chainId="4aa66d7dc74dd6ced66d598125f419f8eea0ae41">
          <item id="c04e40905702bad376568691501714c7a08533f9" userID="1851561945" userName="石玉珍" dateTime="2026-07-04T03:14:22" isNormal="0">
            <s:text>
              <s:r>
                <s:t xml:space="preserve">2201190 7/2 24 pcs 欣泰A6</s:t>
              </s:r>
            </s:text>
          </item>
        </commentChain>
      </unresolved>
      <resolved/>
    </commentChains>
    <commentChains s:ref="AD767" rgbClr="FF0000">
      <unresolved>
        <commentChain chainId="b7ae4b463468e88714168914932cf5f496370b98">
          <item id="cc7eb9146290994ed69b88917f4a8e0cacdac68d" userID="1851561945" userName="石玉珍" dateTime="2026-06-06T11:30:09" isNormal="0">
            <s:text>
              <s:r>
                <s:t xml:space="preserve">6/6上 UPC贴纸 24 pcs</s:t>
              </s:r>
            </s:text>
          </item>
          <item id="b009da67ee108890a510c644ac36c2e4f973378d" userID="1851561945" userName="石玉珍" dateTime="2026-06-26T06:00:20" isNormal="0">
            <s:text>
              <s:r>
                <s:t xml:space="preserve">6/25号收到通知亚马逊后续订单东莞贴
6/24 客供亚马逊外箱贴纸 1 pcs</s:t>
              </s:r>
            </s:text>
          </item>
        </commentChain>
      </unresolved>
      <resolved/>
    </commentChains>
    <commentChains s:ref="AB768" rgbClr="FF0000">
      <unresolved>
        <commentChain chainId="afd16b2b1bcc4a9367b39e7822e1feb22f8c0a7e">
          <item id="33a390ec9e8c600c95df64998d844796aa401acd" userID="1851561945" userName="石玉珍" dateTime="2026-07-04T03:14:32" isNormal="0">
            <s:text>
              <s:r>
                <s:t xml:space="preserve">2201190 7/2 72 pcs 欣泰A6</s:t>
              </s:r>
            </s:text>
          </item>
        </commentChain>
      </unresolved>
      <resolved/>
    </commentChains>
    <commentChains s:ref="AD768" rgbClr="FF0000">
      <unresolved>
        <commentChain chainId="216225f3a9c6c7a10a72003bdd2b1eb358741e74">
          <item id="64ac2d1a051b38b37161452aa862025bc0f0cb9a" userID="1851561945" userName="石玉珍" dateTime="2026-06-06T11:30:09" isNormal="0">
            <s:text>
              <s:r>
                <s:t xml:space="preserve">6/6上 UPC贴纸 72 pcs</s:t>
              </s:r>
            </s:text>
          </item>
          <item id="032fb79a933e7a45f5c4a9331e30241ce3784244" userID="1851561945" userName="石玉珍" dateTime="2026-06-26T06:00:28" isNormal="0">
            <s:text>
              <s:r>
                <s:t xml:space="preserve">6/25号收到通知亚马逊后续订单东莞贴
6/24 客供亚马逊外箱贴纸 3 pcs</s:t>
              </s:r>
            </s:text>
          </item>
        </commentChain>
      </unresolved>
      <resolved/>
    </commentChains>
    <commentChains s:ref="AB769" rgbClr="FF0000">
      <unresolved>
        <commentChain chainId="6d9a3ee86277c057ed4857fe38c40ab500892015">
          <item id="a667ace44051594b6d7da738d43307b1b9cf3e42" userID="1851561945" userName="石玉珍" dateTime="2026-07-04T03:14:40" isNormal="0">
            <s:text>
              <s:r>
                <s:t xml:space="preserve">2201190 7/2 48 pcs 欣泰A6</s:t>
              </s:r>
            </s:text>
          </item>
        </commentChain>
      </unresolved>
      <resolved/>
    </commentChains>
    <commentChains s:ref="AD769" rgbClr="FF0000">
      <unresolved>
        <commentChain chainId="b07bb9e3de79b84c9e41b11ad1fc65e8a5a3866e">
          <item id="5bcaa2e14a57a373353bf8879fd8f85899ce73f0" userID="1851561945" userName="石玉珍" dateTime="2026-06-06T11:30:09" isNormal="0">
            <s:text>
              <s:r>
                <s:t xml:space="preserve">6/6上 UPC贴纸 48 pcs</s:t>
              </s:r>
            </s:text>
          </item>
          <item id="b30f39ad035715e14b1634e75c2ad0e8f3f1d89d" userID="1851561945" userName="石玉珍" dateTime="2026-06-26T06:00:40" isNormal="0">
            <s:text>
              <s:r>
                <s:t xml:space="preserve">6/25号收到通知亚马逊后续订单东莞贴
6/24 客供亚马逊外箱贴纸 2 pcs</s:t>
              </s:r>
            </s:text>
          </item>
        </commentChain>
      </unresolved>
      <resolved/>
    </commentChains>
    <commentChains s:ref="AB770" rgbClr="FF0000">
      <unresolved>
        <commentChain chainId="57f769744412c27bbd234499b55f45c433b399d7">
          <item id="acb99a73a6480c04e5645ffbbbbb93c7e9d82ed0" userID="1851561945" userName="石玉珍" dateTime="2026-07-04T03:14:48" isNormal="0">
            <s:text>
              <s:r>
                <s:t xml:space="preserve">2201190 7/2 24 pcs 欣泰A6</s:t>
              </s:r>
            </s:text>
          </item>
        </commentChain>
      </unresolved>
      <resolved/>
    </commentChains>
    <commentChains s:ref="AD770" rgbClr="FF0000">
      <unresolved>
        <commentChain chainId="0e7087e23fee98463ccf31ebc07bd16ba2b821f4">
          <item id="add0086a6052b0d2eb70c39bee48479f1daa9ffc" userID="1851561945" userName="石玉珍" dateTime="2026-06-06T11:30:09" isNormal="0">
            <s:text>
              <s:r>
                <s:t xml:space="preserve">6/6上 UPC贴纸 24 pcs</s:t>
              </s:r>
            </s:text>
          </item>
          <item id="fdc9506b4ee13b34c7ae3c3569f6e1d3b04c1b9d" userID="1851561945" userName="石玉珍" dateTime="2026-06-26T06:00:46" isNormal="0">
            <s:text>
              <s:r>
                <s:t xml:space="preserve">6/25号收到通知亚马逊后续订单东莞贴
6/24 客供亚马逊外箱贴纸 1 pcs</s:t>
              </s:r>
            </s:text>
          </item>
        </commentChain>
      </unresolved>
      <resolved/>
    </commentChains>
    <commentChains s:ref="AB771" rgbClr="FF0000">
      <unresolved>
        <commentChain chainId="72eb5f06980f55e28dad47d47ea1b6ffd512f98f">
          <item id="49a614b9111d05047e8b4f68e73a11890ecee7a9" userID="1851561945" userName="石玉珍" dateTime="2026-07-04T03:14:57" isNormal="0">
            <s:text>
              <s:r>
                <s:t xml:space="preserve">2201190 7/2 48 pcs 欣泰A6</s:t>
              </s:r>
            </s:text>
          </item>
        </commentChain>
      </unresolved>
      <resolved/>
    </commentChains>
    <commentChains s:ref="AD771" rgbClr="FF0000">
      <unresolved>
        <commentChain chainId="42f058e7f68856b0e8a8cc8747e46ca4095996cf">
          <item id="7f5a1e026bbed242286122d019d0eab76377dc67" userID="1851561945" userName="石玉珍" dateTime="2026-06-06T11:30:09" isNormal="0">
            <s:text>
              <s:r>
                <s:t xml:space="preserve">6/6上 UPC贴纸 48 pcs</s:t>
              </s:r>
            </s:text>
          </item>
          <item id="50a453cf569acaf5eeab636ad000ad826467c6a5" userID="1851561945" userName="石玉珍" dateTime="2026-06-26T06:00:53" isNormal="0">
            <s:text>
              <s:r>
                <s:t xml:space="preserve">6/25号收到通知亚马逊后续订单东莞贴
6/24 客供亚马逊外箱贴纸 2 pcs</s:t>
              </s:r>
            </s:text>
          </item>
        </commentChain>
      </unresolved>
      <resolved/>
    </commentChains>
    <commentChains s:ref="AB772" rgbClr="FF0000">
      <unresolved>
        <commentChain chainId="e7a6bcc711924365453dc6913dcbe2d541ccb7df">
          <item id="c8eb9fbb324753654e7742dc73a116235092cdf6" userID="1851561945" userName="石玉珍" dateTime="2026-07-04T03:15:06" isNormal="0">
            <s:text>
              <s:r>
                <s:t xml:space="preserve">2201190 7/2 24 pcs 欣泰A6</s:t>
              </s:r>
            </s:text>
          </item>
        </commentChain>
      </unresolved>
      <resolved/>
    </commentChains>
    <commentChains s:ref="AD772" rgbClr="FF0000">
      <unresolved>
        <commentChain chainId="08680014904541e1001e69accbcc36053a9ff6f8">
          <item id="b1f6d66b6a2ece8f126756d53c7b08da8daffd93" userID="1851561945" userName="石玉珍" dateTime="2026-06-06T11:30:09" isNormal="0">
            <s:text>
              <s:r>
                <s:t xml:space="preserve">6/6上 UPC贴纸 24 pcs</s:t>
              </s:r>
            </s:text>
          </item>
          <item id="7df02a88f0881b657b975999c59c04c61d8594e2" userID="1851561945" userName="石玉珍" dateTime="2026-06-26T06:00:57" isNormal="0">
            <s:text>
              <s:r>
                <s:t xml:space="preserve">6/25号收到通知亚马逊后续订单东莞贴
6/24 客供亚马逊外箱贴纸 1 pcs</s:t>
              </s:r>
            </s:text>
          </item>
        </commentChain>
      </unresolved>
      <resolved/>
    </commentChains>
    <commentChains s:ref="AB773" rgbClr="FF0000">
      <unresolved>
        <commentChain chainId="4d38a42200135d8415c17490185611fb3d61be20">
          <item id="3fead85c6a740efb3fac03b3aa43a2157b23ab31" userID="1851561945" userName="石玉珍" dateTime="2026-07-04T03:15:13" isNormal="0">
            <s:text>
              <s:r>
                <s:t xml:space="preserve">2201190 7/2 24 pcs 欣泰A6</s:t>
              </s:r>
            </s:text>
          </item>
        </commentChain>
      </unresolved>
      <resolved/>
    </commentChains>
    <commentChains s:ref="AD773" rgbClr="FF0000">
      <unresolved>
        <commentChain chainId="ba424322d3ab1d9776b37b8fa3933aa6b8dc7e88">
          <item id="c18de03f8eddfb99e56b8d6022ed6727325db206" userID="1851561945" userName="石玉珍" dateTime="2026-06-06T11:30:09" isNormal="0">
            <s:text>
              <s:r>
                <s:t xml:space="preserve">6/6上 UPC贴纸 24 pcs</s:t>
              </s:r>
            </s:text>
          </item>
          <item id="550945a97496a960e1a2ba7728e3b50582fc6958" userID="1851561945" userName="石玉珍" dateTime="2026-06-26T06:01:02" isNormal="0">
            <s:text>
              <s:r>
                <s:t xml:space="preserve">6/25号收到通知亚马逊后续订单东莞贴
6/24 客供亚马逊外箱贴纸 1 pcs</s:t>
              </s:r>
            </s:text>
          </item>
        </commentChain>
      </unresolved>
      <resolved/>
    </commentChains>
    <commentChains s:ref="AB774" rgbClr="FF0000">
      <unresolved>
        <commentChain chainId="68e87564bdff098a279f83db49a89415fffd2fc4">
          <item id="4ff248a0c9edbc6cb46889b36a7eb091e2ea4075" userID="1851561945" userName="石玉珍" dateTime="2026-07-04T03:15:21" isNormal="0">
            <s:text>
              <s:r>
                <s:t xml:space="preserve">2201190 7/2 48 pcs 欣泰A6</s:t>
              </s:r>
            </s:text>
          </item>
        </commentChain>
      </unresolved>
      <resolved/>
    </commentChains>
    <commentChains s:ref="AD774" rgbClr="FF0000">
      <unresolved>
        <commentChain chainId="b10d5924a49697ac7a260f76a12708f873dae857">
          <item id="1e3c5f19060f2132fbb1398851ce203d74f660e1" userID="1851561945" userName="石玉珍" dateTime="2026-06-06T11:30:09" isNormal="0">
            <s:text>
              <s:r>
                <s:t xml:space="preserve">6/6上 UPC贴纸 48 pcs</s:t>
              </s:r>
            </s:text>
          </item>
          <item id="91e4281391a404c6b9f0fcff4d2a1724ed2ca061" userID="1851561945" userName="石玉珍" dateTime="2026-06-26T06:01:09" isNormal="0">
            <s:text>
              <s:r>
                <s:t xml:space="preserve">6/25号收到通知亚马逊后续订单东莞贴
6/24 客供亚马逊外箱贴纸 2 pcs</s:t>
              </s:r>
            </s:text>
          </item>
        </commentChain>
      </unresolved>
      <resolved/>
    </commentChains>
    <commentChains s:ref="AB775" rgbClr="FF0000">
      <unresolved>
        <commentChain chainId="301668bd0402c8445cc0b98cf40bc5339e876599">
          <item id="c1f41fd777b6d83bb21119461861980b9a953a19" userID="1851561945" userName="石玉珍" dateTime="2026-07-04T03:06:44" isNormal="0">
            <s:text>
              <s:r>
                <s:t xml:space="preserve">2201191 7/2 24 pcs 欣泰A6</s:t>
              </s:r>
            </s:text>
          </item>
        </commentChain>
      </unresolved>
      <resolved/>
    </commentChains>
    <commentChains s:ref="AD775" rgbClr="FF0000">
      <unresolved>
        <commentChain chainId="7297fd9797f86763123d95da6434bbc97dcedc54">
          <item id="fd260c984706cd4a5b85988ae0fa22a15c4013aa" userID="1851561945" userName="石玉珍" dateTime="2026-06-06T11:30:09" isNormal="0">
            <s:text>
              <s:r>
                <s:t xml:space="preserve">6/6上 UPC贴纸 24 pcs</s:t>
              </s:r>
            </s:text>
          </item>
          <item id="65aa4e543ea49e570d4be31c1858cb2701e52d7a" userID="1851561945" userName="石玉珍" dateTime="2026-06-26T06:10:11" isNormal="0">
            <s:text>
              <s:r>
                <s:t xml:space="preserve">6/25号收到通知亚马逊后续订单东莞贴
6/24 客供亚马逊外箱贴纸 1 pcs</s:t>
              </s:r>
            </s:text>
          </item>
        </commentChain>
      </unresolved>
      <resolved/>
    </commentChains>
    <commentChains s:ref="AB776" rgbClr="FF0000">
      <unresolved>
        <commentChain chainId="2b5e43bce63aa8c4d6c26e4eaa9393e311dfabb5">
          <item id="c6175b83bee7529d6485345f8dca4bba0f4b3a54" userID="1851561945" userName="石玉珍" dateTime="2026-07-04T03:06:47" isNormal="0">
            <s:text>
              <s:r>
                <s:t xml:space="preserve">2201191 7/2 24 pcs 欣泰A6</s:t>
              </s:r>
            </s:text>
          </item>
        </commentChain>
      </unresolved>
      <resolved/>
    </commentChains>
    <commentChains s:ref="AD776" rgbClr="FF0000">
      <unresolved>
        <commentChain chainId="4a4409b57b64f8dd5b1ab7c638491e27a5aacd9d">
          <item id="b0275b344e5654ea83d8efcb1cfaf284be883250" userID="1851561945" userName="石玉珍" dateTime="2026-06-06T11:30:09" isNormal="0">
            <s:text>
              <s:r>
                <s:t xml:space="preserve">6/6上 UPC贴纸 24 pcs</s:t>
              </s:r>
            </s:text>
          </item>
          <item id="fc1a79dda4a4cddd06574d5b43a03d75d94aecff" userID="1851561945" userName="石玉珍" dateTime="2026-06-26T06:10:15" isNormal="0">
            <s:text>
              <s:r>
                <s:t xml:space="preserve">6/25号收到通知亚马逊后续订单东莞贴
6/24 客供亚马逊外箱贴纸 1 pcs</s:t>
              </s:r>
            </s:text>
          </item>
        </commentChain>
      </unresolved>
      <resolved/>
    </commentChains>
    <commentChains s:ref="AB777" rgbClr="FF0000">
      <unresolved>
        <commentChain chainId="7700011da0c34468984b0fcd49c8d3535166a9a0">
          <item id="780e8def846cce728767b90664fae3f43562e80b" userID="1851561945" userName="石玉珍" dateTime="2026-07-04T03:06:55" isNormal="0">
            <s:text>
              <s:r>
                <s:t xml:space="preserve">2201191 7/2 48 pcs 欣泰A6</s:t>
              </s:r>
            </s:text>
          </item>
        </commentChain>
      </unresolved>
      <resolved/>
    </commentChains>
    <commentChains s:ref="AD777" rgbClr="FF0000">
      <unresolved>
        <commentChain chainId="4853b29520fca85fe0488a84a87fc42c005f0705">
          <item id="fb0cb9d980b9be78ec83f9c4e8d0080daee18bfe" userID="1851561945" userName="石玉珍" dateTime="2026-06-06T11:30:09" isNormal="0">
            <s:text>
              <s:r>
                <s:t xml:space="preserve">6/6上 UPC贴纸 48 pcs</s:t>
              </s:r>
            </s:text>
          </item>
          <item id="18863fe6f1a5592ab5e5228aaaaff2bcc2b01ddb" userID="1851561945" userName="石玉珍" dateTime="2026-06-26T06:10:58" isNormal="0">
            <s:text>
              <s:r>
                <s:t xml:space="preserve">6/25号收到通知亚马逊后续订单东莞贴
6/24 客供亚马逊外箱贴纸 2 pcs</s:t>
              </s:r>
            </s:text>
          </item>
        </commentChain>
      </unresolved>
      <resolved/>
    </commentChains>
    <commentChains s:ref="AB778" rgbClr="FF0000">
      <unresolved>
        <commentChain chainId="92aa8bc53b8ddfbba6e94052c8c92196dabb6f6c">
          <item id="ebbbcd7b803b50e79b21f496f88575a4c5a87b69" userID="1851561945" userName="石玉珍" dateTime="2026-07-04T03:06:59" isNormal="0">
            <s:text>
              <s:r>
                <s:t xml:space="preserve">2201191 7/2 24 pcs 欣泰A6</s:t>
              </s:r>
            </s:text>
          </item>
        </commentChain>
      </unresolved>
      <resolved/>
    </commentChains>
    <commentChains s:ref="AD778" rgbClr="FF0000">
      <unresolved>
        <commentChain chainId="29988a2958e5c09ce9fd2e473ad80c1acca16960">
          <item id="1275d8e1a1aa38ad9bb1ced8faaf677aa6d30b04" userID="1851561945" userName="石玉珍" dateTime="2026-06-06T11:30:09" isNormal="0">
            <s:text>
              <s:r>
                <s:t xml:space="preserve">6/6上 UPC贴纸 24 pcs</s:t>
              </s:r>
            </s:text>
          </item>
          <item id="be57bb946ca951232b5b470a12e95e5cf7b7c99c" userID="1851561945" userName="石玉珍" dateTime="2026-06-26T06:11:02" isNormal="0">
            <s:text>
              <s:r>
                <s:t xml:space="preserve">6/25号收到通知亚马逊后续订单东莞贴
6/24 客供亚马逊外箱贴纸 1 pcs</s:t>
              </s:r>
            </s:text>
          </item>
        </commentChain>
      </unresolved>
      <resolved/>
    </commentChains>
    <commentChains s:ref="AB779" rgbClr="FF0000">
      <unresolved>
        <commentChain chainId="91722bd5cf93d9a225ba5c0158a7aa33b6357e61">
          <item id="75cdd54bbf3792e138bb43bf1e0d13ce1d7c15e9" userID="1851561945" userName="石玉珍" dateTime="2026-07-04T03:07:03" isNormal="0">
            <s:text>
              <s:r>
                <s:t xml:space="preserve">2201191 7/2 24 pcs 欣泰A6</s:t>
              </s:r>
            </s:text>
          </item>
        </commentChain>
      </unresolved>
      <resolved/>
    </commentChains>
    <commentChains s:ref="AD779" rgbClr="FF0000">
      <unresolved>
        <commentChain chainId="5dc111e56744362fcc5f5afbabe09a6a50878945">
          <item id="640cadb89881fed36e03a00fc66f294f3542ef33" userID="1851561945" userName="石玉珍" dateTime="2026-06-06T11:30:09" isNormal="0">
            <s:text>
              <s:r>
                <s:t xml:space="preserve">6/6上 UPC贴纸 24 pcs</s:t>
              </s:r>
            </s:text>
          </item>
          <item id="b7ba41951b6b14c72b2c387d16e130ffc8bb8448" userID="1851561945" userName="石玉珍" dateTime="2026-06-26T06:11:05" isNormal="0">
            <s:text>
              <s:r>
                <s:t xml:space="preserve">6/25号收到通知亚马逊后续订单东莞贴
6/24 客供亚马逊外箱贴纸 1 pcs</s:t>
              </s:r>
            </s:text>
          </item>
        </commentChain>
      </unresolved>
      <resolved/>
    </commentChains>
    <commentChains s:ref="AB780" rgbClr="FF0000">
      <unresolved>
        <commentChain chainId="fcfb3ce9b65c8fc1a5c85a07a364d8e03526ab1a">
          <item id="af4ef8526324c02a166a5ed14e9b59d301999ee0" userID="1851561945" userName="石玉珍" dateTime="2026-07-04T03:07:12" isNormal="0">
            <s:text>
              <s:r>
                <s:t xml:space="preserve">2201191 7/2 120 pcs 欣泰A6</s:t>
              </s:r>
            </s:text>
          </item>
        </commentChain>
      </unresolved>
      <resolved/>
    </commentChains>
    <commentChains s:ref="AD780" rgbClr="FF0000">
      <unresolved>
        <commentChain chainId="8cf3f9bcb440d2668d038ea62c717654af77ae70">
          <item id="2cdff04f7bfd049fa9129daca31f6fbdf7be3ade" userID="1851561945" userName="石玉珍" dateTime="2026-06-06T11:30:09" isNormal="0">
            <s:text>
              <s:r>
                <s:t xml:space="preserve">6/6上 UPC贴纸 120 pcs</s:t>
              </s:r>
            </s:text>
          </item>
          <item id="860c6ea7582d8e3047e20774819d45e77c2464ac" userID="1851561945" userName="石玉珍" dateTime="2026-06-26T06:11:11" isNormal="0">
            <s:text>
              <s:r>
                <s:t xml:space="preserve">6/25号收到通知亚马逊后续订单东莞贴
6/24 客供亚马逊外箱贴纸 5 pcs</s:t>
              </s:r>
            </s:text>
          </item>
        </commentChain>
      </unresolved>
      <resolved/>
    </commentChains>
    <commentChains s:ref="AB781" rgbClr="FF0000">
      <unresolved>
        <commentChain chainId="ac624cb1cdcba054dfe38ae0b636d22eed92caca">
          <item id="32be553946d54ff1fffde94dbbde057c192d651b" userID="1851561945" userName="石玉珍" dateTime="2026-07-04T03:07:18" isNormal="0">
            <s:text>
              <s:r>
                <s:t xml:space="preserve">2201191 7/2 24 pcs 欣泰A6</s:t>
              </s:r>
            </s:text>
          </item>
        </commentChain>
      </unresolved>
      <resolved/>
    </commentChains>
    <commentChains s:ref="AD781" rgbClr="FF0000">
      <unresolved>
        <commentChain chainId="3a4b83644beb01fd49cd38cb2633052268ccbdec">
          <item id="50c51a5e98a5b29a4b4a64b9de0fdbd553a10fc3" userID="1851561945" userName="石玉珍" dateTime="2026-06-06T11:30:09" isNormal="0">
            <s:text>
              <s:r>
                <s:t xml:space="preserve">6/6上 UPC贴纸 24 pcs</s:t>
              </s:r>
            </s:text>
          </item>
          <item id="04d4cddbe74bc5e3800d694638b73eefe965ed78" userID="1851561945" userName="石玉珍" dateTime="2026-06-26T06:11:23" isNormal="0">
            <s:text>
              <s:r>
                <s:t xml:space="preserve">6/25号收到通知亚马逊后续订单东莞贴
6/24 客供亚马逊外箱贴纸 1 pcs</s:t>
              </s:r>
            </s:text>
          </item>
        </commentChain>
      </unresolved>
      <resolved/>
    </commentChains>
    <commentChains s:ref="AB782" rgbClr="FF0000">
      <unresolved>
        <commentChain chainId="a9f826090fb95f1c6b485830ee1fe16ef97a7930">
          <item id="ae8d7293472e13991c6a8e34c88bffe2cebfe539" userID="1851561945" userName="石玉珍" dateTime="2026-07-04T03:07:25" isNormal="0">
            <s:text>
              <s:r>
                <s:t xml:space="preserve">2201191 7/2 48 pcs 欣泰A6</s:t>
              </s:r>
            </s:text>
          </item>
        </commentChain>
      </unresolved>
      <resolved/>
    </commentChains>
    <commentChains s:ref="AD782" rgbClr="FF0000">
      <unresolved>
        <commentChain chainId="a876fb9b7462c9d279768a5102b3889c7a8fb894">
          <item id="43b72e02ef5e0af46372f85e73b9ce13435d6f82" userID="1851561945" userName="石玉珍" dateTime="2026-06-06T11:30:09" isNormal="0">
            <s:text>
              <s:r>
                <s:t xml:space="preserve">6/6上 UPC贴纸 48 pcs</s:t>
              </s:r>
            </s:text>
          </item>
          <item id="20e1e4dbc128626a27a4425462c38359cfab6534" userID="1851561945" userName="石玉珍" dateTime="2026-06-26T06:11:37" isNormal="0">
            <s:text>
              <s:r>
                <s:t xml:space="preserve">6/25号收到通知亚马逊后续订单东莞贴
6/24 客供亚马逊外箱贴纸 2 pcs</s:t>
              </s:r>
            </s:text>
          </item>
        </commentChain>
      </unresolved>
      <resolved/>
    </commentChains>
    <commentChains s:ref="AB783" rgbClr="FF0000">
      <unresolved>
        <commentChain chainId="87121cbe34f975e5e0e6a2ea64e00e616ef9c0b7">
          <item id="195e416832ea67b3490121da4101ad91dfde99b4" userID="1851561945" userName="石玉珍" dateTime="2026-07-04T03:07:29" isNormal="0">
            <s:text>
              <s:r>
                <s:t xml:space="preserve">2201191 7/2 48 pcs 欣泰A6</s:t>
              </s:r>
            </s:text>
          </item>
        </commentChain>
      </unresolved>
      <resolved/>
    </commentChains>
    <commentChains s:ref="AD783" rgbClr="FF0000">
      <unresolved>
        <commentChain chainId="6cebc1296e0ce74d024ef7cd13ad7383dc01bdf9">
          <item id="851a125c994a208d92c039bcd0b9b33d27e8ec29" userID="1851561945" userName="石玉珍" dateTime="2026-06-06T11:30:09" isNormal="0">
            <s:text>
              <s:r>
                <s:t xml:space="preserve">6/6上 UPC贴纸 48 pcs</s:t>
              </s:r>
            </s:text>
          </item>
          <item id="d508e7cf48d9bed2a26f496445355fd2f61e3eaf" userID="1851561945" userName="石玉珍" dateTime="2026-06-26T06:11:42" isNormal="0">
            <s:text>
              <s:r>
                <s:t xml:space="preserve">6/25号收到通知亚马逊后续订单东莞贴
6/24 客供亚马逊外箱贴纸 2 pcs</s:t>
              </s:r>
            </s:text>
          </item>
        </commentChain>
      </unresolved>
      <resolved/>
    </commentChains>
    <commentChains s:ref="AB784" rgbClr="FF0000">
      <unresolved>
        <commentChain chainId="53a03e7239af591554d28b4a0722039196e5e830">
          <item id="85eb0ac5c2a3cc522e2a64ddb2fe60fa3911997b" userID="1851561945" userName="石玉珍" dateTime="2026-07-04T03:08:18" isNormal="0">
            <s:text>
              <s:r>
                <s:t xml:space="preserve">2201192 7/2 24 pcs 欣泰A6</s:t>
              </s:r>
            </s:text>
          </item>
        </commentChain>
      </unresolved>
      <resolved/>
    </commentChains>
    <commentChains s:ref="AD784" rgbClr="FF0000">
      <unresolved>
        <commentChain chainId="680d546d4473ced744d606368b53492c011f6cb0">
          <item id="5c117ebc816dbfa1ac42d7ef00cfd9905971cced" userID="1851561945" userName="石玉珍" dateTime="2026-06-06T11:30:09" isNormal="0">
            <s:text>
              <s:r>
                <s:t xml:space="preserve">6/6上 UPC贴纸 24 pcs</s:t>
              </s:r>
            </s:text>
          </item>
          <item id="67ab674da635db8184fa01f6a223bfc5b03a7b1e" userID="1851561945" userName="石玉珍" dateTime="2026-06-26T06:17:58" isNormal="0">
            <s:text>
              <s:r>
                <s:t xml:space="preserve">6/25号收到通知亚马逊后续订单东莞贴
6/24 客供亚马逊外箱贴纸 1 pcs</s:t>
              </s:r>
            </s:text>
          </item>
        </commentChain>
      </unresolved>
      <resolved/>
    </commentChains>
    <commentChains s:ref="AB785" rgbClr="FF0000">
      <unresolved>
        <commentChain chainId="146793ac147e6137d48a7d670a18a1a229adb20e">
          <item id="e0c9bd3d1d452e8818c92195e383c620a1bad086" userID="1851561945" userName="石玉珍" dateTime="2026-07-04T03:08:21" isNormal="0">
            <s:text>
              <s:r>
                <s:t xml:space="preserve">2201192 7/2 24 pcs 欣泰A6</s:t>
              </s:r>
            </s:text>
          </item>
        </commentChain>
      </unresolved>
      <resolved/>
    </commentChains>
    <commentChains s:ref="AD785" rgbClr="FF0000">
      <unresolved>
        <commentChain chainId="0efac33955b7c315d90b450566412dd1b7a530c5">
          <item id="a09f76db9affb7cb5e0a6eef7debb0a77ac04256" userID="1851561945" userName="石玉珍" dateTime="2026-06-06T11:30:09" isNormal="0">
            <s:text>
              <s:r>
                <s:t xml:space="preserve">6/6上 UPC贴纸 24 pcs</s:t>
              </s:r>
            </s:text>
          </item>
          <item id="b06a7fe26de2f33dcf4cafa50bd3d81c4f40088e" userID="1851561945" userName="石玉珍" dateTime="2026-06-26T06:18:01" isNormal="0">
            <s:text>
              <s:r>
                <s:t xml:space="preserve">6/25号收到通知亚马逊后续订单东莞贴
6/24 客供亚马逊外箱贴纸 1 pcs</s:t>
              </s:r>
            </s:text>
          </item>
        </commentChain>
      </unresolved>
      <resolved/>
    </commentChains>
    <commentChains s:ref="AB786" rgbClr="FF0000">
      <unresolved>
        <commentChain chainId="674e73703b848276c29ef164cfb53d652a90cd62">
          <item id="07dcfba6652f910c65785648224d350e29435957" userID="1851561945" userName="石玉珍" dateTime="2026-07-08T01:02:06" isNormal="0">
            <s:text>
              <s:r>
                <s:t xml:space="preserve">2201232 7/6 480 pcs 欣泰E6</s:t>
              </s:r>
            </s:text>
          </item>
        </commentChain>
      </unresolved>
      <resolved/>
    </commentChains>
    <commentChains s:ref="AD786" rgbClr="FF0000">
      <unresolved>
        <commentChain chainId="037d4f05147db3e116e974c87d14c834541278a6">
          <item id="d12866ae89dcb1e3c103682c4002c48251bee3d8" userID="1851561945" userName="石玉珍" dateTime="2026-06-11T03:49:43" isNormal="0">
            <s:text>
              <s:r>
                <s:t xml:space="preserve">6/10上 客供价格贴纸 504 pcs</s:t>
              </s:r>
            </s:text>
          </item>
        </commentChain>
      </unresolved>
      <resolved/>
    </commentChains>
    <commentChains s:ref="AB787" rgbClr="FF0000">
      <unresolved>
        <commentChain chainId="29bf2469c1a85b54be878e45c2f92d9340a49878">
          <item id="fcc0ee92196c6e2e6234e5c8b3f5bb319e84f001" userID="1851561945" userName="石玉珍" dateTime="2026-07-04T03:17:09" isNormal="0">
            <s:text>
              <s:r>
                <s:t xml:space="preserve">2201194 7/2 2508 pcs 欣泰2B0</s:t>
              </s:r>
            </s:text>
          </item>
        </commentChain>
      </unresolved>
      <resolved/>
    </commentChains>
    <commentChains s:ref="AD787" rgbClr="FF0000">
      <unresolved>
        <commentChain chainId="51e41e3c1cdd3d7c54ed04ff37a300b98e9b9925">
          <item id="099c35e5c065fc4f46ac5bdd3155528a0dca59e2" userID="1851561945" userName="石玉珍" dateTime="2026-06-16T13:51:25" isNormal="0">
            <s:text>
              <s:r>
                <s:t xml:space="preserve">6/16上 警语贴纸 2508 pcs</s:t>
              </s:r>
            </s:text>
          </item>
          <item id="83f94633211a4baf1a83104eaf8eff59cd920301" userID="1851561945" userName="石玉珍" dateTime="2026-06-23T08:25:44" isNormal="0">
            <s:text>
              <s:r>
                <s:t xml:space="preserve">6/23 黑白说明书 2508 pcs</s:t>
              </s:r>
            </s:text>
          </item>
        </commentChain>
      </unresolved>
      <resolved/>
    </commentChains>
    <commentChains s:ref="AB788" rgbClr="FF0000">
      <unresolved>
        <commentChain chainId="7425f438473b40d48b8132f8b5adef4bab4d2678">
          <item id="d2cc41642c840f52b1d251267a5c2b3ad80479fb" userID="1851561945" userName="石玉珍" dateTime="2026-07-03T00:55:51" isNormal="0">
            <s:text>
              <s:r>
                <s:t xml:space="preserve">2201039 7/2 1100pcs 顶钧c1</s:t>
              </s:r>
            </s:text>
          </item>
        </commentChain>
      </unresolved>
      <resolved/>
    </commentChains>
    <commentChains s:ref="AD788" rgbClr="FF0000">
      <unresolved>
        <commentChain chainId="e447b5f8d54723043e5d18caacce77d23d387ca2">
          <item id="39ea8bfe84567eb4a193220a03d7cc82a88a1798" userID="1851561945" userName="石玉珍" dateTime="2026-06-22T11:50:17" isNormal="0">
            <s:text>
              <s:r>
                <s:t xml:space="preserve">6/22上 PDQ底部贴纸 1100 pcs</s:t>
              </s:r>
            </s:text>
          </item>
        </commentChain>
      </unresolved>
      <resolved/>
    </commentChains>
    <commentChains s:ref="AB789" rgbClr="FF0000">
      <unresolved>
        <commentChain chainId="8f6c005fc017396524cb51585b8da81d8b5ba450">
          <item id="fe8cd647b984b4d16609412c889a893eba16c590" userID="1851561945" userName="石玉珍" dateTime="2026-07-04T03:08:30" isNormal="0">
            <s:text>
              <s:r>
                <s:t xml:space="preserve">2201192 7/2 96 pcs 欣泰A6</s:t>
              </s:r>
            </s:text>
          </item>
        </commentChain>
      </unresolved>
      <resolved/>
    </commentChains>
    <commentChains s:ref="AD789" rgbClr="FF0000">
      <unresolved>
        <commentChain chainId="d7acdbf72c7cd048464d48de25e7e0d8deccee7a">
          <item id="b17dffebe451141f0c54faf415defabe934aa3c8" userID="1851561945" userName="石玉珍" dateTime="2026-06-15T12:41:05" isNormal="0">
            <s:text>
              <s:r>
                <s:t xml:space="preserve">6/15上 UPC贴纸 96 pcs</s:t>
              </s:r>
            </s:text>
          </item>
          <item id="00280db2ed3d6da74e3746876c0210582b5ee2cb" userID="1851561945" userName="石玉珍" dateTime="2026-06-26T06:01:17" isNormal="0">
            <s:text>
              <s:r>
                <s:t xml:space="preserve">6/25号收到通知亚马逊后续订单东莞贴
6/24 客供亚马逊外箱贴纸 4 pcs</s:t>
              </s:r>
            </s:text>
          </item>
        </commentChain>
      </unresolved>
      <resolved/>
    </commentChains>
    <commentChains s:ref="AB790" rgbClr="FF0000">
      <unresolved>
        <commentChain chainId="6ada067fea524cf73e639566e05c0d9f521b642a">
          <item id="75fa45496ae4ebad3a5f13e2685b1882bda2f0a6" userID="1851561945" userName="石玉珍" dateTime="2026-07-04T03:08:43" isNormal="0">
            <s:text>
              <s:r>
                <s:t xml:space="preserve">2201192 7/2 24 pcs 欣泰A6</s:t>
              </s:r>
            </s:text>
          </item>
        </commentChain>
      </unresolved>
      <resolved/>
    </commentChains>
    <commentChains s:ref="AD790" rgbClr="FF0000">
      <unresolved>
        <commentChain chainId="d3ae84ba35e91747ad5c1c97d9c6abb821c27964">
          <item id="9a50c83144ee3601f59ba0282bfd8307d7a8e972" userID="1851561945" userName="石玉珍" dateTime="2026-06-15T12:41:05" isNormal="0">
            <s:text>
              <s:r>
                <s:t xml:space="preserve">6/15上 UPC贴纸 24 pcs</s:t>
              </s:r>
            </s:text>
          </item>
          <item id="c57c344591ccf7158aa6d9e6759688229b7313e2" userID="1851561945" userName="石玉珍" dateTime="2026-06-26T06:01:25" isNormal="0">
            <s:text>
              <s:r>
                <s:t xml:space="preserve">6/25号收到通知亚马逊后续订单东莞贴
6/24 客供亚马逊外箱贴纸 1 pcs</s:t>
              </s:r>
            </s:text>
          </item>
        </commentChain>
      </unresolved>
      <resolved/>
    </commentChains>
    <commentChains s:ref="AB791" rgbClr="FF0000">
      <unresolved>
        <commentChain chainId="e751318aa41b52e76033f99cc777b69e9a27954d">
          <item id="4ced339d5a722fab1a6f0e1fcecfef55ffb58f42" userID="1851561945" userName="石玉珍" dateTime="2026-07-04T03:08:47" isNormal="0">
            <s:text>
              <s:r>
                <s:t xml:space="preserve">2201192 7/2 24 pcs 欣泰A6</s:t>
              </s:r>
            </s:text>
          </item>
        </commentChain>
      </unresolved>
      <resolved/>
    </commentChains>
    <commentChains s:ref="AD791" rgbClr="FF0000">
      <unresolved>
        <commentChain chainId="041e58e02d7815ad8766142af8b1bf6843fd263e">
          <item id="f710edc40b75120ee085a3e4fe8fbf8771c83f92" userID="1851561945" userName="石玉珍" dateTime="2026-06-15T12:41:05" isNormal="0">
            <s:text>
              <s:r>
                <s:t xml:space="preserve">6/15上 UPC贴纸 24 pcs</s:t>
              </s:r>
            </s:text>
          </item>
          <item id="1925fd1a92d75d0fb661602e472b89bcf75f1dd9" userID="1851561945" userName="石玉珍" dateTime="2026-06-26T06:01:42" isNormal="0">
            <s:text>
              <s:r>
                <s:t xml:space="preserve">6/25号收到通知亚马逊后续订单东莞贴
6/24 客供亚马逊外箱贴纸 1 pcs</s:t>
              </s:r>
            </s:text>
          </item>
        </commentChain>
      </unresolved>
      <resolved/>
    </commentChains>
    <commentChains s:ref="AB792" rgbClr="FF0000">
      <unresolved>
        <commentChain chainId="0b6e49e9b259456f70421571c3c993d083b4a8f5">
          <item id="6ebd8f5753b98b238acad28c3acc7e75cc0a0e10" userID="1851561945" userName="石玉珍" dateTime="2026-07-04T03:08:50" isNormal="0">
            <s:text>
              <s:r>
                <s:t xml:space="preserve">2201192 7/2 24 pcs 欣泰A6</s:t>
              </s:r>
            </s:text>
          </item>
        </commentChain>
      </unresolved>
      <resolved/>
    </commentChains>
    <commentChains s:ref="AD792" rgbClr="FF0000">
      <unresolved>
        <commentChain chainId="1bb133fbcb72d69f8e319bc367b30bacb51596da">
          <item id="73740d00a91a53ad0aa896dce6fdcda41eb1ad67" userID="1851561945" userName="石玉珍" dateTime="2026-06-15T12:41:05" isNormal="0">
            <s:text>
              <s:r>
                <s:t xml:space="preserve">6/15上 UPC贴纸 24 pcs</s:t>
              </s:r>
            </s:text>
          </item>
        </commentChain>
      </unresolved>
      <resolved/>
    </commentChains>
    <commentChains s:ref="AB793" rgbClr="FF0000">
      <unresolved>
        <commentChain chainId="c05b0ad0421cfe399018114879486edd0baac26f">
          <item id="6fb7851a93d8f4be00f8b22a6f6299471b1bf215" userID="1851561945" userName="石玉珍" dateTime="2026-07-04T03:08:53" isNormal="0">
            <s:text>
              <s:r>
                <s:t xml:space="preserve">2201192 7/2 24 pcs 欣泰A6</s:t>
              </s:r>
            </s:text>
          </item>
        </commentChain>
      </unresolved>
      <resolved/>
    </commentChains>
    <commentChains s:ref="AD793" rgbClr="FF0000">
      <unresolved>
        <commentChain chainId="4fcce1ec8f92247bd0165fbe7f4afe509a067396">
          <item id="1d91112fb14bec8a03d0565c92c23658ddf22963" userID="1851561945" userName="石玉珍" dateTime="2026-06-15T12:41:05" isNormal="0">
            <s:text>
              <s:r>
                <s:t xml:space="preserve">6/15上 UPC贴纸 24 pcs</s:t>
              </s:r>
            </s:text>
          </item>
          <item id="288dab581ce058811e620e6ec572253b540af28f" userID="1851561945" userName="石玉珍" dateTime="2026-06-26T06:01:49" isNormal="0">
            <s:text>
              <s:r>
                <s:t xml:space="preserve">6/25号收到通知亚马逊后续订单东莞贴
6/24 客供亚马逊外箱贴纸 1 pcs</s:t>
              </s:r>
            </s:text>
          </item>
        </commentChain>
      </unresolved>
      <resolved/>
    </commentChains>
    <commentChains s:ref="AB794" rgbClr="FF0000">
      <unresolved>
        <commentChain chainId="068d247e26c2750fe84a101869ed8d43460c223c">
          <item id="a770ffdb9f6a9dca2a54b78a4e9db2d45485b137" userID="1851561945" userName="石玉珍" dateTime="2026-07-04T03:08:57" isNormal="0">
            <s:text>
              <s:r>
                <s:t xml:space="preserve">2201192 7/2 24 pcs 欣泰A6</s:t>
              </s:r>
            </s:text>
          </item>
        </commentChain>
      </unresolved>
      <resolved/>
    </commentChains>
    <commentChains s:ref="AD794" rgbClr="FF0000">
      <unresolved>
        <commentChain chainId="bb8d9f6da31c671c24691d0ce1a2b3100f039b0c">
          <item id="8739fa6756542e1e1dea900caf01c3caeb50e3e5" userID="1851561945" userName="石玉珍" dateTime="2026-06-15T12:41:05" isNormal="0">
            <s:text>
              <s:r>
                <s:t xml:space="preserve">6/15上 UPC贴纸 24 pcs</s:t>
              </s:r>
            </s:text>
          </item>
          <item id="1b376c007a29e8255a776222a56bbd3170797f7c" userID="1851561945" userName="石玉珍" dateTime="2026-06-26T06:01:53" isNormal="0">
            <s:text>
              <s:r>
                <s:t xml:space="preserve">6/25号收到通知亚马逊后续订单东莞贴
6/24 客供亚马逊外箱贴纸 1 pcs</s:t>
              </s:r>
            </s:text>
          </item>
        </commentChain>
      </unresolved>
      <resolved/>
    </commentChains>
    <commentChains s:ref="AB795" rgbClr="FF0000">
      <unresolved>
        <commentChain chainId="02c9216b125f13ec3da8d6929162639eb68599a0">
          <item id="7ef18bff1159d5a70870962eb724d64fdefda720" userID="1851561945" userName="石玉珍" dateTime="2026-07-04T03:09:00" isNormal="0">
            <s:text>
              <s:r>
                <s:t xml:space="preserve">2201192 7/2 24 pcs 欣泰A6</s:t>
              </s:r>
            </s:text>
          </item>
        </commentChain>
      </unresolved>
      <resolved/>
    </commentChains>
    <commentChains s:ref="AD795" rgbClr="FF0000">
      <unresolved>
        <commentChain chainId="89b72711a887f116f0cd5ffcb5a6615c852ae6f6">
          <item id="7cc076802cd2179746aec1fb56555eaf67ce1c63" userID="1851561945" userName="石玉珍" dateTime="2026-06-15T12:41:05" isNormal="0">
            <s:text>
              <s:r>
                <s:t xml:space="preserve">6/15上 UPC贴纸 24 pcs</s:t>
              </s:r>
            </s:text>
          </item>
          <item id="ef407d6c695f0ddad184062fb17db8e074e25e4c" userID="1851561945" userName="石玉珍" dateTime="2026-06-26T06:11:47" isNormal="0">
            <s:text>
              <s:r>
                <s:t xml:space="preserve">6/25号收到通知亚马逊后续订单东莞贴
6/24 客供亚马逊外箱贴纸 1 pcs</s:t>
              </s:r>
            </s:text>
          </item>
        </commentChain>
      </unresolved>
      <resolved/>
    </commentChains>
    <commentChains s:ref="AB796" rgbClr="FF0000">
      <unresolved>
        <commentChain chainId="0879c9cf1ff3a898027e2f4318844a2772e5a583">
          <item id="ea971aa81c0897fae4448cf62aaa8e82adb7f52f" userID="1851561945" userName="石玉珍" dateTime="2026-07-04T03:09:06" isNormal="0">
            <s:text>
              <s:r>
                <s:t xml:space="preserve">2201192 7/2 24 pcs 欣泰A6</s:t>
              </s:r>
            </s:text>
          </item>
        </commentChain>
      </unresolved>
      <resolved/>
    </commentChains>
    <commentChains s:ref="AD796" rgbClr="FF0000">
      <unresolved>
        <commentChain chainId="b789c3fd5eb50487113fc086a8bf3f25b354e0aa">
          <item id="46128d9fb64cac861feb7ec0f05ac2c1588f4f44" userID="1851561945" userName="石玉珍" dateTime="2026-06-15T12:41:05" isNormal="0">
            <s:text>
              <s:r>
                <s:t xml:space="preserve">6/15上 UPC贴纸 24 pcs</s:t>
              </s:r>
            </s:text>
          </item>
          <item id="6e26aab0e5f6a9ec094eaab6d1976fb24619da4b" userID="1851561945" userName="石玉珍" dateTime="2026-06-26T06:18:05" isNormal="0">
            <s:text>
              <s:r>
                <s:t xml:space="preserve">6/25号收到通知亚马逊后续订单东莞贴
6/24 客供亚马逊外箱贴纸 1 pcs</s:t>
              </s:r>
            </s:text>
          </item>
        </commentChain>
      </unresolved>
      <resolved/>
    </commentChains>
    <commentChains s:ref="AB797" rgbClr="FF0000">
      <unresolved>
        <commentChain chainId="7215b8722b576078fbfe7f138b019a960f2c7289">
          <item id="bf90b1b72e469685ebd39e86c1110469b290a18c" userID="1851561945" userName="石玉珍" dateTime="2026-07-11T01:13:36" isNormal="0">
            <s:text>
              <s:r>
                <s:t xml:space="preserve">2201284 7/9 726 pcs 欣泰B3</s:t>
              </s:r>
            </s:text>
          </item>
        </commentChain>
      </unresolved>
      <resolved/>
    </commentChains>
    <commentChains s:ref="AD797" rgbClr="FF0000">
      <unresolved>
        <commentChain chainId="123508c48ee84c78299e754f8e20b5a8ea27d176">
          <item id="19b28edc41c4d30c58af2abc70252e7badd265d3" userID="1851561945" userName="石玉珍" dateTime="2026-06-27T06:06:35" isNormal="0">
            <s:text>
              <s:r>
                <s:t xml:space="preserve">6/26上 UPC贴纸 726 pcs</s:t>
              </s:r>
            </s:text>
          </item>
        </commentChain>
      </unresolved>
      <resolved/>
    </commentChains>
    <commentChains s:ref="AB798" rgbClr="FF0000">
      <unresolved>
        <commentChain chainId="a5100fc322185c8f6ccc02c9c9427a4a904a4003">
          <item id="9443764a4881c14254a57726d008d043d632b14c" userID="1851561945" userName="石玉珍" dateTime="2026-07-13T01:00:14" isNormal="0">
            <s:text>
              <s:r>
                <s:t xml:space="preserve">2201286 7/10 220 pcs 应兴A6</s:t>
              </s:r>
            </s:text>
          </item>
        </commentChain>
      </unresolved>
      <resolved/>
    </commentChains>
    <commentChains s:ref="AD798" rgbClr="FF0000">
      <unresolved>
        <commentChain chainId="2d88a49dc8e0ab68954e3cff43ee9e750fa864cd">
          <item id="68b612ee9865b4dbafded3ee60ad45d41d95c606" userID="1851561945" userName="石玉珍" dateTime="2026-06-22T13:11:09" isNormal="0">
            <s:text>
              <s:r>
                <s:t xml:space="preserve">6/22上 客供价格贴纸 310 pcs</s:t>
              </s:r>
            </s:text>
          </item>
          <item id="935f76a6d3edc5b882355316ace138cbe8e3782a" userID="1851561945" userName="石玉珍" dateTime="2026-07-01T02:52:48" isNormal="0">
            <s:text>
              <s:r>
                <s:t xml:space="preserve">6/29 保证书220 pcs
包装贴纸 220 pcs
说明书贴纸 220 pcs</s:t>
              </s:r>
            </s:text>
          </item>
        </commentChain>
      </unresolved>
      <resolved/>
    </commentChains>
    <commentChains s:ref="AB799" rgbClr="FF0000">
      <unresolved>
        <commentChain chainId="7e9e1f6e90bd72eb1790103090ffdb1034bd6954">
          <item id="a36bec1042f121cfc738582bd189bc5788696835" userID="1851561945" userName="石玉珍" dateTime="2026-07-20T00:58:21" isNormal="0">
            <s:text>
              <s:r>
                <s:t xml:space="preserve">1001906 7/16 330 pcs 欣泰B3</s:t>
              </s:r>
            </s:text>
          </item>
        </commentChain>
      </unresolved>
      <resolved/>
    </commentChains>
    <commentChains s:ref="AD799" rgbClr="FF0000">
      <unresolved>
        <commentChain chainId="650b7f61d598027795b33d43e26bbba8a9247220">
          <item id="6328681931b2e905adfb42f91da0bf49c7c3ce83" userID="1851561945" userName="石玉珍" dateTime="2026-07-02T06:31:26" isNormal="0">
            <s:text>
              <s:r>
                <s:t xml:space="preserve">7/1 UPC贴纸 330 pcs 
 进口商贴纸 330 pcs</s:t>
              </s:r>
            </s:text>
          </item>
        </commentChain>
      </unresolved>
      <resolved/>
    </commentChains>
    <commentChains s:ref="AB800" rgbClr="FF0000">
      <unresolved>
        <commentChain chainId="73934b3aacabecb8f75ef6de6eac7ea2c843a3a0">
          <item id="e4c03d2b50ad5b16a0793faad6ac170ed7ee8090" userID="1851561945" userName="石玉珍" dateTime="2026-07-20T01:00:35" isNormal="0">
            <s:text>
              <s:r>
                <s:t xml:space="preserve">1001906 7/16 480 pcs 仓库没找到货</s:t>
              </s:r>
            </s:text>
          </item>
        </commentChain>
      </unresolved>
      <resolved/>
    </commentChains>
    <commentChains s:ref="AD800" rgbClr="FF0000">
      <unresolved>
        <commentChain chainId="a0cbb17e6265a4316b00c6daab0c9195aaa82006">
          <item id="03826db3d9750d2619a8114998fdd0b0a9bde510" userID="1851561945" userName="石玉珍" dateTime="2026-06-11T03:49:43" isNormal="0">
            <s:text>
              <s:r>
                <s:t xml:space="preserve">6/10上 客供价格贴纸 504 pcs</s:t>
              </s:r>
            </s:text>
          </item>
        </commentChain>
      </unresolved>
      <resolved/>
    </commentChains>
    <commentChains s:ref="AB801" rgbClr="FF0000">
      <unresolved>
        <commentChain chainId="dc87c8d261abe11c78d1fc072e3681f77aa18c12">
          <item id="518da16a5d2eae640f2d1c1287000a9f3bc9f1f9" userID="1851561945" userName="石玉珍" dateTime="2026-07-15T00:29:57" isNormal="0">
            <s:text>
              <s:r>
                <s:t xml:space="preserve">2200140 7/13 24 pcs 钜顺A4</s:t>
              </s:r>
            </s:text>
          </item>
        </commentChain>
      </unresolved>
      <resolved/>
    </commentChains>
    <commentChains s:ref="AD801" rgbClr="FF0000">
      <unresolved>
        <commentChain chainId="da6726ae412836a236e65e8f938502f10bbfa376">
          <item id="87c781a67525a873a7d395163768bc77e6b05940" userID="1851561945" userName="石玉珍" dateTime="2026-07-02T05:59:17" isNormal="0">
            <s:text>
              <s:r>
                <s:t xml:space="preserve">7/1 客供亚马逊外箱贴纸 1 pcs</s:t>
              </s:r>
            </s:text>
          </item>
          <item id="5af9991008a134df2c920476e2cf2d04ef898937" userID="1851561945" userName="石玉珍" dateTime="2026-07-07T13:31:14" isNormal="0">
            <s:text>
              <s:r>
                <s:t xml:space="preserve">7/7上 UPC贴纸 24 pcs</s:t>
              </s:r>
            </s:text>
          </item>
        </commentChain>
      </unresolved>
      <resolved/>
    </commentChains>
    <commentChains s:ref="AB802" rgbClr="FF0000">
      <unresolved>
        <commentChain chainId="2e7d3ebd2b4ec172183e3bf3973328ff87946ad8">
          <item id="d5563d3d534ac749401346e23a22f2f5c120d21a" userID="1851561945" userName="石玉珍" dateTime="2026-07-15T00:30:00" isNormal="0">
            <s:text>
              <s:r>
                <s:t xml:space="preserve">2200140 7/13 24 pcs 钜顺A4</s:t>
              </s:r>
            </s:text>
          </item>
        </commentChain>
      </unresolved>
      <resolved/>
    </commentChains>
    <commentChains s:ref="AD802" rgbClr="FF0000">
      <unresolved>
        <commentChain chainId="1ce3cf60790d69aca33623602b881864788a5b8b">
          <item id="1864c32544e9de3bd46f34c9eb0a0c27f02a4691" userID="1851561945" userName="石玉珍" dateTime="2026-07-02T05:59:17" isNormal="0">
            <s:text>
              <s:r>
                <s:t xml:space="preserve">7/1 客供亚马逊外箱贴纸 1 pcs</s:t>
              </s:r>
            </s:text>
          </item>
          <item id="81ff6903bc8441f21677aac6d7f82fa4d55966ee" userID="1851561945" userName="石玉珍" dateTime="2026-07-07T13:31:20" isNormal="0">
            <s:text>
              <s:r>
                <s:t xml:space="preserve">7/7上 UPC贴纸 24 pcs</s:t>
              </s:r>
            </s:text>
          </item>
        </commentChain>
      </unresolved>
      <resolved/>
    </commentChains>
    <commentChains s:ref="AB803" rgbClr="FF0000">
      <unresolved>
        <commentChain chainId="ed50922ef16d735eec5fa748ff5f0d21654e63dc">
          <item id="b007a518686c7514627f0f1ec28d80796abe44f9" userID="1851561945" userName="石玉珍" dateTime="2026-07-15T00:30:04" isNormal="0">
            <s:text>
              <s:r>
                <s:t xml:space="preserve">2200140 7/13 24 pcs 钜顺A4</s:t>
              </s:r>
            </s:text>
          </item>
        </commentChain>
      </unresolved>
      <resolved/>
    </commentChains>
    <commentChains s:ref="AD803" rgbClr="FF0000">
      <unresolved>
        <commentChain chainId="a5ea08bcedc4cde6e84a502e46fa45218f748078">
          <item id="5acd20223e5968da58b400e6f56ccf0b7cf5a8ce" userID="1851561945" userName="石玉珍" dateTime="2026-07-02T05:59:17" isNormal="0">
            <s:text>
              <s:r>
                <s:t xml:space="preserve">7/1 客供亚马逊外箱贴纸 1 pcs</s:t>
              </s:r>
            </s:text>
          </item>
          <item id="9c195461fbd19942d14773a6f83409d7293fc5f2" userID="1851561945" userName="石玉珍" dateTime="2026-07-07T13:31:26" isNormal="0">
            <s:text>
              <s:r>
                <s:t xml:space="preserve">7/7上 UPC贴纸 24 pcs</s:t>
              </s:r>
            </s:text>
          </item>
        </commentChain>
      </unresolved>
      <resolved/>
    </commentChains>
    <commentChains s:ref="AB804" rgbClr="FF0000">
      <unresolved>
        <commentChain chainId="07111522e565bd0931b3cc38cedb1bfeb4934095">
          <item id="c880f7f04ae6ab8031f6f20fbefa0090ebdcc771" userID="1851561945" userName="石玉珍" dateTime="2026-07-15T00:30:07" isNormal="0">
            <s:text>
              <s:r>
                <s:t xml:space="preserve">2200140 7/13 24 pcs 钜顺A4</s:t>
              </s:r>
            </s:text>
          </item>
        </commentChain>
      </unresolved>
      <resolved/>
    </commentChains>
    <commentChains s:ref="AD804" rgbClr="FF0000">
      <unresolved>
        <commentChain chainId="ec514eed13fc349468c4b564cb7eef5817f570db">
          <item id="488525c08bf408bc4c2c10d910aa05f83441986e" userID="1851561945" userName="石玉珍" dateTime="2026-07-02T05:59:17" isNormal="0">
            <s:text>
              <s:r>
                <s:t xml:space="preserve">7/1 客供亚马逊外箱贴纸 1 pcs</s:t>
              </s:r>
            </s:text>
          </item>
          <item id="0f87b5b96aab57da28044d5187bcf4d7bc1875cf" userID="1851561945" userName="石玉珍" dateTime="2026-07-07T13:31:31" isNormal="0">
            <s:text>
              <s:r>
                <s:t xml:space="preserve">7/7上 UPC贴纸 24 pcs</s:t>
              </s:r>
            </s:text>
          </item>
        </commentChain>
      </unresolved>
      <resolved/>
    </commentChains>
    <commentChains s:ref="AB805" rgbClr="FF0000">
      <unresolved>
        <commentChain chainId="3924704cd21127f19370a535350c104a31b2330e">
          <item id="95e94f79a5e65f6a2caaff9e8bd66a8b9979a752" userID="1851561945" userName="石玉珍" dateTime="2026-07-15T00:30:10" isNormal="0">
            <s:text>
              <s:r>
                <s:t xml:space="preserve">2200140 7/13 24 pcs 钜顺A4</s:t>
              </s:r>
            </s:text>
          </item>
        </commentChain>
      </unresolved>
      <resolved/>
    </commentChains>
    <commentChains s:ref="AD805" rgbClr="FF0000">
      <unresolved>
        <commentChain chainId="28c67c6eddaca35a2a70e544294d20482ec5ae2d">
          <item id="c9437ae29fabfcb8e35606bb948b1961e403bf4e" userID="1851561945" userName="石玉珍" dateTime="2026-07-02T05:59:17" isNormal="0">
            <s:text>
              <s:r>
                <s:t xml:space="preserve">7/1 客供亚马逊外箱贴纸 1 pcs</s:t>
              </s:r>
            </s:text>
          </item>
          <item id="af260f0d0b5b590a68b46b6d6ff8455baa968ebb" userID="1851561945" userName="石玉珍" dateTime="2026-07-07T13:31:38" isNormal="0">
            <s:text>
              <s:r>
                <s:t xml:space="preserve">7/7上 UPC贴纸 24 pcs</s:t>
              </s:r>
            </s:text>
          </item>
        </commentChain>
      </unresolved>
      <resolved/>
    </commentChains>
    <commentChains s:ref="AB806" rgbClr="FF0000">
      <unresolved>
        <commentChain chainId="d896f2a8d49fb5b6f241ef7e8bb9a980ad1c7e34">
          <item id="0531077f93b0680649239c2112eb1f21327e6eb3" userID="1851561945" userName="石玉珍" dateTime="2026-07-15T00:30:12" isNormal="0">
            <s:text>
              <s:r>
                <s:t xml:space="preserve">2200140 7/13 24 pcs 钜顺A4</s:t>
              </s:r>
            </s:text>
          </item>
        </commentChain>
      </unresolved>
      <resolved/>
    </commentChains>
    <commentChains s:ref="AD806" rgbClr="FF0000">
      <unresolved>
        <commentChain chainId="506eaf1ccdf4de09c448302c999c102e38703e19">
          <item id="4b19ca687afbf7a5d6c296f412618527a9d74784" userID="1851561945" userName="石玉珍" dateTime="2026-07-02T05:59:17" isNormal="0">
            <s:text>
              <s:r>
                <s:t xml:space="preserve">7/1 客供亚马逊外箱贴纸 1 pcs</s:t>
              </s:r>
            </s:text>
          </item>
          <item id="99e7062ed04f71f7496709fc85b3b1f59e584af7" userID="1851561945" userName="石玉珍" dateTime="2026-07-07T13:31:43" isNormal="0">
            <s:text>
              <s:r>
                <s:t xml:space="preserve">7/7上 UPC贴纸 24 pcs</s:t>
              </s:r>
            </s:text>
          </item>
        </commentChain>
      </unresolved>
      <resolved/>
    </commentChains>
    <commentChains s:ref="AB807" rgbClr="FF0000">
      <unresolved>
        <commentChain chainId="f44ea7da0fcb337e3cf8993e0f7d9dbfd6e50cf2">
          <item id="17992b60fb0bf1ad9490ccc3bc75ea733193b765" userID="1851561945" userName="石玉珍" dateTime="2026-07-15T00:30:15" isNormal="0">
            <s:text>
              <s:r>
                <s:t xml:space="preserve">2200140 7/13 24 pcs 钜顺A4</s:t>
              </s:r>
            </s:text>
          </item>
        </commentChain>
      </unresolved>
      <resolved/>
    </commentChains>
    <commentChains s:ref="AD807" rgbClr="FF0000">
      <unresolved>
        <commentChain chainId="2abcd295ddeb2713406be966b86c90197dc69866">
          <item id="9420171ba5a4e6ecd81f1f3bacc1befe7907cdd1" userID="1851561945" userName="石玉珍" dateTime="2026-07-02T05:59:17" isNormal="0">
            <s:text>
              <s:r>
                <s:t xml:space="preserve">7/1 客供亚马逊外箱贴纸 1 pcs</s:t>
              </s:r>
            </s:text>
          </item>
          <item id="3db685cfcaf497701df7a8a6ba9e7fe4d57451d4" userID="1851561945" userName="石玉珍" dateTime="2026-07-07T13:31:49" isNormal="0">
            <s:text>
              <s:r>
                <s:t xml:space="preserve">7/7上 UPC贴纸 24 pcs</s:t>
              </s:r>
            </s:text>
          </item>
        </commentChain>
      </unresolved>
      <resolved/>
    </commentChains>
    <commentChains s:ref="AB808" rgbClr="FF0000">
      <unresolved>
        <commentChain chainId="b12dfc5c21c9b63c5c663090a0658364ab983d08">
          <item id="8ea94c44d85e28bd06317c4c885615d320998b1c" userID="1851561945" userName="石玉珍" dateTime="2026-07-20T00:59:48" isNormal="0">
            <s:text>
              <s:r>
                <s:t xml:space="preserve">1001906 7/16 4512 pcs 欣泰B4</s:t>
              </s:r>
            </s:text>
          </item>
        </commentChain>
      </unresolved>
      <resolved/>
    </commentChains>
    <commentChains s:ref="AD808" rgbClr="FF0000">
      <unresolved>
        <commentChain chainId="6d7dc03f24f6c1220c346f27d864bad3e4c25ea7">
          <item id="bd2e0e47e9594aec52d02dd2d3923639fef44bf2" userID="1851561945" userName="石玉珍" dateTime="2026-07-06T12:44:50" isNormal="0">
            <s:text>
              <s:r>
                <s:t xml:space="preserve">7/6 客人白色Cat.label 4512 pcs</s:t>
              </s:r>
            </s:text>
          </item>
        </commentChain>
      </unresolved>
      <resolved/>
    </commentChains>
    <commentChains s:ref="AB809" rgbClr="FF0000">
      <unresolved>
        <commentChain chainId="97cdfeae4d1a73a9cca916fe7449b8348d093742">
          <item id="b4d12d31c8245e135f8d70be5e1bf0847cf2eb63" userID="1851561945" userName="石玉珍" dateTime="2026-07-20T00:58:43" isNormal="0">
            <s:text>
              <s:r>
                <s:t xml:space="preserve">1001906 7/16 660 pcs 欣泰C3</s:t>
              </s:r>
            </s:text>
          </item>
        </commentChain>
      </unresolved>
      <resolved/>
    </commentChains>
    <commentChains s:ref="AB810" rgbClr="FF0000">
      <unresolved>
        <commentChain chainId="18ce9d2031d80fd5275a0486abc59b39ef538046">
          <item id="74ab1d5b12e17d910fc061c5fee2e686c543f532" userID="1851561945" userName="石玉珍" dateTime="2026-07-20T00:59:03" isNormal="0">
            <s:text>
              <s:r>
                <s:t xml:space="preserve">1001906 7/16 1199 pcs 欣泰B1</s:t>
              </s:r>
            </s:text>
          </item>
        </commentChain>
      </unresolved>
      <resolved/>
    </commentChains>
    <commentChains s:ref="AD810" rgbClr="FF0000">
      <unresolved>
        <commentChain chainId="185f015f2e13b4a03d9084c19ae949c892a2af12">
          <item id="7f05a26d53b251e290e02919a1e048cc729ab63f" userID="1851561945" userName="石玉珍" dateTime="2026-07-10T14:42:01" isNormal="0">
            <s:text>
              <s:r>
                <s:t xml:space="preserve">7/10 进口商贴纸 1199 pcs</s:t>
              </s:r>
            </s:text>
          </item>
        </commentChain>
      </unresolved>
      <resolved/>
    </commentChains>
    <commentChains s:ref="AB811" rgbClr="FF0000">
      <unresolved>
        <commentChain chainId="215ab12ee4d47d51fe7245975098d5c69620fab0">
          <item id="78c1e0630042076c3ddb507be4e622fe06afe206" userID="1851561945" userName="石玉珍" dateTime="2026-07-20T00:59:22" isNormal="0">
            <s:text>
              <s:r>
                <s:t xml:space="preserve">1001906 7/16 550 pcs 欣泰C3</s:t>
              </s:r>
            </s:text>
          </item>
        </commentChain>
      </unresolved>
      <resolved/>
    </commentChains>
    <commentChains s:ref="AB812" rgbClr="FF0000">
      <unresolved>
        <commentChain chainId="257e7bf2a4d33594dfaf9cd744737526fcfa6892">
          <item id="5f15ab03168794f2539450984e7533b4d3bdefae" userID="1851561945" userName="石玉珍" dateTime="2026-07-23T01:01:38" isNormal="0">
            <s:text>
              <s:r>
                <s:t xml:space="preserve">1001733 7/21 440 pcs 钜顺C1</s:t>
              </s:r>
            </s:text>
          </item>
        </commentChain>
      </unresolved>
      <resolved/>
    </commentChains>
    <commentChains s:ref="AD812" rgbClr="FF0000">
      <unresolved>
        <commentChain chainId="9b9f9d510383e0034647cf94c666f1f29b34eacb">
          <item id="b992c2e7631acc984c20f4ddf1ab51fddce74fbd" userID="1851561945" userName="石玉珍" dateTime="2026-07-09T03:28:02" isNormal="0">
            <s:text>
              <s:r>
                <s:t xml:space="preserve">7/8上 德语callout/荷兰语警示语贴 440 pcs
产品贴纸地址贴纸 440 pcs</s:t>
              </s:r>
            </s:text>
          </item>
        </commentChain>
      </unresolved>
      <resolved/>
    </commentChains>
    <commentChains s:ref="AB813" rgbClr="FF0000">
      <unresolved>
        <commentChain chainId="855c98ce30f6f23709cb261ff9ac15c9930703a1">
          <item id="5cac244441e8fb7b50bde842be7009cb993463b0" userID="1851561945" userName="石玉珍" dateTime="2026-07-23T01:01:58" isNormal="0">
            <s:text>
              <s:r>
                <s:t xml:space="preserve">1001733 7/21 374 pcs 钜顺C4</s:t>
              </s:r>
            </s:text>
          </item>
        </commentChain>
      </unresolved>
      <resolved/>
    </commentChains>
    <commentChains s:ref="AD813" rgbClr="FF0000">
      <unresolved>
        <commentChain chainId="593abdde6c99fdff83d2f79c027bb47031800822">
          <item id="b37bc8a8bfb4a43f4fed5999928e5d7d704a40e5" userID="1851561945" userName="石玉珍" dateTime="2026-07-09T03:28:02" isNormal="0">
            <s:text>
              <s:r>
                <s:t xml:space="preserve">7/8上 德语callout/荷兰语警示语贴 374 pcs
产品贴纸地址贴纸 374 pcs</s:t>
              </s:r>
            </s:text>
          </item>
        </commentChain>
      </unresolved>
      <resolved/>
    </commentChains>
    <commentChains s:ref="AB814" rgbClr="FF0000">
      <unresolved>
        <commentChain chainId="633f48dae5a704eb3fc6eafd069a83a6c709b437">
          <item id="c4eebd97cc45e3b91d95af73cf65bbd4cea86c5d" userID="1851561945" userName="石玉珍" dateTime="2026-07-17T00:30:34" isNormal="0">
            <s:text>
              <s:r>
                <s:t xml:space="preserve">1001933 7/14 312 pcs 欣泰C6</s:t>
              </s:r>
            </s:text>
          </item>
        </commentChain>
      </unresolved>
      <resolved/>
    </commentChains>
    <commentChains s:ref="AD814" rgbClr="FF0000">
      <unresolved>
        <commentChain chainId="e6d0429a577dd0dc19e05117661b64f55854b5b0">
          <item id="3509ab394aeea62933618f5fc92854b2ad459609" userID="1851561945" userName="石玉珍" dateTime="2026-07-09T03:40:26" isNormal="0">
            <s:text>
              <s:r>
                <s:t xml:space="preserve">7/9 UPC贴纸 312 pcs</s:t>
              </s:r>
            </s:text>
          </item>
          <item id="3ee1510dbd623c79c24292339cf9ce2ef3a9a50e" userID="1851561945" userName="石玉珍" dateTime="2026-07-10T14:18:21" isNormal="0">
            <s:text>
              <s:r>
                <s:t xml:space="preserve">7/10 客供亚马逊外箱贴纸 13 pcs</s:t>
              </s:r>
            </s:text>
          </item>
        </commentChain>
      </unresolved>
      <resolved/>
    </commentChains>
    <commentChains s:ref="AB815" rgbClr="FF0000">
      <unresolved>
        <commentChain chainId="18f17d037aa41f41acdae3c67e5d45e598ffb7dd">
          <item id="c01f70ceb4527422563b4b7219ee4eb9ffd690b5" userID="1851561945" userName="石玉珍" dateTime="2026-07-17T00:30:41" isNormal="0">
            <s:text>
              <s:r>
                <s:t xml:space="preserve">1001933 7/14 48 pcs 欣泰C6</s:t>
              </s:r>
            </s:text>
          </item>
        </commentChain>
      </unresolved>
      <resolved/>
    </commentChains>
    <commentChains s:ref="AD815" rgbClr="FF0000">
      <unresolved>
        <commentChain chainId="63dff2f4757f0820979bf3f9fe39caef2287be8b">
          <item id="515120ade15070598d6dc2dd5305b7874606acb6" userID="1851561945" userName="石玉珍" dateTime="2026-07-09T03:40:26" isNormal="0">
            <s:text>
              <s:r>
                <s:t xml:space="preserve">7/9 UPC贴纸 48 pcs</s:t>
              </s:r>
            </s:text>
          </item>
          <item id="02f8d16a86fcc8a428b8f5cab86c056902e3af57" userID="1851561945" userName="石玉珍" dateTime="2026-07-10T14:21:07" isNormal="0">
            <s:text>
              <s:r>
                <s:t xml:space="preserve">7/10 客供亚马逊外箱贴纸 2 pcs</s:t>
              </s:r>
            </s:text>
          </item>
        </commentChain>
      </unresolved>
      <resolved/>
    </commentChains>
    <commentChains s:ref="AB816" rgbClr="FF0000">
      <unresolved>
        <commentChain chainId="0a3afbc279d89153e41d8b05b1c18ca305801665">
          <item id="12d988f6a838620d76db04f4715d3114bf49aed3" userID="1851561945" userName="石玉珍" dateTime="2026-07-17T00:30:51" isNormal="0">
            <s:text>
              <s:r>
                <s:t xml:space="preserve">1001933 7/14 24 pcs 欣泰C6</s:t>
              </s:r>
            </s:text>
          </item>
        </commentChain>
      </unresolved>
      <resolved/>
    </commentChains>
    <commentChains s:ref="AD816" rgbClr="FF0000">
      <unresolved>
        <commentChain chainId="2521c4f7162c65cb19c86b349acff1220ba03042">
          <item id="6bcc8c2838b36a36fb56f972d5c7ef02728df4d5" userID="1851561945" userName="石玉珍" dateTime="2026-07-09T03:40:26" isNormal="0">
            <s:text>
              <s:r>
                <s:t xml:space="preserve">7/9 UPC贴纸 24 pcs</s:t>
              </s:r>
            </s:text>
          </item>
          <item id="d75bdea4fdd84be309caa05cc66128ecdce9eba6" userID="1851561945" userName="石玉珍" dateTime="2026-07-10T14:21:10" isNormal="0">
            <s:text>
              <s:r>
                <s:t xml:space="preserve">7/10 客供亚马逊外箱贴纸 1 pcs</s:t>
              </s:r>
            </s:text>
          </item>
        </commentChain>
      </unresolved>
      <resolved/>
    </commentChains>
    <commentChains s:ref="AB817" rgbClr="FF0000">
      <unresolved>
        <commentChain chainId="55929c00f318dd2bbbca34b9664c9ff07a20e52e">
          <item id="e395b4735c8cf27e4da5c9a3525296c4661f9a95" userID="1851561945" userName="石玉珍" dateTime="2026-07-17T00:30:58" isNormal="0">
            <s:text>
              <s:r>
                <s:t xml:space="preserve">1001933 7/14 24 pcs 欣泰C6</s:t>
              </s:r>
            </s:text>
          </item>
        </commentChain>
      </unresolved>
      <resolved/>
    </commentChains>
    <commentChains s:ref="AD817" rgbClr="FF0000">
      <unresolved>
        <commentChain chainId="3cc7843ac47f67194c165b00deaf9a776b3493bf">
          <item id="0890dd79d85cbd9c8cef02894f1da6e1bf226725" userID="1851561945" userName="石玉珍" dateTime="2026-07-09T03:40:26" isNormal="0">
            <s:text>
              <s:r>
                <s:t xml:space="preserve">7/9 UPC贴纸 24 pcs</s:t>
              </s:r>
            </s:text>
          </item>
          <item id="d286ab10283d79c6132258f7172e3cccdbebaa81" userID="1851561945" userName="石玉珍" dateTime="2026-07-10T14:21:13" isNormal="0">
            <s:text>
              <s:r>
                <s:t xml:space="preserve">7/10 客供亚马逊外箱贴纸 1 pcs</s:t>
              </s:r>
            </s:text>
          </item>
        </commentChain>
      </unresolved>
      <resolved/>
    </commentChains>
    <commentChains s:ref="AB818" rgbClr="FF0000">
      <unresolved>
        <commentChain chainId="311fe7e98d85397a2d3d10bfcbc888afef4cf671">
          <item id="e102aa4950e82a71d1e579ed6154b3213547d147" userID="1851561945" userName="石玉珍" dateTime="2026-07-17T00:31:06" isNormal="0">
            <s:text>
              <s:r>
                <s:t xml:space="preserve">1001933 7/14 120 pcs 欣泰C6</s:t>
              </s:r>
            </s:text>
          </item>
        </commentChain>
      </unresolved>
      <resolved/>
    </commentChains>
    <commentChains s:ref="AD818" rgbClr="FF0000">
      <unresolved>
        <commentChain chainId="8d79bbf09c63519891826b3ff3029cbe25b27be7">
          <item id="5d11842a6c238c6fb54af5605eba9d63519b135d" userID="1851561945" userName="石玉珍" dateTime="2026-07-09T03:40:26" isNormal="0">
            <s:text>
              <s:r>
                <s:t xml:space="preserve">7/9 UPC贴纸 120 pcs</s:t>
              </s:r>
            </s:text>
          </item>
          <item id="cbc22ba7b65698a637c03b273a6ba730df317495" userID="1851561945" userName="石玉珍" dateTime="2026-07-10T14:21:20" isNormal="0">
            <s:text>
              <s:r>
                <s:t xml:space="preserve">7/10 客供亚马逊外箱贴纸 5 pcs</s:t>
              </s:r>
            </s:text>
          </item>
        </commentChain>
      </unresolved>
      <resolved/>
    </commentChains>
    <commentChains s:ref="AB819" rgbClr="FF0000">
      <unresolved>
        <commentChain chainId="bbab0582e31b0614ad94122f06cca22785a1ab73">
          <item id="ca0902104f4e46fa6fd926178d948136acb2ecf3" userID="1851561945" userName="石玉珍" dateTime="2026-07-17T00:31:14" isNormal="0">
            <s:text>
              <s:r>
                <s:t xml:space="preserve">1001933 7/14 48 pcs 欣泰C6</s:t>
              </s:r>
            </s:text>
          </item>
        </commentChain>
      </unresolved>
      <resolved/>
    </commentChains>
    <commentChains s:ref="AD819" rgbClr="FF0000">
      <unresolved>
        <commentChain chainId="ef455ee876759daf9cf8d98649122463a9586281">
          <item id="dd292d65686e7893b9942c287256947e60bf9b16" userID="1851561945" userName="石玉珍" dateTime="2026-07-09T03:40:26" isNormal="0">
            <s:text>
              <s:r>
                <s:t xml:space="preserve">7/9 UPC贴纸 48 pcs</s:t>
              </s:r>
            </s:text>
          </item>
          <item id="cb56ff3fd8dcc5fb9d1f442de45e01bbb38b9afa" userID="1851561945" userName="石玉珍" dateTime="2026-07-10T14:21:26" isNormal="0">
            <s:text>
              <s:r>
                <s:t xml:space="preserve">7/10 客供亚马逊外箱贴纸 2 pcs</s:t>
              </s:r>
            </s:text>
          </item>
        </commentChain>
      </unresolved>
      <resolved/>
    </commentChains>
    <commentChains s:ref="AB820" rgbClr="FF0000">
      <unresolved>
        <commentChain chainId="f5d60bd28a4bd81821bf034efebcbb6b4419fe8c">
          <item id="52517abc43313c339221d79b67d11ba2e59d525d" userID="1851561945" userName="石玉珍" dateTime="2026-07-17T00:31:22" isNormal="0">
            <s:text>
              <s:r>
                <s:t xml:space="preserve">1001933 7/14 48 pcs 欣泰C6</s:t>
              </s:r>
            </s:text>
          </item>
        </commentChain>
      </unresolved>
      <resolved/>
    </commentChains>
    <commentChains s:ref="AD820" rgbClr="FF0000">
      <unresolved>
        <commentChain chainId="77984eba32a455b239e09441c94f088f314a86e6">
          <item id="8d0156c59125969824ce2a294742c3b79faca032" userID="1851561945" userName="石玉珍" dateTime="2026-07-09T03:40:26" isNormal="0">
            <s:text>
              <s:r>
                <s:t xml:space="preserve">7/9 UPC贴纸 48 pcs</s:t>
              </s:r>
            </s:text>
          </item>
          <item id="d8255ae94a1d5ee45215dc70f2dc4118b62d571e" userID="1851561945" userName="石玉珍" dateTime="2026-07-10T14:21:32" isNormal="0">
            <s:text>
              <s:r>
                <s:t xml:space="preserve">7/10 客供亚马逊外箱贴纸 2 pcs</s:t>
              </s:r>
            </s:text>
          </item>
        </commentChain>
      </unresolved>
      <resolved/>
    </commentChains>
    <commentChains s:ref="AB821" rgbClr="FF0000">
      <unresolved>
        <commentChain chainId="f70316ae285489cc5abc8b7af2fb26c8db1e7dd9">
          <item id="0023644837902e4b1172274e0922a6bbb029d036" userID="1851561945" userName="石玉珍" dateTime="2026-07-17T00:31:28" isNormal="0">
            <s:text>
              <s:r>
                <s:t xml:space="preserve">1001933 7/14 24 pcs 欣泰C6</s:t>
              </s:r>
            </s:text>
          </item>
        </commentChain>
      </unresolved>
      <resolved/>
    </commentChains>
    <commentChains s:ref="AD821" rgbClr="FF0000">
      <unresolved>
        <commentChain chainId="a8c39bf10b616706b602c55af260544df25b80c5">
          <item id="05c326c424ff6a9a32cba3ebcccec6efe3463d6c" userID="1851561945" userName="石玉珍" dateTime="2026-07-09T03:40:26" isNormal="0">
            <s:text>
              <s:r>
                <s:t xml:space="preserve">7/9 UPC贴纸 24 pcs</s:t>
              </s:r>
            </s:text>
          </item>
          <item id="49c1cc0cc453db213011859f7097cd69fb86959b" userID="1851561945" userName="石玉珍" dateTime="2026-07-10T14:21:38" isNormal="0">
            <s:text>
              <s:r>
                <s:t xml:space="preserve">7/10 客供亚马逊外箱贴纸 1 pcs</s:t>
              </s:r>
            </s:text>
          </item>
        </commentChain>
      </unresolved>
      <resolved/>
    </commentChains>
    <commentChains s:ref="AB822" rgbClr="FF0000">
      <unresolved>
        <commentChain chainId="4361a248bec9ae2e00d741c44081d2fdd96ebe13">
          <item id="5c55992480bd7c4d860679f593390f251eaff692" userID="1851561945" userName="石玉珍" dateTime="2026-07-17T00:31:22" isNormal="0">
            <s:text>
              <s:r>
                <s:t xml:space="preserve">1001933 7/14 48 pcs 欣泰C6</s:t>
              </s:r>
            </s:text>
          </item>
        </commentChain>
      </unresolved>
      <resolved/>
    </commentChains>
    <commentChains s:ref="AD822" rgbClr="FF0000">
      <unresolved>
        <commentChain chainId="244a941e08f46f9bdd0336ec10c76f426d279153">
          <item id="3974c53bd3cab3ef175e9e508674d0c2feb477d4" userID="1851561945" userName="石玉珍" dateTime="2026-07-09T03:40:26" isNormal="0">
            <s:text>
              <s:r>
                <s:t xml:space="preserve">7/9 UPC贴纸 48 pcs</s:t>
              </s:r>
            </s:text>
          </item>
          <item id="a4f5bd5c10876b62a186b1bf74d2e13259186a8f" userID="1851561945" userName="石玉珍" dateTime="2026-07-10T14:21:43" isNormal="0">
            <s:text>
              <s:r>
                <s:t xml:space="preserve">7/10 客供亚马逊外箱贴纸 2 pcs</s:t>
              </s:r>
            </s:text>
          </item>
        </commentChain>
      </unresolved>
      <resolved/>
    </commentChains>
    <commentChains s:ref="AB823" rgbClr="FF0000">
      <unresolved>
        <commentChain chainId="527e46938361b6ccb09c81ec31a55a995e6c36b4">
          <item id="68cdb1a4d7e274e73e75263635f3a4fc11484453" userID="1851561945" userName="石玉珍" dateTime="2026-07-17T00:22:30" isNormal="0">
            <s:text>
              <s:r>
                <s:t xml:space="preserve">1001935 7/14 24 pcs 欣泰C6</s:t>
              </s:r>
            </s:text>
          </item>
        </commentChain>
      </unresolved>
      <resolved/>
    </commentChains>
    <commentChains s:ref="AD823" rgbClr="FF0000">
      <unresolved>
        <commentChain chainId="86ade5098fb33d551f39a32aae82e1e34efb8e29">
          <item id="62d6593dc451a1e62cc2a7cc4c5854a0a543a45a" userID="1851561945" userName="石玉珍" dateTime="2026-07-09T03:40:26" isNormal="0">
            <s:text>
              <s:r>
                <s:t xml:space="preserve">7/9 UPC贴纸 24 pcs</s:t>
              </s:r>
            </s:text>
          </item>
          <item id="2787f4cb28a4996f6f698f10748d38d188d8c237" userID="1851561945" userName="石玉珍" dateTime="2026-07-10T14:16:53" isNormal="0">
            <s:text>
              <s:r>
                <s:t xml:space="preserve">7/10 客供亚马逊外箱贴纸 1 pcs</s:t>
              </s:r>
            </s:text>
          </item>
        </commentChain>
      </unresolved>
      <resolved/>
    </commentChains>
    <commentChains s:ref="AB824" rgbClr="FF0000">
      <unresolved>
        <commentChain chainId="e389e9049c8d0b48b2a49437b7f6b5b16ba8d07f">
          <item id="1ec8a5df4941d3d1ad9cbf88fa8fd83fae86ad93" userID="1851561945" userName="石玉珍" dateTime="2026-07-17T00:22:36" isNormal="0">
            <s:text>
              <s:r>
                <s:t xml:space="preserve">1001935 7/14 72 pcs 欣泰C6</s:t>
              </s:r>
            </s:text>
          </item>
        </commentChain>
      </unresolved>
      <resolved/>
    </commentChains>
    <commentChains s:ref="AD824" rgbClr="FF0000">
      <unresolved>
        <commentChain chainId="ca2183b077d17ee9a59baaf238a94c88631c8148">
          <item id="9700b160d8e83290f79620e252b2af657a36adae" userID="1851561945" userName="石玉珍" dateTime="2026-07-09T03:40:33" isNormal="0">
            <s:text>
              <s:r>
                <s:t xml:space="preserve">7/9 UPC贴纸 72 pcs</s:t>
              </s:r>
            </s:text>
          </item>
          <item id="0107b1c8fdda4baa629b0a96fa4b6217a99115a3" userID="1851561945" userName="石玉珍" dateTime="2026-07-10T14:16:59" isNormal="0">
            <s:text>
              <s:r>
                <s:t xml:space="preserve">7/10 客供亚马逊外箱贴纸 3 pcs</s:t>
              </s:r>
            </s:text>
          </item>
        </commentChain>
      </unresolved>
      <resolved/>
    </commentChains>
    <commentChains s:ref="AB825" rgbClr="FF0000">
      <unresolved>
        <commentChain chainId="dd4d71cfac38c180a29585ac6fd64c94506210ef">
          <item id="448070f6fe3aa095f3540a60083f9099745d7d7d" userID="1851561945" userName="石玉珍" dateTime="2026-07-17T00:22:42" isNormal="0">
            <s:text>
              <s:r>
                <s:t xml:space="preserve">1001935 7/14 24 pcs 欣泰C6</s:t>
              </s:r>
            </s:text>
          </item>
        </commentChain>
      </unresolved>
      <resolved/>
    </commentChains>
    <commentChains s:ref="AD825" rgbClr="FF0000">
      <unresolved>
        <commentChain chainId="b5e7aecd451041ae947a0a23de6efad16f109abe">
          <item id="dff202d92c7c753e67a6ebbf84731c425739b862" userID="1851561945" userName="石玉珍" dateTime="2026-07-09T03:40:26" isNormal="0">
            <s:text>
              <s:r>
                <s:t xml:space="preserve">7/9 UPC贴纸 24 pcs</s:t>
              </s:r>
            </s:text>
          </item>
          <item id="d56f14a9c0473b1fddf36134bafb2a3fc6b4b831" userID="1851561945" userName="石玉珍" dateTime="2026-07-10T14:17:03" isNormal="0">
            <s:text>
              <s:r>
                <s:t xml:space="preserve">7/10 客供亚马逊外箱贴纸 1 pcs</s:t>
              </s:r>
            </s:text>
          </item>
        </commentChain>
      </unresolved>
      <resolved/>
    </commentChains>
    <commentChains s:ref="AB826" rgbClr="FF0000">
      <unresolved>
        <commentChain chainId="f39affa8a2b2dfa9f58be47dd04c52501e92a832">
          <item id="4eec1ffda93ea8bbeb3868e2242e77c557dedb4c" userID="1851561945" userName="石玉珍" dateTime="2026-07-17T00:22:46" isNormal="0">
            <s:text>
              <s:r>
                <s:t xml:space="preserve">1001935 7/14 24 pcs 欣泰C6</s:t>
              </s:r>
            </s:text>
          </item>
        </commentChain>
      </unresolved>
      <resolved/>
    </commentChains>
    <commentChains s:ref="AD826" rgbClr="FF0000">
      <unresolved>
        <commentChain chainId="c6f7b0404a2c381867c473cc365860a8f260a365">
          <item id="3dc7cf7a18dab7d20896d9714200ea68d66877c9" userID="1851561945" userName="石玉珍" dateTime="2026-07-09T03:40:26" isNormal="0">
            <s:text>
              <s:r>
                <s:t xml:space="preserve">7/9 UPC贴纸 24 pcs</s:t>
              </s:r>
            </s:text>
          </item>
          <item id="219ab995f5527a6d469fbb2fcf454c7daadbc499" userID="1851561945" userName="石玉珍" dateTime="2026-07-10T14:17:08" isNormal="0">
            <s:text>
              <s:r>
                <s:t xml:space="preserve">7/10 客供亚马逊外箱贴纸 1 pcs</s:t>
              </s:r>
            </s:text>
          </item>
        </commentChain>
      </unresolved>
      <resolved/>
    </commentChains>
    <commentChains s:ref="AB827" rgbClr="FF0000">
      <unresolved>
        <commentChain chainId="20353b43f65317d300b9856ba78dc92b6b59499a">
          <item id="4d99fa3c858c44195b372a25d0eab060a23aa0e6" userID="1851561945" userName="石玉珍" dateTime="2026-07-17T00:22:56" isNormal="0">
            <s:text>
              <s:r>
                <s:t xml:space="preserve">1001935 7/14 48 pcs 欣泰C6</s:t>
              </s:r>
            </s:text>
          </item>
        </commentChain>
      </unresolved>
      <resolved/>
    </commentChains>
    <commentChains s:ref="AD827" rgbClr="FF0000">
      <unresolved>
        <commentChain chainId="827c5e10397ce3ee0664f559395569b47f89abaa">
          <item id="1d79a7067312460af486e501ef1d394cb900912a" userID="1851561945" userName="石玉珍" dateTime="2026-07-09T03:40:26" isNormal="0">
            <s:text>
              <s:r>
                <s:t xml:space="preserve">7/9 UPC贴纸 48 pcs</s:t>
              </s:r>
            </s:text>
          </item>
          <item id="b4a0b4ee3e826921313b624959a5e7d66519a37a" userID="1851561945" userName="石玉珍" dateTime="2026-07-10T14:17:15" isNormal="0">
            <s:text>
              <s:r>
                <s:t xml:space="preserve">7/10 客供亚马逊外箱贴纸 2 pcs</s:t>
              </s:r>
            </s:text>
          </item>
        </commentChain>
      </unresolved>
      <resolved/>
    </commentChains>
    <commentChains s:ref="AB828" rgbClr="FF0000">
      <unresolved>
        <commentChain chainId="0c21324a861fd3c736d792cbd6c76d0e6123c1ef">
          <item id="f3efd54e8a3d51d4bcdc4aa4fe23fcfd63ed55f6" userID="1851561945" userName="石玉珍" dateTime="2026-07-17T00:23:04" isNormal="0">
            <s:text>
              <s:r>
                <s:t xml:space="preserve">1001935 7/14 24 pcs 欣泰C6</s:t>
              </s:r>
            </s:text>
          </item>
        </commentChain>
      </unresolved>
      <resolved/>
    </commentChains>
    <commentChains s:ref="AD828" rgbClr="FF0000">
      <unresolved>
        <commentChain chainId="78b02278b6c11668df0f1eebe91c320cb59f5749">
          <item id="e579d092bc7b3a56a6d3a855c381f6ad79180689" userID="1851561945" userName="石玉珍" dateTime="2026-07-09T03:40:26" isNormal="0">
            <s:text>
              <s:r>
                <s:t xml:space="preserve">7/9 UPC贴纸 24 pcs</s:t>
              </s:r>
            </s:text>
          </item>
          <item id="b1e3d7dc6aeb26371526dd70fd736877bb04d5f3" userID="1851561945" userName="石玉珍" dateTime="2026-07-10T14:17:19" isNormal="0">
            <s:text>
              <s:r>
                <s:t xml:space="preserve">7/10 客供亚马逊外箱贴纸 1 pcs</s:t>
              </s:r>
            </s:text>
          </item>
        </commentChain>
      </unresolved>
      <resolved/>
    </commentChains>
    <commentChains s:ref="AB829" rgbClr="FF0000">
      <unresolved>
        <commentChain chainId="709787503752fdf7edfa9f389dddc6e50c6a8eea">
          <item id="78727b9c7c4398d87c7053a42910cfd9ecfc520a" userID="1851561945" userName="石玉珍" dateTime="2026-07-17T00:23:07" isNormal="0">
            <s:text>
              <s:r>
                <s:t xml:space="preserve">1001935 7/14 24 pcs 欣泰C6</s:t>
              </s:r>
            </s:text>
          </item>
        </commentChain>
      </unresolved>
      <resolved/>
    </commentChains>
    <commentChains s:ref="AD829" rgbClr="FF0000">
      <unresolved>
        <commentChain chainId="607f1725e87c601054a95063f60c7bc044347b55">
          <item id="fd761b28951b1bad20f3ee9ea3b3a7b44a37c6b9" userID="1851561945" userName="石玉珍" dateTime="2026-07-09T03:40:26" isNormal="0">
            <s:text>
              <s:r>
                <s:t xml:space="preserve">7/9 UPC贴纸 24 pcs</s:t>
              </s:r>
            </s:text>
          </item>
          <item id="0ab00102801a4997c7e122d1606bec0f6bed45f7" userID="1851561945" userName="石玉珍" dateTime="2026-07-10T14:17:21" isNormal="0">
            <s:text>
              <s:r>
                <s:t xml:space="preserve">7/10 客供亚马逊外箱贴纸 1 pcs</s:t>
              </s:r>
            </s:text>
          </item>
        </commentChain>
      </unresolved>
      <resolved/>
    </commentChains>
    <commentChains s:ref="AB830" rgbClr="FF0000">
      <unresolved>
        <commentChain chainId="fc414e43cf966080220117eb7b33a25370bd41ff">
          <item id="1611e898b1e5e749bf27a3417cffc93aae386fb8" userID="1851561945" userName="石玉珍" dateTime="2026-07-17T00:23:11" isNormal="0">
            <s:text>
              <s:r>
                <s:t xml:space="preserve">1001935 7/14 24 pcs 欣泰C6</s:t>
              </s:r>
            </s:text>
          </item>
        </commentChain>
      </unresolved>
      <resolved/>
    </commentChains>
    <commentChains s:ref="AD830" rgbClr="FF0000">
      <unresolved>
        <commentChain chainId="afa75c32403e8386d18a1736bfb8efe00f9a7566">
          <item id="f9c1347a9fe295295d99853c135fd98f733456c0" userID="1851561945" userName="石玉珍" dateTime="2026-07-09T03:40:26" isNormal="0">
            <s:text>
              <s:r>
                <s:t xml:space="preserve">7/9 UPC贴纸 24 pcs</s:t>
              </s:r>
            </s:text>
          </item>
          <item id="2bf6f01ac3ee73d626799e2f05935a3cfc7b2e25" userID="1851561945" userName="石玉珍" dateTime="2026-07-10T14:17:24" isNormal="0">
            <s:text>
              <s:r>
                <s:t xml:space="preserve">7/10 客供亚马逊外箱贴纸 1 pcs</s:t>
              </s:r>
            </s:text>
          </item>
        </commentChain>
      </unresolved>
      <resolved/>
    </commentChains>
    <commentChains s:ref="AB831" rgbClr="FF0000">
      <unresolved>
        <commentChain chainId="36c77a2c0d37bc39c31bac951d82d4a1a0e728e5">
          <item id="a35af4c744f67f332f32ba9067e1dbef4314ec24" userID="1851561945" userName="石玉珍" dateTime="2026-07-17T00:23:14" isNormal="0">
            <s:text>
              <s:r>
                <s:t xml:space="preserve">1001935 7/14 24 pcs 欣泰C6</s:t>
              </s:r>
            </s:text>
          </item>
        </commentChain>
      </unresolved>
      <resolved/>
    </commentChains>
    <commentChains s:ref="AD831" rgbClr="FF0000">
      <unresolved>
        <commentChain chainId="af77eb4afc3698440afe3c0ef0d08d713a6a0b29">
          <item id="a4e2a4bcdf0c274340969308be75f8996d1161d0" userID="1851561945" userName="石玉珍" dateTime="2026-07-09T03:40:26" isNormal="0">
            <s:text>
              <s:r>
                <s:t xml:space="preserve">7/9 UPC贴纸 24 pcs</s:t>
              </s:r>
            </s:text>
          </item>
          <item id="ba3e2a90a61e83a9f3bbc6be28a5afff34646782" userID="1851561945" userName="石玉珍" dateTime="2026-07-10T14:17:27" isNormal="0">
            <s:text>
              <s:r>
                <s:t xml:space="preserve">7/10 客供亚马逊外箱贴纸 1 pcs</s:t>
              </s:r>
            </s:text>
          </item>
        </commentChain>
      </unresolved>
      <resolved/>
    </commentChains>
    <commentChains s:ref="AB832" rgbClr="FF0000">
      <unresolved>
        <commentChain chainId="ab559155269a89d5fcd05943148835e91fe08722">
          <item id="77d5030ac3c92406a5ac2077c8ce8bd6f9b2826b" userID="1851561945" userName="石玉珍" dateTime="2026-07-17T00:28:15" isNormal="0">
            <s:text>
              <s:r>
                <s:t xml:space="preserve">1001936 7/14 96 pcs 欣泰C6</s:t>
              </s:r>
            </s:text>
          </item>
        </commentChain>
      </unresolved>
      <resolved/>
    </commentChains>
    <commentChains s:ref="AD832" rgbClr="FF0000">
      <unresolved>
        <commentChain chainId="548c7a6c1bce33b80ce74cbb671df4bb3cf87fa5">
          <item id="8d638901444d677c518d537adf0525c2cdf062a7" userID="1851561945" userName="石玉珍" dateTime="2026-07-09T03:40:26" isNormal="0">
            <s:text>
              <s:r>
                <s:t xml:space="preserve">7/9 UPC贴纸 96 pcs</s:t>
              </s:r>
            </s:text>
          </item>
          <item id="b17c93c857a642103c770be83b8243a61d49ba31" userID="1851561945" userName="石玉珍" dateTime="2026-07-10T14:19:29" isNormal="0">
            <s:text>
              <s:r>
                <s:t xml:space="preserve">7/10 客供亚马逊外箱贴纸 4 pcs</s:t>
              </s:r>
            </s:text>
          </item>
        </commentChain>
      </unresolved>
      <resolved/>
    </commentChains>
    <commentChains s:ref="AB833" rgbClr="FF0000">
      <unresolved>
        <commentChain chainId="eb8db20353f9eb6cb0590efbda27f695061cc76d">
          <item id="3a58aef4f100dc581580aba68cd8e2a2811f76ae" userID="1851561945" userName="石玉珍" dateTime="2026-07-17T00:28:24" isNormal="0">
            <s:text>
              <s:r>
                <s:t xml:space="preserve">1001936 7/14 24 pcs 欣泰C6</s:t>
              </s:r>
            </s:text>
          </item>
        </commentChain>
      </unresolved>
      <resolved/>
    </commentChains>
    <commentChains s:ref="AD833" rgbClr="FF0000">
      <unresolved>
        <commentChain chainId="6b5de1502044c6dd57658c79526e33c44afef961">
          <item id="1cf72d505b3e1665ea4c116eaf4d485f47da6573" userID="1851561945" userName="石玉珍" dateTime="2026-07-09T03:40:26" isNormal="0">
            <s:text>
              <s:r>
                <s:t xml:space="preserve">7/9 UPC贴纸 24 pcs</s:t>
              </s:r>
            </s:text>
          </item>
          <item id="af209627280e4edde508453c1b7ad11e6d86ba31" userID="1851561945" userName="石玉珍" dateTime="2026-07-10T14:19:34" isNormal="0">
            <s:text>
              <s:r>
                <s:t xml:space="preserve">7/10 客供亚马逊外箱贴纸 1 pcs</s:t>
              </s:r>
            </s:text>
          </item>
        </commentChain>
      </unresolved>
      <resolved/>
    </commentChains>
    <commentChains s:ref="AB834" rgbClr="FF0000">
      <unresolved>
        <commentChain chainId="9e9dcc36a2360ff2ca648aac8da3b3cc566d87d7">
          <item id="9990f87d39905b3044e8621cd141e5bc0d4f69fa" userID="1851561945" userName="石玉珍" dateTime="2026-07-17T00:28:33" isNormal="0">
            <s:text>
              <s:r>
                <s:t xml:space="preserve">1001936 7/14 48 pcs 欣泰C6</s:t>
              </s:r>
            </s:text>
          </item>
        </commentChain>
      </unresolved>
      <resolved/>
    </commentChains>
    <commentChains s:ref="AD834" rgbClr="FF0000">
      <unresolved>
        <commentChain chainId="421a39ba897adb2cc867816d29bce0e63cddb0e6">
          <item id="25222e0c0b98a89a9a17c30cc8d2f65e215551cd" userID="1851561945" userName="石玉珍" dateTime="2026-07-09T03:40:26" isNormal="0">
            <s:text>
              <s:r>
                <s:t xml:space="preserve">7/9 UPC贴纸 48 pcs</s:t>
              </s:r>
            </s:text>
          </item>
          <item id="605cb598e265ce48fca47240cf598f62df3aba16" userID="1851561945" userName="石玉珍" dateTime="2026-07-10T14:19:39" isNormal="0">
            <s:text>
              <s:r>
                <s:t xml:space="preserve">7/10 客供亚马逊外箱贴纸 2 pcs</s:t>
              </s:r>
            </s:text>
          </item>
        </commentChain>
      </unresolved>
      <resolved/>
    </commentChains>
    <commentChains s:ref="AB835" rgbClr="FF0000">
      <unresolved>
        <commentChain chainId="151544a1c598c53c7b5cd6adb5eedfcc32cf2cef">
          <item id="a205841baef29d48b4a8e0e1f40b8faacb27a092" userID="1851561945" userName="石玉珍" dateTime="2026-07-17T00:28:38" isNormal="0">
            <s:text>
              <s:r>
                <s:t xml:space="preserve">1001936 7/14 24 pcs 欣泰C6</s:t>
              </s:r>
            </s:text>
          </item>
        </commentChain>
      </unresolved>
      <resolved/>
    </commentChains>
    <commentChains s:ref="AD835" rgbClr="FF0000">
      <unresolved>
        <commentChain chainId="8343eb71f221b2b2dbb3d7974e6e840f3a648575">
          <item id="6b999443bb194b63887559c58fe23589a904a9f0" userID="1851561945" userName="石玉珍" dateTime="2026-07-09T03:40:26" isNormal="0">
            <s:text>
              <s:r>
                <s:t xml:space="preserve">7/9 UPC贴纸 24 pcs</s:t>
              </s:r>
            </s:text>
          </item>
          <item id="5541aa4d9d4b72799a41f3d30040bd0f559c7816" userID="1851561945" userName="石玉珍" dateTime="2026-07-10T14:19:42" isNormal="0">
            <s:text>
              <s:r>
                <s:t xml:space="preserve">7/10 客供亚马逊外箱贴纸 1 pcs</s:t>
              </s:r>
            </s:text>
          </item>
        </commentChain>
      </unresolved>
      <resolved/>
    </commentChains>
    <commentChains s:ref="AB836" rgbClr="FF0000">
      <unresolved>
        <commentChain chainId="b49ea93e106f13aec94974d354df3093c08a4b9a">
          <item id="d682dba395494dc03c2442c1373fd9cc75fd373e" userID="1851561945" userName="石玉珍" dateTime="2026-07-17T00:28:41" isNormal="0">
            <s:text>
              <s:r>
                <s:t xml:space="preserve">1001936 7/14 24 pcs 欣泰C6</s:t>
              </s:r>
            </s:text>
          </item>
        </commentChain>
      </unresolved>
      <resolved/>
    </commentChains>
    <commentChains s:ref="AD836" rgbClr="FF0000">
      <unresolved>
        <commentChain chainId="b189274997cd0bbc582677870917d793668f8e23">
          <item id="74b2c089566a585d0eb167a9c97671e144a38ec3" userID="1851561945" userName="石玉珍" dateTime="2026-07-09T03:40:26" isNormal="0">
            <s:text>
              <s:r>
                <s:t xml:space="preserve">7/9 UPC贴纸 24 pcs</s:t>
              </s:r>
            </s:text>
          </item>
          <item id="774bd8abda6110e79aaa205cf4a65a6ecc64afcf" userID="1851561945" userName="石玉珍" dateTime="2026-07-10T14:19:45" isNormal="0">
            <s:text>
              <s:r>
                <s:t xml:space="preserve">7/10 客供亚马逊外箱贴纸 1 pcs</s:t>
              </s:r>
            </s:text>
          </item>
        </commentChain>
      </unresolved>
      <resolved/>
    </commentChains>
    <commentChains s:ref="AB837" rgbClr="FF0000">
      <unresolved>
        <commentChain chainId="a6c83914015af6a28cbaeeff35daf8b41f7cc53a">
          <item id="4f0328a20d475d0f9107fc4bce0b871fc1e718dc" userID="1851561945" userName="石玉珍" dateTime="2026-07-17T00:28:44" isNormal="0">
            <s:text>
              <s:r>
                <s:t xml:space="preserve">1001936 7/14 24 pcs 欣泰C6</s:t>
              </s:r>
            </s:text>
          </item>
        </commentChain>
      </unresolved>
      <resolved/>
    </commentChains>
    <commentChains s:ref="AD837" rgbClr="FF0000">
      <unresolved>
        <commentChain chainId="947f5e5ad752071826b042f84cb1681c0d20998c">
          <item id="73e5b290140b42430564384dcdc809559514dac5" userID="1851561945" userName="石玉珍" dateTime="2026-07-09T03:40:26" isNormal="0">
            <s:text>
              <s:r>
                <s:t xml:space="preserve">7/9 UPC贴纸 24 pcs</s:t>
              </s:r>
            </s:text>
          </item>
          <item id="05e87dded4df38ab637666b04fe2b8e376fcf7fb" userID="1851561945" userName="石玉珍" dateTime="2026-07-10T14:19:49" isNormal="0">
            <s:text>
              <s:r>
                <s:t xml:space="preserve">7/10 客供亚马逊外箱贴纸 1 pcs</s:t>
              </s:r>
            </s:text>
          </item>
        </commentChain>
      </unresolved>
      <resolved/>
    </commentChains>
    <commentChains s:ref="AB838" rgbClr="FF0000">
      <unresolved>
        <commentChain chainId="5d399764cc4f0e0b2d21dbb954b9a95ecf7dfa36">
          <item id="f85e4ff1dbae813ee44467048647610ae150f119" userID="1851561945" userName="石玉珍" dateTime="2026-07-17T00:28:47" isNormal="0">
            <s:text>
              <s:r>
                <s:t xml:space="preserve">1001936 7/14 24 pcs 欣泰C6</s:t>
              </s:r>
            </s:text>
          </item>
        </commentChain>
      </unresolved>
      <resolved/>
    </commentChains>
    <commentChains s:ref="AD838" rgbClr="FF0000">
      <unresolved>
        <commentChain chainId="b38069555eb465b7c91d9f0758fd11f58e7deb88">
          <item id="d80ecef7f5cd6c3eca68439dd17180b30c7ae583" userID="1851561945" userName="石玉珍" dateTime="2026-07-09T03:40:26" isNormal="0">
            <s:text>
              <s:r>
                <s:t xml:space="preserve">7/9 UPC贴纸 24 pcs</s:t>
              </s:r>
            </s:text>
          </item>
          <item id="a583a011e95e8cf2abb6b8343e93a4ab564b5e3e" userID="1851561945" userName="石玉珍" dateTime="2026-07-10T14:20:25" isNormal="0">
            <s:text>
              <s:r>
                <s:t xml:space="preserve">7/10 客供亚马逊外箱贴纸 1 pcs</s:t>
              </s:r>
            </s:text>
          </item>
        </commentChain>
      </unresolved>
      <resolved/>
    </commentChains>
    <commentChains s:ref="AB839" rgbClr="FF0000">
      <unresolved>
        <commentChain chainId="5dae22348142afc4d9dec46ab71dc694b2e8610b">
          <item id="d5b7ad6ca9b0ed61dfc58c50c5783edd091b1d29" userID="1851561945" userName="石玉珍" dateTime="2026-07-17T00:28:50" isNormal="0">
            <s:text>
              <s:r>
                <s:t xml:space="preserve">1001936 7/14 24 pcs 欣泰C6</s:t>
              </s:r>
            </s:text>
          </item>
        </commentChain>
      </unresolved>
      <resolved/>
    </commentChains>
    <commentChains s:ref="AD839" rgbClr="FF0000">
      <unresolved>
        <commentChain chainId="a6d36b270668c68c7c5fb809bb495b34a31ca7e6">
          <item id="5f46328b5e28b32c2a64a0a5fa6d621b8edd37fc" userID="1851561945" userName="石玉珍" dateTime="2026-07-09T03:40:26" isNormal="0">
            <s:text>
              <s:r>
                <s:t xml:space="preserve">7/9 UPC贴纸 24 pcs</s:t>
              </s:r>
            </s:text>
          </item>
          <item id="49c6cc9632ce516230b24c761cf05b55168e9a86" userID="1851561945" userName="石玉珍" dateTime="2026-07-10T14:20:28" isNormal="0">
            <s:text>
              <s:r>
                <s:t xml:space="preserve">7/10 客供亚马逊外箱贴纸 1 pcs</s:t>
              </s:r>
            </s:text>
          </item>
        </commentChain>
      </unresolved>
      <resolved/>
    </commentChains>
    <commentChains s:ref="AB840" rgbClr="FF0000">
      <unresolved>
        <commentChain chainId="0e977e6681276d0c6abf3d5272623e2cb11addaf">
          <item id="49b101f32d724ec9a420915c3da033d9f40611b4" userID="1851561945" userName="石玉珍" dateTime="2026-07-22T00:54:39" isNormal="0">
            <s:text>
              <s:r>
                <s:t xml:space="preserve">1001727 7/20 480 pcs 欣泰A6</s:t>
              </s:r>
            </s:text>
          </item>
        </commentChain>
      </unresolved>
      <resolved/>
    </commentChains>
    <commentChains s:ref="AD840" rgbClr="FF0000">
      <unresolved>
        <commentChain chainId="bcc64aa1ba9e0ec952e999ff24ccbd890b5ce2b4">
          <item id="327c65b4a327d3a76ef90e081a24f244b95752e7" userID="1851561945" userName="石玉珍" dateTime="2026-06-04T12:21:51" isNormal="0">
            <s:text>
              <s:r>
                <s:t xml:space="preserve">6/4上 邮购盒贴纸 480 pcs</s:t>
              </s:r>
            </s:text>
          </item>
          <item id="778d73fbce3939b3497654d54ae0210c29d727b8" userID="1851561945" userName="石玉珍" dateTime="2026-07-09T13:02:49" isNormal="0">
            <s:text>
              <s:r>
                <s:t xml:space="preserve">6/26上 亚马逊外箱贴纸 20 pcs</s:t>
              </s:r>
            </s:text>
          </item>
        </commentChain>
      </unresolved>
      <resolved/>
    </commentChains>
    <commentChains s:ref="AB841" rgbClr="FF0000">
      <unresolved>
        <commentChain chainId="65310f7f76fb757bb74d3b852dd7509a2864a9f2">
          <item id="4a02c011b200d91c08d88bd82033680cf9359517" userID="1851561945" userName="石玉珍" dateTime="2026-07-22T00:54:42" isNormal="0">
            <s:text>
              <s:r>
                <s:t xml:space="preserve">1001727 7/20 480 pcs 欣泰A6</s:t>
              </s:r>
            </s:text>
          </item>
        </commentChain>
      </unresolved>
      <resolved/>
    </commentChains>
    <commentChains s:ref="AD841" rgbClr="FF0000">
      <unresolved>
        <commentChain chainId="7dd7b570bd632c134e73d4cca0e1f3f285ce8f3d">
          <item id="08e16c9d67892588a5a132f0c12bab2cee06aaba" userID="1851561945" userName="石玉珍" dateTime="2026-06-04T12:21:51" isNormal="0">
            <s:text>
              <s:r>
                <s:t xml:space="preserve">6/4上 邮购盒贴纸 480 pcs</s:t>
              </s:r>
            </s:text>
          </item>
          <item id="3ae594afdc60f933ea2de7bf35e34e55573f0d3f" userID="1851561945" userName="石玉珍" dateTime="2026-07-09T13:03:04" isNormal="0">
            <s:text>
              <s:r>
                <s:t xml:space="preserve">6/26上 亚马逊外箱贴纸 20 pcs</s:t>
              </s:r>
            </s:text>
          </item>
        </commentChain>
      </unresolved>
      <resolved/>
    </commentChains>
    <commentChains s:ref="AB842" rgbClr="FF0000">
      <unresolved>
        <commentChain chainId="b73ef9437575b1f52bf3ab4b1e8e9f00bd13ab05">
          <item id="ee96848280f536cbb627129140c86a971cd1c0e3" userID="1851561945" userName="石玉珍" dateTime="2026-07-23T01:02:15" isNormal="0">
            <s:text>
              <s:r>
                <s:t xml:space="preserve">1001733 7/21 506 pcs 钜顺C1</s:t>
              </s:r>
            </s:text>
          </item>
        </commentChain>
      </unresolved>
      <resolved/>
    </commentChains>
    <commentChains s:ref="AD842" rgbClr="FF0000">
      <unresolved>
        <commentChain chainId="35fcda3d07443f5da69cf3145d6ec150a7429b58">
          <item id="f2af1d2d8b8476ea32def9393b58193e13c2b48a" userID="1851561945" userName="石玉珍" dateTime="2026-07-07T13:43:42" isNormal="0">
            <s:text>
              <s:r>
                <s:t xml:space="preserve">7/7 UPC贴纸 506 pcs</s:t>
              </s:r>
            </s:text>
          </item>
        </commentChain>
      </unresolved>
      <resolved/>
    </commentChains>
    <commentChains s:ref="AB843" rgbClr="FF0000">
      <unresolved>
        <commentChain chainId="b6333832abcf2503c983954a3f6556473cf44938">
          <item id="0c9d1605f219e16fd59996182e50730b8afa4884" userID="1851561945" userName="石玉珍" dateTime="2026-07-28T00:45:03" isNormal="0">
            <s:text>
              <s:r>
                <s:t xml:space="preserve">1001825 7/25 456 pcs 馥通F2</s:t>
              </s:r>
            </s:text>
          </item>
        </commentChain>
      </unresolved>
      <resolved/>
    </commentChains>
    <commentChains s:ref="AD843" rgbClr="FF0000">
      <unresolved>
        <commentChain chainId="71328101801e3744cf64275a3f42c0cf41cc8f69">
          <item id="96e75c1c4817165e4fc58ab067975d9edc6888ef" userID="1851561945" userName="石玉珍" dateTime="2026-07-16T11:32:50" isNormal="0">
            <s:text>
              <s:r>
                <s:t xml:space="preserve">7/16上 QR贴纸 456 pcs
进口商贴纸 456 pcs</s:t>
              </s:r>
            </s:text>
          </item>
        </commentChain>
      </unresolved>
      <resolved/>
    </commentChains>
    <commentChains s:ref="AB844" rgbClr="FF0000">
      <unresolved>
        <commentChain chainId="2715d46955129b35f1f22313fe48c51485f47ad5">
          <item id="2bfe3abbb36e8f1dfc8236c4bf4934e48340cfb9" userID="1851561945" userName="石玉珍" dateTime="2026-07-28T00:45:23" isNormal="0">
            <s:text>
              <s:r>
                <s:t xml:space="preserve">1001825 7/25 1584 pcs 馥通F2</s:t>
              </s:r>
            </s:text>
          </item>
        </commentChain>
      </unresolved>
      <resolved/>
    </commentChains>
    <commentChains s:ref="AD844" rgbClr="FF0000">
      <unresolved>
        <commentChain chainId="d6f960532bcce9888b4fbcb0ad29a14e4b346a71">
          <item id="52bc3bcd0fc16e39a36af60176b51a00e6ee23b5" userID="1851561945" userName="石玉珍" dateTime="2026-07-07T13:25:44" isNormal="0">
            <s:text>
              <s:r>
                <s:t xml:space="preserve">7/7 QR贴纸 1584 pcs</s:t>
              </s:r>
            </s:text>
          </item>
          <item id="e9c21537357b39f4eb6d3cca697987d822650a27" userID="1851561945" userName="石玉珍" dateTime="2026-07-14T11:57:54" isNormal="0">
            <s:text>
              <s:r>
                <s:t xml:space="preserve">7/14上 进口商贴纸 1584 pcs</s:t>
              </s:r>
            </s:text>
          </item>
        </commentChain>
      </unresolved>
      <resolved/>
    </commentChains>
    <commentChains s:ref="AB845" rgbClr="FF0000">
      <unresolved>
        <commentChain chainId="a91082dddebe2ac5357469793f414490a24dbca7">
          <item id="9edb1fbe64a33885200960bc72e80aec7956081f" userID="1851561945" userName="石玉珍" dateTime="2026-07-28T00:45:38" isNormal="0">
            <s:text>
              <s:r>
                <s:t xml:space="preserve">1001825 7/25 1210 pcs 馥通F2</s:t>
              </s:r>
            </s:text>
          </item>
        </commentChain>
      </unresolved>
      <resolved/>
    </commentChains>
    <commentChains s:ref="AD845" rgbClr="FF0000">
      <unresolved>
        <commentChain chainId="9f35c834865da58bf14ed5e0c3ba0e2c8db5ff34">
          <item id="5ceae5efde1025cf66fff3ab3b086e2b699321d4" userID="1851561945" userName="石玉珍" dateTime="2026-07-20T11:54:25" isNormal="0">
            <s:text>
              <s:r>
                <s:t xml:space="preserve">7/20上 UPC/进口商贴纸 1210 pcs</s:t>
              </s:r>
            </s:text>
          </item>
        </commentChain>
      </unresolved>
      <resolved/>
    </commentChains>
    <commentChains s:ref="AB846" rgbClr="FF0000">
      <unresolved>
        <commentChain chainId="3e6a7b8aca9383863d6b62edc09994174131f7c7">
          <item id="3df2b1b441cd102c3072956405978ec94165e2c5" userID="1851561945" userName="石玉珍" dateTime="2026-07-31T01:05:11" isNormal="0">
            <s:text>
              <s:r>
                <s:t xml:space="preserve">1001645 7/29 6840 pcs 馥通A3</s:t>
              </s:r>
            </s:text>
          </item>
        </commentChain>
      </unresolved>
      <resolved/>
    </commentChains>
    <commentChains s:ref="AD846" rgbClr="FF0000">
      <unresolved>
        <commentChain chainId="206f6d71246775f5e662fd17346b0624d789d3c2">
          <item id="5b4877e5acbc7acf035c7f7f857b919425ff04fb" userID="1851561945" userName="石玉珍" dateTime="2026-07-15T09:25:36" isNormal="0">
            <s:text>
              <s:r>
                <s:t xml:space="preserve">7/15上 地址贴纸 6840  pcs</s:t>
              </s:r>
            </s:text>
          </item>
          <item id="c870c3618d9d7a7fc1a2491950bda8c22a210127" userID="1851561945" userName="石玉珍" dateTime="2026-07-16T11:32:07" isNormal="0">
            <s:text>
              <s:r>
                <s:t xml:space="preserve">7/16上 EAN条码贴纸 6840 pcs
德语callout警语贴纸 6840 pcs</s:t>
              </s:r>
            </s:text>
          </item>
        </commentChain>
      </unresolved>
      <resolved/>
    </commentChains>
    <commentChains s:ref="AB847" rgbClr="FF0000">
      <unresolved>
        <commentChain chainId="a5845a824e0a7cd22e730537e6fa4f29cc2e6b97">
          <item id="7dfc2bbd44801bd39127985571a552d70dd91be1" userID="1851561945" userName="石玉珍" dateTime="2026-07-31T01:04:23" isNormal="0">
            <s:text>
              <s:r>
                <s:t xml:space="preserve">1001645 7/29 1804 pcs 馥通A1</s:t>
              </s:r>
            </s:text>
          </item>
        </commentChain>
      </unresolved>
      <resolved/>
    </commentChains>
    <commentChains s:ref="AB848" rgbClr="FF0000">
      <unresolved>
        <commentChain chainId="4139629a4f2d8e08095dff871725076b80bed141">
          <item id="8cc0dabceba9d45457f6db16013f0012293342fa" userID="1851561945" userName="石玉珍" dateTime="2026-07-31T01:04:39" isNormal="0">
            <s:text>
              <s:r>
                <s:t xml:space="preserve">1001645 7/29 1540 pcs 馥通A2</s:t>
              </s:r>
            </s:text>
          </item>
        </commentChain>
      </unresolved>
      <resolved/>
    </commentChains>
    <commentChains s:ref="AD848" rgbClr="FF0000">
      <unresolved>
        <commentChain chainId="38fc1de45ce9209a2145bab15309fa4bbd7fefa1">
          <item id="2911592c17b31a1c728d5c1bcb6b7e1f275ba595" userID="1851561945" userName="石玉珍" dateTime="2026-07-16T11:20:38" isNormal="0">
            <s:text>
              <s:r>
                <s:t xml:space="preserve">7/16上 EAN贴纸 1540 pcs 
NL警语贴纸 1540 pcs</s:t>
              </s:r>
            </s:text>
          </item>
          <item id="e053f1c3bc019d81f19a1d24b4e886746646340a" userID="1851561945" userName="石玉珍" dateTime="2026-07-20T11:31:39" isNormal="0">
            <s:text>
              <s:r>
                <s:t xml:space="preserve">7/20上 EAN条码贴纸 1540 pcs</s:t>
              </s:r>
            </s:text>
          </item>
        </commentChain>
      </unresolved>
      <resolved/>
    </commentChains>
    <commentChains s:ref="AB849" rgbClr="FF0000">
      <unresolved>
        <commentChain chainId="f63d06d0b4a95db9025d325054c4023e945f4f93">
          <item id="2be8b16d6cd31a4d859a9cc978251d08f2b7f73f" userID="1851561945" userName="石玉珍" dateTime="2026-07-31T01:04:50" isNormal="0">
            <s:text>
              <s:r>
                <s:t xml:space="preserve">1001645 7/29 506 pcs 馥通A2</s:t>
              </s:r>
            </s:text>
          </item>
        </commentChain>
      </unresolved>
      <resolved/>
    </commentChains>
    <commentChains s:ref="AD849" rgbClr="FF0000">
      <unresolved>
        <commentChain chainId="7cc823da9f13ee7ff2f5d259914750e83ee618b7">
          <item id="c2af910621a5541c8b835333879467ff9153b6e5" userID="1851561945" userName="石玉珍" dateTime="2026-07-18T09:26:41" isNormal="0">
            <s:text>
              <s:r>
                <s:t xml:space="preserve">7/18上 进口商贴纸 506 pcs
UPC条码贴纸 506 pcs</s:t>
              </s:r>
            </s:text>
          </item>
        </commentChain>
      </unresolved>
      <resolved/>
    </commentChains>
    <commentChains s:ref="AB850" rgbClr="FF0000">
      <unresolved>
        <commentChain chainId="92aaae4066376f8cfaed6f8c5b5d2db137beaa1c">
          <item id="1121b016f95bd90d3b4b69c457d9387522e8fd82" userID="1851561945" userName="石玉珍" dateTime="2026-07-31T00:49:56" isNormal="0">
            <s:text>
              <s:r>
                <s:t xml:space="preserve">1001657 7/29 480 pcs 馥通A8</s:t>
              </s:r>
            </s:text>
          </item>
        </commentChain>
      </unresolved>
      <resolved/>
    </commentChains>
    <commentChains s:ref="AD850" rgbClr="FF0000">
      <unresolved>
        <commentChain chainId="3116022f7ebc397f3cdcf7e59c01566164369e8d">
          <item id="b9697dcebce4483c982224a4cd1cf627a4bfaadb" userID="1851561945" userName="石玉珍" dateTime="2026-07-09T08:14:37" isNormal="0">
            <s:text>
              <s:r>
                <s:t xml:space="preserve">7/9上 亚马逊外箱贴纸 20 pcs</s:t>
              </s:r>
            </s:text>
          </item>
          <item id="00986037b6fc06a9ccb3321b922ebc6d365e1c64" userID="1851561945" userName="石玉珍" dateTime="2026-07-15T09:24:32" isNormal="0">
            <s:text>
              <s:r>
                <s:t xml:space="preserve">7/15上 地址贴纸 480 pcs</s:t>
              </s:r>
            </s:text>
          </item>
          <item id="e5f3404b080fc029b634b227528bf8094f946725" userID="1851561945" userName="石玉珍" dateTime="2026-07-16T11:45:31" isNormal="0">
            <s:text>
              <s:r>
                <s:t xml:space="preserve">7/16上 邮包盒贴纸 480 pcs</s:t>
              </s:r>
            </s:text>
          </item>
        </commentChain>
      </unresolved>
      <resolved/>
    </commentChains>
    <commentChains s:ref="AB851" rgbClr="FF0000">
      <unresolved>
        <commentChain chainId="d0633f2ed50b447a60539d37b9fcd0e11a8ee140">
          <item id="fe81a4ed4a141fe6ad66a8def8aac9cf8a244215" userID="1851561945" userName="石玉珍" dateTime="2026-08-17T00:59:53" isNormal="0">
            <s:text>
              <s:r>
                <s:t xml:space="preserve">1001406 8/14 6050 pcs 欣泰F6</s:t>
              </s:r>
            </s:text>
          </item>
        </commentChain>
      </unresolved>
      <resolved/>
    </commentChains>
    <commentChains s:ref="AB852" rgbClr="FF0000">
      <unresolved>
        <commentChain chainId="3b92372905bf0b21284010f7e5407e097e009347">
          <item id="7cee827d59ace2cc3a425f5130e3c50e7c98e44b" userID="1851561945" userName="石玉珍" dateTime="2026-08-17T01:00:01" isNormal="0">
            <s:text>
              <s:r>
                <s:t xml:space="preserve">1001406 8/14 6050 pcs 欣泰E5</s:t>
              </s:r>
            </s:text>
          </item>
        </commentChain>
      </unresolved>
      <resolved/>
    </commentChains>
    <commentChains s:ref="AD853" rgbClr="FF0000">
      <unresolved>
        <commentChain chainId="992a190ac797243c46471e637733d5e8ee455e08">
          <item id="2566406839fb800cfe043d2f5673661c3d17223f" userID="1851561945" userName="石玉珍" dateTime="2026-08-01T08:10:05" isNormal="0">
            <s:text>
              <s:r>
                <s:t xml:space="preserve">8/1上 UPC 贴纸814 pcs
进口商贴纸 814 pcs
保证书 814 pcs</s:t>
              </s:r>
            </s:text>
          </item>
        </commentChain>
      </unresolved>
      <resolved/>
    </commentChains>
    <commentChains s:ref="AD854" rgbClr="FF0000">
      <unresolved>
        <commentChain chainId="c4a6263f897669c621089e8abb1d3a87210c0ba5">
          <item id="299ceddb4a5e9c84250930c6db535ce41924fe5e" userID="1851561945" userName="石玉珍" dateTime="2026-08-01T08:06:53" isNormal="0">
            <s:text>
              <s:r>
                <s:t xml:space="preserve">8/1上 保证书 120 pcs
UPC贴纸 120 pcs
进口商贴纸 120 pcs
</s:t>
              </s:r>
            </s:text>
          </item>
        </commentChain>
      </unresolved>
      <resolved/>
    </commentChains>
    <commentChains s:ref="AD855" rgbClr="FF0000">
      <unresolved>
        <commentChain chainId="6eafeca024e388148fbdb104f848148ade748272">
          <item id="df043f2cdcf1492e32091605b40bbabb91ec9a78" userID="1851561945" userName="石玉珍" dateTime="2026-08-01T08:07:00" isNormal="0">
            <s:text>
              <s:r>
                <s:t xml:space="preserve">8/1上 保证书 120 pcs
UPC贴纸 120 pcs
进口商贴纸 120 pcs</s:t>
              </s:r>
            </s:text>
          </item>
        </commentChain>
      </unresolved>
      <resolved/>
    </commentChains>
    <commentChains s:ref="AD856" rgbClr="FF0000">
      <unresolved>
        <commentChain chainId="681474c2c79f278176d9a2e56a313458811a4345">
          <item id="6f0ed2e284a80ba5e434c5ae46bfcd621a75085a" userID="1851561945" userName="石玉珍" dateTime="2026-08-01T08:10:25" isNormal="0">
            <s:text>
              <s:r>
                <s:t xml:space="preserve">8/1上 UPC 贴纸 110 pcs
进口商贴纸  110 pcs
保证书 110 pcs</s:t>
              </s:r>
            </s:text>
          </item>
        </commentChain>
      </unresolved>
      <resolved/>
    </commentChains>
    <commentChains s:ref="AB857" rgbClr="FF0000">
      <unresolved>
        <commentChain chainId="41182cb7cf422bcf21567469074dcc8af1f5edc4">
          <item id="910f07d92603fc659a13cfee225f640ffa19efc0" userID="1851561945" userName="石玉珍" dateTime="2026-08-17T00:53:54" isNormal="0">
            <s:text>
              <s:r>
                <s:t xml:space="preserve">1001398 8/14 24 pcs 馥通C1</s:t>
              </s:r>
            </s:text>
          </item>
        </commentChain>
      </unresolved>
      <resolved/>
    </commentChains>
    <commentChains s:ref="AD857" rgbClr="FF0000">
      <unresolved>
        <commentChain chainId="504088bb50aa7e7332e90a824db55a27d50e1bfe">
          <item id="c27f678134e11e069ee0992413aa370c4406e46e" userID="1851561945" userName="石玉珍" dateTime="2026-07-16T11:52:54" isNormal="0">
            <s:text>
              <s:r>
                <s:t xml:space="preserve">7/16上 UPC贴纸 24 pcs</s:t>
              </s:r>
            </s:text>
          </item>
          <item id="ce01dd123da7c1b34f9db7ead3aefe61d19f75ad" userID="1851561945" userName="石玉珍" dateTime="2026-07-18T09:19:57" isNormal="0">
            <s:text>
              <s:r>
                <s:t xml:space="preserve">7/18 客供亚马逊外箱贴纸 1 pcs</s:t>
              </s:r>
            </s:text>
          </item>
        </commentChain>
      </unresolved>
      <resolved/>
    </commentChains>
    <commentChains s:ref="AB858" rgbClr="FF0000">
      <unresolved>
        <commentChain chainId="a3866d380659c8fbd17a22414d8c824ca65edfd5">
          <item id="1f59778713422fd4698475ca691a913deaa2f04d" userID="1851561945" userName="石玉珍" dateTime="2026-08-17T00:53:57" isNormal="0">
            <s:text>
              <s:r>
                <s:t xml:space="preserve">1001398 8/14 24 pcs 馥通C1</s:t>
              </s:r>
            </s:text>
          </item>
        </commentChain>
      </unresolved>
      <resolved/>
    </commentChains>
    <commentChains s:ref="AD858" rgbClr="FF0000">
      <unresolved>
        <commentChain chainId="7c36adf9f2e1147e048cdc8a005fcec9230f5ebc">
          <item id="bbb150cc2c12686772d68fa51da88c24e0007bb5" userID="1851561945" userName="石玉珍" dateTime="2026-07-16T11:52:54" isNormal="0">
            <s:text>
              <s:r>
                <s:t xml:space="preserve">7/16上 UPC贴纸 24 pcs</s:t>
              </s:r>
            </s:text>
          </item>
          <item id="519d573aafc4c6daabbc0f865e870bc0cab5193b" userID="1851561945" userName="石玉珍" dateTime="2026-07-18T09:20:00" isNormal="0">
            <s:text>
              <s:r>
                <s:t xml:space="preserve">7/18 客供亚马逊外箱贴纸 1 pcs</s:t>
              </s:r>
            </s:text>
          </item>
        </commentChain>
      </unresolved>
      <resolved/>
    </commentChains>
    <commentChains s:ref="AB859" rgbClr="FF0000">
      <unresolved>
        <commentChain chainId="fb6626a7fd1fab54381eb10cf01f987f2db81178">
          <item id="aa13f4fe4fe159adad9053236ccd4222f06d22ef" userID="1851561945" userName="石玉珍" dateTime="2026-08-17T00:54:00" isNormal="0">
            <s:text>
              <s:r>
                <s:t xml:space="preserve">1001398 8/14 24 pcs 馥通C1</s:t>
              </s:r>
            </s:text>
          </item>
        </commentChain>
      </unresolved>
      <resolved/>
    </commentChains>
    <commentChains s:ref="AD859" rgbClr="FF0000">
      <unresolved>
        <commentChain chainId="80ca4352b00fc5dcf021709c181953f400d3ad9e">
          <item id="2ed18bd229e2352d35b91c25cfbfa8e6f9073aa3" userID="1851561945" userName="石玉珍" dateTime="2026-07-16T11:52:54" isNormal="0">
            <s:text>
              <s:r>
                <s:t xml:space="preserve">7/16上 UPC贴纸 24 pcs</s:t>
              </s:r>
            </s:text>
          </item>
          <item id="86d26fa97953cfe91c09f181b23c5f691a8c0464" userID="1851561945" userName="石玉珍" dateTime="2026-07-18T09:20:03" isNormal="0">
            <s:text>
              <s:r>
                <s:t xml:space="preserve">7/18 客供亚马逊外箱贴纸 1 pcs</s:t>
              </s:r>
            </s:text>
          </item>
        </commentChain>
      </unresolved>
      <resolved/>
    </commentChains>
    <commentChains s:ref="AD860" rgbClr="FF0000">
      <unresolved>
        <commentChain chainId="4efd244c19eca20676b0106d7d17cea8df288d7f">
          <item id="b8ee5ae2ad38e7bf713015e7e77c8e733166624b" userID="1851561945" userName="石玉珍" dateTime="2026-07-25T10:23:43" isNormal="0">
            <s:text>
              <s:r>
                <s:t xml:space="preserve">7/25上 PDQ+收缩膜进口商贴纸  1320 pcs</s:t>
              </s:r>
            </s:text>
          </item>
        </commentChain>
      </unresolved>
      <resolved/>
    </commentChains>
    <commentChains s:ref="AD861" rgbClr="FF0000">
      <unresolved>
        <commentChain chainId="04c8722519e6d085953b1c148af7a9ff7c353181">
          <item id="f3f549f3c33d0e9ee69306c99f60b522ab0b2def" userID="1851561945" userName="石玉珍" dateTime="2026-07-25T10:24:09" isNormal="0">
            <s:text>
              <s:r>
                <s:t xml:space="preserve">7/25上 PDQ+收缩膜进口商贴纸  144 pcs</s:t>
              </s:r>
            </s:text>
          </item>
        </commentChain>
      </unresolved>
      <resolved/>
    </commentChains>
    <commentChains s:ref="AD862" rgbClr="FF0000">
      <unresolved>
        <commentChain chainId="616808326e9720dc88463a4d8a6c396e9288d529">
          <item id="90ebebc7309146a81fb3c1805382456a8e75ff3b" userID="1851561945" userName="石玉珍" dateTime="2026-07-25T10:24:09" isNormal="0">
            <s:text>
              <s:r>
                <s:t xml:space="preserve">7/25上 PDQ+收缩膜进口商贴纸  792 pcs</s:t>
              </s:r>
            </s:text>
          </item>
        </commentChain>
      </unresolved>
      <resolved/>
    </commentChains>
    <commentChains s:ref="AD864" rgbClr="FF0000">
      <unresolved>
        <commentChain chainId="0cec0d02439ea428d4cae0197c474a6a51cd8bfb">
          <item id="bc4938a0b554dc8e26a89855c231812833a2a15e" userID="1851561945" userName="石玉珍" dateTime="2026-07-22T11:18:14" isNormal="0">
            <s:text>
              <s:r>
                <s:t xml:space="preserve">7/22上 邮包盒贴纸 744 pcs</s:t>
              </s:r>
            </s:text>
          </item>
          <item id="960e26d55f1f1a2c14123547f00abc3abfad2aa8" userID="1851561945" userName="石玉珍" dateTime="2026-08-04T06:19:42" isNormal="0">
            <s:text>
              <s:r>
                <s:t xml:space="preserve">8/3上 亚马逊外箱贴纸 31 pcs</s:t>
              </s:r>
            </s:text>
          </item>
        </commentChain>
      </unresolved>
      <resolved/>
    </commentChains>
    <commentChains s:ref="AD865" rgbClr="FF0000">
      <unresolved>
        <commentChain chainId="60c51229fd26aa0888fab87efe1d4f6859f5c314">
          <item id="fc22445772dc5c3185b4df4333634b009b39308b" userID="1851561945" userName="石玉珍" dateTime="2026-07-23T12:19:54" isNormal="0">
            <s:text>
              <s:r>
                <s:t xml:space="preserve">7/23上 进口商贴纸 814 pcs</s:t>
              </s:r>
            </s:text>
          </item>
        </commentChain>
      </unresolved>
      <resolved/>
    </commentChains>
    <commentChains s:ref="AD866" rgbClr="FF0000">
      <unresolved>
        <commentChain chainId="969beea61ad760a28a194f671414213c069a123e">
          <item id="5e8e9e2536f2ff2f2dfc66393e155d5df8b3bd0e" userID="1851561945" userName="石玉珍" dateTime="2026-08-05T09:25:03" isNormal="0">
            <s:text>
              <s:r>
                <s:t xml:space="preserve">8/5上 UPC条码贴纸 220 pcs
进口商贴纸 220 pcs</s:t>
              </s:r>
            </s:text>
          </item>
        </commentChain>
      </unresolved>
      <resolved/>
    </commentChains>
    <commentChains s:ref="AD867" rgbClr="FF0000">
      <unresolved>
        <commentChain chainId="8df97b3fe89f93beaa0301dc47121fcc60bc0d2c">
          <item id="de4ed26db29e46771003dea5abc802e2a4d12df9" userID="1851561945" userName="石玉珍" dateTime="2026-07-10T13:57:15" isNormal="0">
            <s:text>
              <s:r>
                <s:t xml:space="preserve">7/10 客供价格贴纸 630 pcs</s:t>
              </s:r>
            </s:text>
          </item>
        </commentChain>
      </unresolved>
      <resolved/>
    </commentChains>
    <commentChains s:ref="AD870" rgbClr="FF0000">
      <unresolved>
        <commentChain chainId="5ecd5580e0c7d9538da65e0bc1170b46aa032240">
          <item id="aec7bb9e2f11027304d624c3e87c620b9010e3d7" userID="1851561945" userName="石玉珍" dateTime="2026-08-04T06:19:02" isNormal="0">
            <s:text>
              <s:r>
                <s:t xml:space="preserve">8/3上 亚马逊外箱贴纸 22 pcs</s:t>
              </s:r>
            </s:text>
          </item>
          <item id="57ae2d83b17a790fa4b73687372f252b9f127953" userID="1851561945" userName="石玉珍" dateTime="2026-08-06T12:23:08" isNormal="0">
            <s:text>
              <s:r>
                <s:t xml:space="preserve">8/6上 邮包盒贴纸 528 pcs</s:t>
              </s:r>
            </s:text>
          </item>
        </commentChain>
      </unresolved>
      <resolved/>
    </commentChains>
    <commentChains s:ref="AD871" rgbClr="FF0000">
      <unresolved>
        <commentChain chainId="9de7a53ebaaacb31e726aa3eab6fec651dd31164">
          <item id="343b5dbbc89edf73ecb2dcc91dff3c596db3e09a" userID="1851561945" userName="石玉珍" dateTime="2026-08-04T06:19:08" isNormal="0">
            <s:text>
              <s:r>
                <s:t xml:space="preserve">8/3上 亚马逊外箱贴纸 20 pcs</s:t>
              </s:r>
            </s:text>
          </item>
          <item id="974f65e728fab55e0165ae44c3997a68baabf548" userID="1851561945" userName="石玉珍" dateTime="2026-08-06T12:23:18" isNormal="0">
            <s:text>
              <s:r>
                <s:t xml:space="preserve">8/6上 邮包盒贴纸 480 pcs</s:t>
              </s:r>
            </s:text>
          </item>
        </commentChain>
      </unresolved>
      <resolved/>
    </commentChains>
    <commentChains s:ref="AD873" rgbClr="FF0000">
      <unresolved>
        <commentChain chainId="169cc48679ec313d271908443fceef63aa33ec82">
          <item id="6a45ba13f9526d5aae1c38f16f1bca5d9c72645a" userID="1851561945" userName="石玉珍" dateTime="2026-08-05T09:29:11" isNormal="0">
            <s:text>
              <s:r>
                <s:t xml:space="preserve">8/5上 UPC贴纸 2420 pcs</s:t>
              </s:r>
            </s:text>
          </item>
        </commentChain>
      </unresolved>
      <resolved/>
    </commentChains>
    <commentChains s:ref="AD874" rgbClr="FF0000">
      <unresolved>
        <commentChain chainId="106d0a4e93a68b415c6c0e7dd42bac5f93427897">
          <item id="4c0486ecc0128d113f338c80b6a07d348759480a" userID="1851561945" userName="石玉珍" dateTime="2026-08-01T11:06:15" isNormal="0">
            <s:text>
              <s:r>
                <s:t xml:space="preserve">8/1上 地址贴纸 506 pcs</s:t>
              </s:r>
            </s:text>
          </item>
          <item id="3d649dfb7a39f7664d60bd0468f744d125991a1e" userID="1851561945" userName="石玉珍" dateTime="2026-08-04T11:23:32" isNormal="0">
            <s:text>
              <s:r>
                <s:t xml:space="preserve">8/4上 PDQ地址贴纸 46 pcs</s:t>
              </s:r>
            </s:text>
          </item>
        </commentChain>
      </unresolved>
      <resolved/>
    </commentChains>
    <commentChains s:ref="AD875" rgbClr="FF0000">
      <unresolved>
        <commentChain chainId="f251ba7e26d2336c1df160126b737f18943a5e7f">
          <item id="bbc6f7231bde48a7c1ed9f403d7de7a1ebf92e33" userID="1851561945" userName="石玉珍" dateTime="2026-08-04T06:03:11" isNormal="0">
            <s:text>
              <s:r>
                <s:t xml:space="preserve">8/3上 PDQ条码贴纸 70 pcs
ZURU地址_PDQ通用贴纸 70 pcs
地址贴纸 770 pcs</s:t>
              </s:r>
            </s:text>
          </item>
        </commentChain>
      </unresolved>
      <resolved/>
    </commentChains>
    <commentChains s:ref="AD876" rgbClr="FF0000">
      <unresolved>
        <commentChain chainId="9eae3227324843f8d9df3dfbd681c4bae4175093">
          <item id="e6c3475762463faf5ea0f19c6d6e8cd6a6c89a31" userID="1851561945" userName="石玉珍" dateTime="2026-08-01T08:07:41" isNormal="0">
            <s:text>
              <s:r>
                <s:t xml:space="preserve">8/1上 UPC贴纸 24 pcs</s:t>
              </s:r>
            </s:text>
          </item>
          <item id="ffe9782ee21369f7941f4b1a2c9c57cc8d8fca23" userID="1851561945" userName="石玉珍" dateTime="2026-08-14T13:22:54" isNormal="0">
            <s:text>
              <s:r>
                <s:t xml:space="preserve">8/14上 客供亚马逊外箱贴纸 1 pcs</s:t>
              </s:r>
            </s:text>
          </item>
        </commentChain>
      </unresolved>
      <resolved/>
    </commentChains>
    <commentChains s:ref="AD877" rgbClr="FF0000">
      <unresolved>
        <commentChain chainId="26db1a5fafecd68dfe4e35fc9b21575243938d75">
          <item id="ed81a55b8f68575fb694f99105d20e7803a0bac1" userID="1851561945" userName="石玉珍" dateTime="2026-08-07T12:17:50" isNormal="0">
            <s:text>
              <s:r>
                <s:t xml:space="preserve">8/7上 客供价格贴纸 479 pcs
</s:t>
              </s:r>
            </s:text>
          </item>
        </commentChain>
      </unresolved>
      <resolved/>
    </commentChains>
    <commentChains s:ref="AD878" rgbClr="FF0000">
      <unresolved>
        <commentChain chainId="2b98605f55a4b94473e30407e854314a077ea4b7">
          <item id="95f6c5e151528b24e703a0e927b1b9c154d72831" userID="1851561945" userName="石玉珍" dateTime="2026-08-07T12:17:28" isNormal="0">
            <s:text>
              <s:r>
                <s:t xml:space="preserve">8/5上 客供价格贴纸 191 pcs
</s:t>
              </s:r>
            </s:text>
          </item>
        </commentChain>
      </unresolved>
      <resolved/>
    </commentChains>
    <commentChains s:ref="AD879" rgbClr="FF0000">
      <unresolved>
        <commentChain chainId="f0b075fed1e99e6dd135cc37c2645eaa39d1c7e4">
          <item id="158f6240206a6b493361200c542772f173bc0f68" userID="1851561945" userName="石玉珍" dateTime="2026-08-06T12:37:55" isNormal="0">
            <s:text>
              <s:r>
                <s:t xml:space="preserve">8/6上 zuru地址贴纸 200 pcs</s:t>
              </s:r>
            </s:text>
          </item>
        </commentChain>
      </unresolved>
      <resolved/>
    </commentChains>
    <commentChains s:ref="AD881" rgbClr="FF0000">
      <unresolved>
        <commentChain chainId="ada480e428baaf6979128f1122f50b5a5bf8dcd8">
          <item id="eae983206d9300e4d03ea5c77c004ab38bd00f2a" userID="1851561945" userName="石玉珍" dateTime="2026-07-14T11:56:38" isNormal="0">
            <s:text>
              <s:r>
                <s:t xml:space="preserve">7/14上 QR+SSCC贴纸 27 pcs</s:t>
              </s:r>
            </s:text>
          </item>
          <item id="c8b0929eba6003f4b06c7630d09b3664c3dc396d" userID="1851561945" userName="石玉珍" dateTime="2026-07-21T13:24:36" isNormal="0">
            <s:text>
              <s:r>
                <s:t xml:space="preserve">7/21上 进口商贴纸 648 pcs
EAN条码贴纸 648 pcs</s:t>
              </s:r>
            </s:text>
          </item>
        </commentChain>
      </unresolved>
      <resolved/>
    </commentChains>
    <commentChains s:ref="AD882" rgbClr="FF0000">
      <unresolved>
        <commentChain chainId="ad86fad24beec4866dba775ee15753140f7e0763">
          <item id="4a1d81d618a0daa79286453ec9fc4e60a252e69a" userID="1851561945" userName="石玉珍" dateTime="2026-07-14T11:56:55" isNormal="0">
            <s:text>
              <s:r>
                <s:t xml:space="preserve">7/14上 QR+SSCC贴纸 11 pcs</s:t>
              </s:r>
            </s:text>
          </item>
          <item id="b3a3b612a10b53f2b006fcdca8dac7bbd3dbeb0c" userID="1851561945" userName="石玉珍" dateTime="2026-07-21T13:24:50" isNormal="0">
            <s:text>
              <s:r>
                <s:t xml:space="preserve">7/21上 进口商贴纸 264 pcs
EAN条码贴纸 264 pcs</s:t>
              </s:r>
            </s:text>
          </item>
        </commentChain>
      </unresolved>
      <resolved/>
    </commentChains>
    <commentChains s:ref="AD883" rgbClr="FF0000">
      <unresolved>
        <commentChain chainId="13aa855d211c2067daa523ac9679eaad9d835ce5">
          <item id="2132113a13433af8c108fe216aabca09be5f7099" userID="1851561945" userName="石玉珍" dateTime="2026-08-06T00:14:03" isNormal="0">
            <s:text>
              <s:r>
                <s:t xml:space="preserve">8/5上 地址贴纸 480 pcs</s:t>
              </s:r>
            </s:text>
          </item>
        </commentChain>
      </unresolved>
      <resolved/>
    </commentChains>
    <commentChains s:ref="AD884" rgbClr="FF0000">
      <unresolved>
        <commentChain chainId="fcd132b90e7f47e80e12eae1ea784190c9d1152e">
          <item id="16e9814bce1d55fcd0022e34edddd187dbf1d428" userID="1851561945" userName="石玉珍" dateTime="2026-08-06T00:12:19" isNormal="0">
            <s:text>
              <s:r>
                <s:t xml:space="preserve">8/5上 QR贴纸 506 pcs</s:t>
              </s:r>
            </s:text>
          </item>
          <item id="fdb250c2769ee33291f1fd33e93d7c2f37d94f73" userID="1851561945" userName="石玉珍" dateTime="2026-08-14T12:58:28" isNormal="0">
            <s:text>
              <s:r>
                <s:t xml:space="preserve">8/14上 进口商贴纸 506 pcs
EAN条码贴纸 506 pcs</s:t>
              </s:r>
            </s:text>
          </item>
        </commentChain>
      </unresolved>
      <resolved/>
    </commentChains>
    <commentChains s:ref="AD885" rgbClr="FF0000">
      <unresolved>
        <commentChain chainId="0fe281e2ad9945f4369d031a79cf8888c4df248b">
          <item id="5d637c266c45318bfd7e51f5bde7cf07599fac6b" userID="1851561945" userName="石玉珍" dateTime="2026-08-05T09:26:55" isNormal="0">
            <s:text>
              <s:r>
                <s:t xml:space="preserve">8/5上 进口商贴纸 440 pcs
UPC贴纸 440 pcs</s:t>
              </s:r>
            </s:text>
          </item>
        </commentChain>
      </unresolved>
      <resolved/>
    </commentChains>
    <commentChains s:ref="AD886" rgbClr="FF0000">
      <unresolved>
        <commentChain chainId="5715506fc86adae4b970d3c46fc9e36522e7a5f7">
          <item id="6806a3a66ac1af77197d6bed3b8a3747405c36be" userID="1851561945" userName="石玉珍" dateTime="2026-08-11T08:26:43" isNormal="0">
            <s:text>
              <s:r>
                <s:t xml:space="preserve">8/11上 通用贴纸 792 pcs</s:t>
              </s:r>
            </s:text>
          </item>
        </commentChain>
      </unresolved>
      <resolved/>
    </commentChains>
    <commentChains s:ref="AD888" rgbClr="FF0000">
      <unresolved>
        <commentChain chainId="bb912c587759804cbc377fd700154bb8dfcb18a5">
          <item id="4697e78498c7849c883d80b1cddfd54bab7fa63c" userID="1851561945" userName="石玉珍" dateTime="2026-08-17T12:38:11" isNormal="0">
            <s:text>
              <s:r>
                <s:t xml:space="preserve">8/17上 PDQ欧盟地址贴纸 500 pcs</s:t>
              </s:r>
            </s:text>
          </item>
        </commentChain>
      </unresolved>
      <resolved/>
    </commentChains>
    <commentChains s:ref="AD892" rgbClr="FF0000">
      <unresolved>
        <commentChain chainId="5f5fa2d20351398ec283808ebd79054956d315c8">
          <item id="37170352d00ab5390b3c366f656c8df51a32aa5f" userID="1851561945" userName="石玉珍" dateTime="2026-08-06T12:45:56" isNormal="0">
            <s:text>
              <s:r>
                <s:t xml:space="preserve">8/6上 客供价格贴纸 504 pcs</s:t>
              </s:r>
            </s:text>
          </item>
        </commentChain>
      </unresolved>
      <resolved/>
    </commentChains>
    <commentChains s:ref="AD897" rgbClr="FF0000">
      <unresolved>
        <commentChain chainId="2d7c1d0814c929e05a52a88510eb0e4a6ea22036">
          <item id="6114558bf7832775af6815cca6e528261213271b" userID="1851561945" userName="石玉珍" dateTime="2026-07-14T11:56:02" isNormal="0">
            <s:text>
              <s:r>
                <s:t xml:space="preserve">7/14上 QR+SSCC贴纸 27 pcs</s:t>
              </s:r>
            </s:text>
          </item>
          <item id="6b21fd9b7f791505f8bf8d234cb1861ea8555c9e" userID="1851561945" userName="石玉珍" dateTime="2026-07-21T13:25:02" isNormal="0">
            <s:text>
              <s:r>
                <s:t xml:space="preserve">7/21上 进口商贴纸 648 pcs
EAN条码贴纸 648 pcs</s:t>
              </s:r>
            </s:text>
          </item>
        </commentChain>
      </unresolved>
      <resolved/>
    </commentChains>
    <commentChains s:ref="AD898" rgbClr="FF0000">
      <unresolved>
        <commentChain chainId="9e5dfd4fe24c87e1831c8b0f2dc71103383440ae">
          <item id="3c659c5c76f2c6f8ef756ae0717fe7b6446d1037" userID="1851561945" userName="石玉珍" dateTime="2026-07-14T11:56:21" isNormal="0">
            <s:text>
              <s:r>
                <s:t xml:space="preserve">7/14上 QR+SSCC贴纸 10 pcs</s:t>
              </s:r>
            </s:text>
          </item>
          <item id="47c9feea0e7436b94aae60f09228003e9fd7219a" userID="1851561945" userName="石玉珍" dateTime="2026-07-21T13:25:14" isNormal="0">
            <s:text>
              <s:r>
                <s:t xml:space="preserve">7/21上 进口商贴纸 240 pcs
EAN条码贴纸 240 pcs</s:t>
              </s:r>
            </s:text>
          </item>
        </commentChain>
      </unresolved>
      <resolved/>
    </commentChains>
  </commentList>
  <commentList sheetStid="5">
    <commentChains s:ref="AB27" rgbClr="FF0000">
      <unresolved>
        <commentChain chainId="0bcd724242d51a029884a7f425679f56e4bf4c2a">
          <item id="23f1acd4ef8da47d23a03cb2501d6d0a737ae935" isNormal="1">
            <s:text>
              <s:r>
                <s:t xml:space="preserve">admin:
实单订购-过渡</s:t>
              </s:r>
            </s:text>
          </item>
        </commentChain>
      </unresolved>
      <resolved/>
    </commentChains>
    <commentChains s:ref="AJ44" rgbClr="FF0000">
      <unresolved>
        <commentChain chainId="f5c6e3757c5d2c1e143aabdf7df906032a809c07">
          <item id="afcb1babc2dbb7b138ea16e74d89faab8db7281c" isNormal="1">
            <s:text>
              <s:r>
                <s:t xml:space="preserve">根据实单订购</s:t>
              </s:r>
            </s:text>
          </item>
        </commentChain>
      </unresolved>
      <resolved/>
    </commentChains>
    <commentChains s:ref="U58" rgbClr="FF0000">
      <unresolved>
        <commentChain chainId="a1a116a6855e3847429a0d9a77f4d91a12c7ea2b">
          <item id="02e0edcb48f672bebf38ebbe6e7166dad3c3f7e9" isNormal="1">
            <s:text>
              <s:r>
                <s:t xml:space="preserve">admin:
滞留121PCS A版本PDQ
</s:t>
              </s:r>
            </s:text>
          </item>
        </commentChain>
      </unresolved>
      <resolved/>
    </commentChains>
    <commentChains s:ref="J76" rgbClr="FF0000">
      <unresolved>
        <commentChain chainId="c10a0fba1c5562511a43c47d8eef667e02b32cbe">
          <item id="2df0fb78cedbe65f6d9478f7bce529467537b81e" isNormal="1">
            <s:text>
              <s:r>
                <s:t xml:space="preserve">报废14000PCS-A版本-3L膜</s:t>
              </s:r>
            </s:text>
          </item>
        </commentChain>
      </unresolved>
      <resolved/>
    </commentChains>
    <commentChains s:ref="AK270" rgbClr="FF0000">
      <unresolved>
        <commentChain chainId="924818c7fdbc354992adbf347326b232666c1d90">
          <item id="32b1fb14f4d84aa2b5f1e9686b2c9630fa87975f" isNormal="1">
            <s:text>
              <s:r>
                <s:t xml:space="preserve">144pcs=4500118238 &amp; 4500120423</s:t>
              </s:r>
            </s:text>
          </item>
        </commentChain>
      </unresolved>
      <resolved/>
    </commentChains>
  </commentList>
  <commentList sheetStid="3">
    <commentChains s:ref="B5" rgbClr="FF0000">
      <unresolved>
        <commentChain chainId="29061bb17100085e21571567553bd513ba71cbcf">
          <item id="9356b2202c1b467814c1a5e0d0fa1d8d79456ab0" isNormal="1">
            <s:text>
              <s:r>
                <s:t xml:space="preserve">admin:
第一批已入系统 </s:t>
              </s:r>
            </s:text>
          </item>
        </commentChain>
      </unresolved>
      <resolved/>
    </commentChains>
  </commentList>
  <commentList sheetStid="7">
    <commentChains s:ref="AD3" rgbClr="FF0000">
      <unresolved>
        <commentChain chainId="a2be6d096cea54848026256940cfd2aded70124d">
          <item id="83427619d699c3b1272a80c836a36c9fce0de62d" isNormal="1">
            <s:text>
              <s:r>
                <s:t xml:space="preserve">Administrator:
8/17 上客供外箱贴纸2525pcs</s:t>
              </s:r>
            </s:text>
          </item>
        </commentChain>
      </unresolved>
      <resolved/>
    </commentChains>
    <commentChains s:ref="AD6" rgbClr="FF0000">
      <unresolved>
        <commentChain chainId="76e90c9c4a6fbb45a958765b66292ce1b1f67769">
          <item id="e6fd22b9a7b82a392524f446eeac32d5d9f877e3" isNormal="1">
            <s:text>
              <s:r>
                <s:t xml:space="preserve">Administrator:
3/7上 WIC贴纸 900 pcs
  PDQ折纸 75 pcs</s:t>
              </s:r>
            </s:text>
          </item>
        </commentChain>
      </unresolved>
      <resolved/>
    </commentChains>
    <commentChains s:ref="AD7" rgbClr="FF0000">
      <unresolved>
        <commentChain chainId="bba561f700ad73b9f218a4cbb32d6743b24f4343">
          <item id="7a3cbae498a33f785d0a2b752598eddc5d711a7a" isNormal="1">
            <s:text>
              <s:r>
                <s:t xml:space="preserve">Administrator:
3/7上 WIC贴纸 948 pcs
  PDQ折纸 79 pcs</s:t>
              </s:r>
            </s:text>
          </item>
        </commentChain>
      </unresolved>
      <resolved/>
    </commentChains>
    <commentChains s:ref="AB15" rgbClr="FF0000">
      <unresolved>
        <commentChain chainId="0a27f737eaafe4f52f01fcf5b3658959d1818ebe">
          <item id="e8f0da3b5c9dbef213a3800d01adf3607c715c06" isNormal="1">
            <s:text>
              <s:r>
                <s:t xml:space="preserve">Administrator:
0000017 7/10 1958 pcs华兴三楼B10
</s:t>
              </s:r>
            </s:text>
          </item>
        </commentChain>
      </unresolved>
      <resolved/>
    </commentChains>
    <commentChains s:ref="AD15" rgbClr="FF0000">
      <unresolved>
        <commentChain chainId="ea56f50fb6bc439a74daed7f775397ce423cd1cf">
          <item id="1837b1de7b536962b8522d051abf61e3580e05fb" isNormal="1">
            <s:text>
              <s:r>
                <s:t xml:space="preserve">Administrator:
6/14上 价格贴纸 1958 pcs</s:t>
              </s:r>
            </s:text>
          </item>
        </commentChain>
      </unresolved>
      <resolved/>
    </commentChains>
    <commentChains s:ref="AB18" rgbClr="FF0000">
      <unresolved>
        <commentChain chainId="7567bcf8debd0b37ae54770bb65dcfb2ad39ab8f">
          <item id="bcddee0a534e532f5a3b25dd7128a0081b4aa05b" isNormal="1">
            <s:text>
              <s:r>
                <s:t xml:space="preserve">Administrator:
0001840 4/8 648 pcs 华兴三楼B10</s:t>
              </s:r>
            </s:text>
          </item>
        </commentChain>
      </unresolved>
      <resolved/>
    </commentChains>
    <commentChains s:ref="AD18" rgbClr="FF0000">
      <unresolved>
        <commentChain chainId="f0502ed079a202a98e3ca936980cc53fdf9547e7">
          <item id="973279c982fe46b7b8c6bdb9597ef85f41b55ec7" isNormal="1">
            <s:text>
              <s:r>
                <s:t xml:space="preserve">Administrator:
12/31上 进口商贴纸 648 pcs
  EAN条码贴纸 648 pcs</s:t>
              </s:r>
            </s:text>
          </item>
        </commentChain>
      </unresolved>
      <resolved/>
    </commentChains>
    <commentChains s:ref="AB19" rgbClr="FF0000">
      <unresolved>
        <commentChain chainId="f782cd2ee4936b9e1c16eb121d7a70ce176d01c1">
          <item id="211a0287036f09a8ba3acf0bdc5dd0cdf34f3cf7" isNormal="1">
            <s:text>
              <s:r>
                <s:t xml:space="preserve">Administrator:
0001840 4/8 264 pcs 华兴三楼B10</s:t>
              </s:r>
            </s:text>
          </item>
        </commentChain>
      </unresolved>
      <resolved/>
    </commentChains>
    <commentChains s:ref="AD19" rgbClr="FF0000">
      <unresolved>
        <commentChain chainId="2e7e07116cec364458b9bd2830598a41a2f89249">
          <item id="3c53de0e8fd7d5be7c3e1e6e12e7e1ca83231656" isNormal="1">
            <s:text>
              <s:r>
                <s:t xml:space="preserve">Administrator:
12/31上 进口商贴纸 264 pcs
  EAN条码贴纸 264 pcs</s:t>
              </s:r>
            </s:text>
          </item>
        </commentChain>
      </unresolved>
      <resolved/>
    </commentChains>
    <commentChains s:ref="AD20" rgbClr="FF0000">
      <unresolved>
        <commentChain chainId="c6cd009ccb1df1983ce7a62b8d7c36dc5736b366">
          <item id="454b9a8524cf6e830b63cacbd5fdcd43f3ad25c6" isNormal="1">
            <s:text>
              <s:r>
                <s:t xml:space="preserve">Administrator:
12/31上 进口商贴纸 1944 pcs
  EAN条码贴纸 1944 pcs</s:t>
              </s:r>
            </s:text>
          </item>
        </commentChain>
      </unresolved>
      <resolved/>
    </commentChains>
    <commentChains s:ref="AD21" rgbClr="FF0000">
      <unresolved>
        <commentChain chainId="3b0ddd67c085ceb21195e3f772750bdff5612738">
          <item id="167f1f3d74d2a1ed97d29f7d37bcca6e572f6707" isNormal="1">
            <s:text>
              <s:r>
                <s:t xml:space="preserve">Administrator:
12/31上 进口商贴纸 744 pcs
  EAN条码贴纸 744 pcs</s:t>
              </s:r>
            </s:text>
          </item>
        </commentChain>
      </unresolved>
      <resolved/>
    </commentChains>
    <commentChains s:ref="AB22" rgbClr="FF0000">
      <unresolved>
        <commentChain chainId="6e9355e42ceb3affdeff1999035b20afa2f825d4">
          <item id="3b7189739ec78fb6c2f6da642cc185fc053ec15e" isNormal="1">
            <s:text>
              <s:r>
                <s:t xml:space="preserve">Administrator:
0001590 3/28 336 pcs 华兴三楼B8</s:t>
              </s:r>
            </s:text>
          </item>
        </commentChain>
      </unresolved>
      <resolved/>
    </commentChains>
    <commentChains s:ref="AD22" rgbClr="FF0000">
      <unresolved>
        <commentChain chainId="6584d699340c15403f1be140197ca770e0d19998">
          <item id="38a1c4f9e69b8a3ad75950ddd60ba8c0fc9067e3" isNormal="1">
            <s:text>
              <s:r>
                <s:t xml:space="preserve">Administrator:
3/4上 UPC贴纸 336 pcs
3/12上 亚马逊外箱贴纸 14 pcs
</s:t>
              </s:r>
            </s:text>
          </item>
        </commentChain>
      </unresolved>
      <resolved/>
    </commentChains>
    <commentChains s:ref="AB23" rgbClr="FF0000">
      <unresolved>
        <commentChain chainId="4fa9a31f3c44812226b24f2ada44a62ce3d7c4b7">
          <item id="1143e9e68e74acc840c89ae09bb071292c9289ff" isNormal="1">
            <s:text>
              <s:r>
                <s:t xml:space="preserve">Administrator:
0001388 3/26 384 pcs 华兴三楼A27</s:t>
              </s:r>
            </s:text>
          </item>
        </commentChain>
      </unresolved>
      <resolved/>
    </commentChains>
    <commentChains s:ref="AD23" rgbClr="FF0000">
      <unresolved>
        <commentChain chainId="b994cff5f74854c378390cf07453aac4fffcbefd">
          <item id="6496199114347b8fb951b0dd5fc34c5060efab97" isNormal="1">
            <s:text>
              <s:r>
                <s:t xml:space="preserve">Administrator:
3/4上 UPC贴纸 384 pcs
3/12上 亚马逊外箱贴纸 16 pcs
</s:t>
              </s:r>
            </s:text>
          </item>
        </commentChain>
      </unresolved>
      <resolved/>
    </commentChains>
    <commentChains s:ref="AB24" rgbClr="FF0000">
      <unresolved>
        <commentChain chainId="daf14b8a5d8d9bda0466a530eba9d80ad2c60c69">
          <item id="cb57bea3cbed5e6a6b4a76677dc32b59403767d9" isNormal="1">
            <s:text>
              <s:r>
                <s:t xml:space="preserve">Administrator:
0001388 3/26 264 pcs 华兴三楼A27</s:t>
              </s:r>
            </s:text>
          </item>
        </commentChain>
      </unresolved>
      <resolved/>
    </commentChains>
    <commentChains s:ref="AD24" rgbClr="FF0000">
      <unresolved>
        <commentChain chainId="6bb17092d8dbb5d3b9a4ac7655fcbac8baca0080">
          <item id="1f494cb3fc624ee1d480f3fd5c0bee55a5245775" isNormal="1">
            <s:text>
              <s:r>
                <s:t xml:space="preserve">Administrator:
3/4上 UPC贴纸 264 pcs
3/12上 亚马逊外箱贴纸 11 pcs
</s:t>
              </s:r>
            </s:text>
          </item>
        </commentChain>
      </unresolved>
      <resolved/>
    </commentChains>
    <commentChains s:ref="AB25" rgbClr="FF0000">
      <unresolved>
        <commentChain chainId="1662f8052f46cb46aa868c2759b9c60e633b343f">
          <item id="73307fd17788033eac42954f54331ea03ffe00c4" isNormal="1">
            <s:text>
              <s:r>
                <s:t xml:space="preserve">Administrator:
0001590 3/28 864 pcs 华兴三楼B8</s:t>
              </s:r>
            </s:text>
          </item>
        </commentChain>
      </unresolved>
      <resolved/>
    </commentChains>
    <commentChains s:ref="AD25" rgbClr="FF0000">
      <unresolved>
        <commentChain chainId="f1ed22a6d8225bd77c5dfb2d460b29e85f3ca8c6">
          <item id="50e875b809de840c9f9a2555fc0e481078c9bb2e" isNormal="1">
            <s:text>
              <s:r>
                <s:t xml:space="preserve">Administrator:
3/4上 UPC贴纸 864 pcs
3/12上 亚马逊外箱贴纸 36 pcs
</s:t>
              </s:r>
            </s:text>
          </item>
        </commentChain>
      </unresolved>
      <resolved/>
    </commentChains>
    <commentChains s:ref="AB26" rgbClr="FF0000">
      <unresolved>
        <commentChain chainId="6fc5b164a9c8e8badbcfc8e11540490b56766344">
          <item id="0ee30d5bb8efd17e8b0b6a6fd87e5d4fa9625923" isNormal="1">
            <s:text>
              <s:r>
                <s:t xml:space="preserve">Administrator:
0001388 3/26 312 pcs 华兴三楼A27</s:t>
              </s:r>
            </s:text>
          </item>
        </commentChain>
      </unresolved>
      <resolved/>
    </commentChains>
    <commentChains s:ref="AD26" rgbClr="FF0000">
      <unresolved>
        <commentChain chainId="8a7789bc3a2704150f1ac65c3d530f3aea08c892">
          <item id="5f2a7e4ba66a573bc1baee1f04521a1be550e94b" isNormal="1">
            <s:text>
              <s:r>
                <s:t xml:space="preserve">Administrator:
3/4上 UPC贴纸 312 pcs
3/12上 亚马逊外箱贴纸 13 pcs</s:t>
              </s:r>
            </s:text>
          </item>
        </commentChain>
      </unresolved>
      <resolved/>
    </commentChains>
    <commentChains s:ref="AD35" rgbClr="FF0000">
      <unresolved>
        <commentChain chainId="3d00422de289027a4851bc6f8f6f97c0b497526c">
          <item id="127edcf5549d935e46d45a4688c8afa78f255fbb" isNormal="1">
            <s:text>
              <s:r>
                <s:t xml:space="preserve">Administrator:
6/6上 E款UPC贴纸 72 pcs
6/11上 客供亚马逊外箱贴纸 3 pcs</s:t>
              </s:r>
            </s:text>
          </item>
        </commentChain>
      </unresolved>
      <resolved/>
    </commentChains>
    <commentChains s:ref="AD36" rgbClr="FF0000">
      <unresolved>
        <commentChain chainId="0309d963f7c8ae1e01293327fd774466ef8d19b6">
          <item id="cb25cdc3eba06a1ac20b78742c77446f9a2a8e8b" isNormal="1">
            <s:text>
              <s:r>
                <s:t xml:space="preserve">Administrator:
12/3上 进口商贴纸 1824 pcs
  EAN条码贴纸 1824 pcs</s:t>
              </s:r>
            </s:text>
          </item>
        </commentChain>
      </unresolved>
      <resolved/>
    </commentChains>
    <commentChains s:ref="AD37" rgbClr="FF0000">
      <unresolved>
        <commentChain chainId="92418543d6da6f8a9fc78b1fcaf5fe16db011c0a">
          <item id="d05d2f7cd3d2ee29c82e7cd9b08afe3b8df1cde0" isNormal="1">
            <s:text>
              <s:r>
                <s:t xml:space="preserve">Administrator:
12/3上 进口商贴纸 792 pcs
  EAN条码贴纸 792 pcs</s:t>
              </s:r>
            </s:text>
          </item>
        </commentChain>
      </unresolved>
      <resolved/>
    </commentChains>
    <commentChains s:ref="AB38" rgbClr="FF0000">
      <unresolved>
        <commentChain chainId="795c059029d7ac61f552615ab5e77e33351f4e36">
          <item id="2570c647a54d03d9257429434629f274aaab6b2b" isNormal="1">
            <s:text>
              <s:r>
                <s:t xml:space="preserve">Administrator:
20006882 5/28 1656 pcs 华兴三楼B3</s:t>
              </s:r>
            </s:text>
          </item>
        </commentChain>
      </unresolved>
      <resolved/>
    </commentChains>
    <commentChains s:ref="AD38" rgbClr="FF0000">
      <unresolved>
        <commentChain chainId="ef5d02876b144c1687f006d14d05564234980a8e">
          <item id="41510fe0105eb2af1df21c10e8f455e4cbaa2e35" isNormal="1">
            <s:text>
              <s:r>
                <s:t xml:space="preserve">Administrator:
12/31上 进口商贴纸 1656 pcs
  EAN条码贴纸 1656 pcs</s:t>
              </s:r>
            </s:text>
          </item>
        </commentChain>
      </unresolved>
      <resolved/>
    </commentChains>
    <commentChains s:ref="AB39" rgbClr="FF0000">
      <unresolved>
        <commentChain chainId="f09c2cfdfdf9e19b9c877907c36a09e455285cd5">
          <item id="6dc074ff2a3491ebace7818e3c18d0d367f1177e" isNormal="1">
            <s:text>
              <s:r>
                <s:t xml:space="preserve">Administrator:
20006882 5/28 648 pcs 华兴三楼B4</s:t>
              </s:r>
            </s:text>
          </item>
        </commentChain>
      </unresolved>
      <resolved/>
    </commentChains>
    <commentChains s:ref="AD39" rgbClr="FF0000">
      <unresolved>
        <commentChain chainId="6270c4bce21f2da37839afd002bc8a05335b0e40">
          <item id="462ea6bb5490e5d53e310ccac4c891952b2e170c" isNormal="1">
            <s:text>
              <s:r>
                <s:t xml:space="preserve">Administrator:
12/31上 进口商贴纸 648 pcs
  EAN条码贴纸 648 pcs</s:t>
              </s:r>
            </s:text>
          </item>
        </commentChain>
      </unresolved>
      <resolved/>
    </commentChains>
    <commentChains s:ref="AB40" rgbClr="FF0000">
      <unresolved>
        <commentChain chainId="3cc6115e9f425b3a2ce1eba8e42e28b4d12eb59b">
          <item id="96bae0a55f5c16d163ca661f49eb3a8b19edbca3" isNormal="1">
            <s:text>
              <s:r>
                <s:t xml:space="preserve">Administrator:
2002370 6/5 1680 pcs 新仓库一楼B3</s:t>
              </s:r>
            </s:text>
          </item>
        </commentChain>
      </unresolved>
      <resolved/>
    </commentChains>
    <commentChains s:ref="AD40" rgbClr="FF0000">
      <unresolved>
        <commentChain chainId="d695ed9ebe032f51ba97d603bf9981749a302b09">
          <item id="d7b5167325ebfd4a6643dcaca1b6166beef44e90" isNormal="1">
            <s:text>
              <s:r>
                <s:t xml:space="preserve">Administrator:
12/3上 进口商贴纸 1680 pcs
  EAN条码贴纸 1680 pcs</s:t>
              </s:r>
            </s:text>
          </item>
        </commentChain>
      </unresolved>
      <resolved/>
    </commentChains>
    <commentChains s:ref="AB41" rgbClr="FF0000">
      <unresolved>
        <commentChain chainId="8c558282db17acf56e53bf86098cd6b24b3eb1cc">
          <item id="dba874de8830000cd42f2909dddfc433117071ae" isNormal="1">
            <s:text>
              <s:r>
                <s:t xml:space="preserve">Administrator:
2002360 6/6 840 pcs 莫四楼B9</s:t>
              </s:r>
            </s:text>
          </item>
        </commentChain>
      </unresolved>
      <resolved/>
    </commentChains>
    <commentChains s:ref="AD41" rgbClr="FF0000">
      <unresolved>
        <commentChain chainId="ea1c378c1ff473bba05461813672b468e9125ced">
          <item id="48928282aee542508c1dbb449dbb57aa6e34e52f" isNormal="1">
            <s:text>
              <s:r>
                <s:t xml:space="preserve">Administrator:
12/3上 进口商贴纸 840 pcs
  EAN条码贴纸 840 pcs</s:t>
              </s:r>
            </s:text>
          </item>
        </commentChain>
      </unresolved>
      <resolved/>
    </commentChains>
    <commentChains s:ref="AB43" rgbClr="FF0000">
      <unresolved>
        <commentChain chainId="eac19b80e4eaec3afc1849fe82c5ced49340c53b">
          <item id="e511382338944e4a5a652a06c5612fe4bf3f5806" isNormal="1">
            <s:text>
              <s:r>
                <s:t xml:space="preserve">Administrator:
5000463 9/30 1920 pcs 华兴三楼B8</s:t>
              </s:r>
            </s:text>
          </item>
        </commentChain>
      </unresolved>
      <resolved/>
    </commentChains>
    <commentChains s:ref="AD43" rgbClr="FF0000">
      <unresolved>
        <commentChain chainId="4f4b0d6cf58e2f57145ca98506edde7e3e7201c5">
          <item id="6e1b447845ce05c45c03cdf37ef6c21826d0be9e" isNormal="1">
            <s:text>
              <s:r>
                <s:t xml:space="preserve">Administrator:
9/9上 WEEE不带电池走货欧洲30语通用黑白说明书 1920 pcs</s:t>
              </s:r>
            </s:text>
          </item>
        </commentChain>
      </unresolved>
      <resolved/>
    </commentChains>
    <commentChains s:ref="AC44" rgbClr="FF0000">
      <unresolved>
        <commentChain chainId="73a0f2bdda4f252ae8abb1ca584d523e76bedfb6">
          <item id="4915c22779e1ba4bdddc0042c261c17422feb31b" isNormal="1">
            <s:text>
              <s:r>
                <s:t xml:space="preserve">Administrator:
12/15上 黑白说明书 2607 pcs
 A款EAN贴纸 593 pcs
 B款EAN贴纸 711 pcs
 D款EAN贴纸 711 pcs
 E款EAN贴纸 593 pcs
12/18上 多语警语折叠贴纸 2607 pcs</s:t>
              </s:r>
            </s:text>
          </item>
        </commentChain>
      </unresolved>
      <resolved/>
    </commentChains>
    <commentChains s:ref="AD45" rgbClr="FF0000">
      <unresolved>
        <commentChain chainId="04e1a3f24118fb16dcb85442270642843323d1ee">
          <item id="072c857fd75f319252ea76da90a802b69e394885" isNormal="1">
            <s:text>
              <s:r>
                <s:t xml:space="preserve">Administrator:
3/16上 UPC贴纸 96 pcs
3/18上 客供亚马逊外箱贴纸 4 pcs
</s:t>
              </s:r>
            </s:text>
          </item>
        </commentChain>
      </unresolved>
      <resolved/>
    </commentChains>
    <commentChains s:ref="AD46" rgbClr="FF0000">
      <unresolved>
        <commentChain chainId="300657f5ea86245099481ef43cd44cc6d8e07143">
          <item id="9b60d7dfca9d4cd6bade35e2b731d54fd778fb17" isNormal="1">
            <s:text>
              <s:r>
                <s:t xml:space="preserve">Administrator:
3/16上 UPC贴纸 48 pcs
3/18上 客供亚马逊外箱贴纸 2 pcs
</s:t>
              </s:r>
            </s:text>
          </item>
        </commentChain>
      </unresolved>
      <resolved/>
    </commentChains>
    <commentChains s:ref="AD47" rgbClr="FF0000">
      <unresolved>
        <commentChain chainId="ca3dc6e531b82549368e460c799da2c58ed175f0">
          <item id="ecc02c751e8cd3a6e4b093cbd4a4c8188332f2d0" isNormal="1">
            <s:text>
              <s:r>
                <s:t xml:space="preserve">Administrator:
3/16上 UPC贴纸 120 pcs
3/18上 客供亚马逊外箱贴纸 5 pcs
</s:t>
              </s:r>
            </s:text>
          </item>
        </commentChain>
      </unresolved>
      <resolved/>
    </commentChains>
    <commentChains s:ref="AD48" rgbClr="FF0000">
      <unresolved>
        <commentChain chainId="5e013c6185dd080c13825d6a9111742188ad32a6">
          <item id="8721dca62202a0d2d50338d4b5a9e04a370070c0" isNormal="1">
            <s:text>
              <s:r>
                <s:t xml:space="preserve">Administrator:
3/16上 UPC贴纸 24 pcs
3/18上 客供亚马逊外箱贴纸 1 pcs
</s:t>
              </s:r>
            </s:text>
          </item>
        </commentChain>
      </unresolved>
      <resolved/>
    </commentChains>
    <commentChains s:ref="AD50" rgbClr="FF0000">
      <unresolved>
        <commentChain chainId="bdcb4600143e05341e0e48be96927ec7f2927ea7">
          <item id="b8b83b73abbd5c0529e4b60cb778d27772794eb6" isNormal="1">
            <s:text>
              <s:r>
                <s:t xml:space="preserve">Administrator:
4/13上 UPC贴纸 24 pcs
</s:t>
              </s:r>
            </s:text>
          </item>
        </commentChain>
      </unresolved>
      <resolved/>
    </commentChains>
    <commentChains s:ref="AD51" rgbClr="FF0000">
      <unresolved>
        <commentChain chainId="4d0ab3deea034aeee62ce267c5798f7a1eab7ccf">
          <item id="465dcd934e1dfdd0fb22b102aa73017651cf9b12" isNormal="1">
            <s:text>
              <s:r>
                <s:t xml:space="preserve">Administrator:
4/13上 UPC贴纸 24 pcs
</s:t>
              </s:r>
            </s:text>
          </item>
        </commentChain>
      </unresolved>
      <resolved/>
    </commentChains>
    <commentChains s:ref="AD52" rgbClr="FF0000">
      <unresolved>
        <commentChain chainId="5d4c9d89a02a4c5ac9ecf4dc950803ae49498e91">
          <item id="44b208966d3fcd0bc766ab9e3c491ae1391f6dd9" isNormal="1">
            <s:text>
              <s:r>
                <s:t xml:space="preserve">Administrator:
4/13上 UPC贴纸 24 pcs
</s:t>
              </s:r>
            </s:text>
          </item>
        </commentChain>
      </unresolved>
      <resolved/>
    </commentChains>
    <commentChains s:ref="AA53" rgbClr="FF0000">
      <unresolved>
        <commentChain chainId="93c4209c15b31ab60b6dbcd8dab473af3980a483">
          <item id="78f63177e9c641713515a30f191f22b3bfb35203" userID="1851561945" userName="石玉珍" dateTime="2026-06-10T01:13:55" isNormal="0">
            <s:text>
              <s:r>
                <s:t xml:space="preserve">2801179 6/9 480 pcs 欣泰B1</s:t>
              </s:r>
            </s:text>
          </item>
        </commentChain>
      </unresolved>
      <resolved/>
    </commentChains>
    <commentChains s:ref="AC53" rgbClr="FF0000">
      <unresolved>
        <commentChain chainId="cd2e26cbe628574c346d0b5da644ed3863103a9a">
          <item id="b4291c69cd36e48de133de24dbe609815d5362f6" isNormal="1">
            <s:text>
              <s:r>
                <s:t xml:space="preserve">Administrator:
5/15上 亚马逊外箱贴纸 20 pcs
5/23上 环保标贴纸 480 pcs</s:t>
              </s:r>
            </s:text>
          </item>
          <item id="ea4d710ee6d333504e629816b22e06fe8fcd4083" userID="1851561945" userName="石玉珍" dateTime="2026-06-04T12:11:45" isNormal="0">
            <s:text>
              <s:r>
                <s:t xml:space="preserve">前面上的邮购盒贴纸是错的/有更新
6/4上 邮购盒贴纸 480 pcs</s:t>
              </s:r>
            </s:text>
          </item>
        </commentChain>
      </unresolved>
      <resolved/>
    </commentChains>
  </commentList>
</comments>
</file>

<file path=customXml/item3.xml><?xml version="1.0" encoding="utf-8"?>
<autofilters xmlns="https://web.wps.cn/et/2018/main">
  <sheetItem sheetStid="1">
    <filterData filterID="1851561945">
      <hiddenRange rowFrom="3" rowTo="886"/>
      <hiddenRange rowFrom="888" rowTo="1326"/>
    </filterData>
    <autofilterInfo filterID="1851561945">
      <autoFilter xmlns="http://schemas.openxmlformats.org/spreadsheetml/2006/main" ref="A3:XFD1327">
        <filterColumn colId="3">
          <customFilters>
            <customFilter operator="equal" val="4500218648"/>
          </customFilters>
        </filterColumn>
      </autoFilter>
    </autofilterInfo>
  </sheetItem>
  <sheetItem sheetStid="7">
    <filterData filterID="1851561945"/>
  </sheetItem>
</autofilters>
</file>

<file path=customXml/item4.xml><?xml version="1.0" encoding="utf-8"?>
<woProps xmlns="https://web.wps.cn/et/2018/main" xmlns:s="http://schemas.openxmlformats.org/spreadsheetml/2006/main">
  <woSheetsProps>
    <woSheetProps sheetStid="1" interlineOnOff="0" interlineColor="0" isDbSheet="0" isDashBoardSheet="0" isDbDashBoardSheet="0" isFlexPaperSheet="0">
      <hyperlinks>
        <hyperlink ref="X850">
          <hypersublink pos="200" length="13" display="care@zuru.com" address="mailto:care@zuru.com" subaddress="" screenTip="" linkrunstype="LRTURL"/>
        </hyperlink>
        <hyperlink ref="X726">
          <hypersublink pos="233" length="13" display="care@zuru.com" address="mailto:care@zuru.com" subaddress="" screenTip="" linkrunstype="LRTURL"/>
        </hyperlink>
        <hyperlink ref="X864">
          <hypersublink pos="191" length="13" display="care@zuru.com" address="mailto:care@zuru.com" subaddress="" screenTip="" linkrunstype="LRTURL"/>
        </hyperlink>
        <hyperlink ref="O870">
          <hypersublink pos="34" length="13" display="care@zuru.com" address="mailto:care@zuru.com" subaddress="" screenTip="" linkrunstype="LRTURL"/>
        </hyperlink>
        <hyperlink ref="O871">
          <hypersublink pos="41" length="13" display="care@zuru.com" address="mailto:care@zuru.com" subaddress="" screenTip="" linkrunstype="LRTURL"/>
        </hyperlink>
        <hyperlink ref="O883">
          <hypersublink pos="39" length="13" display="care@zuru.com" address="mailto:care@zuru.com" subaddress="" screenTip="" linkrunstype="LRTURL"/>
        </hyperlink>
        <hyperlink ref="R883">
          <hypersublink pos="166" length="13" display="care@zuru.com" address="mailto:care@zuru.com" subaddress="" screenTip="" linkrunstype="LRTURL"/>
        </hyperlink>
        <hyperlink ref="O895">
          <hypersublink pos="34" length="13" display="care@zuru.com" address="mailto:care@zuru.com" subaddress="" screenTip="" linkrunstype="LRTURL"/>
        </hyperlink>
        <hyperlink ref="O896">
          <hypersublink pos="34" length="13" display="care@zuru.com" address="mailto:care@zuru.com" subaddress="" screenTip="" linkrunstype="LRTURL"/>
        </hyperlink>
        <hyperlink ref="R895">
          <hypersublink pos="153" length="13" display="care@zuru.com" address="mailto:care@zuru.com" subaddress="" screenTip="" linkrunstype="LRTURL"/>
        </hyperlink>
        <hyperlink ref="R896">
          <hypersublink pos="153" length="13" display="care@zuru.com" address="mailto:care@zuru.com" subaddress="" screenTip="" linkrunstype="LRTURL"/>
        </hyperlink>
        <hyperlink ref="X883">
          <hypersublink pos="697" length="13" display="care@zuru.com" address="mailto:care@zuru.com" subaddress="" screenTip="" linkrunstype="LRTURL"/>
          <hypersublink pos="1064" length="13" display="care@zuru.com" address="mailto:care@zuru.com" subaddress="" screenTip="" linkrunstype="LRTURL"/>
          <hypersublink pos="1580" length="13" display="care@zuru.com" address="mailto:care@zuru.com" subaddress="" screenTip="" linkrunstype="LRTURL"/>
        </hyperlink>
      </hyperlinks>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sProps>
  <woBookProps>
    <bookSettings fileId="526431221049" isFilterShared="0" woEtMtcEnabled="0" coreConquerUserId="1851561945" isAutoUpdatePaused="0" filterType="user" isMergeTasksAutoUpdate="0" isInserPicAsAttachment="0" supportDbFmlaDisp="0"/>
  </woBookProps>
</woProps>
</file>

<file path=customXml/item5.xml><?xml version="1.0" encoding="utf-8"?>
<pixelators xmlns="https://web.wps.cn/et/2018/main" xmlns:s="http://schemas.openxmlformats.org/spreadsheetml/2006/main">
  <pixelatorList sheetStid="1"/>
  <pixelatorList sheetStid="4"/>
  <pixelatorList sheetStid="5"/>
  <pixelatorList sheetStid="3"/>
  <pixelatorList sheetStid="7"/>
  <pixelatorList sheetStid="6"/>
  <pixelatorList sheetStid="8"/>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6</vt:i4>
      </vt:variant>
    </vt:vector>
  </HeadingPairs>
  <TitlesOfParts>
    <vt:vector size="6" baseType="lpstr">
      <vt:lpstr>9543</vt:lpstr>
      <vt:lpstr>布料MA</vt:lpstr>
      <vt:lpstr>9543包装MA</vt:lpstr>
      <vt:lpstr>9543MA半成品</vt:lpstr>
      <vt:lpstr>取消订单</vt:lpstr>
      <vt:lpstr>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Td</cp:lastModifiedBy>
  <dcterms:created xsi:type="dcterms:W3CDTF">2023-03-21T09:05:00Z</dcterms:created>
  <dcterms:modified xsi:type="dcterms:W3CDTF">2026-10-29T03:41:00Z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ICV">
    <vt:lpwstr>7C1ED81E193A4504B9EC91360AAF7AA2_13</vt:lpwstr>
  </property>
  <property fmtid="{D5CDD505-2E9C-101B-9397-08002B2CF9AE}" pid="4" name="KSOReadingLayout">
    <vt:bool>true</vt:bool>
  </property>
  <property fmtid="{D5CDD505-2E9C-101B-9397-08002B2CF9AE}" pid="5" name="CalculationRule">
    <vt:i4>0</vt:i4>
  </property>
</Properties>
</file>