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bookViews>
    <workbookView windowWidth="23040" windowHeight="9347" tabRatio="891"/>
  </bookViews>
  <sheets>
    <sheet name="77858厨房套装" sheetId="1" r:id="rId1"/>
    <sheet name="生产MA" sheetId="2" r:id="rId2"/>
    <sheet name="布料 IC MA" sheetId="3" r:id="rId3"/>
    <sheet name="包材MA" sheetId="4" r:id="rId4"/>
    <sheet name="取消单" sheetId="5" r:id="rId5"/>
  </sheets>
  <definedNames>
    <definedName name="_xlnm._FilterDatabase" localSheetId="0" hidden="1">'77858厨房套装'!$A$3:$AT$395</definedName>
    <definedName name="_xlnm._FilterDatabase" localSheetId="3" hidden="1">包材MA!$A$2:$M$46</definedName>
    <definedName name="_xlnm._FilterDatabase" localSheetId="4" hidden="1">取消单!$A$1:$AR$21</definedName>
    <definedName name="WebWps_Link_1" hidden="1">'77858厨房套装'!$A$69:$S$72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G309" authorId="0">
      <text>
        <r>
          <rPr>
            <b/>
            <sz val="9"/>
            <rFont val="宋体"/>
            <charset val="0"/>
          </rPr>
          <t>石玉珍:</t>
        </r>
        <r>
          <rPr>
            <sz val="9"/>
            <rFont val="宋体"/>
            <charset val="0"/>
          </rPr>
          <t xml:space="preserve">
8/7上 客供外箱条码贴纸 93上 </t>
        </r>
      </text>
    </comment>
    <comment ref="AE312" authorId="0">
      <text>
        <r>
          <rPr>
            <b/>
            <sz val="9"/>
            <rFont val="宋体"/>
            <charset val="0"/>
          </rPr>
          <t>石玉珍:</t>
        </r>
        <r>
          <rPr>
            <sz val="9"/>
            <rFont val="宋体"/>
            <charset val="0"/>
          </rPr>
          <t xml:space="preserve">
3003831 8/13 882 pcs 馥通A4</t>
        </r>
      </text>
    </comment>
    <comment ref="AG312" authorId="0">
      <text>
        <r>
          <rPr>
            <b/>
            <sz val="9"/>
            <rFont val="宋体"/>
            <charset val="0"/>
          </rPr>
          <t>石玉珍:</t>
        </r>
        <r>
          <rPr>
            <sz val="9"/>
            <rFont val="宋体"/>
            <charset val="0"/>
          </rPr>
          <t xml:space="preserve">
8/7上 客供外箱条码贴纸 988上 </t>
        </r>
      </text>
    </comment>
    <comment ref="AG313" authorId="0">
      <text>
        <r>
          <rPr>
            <b/>
            <sz val="9"/>
            <rFont val="宋体"/>
            <charset val="0"/>
          </rPr>
          <t>石玉珍:</t>
        </r>
        <r>
          <rPr>
            <sz val="9"/>
            <rFont val="宋体"/>
            <charset val="0"/>
          </rPr>
          <t xml:space="preserve">
8/7上 进口商内容贴纸 360 pcs</t>
        </r>
      </text>
    </comment>
    <comment ref="AG321" authorId="0">
      <text>
        <r>
          <rPr>
            <b/>
            <sz val="9"/>
            <rFont val="宋体"/>
            <charset val="0"/>
          </rPr>
          <t>石玉珍:</t>
        </r>
        <r>
          <rPr>
            <sz val="9"/>
            <rFont val="宋体"/>
            <charset val="0"/>
          </rPr>
          <t xml:space="preserve">
8/7上 进口商贴纸（含意大利环保标） 504 pcs</t>
        </r>
      </text>
    </comment>
    <comment ref="AG324" authorId="0">
      <text>
        <r>
          <rPr>
            <b/>
            <sz val="9"/>
            <rFont val="宋体"/>
            <charset val="0"/>
          </rPr>
          <t>石玉珍:</t>
        </r>
        <r>
          <rPr>
            <sz val="9"/>
            <rFont val="宋体"/>
            <charset val="0"/>
          </rPr>
          <t xml:space="preserve">
8/7上 通用进口商贴纸 801 pcs</t>
        </r>
      </text>
    </comment>
    <comment ref="AG325" authorId="0">
      <text>
        <r>
          <rPr>
            <b/>
            <sz val="9"/>
            <rFont val="宋体"/>
            <charset val="0"/>
          </rPr>
          <t>石玉珍:</t>
        </r>
        <r>
          <rPr>
            <sz val="9"/>
            <rFont val="宋体"/>
            <charset val="0"/>
          </rPr>
          <t xml:space="preserve">
8/5上 进口商贴纸 300 pcs
波兰语收藏指南贴纸 300 pcs
</t>
        </r>
      </text>
    </comment>
    <comment ref="AG327" authorId="0">
      <text>
        <r>
          <rPr>
            <b/>
            <sz val="9"/>
            <rFont val="宋体"/>
            <charset val="0"/>
          </rPr>
          <t>石玉珍:</t>
        </r>
        <r>
          <rPr>
            <sz val="9"/>
            <rFont val="宋体"/>
            <charset val="0"/>
          </rPr>
          <t xml:space="preserve">
8/7上 客供外箱条码贴纸 131上 </t>
        </r>
      </text>
    </comment>
    <comment ref="AG330" authorId="0">
      <text>
        <r>
          <rPr>
            <b/>
            <sz val="9"/>
            <rFont val="宋体"/>
            <charset val="0"/>
          </rPr>
          <t>石玉珍:</t>
        </r>
        <r>
          <rPr>
            <sz val="9"/>
            <rFont val="宋体"/>
            <charset val="0"/>
          </rPr>
          <t xml:space="preserve">
8/7上 进口商贴纸 180 pcs</t>
        </r>
      </text>
    </comment>
    <comment ref="AG331" authorId="0">
      <text>
        <r>
          <rPr>
            <b/>
            <sz val="9"/>
            <rFont val="宋体"/>
            <charset val="0"/>
          </rPr>
          <t>石玉珍:</t>
        </r>
        <r>
          <rPr>
            <sz val="9"/>
            <rFont val="宋体"/>
            <charset val="0"/>
          </rPr>
          <t xml:space="preserve">
8/5上 UPC贴纸 504 pcs</t>
        </r>
      </text>
    </comment>
    <comment ref="AG336" authorId="0">
      <text>
        <r>
          <rPr>
            <b/>
            <sz val="9"/>
            <rFont val="宋体"/>
            <charset val="0"/>
          </rPr>
          <t>石玉珍:</t>
        </r>
        <r>
          <rPr>
            <sz val="9"/>
            <rFont val="宋体"/>
            <charset val="0"/>
          </rPr>
          <t xml:space="preserve">
8/7上  德语callout贴纸 1002 pcs
地址贴纸 1002 pcs
</t>
        </r>
      </text>
    </comment>
    <comment ref="AG338" authorId="0">
      <text>
        <r>
          <rPr>
            <b/>
            <sz val="9"/>
            <rFont val="宋体"/>
            <charset val="0"/>
          </rPr>
          <t>石玉珍:</t>
        </r>
        <r>
          <rPr>
            <sz val="9"/>
            <rFont val="宋体"/>
            <charset val="0"/>
          </rPr>
          <t xml:space="preserve">
8/7上 UPC贴纸 1110 pcs</t>
        </r>
      </text>
    </comment>
    <comment ref="AG340" authorId="0">
      <text>
        <r>
          <rPr>
            <b/>
            <sz val="9"/>
            <rFont val="宋体"/>
            <charset val="0"/>
          </rPr>
          <t>石玉珍:</t>
        </r>
        <r>
          <rPr>
            <sz val="9"/>
            <rFont val="宋体"/>
            <charset val="0"/>
          </rPr>
          <t xml:space="preserve">
8/7上 UPC 贴纸 900 pcs
进口商贴纸 900 pcs
保证书 900 pcs
</t>
        </r>
      </text>
    </comment>
    <comment ref="AG341" authorId="0">
      <text>
        <r>
          <rPr>
            <b/>
            <sz val="9"/>
            <rFont val="宋体"/>
            <charset val="0"/>
          </rPr>
          <t>石玉珍:</t>
        </r>
        <r>
          <rPr>
            <sz val="9"/>
            <rFont val="宋体"/>
            <charset val="0"/>
          </rPr>
          <t xml:space="preserve">
8/7上 UPC 贴纸 1002 pcs
进口商贴纸 1002 pcs
保证书 1002 pcs
</t>
        </r>
      </text>
    </comment>
    <comment ref="AG345" authorId="0">
      <text>
        <r>
          <rPr>
            <b/>
            <sz val="9"/>
            <rFont val="宋体"/>
            <charset val="0"/>
          </rPr>
          <t>石玉珍:</t>
        </r>
        <r>
          <rPr>
            <sz val="9"/>
            <rFont val="宋体"/>
            <charset val="0"/>
          </rPr>
          <t xml:space="preserve">
8/7上 白色防盗贴纸 135 pcs</t>
        </r>
      </text>
    </comment>
    <comment ref="AG348" authorId="0">
      <text>
        <r>
          <rPr>
            <b/>
            <sz val="9"/>
            <rFont val="宋体"/>
            <charset val="0"/>
          </rPr>
          <t>石玉珍:</t>
        </r>
        <r>
          <rPr>
            <sz val="9"/>
            <rFont val="宋体"/>
            <charset val="0"/>
          </rPr>
          <t xml:space="preserve">
8/7上 HK客供警语贴纸 378 pcs
HK客供电池警语贴纸贴彩盒背面 375 pcs
HK客供中文说明书 372 pcs
</t>
        </r>
      </text>
    </comment>
  </commentList>
</comments>
</file>

<file path=xl/sharedStrings.xml><?xml version="1.0" encoding="utf-8"?>
<sst xmlns="http://schemas.openxmlformats.org/spreadsheetml/2006/main" count="6126" uniqueCount="1821">
  <si>
    <r>
      <rPr>
        <b/>
        <sz val="12"/>
        <rFont val="Arial"/>
        <charset val="0"/>
      </rPr>
      <t xml:space="preserve">ZURU  </t>
    </r>
    <r>
      <rPr>
        <b/>
        <sz val="12"/>
        <rFont val="宋体"/>
        <charset val="0"/>
      </rPr>
      <t>（</t>
    </r>
    <r>
      <rPr>
        <b/>
        <sz val="12"/>
        <rFont val="Arial"/>
        <charset val="0"/>
      </rPr>
      <t xml:space="preserve">77858 </t>
    </r>
    <r>
      <rPr>
        <b/>
        <sz val="12"/>
        <rFont val="宋体"/>
        <charset val="0"/>
      </rPr>
      <t>厨房套装）生产排期表</t>
    </r>
  </si>
  <si>
    <t>香港接单日期</t>
  </si>
  <si>
    <t>第三方客户名称</t>
  </si>
  <si>
    <t>走货国家</t>
  </si>
  <si>
    <t>ZURU PO NO#</t>
  </si>
  <si>
    <t>第三方客户
 PO NO#</t>
  </si>
  <si>
    <t>SKU</t>
  </si>
  <si>
    <t>ITEM#</t>
  </si>
  <si>
    <t>中文名</t>
  </si>
  <si>
    <t>PO数量
(pcs)</t>
  </si>
  <si>
    <t>内箱装箱数量(pcs)</t>
  </si>
  <si>
    <t>外箱装箱数量(pcs)</t>
  </si>
  <si>
    <t>总箱数</t>
  </si>
  <si>
    <t>客PO期</t>
  </si>
  <si>
    <t>验货期</t>
  </si>
  <si>
    <t>第三方验货期</t>
  </si>
  <si>
    <t>验货结果</t>
  </si>
  <si>
    <r>
      <rPr>
        <b/>
        <sz val="11"/>
        <rFont val="Arial"/>
        <charset val="0"/>
      </rPr>
      <t>S/0</t>
    </r>
    <r>
      <rPr>
        <b/>
        <sz val="11"/>
        <rFont val="宋体"/>
        <charset val="0"/>
      </rPr>
      <t>船期</t>
    </r>
  </si>
  <si>
    <t>箱唛确认</t>
  </si>
  <si>
    <t>箱唛资料(收到日期)</t>
  </si>
  <si>
    <t>外箱贴纸</t>
  </si>
  <si>
    <t>客供贴纸AI(收到日期)</t>
  </si>
  <si>
    <t>客供物料</t>
  </si>
  <si>
    <t>备注</t>
  </si>
  <si>
    <t>ZURU 跟单</t>
  </si>
  <si>
    <t>单价USD</t>
  </si>
  <si>
    <t>金额USD</t>
  </si>
  <si>
    <t>發票號</t>
  </si>
  <si>
    <t>系统货号</t>
  </si>
  <si>
    <t>是否入系统</t>
  </si>
  <si>
    <t>系统出单</t>
  </si>
  <si>
    <t>送货情况</t>
  </si>
  <si>
    <t>欠数</t>
  </si>
  <si>
    <t>贴纸</t>
  </si>
  <si>
    <t>生产地</t>
  </si>
  <si>
    <t>MA 1L彩盒</t>
  </si>
  <si>
    <t>客版 3L彩盒</t>
  </si>
  <si>
    <t>客版 3L彩盒（COSTCO AU/NA）</t>
  </si>
  <si>
    <t>MA 3L彩盒</t>
  </si>
  <si>
    <t>黑白警语说明书</t>
  </si>
  <si>
    <t>客版黑白警语说明书</t>
  </si>
  <si>
    <t>不带电WEE说明书</t>
  </si>
  <si>
    <r>
      <rPr>
        <b/>
        <sz val="11"/>
        <rFont val="宋体"/>
        <charset val="0"/>
      </rPr>
      <t xml:space="preserve">客版5L
</t>
    </r>
    <r>
      <rPr>
        <sz val="11"/>
        <rFont val="宋体"/>
        <charset val="0"/>
      </rPr>
      <t>收藏指南</t>
    </r>
  </si>
  <si>
    <r>
      <rPr>
        <b/>
        <sz val="11"/>
        <color rgb="FF000000"/>
        <rFont val="宋体"/>
        <charset val="0"/>
      </rPr>
      <t>5L
A版</t>
    </r>
    <r>
      <rPr>
        <sz val="11"/>
        <color rgb="FF000000"/>
        <rFont val="宋体"/>
        <charset val="0"/>
      </rPr>
      <t>收藏指南</t>
    </r>
  </si>
  <si>
    <r>
      <rPr>
        <b/>
        <sz val="11"/>
        <color rgb="FF000000"/>
        <rFont val="宋体"/>
        <charset val="0"/>
      </rPr>
      <t>5L
B版</t>
    </r>
    <r>
      <rPr>
        <sz val="11"/>
        <color rgb="FF000000"/>
        <rFont val="宋体"/>
        <charset val="0"/>
      </rPr>
      <t>收藏指南</t>
    </r>
  </si>
  <si>
    <r>
      <rPr>
        <b/>
        <sz val="11"/>
        <rFont val="宋体"/>
        <charset val="0"/>
      </rPr>
      <t>客版</t>
    </r>
    <r>
      <rPr>
        <b/>
        <sz val="11"/>
        <rFont val="Arial"/>
        <charset val="0"/>
      </rPr>
      <t>PDQ</t>
    </r>
  </si>
  <si>
    <t>ZURU</t>
  </si>
  <si>
    <t>中国</t>
  </si>
  <si>
    <t>#ZPO2511013</t>
  </si>
  <si>
    <t>工程安排</t>
  </si>
  <si>
    <t>77858-S001</t>
  </si>
  <si>
    <t>厨房套装</t>
  </si>
  <si>
    <t>OK</t>
  </si>
  <si>
    <t>空白箱</t>
  </si>
  <si>
    <t>无</t>
  </si>
  <si>
    <t>PP 样品：QA Testing Samples ，数量：6，地址：深圳市罗湖区东门南路1006号口岸大楼17B.Sally ,13418550560  备注2箱bulk pack需正确纸箱做运输测试+8套散件。
PP 样品：UL SZ Sample，数量：6，地址：Joyce Yao 电话：+ 86 755 8120 2849 优力胜邦质量检测（上海）有限公司深圳分公司 深圳市宝安区西乡街道航城大道一号中德欧产业园B 栋4 楼， 邮编：518126（寄出时请告知快递单号方便快速处理）包装完整成品
PP 样品：Internal Samples/Sample，数量：8/12,地址：深圳市罗湖区东门南路1006号口岸大楼A栋3楼，Shirley 18819441898
PP 样品：Signed  Sample room/show room,数量：220/24,东莞市库有实业有限公司, 地址：东莞市清溪镇香芒西路213号   收件人：Jessica,电话：15999542773
PP 样品：Fast star sample,数量：24，地址：TBD （请留意保留好此PP 样板，跟单会补下PO 单扣减此数量），需空运到新西兰做上架试卖，务必保证外观功能ok</t>
  </si>
  <si>
    <t>已入</t>
  </si>
  <si>
    <t>ZMPO251171</t>
  </si>
  <si>
    <t>Remark:跟PP订单一起安排/大货标准箱装箱/箱唛请参照邮件附件
备注：收到样品订单后尽快安排 ，注意样板品质质量要求要高于大货品质要求 ，送货时必须要附带送货单(没有送货单和QC检验合格报告的仓库一律拒绝收货)，请知悉，谢谢！</t>
  </si>
  <si>
    <r>
      <rPr>
        <sz val="12"/>
        <color rgb="FF0E2EF0"/>
        <rFont val="宋体"/>
        <charset val="0"/>
      </rPr>
      <t>车间生产</t>
    </r>
    <r>
      <rPr>
        <sz val="12"/>
        <color rgb="FF0E2EF0"/>
        <rFont val="Arial"/>
        <charset val="0"/>
      </rPr>
      <t>+</t>
    </r>
    <r>
      <rPr>
        <sz val="12"/>
        <color rgb="FF0E2EF0"/>
        <rFont val="宋体"/>
        <charset val="0"/>
      </rPr>
      <t>包装</t>
    </r>
  </si>
  <si>
    <t>ZURU NEW ZEALAND LIMITED</t>
  </si>
  <si>
    <t>新西兰</t>
  </si>
  <si>
    <t>从PP中扣数</t>
  </si>
  <si>
    <t>4500192110-10</t>
  </si>
  <si>
    <t>77858-S001-FS</t>
  </si>
  <si>
    <t>是</t>
  </si>
  <si>
    <t>有</t>
  </si>
  <si>
    <t>1/23黄色贴纸</t>
  </si>
  <si>
    <t>日期码格式：ZURU INC(BVI) 标准格式 日期：按实际生产日期
Packaging Info:
Remark: NZ Fast Start Order, 从PP PO中扣数，需要更换为fast start专属UPC，外箱除常规箱唛外，还需要加贴一张黄色贴纸，印“fast start".</t>
  </si>
  <si>
    <t>Ivy Li</t>
  </si>
  <si>
    <t>TARGET US</t>
  </si>
  <si>
    <t>美国</t>
  </si>
  <si>
    <t>10001661694-3891</t>
  </si>
  <si>
    <t>4500190738-30</t>
  </si>
  <si>
    <t>3/25条码箱贴纸+2/10Event label</t>
  </si>
  <si>
    <t>日期码格式：ZURU INC(BVI) 标准格式 日期：按实际生产日期
Packaging Info:
77858： 产品包装 MA 1L 彩盒，彩盒上的UPC显示193052100238;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每个外箱正唛箱唛内容右侧需贴一张Event label，内容显示 7/19 TRANSITION TOYS Set Date 7/19/2026，工厂自行订购;
以上Items：
1. 产品和包装上均要印刷tracking code信息，格式为ZURU常规格式；
2. 需要我司QC验货之后才能安排出货
3. 出货方式： 货代自提</t>
  </si>
  <si>
    <t>Holly Zheng</t>
  </si>
  <si>
    <t>SMYTHS TOYS HQ UC UK</t>
  </si>
  <si>
    <t>英国</t>
  </si>
  <si>
    <t>4400537129</t>
  </si>
  <si>
    <t>4500192931-10</t>
  </si>
  <si>
    <r>
      <rPr>
        <sz val="9"/>
        <color rgb="FF0E2EF0"/>
        <rFont val="STSong-Light"/>
        <charset val="134"/>
      </rPr>
      <t>MA</t>
    </r>
    <r>
      <rPr>
        <sz val="9"/>
        <color rgb="FF0E2EF0"/>
        <rFont val="宋体"/>
        <charset val="134"/>
      </rPr>
      <t>蔬菜盒子贴纸</t>
    </r>
  </si>
  <si>
    <t>日期码格式：ZURU INC(BVI) 标准格式 日期：按实际生产日期
Packaging Info: "77858: 最新MA3L-23Lwarning EAN彩盒+MA蔬菜盒子贴纸+MA复合袋+MA23L说明书+MA5L收藏指南+B版WEEE声明(不带电池)走货欧洲通用30L说明书
EAN#4894680058729"
"92146TQ1: MA3L-13Lwarning收缩膜+MA布标+MA贴纸+MA5L-19L收藏指南
Ratio: Cat:Raccoon:Deer:Tiger:Pigeon:Owl=1:1:1:1:1:1"
25282D: 最新MA3L+23L警告语 MA彩盒+一张新的UPC条码贴纸(25282D#193052063199; 翻PO#4500116913)+MA 9L说明书+WEEE声明通用30L-B版说明书（带电池）
25282A: 最新MA3L+23L警告语 MA彩盒+一张新的UPC条码贴纸(25282A#193052062611; 本单放稿)+MA 9L说明书+WEEE声明通用30L-B版说明书（带电池）
25282B: 最新MA3L+23L警告语 MA彩盒+一张新的UPC条码贴纸(25282B#193052063182; 翻PO#4500116913)+MA 9L说明书+WEEE声明通用30L-B版说明书（带电池）
"15788B: 最新MA 5L UPC彩盒+MA布标
UPC#193052099600
*外箱四面需要贴一张限制上架日期贴纸(GLOBAL ONSHELF DATE:2026/7/9), 翻PO#4500192931*"
"15788D: 最新MA 5L UPC彩盒+MA布标
UPC#193052099617
*外箱四面需要贴一张限制上架日期贴纸(GLOBAL ONSHELF DATE:2026/7/9), 翻PO#4500192931*"
"15788G: 最新MA 5L UPC彩盒+MA布标
UPC#193052099631
*外箱四面需要贴一张限制上架日期贴纸(GLOBAL ONSHELF DATE:2026/7/9), 翻PO#4500192931*"
"15788H: 最新MA 5L UPC彩盒+MA布标
UPC#193052099648
*外箱四面需要贴一张限制上架日期贴纸(GLOBAL ONSHELF DATE:2026/7/9), 翻PO#4500192931*"
"15783UQ1: MA 5L PDQ+MA 5L UPC彩盒+MA 角色卡+MA通用纸袋+MA布标
UPC#193052099693
7 Assortments; Rare assortment 1/24, others even ratio
*外箱四面需要贴一张限制上架日期贴纸(GLOBAL ONSHELF DATE:2026/6/14)*"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</si>
  <si>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Sherry Lu</t>
  </si>
  <si>
    <t>77858-S001-1</t>
  </si>
  <si>
    <t>30L</t>
  </si>
  <si>
    <t>SMYTHS TOYS EU HQ UC</t>
  </si>
  <si>
    <t>德国</t>
  </si>
  <si>
    <t>4400537136</t>
  </si>
  <si>
    <t>4500192949-10</t>
  </si>
  <si>
    <t>2/10德语callout贴纸(本单放稿)+MA蔬菜盒子贴纸</t>
  </si>
  <si>
    <t>需要加字唛</t>
  </si>
  <si>
    <t>日期码格式：ZURU INC(BVI) 标准格式 日期：按实际生产日期
Packaging Info: "77858: 最新MA3L-23Lwarning EAN彩盒+1张德语callout贴纸(本单放稿)+MA蔬菜盒子贴纸+MA复合袋+MA23L说明书+MA5L收藏指南+B版WEEE声明(不带电池)走货欧洲
通用30L说明书
EAN#4894680058729"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9.包装必须含法国Sorting Label信息，如没有，请提醒跟单提供贴纸资料。</t>
  </si>
  <si>
    <t>4400537151</t>
  </si>
  <si>
    <t>4500192949-20</t>
  </si>
  <si>
    <t>THE ENTERTAINER</t>
  </si>
  <si>
    <t>FB14546</t>
  </si>
  <si>
    <t>4500194581-10</t>
  </si>
  <si>
    <t>自行排版</t>
  </si>
  <si>
    <t>日期码格式：ZURU INC(BVI) 标准格式 日期：按实际生产日期
Packaging Info: 77858-S001：MA A版1L UPC包装+C版29L不含电池出货版本WEEE说明书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</si>
  <si>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Meyya Liu</t>
  </si>
  <si>
    <t>29L</t>
  </si>
  <si>
    <t>SMYTHS TOYS HQ UC IE</t>
  </si>
  <si>
    <t>爱尔兰</t>
  </si>
  <si>
    <t>4400537132</t>
  </si>
  <si>
    <t>4500192938-10</t>
  </si>
  <si>
    <t>日期码格式：ZURU INC(BVI) 标准格式 日期：按实际生产日期
Packaging Info: "77858: 最新MA3L-23Lwarning EAN彩盒+MA蔬菜盒子贴纸+MA复合袋+MA23L说明书+MA5L收藏指南+B版WEEE声明(不带电池)走货欧洲通用30L说明书
EAN#4894680058729"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</si>
  <si>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SMYTHS TOYS EU HQ UNLIMITED COMPANY</t>
  </si>
  <si>
    <t xml:space="preserve">法国 </t>
  </si>
  <si>
    <t>4500192944-10</t>
  </si>
  <si>
    <t>日期码格式：ZURU INC(BVI) 标准格式 日期：按实际生产日期
Packaging Info: "77858: 最新MA3L-23Lwarning EAN彩盒+MA蔬菜盒子贴纸+MA复合袋+MA23L说明书+MA5L收藏指南+B版WEEE声明(不带电池)走货欧洲通用30L说明书
EAN#4894680058729"
"15788B: 最新MA 5L UPC彩盒+MA布标
UPC#193052099600
*外箱四面需要贴一张限制上架日期贴纸(GLOBAL ONSHELF DATE:2026/7/9), 翻PO#4500192931*"
"15788D: 最新MA 5L UPC彩盒+MA布标
UPC#193052099617
*外箱四面需要贴一张限制上架日期贴纸(GLOBAL ONSHELF DATE:2026/7/9), 翻PO#4500192931*"
"15788H: 最新MA 5L UPC彩盒+MA布标
UPC#193052099648
*外箱四面需要贴一张限制上架日期贴纸(GLOBAL ONSHELF DATE:2026/7/9), 翻PO#4500192931*"
"15788G: 最新MA 5L UPC彩盒+MA布标
UPC#193052099631
*外箱四面需要贴一张限制上架日期贴纸(GLOBAL ONSHELF DATE:2026/7/9), 翻PO#4500192931*"
"77711GQ2: 最新MA PDQ(优先3L)+MA-3L EAN收缩膜+1张法国sorting label贴纸(翻PO#4500182619) + MA-23L说明书 + MA-5-23L警语收藏指南 + MA-5L creative
说明书
EAN: 4894680043350"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</si>
  <si>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4500192944-20</t>
  </si>
  <si>
    <t>LEKIA AB</t>
  </si>
  <si>
    <t>瑞典</t>
  </si>
  <si>
    <t>4500193679-10</t>
  </si>
  <si>
    <t>日期码格式：ZURU INC(BVI) 标准格式 日期：按实际生产日期
Packaging Info: 1. 77858: MA A3L(23L warning) EAN版彩盒+MA A23L黑白电池说明书+MA A版收藏指南+WEEE_不带电池走货 _ 说明书欧洲EN+29L_C版
Remark: 1. 包装如含PVC,请改为PET
2. 产品/包装要求无硼无香；
3. 出欧洲，微塑料需合规。
4.带电池出货的产品所用到的电池需要符合欧洲电池新规(EU) 2023-1542
5.产品/包装不含PFAS and/or Bisfenol成分
6. 产品条码如下: 请先检查条码是否正确再安排做货，如有问题请告知:
77858-S001:4894680058729</t>
  </si>
  <si>
    <t>Sheba Ye</t>
  </si>
  <si>
    <t>湖南提供半成品</t>
  </si>
  <si>
    <t>10001661693-3890</t>
  </si>
  <si>
    <t>4500194297-30</t>
  </si>
  <si>
    <r>
      <rPr>
        <sz val="11"/>
        <color rgb="FF0E2EF0"/>
        <rFont val="宋体"/>
        <charset val="134"/>
      </rPr>
      <t>3/31条码箱贴纸</t>
    </r>
    <r>
      <rPr>
        <sz val="9"/>
        <color rgb="FF0E2EF0"/>
        <rFont val="STSong-Light"/>
        <charset val="134"/>
      </rPr>
      <t>+2/26 Event label</t>
    </r>
  </si>
  <si>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每个外箱正唛箱唛内容右侧需贴一张Event label，内容显示 7/19 TRANSITION TOYS Set Date 7/19/2026，工厂自行订购;
以上Items：
1. 产品和包装上均要印刷tracking code信息，格式为ZURU常规格式；
2. 需要我司QC验货之后才能安排出货
3. 出货方式： 货代自提</t>
  </si>
  <si>
    <t>WALMART INC.</t>
  </si>
  <si>
    <t>0983717776</t>
  </si>
  <si>
    <t>4500195615-10</t>
  </si>
  <si>
    <t>77858-S002</t>
  </si>
  <si>
    <t>5/11第三方
4/23抽板</t>
  </si>
  <si>
    <t>3/6RFID贴纸</t>
  </si>
  <si>
    <t>日期码格式：ZURU DGYYYYMMDD CHINA(日期避开周末和法定节假日即可） 日期：按实际生产日期
Packaging Info: 77858-S002
1.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此单需要抽板和验货，抽板时间预计4/23，请多备料
6. 此单以loose carton出货，2pcs/CTN</t>
  </si>
  <si>
    <t>Maggie Xie</t>
  </si>
  <si>
    <t>10001708292-0
581</t>
  </si>
  <si>
    <t>4500194290-10</t>
  </si>
  <si>
    <t>4/2 条码箱贴纸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</si>
  <si>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产品和包装上均要印刷tracking code信息，格式为ZURU常规格式；
2. 需要我司QC验货之后才能安排出货
3. 出货方式： 货代自提</t>
  </si>
  <si>
    <t>10001661762-3
891</t>
  </si>
  <si>
    <t>4500194303-20</t>
  </si>
  <si>
    <t>4/8条码箱贴纸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</si>
  <si>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产品和包装上均要印刷tracking code信息，格式为ZURU常规格式；
2. 需要我司QC验货之后才能安排出货
3. 出货方式： 货代自提</t>
  </si>
  <si>
    <t>MEIJER DISTRIBUTION, INC.</t>
  </si>
  <si>
    <t>219072775</t>
  </si>
  <si>
    <t>4500194442-70</t>
  </si>
  <si>
    <t>日期码格式：ZURU INC(BVI) 标准格式 日期：
Packaging Info: 1. 通用PDQ, 产品MA UPC包装（优先1L）出美国
2. 客人指定箱唛排版
Remark: 出货前 Zuru QC 验货</t>
  </si>
  <si>
    <t>Agnes Zheng</t>
  </si>
  <si>
    <t>219072771</t>
  </si>
  <si>
    <t>4500194442-80</t>
  </si>
  <si>
    <t>WONDERLAND TOYS, INC.</t>
  </si>
  <si>
    <t>5167</t>
  </si>
  <si>
    <t>4500196264-40</t>
  </si>
  <si>
    <t>日期码格式：ZURU INC(BVI) 标准格式 日期：按实际生产日期
Packaging Info: 1. 出口美国，MA UPC 版本包装，优先1L。
5. Item 77858 UPC#193052100238. 出货不含电池。
Remark: 8. ZURU QC 验货即可。</t>
  </si>
  <si>
    <t>Abby Mai,Lluvia Zeng</t>
  </si>
  <si>
    <t>KANDYTOYS LIMITED</t>
  </si>
  <si>
    <t>AS191225ZUR15
274</t>
  </si>
  <si>
    <t>4500196850-20</t>
  </si>
  <si>
    <t>日期码格式：ZURU INC(BVI) 标准格式 日期：按实际生产日期
Packaging Info: 
77858: MA UPC 1L+WEEE 30L B 不含电池说明书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4.一个产品的条码请允许有一个，混款并每个款不同条码的需要加条码贴纸覆盖
5.外箱上的条码请确保清晰可扫描，有PDQ， 需要在PDQ底部贴一张带条码并可扫描的贴纸(ZURU 跟单提供模板）。
6.所有产品按符合欧洲标准走货，微塑料需合规并增加IFUD声明，含电池的需要增加WEEE说明书。
7.硼限值要低于300ppm</t>
  </si>
  <si>
    <t>Zoe Zhou</t>
  </si>
  <si>
    <t xml:space="preserve">30L </t>
  </si>
  <si>
    <t>0983717796</t>
  </si>
  <si>
    <t>4500197934-20</t>
  </si>
  <si>
    <t>翻4500195615</t>
  </si>
  <si>
    <t>4/8RFID贴纸</t>
  </si>
  <si>
    <t>日期码格式：ZURU DGYYMMDD CHINA(日期避开周末和法定节假日即可）                   日期：按实际生产日期
Packaging Info: 77843SLB-S001
1. 包装要求：
77858-S002
1. 包装要求：
77858：MA 1L A版 playset +MA 5L A版收藏指南+MA 23L A版说明书+MA A版纸袋+MA 贴纸
每pcs产品要贴一张RFID贴纸，RFID贴纸由ZURU提供，贴纸位置要严格按照客人签板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carton出货，2pcs/CTN</t>
  </si>
  <si>
    <t>ZURU LLC</t>
  </si>
  <si>
    <t>4500199495</t>
  </si>
  <si>
    <t>5200009500</t>
  </si>
  <si>
    <t>4500199495-10</t>
  </si>
  <si>
    <t>77858-S003-MB-MTS</t>
  </si>
  <si>
    <t>邮包盒图稿翻单4500194000</t>
  </si>
  <si>
    <t>日期码格式：ZURU INC(BVI) 标准格式                  日期：按实际生产日期
Packaging Info: #77858: STD 77858带MA包装入邮包盒，邮包盒图稿翻单4500194000。
Remark: 1.TikTok US订单。出口美国。外箱尺寸不能超过26*26*26" ，不符合要求的大货，一律不接受。
2.无第三方验货/测试要求。
3. 日期码使用ZURU标准版本。
4.如果大货有要求入邮包盒，则对应的邮包盒上面要打上日期码。</t>
  </si>
  <si>
    <t>Kelly Shen</t>
  </si>
  <si>
    <t>77858-S003-MB</t>
  </si>
  <si>
    <t>10001661761-3890</t>
  </si>
  <si>
    <t>4500199055-20</t>
  </si>
  <si>
    <t>4/23条码箱贴纸</t>
  </si>
  <si>
    <t>日期码格式：ZURU INC(BVI) 标准格式 日期：按实际生产日期
Packaging Info: 77673TQ1：产品包装 客版收缩膜(C版)+客版收藏指南+MA说明书+ MA 1L PDQ；客版收缩膜(C版）翻单4500183607；客版收藏指南翻单4500174008；
77858：产品包装 MA 1L 彩盒；
77772GQ5：产品包装MA 1L 收缩膜+MA 5L 收藏指南+MA 23L 组装说明+客版PDQ；客版PDQ翻单4500189603；
77794UQ1：产品包装 MA 1L黑白警告语说明书+MA 1L 彩盒+MA 1L PDQ+锂电池标签纸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77794UQ1：
1.77794UQ1-S002-MINI BRANDS-VINYL-PLAYSET-SERIES 1-CUBE,8PCS/PDQ,8PCS/PDQ/CTN;
2. 产品包装 MA 1L黑白警告语说明书+MA 1L 彩盒+MA 1L PDQ+锂电池标签纸;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</si>
  <si>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AMAZON EU SARL, NDL DEUTSCHLAND</t>
  </si>
  <si>
    <t>西班牙</t>
  </si>
  <si>
    <t>53YR16IV</t>
  </si>
  <si>
    <t>4500198640-100</t>
  </si>
  <si>
    <t>空白外箱（加印带Zuru字样的最新logo，除了邮包盒直接做外箱的产品）</t>
  </si>
  <si>
    <t>4/24条码箱贴纸</t>
  </si>
  <si>
    <t>客版邮包盒翻单4500192979</t>
  </si>
  <si>
    <t>日期码格式：ZURU INC(BVI) 标准格式 日期：按实际生产日期
Packaging Info: Amazon UK: 5TKIJIXX/3O77XWME/2EIMZ29W/1VCZUJZI/7N1D8FUG/5Z2UXPOL/5PNQ9H8L
Amazon DE: 4EO3QWQS/3LFCI9MA/115AX8DW
Amazon FR: 6VRKJU2V
Amazon ES: 53YR16IV
Amazon IT: 5D2ZS8EV
Amazon UK(157114DG/157140/157143/15780ABD/15788G/71172/77878/92146BDG/92147E)/DE(157114G/15788BG/92146GH/92147E)/FR(92146G)/ES(157143/77858)/IT(
157140/157143/92146G)
10. 77858: 1pc 77858 playset into mailbox, 3mailboxes/ctn; Including magnets; 3PCS AA BATTERIES(NOT INCLUDED); MA 3L(23L warning EAN)A 透明PVC窗
彩盒+MA 23L warning A 电池黑白说明书+MA 5L A收藏指南+MA其它最新配套包装+客版邮包盒(参考Amazon US翻单PO#4500192979)+WEEE_不带电池走货 _ 说明书欧
洲EN+30L_B版
11.验货时间不迟于2026/5/11.
注意：77858需将邮包盒尺寸图&lt;(&gt;&amp;&lt;)&gt;重量图放进验货报告；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</si>
  <si>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</si>
  <si>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77858-S003-MB-1</t>
  </si>
  <si>
    <t>0983717761</t>
  </si>
  <si>
    <t>4500198118-20</t>
  </si>
  <si>
    <t>0983717783</t>
  </si>
  <si>
    <t>4500198126-20</t>
  </si>
  <si>
    <t>TARGET AUSTRALIA PTY LTD</t>
  </si>
  <si>
    <t>澳大利亚</t>
  </si>
  <si>
    <t>2599186</t>
  </si>
  <si>
    <t>4500196881-20</t>
  </si>
  <si>
    <t>4/22外箱贴纸SSCC label</t>
  </si>
  <si>
    <t>日期码格式：ZURU INC(BVI) 标准格式 日期：按实际生产日期
Packaging Info: 
2. 77858：英文MA包装UPC版本（首选1L，无1L可选多语）+箱唛+ 外箱贴纸SSCC label；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</si>
  <si>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Christine Liao</t>
  </si>
  <si>
    <t>WALMART  INC.</t>
  </si>
  <si>
    <t>0980444054</t>
  </si>
  <si>
    <t>4500196792-10</t>
  </si>
  <si>
    <t>3/24RFID贴纸+粉色艾利贴纸+MA 贴纸</t>
  </si>
  <si>
    <t>日期码格式：ZURU DGMMDD CHINA(日期避开周末和法定节假日即可） 日期：按实际生产日期
Packaging Info: 77858-S002
1.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carton出货，2pcs/CTN</t>
  </si>
  <si>
    <t>Maggie  Xie</t>
  </si>
  <si>
    <t>0980444062</t>
  </si>
  <si>
    <t>4500196792-20</t>
  </si>
  <si>
    <t>ASIA GOAL LIMITED</t>
  </si>
  <si>
    <t>香港</t>
  </si>
  <si>
    <t>AG250415-HK</t>
  </si>
  <si>
    <t>4500198855-10</t>
  </si>
  <si>
    <t>4/10 HK客供警语贴纸（2 张HK客供警语贴纸，1张贴彩盒背面，1张贴说明书，贴纸内容不一样,详情参考HK客供警语贴纸位置图）</t>
  </si>
  <si>
    <t xml:space="preserve">日期码格式：ZURU INC(BVI) 标准格式 日期：按实际生产日期
Packaging Info: 此单出HK,
77858: MA PKG , 优先1L+ HK客供警语贴纸（2 张HK客供警语贴纸，1张贴彩盒背面，1张贴说明书，贴纸内容不一样,详情参考HK客供警语贴纸位置图）
Remark:
</t>
  </si>
  <si>
    <t>Chelsea Luo</t>
  </si>
  <si>
    <t>ASIA GOAL LIMITED TAIWAN BRANCH (H.</t>
  </si>
  <si>
    <t>台湾</t>
  </si>
  <si>
    <t>AG250416-TW</t>
  </si>
  <si>
    <t>4500198860-10</t>
  </si>
  <si>
    <t>4/21警语贴纸</t>
  </si>
  <si>
    <t>日期码格式：ZURU INC(BVI) 标准格式 日期：按实际生产日期
Packaging Info: 此单出TW
77858: MA PKG , 优先1L+ 1张警语贴纸
Remark:</t>
  </si>
  <si>
    <t>0983717723</t>
  </si>
  <si>
    <t>4500198129-20</t>
  </si>
  <si>
    <t>5/18自检</t>
  </si>
  <si>
    <t>日期码格式：ZURU DGYYMMDD CHINA(日期避开周末和法定节假日即可）                   日期：按实际生产日期
77858-S002
1. 包装要求：
77858：MA 1L A版 playset +MA 5L A版收藏指南+MA 23L A版说明书+MA A版纸袋+MA 贴纸
每pcs产品要贴一张RFID贴纸，RFID贴纸由ZURU提供，贴纸位置要严格按照客人签板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carton出货，2pcs/CTN</t>
  </si>
  <si>
    <t>HARVEY  WHOLESALE  LTD</t>
  </si>
  <si>
    <t>4500197606-10</t>
  </si>
  <si>
    <t>日期码格式：ZURU INC(BVI) 标准格式 日期：按实际生产日期
Packaging Info: MA UPC 包装（优先1L，3L/5L也可）
Remark: 3PCS AA BATTERIES(NOT INCLUDED)</t>
  </si>
  <si>
    <t>Ivy  Li</t>
  </si>
  <si>
    <t>0980444051</t>
  </si>
  <si>
    <t>4500196793-10</t>
  </si>
  <si>
    <t>AMAZON UK</t>
  </si>
  <si>
    <t>3UI85QUZ</t>
  </si>
  <si>
    <t>4500198642-150</t>
  </si>
  <si>
    <t>77858-S003
-MB</t>
  </si>
  <si>
    <t>4/24外箱贴纸SSCC label</t>
  </si>
  <si>
    <r>
      <rPr>
        <sz val="9"/>
        <color rgb="FF0E2EF0"/>
        <rFont val="宋体"/>
        <charset val="134"/>
      </rPr>
      <t>客版邮包盒</t>
    </r>
    <r>
      <rPr>
        <sz val="9"/>
        <color rgb="FF0E2EF0"/>
        <rFont val="STSong-Light"/>
        <charset val="134"/>
      </rPr>
      <t>(</t>
    </r>
    <r>
      <rPr>
        <sz val="9"/>
        <color rgb="FF0E2EF0"/>
        <rFont val="宋体"/>
        <charset val="134"/>
      </rPr>
      <t>参考翻单</t>
    </r>
    <r>
      <rPr>
        <sz val="9"/>
        <color rgb="FF0E2EF0"/>
        <rFont val="STSong-Light"/>
        <charset val="134"/>
      </rPr>
      <t>PO#4500198640)</t>
    </r>
  </si>
  <si>
    <t>日期码格式：ZURU INC(BVI) 标准格式 日期：按实际生产日期
Packaging Info: Amazon UK: 5TKIJIXX/3O77XWME/7N1D8FUG/7H6BABTK/5Z2UXPOL/3UI85QUZ
Amazon UK(77858/77876/77878/157124/157142)
1. 77858: 1pc 77858 playset into mailbox, 3mailboxes/ctn; Including magnets; 3PCS AA BATTERIES(NOT INCLUDED); MA 3L(23L warning EAN)A 透明PVC窗
彩盒+MA 23L warning A 电池黑白说明书+MA 5L A收藏指南+MA其它最新配套包装+客版邮包盒(Amazon US PO#4500192979)+WEEE_不带电池走货 _ 说明书欧洲EN+29L
_C版
6.验货时间不迟于2026/5/15.
注意：77858需将邮包盒尺寸图片&lt;(&gt;&amp;&lt;)&gt;重量图片放进验货报告。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t>
  </si>
  <si>
    <t>0980444049</t>
  </si>
  <si>
    <t>4500196793-20</t>
  </si>
  <si>
    <t>CONTINENTE S.A.</t>
  </si>
  <si>
    <t>哥伦比亚</t>
  </si>
  <si>
    <t>4500198705-90</t>
  </si>
  <si>
    <t>4/29进口商贴纸+UPC贴纸</t>
  </si>
  <si>
    <t>日期码格式：DG20260515                  日期：
Packaging Info: 7132:MA 多语包装+ UPC贴纸+进口商贴纸+箱唛
15789UQ1、15782UQ1:MA 多语包装+进口商贴纸+箱唛
15750、15788、15746:MA 多语包装+进口商贴纸+箱唛（进口商贴纸和mother UPC贴纸合并为一张）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</si>
  <si>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Ava Liang</t>
  </si>
  <si>
    <t>AG250501-HK</t>
  </si>
  <si>
    <t>4500198401-10</t>
  </si>
  <si>
    <t>4/3  HK客供警语贴纸（2 张HK客供警语贴纸，1张贴彩盒背面，1张贴说明书，贴纸内容不一样）</t>
  </si>
  <si>
    <t>日期码格式：ZURU INC(BVI) 标准格式 日期：按实际生产日期
Packaging Info: 此单出HK,
77858: MA PKG , 优先1L+ HK客供警语贴纸（2 张HK客供警语贴纸，1张贴彩盒背面，1张贴说明书，贴纸内容不一样）</t>
  </si>
  <si>
    <t>ROYAL REGENT PRODUCTS(ASIA) LIMITED</t>
  </si>
  <si>
    <t>乌克兰</t>
  </si>
  <si>
    <t>MPO10299</t>
  </si>
  <si>
    <t>4500202224-
00010-20260526</t>
  </si>
  <si>
    <t>MPO10299-10</t>
  </si>
  <si>
    <t>77858</t>
  </si>
  <si>
    <t>送超邦工厂组装混装展架</t>
  </si>
  <si>
    <t>进⼝商贴纸翻4500201931+3张乌克兰警告语贴纸覆盖零售包装上的俄罗斯语⾔（翻4500201931）</t>
  </si>
  <si>
    <t>MA 收藏指南/客版不含俄罗斯
语⾔的电池说明书（含不带电池⾛货WEEE说明书内容）（翻4500201931）</t>
  </si>
  <si>
    <t>Remark:
1.77858：A 版3L MA EAN 包装+进⼝商贴纸（翻4500201931）+3张乌克兰警告语贴纸覆盖零售包装上的俄罗斯语⾔（翻4500201931）；A 版5L MA 收藏指南/客版不含俄罗斯
语⾔的电池说明书（含不带电池⾛货WEEE说明书内容）（翻4500201931）
2.ZURU QC 会在组装⼚安排最终验货，请准备好备品，验货后需要⻢上安排补货，请务必按时送货到超邦⼚
3.订单的所有测试与样品要求以跟单的要求为准，且为了避免QC验货拆货来不及补货，请准备适量的贴纸和产品备品。此订单数量只作为⼤货⽣产，不包含样板与备品。
4.请贵司确保交货数量准确，与收货⽅交收清楚，如收货⽅提出任何异常，请⽴即安排处理解决。
5.关于混装展⽰架，各⼯⼚交⼦件到最终⺟件⼯⼚时，务必要 "带卡板出+围好围膜"。 如果没按要求的，请各⼯⼚⾃⾏安排⼈⼿卸货。</t>
  </si>
  <si>
    <t>Snowy Wu</t>
  </si>
  <si>
    <t>SIDJ  JOUECLUB</t>
  </si>
  <si>
    <t>法国</t>
  </si>
  <si>
    <t>4500196797-20</t>
  </si>
  <si>
    <t>请准备每款5pcs包装备品，和大货一起出（以备到客户仓库后有破损的包装）</t>
  </si>
  <si>
    <t>自行比对</t>
  </si>
  <si>
    <t>4/1额外贴纸(含AR警语+客人信息+意大利回收标+CMIM logo)+MA贴纸</t>
  </si>
  <si>
    <t>4/15 1张额外的客版黑白说明书(含AR电池
 说明+5LWEEE 不带电池出货)</t>
  </si>
  <si>
    <t>日期码格式：2042026 日期：
Packaging Info: 
77858:MA23L EAN彩盒+额外贴纸(含AR警语+客人信息+CMIM logo)+MA 袋子+MA贴纸+ML 5L收藏指南+MA23L说明书+1张额外的客版黑白说明书(含AR电池
说明+5LWEEE 不带电池出货)
Remark: 1.此票无需客户验货，请多备料1套左右
2.请准备每款5pcs包装备品，和大货一起出（以备到客户仓库后有破损的包装）
3.所有出口法国的产品, 法规规定禁止在包装和共公众用的印刷品中使用矿物油中含有的物质, 包装印刷油墨中含有的MOAH/MOSH的质量浓度不能超过1%, 否则出货
到法国被抽检出现问题, 供应商需要对此负责;
4.出口法国请确保产品符合EU微塑料法规，包装需显示法国回收logo;</t>
  </si>
  <si>
    <t>Ula  Zhao</t>
  </si>
  <si>
    <r>
      <rPr>
        <sz val="10"/>
        <color rgb="FF0E2EF0"/>
        <rFont val="宋体"/>
        <charset val="0"/>
      </rPr>
      <t>客版黑白说明书</t>
    </r>
    <r>
      <rPr>
        <sz val="10"/>
        <color rgb="FF0E2EF0"/>
        <rFont val="Arial"/>
        <charset val="0"/>
      </rPr>
      <t>(</t>
    </r>
    <r>
      <rPr>
        <sz val="10"/>
        <color rgb="FF0E2EF0"/>
        <rFont val="宋体"/>
        <charset val="0"/>
      </rPr>
      <t>含</t>
    </r>
    <r>
      <rPr>
        <sz val="10"/>
        <color rgb="FF0E2EF0"/>
        <rFont val="Arial"/>
        <charset val="0"/>
      </rPr>
      <t>AR</t>
    </r>
    <r>
      <rPr>
        <sz val="10"/>
        <color rgb="FF0E2EF0"/>
        <rFont val="宋体"/>
        <charset val="0"/>
      </rPr>
      <t>电池</t>
    </r>
    <r>
      <rPr>
        <sz val="10"/>
        <color rgb="FF0E2EF0"/>
        <rFont val="Arial"/>
        <charset val="0"/>
      </rPr>
      <t xml:space="preserve">
 </t>
    </r>
    <r>
      <rPr>
        <sz val="10"/>
        <color rgb="FF0E2EF0"/>
        <rFont val="宋体"/>
        <charset val="0"/>
      </rPr>
      <t>说明</t>
    </r>
    <r>
      <rPr>
        <sz val="10"/>
        <color rgb="FF0E2EF0"/>
        <rFont val="Arial"/>
        <charset val="0"/>
      </rPr>
      <t xml:space="preserve">+5LWEEE </t>
    </r>
    <r>
      <rPr>
        <sz val="10"/>
        <color rgb="FF0E2EF0"/>
        <rFont val="宋体"/>
        <charset val="0"/>
      </rPr>
      <t>不带电池出货</t>
    </r>
    <r>
      <rPr>
        <sz val="10"/>
        <color rgb="FF0E2EF0"/>
        <rFont val="Arial"/>
        <charset val="0"/>
      </rPr>
      <t>)</t>
    </r>
  </si>
  <si>
    <t>MPO10280</t>
  </si>
  <si>
    <t>4500200738-
00010-
20260525</t>
  </si>
  <si>
    <t>MPO10280-10</t>
  </si>
  <si>
    <t>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t>
  </si>
  <si>
    <t>Amber Zhang/Kico Zang</t>
  </si>
  <si>
    <t>23L</t>
  </si>
  <si>
    <t>ZMPO260437</t>
  </si>
  <si>
    <t>ZMPO260437-20</t>
  </si>
  <si>
    <t>Remark；大货版本/大货标准箱装箱/箱唛请参照邮件附件；备注： 收到样品订单后尽快安排 ，注意样板品质质量要求要高于大货品质要求 ，送货时必须要附带送货单(没有送货单和QC检验合格报告的仓库一律拒绝收货)，请知悉，谢谢！</t>
  </si>
  <si>
    <t xml:space="preserve">Angus </t>
  </si>
  <si>
    <t>NUEVOS ALMACENES, S.A.</t>
  </si>
  <si>
    <t>危地马拉</t>
  </si>
  <si>
    <t>4500199843</t>
  </si>
  <si>
    <t>4504719305</t>
  </si>
  <si>
    <t>4500199843-20</t>
  </si>
  <si>
    <t>4/25 UPC贴纸</t>
  </si>
  <si>
    <t>日期码格式：ZURU INC(BVI) 标准格式                  日期：
Packaging Info: MA 多语包装+UPC贴纸+箱唛，无客户贴纸
Remark: 订单需提交自检报告，客户审核通过才可以出货。
外箱上的箱唛资料显示客户指定日期30-MAY-2026,产品/包装/外箱可以按ZURU 标准日期码打，也可以跟回外箱日期码，工厂自行选择,两者均可接受</t>
  </si>
  <si>
    <t>0983717820</t>
  </si>
  <si>
    <t>4500198130-20</t>
  </si>
  <si>
    <t>AMAZON.COM SERVICES LLC</t>
  </si>
  <si>
    <t>4500200214</t>
  </si>
  <si>
    <t>657D1AAZ</t>
  </si>
  <si>
    <t>4500200214-220</t>
  </si>
  <si>
    <r>
      <rPr>
        <sz val="10"/>
        <color rgb="FF0E2EF0"/>
        <rFont val="宋体"/>
        <charset val="134"/>
        <scheme val="minor"/>
      </rPr>
      <t>4/28</t>
    </r>
    <r>
      <rPr>
        <sz val="9"/>
        <color rgb="FF0E2EF0"/>
        <rFont val="STSong-Light"/>
        <charset val="134"/>
      </rPr>
      <t>SSCC Label</t>
    </r>
  </si>
  <si>
    <t>邮包盒图稿翻单4500195266</t>
  </si>
  <si>
    <t>日期码格式：ZURU INC(BVI) 标准格式 日期：按实际生产日期
Packaging Info: 
#77858: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</si>
  <si>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</si>
  <si>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0983717750</t>
  </si>
  <si>
    <t>4500198134-10</t>
  </si>
  <si>
    <t>5/25自检</t>
  </si>
  <si>
    <t>日期码格式：ZURU DGYYMMDD CHINA(日期避开周末和法定节假日即可）                   日期：按实际生产日期
Packaging Info: 77858-S002
1.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carton出货，2pcs/CTN</t>
  </si>
  <si>
    <t>0983717811</t>
  </si>
  <si>
    <t>4500198134-20</t>
  </si>
  <si>
    <t>4500200222</t>
  </si>
  <si>
    <t>7KK8YPTZ</t>
  </si>
  <si>
    <t>4500200222-200</t>
  </si>
  <si>
    <t>4500200226</t>
  </si>
  <si>
    <t>5VINHCNE</t>
  </si>
  <si>
    <t>4500200226-340</t>
  </si>
  <si>
    <t>8TY69JNQ</t>
  </si>
  <si>
    <t>4500200226-350</t>
  </si>
  <si>
    <t>0980444047</t>
  </si>
  <si>
    <t>4500196794-10</t>
  </si>
  <si>
    <t>SUCKOT SAC</t>
  </si>
  <si>
    <t>秘鲁</t>
  </si>
  <si>
    <t>4500200402</t>
  </si>
  <si>
    <t/>
  </si>
  <si>
    <t>4500200402-60</t>
  </si>
  <si>
    <t>日期码格式：ZURU INC(BVI) 标准格式 日期：按实际生产日期
Packaging Info: 77782GQ1:客版收缩膜+客版收藏指南+客版PDQ+进口商贴纸+箱唛，客版物料翻单PO4500161302,进口商贴纸翻单PO4500183983
77785:客版彩盒+进口商贴纸+箱唛（77673:MA 多语收缩膜/77711：MA 多语收缩膜+空白贴纸）,客版彩盒翻单PO4500194447
7151、7152：MA 1L包装+MA多语说明书+进口商贴纸+箱唛，进口商贴纸翻单PO4500165899
9543GQ1:MA 多语包装+进口商贴纸+UPC贴纸+箱唛，进口商贴纸翻单PO4500165899
71126:MA 多语包装+进口商贴纸+箱唛，进口商贴纸翻单PO4500166157
77673:MA 多语包装+进口商贴纸+UPC贴纸+箱唛，进口商贴纸翻单PO4500183983
15789UQ1:MA 多语包装+进口商贴纸+箱唛
其余item：MA多语包装+进口商贴纸+UPC贴纸+箱唛</t>
  </si>
  <si>
    <t>UPD, INC.</t>
  </si>
  <si>
    <t>4500198024-80</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</si>
  <si>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</si>
  <si>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</si>
  <si>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SCHEEL'S  ALL  SPORTS,  INC.</t>
  </si>
  <si>
    <t>021873145</t>
  </si>
  <si>
    <t>4500195170-70</t>
  </si>
  <si>
    <r>
      <rPr>
        <sz val="11"/>
        <color rgb="FF0E2EF0"/>
        <rFont val="宋体"/>
        <charset val="0"/>
      </rPr>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出货配比:  Zuru  标版配比。
Order  Modifiable  Records
Revision  #</t>
    </r>
    <r>
      <rPr>
        <sz val="11"/>
        <color rgb="FF0E2EF0"/>
        <rFont val="Arial"/>
        <charset val="0"/>
      </rPr>
      <t xml:space="preserve">	</t>
    </r>
    <r>
      <rPr>
        <sz val="11"/>
        <color rgb="FF0E2EF0"/>
        <rFont val="宋体"/>
        <charset val="0"/>
      </rPr>
      <t>Date:</t>
    </r>
    <r>
      <rPr>
        <sz val="11"/>
        <color rgb="FF0E2EF0"/>
        <rFont val="Arial"/>
        <charset val="0"/>
      </rPr>
      <t xml:space="preserve">	</t>
    </r>
    <r>
      <rPr>
        <sz val="11"/>
        <color rgb="FF0E2EF0"/>
        <rFont val="宋体"/>
        <charset val="0"/>
      </rPr>
      <t>Comment:
1</t>
    </r>
    <r>
      <rPr>
        <sz val="11"/>
        <color rgb="FF0E2EF0"/>
        <rFont val="Arial"/>
        <charset val="0"/>
      </rPr>
      <t xml:space="preserve">	</t>
    </r>
    <r>
      <rPr>
        <sz val="11"/>
        <color rgb="FF0E2EF0"/>
        <rFont val="宋体"/>
        <charset val="0"/>
      </rPr>
      <t>2026-03-06 00:00:00</t>
    </r>
    <r>
      <rPr>
        <sz val="11"/>
        <color rgb="FF0E2EF0"/>
        <rFont val="Arial"/>
        <charset val="0"/>
      </rPr>
      <t xml:space="preserve">	</t>
    </r>
    <r>
      <rPr>
        <sz val="11"/>
        <color rgb="FF0E2EF0"/>
        <rFont val="宋体"/>
        <charset val="0"/>
      </rPr>
      <t>REV.1.更新77711GQ1  工厂交期4.30
2</t>
    </r>
    <r>
      <rPr>
        <sz val="11"/>
        <color rgb="FF0E2EF0"/>
        <rFont val="Arial"/>
        <charset val="0"/>
      </rPr>
      <t xml:space="preserve">	</t>
    </r>
    <r>
      <rPr>
        <sz val="11"/>
        <color rgb="FF0E2EF0"/>
        <rFont val="宋体"/>
        <charset val="0"/>
      </rPr>
      <t>2026-03-16 00:00:00</t>
    </r>
    <r>
      <rPr>
        <sz val="11"/>
        <color rgb="FF0E2EF0"/>
        <rFont val="Arial"/>
        <charset val="0"/>
      </rPr>
      <t xml:space="preserve">	</t>
    </r>
    <r>
      <rPr>
        <sz val="11"/>
        <color rgb="FF0E2EF0"/>
        <rFont val="宋体"/>
        <charset val="0"/>
      </rPr>
      <t>REV.2.增加50-110行
3</t>
    </r>
    <r>
      <rPr>
        <sz val="11"/>
        <color rgb="FF0E2EF0"/>
        <rFont val="Arial"/>
        <charset val="0"/>
      </rPr>
      <t xml:space="preserve">	</t>
    </r>
    <r>
      <rPr>
        <sz val="11"/>
        <color rgb="FF0E2EF0"/>
        <rFont val="宋体"/>
        <charset val="0"/>
      </rPr>
      <t>2026-03-17 00:00:00</t>
    </r>
    <r>
      <rPr>
        <sz val="11"/>
        <color rgb="FF0E2EF0"/>
        <rFont val="Arial"/>
        <charset val="0"/>
      </rPr>
      <t xml:space="preserve">	</t>
    </r>
    <r>
      <rPr>
        <sz val="11"/>
        <color rgb="FF0E2EF0"/>
        <rFont val="宋体"/>
        <charset val="0"/>
      </rPr>
      <t>REV.3.增加9565
Special
Requirments</t>
    </r>
    <r>
      <rPr>
        <sz val="11"/>
        <color rgb="FF0E2EF0"/>
        <rFont val="Arial"/>
        <charset val="0"/>
      </rPr>
      <t xml:space="preserve">	</t>
    </r>
    <r>
      <rPr>
        <sz val="11"/>
        <color rgb="FF0E2EF0"/>
        <rFont val="宋体"/>
        <charset val="0"/>
      </rPr>
      <t xml:space="preserve">1.Factory  is  required  to  confirm  the  PO  with  all  the  details  within  2  working  days  once  upon  receipt  of  ZURU  PO.  Or  order  will  be  treated  as  accepted.
       贵司收到  ZURU  订单请在2个工作日内确认订单，否则将视为默认接受；
2.Fulfill  US,  EU,  AUS,  NZ  and  CAN  latest  safety  requirements,  such  as  EN71,  ASTM  F963,  AS  /  NZS  ISO8124,  Reach,  requirements  of  EC  directive
2009/48/EC/Phthalates/PAH/lead/cadmium/Azo/Formaldehyde/USP51/USP61/62  and  other  applicative  regulation  in  toys;  EN62115/ROHS/EMC/FCC/ICES-003/RCM/2006/66/EC  for
Electronic  toys.
      产品及大货需要满足US,  EU,  AUS,  NZ  和CAN的最新玩具安全要求以及符合玩具的相关测试标准（例如：EN71,  ASTM  F963,  AS  /  NZS  ISO8124,  Reach,  requirements  of  EC  directive
2009/48/EC/Phthalates/PAH/lead/cadmium/Azo/Formaldehyde/USP51/USP61/62  和其他适用的规定等等;  电子类玩具还需要满足EN62115/ROHS/EMC/FCC/ICES-003/RCM/2006/66/EC等等）；
3.Please  prepare  extra  quantity  for  photography  purpose  sample,  sign-off  sample,  sample  drawing,  testing,  and  inspection  (AQL  standard).
       由于涉及到拍照用途的样品、签样、抽样、测试以及验货（按照AQL标准），请额外备足够的数量；
4.ZURU  carton  standard  should  be  单坑  requirement  for  those  carton  weight  less  than  5KG.  Otherwise,  A=B  requirement  is  required.
       外箱重量低于5kg的标准的外箱材质要求是单坑，否则要求A=B；
5.Factory  is  required  to  reconfirm  order  carton  details  including  dimension,  weight,  pack  size  etc..  Please  inform  ZURU  team  if  any  update.
      要求工厂确认好外箱的信息，例如：尺寸、毛重、净重、装箱数等； 如有任何更新请及时通知；
6.Date  code  is  required  for  product,  retail  packaging  and  master  carton.  If  there's  NO  customer  assigned  date  code  format,  please  use  ZURU    standard  format  and  it
should  be  "GZYYYYMMDD".  (ATTN:  GZ  is  city  code  of  production  factory  (e.g.  Guangzhou  =  GZ),  YYYYMMDD  is  production  year,  month  and  date.).  "©ZURU"  and"Made  in  China"
are  required  to  show  on  the  product.  Please  further  check  with  ZURU  QA  team  if  you  have  any  questions.
      产品，零售包装以及外箱上需要显示生产日期；如果客人没有指定的日期码格式，请用  ZURU  标准日期码格式，如：GZYYYYMMDD（注意：GZ是生产工厂的城市代码缩写，例如："广州"，Gua
ngzhou  =  GZ；YYYYMMDD是生产年、月和日）；产品上需要有"©ZURU"和"Made  inChina"的字样；以上，对此有疑问请联系  ZURU  QA  team；
7.Date  code  on  product  should  be  earlier  or  equal  to  date  on  packaging;  Date  code  on  packaging  should  be  earlier  or  equal  to  master  carton  (Date  code  on  retail
packaging  must  be  readable  without  opening  the  retail  packaging.).
      产品上日期码的日期应早于或等于包装上日期码的日期；包装上日期码的日期应早于或等于外箱上日期码的日期（注意：零售包装上的日期码要在无需拆开包装的前提下可直接看到）；
8.All  the  change  on  production/packaging  must  inform  ZURU  team  and  ask  confirmation  in  advance.
      若产品/大货或包装有任何变更，请务必通知  ZURU  相关团队并提前确认好以免影响订单交付；
9.If  ZURU  re-inspection  is  required  caused  by  factory's  problem,  the  re-inspection  fee  of  CNY  1000  and  travel  expenses  will  be  at  production  factory's  expense.
      若因工厂原因导致的  ZURU  QC重验，工厂需要承担CNY1000重验费以及相关差旅费；
10.ZURU  Final  inspection  application  is  required  to  submit  to  ZURU  OQC  team  7  days  before  inspection  date  with  order  qty  100%  finished.  And  all  shipments  should  be
pass  ZURU  OQC  inspection  before  delivery.
        烦请验货前至少7天与  ZURU  验货团队预约验货，并确保验货当天是100%完成大货；所有出货前要有  ZURU  验货通过的报告；
11.All  barcodes  should  be  scannable  and  readable.
        所有条码确保可扫描以及可读；
12.ZURU  logo  is  required  for  master  carton  as  large  as  possible  in  the  condition  of  NO  impact  shipping  mark  information.
        外箱上需要印有  ZURU  符号并且在不影响箱唛的情况下，ZURU  符号应尽可能放大；
13.Above  are  ZURU    STD  requirements.  If  there  are  customer  or  other  requirements,  please  further  follow  it  as  per  PO  remark  or  email  notification.
         以上均为  ZURU  标准要求，如果有任何客人或其他要求，请查看PO上的备注以及注意邮件通知。
</t>
    </r>
    <r>
      <rPr>
        <sz val="11"/>
        <color rgb="FF0E2EF0"/>
        <rFont val="Arial"/>
        <charset val="0"/>
      </rPr>
      <t xml:space="preserve">																													</t>
    </r>
    <r>
      <rPr>
        <sz val="11"/>
        <color rgb="FF0E2EF0"/>
        <rFont val="宋体"/>
        <charset val="0"/>
      </rPr>
      <t xml:space="preserve">
Additional
Clause</t>
    </r>
    <r>
      <rPr>
        <sz val="11"/>
        <color rgb="FF0E2EF0"/>
        <rFont val="Arial"/>
        <charset val="0"/>
      </rPr>
      <t xml:space="preserve">	</t>
    </r>
    <r>
      <rPr>
        <sz val="11"/>
        <color rgb="FF0E2EF0"/>
        <rFont val="宋体"/>
        <charset val="0"/>
      </rPr>
      <t>1.As  agreed  above,  ZURU  reserves  the  right  to  claim  the  penalties  of  shipment  delay  which  caused  by  factory  as  following  terms:
         ·Will  charge  5%  of  PO  total  amount  for  1-7  days  (incl.  7days)  of  the  shipment  delay.
         ·Will  charge  7%  of  PO  total  amount  for  7-14  days  (incl.  14days)  of  the  shipment  delay.
         ·Will  charge  10%  of  PO  total  amount  for  over  14  days  of  the  shipment  delay.
         · If  customer  required  to  air  ship  or  penalty  for  shipment  delay,  the  air  cost  and  penalty  will  be  at  factory's  expense.
        如果同意以上交货期到  ZURU  公司但是最后由于供应商原因无法交货，ZURU  公司保留以下的罚款条款：
         *  1-7（含第七天）天内延迟出货罚款为合同总金额的百分之五，
         *  7-14（含第十四天）天内延迟出货罚款为合同总金额的百分之七，
         *  如果超过14天将扣合同金额的百分之十，
         *  如产生客人对  ZURU  公司罚款或产生空运费，罚款金额需供应商全额承担；
    2.Factory  is  required  to  bear  relevant  cost  or  penalty  of  customer  or  3rd  party's  failed  result  which  caused  by  factory.
        如遇到由工厂导致的客人或第三方的验货、测试不过等要求重验或重测以及涉及罚款的，工厂需要承担相关费用；
    3.If  the  quality  cannot  meet  ZURU  standard  or  requirements,  factory  is  required  to  improve  or  rework  till  it  could  meet  ZURU  standard  or  requirements.  All  costs
including  rework  fee,  shipment  delay  fee  or  penalty  are  at  factory's  expense.
        如果因为质量不符合  ZURU  公司要求的标准，供应商必须改进产品以达到标准并支付返工费用及以上出货延迟费用；
    4.Please  be  subject  to  the  final  revision/update  of  PO  and  adjust  the  production  if  needs.
        订单细节会不时进行修改，请以最后一次修改订单为准并及时协调生产；
    5.Please  contact  relevant  merchandiser  within  2  working  days  if  you  have  any  questions  of  the  order.  Or  order  will  be  treated  as  accepted.
        如果对订单细节有任何疑问，请在2个工作日内直接回复给对应跟单；如果没有回复，那么将被认为所有订单细节包括交期在内都被接受；
    6.Factory  is  required  to  provide  the  commodity  inspection  (if  needs),  customs  clearance  documents  and  complete  the  trade  term  responsibilities.  Or  please  further  check
with  ZURU  Company  team  20  days  ahead  of  shipment.  And  the  order  will  be  settled  by  CNY  and  required  factory  to  raise  13%  VAT  invoice  after  confirmation.
        该订单将需要贵司提供相关的商检及报关单证，若贵司不能提供相关单证且需要用到我司单证出货，要求于出货20日前与我司确认，该订单将以人民币结算并需要贵司开出13%税率VAT增值
税发票；
Confirmed  And  Accepted  By:</t>
    </r>
    <r>
      <rPr>
        <sz val="11"/>
        <color rgb="FF0E2EF0"/>
        <rFont val="Arial"/>
        <charset val="0"/>
      </rPr>
      <t xml:space="preserve">	</t>
    </r>
    <r>
      <rPr>
        <sz val="11"/>
        <color rgb="FF0E2EF0"/>
        <rFont val="宋体"/>
        <charset val="0"/>
      </rPr>
      <t>Issued  By:
Signature  &amp;  Company  Chop</t>
    </r>
  </si>
  <si>
    <t>Mila  Yao</t>
  </si>
  <si>
    <t>MILLS FLEET FARM</t>
  </si>
  <si>
    <t>4500199572</t>
  </si>
  <si>
    <t>4891185</t>
  </si>
  <si>
    <t>4500199572-130</t>
  </si>
  <si>
    <t>日期码格式：ZURU INC(BVI) 标准格式                  日期：按实际生产日期
Packaging Info: 1. 包装：ZURU MA 1L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</si>
  <si>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Mila Yao</t>
  </si>
  <si>
    <t>TOYZOONA LIMITED</t>
  </si>
  <si>
    <t>肯尼亚</t>
  </si>
  <si>
    <t>4500199109-10</t>
  </si>
  <si>
    <t>日期码格式：ZURU INC(BVI) 标准格式 日期：按实际生产日期
Packaging Info: MA 1L PKG
Remark:</t>
  </si>
  <si>
    <t>0983717752</t>
  </si>
  <si>
    <t>4500198135-10</t>
  </si>
  <si>
    <t>5/28自检</t>
  </si>
  <si>
    <t>0983717856</t>
  </si>
  <si>
    <t>4500198141-10</t>
  </si>
  <si>
    <t>日期码格式：ZURU DGYYMMDD CHINA(日期避开周末和法定节假日即可）                   日期：按实际生产日期
Packaging Info: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carton出货，2pcs/CTN</t>
  </si>
  <si>
    <t>360 SALES SOLUTIONS INC</t>
  </si>
  <si>
    <t>加拿大</t>
  </si>
  <si>
    <t>2026ZURU02</t>
  </si>
  <si>
    <t>4500192784-20</t>
  </si>
  <si>
    <t>3/3UPC贴纸包装193052100238</t>
  </si>
  <si>
    <t>日期码格式： 标准格式 日期：按实际生产日期
Packaging Info:
77858 MA 多语EAN+UPC贴纸包装193052100238
Remark: 出加拿大
Zuru验货.日期跟踪码：产品外包装及产品本身都必须有日期跟踪码，ZURU标准格式日期码。（箱唛日期码按跟单提供格式）</t>
  </si>
  <si>
    <t>Bella Tan</t>
  </si>
  <si>
    <t>0983717757</t>
  </si>
  <si>
    <t>4500198137-20</t>
  </si>
  <si>
    <t>6/1 BV到厂</t>
  </si>
  <si>
    <t>0983717887</t>
  </si>
  <si>
    <t>4500198137-30</t>
  </si>
  <si>
    <t>SIDJ JOUECLUB</t>
  </si>
  <si>
    <t>26000056-L</t>
  </si>
  <si>
    <t>4500201678-10</t>
  </si>
  <si>
    <t>额外贴纸(翻4500196797)</t>
  </si>
  <si>
    <t>额外的客版黑白说明书((翻4500196797)</t>
  </si>
  <si>
    <t>日期码格式：2052526                  日期：
Packaging Info: MA23L EAN彩盒+额外贴纸(翻4500196797)+MA 袋子+MA贴纸+ML 5L收藏指南+MA23L说明书+1张额外的客版黑白说明书((翻4500196797)
Remark: 1.此票无需客户验货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3.出口法国请确保产品符合EU微塑料法规，包装需显示法国回收logo;</t>
  </si>
  <si>
    <t>Ula Zhao</t>
  </si>
  <si>
    <t>524LKUVU</t>
  </si>
  <si>
    <t>4500201268-40</t>
  </si>
  <si>
    <t>4/29 SSCC Label+ZURU FRANCE 地址贴</t>
  </si>
  <si>
    <t>客版邮包盒(参考翻单PO#4500192979)</t>
  </si>
  <si>
    <t>日期码格式：ZURU INC(BVI) 标准格式                  日期：按实际生产日期
Packaging Info: Amazon DE:77EBUZMB/5NJQ3IYM/524LKUVU
Amazon ES:5DTE4VLV
Amazon FR:5X8Z857H/32CZCE8A/2RYJSVMM
Amazon IT:5Z9TYR1E
Amazon UK:7XAFEJ2S/5BSUPH4P/3P6NUAFE/3OUVPHYB
DE(157114B/157140/9574/77858)/ES(157140/9574/15788G)/FR(9574/157143/157140/77858)/IT(77858)/UK(157114H/9574/77858/92146E)
 5. 77858:1pc 77858 playset into mailbox, 3mailboxes/ctn; Including magnets; 3PCS AA BATTERIES(NOT INCLUDED); MA 3L(23L warning EAN)A 透明PVC窗彩
盒+MA 23L warning A 电池黑白说明书+MA 5L A收藏指南+MA其它最新配套包装+客版邮包盒(参考翻单PO#4500192979)+WEEE_不带电池走货 _ 说明书欧洲EN+30L_B版
 8.  最迟验货不得晚于5/26
 9. 77858验货时需要将产品六面图，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</si>
  <si>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Crystal Chen</t>
  </si>
  <si>
    <t>2RYJSVMM</t>
  </si>
  <si>
    <t>4500201268-120</t>
  </si>
  <si>
    <t>4/29 SSCC Label</t>
  </si>
  <si>
    <t>日期码格式：ZURU INC(BVI) 标准格式                  日期：按实际生产日期
Packaging Info: Amazon DE:77EBUZMB/5NJQ3IYM/524LKUVU
Amazon ES:5DTE4VLV
Amazon FR:5X8Z857H/32CZCE8A/2RYJSVMM
Amazon IT:5Z9TYR1E
Amazon UK:7XAFEJ2S/5BSUPH4P/3P6NUAFE/3OUVPHYB
DE(157114B/157140/9574/77858)/ES(157140/9574/15788G)/FR(9574/157143/157140/77858)/IT(77858)/UK(157114H/9574/77858/92146E)
1. 157114BH:
--157114B:1pc 15787B  9"(Wrinkle McStinkles) into mailbox, 12mailboxes/ctn; 客版邮包盒(参考Amazon US翻单PO#4500192979);
--157114H:1pc 15787H  9"(Sasquoosh) into mailbox, 12mailboxes/ctn; 客版邮包盒(参考Amazon US翻单PO#4500192979);
2. 157140:2PK 15774 into window box respectively, then into polybag, 6polybags/ctn, MA 5L(5L warning UPC)B 开窗彩盒+1张贴纸(含IT环保标+西班牙洗
涤说明,参考翻单PO#4500198613)+客版透明胶袋(双面打孔+含英法德意西警告语+塑料循环标, 参考翻单PO#4500166364)+1张UPC#贴纸(贴在胶袋上,参考翻单PO#450
0198613)+1张空白贴纸(贴在彩盒条码位置, 参考翻单PO#4500198613);
 3. 157143;8PK 157117 IN MAIL BOX,12mailboxes/ctn; 8 Assortment=1:1:1:1:1:1:1:1; 客版邮包盒(参考Amazon US翻单PO#4500195274);
4. 15788G:1pc 15788G 9"(Sir Belch) in window box,then into polybag, 12polybags/ctn; Global onshelf date after 2026/7/9; MA 5L(5L warning UPC)A开
窗彩盒+MA其它最新配套包装+客版胶袋(含英法德意西荷兰警告语+双面打孔+塑料循环标,参考翻单PO#4500164364)+2张贴纸(1张含UPC#&lt;(&gt;&amp;&lt;)&gt;IT环保标&lt;(&gt;&amp;&lt;)&gt;ES
洗涤说明贴纸,参考翻单PO#4500198640+1张上架日期贴纸, 参考翻单PO#4500198640)
 5. 77858:1pc 77858 playset into mailbox, 3mailboxes/ctn; Including magnets; 3PCS AA BATTERIES(NOT INCLUDED); MA 3L(23L warning EAN)A 透明PVC窗彩
盒+MA 23L warning A 电池黑白说明书+MA 5L A收藏指南+MA其它最新配套包装+客版邮包盒(参考翻单PO#4500192979)+WEEE_不带电池走货 _ 说明书欧洲EN+30L_B版
 6. 92146E:1pc 92146E SMALL(Tiger) into shrink wraps,24pcs/ctn;Bubble powder;NO Boron; MA 3L(8L warning EAN)A收缩膜+MA其它最新配套包装+MA 5L(19L
 warning)A收藏指南+1张贴纸(1张UPC+IT环保标+ES洗涤说明贴纸贴纸，参考翻单PO#4500198640);
 7. 9574:3-4pcs magnets included, compounds not included; 2pcs baby capybara: 3pcs baby capybara= 5:1; 3PCS AAA BATTERIES(NOT INCLUDED); 4PCS/CTN
 ; MA 3L(23 warning EAN) A版彩盒+MA5L(9L warning) A版说明书+2张贴纸(1张#UPC, 1张IT环保标; 贴纸翻单PO#)+WEEE_不带电池走货 _ 说明书欧洲EN+30L_B版
 8.  最迟验货不得晚于5/26
 9. 77858验货时需要将产品六面图，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</si>
  <si>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3P6NUAFE</t>
  </si>
  <si>
    <t>4500201268-150</t>
  </si>
  <si>
    <t>意大利</t>
  </si>
  <si>
    <t>5Z9TYR1E</t>
  </si>
  <si>
    <t>4500201268-170</t>
  </si>
  <si>
    <t>KING JOUET LOGISTIQUE</t>
  </si>
  <si>
    <t>4500199651</t>
  </si>
  <si>
    <t>2000009878</t>
  </si>
  <si>
    <t>4500199651-10</t>
  </si>
  <si>
    <t>5/30
验货后还会抽办1套/item，请多备料</t>
  </si>
  <si>
    <t>4/30进口商贴纸+一张产品贴纸+一张法语weee说明书纸</t>
  </si>
  <si>
    <t>日期码格式：LOT2622                  日期：
Packaging Info: 1. 77858：EAN彩盒+最新MA 5L收藏指南+最新MA 23L说明书+一张进口商贴纸+一张产品贴纸+一张法语weee说明书纸
Remark: 1. 大货样品2套/item，用于客人验货签板。验货后还会抽办1套/item，请多备料；
 2. 客版日期码LOT2622,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</si>
  <si>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Christine He</t>
  </si>
  <si>
    <t>T. PLANET SHOPS SL</t>
  </si>
  <si>
    <t>4500200146</t>
  </si>
  <si>
    <t>22362602</t>
  </si>
  <si>
    <t>4500200146-30</t>
  </si>
  <si>
    <t>4/22进口商贴纸</t>
  </si>
  <si>
    <t>日期码格式：202602 日期：
Packaging Info: 1.77711GQ2：【MA 3L EAN版本包装+一张客户进口商贴纸（含西班牙环保标)】+MA 收藏指南+MA 23L说明书+MA 3L PDQ；
2.77673：【MA 3L EAN版本包装+一张客户进口商贴纸】+一张产品贴纸+MA 23L说明书+WEEE带电池走货欧洲29L通用黑白说明书；
3.77858：【MA 3L EAN版本包装+一张客户进口商贴纸】+MA 23L说明书+MA 5L收藏指南+WEEE不带电池走货欧洲29L通用黑白说明书；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以找我们跟单提供；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t>
  </si>
  <si>
    <t>Mary Zhong</t>
  </si>
  <si>
    <t>0980444033</t>
  </si>
  <si>
    <t>4500196796-10</t>
  </si>
  <si>
    <t>6/10吊柜补料</t>
  </si>
  <si>
    <t>3/24RFID贴纸+粉色艾利贴纸</t>
  </si>
  <si>
    <t>0980444039</t>
  </si>
  <si>
    <t>4500196796-20</t>
  </si>
  <si>
    <t>DISTRIBUIDORA LIVERPOOL S.A DE C.V.</t>
  </si>
  <si>
    <t>墨西哥</t>
  </si>
  <si>
    <t>4500199969</t>
  </si>
  <si>
    <t>4500199969-100</t>
  </si>
  <si>
    <t>此单有第三方监柜</t>
  </si>
  <si>
    <t>6/26进口商贴纸+5/14价标贴纸</t>
  </si>
  <si>
    <t>6/26保证书</t>
  </si>
  <si>
    <t>日期码格式：ZURU INC(BVI) 标准格式 日期：按实际生产日期
Packaging Info: 
77858/77773GQ2/9574:MA多语 包装+MA 多语说明书（含西语）+进口商贴纸+价标贴纸+保证书，包装/说明书都需要贴一张进口商贴纸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</si>
  <si>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YUG CONTRACT</t>
  </si>
  <si>
    <t>4500201931-10</t>
  </si>
  <si>
    <t>4/29进口商贴纸+3张乌克兰警告语贴纸覆盖零售包装上的俄罗斯语言</t>
  </si>
  <si>
    <t>4/29客版不含俄罗斯语言的电池说明书（含不带电池走货WEEE说明书内容）</t>
  </si>
  <si>
    <t>日期码格式：ZURU INC(BVI) 标准格式 日期：按实际生产日期
Packaging Info: 77858：A 版 3L MA EAN 包装+进口商贴纸+3张乌克兰警告语贴纸覆盖零售包装上的俄罗斯语言 ；A 版 5L MA 收藏指南/客版不含俄罗斯语言的电池说明书（含不
带电池走货WEEE说明书内容）
Remark: 1、此单出欧洲需满足EU测试标准要求，另外不能出闪粉（若产品本身不含闪粉则忽略这句话），电池产品（带电池/不带电池走货）需要添加WEEE通用说明书(不含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t>
  </si>
  <si>
    <t>ASMODEE ROMANIA SRL</t>
  </si>
  <si>
    <t>罗马尼亚</t>
  </si>
  <si>
    <t>4500202795</t>
  </si>
  <si>
    <t>4500202795-10</t>
  </si>
  <si>
    <t>SI 6/17</t>
  </si>
  <si>
    <t>5/8进口商贴纸</t>
  </si>
  <si>
    <t>日期码格式：ZURU INC(BVI) 标准格式 日期：按实际生产日期
Packaging Info: 77858：A 版 1L MA包装+进口商贴纸 ；A 版 5L MA 收藏指南/A 版 23L MA说明书+C 版 29L 不带电池走货WEEE通用说明书
 Remark: 1、若产品有比例使用ZURU STD 比例
 2、所有item 均用MA UPC 条码，若包装不是UPC 条码的请告知
 mother UPC:193052099587 ,,
 3、此单出欧洲需满足EU测试标准要求</t>
  </si>
  <si>
    <t>Snowy</t>
  </si>
  <si>
    <t>SUOMEN  OSUUSKAUPPOJEN  KESKUSKUNTA</t>
  </si>
  <si>
    <t>芬兰</t>
  </si>
  <si>
    <t>4500196453-90</t>
  </si>
  <si>
    <t>4/21贴纸</t>
  </si>
  <si>
    <t>日期码格式：ZURU INC(BVI) 标准格式 日期：按实际生产日期
Packaging Info: 
9. 77858: MA A3L(23L warning) EAN版彩盒+警告语/电池信息/MADE IN CHINA以上全部信息翻译成爱沙尼亚语做成贴纸贴在彩盒上+MA A23L黑白电池说明书+chang
e the batteries/battery safety information/警告语翻译成爱沙尼亚语做成贴纸贴在说明书上(不能覆盖英语丹麦瑞典芬兰挪威语)+MA A版收藏指南+WEEE_不带
电池走货 _ 说明书欧洲EN+29L_C版
per bag+瑞典芬兰爱沙尼亚语警告语贴在纸袋子上(贴纸和位置图翻SOK PO#4500160378)+MA 3L PDQ+MA 5L(23L warning)收藏指南+MA 23L说明书
Remark: *. 92147+92146TQ1+9574+77843GQ1+77794UQ1+77772GQ1+77858 新款: 请在5/15各提供三套大货样给客人留底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 and/or Bisfenol成分, 以及不含石棉成分
*.产品条码如下: 请先检查条码是否正确再安排做货，如有问题请告知
ZURU ITEM#&lt;(&gt;&amp;&lt;)&gt;EAN
77858-S001:4894680058729</t>
  </si>
  <si>
    <t>Sheba</t>
  </si>
  <si>
    <t>4500203141</t>
  </si>
  <si>
    <t>4400559987</t>
  </si>
  <si>
    <t>4500203141-10</t>
  </si>
  <si>
    <t>德语callout贴纸(翻PO#4500192949 )+ZURU FRANCE 地址贴</t>
  </si>
  <si>
    <t>日期码格式：ZURU INC(BVI) 标准格式                  日期：按实际生产日期
Packaging Info: "77858: 最新MA3L-23Lwarning EAN彩盒+1张德语callout贴纸(翻PO#4500192949 )+MA蔬菜盒子贴纸+MA复合袋+MA23L说明书+MA5L收藏指南+C版WEEE声明(不带电池)
走货欧洲通用29L说明书
EAN#4894680058729"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</si>
  <si>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PT. STAKOM TRIJAYA ANDALA</t>
  </si>
  <si>
    <t>印度尼西亚</t>
  </si>
  <si>
    <t>4500200184</t>
  </si>
  <si>
    <t>4500200184-30</t>
  </si>
  <si>
    <t>5/8 SNI label</t>
  </si>
  <si>
    <t>日期码格式：ZURU INC(BVI) 标准格式                  日期：按实际生产日期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Remark: 77843GQ1-Ratio: PIZZA: HAMBURGER: PANCAKES: BUBBLE TEA:  Matcha TEA: TACO: SUSHI: DONUT: Charcuterie Board: RAINBOW CAKE(Rare)=10.88%: 10.88%: 1
0.88%: 10.88%: 10.88%: 10.88%: 10.88%: 10.88%: 10.88%: 2.08%=68:68:68:68:68:68:68:68:68:13
77772GQ1-4  mini vinyls,1 accessory</t>
  </si>
  <si>
    <t>Emma Wu</t>
  </si>
  <si>
    <t>ESAL ENTERPRISES FZC</t>
  </si>
  <si>
    <t>沙特</t>
  </si>
  <si>
    <t>4500202631</t>
  </si>
  <si>
    <t>4500202631-50</t>
  </si>
  <si>
    <t>最晚6/15完货</t>
  </si>
  <si>
    <t>5/11进口商贴纸 (含G Mark, QR code, 阿拉伯警语)AW翻单4500202382。</t>
  </si>
  <si>
    <t>日期码格式：ZURU INC(BVI) 标准格式 日期：按实际生产日期
Packaging Info: 出KSA, 所有包装不能有希伯来语（HE), 所有RBC的产品（内外）包装上都不能有彩虹
所有包装含说明书，说明书上都需要有阿拉伯语（AR)， 或者带单独的阿拉伯语（AR)说明书出货。
77858:MA 1L PKG+进口商贴纸 (含G Mark, QR code, 阿拉伯警语); 贴纸上的QR code需微信可扫; 扫描结果另外通知； UPC条码显示193052100238；含MA说明书，
需加一张黑白印刷的阿拉伯语说明纸一起出货， AW翻单4500202382。
客人箱唛排版，印4面，条码内容193052100238
Remark:</t>
  </si>
  <si>
    <t>Doris Shou</t>
  </si>
  <si>
    <t>4500200900</t>
  </si>
  <si>
    <t>2609268</t>
  </si>
  <si>
    <t>4500200900-10</t>
  </si>
  <si>
    <t>5/20外箱SSCC label</t>
  </si>
  <si>
    <t>日期码格式：ZURU INC(BVI) 标准格式                  日期：按实际生产日期
Packaging Info: 77858：英文MA包装UPC版本（首选1L，无1L可选多语）+ 外箱SSCC label；
Rare: 1/48
Common: Equal ratio"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</si>
  <si>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4500203038</t>
  </si>
  <si>
    <t>10001846427-0581</t>
  </si>
  <si>
    <t>4500203038-10</t>
  </si>
  <si>
    <t>5/9条码贴纸</t>
  </si>
  <si>
    <t>日期码格式：ZURU INC(BVI) 标准格式                  日期：按实际生产日期
Packaging Info: 产品包装 MA 1L 彩盒
Remark: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产品和包装上均要印刷tracking code信息，格式为ZURU常规格式；
 5. 需要我司QC验货之后才能安排出货
 6. 出货方式：  货代自提</t>
  </si>
  <si>
    <t>4500203516</t>
  </si>
  <si>
    <t>0983717805</t>
  </si>
  <si>
    <t>4500203516-30</t>
  </si>
  <si>
    <t>6/12自检</t>
  </si>
  <si>
    <t>箱唛翻单：4500195615</t>
  </si>
  <si>
    <t>5/7RFID贴纸</t>
  </si>
  <si>
    <t>日期码格式：ZURU DGYYMMDD CHINA(日期避开周末和法定节假日即可）                   日期：按实际生产日期
Packaging Info: 77858-S002
1.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字样；箱唛翻单：4500195615
 3. 在产品上和包装上要有日期码、以及要有MADE IN CHINA和ZURU字样；
 4. 产品如有扎带口要剪平，不能刮手。
 5. 此单需要验货，请多备料
 6. 此单以loose carton出货，2pcs/CTN</t>
  </si>
  <si>
    <t>0983717810</t>
  </si>
  <si>
    <t>4500203516-10</t>
  </si>
  <si>
    <t>0983717839</t>
  </si>
  <si>
    <t>4500203516-20</t>
  </si>
  <si>
    <t>AG260022-HK</t>
  </si>
  <si>
    <t>4500204383-70</t>
  </si>
  <si>
    <t>6/18送外厂</t>
  </si>
  <si>
    <t>5/13HK客供警语贴纸+1张HK电池警语贴纸（都贴彩盒背面）+1张HK客供中文说明书</t>
  </si>
  <si>
    <t>5/13客供中文说明书</t>
  </si>
  <si>
    <t>日期码格式：ZURU INC(BVI) 标准格式 日期：按实际生产日期
Packaging Info: 
77858: MA PKG , 优先1L+ 1张HK客供警语贴纸+1张HK电池警语贴纸（都贴彩盒背面）+1张HK客供中文说明书
所有贴纸不得遮挡日期码
Remark: 此单出HK</t>
  </si>
  <si>
    <t>4500202216-10</t>
  </si>
  <si>
    <t>进口商贴纸+一张产品贴纸+一张法语weee说明书纸，都翻4500199651</t>
  </si>
  <si>
    <t>日期码格式：LOT2623                  日期：
Packaging Info: 1. 77858：最新MA 3L EAN彩盒+最新MA 5L收藏指南+最新MA 23L说明书+一张进口商贴纸+一张产品贴纸+一张法语weee说明书纸，都翻4500199651
 2. 客版日期码LOT2623,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</si>
  <si>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TESCO CE</t>
  </si>
  <si>
    <t>斯洛伐克</t>
  </si>
  <si>
    <t>4500202652</t>
  </si>
  <si>
    <t>999-81742</t>
  </si>
  <si>
    <t>4500202652-50</t>
  </si>
  <si>
    <t>5/8条码贴纸</t>
  </si>
  <si>
    <t>日期码格式：ZURU INC(BVI) 标准格式 日期：按实际生产日期
Packaging Info:
"77858：MA 最新3L包装含四国警告语贴纸Czech-Hugarian-Polish-Slovak)+1张UPC条码贴纸，MA最新黑白说明书+WEEE不带电池走货欧洲29语通用黑白说明书+MA最
新收藏指南+MA内袋/贴纸；
UPC#193052100238，请先检查包装条码是否正确再安排做货；"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</si>
  <si>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UNFI WHOLESALE INC</t>
  </si>
  <si>
    <t>4500198397</t>
  </si>
  <si>
    <t>R25654196111826</t>
  </si>
  <si>
    <t>4500198397-60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</si>
  <si>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</si>
  <si>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4500202661</t>
  </si>
  <si>
    <t>R25654291176483</t>
  </si>
  <si>
    <t>4500202661-60</t>
  </si>
  <si>
    <t>4500201090</t>
  </si>
  <si>
    <t>4400555640</t>
  </si>
  <si>
    <t>4500201090-50</t>
  </si>
  <si>
    <t>6/10送外厂</t>
  </si>
  <si>
    <t>MA蔬菜盒子贴纸</t>
  </si>
  <si>
    <t>日期码格式：ZURU INC(BVI) 标准格式                  日期：按实际生产日期
Packaging Info: 
"77858: 最新MA3L-23Lwarning EAN彩盒+MA蔬菜盒子贴纸+MA复合袋+MA23L说明书+MA5L收藏指南+C版WEEE声明(不带电池)走货欧洲通用29L说明书
EAN#4894680058729"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</si>
  <si>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4400555641</t>
  </si>
  <si>
    <t>4500201090-90</t>
  </si>
  <si>
    <t>4500202682</t>
  </si>
  <si>
    <t>R25654343377912</t>
  </si>
  <si>
    <t>4500202682-60</t>
  </si>
  <si>
    <t>IMPERIAL DISTRIBUTOR</t>
  </si>
  <si>
    <t>4500203270</t>
  </si>
  <si>
    <t>660860</t>
  </si>
  <si>
    <t>4500203270-30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</si>
  <si>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大货配比：产品配比按照MA标准配比执行。
GTIN:
15783UQ1-S002：101-93052-09969-0
15785-S001：101-93052-09946-1
77858-S001：101-93052-10023-5
77711GQ2-S002-NA：101-93052-08012-4
77673TQ1-S001：101-93052-07940-1</t>
  </si>
  <si>
    <t>Yvonne Feng</t>
  </si>
  <si>
    <t>4500203539</t>
  </si>
  <si>
    <t>0983717813</t>
  </si>
  <si>
    <t>4500203539-20</t>
  </si>
  <si>
    <t>0983717941</t>
  </si>
  <si>
    <t>4500203539-30</t>
  </si>
  <si>
    <t>0983717769</t>
  </si>
  <si>
    <t>4500203539-10</t>
  </si>
  <si>
    <t>0983718031</t>
  </si>
  <si>
    <t>4500203539-40</t>
  </si>
  <si>
    <t>AMBIENTAL PARAGUAY</t>
  </si>
  <si>
    <t>巴拉圭</t>
  </si>
  <si>
    <t>4500199984</t>
  </si>
  <si>
    <t>4500199984-50</t>
  </si>
  <si>
    <t>6/12截SI</t>
  </si>
  <si>
    <t>4/27进口商贴纸+UPC贴纸</t>
  </si>
  <si>
    <t>日期码格式：ZURU INC(BVI) 标准格式                  日期：按实际生产日期
Packaging Info: 77782GQ1:客版收缩膜+客版收藏指南+客版PDQ+进口商贴纸+箱唛，客版物料翻单PO 4500161302
15789UQ1:MA 多语 UPC包装+进口商贴纸+箱唛
15787:MA 多语 UPC包装+MOTHER UPC贴纸+进口商贴纸+箱唛
其余item:MA 多语包装+进口商贴纸+UPC贴纸+箱唛</t>
  </si>
  <si>
    <t>MID-STATES DISTRIBUTING, LLC</t>
  </si>
  <si>
    <t>1736153-99</t>
  </si>
  <si>
    <t>4500201308-760</t>
  </si>
  <si>
    <t>最晚6/30完货</t>
  </si>
  <si>
    <t>日期码格式：ZURU INC(BVI) 标准格式                  日期：按实际生产日期
Packaging Info: 1.使用 MA UPC版本包装，优先1L，出口美国。
Remark: 1.产品和包装上印刷tracking code信息，格式为ZURU常规。
2.ZURU QC验货</t>
  </si>
  <si>
    <t>Cara Li</t>
  </si>
  <si>
    <t>4500203137</t>
  </si>
  <si>
    <t>7BPCSNBW</t>
  </si>
  <si>
    <t>4500203137-50</t>
  </si>
  <si>
    <t>6/23截关</t>
  </si>
  <si>
    <t>5/29条码箱贴纸</t>
  </si>
  <si>
    <t>日期码格式：ZURU INC(BVI) 标准格式                  日期：按实际生产日期
Packaging Info:
#77858: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</si>
  <si>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4500202932</t>
  </si>
  <si>
    <t>8K1AN89K</t>
  </si>
  <si>
    <t>4500202932-140</t>
  </si>
  <si>
    <t>日期码格式：ZURU INC(BVI) 标准格式                  日期：按实际生产日期
Packaging Info: 
#77858: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</si>
  <si>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4500200933</t>
  </si>
  <si>
    <t>10001793010-3891</t>
  </si>
  <si>
    <t>4500200933-10</t>
  </si>
  <si>
    <t>6/24客上柜</t>
  </si>
  <si>
    <t>5/21条码箱贴纸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</si>
  <si>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产品和包装上均要印刷tracking code信息，格式为ZURU常规格式；
 2. 需要我司QC验货之后才能安排出货
 3. 出货方式：  货代自提</t>
  </si>
  <si>
    <t>卡塔尔</t>
  </si>
  <si>
    <t>4500202591</t>
  </si>
  <si>
    <t>4500202591-40</t>
  </si>
  <si>
    <t>7/5截单</t>
  </si>
  <si>
    <t>5/11进口商贴纸+黑白印刷的说明纸 所有AW翻单4500202382。</t>
  </si>
  <si>
    <t>日期码格式：ZURU INC(BVI) 标准格式 日期：按实际生产日期
Packaging Info: 出QATAR, 包装不能有希伯来语，带Slime（口水胶)的产品需寄2套MA样板到SZ办公室， 急需寄出给客户测试。
所有RBC的产品（内外）包装不能有彩虹。
所有包装含说明书，说明书上都需要有阿拉伯语（AR)， 或者带单独的阿拉伯语（AR)说明书出货。
77858:MA 1L PKG+进口商贴纸 (含G Mark, QR code, 阿拉伯警语); 贴纸上的QR code需微信可扫; 扫描结果另外通知； UPC条码显示193052100238；含MA说明书，
需加一张黑白印刷的说明纸一起出货， 所有AW翻单4500202382。
客人箱唛排版，印4面，条码内容193052100238
Remark:</t>
  </si>
  <si>
    <t>ESAL TRADING L.L.C.</t>
  </si>
  <si>
    <t>阿拉伯联合酋长国</t>
  </si>
  <si>
    <t>4500202382</t>
  </si>
  <si>
    <t>4500202382-40</t>
  </si>
  <si>
    <t xml:space="preserve">5/11进口商贴纸 </t>
  </si>
  <si>
    <t>电池警语黑白说明书</t>
  </si>
  <si>
    <t>日期码格式：ZURU INC(BVI) 标准格式 日期：按实际生产日期
Packaging Info: 出UAE, 包装不能有希伯来语，需备两套大货版寄到SZ办公室。
 所有RBC的产品（内外）包装上不能有彩虹。
 所有包装含说明书，说明书上都需要有阿拉伯语（AR)， 或者带单独的阿拉伯语（AR)说明书出货。
 77858:MA 1L PKG+进口商贴纸 (含G Mark, QR code, 阿拉伯警语); 贴纸上的QR code需微信可扫; 扫描结果另外通知； UPC条码显示193052100238；含MA说明书，
 需另外加一张电池警语黑白说明书sheet一起出货。
 客人箱唛排版，印4面，条码内容193052100238
Remark:</t>
  </si>
  <si>
    <r>
      <rPr>
        <sz val="10"/>
        <color rgb="FF0E2EF0"/>
        <rFont val="等线"/>
        <charset val="134"/>
      </rPr>
      <t>GIOCHI PREZIOSI E</t>
    </r>
    <r>
      <rPr>
        <sz val="10"/>
        <color rgb="FF0E2EF0"/>
        <rFont val="Times New Roman"/>
        <charset val="134"/>
      </rPr>
      <t>Ğ</t>
    </r>
    <r>
      <rPr>
        <sz val="10"/>
        <color rgb="FF0E2EF0"/>
        <rFont val="等线"/>
        <charset val="134"/>
      </rPr>
      <t>ITIMARAÇLARI TIC</t>
    </r>
  </si>
  <si>
    <t>土耳其</t>
  </si>
  <si>
    <t>4500204227</t>
  </si>
  <si>
    <t>085060</t>
  </si>
  <si>
    <t>4500204227-30</t>
  </si>
  <si>
    <t>5/22进口商贴纸（含客户条码）</t>
  </si>
  <si>
    <t>日期码格式：ZUR6166 ZUR6208 日期：
Packaging Info: 
77858: MA 1L PKG+进口商贴纸（含客户条码）+5L收藏指南+袋子+贴纸+5L说明书
工厂日期码 产品/包装/外箱请保持一致。
CRD 6/15,客户日期码: ZUR6166 包装/外箱请保持一致。
CRD 7/27,客户日期码为ZUR6208 包装/外箱请保持一致。
以下数量大货版请寄到如下地址：
4.77858: 4PCS 大货样
Attn: Sylvia Li
Company name: GP Services HK Limited
Company address: Suite 1502, 15th Floor, Chinachem Golden Plaza, 77 Mody Road, TST East, Kowloon, Hong Kong
Company address (Chinese): 香港九龍尖沙咀東部麼地道77號華懋廣場1502室
Contact Tel: +852 2739 5363
Remark: 77843GQ2:Ratio: PIZZA: HAMBURGER: PANCAKES: BUBBLE TEA: Matcha TEA: TACO: SUSHI: DONUT: Charcuterie Board: RAINBOW CAKE(Rare)=10.88%: 10.88%: 1
0.88%: 10.88%: 10.88%: 10.88%: 10.88%: 10.88%: 10.88%: 2.08%=68:68:68:68:68:68:68:68:68:13
77772GQ2:WITH 4PCS DEMO/PDQ
77773GQ2:WITH 4PCS DEMO/PDQ
77711GQ2:With 4pcs demo(14.6G)/PDQ
77673TQ1:Fixed Collection
92146TQ1:Cat:Raccoon:Deer:Tiger:Pigeon:Owl=1:1:1:1:1:1
92147:Black Cat:Owl:Axolotl:Unicorn:Bat:Bunny=1:1:1:1:1:1</t>
  </si>
  <si>
    <t>CRG</t>
  </si>
  <si>
    <t>哥斯达黎加</t>
  </si>
  <si>
    <t>4500205015</t>
  </si>
  <si>
    <t>4500205015-100</t>
  </si>
  <si>
    <t>5/18进口商贴纸+5/27 UPC贴纸</t>
  </si>
  <si>
    <t>日期码格式：ZURU INC(BVI) 标准格式                  日期：按实际生产日期
Packaging Info: 
71137/71101/71172/77843GQ2/77858:MA 多语包装+进口商贴纸+UPC贴纸+箱唛
Remark: 后续提供的进口商贴纸和UPC贴纸合并为一张的话，请忽略订单的UPC贴纸需求，产品的条码必须是UPC的</t>
  </si>
  <si>
    <t>KOTRYNA  GROUP,  UAB</t>
  </si>
  <si>
    <t>立陶宛</t>
  </si>
  <si>
    <t>4500206155</t>
  </si>
  <si>
    <t>4500206155-70</t>
  </si>
  <si>
    <t>5/21进口商贴纸</t>
  </si>
  <si>
    <t>日期码格式：ZURU INC(BVI) 标准格式 日期：按实际生产日期
Packaging Info: 77858：MA UPC 1L A 版彩盒+MA A版折起头卡+23L A版说明书MA复合袋+5L A版收藏指南，加进口商贴纸，
Remark: 1、若产品有比例使用ZURU STD 比例；
2、所有item的包装需要有CE logo，均用MA UPC 条码，若包装不是UPC 条码的请告知；
3、此单出欧洲需满足EU测试标准要求。含有闪粉类的产品，闪粉必须符合欧盟要求且可降解；电池产品（带电池/不带电池走货）需要添加WEEE通用说明书；
4、电池产品请确保使用新说明书以及新标识的电池以符合最新(EU)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</si>
  <si>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Sharon  Zhao</t>
  </si>
  <si>
    <t>CCD SELL OUT SERVICE SRL</t>
  </si>
  <si>
    <t>4500204934</t>
  </si>
  <si>
    <t>4500204934-10</t>
  </si>
  <si>
    <t>5/15进口商贴纸</t>
  </si>
  <si>
    <t>日期码格式：ZURU INC(BVI) 标准格式                  日期：按实际生产日期
Packaging Info: 77585：  最新MA3L(23L warning) EAN 彩盒+ MA5L收藏指南+MA23L 黑白说明书+进口商贴纸
Remark: 1. 此单出意大利，需要满足EU标准，通过ZURU验货即可；
 2. 产品均符合EU微塑料法规要求：不能含有微塑料/闪粉，BOB系列要符合欧洲要求不含亚硝酸版本;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</si>
  <si>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Jade Wang</t>
  </si>
  <si>
    <t>4500205936</t>
  </si>
  <si>
    <t>0983717916</t>
  </si>
  <si>
    <t>4500205936-30</t>
  </si>
  <si>
    <t>6/25自检</t>
  </si>
  <si>
    <t>5/22RFID贴纸</t>
  </si>
  <si>
    <t>日期码格式：ZURU DGYYMMDD CHINA(日期避开周末和法定节假日即可） 日期：按实际生产日期
Packaging Info: 1. 包装要求：
 77858：MA 1L A版 playset +MA 5L A版收藏指南+MA 23L A版说明书+MA A版纸袋+MA 贴纸
 Remark: 77843SLB-S001
 1. 包装要求：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字样；箱唛翻单：4500195615
 3. 在产品上和包装上要有日期码、以及要有MADE IN CHINA和ZURU字样；
 4. 产品如有扎带口要剪平，不能刮手。
 5. 此单需要验货，请多备料
 6. 此单以loose carton出货，2pcs/CTN
 9565SLB-S002</t>
  </si>
  <si>
    <t>0983717883</t>
  </si>
  <si>
    <t>4500205936-50</t>
  </si>
  <si>
    <t>0983717838</t>
  </si>
  <si>
    <t>4500205936-20</t>
  </si>
  <si>
    <t>6/30截SI</t>
  </si>
  <si>
    <t>0983718079</t>
  </si>
  <si>
    <t>4500205936-40</t>
  </si>
  <si>
    <t>COSTCO  WHOLESALE  CORPORATION</t>
  </si>
  <si>
    <t>001750601598</t>
  </si>
  <si>
    <t>4500199798-10</t>
  </si>
  <si>
    <t>77889SLT-S001-PRODBC</t>
  </si>
  <si>
    <t>6/30第三方验货</t>
  </si>
  <si>
    <t>客版彩盒+ 客版PDQ+客版操作指南+客版说明书</t>
  </si>
  <si>
    <t>日期码格式：ZURU INC(BVI) 标准格式 日期：按实际生产日期
Packaging Info: 客版包装: 客版彩盒+ 客版PDQ+客版操作指南+客版说明书 等其他内包材
Remark: 77889SLT：S001-PRODBC-MINI BRANDS-MAGIC COOK KITCHEN-SERIES 1-1PK PLAYSET S1 AND 1PK MIXER/1PK BLENDER S1 COMBO IN COLOR BOX,54PCS/DISPLAY/SLIP
SHEET
1. 所有日期码印在彩盒上，产品上也需要印日期码. 按实际生产日期，ZURU 标准版格式的日期码。
2. 客版包装: 客版彩盒+ 客版PDQ+客版操作指南+客版说明书 等其他内包材
3. 纸箱唛头：纸箱四面，正唛和背面两面都需印刷，其他2面侧面留空,按照箱唛要求排版。
4. 确保展示架在入外箱的时候一定要正面对着有印刷箱唛的那面,不可以装反。
5. 此单是首单出货数量1944pcs, 2026/6/5安排做10%抽版测试，最晚2026/6/22完成100%大货安排第三方验货
6. 大货样板:工厂需预留至少6整套测试样用于抽板+3pcs封样（1pc工厂留底待第三方验货使用+2pc寄深圳办公室，需给客人留底)+ 1pc大货样寄深圳办公室拍照用
注意: 首单10%货好时需要安排第三方抽板测试,一般需要7-10 working day 做测试, 当天ITS会在大货抽大货样,测试所需样品以及封样(第三方验货时要用). 大货
样需由工厂寄到深圳office, 由ZURU跟单再转寄美国客户.待工厂100%完货之后需安排第三方验货, 一般是在ZURU QC验完货之后安排第三方验货(需要同时拿到pass
测试报告方可进行).</t>
  </si>
  <si>
    <t>Cherish Yao</t>
  </si>
  <si>
    <t>77889SLT-S001</t>
  </si>
  <si>
    <t>4500200932</t>
  </si>
  <si>
    <t>10001793005-3890</t>
  </si>
  <si>
    <t>4500200932-10</t>
  </si>
  <si>
    <t>6/5条码箱贴纸</t>
  </si>
  <si>
    <t>4500199804</t>
  </si>
  <si>
    <t>4500199804-10</t>
  </si>
  <si>
    <t>日期码格式：ZURU INC(BVI) 标准格式 日期：按实际生产日期
Packaging Info:
Remark: 77889SLT：S001-PRODBC-MINI BRANDS-MAGIC COOK KITCHEN-SERIES 1-1PK PLAYSET S1 AND 1PK MIXER/1PK BLENDER S1 COMBO IN COLOR BOX,54PCS/DISPLAY/SLIP
SHEET
1. 所有日期码印在彩盒上，产品上也需要印日期码. 按实际生产日期，ZURU 标准版格式的日期码。
2. 客版包装: 客版彩盒+ 客版PDQ+客版操作指南+客版说明书 等其他内包材
3. 纸箱唛头：纸箱四面，正唛和背面两面都需印刷，其他2面侧面留空,按照箱唛要求排版。
4. 确保展示架在入外箱的时候一定要正面对着有印刷箱唛的那面,不可以装反。</t>
  </si>
  <si>
    <t xml:space="preserve"> COSTCO DE MEXICO S.A. DE C.V.</t>
  </si>
  <si>
    <r>
      <rPr>
        <b/>
        <sz val="11"/>
        <color rgb="FF0E2EF0"/>
        <rFont val="宋体"/>
        <charset val="134"/>
      </rPr>
      <t>7/6完成100%大货安排第三方验货</t>
    </r>
    <r>
      <rPr>
        <sz val="11"/>
        <color rgb="FF0E2EF0"/>
        <rFont val="宋体"/>
        <charset val="134"/>
      </rPr>
      <t>，此单需要监柜，工厂需要额外准备1套备品</t>
    </r>
  </si>
  <si>
    <t>6/13墨西哥贴纸+进口商贴纸</t>
  </si>
  <si>
    <t>6/8保证书</t>
  </si>
  <si>
    <t>日期码格式： ZURU INC(BVI) 标准格式 日期：按实际生产日期
Packaging Info: 客版彩盒+客版PDQ+客版说明书+墨西哥NOM黑白说明书+客版收藏指南+保证书+墨西哥包装贴纸+墨西哥产品贴纸，所有客版包装物料都必须是COSTCO多语版本（含西班牙语）
Remark: EDDIES001-PRODBC-MINI BRANDS-MAGIC COOK KITCHEN-SERIES 1-1PK PLAYSET S1 AND 1PK MIXER/1PK BLENDER S1 COMBO IN COLOR BOX,54PCS/DISPLAY/SLIP SHEE
T
1.产品/包装上都需要印日期码，按实际生产日期，ZURU 标准版格式的日期码
2. 纸箱唛头：纸箱四面，印刷2个正面，侧唛不印, 按照箱唛模板要求排版。
3. 确保展示架在入外箱的时候一定要正面对着有印刷箱唛的那面,不可以装反。
5. 大货样板:工厂需预留至少6整套测试样用于抽板+1pcs实验室封样工厂留底待第三方验货使用
6. 此单需要监柜，工厂需要额外准备1套备品。
7.77858: Including magnets
77789: Slime,clay,powder included,without borax
8.1PK 77858 MAGIC COOK KITCHEN PLAYSET+1PK 77789L MIXER+1PK 77789K BLENDER combo in color box
9.(1W*3D=3pcs/tray) * 6tray /layer *3H= 18 tray/pallet =54pcs/SLIP SHEET
10.3PCS AA BATTERIES(INCLUDED) AND 6PCS LR44 BATTERIES(INCLUDED), brand Duracell</t>
  </si>
  <si>
    <t xml:space="preserve"> Ava Liang</t>
  </si>
  <si>
    <t>77889SLT-S001-1</t>
  </si>
  <si>
    <t>4500202901</t>
  </si>
  <si>
    <t>4500202901-120</t>
  </si>
  <si>
    <t>6/26进口商贴纸和UPC贴
 纸/保证书翻单PO4500199969</t>
  </si>
  <si>
    <t>日期码格式：ZURU INC(BVI) 标准格式 日期：按实际生产日期
Packaging Info:
77673/77858/77773GQ2/77843GQ2/9574:MA 多语包装+进口商贴纸+价标贴纸+UPC 贴纸+保证书+箱唛，包装/说明书都需要贴一张进口商贴纸，进口商贴纸和UPC贴
纸/保证书翻单PO4500199969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</si>
  <si>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4500200614</t>
  </si>
  <si>
    <t>4500200614-60</t>
  </si>
  <si>
    <t>进口商贴纸/UPC贴纸翻单PO4500200402</t>
  </si>
  <si>
    <t>日期码格式：ZURU INC(BVI) 标准格式 日期：按实际生产日期
Packaging Info: 
77843GQ2/77858/77772GQ2/9565GQ1/9574/9296: MA多语包装+进口商贴纸+UPC贴纸+箱唛，进口商贴纸/UPC贴纸翻单PO4500200402
Remark: 如某个item的进口商贴纸和UPC贴纸合并为一张，请忽略UPC贴纸的需求，包装上的条码必须是UPC</t>
  </si>
  <si>
    <t>IMPORTACIONES PICCOLINO - JACOBO WI</t>
  </si>
  <si>
    <t>玻利维亚</t>
  </si>
  <si>
    <t>4500199743</t>
  </si>
  <si>
    <t>4500199743-80</t>
  </si>
  <si>
    <t>5/27 UPC贴纸</t>
  </si>
  <si>
    <t>日期码格式：ZURU INC(BVI) 标准格式                  日期：按实际生产日期
Packaging Info: 77782GQ1:客版收缩膜+客版收藏指南+客版PDQ+箱唛，无客户贴纸，客版物料翻单PO 4500161302
15749、15787:MA 多语包装+MOTHER UPC贴纸+箱唛
其余item：MA多语包装+UPC贴纸+箱唛</t>
  </si>
  <si>
    <t>SIPLEC</t>
  </si>
  <si>
    <t>4500201727</t>
  </si>
  <si>
    <t>1346748</t>
  </si>
  <si>
    <t>4500201727-100</t>
  </si>
  <si>
    <t>5/22客户贴纸(含LEC#+客人指定条码+客人指定日期码1346737-25）+额外收藏指南贴纸</t>
  </si>
  <si>
    <t>6/5客版黑白
收藏指南(含PT/PL/SI语言）+客人指定干燥剂</t>
  </si>
  <si>
    <t>日期码格式：1346737-26 日期：
Packaging Info: 
77858-S001: MA23L 警语EAN彩卡+客户贴纸(含客人指定条码+客人指定日期码1346737-26)+MA5L收藏指南+额外收藏指南黑白书纸(含PT/PL/SI语言）+MA23L电池说明
书+MA袋子+MA贴纸+WEEE不带电池出货最新版+客人指定干燥剂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</si>
  <si>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4500201774</t>
  </si>
  <si>
    <t>1346737</t>
  </si>
  <si>
    <t>4500201774-150</t>
  </si>
  <si>
    <t>5/22客户贴纸+额外收藏指南贴纸</t>
  </si>
  <si>
    <t>日期码格式：1346737-26 日期：
Packaging Info: 
77858-S001: MA23L 警语EAN彩卡+客户贴纸(含客人指定条码+客人指定日期码1346737-26)+MA5L收藏指南+额外收藏指南黑白书纸(含PT/PL/SI语言）+MA23L电池说明
书+MA袋子+MA贴纸+WEEE不带电池出货最新版+客人指定干燥剂
Remark: 1.预计6/24第三方验货+抽板测试，71126/71172 需每款抽板10-12套左右测试，请多备料；
2.交期前两周前准备好2套大货样给SIPLEC HK OFFICE / 实验室
3.指定日期码1346737-26
4.需在checkpoints上采购外箱贴纸, 跟单会通过邮件发送采购指引；.
5. #71152/71126/71137/9561/71172/9296/9574/9574/77858/77673TQ1 - 带电产品每箱放3包透明颗粒状干燥剂(每包约5g)，包干燥剂的袋子要有"SILICA GEL - D
O NOT EAT - DESSICANT - THROW AWAY " 字样；
6. 包装禁止使用PVC塑料；
7. 此票出法国，需符合EU标准及微塑料法规，包装需含法国回收logo；</t>
  </si>
  <si>
    <t>ARMY &amp; AIR FORCE EXCHANGE SERVICE</t>
  </si>
  <si>
    <t>4500206179</t>
  </si>
  <si>
    <t>0092593222</t>
  </si>
  <si>
    <t>4500206179-60</t>
  </si>
  <si>
    <t>6/2  4x6"UCC 贴纸</t>
  </si>
  <si>
    <t>日期码格式：ZURU INC(BVI) 标准格式                  日期：按实际生产日期
Packaging Info: 1. MA+UPC版包裝,优先1L，出口美国
Remark: 2. PO# 0092593216, 0092593219, 0092593222, 这3个订单外箱需要贴4x6"UCC 贴纸，只需贴一面（UCC贴纸为客供贴纸）。PO# 0092593217, 0092593221，这2个订
单外箱不需要UCC贴纸。
 3. ZURU QC 验货。
 4. 产品和包裝上需印刷tracking code信息，格式为ZURU常规。</t>
  </si>
  <si>
    <t>0092593221</t>
  </si>
  <si>
    <t>4500206179-70</t>
  </si>
  <si>
    <t>0092593219</t>
  </si>
  <si>
    <t>4500206179-80</t>
  </si>
  <si>
    <t>0092593216</t>
  </si>
  <si>
    <t>4500206179-90</t>
  </si>
  <si>
    <t>0092593217</t>
  </si>
  <si>
    <t>4500206179-100</t>
  </si>
  <si>
    <t>4500199806</t>
  </si>
  <si>
    <t>001790601476</t>
  </si>
  <si>
    <t>4500199806-10</t>
  </si>
  <si>
    <t>日期码格式：ZURU INC(BVI) 标准格式 日期：按实际生产日期
Packaging Info:
Remark: 77889SLT：S001-PRODBC-MINI BRANDS-MAGIC COOK KITCHEN-SERIES 1-1PK PLAYSET S1 AND 1PK MIXER/1PK BLENDER S1 COMBO IN COLOR BOX,54PCS/DISPLAY/SLIP
SHEET
1. 所有日期码印在彩盒上，产品上也需要印日期码. 按实际生产日期，ZURU 标准版格式的日期码。
2.客版包装: 客版彩盒+ 客版PDQ+客版操作指南+客版说明书 等其他内包材
3. 纸箱唛头：纸箱四面，正唛和背面两面都需印刷，其他2面侧面留空,按照箱唛要求排版。
4. 确保展示架在入外箱的时候一定要正面对着有印刷箱唛的那面,不可以装反。</t>
  </si>
  <si>
    <t>4500199805</t>
  </si>
  <si>
    <t>4500199805-10</t>
  </si>
  <si>
    <t>4500205041</t>
  </si>
  <si>
    <t>4500205041-110</t>
  </si>
  <si>
    <t>推期至7/13
此单有第三方监柜</t>
  </si>
  <si>
    <t>6/26UPC贴纸+进口商贴纸+5/14价标贴纸</t>
  </si>
  <si>
    <t>日期码格式：ZURU INC(BVI) 标准格式                  日期：按实际生产日期
Packaging Info:
71172/77858/9574:MA多语 包装+MA 多语说明书（含西语）+UPC贴纸+进口商贴纸+价标贴纸+保证书+箱唛，包装/说明书都需要贴一张进口商贴纸，进口商贴纸+UPC
贴纸+保证书翻单PO4500199969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</si>
  <si>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SALLING GROUP A/S</t>
  </si>
  <si>
    <t>丹麦</t>
  </si>
  <si>
    <t>4500203687</t>
  </si>
  <si>
    <t>4045728996</t>
  </si>
  <si>
    <t>4500203687-20</t>
  </si>
  <si>
    <t>日期码格式：ZURU INC(BVI) 标准格式                  日期：按实际生产日期
Packaging Info:
 2. 77858: MA A3L(23L warning) EAN版彩盒+MA A23L黑白电池说明书+MA A版收藏指南+WEEE_不带电池走货 _ 说明书欧洲EN+29L_C版
Remark: * 请准备1个40尺高柜的安全网，客人要求所有柜货需要加安全网出货，漏拉网会有罚款产生
 * #77858是新品，请在6/10寄两套大货样给客人留底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9574-S001:4894680057265
77858-S001:4894680058729</t>
  </si>
  <si>
    <t>4500203689</t>
  </si>
  <si>
    <t>4045802267</t>
  </si>
  <si>
    <t>4500203689-10</t>
  </si>
  <si>
    <t>日期码格式：ZURU INC(BVI) 标准格式                  日期：按实际生产日期
Packaging Info: 1. 77858：  MA A3L(23L warning) EAN版彩盒+MA A23L黑白电池说明书+MA A版收藏指南+WEEE_不带电池走货 _ 说明书欧洲EN+29L_C版
Remark: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77858-S001:4894680058729</t>
  </si>
  <si>
    <t>CANADIAN  TIRE</t>
  </si>
  <si>
    <t>4500207509</t>
  </si>
  <si>
    <t>01804976</t>
  </si>
  <si>
    <t>4500207509-20</t>
  </si>
  <si>
    <t>6/4UPC贴纸</t>
  </si>
  <si>
    <t>日期码格式：ZURU  INC(BVI)  标准格式                                    日期：按实际生产日期
Packaging Info: 77711GQ1:  MA  NA  2L  UPC
77858:  MA  3L，加UPC贴纸
15787：    MA  多语，加英法贴纸，英法贴纸翻单4500207214
9574：    MA  多语UPC版
92146：    MA  3L  ，加UPC贴纸
92147：MA  3L  ，加UPC贴纸
Remark: 出加拿大
Zuru验货. 日期跟踪码：产品外包装及产品本身都必须有日期跟踪码，ZURU标准格式日期码</t>
  </si>
  <si>
    <t>Bella  Tan</t>
  </si>
  <si>
    <t>4500207059</t>
  </si>
  <si>
    <t>0983717800</t>
  </si>
  <si>
    <t>4500207059-10</t>
  </si>
  <si>
    <t>日期码格式：ZURU INC(BVI) 标准格式                  日期：按实际生产日期
Packaging Info: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carton出货，2pcs/CTN</t>
  </si>
  <si>
    <t>0983717998</t>
  </si>
  <si>
    <t>4500207059-20</t>
  </si>
  <si>
    <r>
      <rPr>
        <sz val="9"/>
        <color rgb="FF0E2EF0"/>
        <rFont val="宋体"/>
        <charset val="134"/>
      </rPr>
      <t>箱唛翻单：</t>
    </r>
    <r>
      <rPr>
        <sz val="9"/>
        <color rgb="FF0E2EF0"/>
        <rFont val="STSong-Light"/>
        <charset val="134"/>
      </rPr>
      <t>4500195615</t>
    </r>
  </si>
  <si>
    <t>4500199807</t>
  </si>
  <si>
    <t>001790601477</t>
  </si>
  <si>
    <t>4500199807-10</t>
  </si>
  <si>
    <t>4500199809</t>
  </si>
  <si>
    <t>4500199809-10</t>
  </si>
  <si>
    <t>COSTCO WHOLESALE CANADA LTD</t>
  </si>
  <si>
    <t>4500199850</t>
  </si>
  <si>
    <t>005730331346</t>
  </si>
  <si>
    <t>4500199850-10</t>
  </si>
  <si>
    <t>6/25完成100%大货安排第三方验货</t>
  </si>
  <si>
    <t>日期码格式：ZURU INC(BVI) 标准格式 日期：按实际生产日期
Packaging Info: 客版包装: 客版彩盒+ 客版PDQ+客版收缩膜+客版操作指南+客版说明书+客版纸袋 等其他内包材
Remark: 77889SLT：S001-PRODBC-MINI BRANDS-MAGIC COOK KITCHEN-SERIES 1-1PK PLAYSET S1 AND 1PK MIXER/1PK BLENDER S1 COMBO IN COLOR BOX,54PCS/DISPLAY/SLIP
 SHEET
 1. 所有日期码印在彩盒上，产品上也需要印日期码. 按实际生产日期，ZURU 标准版格式的日期码。
 2. 客版包装: 客版彩盒+ 客版PDQ+客版收缩膜+客版操作指南+客版说明书+客版纸袋 等其他内包材
 3. 纸箱唛头：纸箱四面，正唛和背面两面都需印刷，其他2面侧面留空,按照箱唛要求排版。
 4. 确保展示架在入外箱的时候一定要正面对着有印刷箱唛的那面,不可以装反。
 5. 此单是首单出货数量1944pcs, 2026/6/11安排做10%抽版测试，最晚2026/6/26成100%大货安排第三方验货
 6. 大货样板:工厂需预留至少6整套测试样用于抽板+3pcs封样（1pc工厂留底待第三方验货使用+2pc寄深圳办公室，需给客人留底)+ 1pc大货样寄深圳办公室拍照用
 注意: 首单10%货好时需要安排第三方抽板测试,一般需要7-10 working day 做测试, 当天ITS会在大货抽大货样,测试所需样品以及封样(第三方验货时要用). 大货
 样需由工厂寄到深圳office, 由ZURU跟单再转寄客户.待工厂100%完货之后需安排第三方验货, 一般是在ZURU QC验完货之后安排第三方验货(需要同时拿到pass 测
 试报告方可进行).</t>
  </si>
  <si>
    <t>4500200936</t>
  </si>
  <si>
    <t>10001792860-3891</t>
  </si>
  <si>
    <t>4500200936-10</t>
  </si>
  <si>
    <t>6/8条码箱贴纸</t>
  </si>
  <si>
    <t>PRENATAL RETAIL GROUP SPAIN S.L.</t>
  </si>
  <si>
    <t>4500206580</t>
  </si>
  <si>
    <t>4500206580-60</t>
  </si>
  <si>
    <t>6/2进口商贴纸（含西班牙环保标）+一张产品贴纸</t>
  </si>
  <si>
    <t>6/2一张西/葡weee说明书纸</t>
  </si>
  <si>
    <t>日期码格式：LOT2626 日期：
Packaging Info:
6. 77858: 最新MA 3L EAN彩盒+最新MA 5L收藏指南+最新MA 23L说明书+一张进口商贴纸（含西班牙环保标）+一张产品贴纸+一张西/葡weee说明书纸
Remark: 1. 订单出欧洲国家-西班牙，产品不能含有闪粉/微塑料，请确保所有包装都有西班牙环保标。
2. 客人格式日期码 LOT2626，包装（含收缩膜等）/产品/外箱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</si>
  <si>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4500199811</t>
  </si>
  <si>
    <t>4500199811-10</t>
  </si>
  <si>
    <t>4500199810</t>
  </si>
  <si>
    <t>4500199810-10</t>
  </si>
  <si>
    <t>LLC  SALUS</t>
  </si>
  <si>
    <t>俄罗斯联邦</t>
  </si>
  <si>
    <t>4500206895</t>
  </si>
  <si>
    <t>4500206895-230</t>
  </si>
  <si>
    <t>6/9进口商贴纸+5/23QR code (一物一码)</t>
  </si>
  <si>
    <t>日期码格式：ZURU INC(BVI) 标准格式 日期：按实际生产日期
Packaging Info: MA UPC 包装+进口商贴纸+QR code (一物一码)+MA PDQ(如有）
配比：标准配比
包装上年龄需与进口商贴纸上的一致，若不一致需加上相对应的年龄贴纸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</si>
  <si>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  Zhang</t>
  </si>
  <si>
    <t>4500206895-510</t>
  </si>
  <si>
    <t>4500199814</t>
  </si>
  <si>
    <t>002880601243</t>
  </si>
  <si>
    <t>4500199814-10</t>
  </si>
  <si>
    <t>4500199817</t>
  </si>
  <si>
    <t>4500199817-10</t>
  </si>
  <si>
    <t>日期码格式：ZURU INC(BVI) 标准格式 日期：按实际生产日期
Packaging Info:
Remark: 77889SLT：S001-PRODBC-MINI BRANDS-MAGIC COOK KITCHEN-SERIES 1-1PK PLAYSET S1 AND 1PK MIXER/1PK BLENDER S1 COMBO IN COLOR BOX,54PCS/DISPLAY/SLIP
SHEET
1. 所有日期码印在彩盒上，产品上也需要印日期码. 按实际生产日期，ZURU 标准版格式的日期码。
2. 客版包装:客版包装: 客版彩盒+ 客版PDQ+客版操作指南+客版说明书 等其他内包材
3. 纸箱唛头：纸箱四面，正唛和背面两面都需印刷，其他2面侧面留空,按照箱唛要求排版。
4. 确保展示架在入外箱的时候一定要正面对着有印刷箱唛的那面,不可以装反。</t>
  </si>
  <si>
    <t>JUGATOYS S.L.</t>
  </si>
  <si>
    <t>4500209231</t>
  </si>
  <si>
    <t>4500209231-70</t>
  </si>
  <si>
    <t>6/11进口商EAN条码贴纸</t>
  </si>
  <si>
    <r>
      <rPr>
        <sz val="11"/>
        <color rgb="FF0E2EF0"/>
        <rFont val="宋体"/>
        <charset val="0"/>
      </rPr>
      <t>日期码格式：ZURU INC(BVI) 标准格式 日期：按实际生产日期 Tracking Code:
Packaging Info:  77858： 最新MA 3L EAN版本包装+1张进口商EAN条码贴纸+MA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1"/>
        <color rgb="FF000000"/>
        <rFont val="宋体"/>
        <charset val="0"/>
      </rPr>
      <t xml:space="preserve">care@zuru.com </t>
    </r>
    <r>
      <rPr>
        <sz val="11"/>
        <color rgb="FF0E2EF0"/>
        <rFont val="宋体"/>
        <charset val="0"/>
      </rPr>
      <t>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r>
  </si>
  <si>
    <t>4500199853</t>
  </si>
  <si>
    <t>5730331352</t>
  </si>
  <si>
    <t>4500199853-10</t>
  </si>
  <si>
    <t>日期码格式：ZURU INC(BVI) 标准格式                  日期：按实际生产日期
Remark: 77889SLT：S001-PRODBC-MINI BRANDS-MAGIC COOK KITCHEN-SERIES 1-1PK PLAYSET S1 AND 1PK MIXER/1PK BLENDER S1 COMBO IN COLOR BOX,54PCS/DISPLAY/SLIP
SHEET
 1. 所有日期码印在彩盒上，产品上也需要印日期码. 按实际生产日期，ZURU 标准版格式的日期码。
 2. 客版包装: 客版彩盒+ 客版PDQ+客版收缩膜+客版操作指南+客版说明书+客版纸袋 等其他内包材
 3. 纸箱唛头：纸箱四面，正唛和背面两面都需印刷，其他2面侧面留空,按照箱唛要求排版。
 4. 确保展示架在入外箱的时候一定要正面对着有印刷箱唛的那面,不可以装反。</t>
  </si>
  <si>
    <t>WALMART CENTRAL AMERICA</t>
  </si>
  <si>
    <t>萨尔瓦多</t>
  </si>
  <si>
    <t>4500206746</t>
  </si>
  <si>
    <t>5507192471</t>
  </si>
  <si>
    <t>4500206746-30</t>
  </si>
  <si>
    <t>拆一半数量给4500209692，总数不变</t>
  </si>
  <si>
    <t>翻单P04500205421  6/6 UPC 条码贴纸+客户进口商贴纸</t>
  </si>
  <si>
    <t>日期码格式：ZURU INC(BVI) 标准格式                  日期：按实际生产日期
Packaging Info: 
77858：MA 3L EAN 包装(+ UPC 条码贴纸)+客户进口商贴纸+箱唛
所有贴纸翻单P04500205421
Remark: 1.请注意产品包装条形码必须是UPC
2.无第三方验货</t>
  </si>
  <si>
    <t>Ever Li</t>
  </si>
  <si>
    <t>.</t>
  </si>
  <si>
    <t>4500209692-30</t>
  </si>
  <si>
    <t>4500206746拆单，总数不变</t>
  </si>
  <si>
    <t>6/6 UPC 条码贴纸+客户进口商贴纸</t>
  </si>
  <si>
    <r>
      <rPr>
        <sz val="11"/>
        <color rgb="FF0E2EF0"/>
        <rFont val="宋体"/>
        <charset val="0"/>
      </rPr>
      <t>日期码格式：ZURU INC(BVI) 标准格式</t>
    </r>
    <r>
      <rPr>
        <sz val="11"/>
        <color rgb="FF0E2EF0"/>
        <rFont val="宋体"/>
        <charset val="134"/>
      </rPr>
      <t xml:space="preserve">                  日期：按实际生产日期
Packaging Info:
77843GQ2：MA 3L EAN 包装(+ UPC 条码贴纸)+MA 3L PDQ包装+客户进口商贴纸+箱唛
77858：MA 3L EAN 包装(+ UPC 条码贴纸)+客户进口商贴纸+箱唛
所有贴纸翻单P04500205421
Remark: 1.请注意产品包装条形码必须是UPC
2.无第三方验货</t>
    </r>
  </si>
  <si>
    <t>WALMART CENTRAL AMERICA-CR</t>
  </si>
  <si>
    <t>4500206748</t>
  </si>
  <si>
    <t>4500206748-30</t>
  </si>
  <si>
    <t>翻单P04500205421  6/6UPC 条码贴纸+客户进口商贴纸</t>
  </si>
  <si>
    <t>WALMART CENTRAL AMERICA-GT</t>
  </si>
  <si>
    <t>4500205421</t>
  </si>
  <si>
    <t>4500205421-30</t>
  </si>
  <si>
    <t>日期码格式：ZURU INC(BVI) 标准格式 日期：按实际生产日期 Tracking Code:
Packaging Info:  77858：MA 3L EAN 包装(+ UPC 条码贴纸)+客户进口商贴纸+箱唛
Remark: 1.请注意产品包装条形码必须是UPC
 2.无第三方验货</t>
  </si>
  <si>
    <t>PLASTICOSUR S.A.</t>
  </si>
  <si>
    <t>4500209087</t>
  </si>
  <si>
    <t>4500209087-40</t>
  </si>
  <si>
    <t xml:space="preserve">日期码格式：ZURU INC(BVI) 标准格式                  日期：按实际生产日期
Remark: 
4.77858：最新MA 3L EAN版本包装+MA 23L 说明书+WEEE不带电池走货欧洲29L通用黑白说明书；
</t>
  </si>
  <si>
    <t>4500206634</t>
  </si>
  <si>
    <t>010520601404</t>
  </si>
  <si>
    <t>4500206634-10</t>
  </si>
  <si>
    <t>翻单4500199798</t>
  </si>
  <si>
    <t>日期码格式：ZURU INC(BVI) 标准格式                  日期：按实际生产日期
Remark: 77889SLT：S001-PRODBC-MINI BRANDS-MAGIC COOK KITCHEN-SERIES 1-1PK PLAYSET S1 AND 1PK MIXER/1PK BLENDER S1 COMBO IN COLOR BOX,54PCS/DISPLAY/SLIP
SHEET
 1. 所有日期码印在彩盒上，产品上也需要印日期码. 按实际生产日期，ZURU 标准版格式的日期码。
 2. 客版包装: 客版彩盒+ 客版PDQ+客版操作指南+客版说明书+ 等其他内包材
 3. 纸箱唛头：纸箱四面，正唛和背面两面都需印刷，其他2面侧面留空,按照箱唛要求排版。
 4. 确保展示架在入外箱的时候一定要正面对着有印刷箱唛的那面,不可以装反。</t>
  </si>
  <si>
    <t>4500206635</t>
  </si>
  <si>
    <t>010520601405</t>
  </si>
  <si>
    <t>4500206635-10</t>
  </si>
  <si>
    <t>AMAZON CA (VENDOR CENTER)</t>
  </si>
  <si>
    <t>4500206381</t>
  </si>
  <si>
    <t>7IOVLFBF</t>
  </si>
  <si>
    <t>4500206381-160</t>
  </si>
  <si>
    <t>6/16 SSCC Label</t>
  </si>
  <si>
    <t>邮包盒图稿翻单#4500192979</t>
  </si>
  <si>
    <t>日期码格式：ZURU INC(BVI) 标准格式                  日期：按实际生产日期
Packaging Info: 
#77858: STD 3L 版本77858带MA包装入邮包盒，邮包盒图稿翻单#4500192979。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</si>
  <si>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2VTIUAPE</t>
  </si>
  <si>
    <t>4500206381-170</t>
  </si>
  <si>
    <t>7G359N9K</t>
  </si>
  <si>
    <t>4500206381-180</t>
  </si>
  <si>
    <t>6H7R2I9M</t>
  </si>
  <si>
    <t>4500206381-190</t>
  </si>
  <si>
    <t>887X3ZAB</t>
  </si>
  <si>
    <t>4500206381-200</t>
  </si>
  <si>
    <t>8VSLCJOL</t>
  </si>
  <si>
    <t>4500206381-210</t>
  </si>
  <si>
    <t>633NFCFF</t>
  </si>
  <si>
    <t>4500206381-220</t>
  </si>
  <si>
    <t>6PWBX8MJ</t>
  </si>
  <si>
    <t>4500206381-230</t>
  </si>
  <si>
    <t>475J7GQZ</t>
  </si>
  <si>
    <t>4500206381-240</t>
  </si>
  <si>
    <t>4EJKLW6H</t>
  </si>
  <si>
    <t>4500206381-250</t>
  </si>
  <si>
    <t>4500209317</t>
  </si>
  <si>
    <t>4500209317-30</t>
  </si>
  <si>
    <t>7/13自检</t>
  </si>
  <si>
    <t>6/18 RFID</t>
  </si>
  <si>
    <t>日期码格式：ZURU INC(BVI) 标准格式                  日期：按实际生产日期
Packaging Info: 1. 包装要求：
77858：MA 1L A版 playset +MA 5L A版收藏指南+MA 23L A版说明书+MA A版纸袋+MA 贴纸
每pcs产品要贴一张RFID贴纸，RFID贴纸由ZURU提供，贴纸位置要严格按照客人签板
Remark: 1. 包装要求：
77843：MA 1L A版收缩膜+MA 5L A版收藏指南+MA 23L A版说明书+MA 5L A版纸袋+客版 1L A版PDQ，翻单：4500195609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字样；箱唛翻单：4500198137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77843此单以slip sheet出货，960pcs/60CTN/Slip sheet
 77858此单以loose carton出货，2pcs/CTN</t>
  </si>
  <si>
    <t>4500206330</t>
  </si>
  <si>
    <t>3KVS1Q2N</t>
  </si>
  <si>
    <t>4500206330-10</t>
  </si>
  <si>
    <t>日期码格式：ZURU INC(BVI) 标准格式                  日期：按实际生产日期
Packaging Info: 1. #77858: STD 3L 版本77858带MA包装入邮包盒，邮包盒图稿翻单#4500192979。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</si>
  <si>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6BXA121J</t>
  </si>
  <si>
    <t>4500206330-20</t>
  </si>
  <si>
    <t>6B6AADTD</t>
  </si>
  <si>
    <t>4500206330-30</t>
  </si>
  <si>
    <t>3QG2U2MG</t>
  </si>
  <si>
    <t>4500206330-40</t>
  </si>
  <si>
    <t>1Y5HVDTT</t>
  </si>
  <si>
    <t>4500206330-50</t>
  </si>
  <si>
    <t>1V7YETBV</t>
  </si>
  <si>
    <t>4500206330-60</t>
  </si>
  <si>
    <t>2R91RQGW</t>
  </si>
  <si>
    <t>4500206330-70</t>
  </si>
  <si>
    <t>13WRY27H</t>
  </si>
  <si>
    <t>4500206330-80</t>
  </si>
  <si>
    <t>64PNFLZO</t>
  </si>
  <si>
    <t>4500206381-150</t>
  </si>
  <si>
    <t>4500199854</t>
  </si>
  <si>
    <t>5710331295</t>
  </si>
  <si>
    <t>4500199854-10</t>
  </si>
  <si>
    <t>4500199855</t>
  </si>
  <si>
    <t>5710331296</t>
  </si>
  <si>
    <t>4500199855-10</t>
  </si>
  <si>
    <t>CENTROS COMERCIALES CARREFOUR S.A.</t>
  </si>
  <si>
    <t>4500203898</t>
  </si>
  <si>
    <t>43CHT26ESCA1083</t>
  </si>
  <si>
    <t>4500203898-30</t>
  </si>
  <si>
    <t xml:space="preserve"> 空白纸箱: 在正唛（只1面）加多虚线15 x 10.5 cm ( 高x 宽) 距箱左边2cm， 距箱底 3cm，虚线内1张外箱贴纸</t>
  </si>
  <si>
    <t>5/22外箱贴纸</t>
  </si>
  <si>
    <t>日期码格式：ZURU INC(BVI) 标准格式                  日期：按实际生产日期
Packaging Info: 
77858: MA23L EAN彩卡+MA5L收藏指南+MA23L电池说明书+MA袋子+MA贴纸+WEEE不带电池出货最新版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</si>
  <si>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Amber Zhang</t>
  </si>
  <si>
    <t>TARGET  US</t>
  </si>
  <si>
    <t>4500207477</t>
  </si>
  <si>
    <t>10001792858-3890</t>
  </si>
  <si>
    <t>4500207477-10</t>
  </si>
  <si>
    <t>6/5外箱贴纸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</si>
  <si>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产品和包装上均要印刷tracking  code信息，格式为ZURU常规格式；
   2.  需要我司QC验货之后才能安排出货
   3.  出货方式：     货代自提</t>
  </si>
  <si>
    <t>Holly  Zheng</t>
  </si>
  <si>
    <t>4500203860</t>
  </si>
  <si>
    <t>43CHT26ESCA1077</t>
  </si>
  <si>
    <t>4500203860-30</t>
  </si>
  <si>
    <t>4500203810</t>
  </si>
  <si>
    <t>43CHT26ESCA1071</t>
  </si>
  <si>
    <t>4500203810-30</t>
  </si>
  <si>
    <t>日期码格式：ZURU INC(BVI) 标准格式                  日期：按实际生产日期
Packaging Info:
77858：MA23L EAN彩卡+MA5L收藏指南+MA23L电池说明书+MA袋子+MA贴纸+WEEE不带电池出货最新版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</si>
  <si>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4500203934</t>
  </si>
  <si>
    <t>43CHT26ESCA1088</t>
  </si>
  <si>
    <t>4500203934-30</t>
  </si>
  <si>
    <t>日期码格式：ZURU INC(BVI) 标准格式                  日期：按实际生产日期
Packaging Info:
77858: MA23L EAN彩卡+MA5L收藏指南+MA23L电池说明书+MA袋子+MA贴纸+WEEE不带电池出货最新版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</si>
  <si>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MPO10407</t>
  </si>
  <si>
    <t>4500204202-00010-
20260710</t>
  </si>
  <si>
    <t>MPO10407-10</t>
  </si>
  <si>
    <t>周转箱</t>
  </si>
  <si>
    <t>Remark:
1.包装：77858(MEC417): MA 3L+23 警语 EAN (4894680058729) 彩盒，MA 5L收藏指南，MMA 内袋， MA贴纸，MA 23L ⿊⽩说明书+MA最新版WEEE_不带电池⾛货 _ 说明书
欧洲EN+
2. 订单的所有测试与样品要求以跟单的要求为准，且为了避免QC验货拆货来不及补货，请准备适量的贴纸和产品备品。此订单数量只作为⼤货⽣产，不包含样板与备品。
3.请贵司确保交货数量准确，与收货⽅交收清楚，如收货⽅提出任何异常，请⽴即安排处理解决。
4.关于混装展⽰架，各⼯⼚交⼦件到最终⺟件⼯⼚时，务必要 "带卡板出+围好围膜"。 如果没按要求的，请各⼯⼚⾃⾏安排⼈⼿卸货。</t>
  </si>
  <si>
    <t>Kico Zang/Amber Zhang</t>
  </si>
  <si>
    <t>NASA PANAMA</t>
  </si>
  <si>
    <t>巴拿马</t>
  </si>
  <si>
    <t>4500206390</t>
  </si>
  <si>
    <t>05712-LNV-FALL</t>
  </si>
  <si>
    <t>4500206390-130</t>
  </si>
  <si>
    <t>自行核对</t>
  </si>
  <si>
    <t>6/9 UPC 贴纸</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</si>
  <si>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 71137 2PCS AAA BATTERIES(NOT INCLUDED) 1 ASSORMENT
71126 3PCS AAA BATTERIES(NOT INCLUDED) ONE ASSORMENT
77843GQ2 SUSHI and RAINBOW CAKE(Rare) without batteries, other assortments: 3PCS AG13 BATTERIES(INCLUDED) Ratio: PIZZA: HAMBURGER: PANCAKES: BUB
BLE TEA:  Matcha TEA: TACO: SUSHI: DONUT: Charcuterie Board: RAINBOW CAKE(Rare)=10.88%: 10.88%: 10.88%: 10.88%: 10.88%: 10.88%: 10.88%: 10.88%:
  10.88%: 2.08%=68:68:68:68:68:68:68:68:68:13
77772GQ2  4  mini vinyls,1 accessory
15789UQ1  7 Assortments; Rare assortment 1/24, others even ratio, others even ratio
15788  6 Assortments; Even ratio
15787  6 Assortments; Even ratio
9574 3PCS AAA BATTERIES(NOT INCLUDED) 2pcs baby capybara: 3pcs baby capybara= 5:1
9548 3PCS AAA BATTERIES(NOT INCLUDED) 1 assorment
9298TQ1  7 assortment (6 common + 1 rare)=CORGI(Rare):SHEPHERD:POODLE:DALMATIAN:SCHNAUZER:BROWN DALNATIAN:HOUND DOG=2:8:10:10:10:10:10;
92104TQ1  MUNCHKIN(RARE): HIMALAYAN: PERSIAN: MAINE COON: RAGDOLL: RAGAMUFFIN: NORWEGIAN FOREST CAT = 2: 8: 10: 10: 10: 10: 10
92146  Cat:Raccoon:Deer:Tiger:Pigeon:Owl=1:1:1:1:1:1
9283  Kitten:Bunny:Puppy:Cow:Elephant:Flamingo=1:1:1:1:1:1;
92125  6 Assortments,siamese cat:pink-white cat:purple cat:black cat:brown-white cat:orange cat=1:1:1:1:1:1, no rare.
92147  Black Cat:Owl:Axolotl:Unicorn:Bat:Bunny=1:1:1:1:1:1
92106  92106A RHINO:92106D KOALA:92106B ELEPHANT=1:1:1</t>
  </si>
  <si>
    <t>Aimee Huang</t>
  </si>
  <si>
    <t>4500206637</t>
  </si>
  <si>
    <t>4500206637-10</t>
  </si>
  <si>
    <t>FREDMEYER INC</t>
  </si>
  <si>
    <t>4500209247</t>
  </si>
  <si>
    <t>4500209247-20</t>
  </si>
  <si>
    <t>日期码格式：ZURU INC(BVI) 标准格式                  日期：按实际生产日期
Packaging Info: 1、包装方式：MA UPC优先1L最新版，出口美国
Remark: 2、无测试与第三方验货要求
 3、纸箱4面印ZURU LOGO + 箱唛
 4、日期码请按ZURU标准版执行即可
 5、ZURU QC验货</t>
  </si>
  <si>
    <t>Vicky Wu</t>
  </si>
  <si>
    <t>4500206638</t>
  </si>
  <si>
    <t>4500206638-10</t>
  </si>
  <si>
    <t>TOYNOVA GMBH</t>
  </si>
  <si>
    <t>4500207479</t>
  </si>
  <si>
    <t>BEZUR2605</t>
  </si>
  <si>
    <t>4500207479-100</t>
  </si>
  <si>
    <t>6/4空白贴纸覆盖亚马逊款号+EAN条码贴纸(含客户款号)+地址贴</t>
  </si>
  <si>
    <t>日期码格式：ZURU INC(BVI) 标准格式                  日期：按实际生产日期
Packaging Info:
  77858: 客版邮包盒(参考翻单PO#4500192979)+空白贴纸覆盖亚马逊款号+EAN条码贴纸(含客户款号)+MA 3L(23L warning EAN)A 透明PVC窗彩盒+MA 23L warning A
  电池黑白说明书+MA 5L A收藏指南+MA其它最新配套包装++WEEE 不带电池走货D版 通用29L说明书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
6.如产品含INNER BOX, INNER 需要四面印刷产品条码"</t>
  </si>
  <si>
    <t>Winnie Zhong</t>
  </si>
  <si>
    <t>4500199856</t>
  </si>
  <si>
    <t>4500199856-10</t>
  </si>
  <si>
    <t>4500199857</t>
  </si>
  <si>
    <t>10340331155</t>
  </si>
  <si>
    <t>4500199857-10</t>
  </si>
  <si>
    <t>4500204061</t>
  </si>
  <si>
    <t>4500204061-10</t>
  </si>
  <si>
    <t>日期码格式：LOT2627                  日期：
Packaging Info: 1. 77858: 最新MA 3L EAN彩盒+最新MA 5L收藏指南+最新MA 23L说明书+一张进口商贴纸+一张产品贴纸+一张法语weee说明书纸，都翻4500199651
Remark: 1. 大货样品2套/item，用于客人验货签板。验货后还会抽办1套/item，请多备料；
 2. 客版日期码LOT2627,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所有带电产品请复核跟单是否有提供客人指定内容的WEEE说明书（不是通用29L版本）；如果做了客版说明书，则会将weee说明加进客版说明书中
 8. 此客户需要第三方验货，请在约三方验货前必须PASS ZURU验货。</t>
  </si>
  <si>
    <t>4500206641</t>
  </si>
  <si>
    <t>4500206641-10</t>
  </si>
  <si>
    <t>4500206639</t>
  </si>
  <si>
    <t>4500206639-10</t>
  </si>
  <si>
    <t>4500209321</t>
  </si>
  <si>
    <t>4500209321-40</t>
  </si>
  <si>
    <t>日期码格式：ZURU INC(BVI) 标准格式                  日期：按实际生产日期
Packaging Info: 1. 包装要求：
77858：MA 1L A版 playset +MA 5L A版收藏指南+MA 23L A版说明书+MA A版纸袋+MA 贴纸
每pcs产品要贴一张RFID贴纸，RFID贴纸由ZURU提供，贴纸位置要严格按照客人签板
Remark: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字样；箱唛翻单：4500198137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77858此单以loose carton出货，2pcs/CTN</t>
  </si>
  <si>
    <t>WAVE DISTRIBUTION GMBH</t>
  </si>
  <si>
    <t>22010000274053</t>
  </si>
  <si>
    <t>4500202230-60</t>
  </si>
  <si>
    <t>ZURU FRANCE 地址贴</t>
  </si>
  <si>
    <t>日期码格式：ZURU INC(BVI) 标准格式                  日期：按实际生产日期
Packaging Info:
77858: 最新MA 3L+23警语EAN包装+5L收藏指南+23L说明书+欧洲通用30L B版或29L WEEE说明书(带电池)
Remark: 1. 需要满足Zuru Standard欧洲标准测试要求,微塑料需符合法规；；
 2. 请准时出货，推期会有罚款；
 3.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4. 所有出往GAS市场(德国/奥地利/瑞士)的电子产品需增加一张欧洲通用WEEE声明说明书，区分带电池和不带电池版本, 如已做客版说明书可忽略此要求。
 5. 所有出往GAS市场(德国/奥地利/瑞士)订单，化学品需无堋无香版本
 6. 标准配比
 7. 大货样品3套，请多备料</t>
  </si>
  <si>
    <t>Shirley Zhou</t>
  </si>
  <si>
    <t>CMS FAMOUS TOYS</t>
  </si>
  <si>
    <t>PO0001902</t>
  </si>
  <si>
    <t>4500210024-50</t>
  </si>
  <si>
    <t>5/31UPC贴纸+6/8进口商贴纸</t>
  </si>
  <si>
    <r>
      <rPr>
        <sz val="11"/>
        <color rgb="FF0E2EF0"/>
        <rFont val="宋体"/>
        <charset val="0"/>
      </rPr>
      <t>日期码格式：ZURU INC(BVI) 标准格式</t>
    </r>
    <r>
      <rPr>
        <sz val="11"/>
        <color rgb="FF0E2EF0"/>
        <rFont val="宋体"/>
        <charset val="134"/>
      </rPr>
      <t xml:space="preserve">                  日期：按实际生产日期
Packaging Info:
77858: MA 3L 加UPC贴纸
Remark: 出加拿大
每款产品都需要加进口商贴纸，进口商贴纸翻单4500200392
Zuru验货. 日期跟踪码：产品外包装及产品本身都必须有日期跟踪码，ZURU标准格式日期码</t>
    </r>
  </si>
  <si>
    <t>4500206645</t>
  </si>
  <si>
    <t>4500206645-10</t>
  </si>
  <si>
    <t>4500206643</t>
  </si>
  <si>
    <t>4500206643-10</t>
  </si>
  <si>
    <t>4500199858</t>
  </si>
  <si>
    <t>5710331297</t>
  </si>
  <si>
    <t>4500199858-10</t>
  </si>
  <si>
    <t>4500207482</t>
  </si>
  <si>
    <t>10001793011-3891</t>
  </si>
  <si>
    <t>4500207482-10</t>
  </si>
  <si>
    <t>条码箱贴纸，用4500200936重复订购的库存</t>
  </si>
  <si>
    <t>4500203225</t>
  </si>
  <si>
    <t>4500203225-110</t>
  </si>
  <si>
    <t>6/8 UPC 贴纸</t>
  </si>
  <si>
    <t xml:space="preserve">日期码格式：ZURU INC(BVI) 标准格式                  日期：按实际生产日期
Packaging Info: 1.优先多语 MA UPC或者3L/5L MA EAN 包装
2.请确保包装上的条形码是UPC，如果是babyUPC、需要用mother UPC覆盖，如有不一致，请及时提出。谢谢!
77858 MA 多语EAN 包装+UPC 贴纸+MA 多语说明书/+MA 多语收藏指南+箱唛
Remark: 
77858 3PCS AA BATTERIES(NOT INCLUDED)
</t>
  </si>
  <si>
    <t>4500203798</t>
  </si>
  <si>
    <t>43CHT26ESCA1064</t>
  </si>
  <si>
    <t>4500203798-20</t>
  </si>
  <si>
    <t>日期码格式：ZURU INC(BVI) 标准格式                  日期：按实际生产日期
Packaging Info:
77858:MA23L EAN彩卡+MA5L收藏指南+MA23L电池说明书+MA袋子+MA贴纸+WEEE不带电池出货最新版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</si>
  <si>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4500206646</t>
  </si>
  <si>
    <t>4500206646-10</t>
  </si>
  <si>
    <t>4500206648</t>
  </si>
  <si>
    <t>4500206648-10</t>
  </si>
  <si>
    <t>CARLOS FEDERSPIEL &amp; CIA. - UNIVERSA</t>
  </si>
  <si>
    <t>4500203841</t>
  </si>
  <si>
    <t>4500203841-60</t>
  </si>
  <si>
    <t>6/17进口商贴纸+UPC贴纸</t>
  </si>
  <si>
    <t>日期码格式：ZURU INC(BVI) 标准格式 日期：按实际生产日期
Packaging Info: 
 其余item：MA 多语包装+进口商贴纸+UPC贴纸+箱唛</t>
  </si>
  <si>
    <t>4500199859</t>
  </si>
  <si>
    <t>760331067</t>
  </si>
  <si>
    <t>4500199859-10</t>
  </si>
  <si>
    <t>4500206651</t>
  </si>
  <si>
    <t>4500206651-10</t>
  </si>
  <si>
    <t>4500206650</t>
  </si>
  <si>
    <t>4500206650-10</t>
  </si>
  <si>
    <t>4500199860</t>
  </si>
  <si>
    <t>5730331353</t>
  </si>
  <si>
    <t>4500199860-10</t>
  </si>
  <si>
    <t>MCD BRANDS SAS</t>
  </si>
  <si>
    <t>乌拉圭</t>
  </si>
  <si>
    <t>4500208189</t>
  </si>
  <si>
    <t>4500208189-70</t>
  </si>
  <si>
    <t>6/18进口商贴纸+条码贴纸</t>
  </si>
  <si>
    <t>日期码格式：ZURU INC(BVI) 标准格式                  日期：按实际生产日期
Packaging Info: 77858/77772GQ1/77794UQ1/9548/92106:MA 多语包装+进口商贴纸+条码贴纸+箱唛
Remark: 1.进口商贴纸请多备料5pcs,出货后需要寄给客户留底
2.如后续提供的贴纸文档中进口商贴纸和条码贴纸合并为一张，可忽略条码贴纸的需求</t>
  </si>
  <si>
    <t>CENTRO CUESTA NACIONAL</t>
  </si>
  <si>
    <t>多米尼加共和国</t>
  </si>
  <si>
    <t>4500199185</t>
  </si>
  <si>
    <t>26-1075555JDO</t>
  </si>
  <si>
    <t>4500199185-10</t>
  </si>
  <si>
    <t>6/24进口商贴纸+UPC贴纸</t>
  </si>
  <si>
    <t>日期码格式：ZURU INC(BVI) 标准格式                  日期：
Packaging Info: 157117UQ1、15787:MA 多语包装+MOTHER UPC贴纸+进口商贴纸+箱唛
其余item：MA 多语包装+进口商贴纸+UPC贴纸+箱唛
Remark: 1.进口商贴纸内容会显示日期码为:2026-07，包装/产品/外箱可按照ZURU标准日期码，无需跟回进口商贴纸上的日期码。
2.所有item包装上的条码必须是UPC，如果已将进口商贴纸和UPC条码合并到一张，则不需再订购UPC贴纸，仅订购一张进口商贴纸即可。</t>
  </si>
  <si>
    <t>Grace Zhang</t>
  </si>
  <si>
    <t>4500206653</t>
  </si>
  <si>
    <t>4500206653-10</t>
  </si>
  <si>
    <t>4500206652</t>
  </si>
  <si>
    <t>4500206652-10</t>
  </si>
  <si>
    <t>COSTCO WHOLESALE UK LTD</t>
  </si>
  <si>
    <t>4500206719</t>
  </si>
  <si>
    <t>199-9576-668&amp;
195-0005-344</t>
  </si>
  <si>
    <t>4500206719-10</t>
  </si>
  <si>
    <t>6/5UK客版警语说明书+UK客版电池说明书</t>
  </si>
  <si>
    <t>日期码格式：ZURU INC(BVI) 标准格式 日期：按实际生产日期 Tracking Code:
Packaging Info: 客版包装: 客版彩盒+ 客版PDQ+客版收缩膜+playset客版收藏指南+收缩膜客版收藏指南+UK客版警语说明书+UK客版电池说明书+MA纸袋
 所有包装 除了UK客版警语说明书+UK客版电池说明书额外提供新稿外 其他包装全部翻Costco 美国最新的包装
 1PK 77858 MAGIC COOK KITCHEN PLAYSET+1PK 77789L MIXER+1PK 77789K BLENDER combo in color box
 199-9576-668：1728pcs 4500206719-1（首单）
 195-0005-344 ：216 pcs 4500206719-1（首单）
 199-9576-671 ：1782pcs 4500206719-2
 195-0005-345 ：162 pcs 4500206719-2
 199-9576-674 4500206719-3
Remark: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 此单首单出货数量1944pcs（即第一行订单）, 2026/6/30安排做10%抽版测试(工厂需要完成最少4座数量,即216PCS)，最晚2026/7/17完成100%大货安排第三方验
 货.
 5. 大货样板:工厂需预留至少6整套测试样用于抽板+3pcs封样（1pc工厂留底待第三方验货使用+2pc寄深圳办公室，需给客人留底)+ 1pc大货样寄深圳办公室拍照用
 注意: 首单10%货好时需要安排第三方抽板测试,一般需要7-10 working day 做测试, 当天ITS会在大货抽大货样,测试所需样品以及封样(第三方验货时要用). 大货
 样需由工厂寄到深圳office, 由ZURU跟单再转寄客户.待工厂100%完货之后需安排第三方验货, 一般是在ZURU QC验完货之后安排第三方验货(需要拿到pass
 报告方可进行).</t>
  </si>
  <si>
    <t>77889SLT-S001-PRODBC-1</t>
  </si>
  <si>
    <t>CORPORACION FAVORITA C.A.</t>
  </si>
  <si>
    <t>厄瓜多尔</t>
  </si>
  <si>
    <t>4500198493</t>
  </si>
  <si>
    <t>26-1075554JEC</t>
  </si>
  <si>
    <t>4500198493-10</t>
  </si>
  <si>
    <t>5/24进口商贴纸+UPC贴纸</t>
  </si>
  <si>
    <t>日期码格式：ZURU INC(BVI) 标准格式                  日期：
Packaging Info: 157117UQ1、15787：MA 多语包装+MOTHER UPC贴纸+进口商贴纸+箱唛
其余item：MA 多语包装+进口商贴纸+UPC贴纸+箱唛
Remark: 1.进口商贴纸内容会显示日期码为:2026-07，包装/产品/外箱可按照ZURU标准日期码，无需跟回进口商贴纸上的日期码。
2.所有item包装上的条码必须是UPC，如果已将进口商贴纸和UPC条码合并到一张，则不需再订购UPC贴纸，仅订购一张进口商贴纸即可。</t>
  </si>
  <si>
    <t>4500204396</t>
  </si>
  <si>
    <t>5LVCFZHH</t>
  </si>
  <si>
    <t>4500204396-240</t>
  </si>
  <si>
    <t>日期码格式：ZURU INC(BVI) 标准格式                  日期：按实际生产日期
Packaging Info: 
#77858: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</si>
  <si>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COSTCO  WHOLESALE  SPAIN,  S.L.U.</t>
  </si>
  <si>
    <t>4500208477</t>
  </si>
  <si>
    <t>5510075780</t>
  </si>
  <si>
    <t>4500208477-10</t>
  </si>
  <si>
    <t>日期码格式：ZURU INC(BVI) 标准格式 日期：按实际生产日期 Tracking Code:
Packaging Info: 客版包装: 客版彩盒+ 客版PDQ+客版收缩膜+playset客版收藏指南+收缩膜客版收藏指南+UK客版警语说明书+UK客版电池说明书+MA纸袋
 所有包装 除了UK客版警语说明书+UK客版电池说明书额外提供新稿外 其他包装全部翻Costco 美国最新的包装
 1PK 77858 MAGIC COOK KITCHEN PLAYSET+1PK 77789L MIXER+1PK 77789K BLENDER combo in color box
 Customer PO ORDER QTY PO# (45#)
5510075780 864 4500208477-1
5510075781 864 4500208477-2
Remark: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 此单首单出货数量864pcs（即第一行订单）, 2026/6/30安排做10%抽版测试(工厂需要完成最少2座数量,即108PCS).
5. 大货样板:工厂需预留至少6整套测试样用于抽板+2套寄深圳办公室，需寄给客人留底</t>
  </si>
  <si>
    <t>Sherry  Lu</t>
  </si>
  <si>
    <t>AMAZON.COM  SERVICES  LLC</t>
  </si>
  <si>
    <t>4500205973</t>
  </si>
  <si>
    <t>38Y57SLL</t>
  </si>
  <si>
    <t>4500205973-130</t>
  </si>
  <si>
    <t>6/26  SSCC Label</t>
  </si>
  <si>
    <t>邮包盒图稿翻单4500192979新资料</t>
  </si>
  <si>
    <t>日期码格式：ZURU INC(BVI) 标准格式 日期：按实际生产日期
Packaging Info: #77858: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</si>
  <si>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</si>
  <si>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4500207830</t>
  </si>
  <si>
    <t>10001793006-3890</t>
  </si>
  <si>
    <t>4500207830-10</t>
  </si>
  <si>
    <t>6/29 SSCC Label</t>
  </si>
  <si>
    <t>日期码格式：ZURU INC(BVI) 标准格式                  日期：按实际生产日期
Packaging Info: 77858：产品包装 MA 1L 彩盒；
77843GQ2：产品包装 MA 1L 收缩膜+MA 5L收藏指南+MA 23L黑白警告语说明书+MA 1L PDQ；
77772GQ5：产品包装MA 1L 收缩膜+MA 5L 收藏指南+MA 23L 组装说明+客版PDQ；客版PDQ翻单4500189603；
77794UQ1：产品包装 MA 1L黑白警告语说明书+MA 1L 彩盒+MA 1L PDQ+锂电池标签纸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77843GQ2：
 1. 77843GQ2-S002-MINI BRANDS-KAWAII KITCHEN-SERIES 1-CAPSULE,WITH DEMO,25PCS/GRAVITY PDQ,25PCS/PDQ/CTN;
 2. 产品包装 MA 1L 收缩膜+MA 5L收藏指南+MA 23L黑白警告语说明书+MA 1L PDQ; 收缩膜上的UPC显示193052099105;
Ratio: PIZZA: HAMBURGER: PANCAKES: BUBBLE TEA:  Matcha TEA: TACO: SUSHI: DONUT: Charcuterie Board: RAINBOW CAKE(Rare)=10.88%: 10.88%: 10.88%: 10
.88%: 10.88%: 10.88%: 10.88%: 10.88%: 10.88%: 2.08%=68:68:68:68:68:68:68:68:68:13
3. 外箱正唛左上角位置粘贴条码箱贴纸，每箱只贴一张，由ZURU订购。来料贴纸上显示的客户DPCI: 086-02-5137, UPC显示10193052099102;
77772GQ5：
1.77772GQ5-S001-MINI BRANDS-VINYL-SERIES 1-CAPSULE,WITH DEMO,25PCS/GRAVITY PDQ,25PCS/PDQ/CTN;
2.产品包装MA 1L 收缩膜+MA 5L 收藏指南+MA 23L 组装说明+客版PDQ；客版PDQ翻单4500189603；收缩膜上的UPC显示193052090065;
 4  mini vinyls(1 Target US Exclusive),1 accessory;
 3. 外箱正唛左上角位置粘贴条码箱贴纸，每箱只贴一张，由ZURU订购。来料贴纸上显示的客户DPCI# 086-02-8931, UPC显示10193052090062;
77794UQ1：
1.77794UQ1-S002-MINI BRANDS-VINYL-PLAYSET-SERIES 1-CUBE,8PCS/PDQ,8PCS/PDQ/CTN;
 2. 产品包装 MA 1L黑白警告语说明书+MA 1L 彩盒+MA 1L PDQ; 彩盒上的UPC显示193052090409;
 3. 外箱正唛左上角位置粘贴条码箱贴纸，每箱只贴一张，由ZURU订购。来料贴纸上显示的客户DPCI# 086-02-4085, UPC显示10193052090406;
 4. 带锂电池出货，需在外箱正面或者侧面合适位置上加贴一张贴锂电池标签纸，由工厂订购
以上Items：
 1. 产品和包装上均要印刷tracking code信息，格式为ZURU常规格式；
 2. 需要我司QC验货之后才能安排出货
 3. 出货方式：  货代自提</t>
  </si>
  <si>
    <t>4500208877</t>
  </si>
  <si>
    <t>4500208877-10</t>
  </si>
  <si>
    <t>4500208878</t>
  </si>
  <si>
    <t>4500208878-10</t>
  </si>
  <si>
    <t>4500199861</t>
  </si>
  <si>
    <t>10340331156</t>
  </si>
  <si>
    <t>4500199861-10</t>
  </si>
  <si>
    <t>JUGUETES PANRE S.L.</t>
  </si>
  <si>
    <t>4500209512</t>
  </si>
  <si>
    <t>4500209512-40</t>
  </si>
  <si>
    <t>6/17进口商贴纸</t>
  </si>
  <si>
    <t>日期码格式：ZURU INC(BVI) 标准格式                  日期：按实际生产日期
Packaging Info: 71172:【最新MA 3L EAN版本包装+一张进口商内容贴纸】+最新MA 15L说明书+WEEE带电池走货欧洲29L通用黑白说明书；
9574:【最新MA 3L EAN版本包装+一张进口商内容贴纸】+最新MA 5L说明书+WEEE不带电池走货欧洲29L通用黑白说明书；
77785：最新客版彩盒+一张进口商和条码贴纸；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77858：最新MA 3L EAN版本包装+一张进口商贴纸+MA 23L 说明书+WEEE不带电池走货欧洲29L通用黑白说明书；
77843SK1:【MA 3L EAN版本包装+一张进口商贴纸（含西班牙环保标)】+MA 收藏指南+MA 23L说明书+MA 3L 展示架+WEEE带电池走货欧洲29L通用黑白说明书；
15783UQ1:【最新MA 5L包装+一张进口商贴纸+一张EAN条码贴纸】+MA PDQ；
92147：最新MA 3L EAN版本包装+一张进口商贴纸；
77772SK1：最新MA 3L EAN包装+一张进口商贴纸+MA收藏指南/说明书+MA 3L SK；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t>
  </si>
  <si>
    <t>JUGUETES PASTOR S.L.</t>
  </si>
  <si>
    <t>4500206343-50</t>
  </si>
  <si>
    <t>日期码格式：ZURU INC(BVI) 标准格式                  日期：按实际生产日期
Packaging Info: 5.77858：最新MA 3L EAN版本包装+MA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6.此单需要准备两套MA样板，需要在5/30前寄出；</t>
  </si>
  <si>
    <t>4500208879</t>
  </si>
  <si>
    <t>4500208879-10</t>
  </si>
  <si>
    <t>4500208880</t>
  </si>
  <si>
    <t>4500208880-10</t>
  </si>
  <si>
    <t>TOYS "R" US – JAPAN, LTD</t>
  </si>
  <si>
    <t>日本</t>
  </si>
  <si>
    <t>4500204657</t>
  </si>
  <si>
    <t>46:0003201821</t>
  </si>
  <si>
    <t>4500204657-10</t>
  </si>
  <si>
    <t>6/18日语警语贴纸</t>
  </si>
  <si>
    <t>6/22说明书</t>
  </si>
  <si>
    <t>日期码格式： ZURU INC(BVI) 标准格式 日期：按实际生产日期
Packaging Info: 77858：MA UPC PKG+1张日语警语贴纸（贴彩盒）+1张6+年龄贴纸（覆盖彩盒上原本的3+）+客版说明书
77843：MA UPC PKG+1张日语警语贴纸（贴球底部）+客版说明书Remark: 1.新款需测试：请每款安排寄3 套成品到SGS 实验室安排测试，每套成品需包含所有assorment，测试pass 后才能出货。大货样需严格跟到测试样。
2. 请多备几个外箱出货，避免外箱到仓库后出现破损情况。
3. 此单出日本，需符合日本市场测试要求
77843GQ2:Ratio: PIZZA: HAMBURGER: PANCAKES: BUBBLE TEA: Matcha TEA: TACO: SUSHI: DONUT: Charcuterie Board: RAINBOW CAKE(Rare)=10.88%: 10.88%: 1
0.88%: 10.88%: 10.88%: 10.88%: 10.88%: 10.88%: 10.88%: 2.08%=68:68:68:68:68:68:68:68:68:13</t>
  </si>
  <si>
    <t>Lillian Li</t>
  </si>
  <si>
    <t>47:0003201822</t>
  </si>
  <si>
    <t>4500204657-30</t>
  </si>
  <si>
    <t>4500203219</t>
  </si>
  <si>
    <t>05737-BOD-04FALL</t>
  </si>
  <si>
    <t>4500203219-50</t>
  </si>
  <si>
    <t>6/23 UPC 条码贴纸</t>
  </si>
  <si>
    <t xml:space="preserve">日期码格式：ZURU INC(BVI) 标准格式                  日期：按实际生产日期
Packaging Info: 1.优先多语 MA UPC或者3L/5L MA EAN 包装
2.请确保包装上的条形码是UPC，如果是babyUPC、需要用mother UPC覆盖，如有不一致，请及时提出。谢谢!
77794UQ1 MA多语EAN包装+UPC贴纸+MA 多语说明书+MA多语收藏指南+MA 多语PDQ +进口商贴纸+箱唛
3 .MA PDQ 优先用3L,MA 只有1L版本的情况下就用1L PDQ
4.此单MA 3L UPC/EAN 包装（EAN 包装需要用UPC贴纸覆盖）+箱唛
Remark: 
77858 3PCS AA BATTERIES(NOT INCLUDED)
</t>
  </si>
  <si>
    <t>4500212618</t>
  </si>
  <si>
    <t>0983717988</t>
  </si>
  <si>
    <t>4500212618-10</t>
  </si>
  <si>
    <t>7/27自检</t>
  </si>
  <si>
    <t>7/1 RFID</t>
  </si>
  <si>
    <t>日期码格式：ZURU INC(BVI) 标准格式                  日期：按实际生产日期
Packaging Info: 1. 包装要求：
77858：MA 1L A版 playset +MA 5L A版收藏指南+MA 23L A版说明书+MA A版纸袋+MA 贴纸
每pcs产品要贴一张RFID贴纸，RFID贴纸由ZURU提供，贴纸位置要严格按照客人签板
Remark: 77858-S002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字样；箱唛翻单：4500195615
 3. 在产品上和包装上要有日期码、以及要有MADE IN CHINA和ZURU字样；
 4. 产品如有扎带口要剪平，不能刮手。
 5. 此单需要验货，请多备料
 6. 此单以loose carton出货，2pcs/CTN</t>
  </si>
  <si>
    <t>BOSCOV'S DEPARTMENT STORE,LLC</t>
  </si>
  <si>
    <t>4500209005</t>
  </si>
  <si>
    <t>4500209005-30</t>
  </si>
  <si>
    <t>6/9价格贴纸+6/26 UCC LABEL</t>
  </si>
  <si>
    <t>日期码格式：ZURU INC(BVI) 标准格式                  日期：按实际生产日期
Packaging Info: 1.包装：ZURU MA UPC 最新版本包装+价格贴纸(价贴位于产品包装背面右下角，跟单提供价贴资料，工厂采购）；出口美国 , 优先1L，可接受多语 。
Remark: 2. 日期跟踪码：产品包装及产品本身都必须有日期跟踪码，并且确保两者的日期跟踪码要一致；ZURU标准格式日期码(请自行调整具体年月日生产期，但不能为周末
  )。
3.外箱贴纸：  每个外箱除了印刷箱唛信息外，还需加贴一张UCC LABEL,贴纸尺寸4''*6''；  垂直貼在外箱一面正唛(箱子最長的那面)的右下角并与箱边保持距离约3
CM。UCC Label 由跟单提供，工厂直接贴，每一张UCC Label都是唯一且有不同流水及条码的,没有损耗,绝对不可以贴错.
4.出货配比：
#77711GQ2-S001-NA-MINI BRANDS-FILL THE FRIDGE-SERIES 1-CAPSULE,WITH DEMO,25PCS/GRAVITY PDQ,50PCS/2PDQ/CTN
#77673TQ1-S002-MINI BRANDS-FILL THE FRIDGE PLAYSET-SERIES 1-SHRINK WRAP,4PCS/PDQ,16PCS/4PDQ/CTN
Ratio---Fixed Collection
#77858-S001-MINI BRANDS-MAGIC COOK KITCHEN PLAYSET-SERIES 1-WINDOW BOX,3PCS/CTN
#77772GQ2-S001-MINI BRANDS-VINYL-SERIES 1-CAPSULE,WITH DEMO,25PCS/GRAVITY PDQ,50PCS/2PDQ/CTN
Ratio---4  mini vinyls,1 accessory
#77843GQ2-S001-MINI BRANDS-KAWAII KITCHEN-SERIES 1-CAPSULE,WITH DEMO,25PCS/GRAVITY PDQ,50PCS/2PDQ/CTN
Ratio---PIZZA: HAMBURGER: PANCAKES: BUBBLE TEA:  Matcha TEA: TACO: SUSHI: DONUT: Charcuterie Board: RAINBOW CAKE(Rare)=10.88%: 10.88%: 10.88%: 1
0.88%: 10.88%: 10.88%: 10.88%: 10.88%: 10.88%: 2.08%=68:68:68:68:68:68:68:68:68:13
#77770GQ2-S001-MINI BRANDS-FASHION-SERIES 4-CAPSULE,WITH DEMO,25PCS/GRAVITY PDQ,50PCS/2PDQ/CTN
#9298TQ1-S001-RAINBOCORNS-PUPPYCORN SURPRISE-SERIES 8 SCENT SURPRISE PLUSH SMALL,3FACING 6PCS/PDQ,12PCS/2PDQ//CTN
Ratio---7 assortment (6 common + 1 rare)=CORGI(Rare):SHEPHERD:POODLE:DALMATIAN:SCHNAUZER:BROWN DALNATIAN:HOUND DOG=2:8:10:10:10:10:10;</t>
  </si>
  <si>
    <t>Summer Mo</t>
  </si>
  <si>
    <t>4500199862</t>
  </si>
  <si>
    <t>5710331298</t>
  </si>
  <si>
    <t>4500199862-10</t>
  </si>
  <si>
    <t>4500208882</t>
  </si>
  <si>
    <t>4500208882-10</t>
  </si>
  <si>
    <t>4500208881</t>
  </si>
  <si>
    <t>4500208881-10</t>
  </si>
  <si>
    <r>
      <rPr>
        <sz val="11"/>
        <color rgb="FF0E2EF0"/>
        <rFont val="宋体"/>
        <charset val="0"/>
      </rPr>
      <t>AMAZON</t>
    </r>
    <r>
      <rPr>
        <sz val="12"/>
        <color rgb="FF0E2EF0"/>
        <rFont val="宋体"/>
        <charset val="134"/>
        <scheme val="minor"/>
      </rPr>
      <t xml:space="preserve">  CA  (VENDOR  CENTER)</t>
    </r>
  </si>
  <si>
    <t>4500208726</t>
  </si>
  <si>
    <t>1WYWYQAY</t>
  </si>
  <si>
    <t>4500208726-10</t>
  </si>
  <si>
    <t>7/7 SSCC Label</t>
  </si>
  <si>
    <r>
      <rPr>
        <sz val="11"/>
        <color rgb="FF0E2EF0"/>
        <rFont val="宋体"/>
        <charset val="0"/>
      </rPr>
      <t>日期码格式：ZURU</t>
    </r>
    <r>
      <rPr>
        <sz val="11"/>
        <color rgb="FF0E2EF0"/>
        <rFont val="宋体"/>
        <charset val="134"/>
      </rPr>
      <t xml:space="preserve">  INC(BVI)  标准格式                                    日期：按实际生产日期
Packaging Info: #77858:  STD  3L  版本77858带MA包装入邮包盒，邮包盒图稿翻单#4500192979。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r>
  </si>
  <si>
    <r>
      <rPr>
        <sz val="11"/>
        <color rgb="FF0E2EF0"/>
        <rFont val="Arial"/>
        <charset val="0"/>
      </rPr>
      <t>Kelly</t>
    </r>
    <r>
      <rPr>
        <sz val="10"/>
        <color rgb="FF0E2EF0"/>
        <rFont val="等线"/>
        <charset val="134"/>
      </rPr>
      <t xml:space="preserve">  Shen</t>
    </r>
  </si>
  <si>
    <t>1BJSH37G</t>
  </si>
  <si>
    <t>4500208726-20</t>
  </si>
  <si>
    <t>19E9Q6VO</t>
  </si>
  <si>
    <t>4500208726-30</t>
  </si>
  <si>
    <t>15DYE6PH</t>
  </si>
  <si>
    <t>4500208726-40</t>
  </si>
  <si>
    <t>3PSHD08M</t>
  </si>
  <si>
    <t>4500208726-50</t>
  </si>
  <si>
    <t>29J1EVCY</t>
  </si>
  <si>
    <t>4500208726-60</t>
  </si>
  <si>
    <t>6ICIPHKK</t>
  </si>
  <si>
    <t>4500208726-70</t>
  </si>
  <si>
    <t>4OK1ZWBT</t>
  </si>
  <si>
    <t>4500208726-80</t>
  </si>
  <si>
    <t>4WFB18HE</t>
  </si>
  <si>
    <t>4500208726-90</t>
  </si>
  <si>
    <t>8BLCT87L</t>
  </si>
  <si>
    <t>4500208726-100</t>
  </si>
  <si>
    <t>4500209083</t>
  </si>
  <si>
    <t>8UDSPBMB</t>
  </si>
  <si>
    <t>4500209083-10</t>
  </si>
  <si>
    <t>8BF3UQFB</t>
  </si>
  <si>
    <t>4500209083-20</t>
  </si>
  <si>
    <t>7RBYWRWR</t>
  </si>
  <si>
    <t>4500209083-30</t>
  </si>
  <si>
    <t>54OJT4YX</t>
  </si>
  <si>
    <t>4500209083-40</t>
  </si>
  <si>
    <t>7BG58GES</t>
  </si>
  <si>
    <t>4500209083-50</t>
  </si>
  <si>
    <t>244DK9KV</t>
  </si>
  <si>
    <t>4500209083-60</t>
  </si>
  <si>
    <t>7GZF1RYL</t>
  </si>
  <si>
    <t>4500209083-70</t>
  </si>
  <si>
    <t>2YC3HL7H</t>
  </si>
  <si>
    <t>4500209083-80</t>
  </si>
  <si>
    <r>
      <rPr>
        <sz val="11"/>
        <color rgb="FF0E2EF0"/>
        <rFont val="宋体"/>
        <charset val="0"/>
      </rPr>
      <t>AMAZON</t>
    </r>
    <r>
      <rPr>
        <sz val="12"/>
        <color rgb="FF0E2EF0"/>
        <rFont val="宋体"/>
        <charset val="134"/>
        <scheme val="minor"/>
      </rPr>
      <t xml:space="preserve">  UK</t>
    </r>
  </si>
  <si>
    <t>4500209704</t>
  </si>
  <si>
    <t>3PQWTD1L</t>
  </si>
  <si>
    <t>4500209704-10</t>
  </si>
  <si>
    <t>6/18 SSCC Label</t>
  </si>
  <si>
    <t>6/5客版邮包盒</t>
  </si>
  <si>
    <r>
      <rPr>
        <sz val="11"/>
        <color rgb="FF0E2EF0"/>
        <rFont val="宋体"/>
        <charset val="0"/>
      </rPr>
      <t>日期码格式：ZURU</t>
    </r>
    <r>
      <rPr>
        <sz val="11"/>
        <color rgb="FF0E2EF0"/>
        <rFont val="宋体"/>
        <charset val="134"/>
      </rPr>
      <t xml:space="preserve">  INC(BVI)  标准格式                                    日期：按实际生产日期
Packaging Info: Amazon  UK：3PQWTD1L/5DUFVPTZ
UK(77858/77555/77486/9543AE)
   1.  77858:1pc  77858  playset  into  mailbox,  3mailboxes/ctn;  Including  magnets;  3PCS  AA  BATTERIES(NOT  INCLUDED);  MA  3L(23L  warning  EAN)A  透明PVC窗彩
盒+MA  23L  warning  A  电池黑白说明书+MA  5L  A收藏指南+MA其它最新配套包装+客版邮包盒(参考翻单Amazon  US  PO#4500192979)+WEEE_不带电池走货 _  说明书欧洲
   EN+29L_C版
   5.  最晚验货时间7/23
   6.  77858验货时需要将产品六面图，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</si>
  <si>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r>
      <rPr>
        <sz val="11"/>
        <color rgb="FF0E2EF0"/>
        <rFont val="Arial"/>
        <charset val="0"/>
      </rPr>
      <t>Crystal</t>
    </r>
    <r>
      <rPr>
        <sz val="10"/>
        <color rgb="FF0E2EF0"/>
        <rFont val="等线"/>
        <charset val="134"/>
      </rPr>
      <t xml:space="preserve">  Chen</t>
    </r>
  </si>
  <si>
    <t>LLC SALUS</t>
  </si>
  <si>
    <t>4500211508-20</t>
  </si>
  <si>
    <t>7/6 进口商贴纸+6/25 QR 贴纸(一物一码)</t>
  </si>
  <si>
    <r>
      <rPr>
        <sz val="11"/>
        <color rgb="FF0E2EF0"/>
        <rFont val="宋体"/>
        <charset val="0"/>
      </rPr>
      <t>日期码格式：ZURU INC(BVI) 标准格式</t>
    </r>
    <r>
      <rPr>
        <sz val="11"/>
        <color rgb="FF0E2EF0"/>
        <rFont val="宋体"/>
        <charset val="134"/>
      </rPr>
      <t xml:space="preserve">                  日期：按实际生产日期
Packaging Info: 最新MA UPC包装+进口商贴纸+QR 贴纸（一物一码）
条码：独立款必须用独立款的条码，不可以用混装的条码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r>
  </si>
  <si>
    <t>Anna Lian</t>
  </si>
  <si>
    <r>
      <rPr>
        <sz val="11"/>
        <color rgb="FF0E2EF0"/>
        <rFont val="宋体"/>
        <charset val="0"/>
      </rPr>
      <t>JUGUETIBICI,</t>
    </r>
    <r>
      <rPr>
        <sz val="12"/>
        <color rgb="FF0E2EF0"/>
        <rFont val="宋体"/>
        <charset val="134"/>
        <scheme val="minor"/>
      </rPr>
      <t xml:space="preserve">  S.A.  DE  C.V.</t>
    </r>
  </si>
  <si>
    <t>4500209903</t>
  </si>
  <si>
    <t>4500209903-50</t>
  </si>
  <si>
    <t>此单有监柜，每款请多备1pc样板用于监装</t>
  </si>
  <si>
    <t>7/2 UPC 贴纸+进口商贴纸</t>
  </si>
  <si>
    <t>7/3保证书</t>
  </si>
  <si>
    <r>
      <rPr>
        <sz val="11"/>
        <color rgb="FF0E2EF0"/>
        <rFont val="宋体"/>
        <charset val="0"/>
      </rPr>
      <t>日期码格式：ZURU</t>
    </r>
    <r>
      <rPr>
        <sz val="11"/>
        <color rgb="FF0E2EF0"/>
        <rFont val="宋体"/>
        <charset val="134"/>
      </rPr>
      <t xml:space="preserve">  INC(BVI)  标准格式                                    日期：按实际生产日期
Packaging Info: 77673/77858：MA  3L  EAN包装+UPC  贴纸+进口商贴纸+保证书+箱唛
Remark: 1.  此单有监柜，每款请多备1pc样板用于监装</t>
    </r>
  </si>
  <si>
    <r>
      <rPr>
        <sz val="11"/>
        <color rgb="FF0E2EF0"/>
        <rFont val="Arial"/>
        <charset val="0"/>
      </rPr>
      <t>Ever</t>
    </r>
    <r>
      <rPr>
        <sz val="10"/>
        <color rgb="FF0E2EF0"/>
        <rFont val="等线"/>
        <charset val="134"/>
      </rPr>
      <t xml:space="preserve">  Li</t>
    </r>
  </si>
  <si>
    <t>GS TIENDAS DEPARTAMENTALES, S.A. DE</t>
  </si>
  <si>
    <t>4500207499</t>
  </si>
  <si>
    <t>4500207499-50</t>
  </si>
  <si>
    <t>每款需要多备1pc监柜样板用于监装</t>
  </si>
  <si>
    <t>6/30 UPC 条码贴纸+进口商贴纸</t>
  </si>
  <si>
    <t>日期码格式：ZURU INC(BVI) 标准格式                  日期：按实际生产日期
Packaging Info: 71152/71172/77858/9574/92146：MA 3L EAN 包装(+ UPC 条码贴纸)+进口商贴纸+箱唛
Remark: 客户有监装要求，每款需要各准备1pc监柜样板</t>
  </si>
  <si>
    <t>SANBORN HERMANOS, S. A. DE C. V.</t>
  </si>
  <si>
    <t>4500207643</t>
  </si>
  <si>
    <t>4500207643-40</t>
  </si>
  <si>
    <t>6/30UPC 条码贴纸+进口商贴纸</t>
  </si>
  <si>
    <t>日期码格式：ZURU INC(BVI) 标准格式                  日期：按实际生产日期
Packaging Info: 
77673/77858: MA 3L EAN包装(+UPC 条码贴纸)+进口商贴纸+箱唛
Remark: 客户有监装要求，每款需要多备1pc监柜样板用于监装，监柜样板要和大货一致</t>
  </si>
  <si>
    <t>4500205996</t>
  </si>
  <si>
    <t>6BNMVQVK</t>
  </si>
  <si>
    <t>4500205996-210</t>
  </si>
  <si>
    <t>7/15 SSCC Label</t>
  </si>
  <si>
    <t>6IG51MEM</t>
  </si>
  <si>
    <t>4500205996-220</t>
  </si>
  <si>
    <t>4500207834</t>
  </si>
  <si>
    <t>10001792795-3891</t>
  </si>
  <si>
    <t>4500207834-10</t>
  </si>
  <si>
    <t>7/3 SSCC Label</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</si>
  <si>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</si>
  <si>
    <t>4500208883</t>
  </si>
  <si>
    <t>4500208883-10</t>
  </si>
  <si>
    <t>4500208884</t>
  </si>
  <si>
    <t>4500208884-10</t>
  </si>
  <si>
    <t>日期码格式：ZURU INC(BVI) 标准格式                  日期：按实际生产日期
Remark: 77889SLT：S001-PRODBC-MINI BRANDS-MAGIC COOK KITCHEN-SERIES 1-1PK PLAYSET S1 AND 1PK MIXER/1PK BLENDER S1 COMBO IN COLOR BOX,54PCS/DISPLAY/SLIP
SHEET
 1. 所有日期码印在彩盒上，产品上也需要印日期码. 按实际生产日期，ZURU 标准版格式的日期码。
 2. 客版包装: 客版彩盒+ 客版PDQ+客版操作指南+客版说明书+ 等其他内包材
 3. 纸箱唛头：纸箱四面，正唛和背面两面都需印刷，其他2面侧面留空,按照箱唛要求排版。
 4. 确保展示架在入外箱的时候一定要正面对着有印刷箱唛的那面,不可以装反.</t>
  </si>
  <si>
    <t>4500208885</t>
  </si>
  <si>
    <t>4500208885-10</t>
  </si>
  <si>
    <t>4500208886</t>
  </si>
  <si>
    <t>4500208886-10</t>
  </si>
  <si>
    <t>4500208416</t>
  </si>
  <si>
    <t>4500208416-80</t>
  </si>
  <si>
    <t>日期码格式：ZURU INC(BVI) 标准格式                  日期：按实际生产日期
Packaging Info: 
 8. 77858: MA A3L(23L warning) EAN版彩盒+MA A23L黑白电池说明书+MA A版收藏指南+WEEE_不带电池走货 _ 说明书欧洲EN+29L_C版
Remark: * 请准备2个40尺高柜的安全网，客人要求所有柜货需要加安全网出货，漏拉网会有罚款产生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77673TQ1-S001:4894680042773
92106-S001-NB:4894680033702
92147-S001:4894680058941
92146TQ1-S002:4894680058934
92125-S001:4894680046306
77711GQ1-S002-INT:4894680043350
9574-S001:4894680057265
77858-S001:4894680058729</t>
  </si>
  <si>
    <t>4500199863</t>
  </si>
  <si>
    <t>5730331354</t>
  </si>
  <si>
    <t>4500199863-10</t>
  </si>
  <si>
    <t>199-9576-671&amp;
195-0005-345</t>
  </si>
  <si>
    <t>4500206719-20</t>
  </si>
  <si>
    <t>4500208887</t>
  </si>
  <si>
    <t>4500208887-10</t>
  </si>
  <si>
    <t>4500208888</t>
  </si>
  <si>
    <t>4500208888-10</t>
  </si>
  <si>
    <t>4500199864</t>
  </si>
  <si>
    <t>5710331299</t>
  </si>
  <si>
    <t>4500199864-10</t>
  </si>
  <si>
    <t>4500208889</t>
  </si>
  <si>
    <t>4500208889-10</t>
  </si>
  <si>
    <t>4500208890</t>
  </si>
  <si>
    <t>4500208890-10</t>
  </si>
  <si>
    <t>AMIC TRADING (PTY) LTD</t>
  </si>
  <si>
    <t>南非</t>
  </si>
  <si>
    <t>4500211850</t>
  </si>
  <si>
    <t>6006-013628</t>
  </si>
  <si>
    <t>4500211850-50</t>
  </si>
  <si>
    <t>6/12通用进口商贴纸</t>
  </si>
  <si>
    <r>
      <rPr>
        <sz val="11"/>
        <color rgb="FF0E2EF0"/>
        <rFont val="宋体"/>
        <charset val="0"/>
      </rPr>
      <t>日期码格式：ZURU INC(BVI) 标准格式</t>
    </r>
    <r>
      <rPr>
        <sz val="11"/>
        <color rgb="FF0E2EF0"/>
        <rFont val="宋体"/>
        <charset val="134"/>
      </rPr>
      <t xml:space="preserve">                  日期：按实际生产日期
Packaging Info:
77858/9574：  MA 1L 彩盒，MA 说明书 + 1 张通用进口商贴纸（贴彩盒背面空白处，不遮挡日期码）
Remark：</t>
    </r>
  </si>
  <si>
    <t>6006-013524</t>
  </si>
  <si>
    <t>4500211803-10</t>
  </si>
  <si>
    <t>6/11进口商贴纸</t>
  </si>
  <si>
    <r>
      <rPr>
        <sz val="11"/>
        <color rgb="FF0E2EF0"/>
        <rFont val="宋体"/>
        <charset val="0"/>
      </rPr>
      <t>日期码格式：ZURU INC(BVI) 标准格式</t>
    </r>
    <r>
      <rPr>
        <sz val="11"/>
        <color rgb="FF0E2EF0"/>
        <rFont val="宋体"/>
        <charset val="134"/>
      </rPr>
      <t xml:space="preserve">                  日期：按实际生产日期
Packaging Info: MA 1L 彩盒+1张进口商贴纸（贴背面空白处，不得遮挡日期码）  ，MA 说明书
Remark:</t>
    </r>
  </si>
  <si>
    <t>5510075781</t>
  </si>
  <si>
    <t>4500208477-20</t>
  </si>
  <si>
    <t>4500211567</t>
  </si>
  <si>
    <t>219385774</t>
  </si>
  <si>
    <t>4500211567-10</t>
  </si>
  <si>
    <r>
      <rPr>
        <sz val="11"/>
        <color rgb="FF0E2EF0"/>
        <rFont val="宋体"/>
        <charset val="0"/>
      </rPr>
      <t>日期码格式：ZURU INC(BVI) 标准格式</t>
    </r>
    <r>
      <rPr>
        <sz val="11"/>
        <color rgb="FF0E2EF0"/>
        <rFont val="宋体"/>
        <charset val="134"/>
      </rPr>
      <t xml:space="preserve">                  日期：
Packaging Info: 1.   产品MA UPC包装（优先1L）出美国
  2.  客人指定箱唛排版
Remark: 1.出货前 Zuru QC 验货</t>
    </r>
  </si>
  <si>
    <t>219385775</t>
  </si>
  <si>
    <t>4500211567-20</t>
  </si>
  <si>
    <t>4500201522</t>
  </si>
  <si>
    <t>4500201522-10</t>
  </si>
  <si>
    <t>箱唛同PO4500196797</t>
  </si>
  <si>
    <t>日期码格式：2073026                  日期：
Packaging Info: MA23L EAN彩盒+额外贴纸(翻4500196797)+MA 袋子+MA贴纸+ML 5L收藏指南+MA23L说明书+1张额外的客版黑白说明书((翻4500196797)
Remark: 1.此票无需客户验货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3.出口法国请确保产品符合EU微塑料法规，包装需显示法国回收logo;</t>
  </si>
  <si>
    <t>SWATOW PUERTO RICO CORP.</t>
  </si>
  <si>
    <t>4500210980</t>
  </si>
  <si>
    <t>1800133013</t>
  </si>
  <si>
    <t>4500210980-20</t>
  </si>
  <si>
    <r>
      <rPr>
        <sz val="11"/>
        <color rgb="FF0E2EF0"/>
        <rFont val="宋体"/>
        <charset val="0"/>
      </rPr>
      <t>日期码格式：ZURU INC(BVI) 标准格式</t>
    </r>
    <r>
      <rPr>
        <sz val="11"/>
        <color rgb="FF0E2EF0"/>
        <rFont val="宋体"/>
        <charset val="134"/>
      </rPr>
      <t xml:space="preserve">                  日期：按实际生产日期
Packaging Info: 77858/77772GQ2/77794UQ1/15786UQ1/15789UQ1 - ZURU MA  （首选多语UPC/1L可以接受）UPC包装
MB139: ZURU MA  （首选多语UPC/1L可以接受）UPC包装 + UPC 贴
手工单 PO#K33013X
Remark: 2. 产品和包装上印刷tracking code信息，格式为ZURU常规
 3. 外箱需要印ZURU LOGO, 箱唛资料由跟单提供
 4. ZURU 验货通过后便可出货</t>
    </r>
  </si>
  <si>
    <t>Jessi Xu</t>
  </si>
  <si>
    <t>199-9576-674</t>
  </si>
  <si>
    <t>4500206719-30</t>
  </si>
  <si>
    <t>ASPEKTO  SP.  Z  O.O.</t>
  </si>
  <si>
    <t>波兰</t>
  </si>
  <si>
    <t>4500209410</t>
  </si>
  <si>
    <t>4500209410-30</t>
  </si>
  <si>
    <t>6/12进口商贴纸</t>
  </si>
  <si>
    <t>日期码格式： ZURU INC(BVI) 标准格式 日期：按实际生产日期
Packaging Info: 
77858:MA3L EAN收缩膜+1张客户进口商贴纸+MA5L收藏指南+MA23L黑白说明书+MA 内袋+WEEE最新版29L _不带电池走货声明书
Remark: 1. 此票需通过ZURU OQC验货；
2. 请备多2套大货样品；
3. 此票出波兰，请确保产品符合EU标准，产品请确保符合EU微塑料法规，大货需符合EU市场法规；
4. 此票全部用EAN条码</t>
  </si>
  <si>
    <t>2000010360</t>
  </si>
  <si>
    <t>4500210043-10</t>
  </si>
  <si>
    <t>进口商贴纸（含西班牙环保标）+一张产品贴纸+一张西/葡weee说明书纸，都翻4500206
 580</t>
  </si>
  <si>
    <t>日期码格式：LOT2632 日期：
Packaging Info: 
2. 77858：最新MA 3L EAN彩盒+最新MA 5L收藏指南+最新MA 23L说明书+一张进口商贴纸（含西班牙环保标）+一张产品贴纸+一张西/葡weee说明书纸，都翻4500206
580
Remark: 1. 订单出欧洲国家-西班牙，产品不能含有闪粉/微塑料，请确保所有包装都有西班牙环保标。
2. 客人格式日期码 LOT2632，包装（含收缩膜等）/产品/外箱 请保持一致。
3. 验货后会抽办1套/item，请多备料。大货样品2套/item，用于客人验货签板，具体以邮件通知为准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</si>
  <si>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r>
      <rPr>
        <sz val="11"/>
        <color rgb="FF0E2EF0"/>
        <rFont val="宋体"/>
        <charset val="0"/>
      </rPr>
      <t>4</t>
    </r>
    <r>
      <rPr>
        <sz val="12"/>
        <color rgb="FF0E2EF0"/>
        <rFont val="宋体"/>
        <charset val="0"/>
        <scheme val="minor"/>
      </rPr>
      <t xml:space="preserve">  KIDZ  SP  Z  O.O.</t>
    </r>
  </si>
  <si>
    <t>4500210831</t>
  </si>
  <si>
    <r>
      <rPr>
        <sz val="11"/>
        <color rgb="FF0E2EF0"/>
        <rFont val="宋体"/>
        <charset val="0"/>
      </rPr>
      <t>Auchan</t>
    </r>
    <r>
      <rPr>
        <sz val="12"/>
        <color rgb="FF0E2EF0"/>
        <rFont val="宋体"/>
        <charset val="134"/>
        <scheme val="minor"/>
      </rPr>
      <t xml:space="preserve">  AW2026</t>
    </r>
  </si>
  <si>
    <t>4500210831-20</t>
  </si>
  <si>
    <t>6/29进口商贴纸</t>
  </si>
  <si>
    <r>
      <rPr>
        <sz val="11"/>
        <color rgb="FF0E2EF0"/>
        <rFont val="宋体"/>
        <charset val="0"/>
      </rPr>
      <t>日期码格式：ZURU</t>
    </r>
    <r>
      <rPr>
        <sz val="11"/>
        <color rgb="FF0E2EF0"/>
        <rFont val="宋体"/>
        <charset val="134"/>
      </rPr>
      <t xml:space="preserve">  INC(BVI)  标准格式                                    日期：按实际生产日期
Packaging Info: 
77858:MA1L  UPC收缩膜+1张进口商贴纸+MA5L收藏指南+MA23L黑白说明书+WEEE不带电池走货声明书
Remark: 1.  请备多1套大货样品；
   2.  此票大货需符合EU市场法规；
   3.  此票使用UPC条码;</t>
    </r>
  </si>
  <si>
    <r>
      <rPr>
        <sz val="11"/>
        <color rgb="FF0E2EF0"/>
        <rFont val="Arial"/>
        <charset val="0"/>
      </rPr>
      <t>Ula</t>
    </r>
    <r>
      <rPr>
        <sz val="12"/>
        <color rgb="FF0E2EF0"/>
        <rFont val="宋体"/>
        <charset val="134"/>
        <scheme val="minor"/>
      </rPr>
      <t xml:space="preserve">  Zhao</t>
    </r>
  </si>
  <si>
    <t>COT05523WarehouseNo.2</t>
  </si>
  <si>
    <t>4500203215-80</t>
  </si>
  <si>
    <t>6/22 UPC 条码贴纸</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</si>
  <si>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77794UQ1 MA多语EAN包装+UPC贴纸+MA 多语说明书+MA多语收藏指南+MA 多语PDQ +贴纸+箱唛
15760UQ1: mother UPC:193052087874
Remark: 77794UQ1 RECHARGEABLE LITHIUM BATTERY(INCLUDED)
71152 2PCS AAA BATTERIES(NOT INCLUDED)
77773GQ2 3PCS AG13 BATTERIES(INCLUDED) "Rare: 1/48
Common: Equal ratio"
77843GQ2 SUSHI and RAINBOW CAKE(Rare) without batteries, other assortments: 3PCS AG13 BATTERIES(INCLUDED) Ratio: PIZZA: HAMBURGER: PANCAKES: BUB
BLE TEA:  Matcha TEA: TACO: SUSHI: DONUT: Charcuterie Board: RAINBOW CAKE(Rare)=10.88%: 10.88%: 10.88%: 10.88%: 10.88%: 10.88%: 10.88%: 10.88%:
  10.88%: 2.08%=68:68:68:68:68:68:68:68:68:13
77772GQ2  4  mini vinyls,1 accessory
77858 3PCS AA BATTERIES(NOT INCLUDED)
92146  Cat:Raccoon:Deer:Tiger:Pigeon:Owl=1:1:1:1:1:1
92119  7 Assortment, Polar bear: Penguin: Walrus: Mammoth: Owl: Seal: Snow man=10:10:10:10:10:8:2. Snow man is the rare item.
92147  Black Cat:Owl:Axolotl:Unicorn:Bat:Bunny=1:1:1:1:1:1
9574 3PCS AAA BATTERIES(NOT INCLUDED) 2pcs baby capybara: 3pcs baby capybara= 5:1
9561 3PCS LR44 BATTERIES(INCLUDED)
15760UQ1  10 Assortment even ratio</t>
  </si>
  <si>
    <t>IMPORTADORA SUDAMERICANA &amp;</t>
  </si>
  <si>
    <t>阿根廷</t>
  </si>
  <si>
    <t>4500209354</t>
  </si>
  <si>
    <t>LEGAJO4839</t>
  </si>
  <si>
    <t>4500209354-20</t>
  </si>
  <si>
    <t>6/9UPC 贴纸+进口商贴纸</t>
  </si>
  <si>
    <t xml:space="preserve">日期码格式：ZURU INC(BVI) 标准格式                  日期：按实际生产日期
Packaging Info: 请确保包装上的条形码是UPC，如果是babyUPC，需要用mother UPC覆盖，如有不一致，请及时提出。谢谢!
77858 MA 多语EAN 包装+UPC 贴纸+MA 多语说明书/+MA 多语收藏指南+进口商贴纸+箱唛
Remark: 77858 3PCS AA BATTERIES(NOT INCLUDED)
</t>
  </si>
  <si>
    <t>4500207323</t>
  </si>
  <si>
    <t>7TVY567T</t>
  </si>
  <si>
    <t>4500207323-100</t>
  </si>
  <si>
    <t>7/30 SSCC Label</t>
  </si>
  <si>
    <t>邮包盒图稿翻单4500192979</t>
  </si>
  <si>
    <t>日期码格式： ZURU INC(BVI) 标准格式 日期：按实际生产日期
Packaging Info:
#77858: STD 77858带MA包装入邮包盒，邮包盒图稿翻单4500192979。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</si>
  <si>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1654EUIL</t>
  </si>
  <si>
    <t>4500207323-110</t>
  </si>
  <si>
    <t>COMERCIALIZADORA MEXICO AMERICANA S</t>
  </si>
  <si>
    <t>4500205972</t>
  </si>
  <si>
    <t>4500205972-50</t>
  </si>
  <si>
    <t>7/10 UPC 条码+进口商贴纸+产品贴纸+说明书贴纸</t>
  </si>
  <si>
    <t>7/10 保证书+6小包干燥剂，每包重2g</t>
  </si>
  <si>
    <t>日期码格式：LOT+ZURU标准日期码格式                  日期：按实际生产日期
Packaging Info: 77858 MA 3L EAN 包装+UPC 条码+进口商贴纸+产品贴纸+说明书贴纸+保证书+箱唛
Remark: A: 客版日期码要求：LOT+ZURU标准日期码格式。举例东莞生产的格式：LOTDGYYYYMMDD, DG是东莞拼音首字母，YYYYMMDD是实际的年月日，例如(LOTDG20240920)
B: 此单有第三方监柜，至少多备一套完整的物料用于监柜，请多备料
C: WM墨西哥防霉的新要求:货物必须在出货主箱和集装箱中按要求放置干燥剂，干燥剂指定品牌干霸
77773GQ2/77843GQ2/9574/77772GQ2/77858/77794UQ1/9565GQ1/15746: 每箱放置6小包干燥剂，每包重2g；
92147:   每箱放置14小包干燥剂，每包重2g
如走柜货等loading plan 确认后再通知集装箱干燥剂数量</t>
  </si>
  <si>
    <t>4500207832</t>
  </si>
  <si>
    <t>10001792794-3890</t>
  </si>
  <si>
    <t>4500207832-10</t>
  </si>
  <si>
    <t>7/9 SSCC Label</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</si>
  <si>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产品和包装上均要印刷tracking code信息，格式为ZURU常规格式；
 2. 需要我司QC验货之后才能安排出货
 3. 出货方式：  货代自提</t>
  </si>
  <si>
    <t>4500213538</t>
  </si>
  <si>
    <t>10001792666-3891</t>
  </si>
  <si>
    <t>4500213538-10</t>
  </si>
  <si>
    <t>7/15外箱贴纸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</si>
  <si>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</si>
  <si>
    <t>4500214482</t>
  </si>
  <si>
    <t>10001792664-3890</t>
  </si>
  <si>
    <t>4500214482-10</t>
  </si>
  <si>
    <t>7/21条码箱贴纸</t>
  </si>
  <si>
    <t>日期码格式：ZURU  INC(BVI)  标准格式                                    日期：按实际生产日期
Packaging Info: 产品包装  MA  1L  彩盒
Remark: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产品和包装上印刷  tracking  code信息，格式为ZURU常规格式;
   5.  出货方式：货代自提</t>
  </si>
  <si>
    <r>
      <rPr>
        <sz val="11"/>
        <color rgb="FF0E2EF0"/>
        <rFont val="宋体"/>
        <charset val="0"/>
      </rPr>
      <t>SMYTHS</t>
    </r>
    <r>
      <rPr>
        <sz val="12"/>
        <color rgb="FF0E2EF0"/>
        <rFont val="宋体"/>
        <charset val="0"/>
        <scheme val="minor"/>
      </rPr>
      <t xml:space="preserve">  TOYS  EU  HQ  UC</t>
    </r>
  </si>
  <si>
    <t>4500215394</t>
  </si>
  <si>
    <t>4400582167</t>
  </si>
  <si>
    <t>4500215394-20</t>
  </si>
  <si>
    <t>德语callout贴纸(翻PO#4500192949 )</t>
  </si>
  <si>
    <r>
      <rPr>
        <sz val="11"/>
        <color rgb="FF0E2EF0"/>
        <rFont val="宋体"/>
        <charset val="0"/>
      </rPr>
      <t>日期码格式：ZURU INC(BVI) 标准格式 日期：按实际生产日期</t>
    </r>
    <r>
      <rPr>
        <sz val="11"/>
        <color rgb="FF0E2EF0"/>
        <rFont val="宋体"/>
        <charset val="134"/>
      </rPr>
      <t xml:space="preserve">
Packaging Info:
"77858: 最新MA3L-23Lwarning EAN彩盒+1张德语callout贴纸(翻PO#4500192949 )+MA蔬菜盒子贴纸+MA复合袋+MA23L说明书+MA5L收藏指南+C版WEEE声明(不带电池)
走货欧洲通用29L说明书
EAN#4894680058729"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</si>
  <si>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r>
      <rPr>
        <sz val="11"/>
        <color rgb="FF0E2EF0"/>
        <rFont val="Arial"/>
        <charset val="0"/>
      </rPr>
      <t>Mary</t>
    </r>
    <r>
      <rPr>
        <sz val="12"/>
        <color rgb="FF0E2EF0"/>
        <rFont val="宋体"/>
        <charset val="134"/>
        <scheme val="minor"/>
      </rPr>
      <t xml:space="preserve">  Qu</t>
    </r>
  </si>
  <si>
    <t>4500214717</t>
  </si>
  <si>
    <t>10001846462-3891</t>
  </si>
  <si>
    <t>4500214717-10</t>
  </si>
  <si>
    <r>
      <rPr>
        <sz val="11"/>
        <color rgb="FF0E2EF0"/>
        <rFont val="宋体"/>
        <charset val="0"/>
      </rPr>
      <t>日期码格式：ZURU INC(BVI) 标准格式</t>
    </r>
    <r>
      <rPr>
        <sz val="11"/>
        <color rgb="FF0E2EF0"/>
        <rFont val="宋体"/>
        <charset val="134"/>
      </rPr>
      <t xml:space="preserve">                  日期：按实际生产日期
Packaging Info: 产品包装 MA 1L 彩盒
Remark: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产品和包装上印刷 tracking code信息，格式为ZURU常规格式;
 5. 出货方式：货代自提</t>
    </r>
  </si>
  <si>
    <t>ARCHIBRAND, S.A. DE C.V.</t>
  </si>
  <si>
    <t>4500210225-30</t>
  </si>
  <si>
    <t>7/24UPC 贴纸+进口商贴纸</t>
  </si>
  <si>
    <t>7/24保证书</t>
  </si>
  <si>
    <r>
      <rPr>
        <sz val="11"/>
        <color rgb="FF0E2EF0"/>
        <rFont val="宋体"/>
        <charset val="0"/>
      </rPr>
      <t>日期码格式：ZURU INC(BVI) 标准格式</t>
    </r>
    <r>
      <rPr>
        <sz val="11"/>
        <color rgb="FF0E2EF0"/>
        <rFont val="宋体"/>
        <charset val="134"/>
      </rPr>
      <t xml:space="preserve">                  日期：按实际生产日期
Packaging Info: 
77673/77858：MA 3L EAN包装+UPC 贴纸+进口商贴纸+箱唛+保证书
Remark：</t>
    </r>
  </si>
  <si>
    <t>4500210228-30</t>
  </si>
  <si>
    <t>日期码格式：ZURU INC(BVI) 标准格式 日期：按实际生产日期 Tracking Code:
Packaging Info: 
 77673/77858：MA 3L EAN包装+UPC 贴纸+进口商贴纸+箱唛+保证书，贴纸和保证书翻单PO4500210225
Remark:</t>
  </si>
  <si>
    <t>4500210229-40</t>
  </si>
  <si>
    <t>贴纸和保证书翻单PO4500210225</t>
  </si>
  <si>
    <t>保证书翻单PO4500210225</t>
  </si>
  <si>
    <t>日期码格式：ZURU INC(BVI) 标准格式 日期：按实际生产日期 Tracking Code:
Packaging Info:
 77673/77858：MA 3L EAN包装+UPC 贴纸+进口商贴纸+箱唛+保证书，贴纸和保证书翻单PO4500210225
Remark:</t>
  </si>
  <si>
    <t>JUGUESAL S.A. DE C.V.</t>
  </si>
  <si>
    <t>4500199048</t>
  </si>
  <si>
    <t>26-1075556JUS</t>
  </si>
  <si>
    <t>4500199048-10</t>
  </si>
  <si>
    <t>完货</t>
  </si>
  <si>
    <t>日期码格式：ZURU INC(BVI) 标准格式                  日期：
Packaging Info: 157117UQ1、15787:MA 多语包装+MOTHER UPC贴纸+进口商贴纸+箱唛
其余item:MA 多语包装+进口商贴纸+UPC贴纸+箱唛
Remark: 1.进口商贴纸内容会显示日期码为:2026-07，包装/产品/外箱可按照ZURU标准日期码，无需跟回进口商贴纸上的日期码。
2.所有item包装上的条码必须是UPC，如果已将进口商贴纸和UPC条码合并到一张，则不需再订购UPC贴纸，仅订购一张进口商贴纸即可。</t>
  </si>
  <si>
    <t>4500203233</t>
  </si>
  <si>
    <t>04197-BOD-12-FALL</t>
  </si>
  <si>
    <t>4500203233-80</t>
  </si>
  <si>
    <t>6/22 UPC贴纸</t>
  </si>
  <si>
    <t xml:space="preserve">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77858 3PCS AA BATTERIES(NOT INCLUDED)
</t>
  </si>
  <si>
    <r>
      <rPr>
        <sz val="11"/>
        <rFont val="宋体"/>
        <charset val="0"/>
      </rPr>
      <t>LONDON</t>
    </r>
    <r>
      <rPr>
        <sz val="12"/>
        <color rgb="FF000000"/>
        <rFont val="宋体"/>
        <charset val="134"/>
        <scheme val="minor"/>
      </rPr>
      <t xml:space="preserve">  </t>
    </r>
    <r>
      <rPr>
        <sz val="12"/>
        <color rgb="FF000000"/>
        <rFont val="宋体"/>
        <charset val="134"/>
        <scheme val="minor"/>
      </rPr>
      <t>SUPPLY</t>
    </r>
    <r>
      <rPr>
        <sz val="12"/>
        <color rgb="FF000000"/>
        <rFont val="宋体"/>
        <charset val="134"/>
        <scheme val="minor"/>
      </rPr>
      <t xml:space="preserve">  </t>
    </r>
    <r>
      <rPr>
        <sz val="12"/>
        <color rgb="FF000000"/>
        <rFont val="宋体"/>
        <charset val="134"/>
        <scheme val="minor"/>
      </rPr>
      <t>GROUP</t>
    </r>
    <r>
      <rPr>
        <sz val="12"/>
        <color rgb="FF000000"/>
        <rFont val="宋体"/>
        <charset val="134"/>
        <scheme val="minor"/>
      </rPr>
      <t xml:space="preserve">  </t>
    </r>
    <r>
      <rPr>
        <sz val="12"/>
        <color rgb="FF000000"/>
        <rFont val="宋体"/>
        <charset val="134"/>
        <scheme val="minor"/>
      </rPr>
      <t>SA</t>
    </r>
  </si>
  <si>
    <t>4500212151</t>
  </si>
  <si>
    <t>4500212151-80</t>
  </si>
  <si>
    <t>UPC贴纸翻单PO4500199743</t>
  </si>
  <si>
    <t>日期码格式：ZURU  INC(BVI)  标准格式                                    日期：按实际生产日期
Packaging Info: 77858 MA 多语UPC包装+UPC贴纸+箱唛，无客户贴纸（包装上的条码必须是UPC），UPC贴纸翻单PO4500199743
Remark：</t>
  </si>
  <si>
    <r>
      <rPr>
        <sz val="11"/>
        <rFont val="Arial"/>
        <charset val="0"/>
      </rPr>
      <t>Ava</t>
    </r>
    <r>
      <rPr>
        <sz val="10"/>
        <color rgb="FF000000"/>
        <rFont val="等线"/>
        <charset val="134"/>
      </rPr>
      <t xml:space="preserve">  </t>
    </r>
    <r>
      <rPr>
        <sz val="10"/>
        <color rgb="FF000000"/>
        <rFont val="等线"/>
        <charset val="134"/>
      </rPr>
      <t>Liang</t>
    </r>
  </si>
  <si>
    <t>JUGUETTOS CENTRAL DE COMPRAS, S.COO</t>
  </si>
  <si>
    <t>4500211344</t>
  </si>
  <si>
    <t>PC26103</t>
  </si>
  <si>
    <t>4500211344-90</t>
  </si>
  <si>
    <t>日期码格式：ZURU INC(BVI) 标准格式                  日期：按实际生产日期
Packaging Info:
9.77858：最新MA 3L EAN版本包装+MA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</si>
  <si>
    <t>4500205963</t>
  </si>
  <si>
    <t>2YVD1OCD</t>
  </si>
  <si>
    <t>4500205963-270</t>
  </si>
  <si>
    <t>日期码格式：ZURU INC(BVI) 标准格式 日期：按实际生产日期
Packaging Info:#77858: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</si>
  <si>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4500214019</t>
  </si>
  <si>
    <t>26000466</t>
  </si>
  <si>
    <t>4500214019-10</t>
  </si>
  <si>
    <t>客版黑白说明书((翻4500196797)</t>
  </si>
  <si>
    <t>日期码格式：2083026                                    日期：
Packaging Info: 77858:MA23L  EAN彩盒+额外贴纸(翻4500196797)+MA  袋子+MA贴纸+ML  5L收藏指南+MA23L说明书+1张额外的客版黑白说明书((翻4500196797)
77794UQ1:MA9L  EAN彩卡+1张贴纸(翻PO4500194798)+MA23L收藏指南+MA纸卡+MA袋子+MA23L组装说明+MA23L锂电池说明书+MA23L说明书+1张额外客版AR黑白说明书(
翻PO4500194798)+MA  3L展示盒
9574:MA23L  EAN  彩盒+1张贴纸(翻PO4500195260)+MA9L说明书+1张额外说明书（翻PO4500195260）
Remark: 1.此票无需客户验货，请多备料1套左右
2所有出口法国的产品,  法规规定禁止在包装和共公众用的印刷品中使用矿物油中含有的物质,  包装印刷油墨中含有的MOAH/MOSH的质量浓度不能超过1%,  否则出货
到法国被抽检出现问题,  供应商需要对此负责;
3出口法国请确保产品不含微塑料，包装需显示法国回收logo;</t>
  </si>
  <si>
    <t>Kico  Zang</t>
  </si>
  <si>
    <r>
      <rPr>
        <sz val="11"/>
        <color rgb="FF000000"/>
        <rFont val="宋体"/>
        <charset val="0"/>
      </rPr>
      <t>COMERCIAL</t>
    </r>
    <r>
      <rPr>
        <sz val="12"/>
        <color rgb="FF000000"/>
        <rFont val="宋体"/>
        <charset val="134"/>
        <scheme val="minor"/>
      </rPr>
      <t xml:space="preserve">  </t>
    </r>
    <r>
      <rPr>
        <sz val="12"/>
        <color rgb="FF000000"/>
        <rFont val="宋体"/>
        <charset val="134"/>
        <scheme val="minor"/>
      </rPr>
      <t>JOMAN</t>
    </r>
    <r>
      <rPr>
        <sz val="12"/>
        <color rgb="FF000000"/>
        <rFont val="宋体"/>
        <charset val="134"/>
        <scheme val="minor"/>
      </rPr>
      <t xml:space="preserve">  </t>
    </r>
    <r>
      <rPr>
        <sz val="12"/>
        <color rgb="FF000000"/>
        <rFont val="宋体"/>
        <charset val="134"/>
        <scheme val="minor"/>
      </rPr>
      <t>S.L.</t>
    </r>
  </si>
  <si>
    <t>4500216056</t>
  </si>
  <si>
    <t>4500216056-30</t>
  </si>
  <si>
    <t>进口商贴纸（贴纸翻单4500209512）</t>
  </si>
  <si>
    <r>
      <rPr>
        <sz val="11"/>
        <color rgb="FF000000"/>
        <rFont val="宋体"/>
        <charset val="0"/>
      </rPr>
      <t>日期码格式：ZURU</t>
    </r>
    <r>
      <rPr>
        <sz val="11"/>
        <color rgb="FF000000"/>
        <rFont val="宋体"/>
        <charset val="134"/>
      </rPr>
      <t xml:space="preserve">  INC(BVI)  标准格式                                    日期：按实际生产日期
Packaging Info: 
77858:最新MA  3L  EAN版本包装+一张进口商贴纸+MA  23L  说明书+WEEE不带电池走货欧洲29L通用黑白说明书；（贴纸翻单4500209512）；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t>
    </r>
  </si>
  <si>
    <r>
      <rPr>
        <sz val="11"/>
        <color rgb="FF000000"/>
        <rFont val="Arial"/>
        <charset val="0"/>
      </rPr>
      <t>Mary</t>
    </r>
    <r>
      <rPr>
        <sz val="10"/>
        <color rgb="FF000000"/>
        <rFont val="宋体"/>
        <charset val="134"/>
        <scheme val="minor"/>
      </rPr>
      <t xml:space="preserve">  </t>
    </r>
    <r>
      <rPr>
        <sz val="10"/>
        <color rgb="FF000000"/>
        <rFont val="宋体"/>
        <charset val="134"/>
        <scheme val="minor"/>
      </rPr>
      <t>Zhong</t>
    </r>
  </si>
  <si>
    <r>
      <rPr>
        <sz val="11"/>
        <color rgb="FF000000"/>
        <rFont val="宋体"/>
        <charset val="0"/>
      </rPr>
      <t>日期码格式： ZURU INC(BVI) 标准格式 日期：按实际生产日期
Packaging Info: 客版彩盒+客版PDQ+客版说明书+</t>
    </r>
    <r>
      <rPr>
        <sz val="11"/>
        <color rgb="FFFF0000"/>
        <rFont val="宋体"/>
        <charset val="0"/>
      </rPr>
      <t>墨西哥NOM黑白说明书+客版收藏指南+保证书+墨西哥包装贴纸+墨西哥产品贴纸，所有客版包装物料都必须是COSTCO多语版本</t>
    </r>
    <r>
      <rPr>
        <sz val="11"/>
        <color rgb="FF000000"/>
        <rFont val="宋体"/>
        <charset val="0"/>
      </rPr>
      <t>（含西班牙语）
Remark: EDDIES001-PRODBC-MINI BRANDS-MAGIC COOK KITCHEN-SERIES 1-1PK PLAYSET S1 AND 1PK MIXER/1PK BLENDER S1 COMBO IN COLOR BOX,54PCS/DISPLAY/SLIP SHEE
T
1.产品/包装上都需要印日期码，按实际生产日期，ZURU 标准版格式的日期码
2. 纸箱唛头：纸箱四面，印刷2个正面，侧唛不印, 按照箱唛模板要求排版。
3. 确保展示架在入外箱的时候一定要正面对着有印刷箱唛的那面,不可以装反。
5. 大货样板:工厂需预留至少6整套测试样用于抽板+1pcs实验室封样工厂留底待第三方验货使用
6. 此单需要监柜，工厂需要额外准备1套备品。
7.77858: Including magnets
77789: Slime,clay,powder included,without borax
8.1PK 77858 MAGIC COOK KITCHEN PLAYSET+1PK 77789L MIXER+1PK 77789K BLENDER combo in color box
9.(1W*3D=3pcs/tray) * 6tray /layer *3H= 18 tray/pallet =54pcs/SLIP SHEET
10.3PCS AA BATTERIES(INCLUDED) AND 6PCS LR44 BATTERIES(INCLUDED), brand Duracell</t>
    </r>
  </si>
  <si>
    <t>4500214488</t>
  </si>
  <si>
    <t>10001792689-3891</t>
  </si>
  <si>
    <t>4500214488-10</t>
  </si>
  <si>
    <t>7/30条码箱贴纸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</si>
  <si>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</si>
  <si>
    <t>ok</t>
  </si>
  <si>
    <t>新邵</t>
  </si>
  <si>
    <t>4500207515</t>
  </si>
  <si>
    <t>1BDM3EMB</t>
  </si>
  <si>
    <t>4500207515-50</t>
  </si>
  <si>
    <t>8/3 SSCC Label</t>
  </si>
  <si>
    <t>1CWLJQ1N</t>
  </si>
  <si>
    <t>4500207515-60</t>
  </si>
  <si>
    <r>
      <rPr>
        <sz val="11"/>
        <color rgb="FF000000"/>
        <rFont val="宋体"/>
        <charset val="0"/>
      </rPr>
      <t>TARGET</t>
    </r>
    <r>
      <rPr>
        <sz val="12"/>
        <color rgb="FF000000"/>
        <rFont val="宋体"/>
        <charset val="0"/>
        <scheme val="minor"/>
      </rPr>
      <t xml:space="preserve">  US</t>
    </r>
  </si>
  <si>
    <t>4500215102</t>
  </si>
  <si>
    <t>10001846461-3890</t>
  </si>
  <si>
    <t>4500215102-10</t>
  </si>
  <si>
    <r>
      <rPr>
        <sz val="11"/>
        <color rgb="FF000000"/>
        <rFont val="宋体"/>
        <charset val="0"/>
      </rPr>
      <t>日期码格式：ZURU</t>
    </r>
    <r>
      <rPr>
        <sz val="11"/>
        <color rgb="FF000000"/>
        <rFont val="宋体"/>
        <charset val="134"/>
      </rPr>
      <t xml:space="preserve">  INC(BVI)  标准格式                                    日期：按实际生产日期
Packaging Info: 产品包装  MA  1L  彩盒
Remark: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产品和包装上印刷  tracking  code信息，格式为ZURU常规格式;
   5.  出货方式：货代自提</t>
    </r>
  </si>
  <si>
    <r>
      <rPr>
        <sz val="11"/>
        <color rgb="FF000000"/>
        <rFont val="Arial"/>
        <charset val="0"/>
      </rPr>
      <t>Holly</t>
    </r>
    <r>
      <rPr>
        <sz val="12"/>
        <color rgb="FF000000"/>
        <rFont val="宋体"/>
        <charset val="134"/>
        <scheme val="minor"/>
      </rPr>
      <t xml:space="preserve">  Zheng</t>
    </r>
  </si>
  <si>
    <t>CLADELLAS  2000  S.L</t>
  </si>
  <si>
    <t>4500214244</t>
  </si>
  <si>
    <t>4500214244-10</t>
  </si>
  <si>
    <t>7/21进口商内容贴纸</t>
  </si>
  <si>
    <t>日期码格式：ZURU  INC(BVI)  标准格式                                    日期：按实际生产日期
Packaging Info: 77858：最新MA  3L  EAN版本包装+一张进口商内容贴纸+MA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</si>
  <si>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Mary  Zhong</t>
  </si>
  <si>
    <t>ZURU  LLC</t>
  </si>
  <si>
    <t>4500214917</t>
  </si>
  <si>
    <t>5200010839</t>
  </si>
  <si>
    <t>4500214917-10</t>
  </si>
  <si>
    <t>日期码格式：ZURU  INC(BVI)  标准格式                                    日期：按实际生产日期
Packaging Info: #77858:  STD  77858带MA包装入邮包盒，邮包盒图稿翻单4500195266。
Remark: 1.Amazon  domestic  订单。出口美国。外箱最长边不能超过25"    （超过了，case  pack只能为1），不符合要求的大货，   一律不接受。
2.无第三方验货/测试要求。
3. 日期码使用ZURU标准版本。
4.如果大货有要求入邮包盒，则对应的邮包盒上面要打上日期码。</t>
  </si>
  <si>
    <t>Sawning Xie</t>
  </si>
  <si>
    <t>手工单</t>
  </si>
  <si>
    <t xml:space="preserve"> ZMPO260912</t>
  </si>
  <si>
    <t xml:space="preserve"> ZMPO260912-10</t>
  </si>
  <si>
    <t>Remark：大货版本/大货标准箱装箱/箱唛请参照邮件附件；备注： 收到样品订单后尽快安排 ，注意样板品质质量要求要高于大货品质要求 ，送货时必须要附带送货单(没有送货单和QC检验合格报告的仓库一律拒绝收货)，请知悉，谢谢！</t>
  </si>
  <si>
    <r>
      <rPr>
        <sz val="11"/>
        <color rgb="FF000000"/>
        <rFont val="Arial"/>
        <charset val="0"/>
      </rPr>
      <t>Angus</t>
    </r>
    <r>
      <rPr>
        <sz val="10"/>
        <color rgb="FF000000"/>
        <rFont val="等线"/>
        <charset val="134"/>
      </rPr>
      <t xml:space="preserve"> </t>
    </r>
  </si>
  <si>
    <t>#</t>
  </si>
  <si>
    <t>ZHUYU(SHENZHEN)TRADING  CO.,LTD.</t>
  </si>
  <si>
    <t>4500209724</t>
  </si>
  <si>
    <t>5000002236</t>
  </si>
  <si>
    <t>4500209724-10</t>
  </si>
  <si>
    <t>77858-S004-PKC</t>
  </si>
  <si>
    <t>6/15中文3C贴纸+7/20防窜码贴纸</t>
  </si>
  <si>
    <t>6/3中文黑白说明书+中文收藏指南</t>
  </si>
  <si>
    <t>日期码格式：ZURU  INC(BVI)  标准格式                                    日期：按实际生产日期
Packaging Info: 物料要求  SKU
2  77858  UPC  193052100238#MA+中文黑白说明书+中文3C贴纸+中文收藏指南
71172  77858    9574  首单    需要提供8套大货样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</si>
  <si>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Dona  Tang</t>
  </si>
  <si>
    <t>4500209724-20</t>
  </si>
  <si>
    <t>4500209724-30</t>
  </si>
  <si>
    <t>4500209724-40</t>
  </si>
  <si>
    <t>ZHUYU(SHENZHEN)TRADING CO.,LTD.</t>
  </si>
  <si>
    <t>4500209724-150</t>
  </si>
  <si>
    <r>
      <rPr>
        <sz val="11"/>
        <rFont val="宋体"/>
        <charset val="0"/>
      </rPr>
      <t>日期码格式：ZURU INC(BVI) 标准格式</t>
    </r>
    <r>
      <rPr>
        <sz val="11"/>
        <color rgb="FF000000"/>
        <rFont val="宋体"/>
        <charset val="134"/>
      </rPr>
      <t xml:space="preserve">                  日期：按实际生产日期
Packaging Info: 物料要求 SKU
2 77858 UPC 193052100238#MA+中文黑白说明书+中文3C贴纸+中文收藏指南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r>
  </si>
  <si>
    <t>Dona Tang</t>
  </si>
  <si>
    <t>BASILE GIOCATTOLI SRL</t>
  </si>
  <si>
    <t>4500211316</t>
  </si>
  <si>
    <t>4500211316-20</t>
  </si>
  <si>
    <t>7/20进口商贴纸</t>
  </si>
  <si>
    <r>
      <rPr>
        <sz val="11"/>
        <color rgb="FF000000"/>
        <rFont val="宋体"/>
        <charset val="0"/>
      </rPr>
      <t xml:space="preserve">日期码格式：ZURU INC(BVI) 标准格式                  日期：按实际生产日期
Packaging Info:
</t>
    </r>
    <r>
      <rPr>
        <sz val="11"/>
        <color rgb="FFFF0000"/>
        <rFont val="宋体"/>
        <charset val="0"/>
      </rPr>
      <t>77858</t>
    </r>
    <r>
      <rPr>
        <sz val="11"/>
        <color rgb="FF000000"/>
        <rFont val="宋体"/>
        <charset val="0"/>
      </rPr>
      <t>：  最新MA3L(23L warning) EAN 彩盒+ MA5L收藏指南+MA23L 黑白说明书+进口商贴纸（含意大利环保标）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r>
  </si>
  <si>
    <t>Wal-mart US</t>
  </si>
  <si>
    <t>MO20260729</t>
  </si>
  <si>
    <t>TBA</t>
  </si>
  <si>
    <t>MO20260729-110</t>
  </si>
  <si>
    <t>暂不订购，转正式单后订</t>
  </si>
  <si>
    <t>欠RFID贴纸</t>
  </si>
  <si>
    <r>
      <rPr>
        <sz val="11"/>
        <color rgb="FF000000"/>
        <rFont val="宋体"/>
        <charset val="0"/>
      </rPr>
      <t>PACKAGING STYLE：77858-S002</t>
    </r>
    <r>
      <rPr>
        <sz val="11"/>
        <color rgb="FF000000"/>
        <rFont val="宋体"/>
        <charset val="134"/>
      </rPr>
      <t xml:space="preserve">
1. 包装要求：
77858：MA 1L A版 playset +MA 5L A版收藏指南+MA 23L A版说明书+MA A版纸袋+MA 贴纸
每pcs产品要贴一张RFID贴纸，RFID贴纸由ZURU提供，贴纸位置要严格按照客人签板
2. 外箱印刷带条码的RFID箱唛：RFID紫色色带+WM Dept.图标+RFID图标+ITF-14条码，四面右下角印刷ZURU logo, ITFF条码只印刷在正唛一面，在加印的时候确保条形码能扫描出来，外箱侧面任一角落加印："MADE IN CHINA" 字样；箱唛翻单：4500195615
3. 在产品上和包装上要有日期码、以及要有MADE IN CHINA和ZURU字样；
4. 产品如有扎带口要剪平，不能刮手。
5. 此单需要验货，请多备料
6. 此单以loose carton出货，2pcs/CTN</t>
    </r>
  </si>
  <si>
    <t>FB14479</t>
  </si>
  <si>
    <t>4500215285-140</t>
  </si>
  <si>
    <r>
      <rPr>
        <sz val="11"/>
        <color rgb="FF000000"/>
        <rFont val="宋体"/>
        <charset val="0"/>
      </rPr>
      <t>日期码格式：ZURU INC(BVI) 标准格式</t>
    </r>
    <r>
      <rPr>
        <sz val="11"/>
        <color rgb="FF000000"/>
        <rFont val="宋体"/>
        <charset val="134"/>
      </rPr>
      <t xml:space="preserve">                  日期：按实际生产日期
Packaging Info:
77858：MA A版1L UPC包装+C版29L不含电池出货版本WEEE说明书
--------------------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新款请在CRD前10天寄出每款2整套大货样到罗湖办公室14B Meyya Liu 收，翻单不用寄。</t>
    </r>
  </si>
  <si>
    <t>Aaron Xia</t>
  </si>
  <si>
    <r>
      <rPr>
        <sz val="11"/>
        <color rgb="FF000000"/>
        <rFont val="宋体"/>
        <charset val="0"/>
      </rPr>
      <t>AMIC</t>
    </r>
    <r>
      <rPr>
        <sz val="12"/>
        <color rgb="FF000000"/>
        <rFont val="等线"/>
        <charset val="134"/>
      </rPr>
      <t xml:space="preserve">  TRADING  (PTY)  LTD</t>
    </r>
  </si>
  <si>
    <t>4500214715</t>
  </si>
  <si>
    <t>6006-014363</t>
  </si>
  <si>
    <t>4500214715-120</t>
  </si>
  <si>
    <t>7/2通用进口商贴纸</t>
  </si>
  <si>
    <r>
      <rPr>
        <sz val="11"/>
        <color rgb="FF000000"/>
        <rFont val="宋体"/>
        <charset val="0"/>
      </rPr>
      <t>日期码格式：ZURU INC(BVI) 标准格式 日期：按实际生产日期</t>
    </r>
    <r>
      <rPr>
        <sz val="11"/>
        <color rgb="FF000000"/>
        <rFont val="宋体"/>
        <charset val="134"/>
      </rPr>
      <t xml:space="preserve">
Packaging Info: 
9574/77858： MA 1L 彩盒，MA 说明书 + 1 张通用进口商贴纸（贴彩盒背面空白处，不遮挡日期码）
Remark:</t>
    </r>
  </si>
  <si>
    <r>
      <rPr>
        <sz val="11"/>
        <color rgb="FF000000"/>
        <rFont val="Arial"/>
        <charset val="0"/>
      </rPr>
      <t>Chelsea</t>
    </r>
    <r>
      <rPr>
        <sz val="10"/>
        <color rgb="FF000000"/>
        <rFont val="等线"/>
        <charset val="0"/>
      </rPr>
      <t xml:space="preserve">  Luo</t>
    </r>
  </si>
  <si>
    <t>M&amp;Z SP. Z O.O.</t>
  </si>
  <si>
    <t>4500214321</t>
  </si>
  <si>
    <t>4500214321-20</t>
  </si>
  <si>
    <t>7/21进口商贴纸+收藏指南贴纸</t>
  </si>
  <si>
    <r>
      <rPr>
        <sz val="11"/>
        <color rgb="FF000000"/>
        <rFont val="宋体"/>
        <charset val="0"/>
      </rPr>
      <t>日期码格式：ZURU INC(BVI) 标准格式 日期：按实际生产日期
Packaging Info: 
77858：MA3L EAN彩卡+1张进口商贴纸+MA5L收藏指南+</t>
    </r>
    <r>
      <rPr>
        <sz val="11"/>
        <color rgb="FFFF0000"/>
        <rFont val="宋体"/>
        <charset val="0"/>
      </rPr>
      <t>1张波兰语收藏指南贴纸</t>
    </r>
    <r>
      <rPr>
        <sz val="11"/>
        <color rgb="FF000000"/>
        <rFont val="宋体"/>
        <charset val="0"/>
      </rPr>
      <t xml:space="preserve">+MA23L说明书+最新EU通用WEEE 不带电池出货声明书
Remark: 1. 请备多1套大货样品；
2. 此票出波兰，无需客验，通过ZURU验货即可出货，请确保大货符合EU市场法规；
3. 此票使用EAN条码；
</t>
    </r>
    <r>
      <rPr>
        <sz val="11"/>
        <color rgb="FFFF0000"/>
        <rFont val="宋体"/>
        <charset val="0"/>
      </rPr>
      <t>4. PDQ都需要增加1张欧盟地址贴纸(贴PDQ背面空白处即可)</t>
    </r>
  </si>
  <si>
    <t>TOYS CENTRE SL</t>
  </si>
  <si>
    <t>4500211485-60</t>
  </si>
  <si>
    <r>
      <rPr>
        <sz val="11"/>
        <color rgb="FF000000"/>
        <rFont val="宋体"/>
        <charset val="0"/>
      </rPr>
      <t>日期码格式：ZURU INC(BVI) 标准格式</t>
    </r>
    <r>
      <rPr>
        <sz val="11"/>
        <color rgb="FF000000"/>
        <rFont val="宋体"/>
        <charset val="134"/>
      </rPr>
      <t xml:space="preserve">                  日期：按实际生产日期
Packaging Info: 
77858：最新MA 3L EAN版本包装+MA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6.请工厂按时完货并及时验货；
7.需要准备每款2套大货样，请注意备料。</t>
    </r>
  </si>
  <si>
    <t>4500215104</t>
  </si>
  <si>
    <t>10001792688-3890</t>
  </si>
  <si>
    <t>4500215104-10</t>
  </si>
  <si>
    <t>8/3条码箱贴纸</t>
  </si>
  <si>
    <r>
      <rPr>
        <sz val="11"/>
        <color rgb="FF000000"/>
        <rFont val="Arial"/>
        <charset val="0"/>
      </rPr>
      <t>Holly</t>
    </r>
    <r>
      <rPr>
        <sz val="11"/>
        <color rgb="FF000000"/>
        <rFont val="Arial"/>
        <charset val="134"/>
      </rPr>
      <t xml:space="preserve">  Zheng</t>
    </r>
  </si>
  <si>
    <r>
      <rPr>
        <sz val="11"/>
        <color rgb="FF000000"/>
        <rFont val="宋体"/>
        <charset val="0"/>
      </rPr>
      <t>EL</t>
    </r>
    <r>
      <rPr>
        <sz val="12"/>
        <color rgb="FF000000"/>
        <rFont val="宋体"/>
        <charset val="0"/>
        <scheme val="minor"/>
      </rPr>
      <t xml:space="preserve">  CORTE  INGLES,S.A</t>
    </r>
  </si>
  <si>
    <t>4500215100</t>
  </si>
  <si>
    <t>93038301</t>
  </si>
  <si>
    <t>4500215100-10</t>
  </si>
  <si>
    <t>欠客供RFID贴纸+外箱条码贴</t>
  </si>
  <si>
    <r>
      <rPr>
        <sz val="11"/>
        <color rgb="FF000000"/>
        <rFont val="宋体"/>
        <charset val="0"/>
      </rPr>
      <t>日期码格式：ZURU</t>
    </r>
    <r>
      <rPr>
        <sz val="11"/>
        <color rgb="FF000000"/>
        <rFont val="宋体"/>
        <charset val="134"/>
      </rPr>
      <t xml:space="preserve">  INC(BVI)  标准格式                                    日期：按实际生产日期
Packaging Info: 77858：最新MA  3L  EAN版本包装+一张客供RFID贴纸+MA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5.外箱+2pcs  条码贴（此贴纸客供）
6.订单出两个港口Madrid和Barcelona，出不同港口的外箱不同；
6.订单需要签办及第三方验货，请按时完工。
7.大货样品3套/item，请多备料。</t>
    </r>
  </si>
  <si>
    <r>
      <rPr>
        <sz val="11"/>
        <color rgb="FF000000"/>
        <rFont val="Arial"/>
        <charset val="0"/>
      </rPr>
      <t>Mary</t>
    </r>
    <r>
      <rPr>
        <sz val="12"/>
        <color rgb="FF000000"/>
        <rFont val="宋体"/>
        <charset val="134"/>
        <scheme val="minor"/>
      </rPr>
      <t xml:space="preserve">  Zhong</t>
    </r>
  </si>
  <si>
    <t>欠</t>
  </si>
  <si>
    <t>93038302</t>
  </si>
  <si>
    <t>4500215100-30</t>
  </si>
  <si>
    <t>ESAL ENTERPRISES FZE</t>
  </si>
  <si>
    <t>黎巴嫩</t>
  </si>
  <si>
    <t>4500216094-20</t>
  </si>
  <si>
    <t>7/28进口商贴纸</t>
  </si>
  <si>
    <r>
      <rPr>
        <sz val="11"/>
        <rFont val="宋体"/>
        <charset val="0"/>
      </rPr>
      <t>日期码格式：ZURU INC(BVI) 标准格式</t>
    </r>
    <r>
      <rPr>
        <sz val="11"/>
        <color rgb="FF000000"/>
        <rFont val="宋体"/>
        <charset val="134"/>
      </rPr>
      <t xml:space="preserve">                  日期：按实际生产日期
Packaging Info: 出Lebanon, 所有包装不能有希伯来语（HE)
77858：MA 1L 包装+进口商贴纸（贴纸翻单4500202382）
Remark：</t>
    </r>
  </si>
  <si>
    <t>Warehouse 1</t>
  </si>
  <si>
    <t>4500216583-200</t>
  </si>
  <si>
    <t>7/29UPC 贴纸</t>
  </si>
  <si>
    <r>
      <rPr>
        <sz val="11"/>
        <rFont val="宋体"/>
        <charset val="0"/>
      </rPr>
      <t>日期码格式：ZURU INC(BVI) 标准格式</t>
    </r>
    <r>
      <rPr>
        <sz val="11"/>
        <color rgb="FF000000"/>
        <rFont val="宋体"/>
        <charset val="134"/>
      </rPr>
      <t xml:space="preserve">                  日期：按实际生产日期
Packaging Info: 1.优先多语 MA UPC或者3L/5L MA EAN 包装
2.请确保包装上的条形码是UPC，如果是babyUPC、需要用mother UPC覆盖，如有不一致，请及时提出。谢谢!
3 .MA PDQ 优先用3L,MA 只有1L版本的情况下就用1L PDQ
77858 MA 多语EAN 包装+UPC 贴纸+MA 多语说明书/+MA 多语收藏指南+箱唛
Remark: 
Common: Equal ratio"
77858 3PCS AA BATTERIES(NOT INCLUDED)</t>
    </r>
  </si>
  <si>
    <t>4400584667</t>
  </si>
  <si>
    <t>4500216548-50</t>
  </si>
  <si>
    <r>
      <rPr>
        <sz val="11"/>
        <rFont val="宋体"/>
        <charset val="0"/>
      </rPr>
      <t>日期码格式：ZURU INC(BVI) 标准格式</t>
    </r>
    <r>
      <rPr>
        <sz val="11"/>
        <color rgb="FF000000"/>
        <rFont val="宋体"/>
        <charset val="134"/>
      </rPr>
      <t xml:space="preserve">                  日期：按实际生产日期
Packaging Info: 
"77858: 最新MA3L-23Lwarning EAN彩盒+MA蔬菜盒子贴纸+MA复合袋+MA23L说明书+MA5L收藏指南+C版WEEE声明(不带电池)走货欧洲通用29L说明书
EAN#4894680058729"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r>
  </si>
  <si>
    <t>Mary Qu</t>
  </si>
  <si>
    <t>4400584668</t>
  </si>
  <si>
    <t>4500216548-60</t>
  </si>
  <si>
    <t>JUGUETERIAS REUNIDAS S.L.</t>
  </si>
  <si>
    <t>4500210379</t>
  </si>
  <si>
    <t>4500210379-30</t>
  </si>
  <si>
    <t>货期8/27</t>
  </si>
  <si>
    <t>7/9进口商内容贴纸</t>
  </si>
  <si>
    <r>
      <rPr>
        <sz val="11"/>
        <color rgb="FF000000"/>
        <rFont val="宋体"/>
        <charset val="0"/>
      </rPr>
      <t>日期码格式：ZURU INC(BVI) 标准格式</t>
    </r>
    <r>
      <rPr>
        <sz val="11"/>
        <color rgb="FF000000"/>
        <rFont val="宋体"/>
        <charset val="134"/>
      </rPr>
      <t xml:space="preserve">                  日期：按实际生产日期
Packaging Info: 
3.77858：最新MA 3L EAN版本包装+一张进口商内容贴纸+MA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7.需要准备每款1套大货样，请注意备料。</t>
    </r>
  </si>
  <si>
    <t>Miya Fang</t>
  </si>
  <si>
    <t>4500215773-20</t>
  </si>
  <si>
    <t>订单先暂停</t>
  </si>
  <si>
    <r>
      <rPr>
        <sz val="11"/>
        <color rgb="FF000000"/>
        <rFont val="宋体"/>
        <charset val="0"/>
      </rPr>
      <t>日期码格式：ZURU INC(BVI) 标准格式</t>
    </r>
    <r>
      <rPr>
        <sz val="11"/>
        <color rgb="FF000000"/>
        <rFont val="宋体"/>
        <charset val="134"/>
      </rPr>
      <t xml:space="preserve">                  日期：按实际生产日期
Packaging Info: MA PKG , 优先1L , MA 1L PDQ , MA 收藏指南/说明书</t>
    </r>
  </si>
  <si>
    <t>4500216502</t>
  </si>
  <si>
    <t>4400582170</t>
  </si>
  <si>
    <t>4500216502-160</t>
  </si>
  <si>
    <r>
      <rPr>
        <sz val="11"/>
        <rFont val="宋体"/>
        <charset val="0"/>
      </rPr>
      <t>日期码格式：ZURU INC(BVI) 标准格式</t>
    </r>
    <r>
      <rPr>
        <sz val="11"/>
        <color rgb="FF000000"/>
        <rFont val="宋体"/>
        <charset val="134"/>
      </rPr>
      <t xml:space="preserve">                  日期：按实际生产日期
Packaging Info: 
"77858: 最新MA3L-23Lwarning EAN彩盒+1张德语callout贴纸(翻PO#4500192949 )+MA蔬菜盒子贴纸+MA复合袋+MA23L说明书+MA5L收藏指南+C版WEEE声明(不带电池)
走货欧洲通用29L说明书
EAN#4894680058729"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r>
  </si>
  <si>
    <t>COSTCO WHOLESALE AUSTRALIA</t>
  </si>
  <si>
    <t>1924645106</t>
  </si>
  <si>
    <t>4500212220-10</t>
  </si>
  <si>
    <t>客版PDQ+客版操作指南+客版说明书+等其他内包材  （翻单COSTCO US PO#4500208890）</t>
  </si>
  <si>
    <r>
      <rPr>
        <sz val="11"/>
        <color rgb="FF000000"/>
        <rFont val="宋体"/>
        <charset val="0"/>
      </rPr>
      <t>日期码格式：ZURU INC(BVI) 标准格式</t>
    </r>
    <r>
      <rPr>
        <sz val="11"/>
        <color rgb="FF000000"/>
        <rFont val="宋体"/>
        <charset val="134"/>
      </rPr>
      <t xml:space="preserve">                  日期：按实际生产日期
Packaging Info: 77889SLT：S001-PRODBC-MINI BRANDS-MAGIC COOK KITCHEN-SERIES 1-1PK PLAYSET S1 AND 1PK MIXER/1PK BLENDER S1 COMBO IN COLOR BOX,54PCS/DISPLAY/SLIPS
HEET
客版包装: 客版PDQ+客版操作指南+客版说明书+等其他内包材  （翻单COSTCO US PO#4500208890）+ 客版彩盒带纽扣电池警告语信息+客版说明书带纽扣电池警告语
信息  （77789L MIXER + 77789K BLENDER）
Remark: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 此单出澳大利亚，请按澳洲标准生产并满足当地法规要求；如产品含纽扣电池出货, 包装前面和说明书上需加纽扣电池警语信息；
5. 此单需要通过ITS做产中抽板 (要求大货至少完成10%) + 第三方验货 (样板需求数量以及测试/验货时间待后续更新)</t>
    </r>
  </si>
  <si>
    <r>
      <rPr>
        <sz val="11"/>
        <color rgb="FF000000"/>
        <rFont val="宋体"/>
        <charset val="0"/>
      </rPr>
      <t>CANADIAN</t>
    </r>
    <r>
      <rPr>
        <sz val="12"/>
        <color rgb="FF000000"/>
        <rFont val="宋体"/>
        <charset val="134"/>
        <scheme val="minor"/>
      </rPr>
      <t xml:space="preserve">  </t>
    </r>
    <r>
      <rPr>
        <sz val="12"/>
        <color rgb="FF000000"/>
        <rFont val="宋体"/>
        <charset val="134"/>
        <scheme val="minor"/>
      </rPr>
      <t>TIRE</t>
    </r>
  </si>
  <si>
    <t>4500215240</t>
  </si>
  <si>
    <t>01941018</t>
  </si>
  <si>
    <t>4500215240-20</t>
  </si>
  <si>
    <t>UPC贴纸, 贴纸 翻单4500207509</t>
  </si>
  <si>
    <r>
      <rPr>
        <sz val="11"/>
        <color rgb="FF000000"/>
        <rFont val="宋体"/>
        <charset val="0"/>
      </rPr>
      <t>日期码格式：ZURU</t>
    </r>
    <r>
      <rPr>
        <sz val="11"/>
        <color rgb="FF000000"/>
        <rFont val="宋体"/>
        <charset val="134"/>
      </rPr>
      <t xml:space="preserve">  INC(BVI)  标准格式                                    日期：按实际生产日期
Packaging Info:
77858:  MA  3L，加UPC贴纸,  贴纸  翻单4500207509
Remark: 出加拿大
Zuru验货. 日期跟踪码:产品外包装及产品本身都必须有日期跟踪码，ZURU标准格式
日期码</t>
    </r>
  </si>
  <si>
    <r>
      <rPr>
        <sz val="11"/>
        <color rgb="FF000000"/>
        <rFont val="Arial"/>
        <charset val="0"/>
      </rPr>
      <t>Bella</t>
    </r>
    <r>
      <rPr>
        <sz val="11"/>
        <color rgb="FF000000"/>
        <rFont val="Arial"/>
        <charset val="134"/>
      </rPr>
      <t xml:space="preserve">  Tan</t>
    </r>
  </si>
  <si>
    <t>10001792903-3891</t>
  </si>
  <si>
    <t>4500216861-10</t>
  </si>
  <si>
    <t>8/11条码贴纸</t>
  </si>
  <si>
    <r>
      <rPr>
        <sz val="11"/>
        <color rgb="FF000000"/>
        <rFont val="宋体"/>
        <charset val="0"/>
      </rPr>
      <t>日期码格式：ZURU INC(BVI) 标准格式</t>
    </r>
    <r>
      <rPr>
        <sz val="11"/>
        <color rgb="FF000000"/>
        <rFont val="宋体"/>
        <charset val="134"/>
      </rPr>
      <t xml:space="preserve">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r>
  </si>
  <si>
    <r>
      <rPr>
        <sz val="11"/>
        <color rgb="FF000000"/>
        <rFont val="宋体"/>
        <charset val="0"/>
      </rPr>
      <t>ARCHIBRAND,</t>
    </r>
    <r>
      <rPr>
        <sz val="12"/>
        <color rgb="FF000000"/>
        <rFont val="宋体"/>
        <charset val="134"/>
        <scheme val="minor"/>
      </rPr>
      <t xml:space="preserve">  </t>
    </r>
    <r>
      <rPr>
        <sz val="12"/>
        <color rgb="FF000000"/>
        <rFont val="宋体"/>
        <charset val="134"/>
        <scheme val="minor"/>
      </rPr>
      <t>S.A.</t>
    </r>
    <r>
      <rPr>
        <sz val="12"/>
        <color rgb="FF000000"/>
        <rFont val="宋体"/>
        <charset val="134"/>
        <scheme val="minor"/>
      </rPr>
      <t xml:space="preserve">  </t>
    </r>
    <r>
      <rPr>
        <sz val="12"/>
        <color rgb="FF000000"/>
        <rFont val="宋体"/>
        <charset val="134"/>
        <scheme val="minor"/>
      </rPr>
      <t>DE</t>
    </r>
    <r>
      <rPr>
        <sz val="12"/>
        <color rgb="FF000000"/>
        <rFont val="宋体"/>
        <charset val="134"/>
        <scheme val="minor"/>
      </rPr>
      <t xml:space="preserve">  </t>
    </r>
    <r>
      <rPr>
        <sz val="12"/>
        <color rgb="FF000000"/>
        <rFont val="宋体"/>
        <charset val="134"/>
        <scheme val="minor"/>
      </rPr>
      <t>C.V.</t>
    </r>
  </si>
  <si>
    <t>4500210229</t>
  </si>
  <si>
    <t>4500210229-320</t>
  </si>
  <si>
    <r>
      <rPr>
        <sz val="11"/>
        <color rgb="FF000000"/>
        <rFont val="宋体"/>
        <charset val="0"/>
      </rPr>
      <t xml:space="preserve">日期码格式：ZURU INC(BVI) 标准格式 日期：按实际生产日期 Tracking Code:
Packaging Info:
 </t>
    </r>
    <r>
      <rPr>
        <sz val="11"/>
        <color rgb="FFFF0000"/>
        <rFont val="宋体"/>
        <charset val="0"/>
      </rPr>
      <t>77673/77858：MA 3L EAN包装+UPC 贴纸+进口商贴纸+箱唛+保证书，贴纸和保证书翻单PO4500210225</t>
    </r>
    <r>
      <rPr>
        <sz val="11"/>
        <color rgb="FF000000"/>
        <rFont val="宋体"/>
        <charset val="0"/>
      </rPr>
      <t xml:space="preserve">
Remark:</t>
    </r>
  </si>
  <si>
    <r>
      <rPr>
        <sz val="11"/>
        <color rgb="FF000000"/>
        <rFont val="Arial"/>
        <charset val="0"/>
      </rPr>
      <t>Ever</t>
    </r>
    <r>
      <rPr>
        <sz val="11"/>
        <color rgb="FF000000"/>
        <rFont val="Arial"/>
        <charset val="134"/>
      </rPr>
      <t xml:space="preserve">  Li</t>
    </r>
  </si>
  <si>
    <t>4500210231</t>
  </si>
  <si>
    <t>4500210231-110</t>
  </si>
  <si>
    <r>
      <rPr>
        <sz val="11"/>
        <color rgb="FF000000"/>
        <rFont val="宋体"/>
        <charset val="0"/>
      </rPr>
      <t>日期码格式：ZURU INC(BVI) 标准格式 日期：按实际生产日期 Tracking Code:
Packaging Info: 
 77858：MA 3L EAN包装+UPC 贴纸+进口商贴纸+箱唛+保证书</t>
    </r>
    <r>
      <rPr>
        <sz val="11"/>
        <color rgb="FFFF0000"/>
        <rFont val="宋体"/>
        <charset val="0"/>
      </rPr>
      <t>，贴纸和保证书翻单PO4500210225</t>
    </r>
    <r>
      <rPr>
        <sz val="11"/>
        <color rgb="FF000000"/>
        <rFont val="宋体"/>
        <charset val="0"/>
      </rPr>
      <t xml:space="preserve">
Remark:</t>
    </r>
  </si>
  <si>
    <t>6006-014364</t>
  </si>
  <si>
    <t>4500215819-80</t>
  </si>
  <si>
    <t>8/7通用进口商贴纸</t>
  </si>
  <si>
    <r>
      <rPr>
        <sz val="11"/>
        <color rgb="FF000000"/>
        <rFont val="宋体"/>
        <charset val="0"/>
      </rPr>
      <t>日期码格式：ZURU INC(BVI) 标准格式</t>
    </r>
    <r>
      <rPr>
        <sz val="11"/>
        <color rgb="FF000000"/>
        <rFont val="宋体"/>
        <charset val="134"/>
      </rPr>
      <t xml:space="preserve">                  日期：按实际生产日期
Packaging Info:
9574/77858：  MA 1L 彩盒，MA 说明书 + 1 张通用进口商贴纸（贴彩盒背面空白处，不遮挡日期码）
Remark：</t>
    </r>
  </si>
  <si>
    <t>37014</t>
  </si>
  <si>
    <t>4500216577-10</t>
  </si>
  <si>
    <t>8/3 外箱箱唛红色和黑色双色印刷</t>
  </si>
  <si>
    <r>
      <rPr>
        <sz val="11"/>
        <rFont val="宋体"/>
        <charset val="0"/>
      </rPr>
      <t>日期码格式：ZURU INC(BVI) 标准格式</t>
    </r>
    <r>
      <rPr>
        <sz val="11"/>
        <color rgb="FF000000"/>
        <rFont val="宋体"/>
        <charset val="134"/>
      </rPr>
      <t xml:space="preserve">                  日期：按实际生产日期
Packaging Info: 1. 包装方式：MA UPC 优先1L 最新包装，出口美国
Remark: 2. 外箱箱唛红色和黑色双色印刷
 3. 产品和包装上印刷tracking code信息，格式为ZURU常规</t>
    </r>
  </si>
  <si>
    <t>KMART AUSTRALIA LTD</t>
  </si>
  <si>
    <t>21785317</t>
  </si>
  <si>
    <t>4500211288-100</t>
  </si>
  <si>
    <t>欠防盗贴纸+8/17 外箱SSCC Label</t>
  </si>
  <si>
    <r>
      <rPr>
        <sz val="11"/>
        <rFont val="宋体"/>
        <charset val="0"/>
      </rPr>
      <t>日期码格式：ZURU</t>
    </r>
    <r>
      <rPr>
        <sz val="11"/>
        <color rgb="FF000000"/>
        <rFont val="宋体"/>
        <charset val="134"/>
      </rPr>
      <t xml:space="preserve">  INC(BVI) 标准格式                                    日期：按实际生产日期
Packaging Info:
77858：MA英语UPC版本包装（MA首选1L，如无1L可用多语且含英语的配套多语包装) +  1张防盗贴纸+箱唛  +  外箱SSCC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r>
  </si>
  <si>
    <t>Louise Lu</t>
  </si>
  <si>
    <t>KMART AUSTRALIA LTD(NEW ZEALAND)</t>
  </si>
  <si>
    <t>21785400</t>
  </si>
  <si>
    <t>4500211292-100</t>
  </si>
  <si>
    <t>欠防盗贴纸（贴纸资料以及位置图翻单PO#4500211288） + 欠外箱SSCC</t>
  </si>
  <si>
    <r>
      <rPr>
        <sz val="11"/>
        <rFont val="宋体"/>
        <charset val="0"/>
      </rPr>
      <t>日期码格式：ZURU</t>
    </r>
    <r>
      <rPr>
        <sz val="11"/>
        <color rgb="FF000000"/>
        <rFont val="宋体"/>
        <charset val="134"/>
      </rPr>
      <t xml:space="preserve">  INC(BVI) 标准格式                                    日期：按实际生产日期
Packaging Info: 
77858：MA英语UPC版本包装（MA首选1L，如无1L可用多语且含英语的配套多语包装) +  1张防盗贴纸（贴纸资料以及位置图翻单PO#4500211288）+箱唛  +  外箱SSCC L
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r>
  </si>
  <si>
    <t>3QOO87LV</t>
  </si>
  <si>
    <t>4500215925-10</t>
  </si>
  <si>
    <t>欠SSCC Label</t>
  </si>
  <si>
    <r>
      <rPr>
        <sz val="11"/>
        <color rgb="FF000000"/>
        <rFont val="宋体"/>
        <charset val="0"/>
      </rPr>
      <t>日期码格式：ZURU INC(BVI) 标准格式</t>
    </r>
    <r>
      <rPr>
        <sz val="11"/>
        <color rgb="FF000000"/>
        <rFont val="宋体"/>
        <charset val="134"/>
      </rPr>
      <t xml:space="preserve">                  日期：按实际生产日期
Packaging Info: #77858: STD 77858带MA包装入邮包盒，邮包盒图稿翻单4500195266。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</si>
  <si>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4500216698</t>
  </si>
  <si>
    <t>2630640</t>
  </si>
  <si>
    <t>4500216698-10</t>
  </si>
  <si>
    <t>日期码格式：ZURU INC(BVI) 标准格式                  日期：按实际生产日期
Packaging Info: 77858：英文MA包装UPC版本（首选1L，无1L可选多语）+ 外箱SSCC label；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</si>
  <si>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4500217300</t>
  </si>
  <si>
    <t>AG260206-HK</t>
  </si>
  <si>
    <t>4500217300-20</t>
  </si>
  <si>
    <t>8/5客供警语贴纸+1张HK电池警语贴纸（都贴彩盒背面）</t>
  </si>
  <si>
    <t>8/5HK客供中文说明书</t>
  </si>
  <si>
    <t>日期码格式：ZURU INC(BVI) 标准格式 日期：按实际生产日期
Packaging Info: 此单出HK
77858: MA PKG , 优先1L+ 1张HK客供警语贴纸+1张HK电池警语贴纸（都贴彩盒背面）+1张HK客供中文说明书
所有贴纸不得遮挡日期码
Remark:</t>
  </si>
  <si>
    <t>Chelsea  Luo</t>
  </si>
  <si>
    <t>CANDIDE IND E COM LTDA</t>
  </si>
  <si>
    <t>巴西</t>
  </si>
  <si>
    <t>4500213616</t>
  </si>
  <si>
    <t>BR26320</t>
  </si>
  <si>
    <t>4500213616-50</t>
  </si>
  <si>
    <t>7/28进口商贴纸+条码贴纸</t>
  </si>
  <si>
    <t>日期码格式：ZURU INC(BVI) 标准格式                  日期：按实际生产日期
Packaging Info: 
77858/77555SK1/77555GQ2  MA 1L包装+进口商贴纸+条码贴纸+箱唛
Remark: 外箱胶带要用CADIDE 格式</t>
  </si>
  <si>
    <t>TIENDAS CHEDRAUI, S.A. DE C.V.</t>
  </si>
  <si>
    <t>26244</t>
  </si>
  <si>
    <t>4500213393-10</t>
  </si>
  <si>
    <t xml:space="preserve"> 8/17电池门进口商贴纸+包装进口商贴纸</t>
  </si>
  <si>
    <t>8/17保证书+客版说明书</t>
  </si>
  <si>
    <r>
      <rPr>
        <sz val="11"/>
        <color rgb="FF000000"/>
        <rFont val="宋体"/>
        <charset val="0"/>
      </rPr>
      <t>日期码格式：ZURU INC(BVI) 标准格式</t>
    </r>
    <r>
      <rPr>
        <sz val="11"/>
        <color rgb="FF000000"/>
        <rFont val="宋体"/>
        <charset val="134"/>
      </rPr>
      <t xml:space="preserve">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77858 MA 多语EAN 包装+UPC 贴纸+MA 多语说明书/+MA 多语收藏指南+ 电池门进口商贴纸+包装进口商贴纸+客版说明书+一张保证书+箱唛
Remark: 77858:3PCS AA BATTERIES(NOT INCLUDED)</t>
    </r>
  </si>
  <si>
    <t>4500217687</t>
  </si>
  <si>
    <t>10001792902-3890</t>
  </si>
  <si>
    <t>4500217687-10</t>
  </si>
  <si>
    <t>8/17 SSCC Label</t>
  </si>
  <si>
    <r>
      <rPr>
        <sz val="11"/>
        <color rgb="FF000000"/>
        <rFont val="宋体"/>
        <charset val="0"/>
      </rPr>
      <t>日期码格式：ZURU</t>
    </r>
    <r>
      <rPr>
        <sz val="11"/>
        <color rgb="FF000000"/>
        <rFont val="宋体"/>
        <charset val="134"/>
      </rPr>
      <t xml:space="preserve">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r>
  </si>
  <si>
    <t>HOBBY  LOBBY  STORES,  INC.</t>
  </si>
  <si>
    <t>W0782090</t>
  </si>
  <si>
    <t>4500218266-10</t>
  </si>
  <si>
    <t>8/5价格贴纸+条码贴纸</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</si>
  <si>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</si>
  <si>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r>
      <rPr>
        <sz val="11"/>
        <color rgb="FF000000"/>
        <rFont val="Arial"/>
        <charset val="0"/>
      </rPr>
      <t>Joy</t>
    </r>
    <r>
      <rPr>
        <sz val="10"/>
        <color rgb="FF000000"/>
        <rFont val="等线"/>
        <charset val="134"/>
      </rPr>
      <t xml:space="preserve">  </t>
    </r>
    <r>
      <rPr>
        <sz val="10"/>
        <color rgb="FF000000"/>
        <rFont val="等线"/>
        <charset val="134"/>
      </rPr>
      <t>Huang</t>
    </r>
  </si>
  <si>
    <r>
      <rPr>
        <sz val="11"/>
        <color rgb="FF000000"/>
        <rFont val="宋体"/>
        <charset val="0"/>
      </rPr>
      <t>JUGUETES</t>
    </r>
    <r>
      <rPr>
        <sz val="12"/>
        <color rgb="FF000000"/>
        <rFont val="宋体"/>
        <charset val="0"/>
        <scheme val="minor"/>
      </rPr>
      <t xml:space="preserve">  Y  PELUCHES  SANCHIS  S.A.</t>
    </r>
  </si>
  <si>
    <t>4500215212</t>
  </si>
  <si>
    <t>4500215212-50</t>
  </si>
  <si>
    <t>7/16进口商贴纸</t>
  </si>
  <si>
    <r>
      <rPr>
        <sz val="11"/>
        <color rgb="FF000000"/>
        <rFont val="宋体"/>
        <charset val="0"/>
      </rPr>
      <t>日期码格式：ZURU INC(BVI) 标准格式 日期：按实际生产日期</t>
    </r>
    <r>
      <rPr>
        <sz val="11"/>
        <color rgb="FF000000"/>
        <rFont val="宋体"/>
        <charset val="134"/>
      </rPr>
      <t xml:space="preserve">
Packaging Info: 
77858:最新MA 3L EAN版本包装+一张进口商贴纸+MA 23L 说明书+WEEE不带电池走货欧洲29L通用黑白说明书；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r>
  </si>
  <si>
    <r>
      <rPr>
        <sz val="11"/>
        <color rgb="FF000000"/>
        <rFont val="Arial"/>
        <charset val="0"/>
      </rPr>
      <t>Mary</t>
    </r>
    <r>
      <rPr>
        <sz val="11"/>
        <color rgb="FF000000"/>
        <rFont val="Arial"/>
        <charset val="134"/>
      </rPr>
      <t xml:space="preserve">  Zhong</t>
    </r>
  </si>
  <si>
    <t>3PWOHJEP</t>
  </si>
  <si>
    <t>4500215926-10</t>
  </si>
  <si>
    <t>PPTOYS  PTE  LTD  (SG)</t>
  </si>
  <si>
    <t>新加坡</t>
  </si>
  <si>
    <t>ZU26061001SG</t>
  </si>
  <si>
    <t>4500218933-20</t>
  </si>
  <si>
    <t>欠进口商贴纸</t>
  </si>
  <si>
    <r>
      <rPr>
        <sz val="11"/>
        <rFont val="宋体"/>
        <charset val="0"/>
      </rPr>
      <t>日期码格式：ZURU</t>
    </r>
    <r>
      <rPr>
        <sz val="11"/>
        <color rgb="FF000000"/>
        <rFont val="宋体"/>
        <charset val="134"/>
      </rPr>
      <t xml:space="preserve">  INC(BVI)  标准格式                                    日期：按实际生产日期
Packaging Info: MA  UPC包装(优先1L)+固定固定进口商贴纸,贴纸资料翻单如下
77711GQ1需要额外加贴一张UPC条码贴纸;
77711GQ1-4500199081
9560-4500191191
待提供77858的贴纸
Remark：</t>
    </r>
  </si>
  <si>
    <r>
      <rPr>
        <sz val="11"/>
        <rFont val="Arial"/>
        <charset val="0"/>
      </rPr>
      <t>Emma</t>
    </r>
    <r>
      <rPr>
        <sz val="11"/>
        <color rgb="FF000000"/>
        <rFont val="宋体"/>
        <charset val="134"/>
        <scheme val="minor"/>
      </rPr>
      <t xml:space="preserve">  </t>
    </r>
    <r>
      <rPr>
        <sz val="11"/>
        <color rgb="FF000000"/>
        <rFont val="宋体"/>
        <charset val="134"/>
        <scheme val="minor"/>
      </rPr>
      <t>Wu</t>
    </r>
  </si>
  <si>
    <r>
      <rPr>
        <sz val="11"/>
        <rFont val="宋体"/>
        <charset val="0"/>
      </rPr>
      <t>MINISO</t>
    </r>
    <r>
      <rPr>
        <sz val="11"/>
        <color rgb="FF000000"/>
        <rFont val="宋体"/>
        <charset val="134"/>
        <scheme val="minor"/>
      </rPr>
      <t xml:space="preserve">  </t>
    </r>
    <r>
      <rPr>
        <sz val="11"/>
        <color rgb="FF000000"/>
        <rFont val="宋体"/>
        <charset val="134"/>
        <scheme val="minor"/>
      </rPr>
      <t>TRADING</t>
    </r>
    <r>
      <rPr>
        <sz val="11"/>
        <color rgb="FF000000"/>
        <rFont val="宋体"/>
        <charset val="134"/>
        <scheme val="minor"/>
      </rPr>
      <t xml:space="preserve">  </t>
    </r>
    <r>
      <rPr>
        <sz val="11"/>
        <color rgb="FF000000"/>
        <rFont val="宋体"/>
        <charset val="134"/>
        <scheme val="minor"/>
      </rPr>
      <t>CANADA</t>
    </r>
    <r>
      <rPr>
        <sz val="11"/>
        <color rgb="FF000000"/>
        <rFont val="宋体"/>
        <charset val="134"/>
        <scheme val="minor"/>
      </rPr>
      <t xml:space="preserve">  </t>
    </r>
    <r>
      <rPr>
        <sz val="11"/>
        <color rgb="FF000000"/>
        <rFont val="宋体"/>
        <charset val="134"/>
        <scheme val="minor"/>
      </rPr>
      <t>INC.</t>
    </r>
  </si>
  <si>
    <t>4500218481</t>
  </si>
  <si>
    <t>4500218481-50</t>
  </si>
  <si>
    <t>4500219955拆单，总数量不变</t>
  </si>
  <si>
    <r>
      <rPr>
        <sz val="11"/>
        <rFont val="宋体"/>
        <charset val="0"/>
      </rPr>
      <t>日期码格式：ZURU</t>
    </r>
    <r>
      <rPr>
        <sz val="11"/>
        <color rgb="FF000000"/>
        <rFont val="宋体"/>
        <charset val="134"/>
      </rPr>
      <t xml:space="preserve">  INC(BVI)  标准格式                                    日期：按实际生产日期
Packaging Info: 1.  包装方式：MA  UPC  3L  最新包装，出口加拿大.
   2.  产品和包装上印刷tracking  code信息，格式为ZURU常规；
   3.  ZURU  QC  验货合格后即可出货.
Remark: </t>
    </r>
  </si>
  <si>
    <r>
      <rPr>
        <sz val="11"/>
        <rFont val="Arial"/>
        <charset val="0"/>
      </rPr>
      <t>Iris</t>
    </r>
    <r>
      <rPr>
        <sz val="11"/>
        <color rgb="FF000000"/>
        <rFont val="宋体"/>
        <charset val="134"/>
        <scheme val="minor"/>
      </rPr>
      <t xml:space="preserve">  </t>
    </r>
    <r>
      <rPr>
        <sz val="11"/>
        <color rgb="FF000000"/>
        <rFont val="宋体"/>
        <charset val="134"/>
        <scheme val="minor"/>
      </rPr>
      <t>Yuan</t>
    </r>
  </si>
  <si>
    <t>MINISO  TRADING  CANADA  INC.</t>
  </si>
  <si>
    <t>4371654156</t>
  </si>
  <si>
    <t>4500219955-50</t>
  </si>
  <si>
    <r>
      <rPr>
        <sz val="11"/>
        <rFont val="宋体"/>
        <charset val="0"/>
      </rPr>
      <t>日期码格式：ZURU</t>
    </r>
    <r>
      <rPr>
        <sz val="11"/>
        <color rgb="FF000000"/>
        <rFont val="宋体"/>
        <charset val="134"/>
      </rPr>
      <t xml:space="preserve">  INC(BVI)  标准格式                                    日期：按实际生产日期
Packaging Info: 1.  包装方式：MA  UPC  3L  最新包装，出口加拿大.
   2.  产品和包装上印刷tracking  code信息，格式为ZURU常规；
   3.  ZURU  QC  验货合格后即可出货.
Remark:</t>
    </r>
  </si>
  <si>
    <t>4500207228</t>
  </si>
  <si>
    <t>4SCITU6R</t>
  </si>
  <si>
    <t>4500207228-120</t>
  </si>
  <si>
    <t>37070</t>
  </si>
  <si>
    <t>4500218444-90</t>
  </si>
  <si>
    <t>8/11  外箱箱唛红色和黑色双色印刷</t>
  </si>
  <si>
    <r>
      <rPr>
        <sz val="11"/>
        <rFont val="宋体"/>
        <charset val="0"/>
      </rPr>
      <t>日期码格式：ZURU</t>
    </r>
    <r>
      <rPr>
        <sz val="11"/>
        <color rgb="FF000000"/>
        <rFont val="宋体"/>
        <charset val="134"/>
      </rPr>
      <t xml:space="preserve">  INC(BVI) 标准格式                                    日期：按实际生产日期
Packaging Info: 1. 包装方式：MA UPC 优先1L 最新包装，出口美国
Remark: 2. 外箱箱唛红色和黑色双色印刷
  3. 产品和包装上印刷tracking  code信息，格式为ZURU常规
  4. 15789UQ1消耗订单4500199607取消的15789U Q1，外箱箱唛用水贴纸覆盖</t>
    </r>
  </si>
  <si>
    <t>10001792882-3891</t>
  </si>
  <si>
    <t>4500218110-10</t>
  </si>
  <si>
    <t>欠条码箱贴纸</t>
  </si>
  <si>
    <t>日期码格式：ZURU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</si>
  <si>
    <t>3118</t>
  </si>
  <si>
    <t>4500219625-30</t>
  </si>
  <si>
    <t>日期码格式：ZURU  INC(BVI)  标准格式                                    日期：按实际生产日期
Packaging Info:
77858:MA  UPC  英语包装（优先1L英语版本，或者3L/5L含英语都可）
Remark: 此单出口澳大利亚/新西兰,  请按澳新标准生产.  如产品含纽扣电池出货,  包装前面和说明书上需加纽扣电池警语贴纸。</t>
  </si>
  <si>
    <r>
      <rPr>
        <sz val="11"/>
        <color rgb="FF000000"/>
        <rFont val="Arial"/>
        <charset val="0"/>
      </rPr>
      <t>Ivy</t>
    </r>
    <r>
      <rPr>
        <sz val="11"/>
        <color rgb="FF000000"/>
        <rFont val="宋体"/>
        <charset val="134"/>
        <scheme val="minor"/>
      </rPr>
      <t xml:space="preserve">  </t>
    </r>
    <r>
      <rPr>
        <sz val="11"/>
        <color rgb="FF000000"/>
        <rFont val="宋体"/>
        <charset val="134"/>
        <scheme val="minor"/>
      </rPr>
      <t>Li</t>
    </r>
  </si>
  <si>
    <t>10002024621-0581</t>
  </si>
  <si>
    <t>4500219221-20</t>
  </si>
  <si>
    <r>
      <rPr>
        <sz val="11"/>
        <rFont val="宋体"/>
        <charset val="0"/>
      </rPr>
      <t>日期码格式：ZURU</t>
    </r>
    <r>
      <rPr>
        <sz val="11"/>
        <color rgb="FF000000"/>
        <rFont val="宋体"/>
        <charset val="134"/>
      </rPr>
      <t xml:space="preserve">  INC(BVI) 标准格式                                    日期：按实际生产日期
Packaging Info: 产品包装  MA 1L 彩盒
Remark: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产品和包装上印刷  tracking  code信息，格式为ZURU常规格式;
  5. 出货方式：货代自提</t>
    </r>
  </si>
  <si>
    <t>4JBCAA8W</t>
  </si>
  <si>
    <t>4500215927-10</t>
  </si>
  <si>
    <t>4500209724-160</t>
  </si>
  <si>
    <t>日期码格式：ZURU  INC(BVI) 标准格式                                    日期：按实际生产日期
Packaging Info: 物料要求  SKU
  2 77858 UPC  193052100238#MA+中文黑白说明书+中文3C贴纸+ 中文收藏指南1
Remark: 2 .外箱材质如下：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</si>
  <si>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4500217034-10</t>
  </si>
  <si>
    <r>
      <rPr>
        <sz val="11"/>
        <color rgb="FF000000"/>
        <rFont val="宋体"/>
        <charset val="0"/>
      </rPr>
      <t>日期码格式：ZURU</t>
    </r>
    <r>
      <rPr>
        <sz val="11"/>
        <color rgb="FF000000"/>
        <rFont val="宋体"/>
        <charset val="134"/>
      </rPr>
      <t xml:space="preserve">  INC(BVI) 标准格式 日期：按实际生产日期
Packaging Info: MA UPC 1L PKG
Remark:</t>
    </r>
  </si>
  <si>
    <r>
      <rPr>
        <sz val="11"/>
        <color rgb="FF000000"/>
        <rFont val="Arial"/>
        <charset val="0"/>
      </rPr>
      <t>Lillian</t>
    </r>
    <r>
      <rPr>
        <sz val="11"/>
        <color rgb="FF000000"/>
        <rFont val="Arial"/>
        <charset val="134"/>
      </rPr>
      <t xml:space="preserve">  Li</t>
    </r>
  </si>
  <si>
    <t>3LQXOFXI</t>
  </si>
  <si>
    <t>4500215928-10</t>
  </si>
  <si>
    <t>10001792881-3890</t>
  </si>
  <si>
    <t>4500218113-10</t>
  </si>
  <si>
    <r>
      <rPr>
        <sz val="11"/>
        <rFont val="宋体"/>
        <charset val="0"/>
      </rPr>
      <t>日期码格式：ZURU</t>
    </r>
    <r>
      <rPr>
        <sz val="11"/>
        <color rgb="FF000000"/>
        <rFont val="宋体"/>
        <charset val="134"/>
      </rPr>
      <t xml:space="preserve">  INC(BVI) 标准格式                                    日期：按实际生产日期
Packaging Info: 77858：产品包装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以上Items：
  1. 产品和包装上印刷  tracking  code信息，格式为ZURU常规格式;
  2. 出货方式：货代自提</t>
    </r>
  </si>
  <si>
    <t>3PB57YHJ</t>
  </si>
  <si>
    <t>4500215928-20</t>
  </si>
  <si>
    <t>2653836</t>
  </si>
  <si>
    <t>4500218366-10</t>
  </si>
  <si>
    <r>
      <rPr>
        <sz val="11"/>
        <rFont val="宋体"/>
        <charset val="0"/>
      </rPr>
      <t>日期码格式：ZURU</t>
    </r>
    <r>
      <rPr>
        <sz val="11"/>
        <color rgb="FF000000"/>
        <rFont val="宋体"/>
        <charset val="134"/>
      </rPr>
      <t xml:space="preserve">  INC(BVI) 标准格式                                    日期：按实际生产日期
Packaging Info: 77858：英文MA包装UPC版本（首选1L，无1L可选多语）+  外箱SSCC  label；
有其他客人投诉订单少装了配件  ，请确保整套包含了:     水槽、洗碗机、炉灶、烤箱, 橱柜和  7件迷你配件
配比信息：4  mini vinyls,1  accessory
Removed了  ""Messy &lt;(&gt;&amp;&lt;)&gt;  Delicious"  两张唱片
Remark: 1. 客人要求箱唛不可出现任何手写内容，重量与实际一致且不可手写;
  2. 此单去澳大利亚，请按相应澳新标准生产; 如产品含纽扣电池出货,  包装前面和说明书上需加纽扣电池警语贴纸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r>
  </si>
  <si>
    <r>
      <rPr>
        <sz val="11"/>
        <rFont val="Arial"/>
        <charset val="0"/>
      </rPr>
      <t>Ivy</t>
    </r>
    <r>
      <rPr>
        <sz val="10"/>
        <color rgb="FF000000"/>
        <rFont val="等线"/>
        <charset val="134"/>
      </rPr>
      <t xml:space="preserve">  </t>
    </r>
    <r>
      <rPr>
        <sz val="10"/>
        <color rgb="FF000000"/>
        <rFont val="等线"/>
        <charset val="134"/>
      </rPr>
      <t>Li</t>
    </r>
  </si>
  <si>
    <t>10001792971-3891</t>
  </si>
  <si>
    <t>4500219154-10</t>
  </si>
  <si>
    <t>10002024608-0581</t>
  </si>
  <si>
    <t>4500219223-30</t>
  </si>
  <si>
    <r>
      <rPr>
        <sz val="11"/>
        <rFont val="宋体"/>
        <charset val="0"/>
      </rPr>
      <t>日期码格式：ZURU</t>
    </r>
    <r>
      <rPr>
        <sz val="11"/>
        <color rgb="FF000000"/>
        <rFont val="宋体"/>
        <charset val="134"/>
      </rPr>
      <t xml:space="preserve">  INC(BVI)  标准格式                                    日期：按实际生产日期
Packaging Info: 
77858:  产品包装  MA  1L  彩盒
Remark: 
77858:
1.  77858-S001-MINI  BRANDS-MAGIC  COOK  KITCHEN  PLAYSET-SERIES  1-WINDOW  BOX,3PCS/CTN;
2.  产品包装  MA  1L  彩盒，彩盒上的UPC显示193052100238;
  3.  外箱正唛左上角位置粘贴条码箱贴纸，每箱只贴一张，由ZURU订购。来料贴纸上显示的客户DPCI:  086-02-5654,  UPC显示10193052100235;
  4.  产品和包装上印刷  tracking  code信息，格式为ZURU常规格式;
  5.  出货方式：货代自提</t>
    </r>
  </si>
  <si>
    <r>
      <rPr>
        <sz val="11"/>
        <rFont val="Arial"/>
        <charset val="0"/>
      </rPr>
      <t>Holly</t>
    </r>
    <r>
      <rPr>
        <sz val="11"/>
        <color rgb="FF000000"/>
        <rFont val="宋体"/>
        <charset val="134"/>
        <scheme val="minor"/>
      </rPr>
      <t xml:space="preserve">  </t>
    </r>
    <r>
      <rPr>
        <sz val="11"/>
        <color rgb="FF000000"/>
        <rFont val="宋体"/>
        <charset val="134"/>
        <scheme val="minor"/>
      </rPr>
      <t>Zheng</t>
    </r>
  </si>
  <si>
    <t>10001792966-3890</t>
  </si>
  <si>
    <t>4500219162-10</t>
  </si>
  <si>
    <t>JULIO CEPEDA JUGUETERIAS</t>
  </si>
  <si>
    <t>4500215828-10</t>
  </si>
  <si>
    <t>欠UPC 贴纸+进口商贴纸</t>
  </si>
  <si>
    <r>
      <rPr>
        <sz val="11"/>
        <color rgb="FF000000"/>
        <rFont val="宋体"/>
        <charset val="0"/>
      </rPr>
      <t>日期码格式：ZURU INC(BVI) 标准格式</t>
    </r>
    <r>
      <rPr>
        <sz val="11"/>
        <color rgb="FF000000"/>
        <rFont val="宋体"/>
        <charset val="134"/>
      </rPr>
      <t xml:space="preserve">                  日期：按实际生产日期
Packaging Info: 1.优先多语 MA UPC或者3L/5L MA EAN 包装
2.请确保包装上的条形码是UPC，如果是babyUPC、需要用mother UPC覆盖，如有不一致，请及时提出。谢谢!
3.需要监柜，每个款需要1pc样办
77858 MA 多语EAN 包装+UPC 贴纸+MA 多语说明书/+MA 多语收藏指南+进口商贴纸+箱唛
Remark: 77858 3PCS AA BATTERIES(NOT INCLUDED)</t>
    </r>
  </si>
  <si>
    <t>BINGO  GLOBAL  GROUP  FOR  TRADING  SUPP</t>
  </si>
  <si>
    <t>埃及</t>
  </si>
  <si>
    <t>4500198914-20</t>
  </si>
  <si>
    <t>7/24进口商贴纸</t>
  </si>
  <si>
    <t>77858：MA EAN版本包装+一张进口商贴纸+箱唛</t>
  </si>
  <si>
    <t>Nora  Pan</t>
  </si>
  <si>
    <t xml:space="preserve"> </t>
  </si>
  <si>
    <t>MA Order No. :</t>
  </si>
  <si>
    <t>MA-RR-2075</t>
  </si>
  <si>
    <t>MA-RR-2166</t>
  </si>
  <si>
    <t>MA-RR-2400</t>
  </si>
  <si>
    <t>MA-RR-2477</t>
  </si>
  <si>
    <t>MA-RR-</t>
  </si>
  <si>
    <t>Grand Total</t>
  </si>
  <si>
    <t>实际订单</t>
  </si>
  <si>
    <t>剩余MA</t>
  </si>
  <si>
    <t>Order Date:</t>
  </si>
  <si>
    <t>Required CRD:</t>
  </si>
  <si>
    <t>Capsule 77858</t>
  </si>
  <si>
    <t>MA NO.</t>
  </si>
  <si>
    <t>IC No.</t>
  </si>
  <si>
    <t>IC Supplier</t>
  </si>
  <si>
    <t>IC Wafer</t>
  </si>
  <si>
    <t>L/T</t>
  </si>
  <si>
    <t>MOQ</t>
  </si>
  <si>
    <t>Unit Price</t>
  </si>
  <si>
    <t>MFQ QTY</t>
  </si>
  <si>
    <r>
      <rPr>
        <b/>
        <sz val="9"/>
        <color rgb="FFFFFF00"/>
        <rFont val="Tahoma"/>
        <charset val="134"/>
      </rPr>
      <t>MA-RR-1</t>
    </r>
    <r>
      <rPr>
        <b/>
        <sz val="9"/>
        <color indexed="34"/>
        <rFont val="宋体"/>
        <charset val="134"/>
      </rPr>
      <t>983</t>
    </r>
  </si>
  <si>
    <t>MA-RR-2025</t>
  </si>
  <si>
    <t>MA-RR-2045</t>
  </si>
  <si>
    <t>MA-RR-2119</t>
  </si>
  <si>
    <t>MA-RR-2171</t>
  </si>
  <si>
    <t>MA-RR-2227</t>
  </si>
  <si>
    <t>MA-RR-2377</t>
  </si>
  <si>
    <t>MA-RR-2403</t>
  </si>
  <si>
    <t>MA_RR_2445母体IC</t>
  </si>
  <si>
    <r>
      <rPr>
        <b/>
        <sz val="10"/>
        <color theme="0"/>
        <rFont val="Tahoma"/>
        <charset val="134"/>
      </rPr>
      <t>MA</t>
    </r>
    <r>
      <rPr>
        <b/>
        <sz val="10"/>
        <color indexed="9"/>
        <rFont val="宋体"/>
        <charset val="134"/>
      </rPr>
      <t>订单累计</t>
    </r>
    <r>
      <rPr>
        <b/>
        <sz val="10"/>
        <color indexed="9"/>
        <rFont val="Tahoma"/>
        <charset val="134"/>
      </rPr>
      <t xml:space="preserve"> Cumulative Total</t>
    </r>
  </si>
  <si>
    <t>Ordered Date</t>
  </si>
  <si>
    <t>Required Delivery Date</t>
  </si>
  <si>
    <t>供应商回复货期</t>
  </si>
  <si>
    <t>MB-Magic Cook Kitchen Playset S1 #77858</t>
  </si>
  <si>
    <t>HY2409148-6</t>
  </si>
  <si>
    <t>华远科创</t>
  </si>
  <si>
    <r>
      <rPr>
        <sz val="10"/>
        <color rgb="FFFF0000"/>
        <rFont val="Arial"/>
        <charset val="134"/>
      </rPr>
      <t>ZJ-3718L-1511 (</t>
    </r>
    <r>
      <rPr>
        <sz val="10"/>
        <color rgb="FFFF0000"/>
        <rFont val="宋体"/>
        <charset val="134"/>
      </rPr>
      <t>安规雾化片</t>
    </r>
    <r>
      <rPr>
        <sz val="10"/>
        <color rgb="FFFF0000"/>
        <rFont val="Arial"/>
        <charset val="134"/>
      </rPr>
      <t>)</t>
    </r>
  </si>
  <si>
    <t>东莞市智杰电子科技有限公司</t>
  </si>
  <si>
    <t>Running Sum</t>
  </si>
  <si>
    <t>放定日期</t>
  </si>
  <si>
    <t>到料日期</t>
  </si>
  <si>
    <t>Damand FCST by 2025-10-27</t>
  </si>
  <si>
    <t>MA No.</t>
  </si>
  <si>
    <t>MA-RR-1957</t>
  </si>
  <si>
    <t>MA-RR-2089</t>
  </si>
  <si>
    <t>MA-RR-2172</t>
  </si>
  <si>
    <t>MA-RR-2399</t>
  </si>
  <si>
    <t>MA-RR-2476</t>
  </si>
  <si>
    <t>MA</t>
  </si>
  <si>
    <t>图片</t>
  </si>
  <si>
    <t>名称</t>
  </si>
  <si>
    <t>Ratio</t>
  </si>
  <si>
    <t>布料名称</t>
  </si>
  <si>
    <t>部位</t>
  </si>
  <si>
    <t>用量</t>
  </si>
  <si>
    <t>可生产item数量(PCS)</t>
  </si>
  <si>
    <t>单价
(RMB)</t>
  </si>
  <si>
    <t>布料生產期單位(天)+测试</t>
  </si>
  <si>
    <t>MOQ可生产球的数量</t>
  </si>
  <si>
    <t>FCST布料需求量</t>
  </si>
  <si>
    <t>新购买</t>
  </si>
  <si>
    <t>累计购买金额</t>
  </si>
  <si>
    <t>总放定布料数</t>
  </si>
  <si>
    <t>总放定布料可生产数</t>
  </si>
  <si>
    <t>此款需求数(按Playset MA数量)</t>
  </si>
  <si>
    <t>此款布料需求(按球MA数量)</t>
  </si>
  <si>
    <t>库存剩余数量</t>
  </si>
  <si>
    <t>剩余布料可生产球数</t>
  </si>
  <si>
    <t>橙色格子帘布</t>
  </si>
  <si>
    <t>60"200G不防水白色四面弹斜纹布+数码满地印红橙格子+正反折皱</t>
  </si>
  <si>
    <t>帘子</t>
  </si>
  <si>
    <t>35+7天</t>
  </si>
  <si>
    <r>
      <rPr>
        <b/>
        <sz val="14"/>
        <rFont val="Arial"/>
        <charset val="0"/>
      </rPr>
      <t>77858</t>
    </r>
    <r>
      <rPr>
        <b/>
        <sz val="14"/>
        <rFont val="宋体"/>
        <charset val="0"/>
      </rPr>
      <t>包装</t>
    </r>
    <r>
      <rPr>
        <b/>
        <sz val="14"/>
        <rFont val="Arial"/>
        <charset val="0"/>
      </rPr>
      <t>MA</t>
    </r>
  </si>
  <si>
    <t>放MA日期</t>
  </si>
  <si>
    <t>货号</t>
  </si>
  <si>
    <t>负责</t>
  </si>
  <si>
    <t>MA订单号码</t>
  </si>
  <si>
    <t>彩盒</t>
  </si>
  <si>
    <t>收藏指南</t>
  </si>
  <si>
    <t>客版彩盒</t>
  </si>
  <si>
    <t>客版PDQ</t>
  </si>
  <si>
    <t>客版收藏指南</t>
  </si>
  <si>
    <r>
      <rPr>
        <sz val="9"/>
        <rFont val="Arial"/>
        <charset val="0"/>
      </rPr>
      <t>1L A</t>
    </r>
    <r>
      <rPr>
        <sz val="9"/>
        <rFont val="宋体"/>
        <charset val="0"/>
      </rPr>
      <t>版</t>
    </r>
  </si>
  <si>
    <t>3L A版</t>
  </si>
  <si>
    <t>5L A版</t>
  </si>
  <si>
    <t>5L B版</t>
  </si>
  <si>
    <t>3L</t>
  </si>
  <si>
    <t xml:space="preserve">5L </t>
  </si>
  <si>
    <t xml:space="preserve"> 3L</t>
  </si>
  <si>
    <t>Jasmine Huang</t>
  </si>
  <si>
    <t>1000036716</t>
  </si>
  <si>
    <t>1000036717</t>
  </si>
  <si>
    <t>1000036718</t>
  </si>
  <si>
    <t>1000038697</t>
  </si>
  <si>
    <t>1000038698</t>
  </si>
  <si>
    <t>1000038699</t>
  </si>
  <si>
    <t>77889SLT</t>
  </si>
  <si>
    <t>Violet Chen</t>
  </si>
  <si>
    <t>1000039096</t>
  </si>
  <si>
    <t>Cherish用于Costco USA 订单明细如下, 一共10张单,   CRD 6/18-6/29；Costco CA 订单明细如下, 一共7张单, CRD 6/29-7/9  4500199798/4500199804/4500199805
4500199806
4500199807
4500199809
4500199810
4500199811
4500199814
4500199817/4500199850
4500199853
4500199854
4500199855
4500199856
4500199857
4500199858</t>
  </si>
  <si>
    <t>1000039098</t>
  </si>
  <si>
    <t>4500199798
4500199804
4500199805
4500199806
4500199807
4500199809
4500199810
4500199811
4500199814
4500199817/4500199850
4500199853
4500199854
4500199855
4500199856
4500199857
4500199858</t>
  </si>
  <si>
    <t>1000039099</t>
  </si>
  <si>
    <t>1000039100</t>
  </si>
  <si>
    <t>1000039528</t>
  </si>
  <si>
    <t>1000039529</t>
  </si>
  <si>
    <t>1000039530</t>
  </si>
  <si>
    <t>1000040017</t>
  </si>
  <si>
    <t>Cynthia用于Costco USA 订单明细如下, 一共14张单, CRD2026/7/1—2026/7/15；Costco CA 订单明细如下, 一共3张单,4500206634
4500206635
4500206637
4500206638
4500206639
4500206641
4500206643
4500206645
4500206646
4500206648
4500206650
4500206651
4500206652
4500206653/4500199859
4500199860
4500199861</t>
  </si>
  <si>
    <t>1000040018</t>
  </si>
  <si>
    <t>1000040019</t>
  </si>
  <si>
    <t>1000040020</t>
  </si>
  <si>
    <t>1000041170</t>
  </si>
  <si>
    <t>4500208877/4500208878/4500208879/4500208880/4500208881/4500208882/4500208883/4500208884/4500208885/4500208886/4500208887/4500208888/4500208889/4500208890/4500199862/4500199863/4500199864</t>
  </si>
  <si>
    <t>1000041171</t>
  </si>
  <si>
    <t>1000041172</t>
  </si>
  <si>
    <t>1000041173</t>
  </si>
  <si>
    <t>1000041485</t>
  </si>
  <si>
    <t>A版本</t>
  </si>
  <si>
    <t>1000041486</t>
  </si>
  <si>
    <t>1000041487</t>
  </si>
  <si>
    <t>B版本</t>
  </si>
  <si>
    <t>Ariel Peng</t>
  </si>
  <si>
    <t>1000042123</t>
  </si>
  <si>
    <t>Eva 用于COSTCO MX 4500198844+4500198845+4500198846+4500198848+4500198849+4500198850</t>
  </si>
  <si>
    <t>1000042124</t>
  </si>
  <si>
    <t>1000042125</t>
  </si>
  <si>
    <t>1000042126</t>
  </si>
  <si>
    <t>Babbit Zhong</t>
  </si>
  <si>
    <t>1000042139</t>
  </si>
  <si>
    <t>Zoe-4500208477&amp;4500206719</t>
  </si>
  <si>
    <t>1000042140</t>
  </si>
  <si>
    <t>1000042141</t>
  </si>
  <si>
    <t>1000042142</t>
  </si>
  <si>
    <t>1000042812</t>
  </si>
  <si>
    <t>1000042813</t>
  </si>
  <si>
    <t>1000042814</t>
  </si>
  <si>
    <t>1000043316</t>
  </si>
  <si>
    <t>Chelsie Chen</t>
  </si>
  <si>
    <t>1000043884</t>
  </si>
  <si>
    <t>1000043885</t>
  </si>
  <si>
    <t>1000044066</t>
  </si>
  <si>
    <t>MA合計</t>
  </si>
  <si>
    <t>接單數量</t>
  </si>
  <si>
    <t>包装MA剩餘數</t>
  </si>
  <si>
    <r>
      <rPr>
        <b/>
        <sz val="11"/>
        <color rgb="FFFF0000"/>
        <rFont val="汉仪书宋二KW"/>
        <charset val="0"/>
      </rPr>
      <t>第三方客户</t>
    </r>
    <r>
      <rPr>
        <b/>
        <sz val="11"/>
        <color rgb="FFFF0000"/>
        <rFont val="Arial"/>
        <charset val="0"/>
      </rPr>
      <t xml:space="preserve">
 PO NO#</t>
    </r>
  </si>
  <si>
    <r>
      <rPr>
        <b/>
        <sz val="10"/>
        <color rgb="FFFF0000"/>
        <rFont val="Arial"/>
        <charset val="0"/>
      </rPr>
      <t>PO</t>
    </r>
    <r>
      <rPr>
        <b/>
        <sz val="10"/>
        <color rgb="FFFF0000"/>
        <rFont val="汉仪书宋二KW"/>
        <charset val="0"/>
      </rPr>
      <t>数量</t>
    </r>
    <r>
      <rPr>
        <b/>
        <sz val="10"/>
        <color rgb="FFFF0000"/>
        <rFont val="Arial"/>
        <charset val="0"/>
      </rPr>
      <t xml:space="preserve">
(pcs)</t>
    </r>
  </si>
  <si>
    <r>
      <rPr>
        <b/>
        <sz val="10"/>
        <color rgb="FFFF0000"/>
        <rFont val="汉仪书宋二KW"/>
        <charset val="0"/>
      </rPr>
      <t>内箱装箱数量</t>
    </r>
    <r>
      <rPr>
        <b/>
        <sz val="10"/>
        <color rgb="FFFF0000"/>
        <rFont val="Arial"/>
        <charset val="0"/>
      </rPr>
      <t>(pcs)</t>
    </r>
  </si>
  <si>
    <r>
      <rPr>
        <b/>
        <sz val="11"/>
        <color rgb="FFFF0000"/>
        <rFont val="汉仪书宋二KW"/>
        <charset val="0"/>
      </rPr>
      <t>外箱装箱数量</t>
    </r>
    <r>
      <rPr>
        <b/>
        <sz val="11"/>
        <color rgb="FFFF0000"/>
        <rFont val="Arial"/>
        <charset val="0"/>
      </rPr>
      <t>(pcs)</t>
    </r>
  </si>
  <si>
    <r>
      <rPr>
        <b/>
        <sz val="11"/>
        <color rgb="FFFF0000"/>
        <rFont val="Arial"/>
        <charset val="0"/>
      </rPr>
      <t>S/0</t>
    </r>
    <r>
      <rPr>
        <b/>
        <sz val="11"/>
        <color rgb="FFFF0000"/>
        <rFont val="宋体"/>
        <charset val="0"/>
      </rPr>
      <t>船期</t>
    </r>
  </si>
  <si>
    <r>
      <rPr>
        <b/>
        <sz val="11"/>
        <color rgb="FFFF0000"/>
        <rFont val="汉仪书宋二KW"/>
        <charset val="0"/>
      </rPr>
      <t>箱唛资料</t>
    </r>
    <r>
      <rPr>
        <b/>
        <sz val="11"/>
        <color rgb="FFFF0000"/>
        <rFont val="Arial"/>
        <charset val="0"/>
      </rPr>
      <t>(</t>
    </r>
    <r>
      <rPr>
        <b/>
        <sz val="11"/>
        <color rgb="FFFF0000"/>
        <rFont val="汉仪书宋二KW"/>
        <charset val="0"/>
      </rPr>
      <t>收到日期</t>
    </r>
    <r>
      <rPr>
        <b/>
        <sz val="11"/>
        <color rgb="FFFF0000"/>
        <rFont val="Arial"/>
        <charset val="0"/>
      </rPr>
      <t>)</t>
    </r>
  </si>
  <si>
    <r>
      <rPr>
        <b/>
        <sz val="11"/>
        <color rgb="FFFF0000"/>
        <rFont val="汉仪书宋二KW"/>
        <charset val="0"/>
      </rPr>
      <t>客供贴纸</t>
    </r>
    <r>
      <rPr>
        <b/>
        <sz val="11"/>
        <color rgb="FFFF0000"/>
        <rFont val="Arial"/>
        <charset val="0"/>
      </rPr>
      <t>AI(</t>
    </r>
    <r>
      <rPr>
        <b/>
        <sz val="11"/>
        <color rgb="FFFF0000"/>
        <rFont val="汉仪书宋二KW"/>
        <charset val="0"/>
      </rPr>
      <t>收到日期</t>
    </r>
    <r>
      <rPr>
        <b/>
        <sz val="11"/>
        <color rgb="FFFF0000"/>
        <rFont val="Arial"/>
        <charset val="0"/>
      </rPr>
      <t>)</t>
    </r>
  </si>
  <si>
    <r>
      <rPr>
        <b/>
        <sz val="11"/>
        <color rgb="FFFF0000"/>
        <rFont val="Arial"/>
        <charset val="0"/>
      </rPr>
      <t xml:space="preserve">ZURU </t>
    </r>
    <r>
      <rPr>
        <b/>
        <sz val="11"/>
        <color rgb="FFFF0000"/>
        <rFont val="汉仪书宋二KW"/>
        <charset val="0"/>
      </rPr>
      <t>跟单</t>
    </r>
  </si>
  <si>
    <r>
      <rPr>
        <b/>
        <sz val="11"/>
        <color rgb="FFFF0000"/>
        <rFont val="汉仪书宋二KW"/>
        <charset val="0"/>
      </rPr>
      <t>单价</t>
    </r>
    <r>
      <rPr>
        <b/>
        <sz val="11"/>
        <color rgb="FFFF0000"/>
        <rFont val="Arial"/>
        <charset val="0"/>
      </rPr>
      <t>USD</t>
    </r>
  </si>
  <si>
    <r>
      <rPr>
        <b/>
        <sz val="11"/>
        <color rgb="FFFF0000"/>
        <rFont val="汉仪书宋二KW"/>
        <charset val="0"/>
      </rPr>
      <t>金额</t>
    </r>
    <r>
      <rPr>
        <b/>
        <sz val="11"/>
        <color rgb="FFFF0000"/>
        <rFont val="Arial"/>
        <charset val="0"/>
      </rPr>
      <t>USD</t>
    </r>
  </si>
  <si>
    <r>
      <rPr>
        <b/>
        <sz val="11"/>
        <color rgb="FFFF0000"/>
        <rFont val="宋体"/>
        <charset val="0"/>
      </rPr>
      <t xml:space="preserve">客版5L
</t>
    </r>
    <r>
      <rPr>
        <sz val="11"/>
        <color rgb="FFFF0000"/>
        <rFont val="宋体"/>
        <charset val="0"/>
      </rPr>
      <t>收藏指南</t>
    </r>
  </si>
  <si>
    <r>
      <rPr>
        <b/>
        <sz val="11"/>
        <color rgb="FFFF0000"/>
        <rFont val="宋体"/>
        <charset val="0"/>
      </rPr>
      <t xml:space="preserve">5L
</t>
    </r>
    <r>
      <rPr>
        <sz val="11"/>
        <color rgb="FFFF0000"/>
        <rFont val="宋体"/>
        <charset val="0"/>
      </rPr>
      <t>收藏指南</t>
    </r>
  </si>
  <si>
    <r>
      <rPr>
        <b/>
        <sz val="11"/>
        <color rgb="FFFF0000"/>
        <rFont val="宋体"/>
        <charset val="0"/>
      </rPr>
      <t>客版</t>
    </r>
    <r>
      <rPr>
        <b/>
        <sz val="11"/>
        <color rgb="FFFF0000"/>
        <rFont val="Arial"/>
        <charset val="0"/>
      </rPr>
      <t>PDQ</t>
    </r>
  </si>
  <si>
    <t>5200008906</t>
  </si>
  <si>
    <t>4500192979-120</t>
  </si>
  <si>
    <t>转单4500192979</t>
  </si>
  <si>
    <t>邮包盒</t>
  </si>
  <si>
    <t>日期码格式：ZURU INC(BVI) 标准格式 日期：按实际生产日期
Packaging Info:
#77858: STD 77858带MA包装入邮包盒，邮包盒图稿跟单提供。首单需要提供大货样1PC(含邮包盒+产品)，测试样规格和大货一样，用于测ISTA6.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</si>
  <si>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无bom</t>
  </si>
  <si>
    <t>6FOAAL4E</t>
  </si>
  <si>
    <t>4500193997-10</t>
  </si>
  <si>
    <t>日期码格式：ZURU INC(BVI) 标准格式 日期：按实际生产日期
Packaging Info: #77858: STD 77858带MA包装入邮包盒，邮包盒图稿翻单4500192979。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</si>
  <si>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2FJ8CEIC</t>
  </si>
  <si>
    <t>4500194000-10</t>
  </si>
  <si>
    <t>4ZTS3SGW</t>
  </si>
  <si>
    <t>4500195252-170</t>
  </si>
  <si>
    <t>3402PCS由Domestic PO4500192979转单</t>
  </si>
  <si>
    <r>
      <rPr>
        <sz val="9"/>
        <color rgb="FFFF0000"/>
        <rFont val="宋体"/>
        <charset val="134"/>
      </rPr>
      <t>邮包盒图稿翻单</t>
    </r>
    <r>
      <rPr>
        <sz val="9"/>
        <color rgb="FFFF0000"/>
        <rFont val="STSong-Light"/>
        <charset val="134"/>
      </rPr>
      <t>4500194000</t>
    </r>
  </si>
  <si>
    <t>日期码格式：ZURU INC(BVI) 标准格式 日期：按实际生产日期
Packaging Info: 
#77858: STD 77858带MA包装入邮包盒，邮包盒图稿翻单4500194000。 其中207PCS由Domestic PO4500192979转单.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</si>
  <si>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1HDMJUXJ</t>
  </si>
  <si>
    <t>4500195258-130</t>
  </si>
  <si>
    <t>207PCS
由Domestic PO4500192979转单</t>
  </si>
  <si>
    <t>4R27O4WC</t>
  </si>
  <si>
    <t>4500195261-130</t>
  </si>
  <si>
    <t>4IV6J1AO</t>
  </si>
  <si>
    <t>4500195264-140</t>
  </si>
  <si>
    <t>84NHDFGJ</t>
  </si>
  <si>
    <t>4500195266-90</t>
  </si>
  <si>
    <t>390PCS
由Domestic PO4500192979转单</t>
  </si>
  <si>
    <t>8B57DIII</t>
  </si>
  <si>
    <t>4500195266-160</t>
  </si>
  <si>
    <t>4PSZCKYT</t>
  </si>
  <si>
    <t>4500195259-10</t>
  </si>
  <si>
    <t>日期码格式：ZURU INC(BVI) 标准格式 日期：按实际生产日期
Packaging Info: #77858: STD 77858带MA包装入邮包盒，邮包盒图稿翻单4500194000。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</si>
  <si>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BOL.COM</t>
  </si>
  <si>
    <t>荷兰</t>
  </si>
  <si>
    <t>4500210646</t>
  </si>
  <si>
    <t>P2607944</t>
  </si>
  <si>
    <t>4500210646-10</t>
  </si>
  <si>
    <t>欠1张贴纸（含NL警告语）</t>
  </si>
  <si>
    <r>
      <rPr>
        <sz val="11"/>
        <color rgb="FFFF0000"/>
        <rFont val="宋体"/>
        <charset val="0"/>
      </rPr>
      <t>日期码格式：ZURU</t>
    </r>
    <r>
      <rPr>
        <sz val="11"/>
        <color rgb="FFFF0000"/>
        <rFont val="宋体"/>
        <charset val="134"/>
      </rPr>
      <t xml:space="preserve">  INC(BVI)  标准格式                                    日期：按实际生产日期
Packaging Info: BOL.COM(77858)
   1.  77858:1pc  77858  playset  into  mailbox,  3mailboxes/ctn;  Including  magnets;  3PCS  AA  BATTERIES(NOT  INCLUDED);  MA  3L(23L  warning  EAN)A  透明PVC窗彩
盒+MA  23L  warning  A  电池黑白说明书+MA  5L  A收藏指南+MA其它最新配套包装+1张贴纸（含NL警告语）+WEEE_不带电池走货 _  说明书欧洲EN+29L_C版
   2.  最晚验货时间8/11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r>
  </si>
  <si>
    <r>
      <rPr>
        <sz val="11"/>
        <color rgb="FFFF0000"/>
        <rFont val="Arial"/>
        <charset val="0"/>
      </rPr>
      <t>Luna</t>
    </r>
    <r>
      <rPr>
        <sz val="12"/>
        <color rgb="FFFF0000"/>
        <rFont val="宋体"/>
        <charset val="134"/>
        <scheme val="minor"/>
      </rPr>
      <t xml:space="preserve">  Lin</t>
    </r>
  </si>
  <si>
    <t>4500216463</t>
  </si>
  <si>
    <t>4500216463-30</t>
  </si>
  <si>
    <t xml:space="preserve"> 此单有第三方监柜，至少多备一套完整的物料用于监柜</t>
  </si>
  <si>
    <t>贴纸和保证书都翻单4500205972</t>
  </si>
  <si>
    <t>保证书翻单4500205972，每箱放置6小包干燥剂，每包重2-3g</t>
  </si>
  <si>
    <r>
      <rPr>
        <sz val="11"/>
        <color rgb="FFFF0000"/>
        <rFont val="宋体"/>
        <charset val="0"/>
      </rPr>
      <t>日期码格式：LOT+ZURU标准日期码格式</t>
    </r>
    <r>
      <rPr>
        <sz val="10"/>
        <color rgb="FFFF0000"/>
        <rFont val="宋体"/>
        <charset val="134"/>
        <scheme val="minor"/>
      </rPr>
      <t xml:space="preserve">                  日期：按实际生产日期
Packaging Info:
77858 MA 3L EAN 包装+UPC 条码+进口商贴纸+产品贴纸+说明书贴纸+保证书+箱唛，所有贴纸和保证书都翻单4500205972
Remark: 1. 客版日期码要求：LOT+ZURU标准日期码格式。举例东莞生产的格式：LOTDGYYYYMMDD,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
 4. 77772GQ2/77858/77794UQ1：  每箱放置6小包干燥剂，每包重2-3g；
 5. 如走柜货等loading plan 确认后再通知集装箱干燥剂数量</t>
    </r>
  </si>
  <si>
    <t>4500216744</t>
  </si>
  <si>
    <t>69ET8HJN</t>
  </si>
  <si>
    <t>4500216744-20</t>
  </si>
  <si>
    <t>空白外箱（加印带Zuru字样的最新logo，印ZURU地址）</t>
  </si>
  <si>
    <t>客版邮包盒(参考翻单4500209704)</t>
  </si>
  <si>
    <r>
      <rPr>
        <sz val="11"/>
        <color rgb="FFFF0000"/>
        <rFont val="宋体"/>
        <charset val="0"/>
      </rPr>
      <t>日期码格式：ZURU INC(BVI) 标准格式</t>
    </r>
    <r>
      <rPr>
        <sz val="11"/>
        <color rgb="FFFF0000"/>
        <rFont val="宋体"/>
        <charset val="134"/>
      </rPr>
      <t xml:space="preserve">                  日期：按实际生产日期
Packaging Info: Amazon UK: 852HAG3K/69ET8HJN/1I8FZV2Y
UK(92146BG/77858)
1. 77858: 1pc 77858 playset into mailbox, 3mailboxes/ctn; Including magnets; 3PCS AA BATTERIES(NOT INCLUDED); MA 3L(23L warning EAN)A 透明PVC窗
彩盒+MA 23L warning A 电池黑白说明书+MA 5L B收藏指南+MA其它最新配套包装+客版邮包盒(参考翻单4500209704)+WEEE_不带电池走货 _ 说明书欧洲EN+29L_C版
 3. 验货时间不晚于2026/09/07
 4. 77858 验货时需要将产品六面图，  邮包盒(含产品)测量尺寸图片&lt;(&gt;&amp;&lt;)&gt;重量图片放进验货报告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</si>
</sst>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00;\-[$$-409]#,##0.0000"/>
    <numFmt numFmtId="177" formatCode="_-* #,##0.00_-;\-* #,##0.00_-;_-* &quot;-&quot;??_-;_-@_-"/>
    <numFmt numFmtId="178" formatCode="yyyy/m/d;@"/>
    <numFmt numFmtId="179" formatCode="yyyy/m/d&quot;周&quot;aaa"/>
    <numFmt numFmtId="180" formatCode="m/d;@"/>
    <numFmt numFmtId="181" formatCode="&quot;US$&quot;#,##0_);[Red]\(&quot;US$&quot;#,##0\)"/>
    <numFmt numFmtId="182" formatCode="0.00_ "/>
    <numFmt numFmtId="183" formatCode="0.00##"/>
    <numFmt numFmtId="184" formatCode="0_);[Red]\(0\)"/>
    <numFmt numFmtId="185" formatCode="#,##0_);[Red]\(#,##0\)"/>
    <numFmt numFmtId="186" formatCode="_-* #,##0_-;\-* #,##0_-;_-* &quot;-&quot;??_-;_-@_-"/>
    <numFmt numFmtId="187" formatCode="[$-409]d\-mmm\-yy;@"/>
    <numFmt numFmtId="188" formatCode="\¥#,##0_);[Red]\(\¥#,##0\)"/>
    <numFmt numFmtId="189" formatCode="_ * #,##0_ ;_ * \-#,##0_ ;_ * &quot;-&quot;??_ ;_ @_ "/>
    <numFmt numFmtId="190" formatCode="0.0000"/>
    <numFmt numFmtId="191" formatCode="\¥#,##0.00;\¥\-#,##0.00"/>
    <numFmt numFmtId="192" formatCode="#,##0_ "/>
    <numFmt numFmtId="193" formatCode="#,##0_ ;[Red]\-#,##0\ "/>
    <numFmt numFmtId="194" formatCode="0.0000_ "/>
    <numFmt numFmtId="195" formatCode="&quot;US$&quot;#,##0.00;\-&quot;US$&quot;#,##0.00"/>
  </numFmts>
  <fonts count="172">
    <font>
      <sz val="11"/>
      <color theme="1"/>
      <name val="宋体"/>
      <charset val="134"/>
      <scheme val="minor"/>
    </font>
    <font>
      <sz val="11"/>
      <color rgb="FFFF0000"/>
      <name val="Arial"/>
      <charset val="0"/>
    </font>
    <font>
      <sz val="12"/>
      <color rgb="FFFF0000"/>
      <name val="宋体"/>
      <charset val="134"/>
    </font>
    <font>
      <b/>
      <sz val="11"/>
      <color rgb="FFFF0000"/>
      <name val="宋体"/>
      <charset val="0"/>
    </font>
    <font>
      <b/>
      <sz val="11"/>
      <color rgb="FFFF0000"/>
      <name val="汉仪书宋二KW"/>
      <charset val="0"/>
    </font>
    <font>
      <b/>
      <sz val="11"/>
      <color rgb="FFFF0000"/>
      <name val="Arial"/>
      <charset val="0"/>
    </font>
    <font>
      <b/>
      <sz val="10"/>
      <color rgb="FFFF0000"/>
      <name val="汉仪书宋二KW"/>
      <charset val="0"/>
    </font>
    <font>
      <b/>
      <sz val="10"/>
      <color rgb="FFFF0000"/>
      <name val="Arial"/>
      <charset val="0"/>
    </font>
    <font>
      <b/>
      <sz val="9"/>
      <color rgb="FFFF0000"/>
      <name val="宋体"/>
      <charset val="134"/>
      <scheme val="minor"/>
    </font>
    <font>
      <b/>
      <sz val="14"/>
      <color rgb="FFFF0000"/>
      <name val="宋体"/>
      <charset val="134"/>
    </font>
    <font>
      <sz val="10"/>
      <color rgb="FFFF0000"/>
      <name val="等线"/>
      <charset val="134"/>
    </font>
    <font>
      <sz val="9"/>
      <color rgb="FFFF0000"/>
      <name val="宋体"/>
      <charset val="134"/>
      <scheme val="major"/>
    </font>
    <font>
      <sz val="11"/>
      <color rgb="FFFF0000"/>
      <name val="宋体"/>
      <charset val="0"/>
    </font>
    <font>
      <sz val="11"/>
      <color rgb="FFFF0000"/>
      <name val="宋体"/>
      <charset val="134"/>
    </font>
    <font>
      <sz val="11"/>
      <color rgb="FFFF0000"/>
      <name val="宋体"/>
      <charset val="134"/>
      <scheme val="minor"/>
    </font>
    <font>
      <sz val="10.5"/>
      <color rgb="FFFF0000"/>
      <name val="宋体"/>
      <charset val="134"/>
    </font>
    <font>
      <sz val="10"/>
      <color rgb="FFFF0000"/>
      <name val="宋体"/>
      <charset val="134"/>
      <scheme val="minor"/>
    </font>
    <font>
      <sz val="9"/>
      <color rgb="FFFF0000"/>
      <name val="宋体"/>
      <charset val="134"/>
    </font>
    <font>
      <sz val="10"/>
      <color rgb="FFFF0000"/>
      <name val="Arial"/>
      <charset val="0"/>
    </font>
    <font>
      <sz val="9"/>
      <color rgb="FFFF0000"/>
      <name val="STSong-Light"/>
      <charset val="134"/>
    </font>
    <font>
      <sz val="10"/>
      <color rgb="FFFF0000"/>
      <name val="宋体"/>
      <charset val="134"/>
    </font>
    <font>
      <sz val="12"/>
      <color rgb="FFFF0000"/>
      <name val="宋体"/>
      <charset val="0"/>
    </font>
    <font>
      <sz val="12"/>
      <color rgb="FFFF0000"/>
      <name val="等线"/>
      <charset val="134"/>
    </font>
    <font>
      <b/>
      <sz val="11"/>
      <color rgb="FFFF0000"/>
      <name val="宋体"/>
      <charset val="134"/>
    </font>
    <font>
      <b/>
      <sz val="14"/>
      <name val="Arial"/>
      <charset val="0"/>
    </font>
    <font>
      <b/>
      <sz val="11"/>
      <name val="等线"/>
      <charset val="134"/>
    </font>
    <font>
      <b/>
      <sz val="9"/>
      <name val="等线"/>
      <charset val="134"/>
    </font>
    <font>
      <b/>
      <sz val="8"/>
      <name val="等线"/>
      <charset val="134"/>
    </font>
    <font>
      <sz val="9"/>
      <name val="Arial"/>
      <charset val="0"/>
    </font>
    <font>
      <sz val="9"/>
      <color rgb="FF000000"/>
      <name val="Arial"/>
      <charset val="0"/>
    </font>
    <font>
      <sz val="11"/>
      <name val="Arial"/>
      <charset val="0"/>
    </font>
    <font>
      <sz val="11"/>
      <name val="Calibri"/>
      <charset val="0"/>
    </font>
    <font>
      <sz val="12"/>
      <name val="Calibri"/>
      <charset val="134"/>
    </font>
    <font>
      <sz val="13"/>
      <name val="Tahoma"/>
      <charset val="0"/>
    </font>
    <font>
      <sz val="12"/>
      <name val="宋体"/>
      <charset val="134"/>
    </font>
    <font>
      <b/>
      <sz val="9"/>
      <color rgb="FF000000"/>
      <name val="等线"/>
      <charset val="134"/>
    </font>
    <font>
      <sz val="12"/>
      <color rgb="FF000000"/>
      <name val="Calibri"/>
      <charset val="134"/>
    </font>
    <font>
      <b/>
      <sz val="11"/>
      <color rgb="FF000001"/>
      <name val="宋体"/>
      <charset val="134"/>
      <scheme val="minor"/>
    </font>
    <font>
      <b/>
      <sz val="10"/>
      <color rgb="FF000001"/>
      <name val="宋体"/>
      <charset val="134"/>
      <scheme val="minor"/>
    </font>
    <font>
      <b/>
      <sz val="11"/>
      <color rgb="FF000000"/>
      <name val="宋体"/>
      <charset val="134"/>
      <scheme val="minor"/>
    </font>
    <font>
      <sz val="10"/>
      <color rgb="FFC00000"/>
      <name val="Arial"/>
      <charset val="134"/>
    </font>
    <font>
      <sz val="10"/>
      <color rgb="FFFF0000"/>
      <name val="Arial"/>
      <charset val="134"/>
    </font>
    <font>
      <sz val="10"/>
      <name val="Arial"/>
      <charset val="134"/>
    </font>
    <font>
      <b/>
      <sz val="10"/>
      <color theme="0"/>
      <name val="Tahoma"/>
      <charset val="134"/>
    </font>
    <font>
      <b/>
      <sz val="9"/>
      <color rgb="FFFFFF00"/>
      <name val="Tahoma"/>
      <charset val="134"/>
    </font>
    <font>
      <b/>
      <sz val="10"/>
      <name val="Arial"/>
      <charset val="134"/>
    </font>
    <font>
      <sz val="10"/>
      <name val="Tahoma"/>
      <charset val="134"/>
    </font>
    <font>
      <b/>
      <sz val="10"/>
      <color rgb="FFC00000"/>
      <name val="宋体"/>
      <charset val="134"/>
    </font>
    <font>
      <b/>
      <sz val="10"/>
      <color rgb="FFC00000"/>
      <name val="Arial"/>
      <charset val="134"/>
    </font>
    <font>
      <sz val="10"/>
      <color rgb="FFC00000"/>
      <name val="Tahoma"/>
      <charset val="134"/>
    </font>
    <font>
      <sz val="10"/>
      <name val="宋体"/>
      <charset val="134"/>
    </font>
    <font>
      <b/>
      <sz val="10"/>
      <color theme="0"/>
      <name val="Arial"/>
      <charset val="134"/>
    </font>
    <font>
      <sz val="11"/>
      <color theme="1"/>
      <name val="Times New Roman"/>
      <charset val="134"/>
    </font>
    <font>
      <b/>
      <sz val="11"/>
      <color rgb="FFFFFF00"/>
      <name val="宋体"/>
      <charset val="134"/>
      <scheme val="minor"/>
    </font>
    <font>
      <b/>
      <sz val="11"/>
      <color theme="0"/>
      <name val="宋体"/>
      <charset val="134"/>
      <scheme val="minor"/>
    </font>
    <font>
      <sz val="11"/>
      <color rgb="FFFFFF00"/>
      <name val="宋体"/>
      <charset val="134"/>
      <scheme val="minor"/>
    </font>
    <font>
      <sz val="11"/>
      <color theme="0"/>
      <name val="宋体"/>
      <charset val="134"/>
      <scheme val="minor"/>
    </font>
    <font>
      <b/>
      <sz val="11"/>
      <name val="宋体"/>
      <charset val="134"/>
      <scheme val="minor"/>
    </font>
    <font>
      <b/>
      <sz val="11"/>
      <color rgb="FFFFC000"/>
      <name val="宋体"/>
      <charset val="134"/>
      <scheme val="minor"/>
    </font>
    <font>
      <sz val="10"/>
      <color indexed="8"/>
      <name val="宋体"/>
      <charset val="134"/>
      <scheme val="minor"/>
    </font>
    <font>
      <sz val="11"/>
      <name val="宋体"/>
      <charset val="134"/>
      <scheme val="minor"/>
    </font>
    <font>
      <b/>
      <sz val="10"/>
      <name val="Times New Roman"/>
      <charset val="134"/>
    </font>
    <font>
      <b/>
      <sz val="10"/>
      <color rgb="FFFFFF00"/>
      <name val="Times New Roman"/>
      <charset val="134"/>
    </font>
    <font>
      <b/>
      <sz val="10"/>
      <color theme="0"/>
      <name val="Times New Roman"/>
      <charset val="134"/>
    </font>
    <font>
      <b/>
      <sz val="10"/>
      <color rgb="FFFFFF00"/>
      <name val="宋体"/>
      <charset val="134"/>
    </font>
    <font>
      <sz val="10"/>
      <name val="Times New Roman"/>
      <charset val="134"/>
    </font>
    <font>
      <b/>
      <sz val="10"/>
      <color theme="1"/>
      <name val="Times New Roman"/>
      <charset val="134"/>
    </font>
    <font>
      <sz val="12"/>
      <color rgb="FF0E2EF0"/>
      <name val="宋体"/>
      <charset val="134"/>
    </font>
    <font>
      <sz val="11"/>
      <color rgb="FF0E2EF0"/>
      <name val="宋体"/>
      <charset val="134"/>
      <scheme val="minor"/>
    </font>
    <font>
      <sz val="12"/>
      <color rgb="FF000000"/>
      <name val="宋体"/>
      <charset val="134"/>
    </font>
    <font>
      <sz val="11"/>
      <color theme="1"/>
      <name val="宋体"/>
      <charset val="134"/>
    </font>
    <font>
      <sz val="12"/>
      <color theme="1"/>
      <name val="宋体"/>
      <charset val="134"/>
      <scheme val="minor"/>
    </font>
    <font>
      <b/>
      <sz val="12"/>
      <name val="Arial"/>
      <charset val="0"/>
    </font>
    <font>
      <b/>
      <sz val="16"/>
      <name val="Arial"/>
      <charset val="0"/>
    </font>
    <font>
      <b/>
      <sz val="11"/>
      <name val="Arial"/>
      <charset val="0"/>
    </font>
    <font>
      <b/>
      <sz val="9"/>
      <color rgb="FFFF0000"/>
      <name val="宋体"/>
      <charset val="0"/>
    </font>
    <font>
      <b/>
      <sz val="11"/>
      <name val="宋体"/>
      <charset val="0"/>
    </font>
    <font>
      <sz val="10"/>
      <color rgb="FFFF0000"/>
      <name val="宋体"/>
      <charset val="0"/>
    </font>
    <font>
      <b/>
      <sz val="12"/>
      <color rgb="FFFF0000"/>
      <name val="宋体"/>
      <charset val="134"/>
    </font>
    <font>
      <b/>
      <sz val="11"/>
      <name val="Arial"/>
      <charset val="134"/>
    </font>
    <font>
      <b/>
      <sz val="12"/>
      <color indexed="10"/>
      <name val="宋体"/>
      <charset val="134"/>
    </font>
    <font>
      <b/>
      <sz val="12"/>
      <name val="宋体"/>
      <charset val="134"/>
    </font>
    <font>
      <sz val="10"/>
      <name val="Arial"/>
      <charset val="0"/>
    </font>
    <font>
      <sz val="12"/>
      <name val="Arial"/>
      <charset val="0"/>
    </font>
    <font>
      <b/>
      <sz val="10"/>
      <name val="Arial"/>
      <charset val="0"/>
    </font>
    <font>
      <b/>
      <sz val="9"/>
      <name val="宋体"/>
      <charset val="134"/>
      <scheme val="minor"/>
    </font>
    <font>
      <b/>
      <sz val="11"/>
      <color rgb="FF000000"/>
      <name val="Arial"/>
      <charset val="0"/>
    </font>
    <font>
      <b/>
      <sz val="11"/>
      <name val="宋体"/>
      <charset val="134"/>
    </font>
    <font>
      <b/>
      <sz val="11"/>
      <color rgb="FF7030A0"/>
      <name val="宋体"/>
      <charset val="0"/>
    </font>
    <font>
      <b/>
      <sz val="12"/>
      <color rgb="FF7030A0"/>
      <name val="宋体"/>
      <charset val="0"/>
    </font>
    <font>
      <b/>
      <sz val="11"/>
      <color rgb="FF000000"/>
      <name val="宋体"/>
      <charset val="0"/>
    </font>
    <font>
      <sz val="10"/>
      <color rgb="FF0E2EF0"/>
      <name val="等线"/>
      <charset val="134"/>
    </font>
    <font>
      <sz val="11"/>
      <color rgb="FF0E2EF0"/>
      <name val="宋体"/>
      <charset val="0"/>
    </font>
    <font>
      <sz val="11"/>
      <color rgb="FF0E2EF0"/>
      <name val="Arial"/>
      <charset val="0"/>
    </font>
    <font>
      <sz val="10"/>
      <color rgb="FF0E2EF0"/>
      <name val="Arial"/>
      <charset val="0"/>
    </font>
    <font>
      <sz val="11"/>
      <color rgb="FF0E2EF0"/>
      <name val="宋体"/>
      <charset val="134"/>
    </font>
    <font>
      <sz val="10.5"/>
      <color rgb="FF0E2EF0"/>
      <name val="宋体"/>
      <charset val="134"/>
    </font>
    <font>
      <sz val="10"/>
      <color rgb="FF0E2EF0"/>
      <name val="宋体"/>
      <charset val="134"/>
      <scheme val="minor"/>
    </font>
    <font>
      <sz val="12"/>
      <color rgb="FF0E2EF0"/>
      <name val="宋体"/>
      <charset val="0"/>
    </font>
    <font>
      <b/>
      <sz val="10.5"/>
      <color rgb="FF0E2EF0"/>
      <name val="宋体"/>
      <charset val="134"/>
    </font>
    <font>
      <sz val="9"/>
      <color rgb="FF0E2EF0"/>
      <name val="STSong-Light"/>
      <charset val="134"/>
    </font>
    <font>
      <b/>
      <sz val="10.5"/>
      <color rgb="FFFF0000"/>
      <name val="宋体"/>
      <charset val="134"/>
    </font>
    <font>
      <b/>
      <sz val="10"/>
      <color rgb="FF0E2EF0"/>
      <name val="宋体"/>
      <charset val="134"/>
    </font>
    <font>
      <b/>
      <sz val="11"/>
      <color rgb="FF0E2EF0"/>
      <name val="宋体"/>
      <charset val="134"/>
    </font>
    <font>
      <b/>
      <sz val="14"/>
      <color rgb="FF0E2EF0"/>
      <name val="宋体"/>
      <charset val="134"/>
    </font>
    <font>
      <sz val="12"/>
      <color rgb="FF0E2EF0"/>
      <name val="宋体"/>
      <charset val="134"/>
      <scheme val="minor"/>
    </font>
    <font>
      <sz val="10"/>
      <color rgb="FF0E2EF0"/>
      <name val="宋体"/>
      <charset val="134"/>
    </font>
    <font>
      <b/>
      <sz val="12"/>
      <color rgb="FF0E2EF0"/>
      <name val="宋体"/>
      <charset val="134"/>
    </font>
    <font>
      <sz val="9"/>
      <color rgb="FF0E2EF0"/>
      <name val="宋体"/>
      <charset val="134"/>
    </font>
    <font>
      <sz val="10.5"/>
      <color rgb="FF0E2EF0"/>
      <name val="等线"/>
      <charset val="134"/>
    </font>
    <font>
      <sz val="10"/>
      <color rgb="FF0E2EF0"/>
      <name val="宋体"/>
      <charset val="0"/>
    </font>
    <font>
      <b/>
      <sz val="11"/>
      <color rgb="FF0E2EF0"/>
      <name val="等线"/>
      <charset val="134"/>
    </font>
    <font>
      <sz val="12"/>
      <color rgb="FF0E2EF0"/>
      <name val="Calibri"/>
      <charset val="134"/>
    </font>
    <font>
      <sz val="14"/>
      <color rgb="FF0E2EF0"/>
      <name val="STSong-Light"/>
      <charset val="134"/>
    </font>
    <font>
      <sz val="12"/>
      <color rgb="FF0E2EF0"/>
      <name val="等线"/>
      <charset val="134"/>
    </font>
    <font>
      <sz val="10"/>
      <name val="等线"/>
      <charset val="134"/>
    </font>
    <font>
      <sz val="11"/>
      <name val="宋体"/>
      <charset val="0"/>
    </font>
    <font>
      <sz val="11"/>
      <name val="宋体"/>
      <charset val="134"/>
    </font>
    <font>
      <sz val="10.5"/>
      <name val="宋体"/>
      <charset val="134"/>
    </font>
    <font>
      <sz val="10.5"/>
      <color rgb="FF000000"/>
      <name val="宋体"/>
      <charset val="134"/>
    </font>
    <font>
      <sz val="10"/>
      <name val="宋体"/>
      <charset val="134"/>
      <scheme val="minor"/>
    </font>
    <font>
      <sz val="10"/>
      <color rgb="FF000000"/>
      <name val="宋体"/>
      <charset val="134"/>
    </font>
    <font>
      <sz val="11"/>
      <color rgb="FF000000"/>
      <name val="宋体"/>
      <charset val="134"/>
    </font>
    <font>
      <sz val="9"/>
      <color rgb="FF000000"/>
      <name val="STSong-Light"/>
      <charset val="134"/>
    </font>
    <font>
      <sz val="11"/>
      <color rgb="FF000000"/>
      <name val="宋体"/>
      <charset val="0"/>
    </font>
    <font>
      <sz val="10"/>
      <color rgb="FF000000"/>
      <name val="等线"/>
      <charset val="134"/>
    </font>
    <font>
      <sz val="11"/>
      <color rgb="FF000000"/>
      <name val="Arial"/>
      <charset val="0"/>
    </font>
    <font>
      <sz val="10"/>
      <color rgb="FF000000"/>
      <name val="Arial"/>
      <charset val="0"/>
    </font>
    <font>
      <sz val="11"/>
      <color rgb="FF000000"/>
      <name val="宋体"/>
      <charset val="134"/>
      <scheme val="minor"/>
    </font>
    <font>
      <b/>
      <sz val="11"/>
      <color rgb="FF000000"/>
      <name val="宋体"/>
      <charset val="134"/>
    </font>
    <font>
      <sz val="10"/>
      <color rgb="FF000000"/>
      <name val="宋体"/>
      <charset val="134"/>
      <scheme val="minor"/>
    </font>
    <font>
      <sz val="12"/>
      <color rgb="FF000000"/>
      <name val="宋体"/>
      <charset val="0"/>
    </font>
    <font>
      <b/>
      <sz val="10.5"/>
      <color rgb="FF000000"/>
      <name val="宋体"/>
      <charset val="134"/>
    </font>
    <font>
      <sz val="9"/>
      <color rgb="FF000000"/>
      <name val="宋体"/>
      <charset val="134"/>
    </font>
    <font>
      <sz val="12"/>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新細明體"/>
      <charset val="134"/>
    </font>
    <font>
      <sz val="12"/>
      <color rgb="FF000000"/>
      <name val="等线"/>
      <charset val="134"/>
    </font>
    <font>
      <b/>
      <sz val="12"/>
      <name val="宋体"/>
      <charset val="0"/>
    </font>
    <font>
      <sz val="12"/>
      <color rgb="FF000000"/>
      <name val="宋体"/>
      <charset val="134"/>
      <scheme val="minor"/>
    </font>
    <font>
      <sz val="12"/>
      <color rgb="FF0E2EF0"/>
      <name val="宋体"/>
      <charset val="0"/>
      <scheme val="minor"/>
    </font>
    <font>
      <sz val="12"/>
      <color rgb="FFFF0000"/>
      <name val="宋体"/>
      <charset val="134"/>
      <scheme val="minor"/>
    </font>
    <font>
      <sz val="12"/>
      <color rgb="FF000000"/>
      <name val="宋体"/>
      <charset val="0"/>
      <scheme val="minor"/>
    </font>
    <font>
      <sz val="11"/>
      <color rgb="FF000000"/>
      <name val="Arial"/>
      <charset val="134"/>
    </font>
    <font>
      <sz val="12"/>
      <color rgb="FF0E2EF0"/>
      <name val="Arial"/>
      <charset val="0"/>
    </font>
    <font>
      <b/>
      <sz val="9"/>
      <color indexed="34"/>
      <name val="宋体"/>
      <charset val="134"/>
    </font>
    <font>
      <b/>
      <sz val="14"/>
      <name val="宋体"/>
      <charset val="0"/>
    </font>
    <font>
      <b/>
      <sz val="10"/>
      <color indexed="9"/>
      <name val="宋体"/>
      <charset val="134"/>
    </font>
    <font>
      <b/>
      <sz val="10"/>
      <color indexed="9"/>
      <name val="Tahoma"/>
      <charset val="134"/>
    </font>
    <font>
      <sz val="9"/>
      <name val="宋体"/>
      <charset val="0"/>
    </font>
    <font>
      <sz val="10"/>
      <color rgb="FF0E2EF0"/>
      <name val="Times New Roman"/>
      <charset val="134"/>
    </font>
    <font>
      <sz val="10"/>
      <color rgb="FF000000"/>
      <name val="等线"/>
      <charset val="0"/>
    </font>
    <font>
      <b/>
      <sz val="9"/>
      <name val="宋体"/>
      <charset val="0"/>
    </font>
  </fonts>
  <fills count="4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indexed="44"/>
        <bgColor indexed="64"/>
      </patternFill>
    </fill>
    <fill>
      <patternFill patternType="solid">
        <fgColor rgb="FFFFFFFF"/>
        <bgColor indexed="64"/>
      </patternFill>
    </fill>
    <fill>
      <patternFill patternType="solid">
        <fgColor rgb="FF00B0F0"/>
        <bgColor indexed="64"/>
      </patternFill>
    </fill>
    <fill>
      <patternFill patternType="solid">
        <fgColor theme="1" tint="0.499984740745262"/>
        <bgColor indexed="64"/>
      </patternFill>
    </fill>
    <fill>
      <patternFill patternType="solid">
        <fgColor theme="0" tint="-0.149998474074526"/>
        <bgColor indexed="64"/>
      </patternFill>
    </fill>
    <fill>
      <patternFill patternType="solid">
        <fgColor theme="6" tint="0.799981688894314"/>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rgb="FFA4FCB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0" tint="-0.0499893185216834"/>
        <bgColor indexed="64"/>
      </patternFill>
    </fill>
    <fill>
      <patternFill patternType="solid">
        <fgColor theme="0" tint="-0.149906918546098"/>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style="thin">
        <color auto="1"/>
      </right>
      <top style="thin">
        <color auto="1"/>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0" fillId="19" borderId="19" applyNumberFormat="0" applyFon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40" fillId="0" borderId="20" applyNumberFormat="0" applyFill="0" applyAlignment="0" applyProtection="0">
      <alignment vertical="center"/>
    </xf>
    <xf numFmtId="0" fontId="141" fillId="0" borderId="20" applyNumberFormat="0" applyFill="0" applyAlignment="0" applyProtection="0">
      <alignment vertical="center"/>
    </xf>
    <xf numFmtId="0" fontId="142" fillId="0" borderId="21" applyNumberFormat="0" applyFill="0" applyAlignment="0" applyProtection="0">
      <alignment vertical="center"/>
    </xf>
    <xf numFmtId="0" fontId="142" fillId="0" borderId="0" applyNumberFormat="0" applyFill="0" applyBorder="0" applyAlignment="0" applyProtection="0">
      <alignment vertical="center"/>
    </xf>
    <xf numFmtId="0" fontId="143" fillId="20" borderId="22" applyNumberFormat="0" applyAlignment="0" applyProtection="0">
      <alignment vertical="center"/>
    </xf>
    <xf numFmtId="0" fontId="144" fillId="21" borderId="23" applyNumberFormat="0" applyAlignment="0" applyProtection="0">
      <alignment vertical="center"/>
    </xf>
    <xf numFmtId="0" fontId="145" fillId="21" borderId="22" applyNumberFormat="0" applyAlignment="0" applyProtection="0">
      <alignment vertical="center"/>
    </xf>
    <xf numFmtId="0" fontId="146" fillId="22" borderId="24" applyNumberFormat="0" applyAlignment="0" applyProtection="0">
      <alignment vertical="center"/>
    </xf>
    <xf numFmtId="0" fontId="147" fillId="0" borderId="25" applyNumberFormat="0" applyFill="0" applyAlignment="0" applyProtection="0">
      <alignment vertical="center"/>
    </xf>
    <xf numFmtId="0" fontId="148" fillId="0" borderId="26" applyNumberFormat="0" applyFill="0" applyAlignment="0" applyProtection="0">
      <alignment vertical="center"/>
    </xf>
    <xf numFmtId="0" fontId="149" fillId="23" borderId="0" applyNumberFormat="0" applyBorder="0" applyAlignment="0" applyProtection="0">
      <alignment vertical="center"/>
    </xf>
    <xf numFmtId="0" fontId="150" fillId="18" borderId="0" applyNumberFormat="0" applyBorder="0" applyAlignment="0" applyProtection="0">
      <alignment vertical="center"/>
    </xf>
    <xf numFmtId="0" fontId="151" fillId="24" borderId="0" applyNumberFormat="0" applyBorder="0" applyAlignment="0" applyProtection="0">
      <alignment vertical="center"/>
    </xf>
    <xf numFmtId="0" fontId="152" fillId="25" borderId="0" applyNumberFormat="0" applyBorder="0" applyAlignment="0" applyProtection="0">
      <alignment vertical="center"/>
    </xf>
    <xf numFmtId="0" fontId="153" fillId="26" borderId="0" applyNumberFormat="0" applyBorder="0" applyAlignment="0" applyProtection="0">
      <alignment vertical="center"/>
    </xf>
    <xf numFmtId="0" fontId="153" fillId="27" borderId="0" applyNumberFormat="0" applyBorder="0" applyAlignment="0" applyProtection="0">
      <alignment vertical="center"/>
    </xf>
    <xf numFmtId="0" fontId="152" fillId="28" borderId="0" applyNumberFormat="0" applyBorder="0" applyAlignment="0" applyProtection="0">
      <alignment vertical="center"/>
    </xf>
    <xf numFmtId="0" fontId="152" fillId="29" borderId="0" applyNumberFormat="0" applyBorder="0" applyAlignment="0" applyProtection="0">
      <alignment vertical="center"/>
    </xf>
    <xf numFmtId="0" fontId="153" fillId="30" borderId="0" applyNumberFormat="0" applyBorder="0" applyAlignment="0" applyProtection="0">
      <alignment vertical="center"/>
    </xf>
    <xf numFmtId="0" fontId="153" fillId="31" borderId="0" applyNumberFormat="0" applyBorder="0" applyAlignment="0" applyProtection="0">
      <alignment vertical="center"/>
    </xf>
    <xf numFmtId="0" fontId="152" fillId="32" borderId="0" applyNumberFormat="0" applyBorder="0" applyAlignment="0" applyProtection="0">
      <alignment vertical="center"/>
    </xf>
    <xf numFmtId="0" fontId="152" fillId="33" borderId="0" applyNumberFormat="0" applyBorder="0" applyAlignment="0" applyProtection="0">
      <alignment vertical="center"/>
    </xf>
    <xf numFmtId="0" fontId="153" fillId="9" borderId="0" applyNumberFormat="0" applyBorder="0" applyAlignment="0" applyProtection="0">
      <alignment vertical="center"/>
    </xf>
    <xf numFmtId="0" fontId="153" fillId="15" borderId="0" applyNumberFormat="0" applyBorder="0" applyAlignment="0" applyProtection="0">
      <alignment vertical="center"/>
    </xf>
    <xf numFmtId="0" fontId="152" fillId="34" borderId="0" applyNumberFormat="0" applyBorder="0" applyAlignment="0" applyProtection="0">
      <alignment vertical="center"/>
    </xf>
    <xf numFmtId="0" fontId="152" fillId="35" borderId="0" applyNumberFormat="0" applyBorder="0" applyAlignment="0" applyProtection="0">
      <alignment vertical="center"/>
    </xf>
    <xf numFmtId="0" fontId="153" fillId="36" borderId="0" applyNumberFormat="0" applyBorder="0" applyAlignment="0" applyProtection="0">
      <alignment vertical="center"/>
    </xf>
    <xf numFmtId="0" fontId="153" fillId="37" borderId="0" applyNumberFormat="0" applyBorder="0" applyAlignment="0" applyProtection="0">
      <alignment vertical="center"/>
    </xf>
    <xf numFmtId="0" fontId="152" fillId="38" borderId="0" applyNumberFormat="0" applyBorder="0" applyAlignment="0" applyProtection="0">
      <alignment vertical="center"/>
    </xf>
    <xf numFmtId="0" fontId="152" fillId="39" borderId="0" applyNumberFormat="0" applyBorder="0" applyAlignment="0" applyProtection="0">
      <alignment vertical="center"/>
    </xf>
    <xf numFmtId="0" fontId="153" fillId="40" borderId="0" applyNumberFormat="0" applyBorder="0" applyAlignment="0" applyProtection="0">
      <alignment vertical="center"/>
    </xf>
    <xf numFmtId="0" fontId="153" fillId="41" borderId="0" applyNumberFormat="0" applyBorder="0" applyAlignment="0" applyProtection="0">
      <alignment vertical="center"/>
    </xf>
    <xf numFmtId="0" fontId="152" fillId="42" borderId="0" applyNumberFormat="0" applyBorder="0" applyAlignment="0" applyProtection="0">
      <alignment vertical="center"/>
    </xf>
    <xf numFmtId="0" fontId="152" fillId="43" borderId="0" applyNumberFormat="0" applyBorder="0" applyAlignment="0" applyProtection="0">
      <alignment vertical="center"/>
    </xf>
    <xf numFmtId="0" fontId="153" fillId="44" borderId="0" applyNumberFormat="0" applyBorder="0" applyAlignment="0" applyProtection="0">
      <alignment vertical="center"/>
    </xf>
    <xf numFmtId="0" fontId="153" fillId="14" borderId="0" applyNumberFormat="0" applyBorder="0" applyAlignment="0" applyProtection="0">
      <alignment vertical="center"/>
    </xf>
    <xf numFmtId="0" fontId="152" fillId="45" borderId="0" applyNumberFormat="0" applyBorder="0" applyAlignment="0" applyProtection="0">
      <alignment vertical="center"/>
    </xf>
    <xf numFmtId="0" fontId="0" fillId="0" borderId="0"/>
    <xf numFmtId="176" fontId="154" fillId="0" borderId="0">
      <alignment vertical="center"/>
    </xf>
    <xf numFmtId="0" fontId="42" fillId="0" borderId="0"/>
    <xf numFmtId="177" fontId="42" fillId="0" borderId="0" applyFont="0" applyFill="0" applyBorder="0" applyAlignment="0" applyProtection="0">
      <alignment vertical="center"/>
    </xf>
    <xf numFmtId="0" fontId="0" fillId="0" borderId="0"/>
    <xf numFmtId="176" fontId="155" fillId="0" borderId="0">
      <alignment vertical="center"/>
    </xf>
    <xf numFmtId="0" fontId="34" fillId="0" borderId="0">
      <alignment vertical="center"/>
    </xf>
    <xf numFmtId="0" fontId="0" fillId="0" borderId="0">
      <alignment vertical="center"/>
    </xf>
  </cellStyleXfs>
  <cellXfs count="893">
    <xf numFmtId="0" fontId="0" fillId="0" borderId="0" xfId="0">
      <alignment vertical="center"/>
    </xf>
    <xf numFmtId="0" fontId="1" fillId="0" borderId="0" xfId="0" applyFont="1" applyFill="1" applyAlignment="1" applyProtection="1">
      <alignment horizontal="center" vertical="top" wrapText="1"/>
      <protection locked="0"/>
    </xf>
    <xf numFmtId="0" fontId="2" fillId="2" borderId="0" xfId="0" applyFont="1" applyFill="1" applyAlignment="1" applyProtection="1">
      <alignment vertical="center"/>
      <protection locked="0"/>
    </xf>
    <xf numFmtId="0" fontId="2" fillId="0" borderId="0" xfId="0" applyFont="1" applyFill="1" applyAlignment="1" applyProtection="1">
      <alignment vertical="center"/>
      <protection locked="0"/>
    </xf>
    <xf numFmtId="0" fontId="2" fillId="0" borderId="1" xfId="0" applyFont="1" applyFill="1" applyBorder="1" applyAlignment="1" applyProtection="1">
      <alignment vertical="center"/>
      <protection locked="0"/>
    </xf>
    <xf numFmtId="178" fontId="3" fillId="0" borderId="1" xfId="0" applyNumberFormat="1" applyFont="1" applyFill="1" applyBorder="1" applyAlignment="1" applyProtection="1">
      <alignment horizontal="center" vertical="top" wrapText="1" shrinkToFit="1"/>
    </xf>
    <xf numFmtId="0" fontId="3" fillId="0" borderId="1" xfId="0" applyFont="1" applyFill="1" applyBorder="1" applyAlignment="1" applyProtection="1">
      <alignment horizontal="center" vertical="top" wrapText="1" shrinkToFit="1"/>
      <protection locked="0"/>
    </xf>
    <xf numFmtId="0" fontId="4" fillId="0" borderId="1" xfId="0" applyFont="1" applyFill="1" applyBorder="1" applyAlignment="1" applyProtection="1">
      <alignment horizontal="center" vertical="top" wrapText="1" shrinkToFit="1"/>
      <protection locked="0"/>
    </xf>
    <xf numFmtId="0" fontId="5" fillId="0" borderId="1" xfId="0" applyFont="1" applyFill="1" applyBorder="1" applyAlignment="1" applyProtection="1">
      <alignment horizontal="center" vertical="top" wrapText="1" shrinkToFit="1"/>
      <protection locked="0"/>
    </xf>
    <xf numFmtId="0" fontId="6" fillId="0" borderId="1" xfId="0" applyFont="1" applyFill="1" applyBorder="1" applyAlignment="1" applyProtection="1">
      <alignment horizontal="center" vertical="top" wrapText="1" shrinkToFit="1"/>
      <protection locked="0"/>
    </xf>
    <xf numFmtId="0" fontId="7" fillId="0" borderId="1" xfId="0" applyFont="1" applyFill="1" applyBorder="1" applyAlignment="1" applyProtection="1">
      <alignment horizontal="center" vertical="top" wrapText="1" shrinkToFit="1"/>
      <protection locked="0"/>
    </xf>
    <xf numFmtId="179" fontId="8" fillId="0" borderId="1" xfId="0" applyNumberFormat="1" applyFont="1" applyFill="1" applyBorder="1" applyAlignment="1" applyProtection="1">
      <alignment horizontal="center" vertical="top" wrapText="1" shrinkToFit="1"/>
      <protection locked="0"/>
    </xf>
    <xf numFmtId="180" fontId="3" fillId="0" borderId="1" xfId="0" applyNumberFormat="1" applyFont="1" applyFill="1" applyBorder="1" applyAlignment="1" applyProtection="1">
      <alignment horizontal="center" vertical="top" wrapText="1" shrinkToFit="1"/>
      <protection locked="0"/>
    </xf>
    <xf numFmtId="180" fontId="4" fillId="0" borderId="2" xfId="0" applyNumberFormat="1" applyFont="1" applyFill="1" applyBorder="1" applyAlignment="1" applyProtection="1">
      <alignment horizontal="center" vertical="top" wrapText="1" shrinkToFit="1"/>
      <protection locked="0"/>
    </xf>
    <xf numFmtId="180" fontId="3" fillId="0" borderId="2" xfId="0" applyNumberFormat="1" applyFont="1" applyFill="1" applyBorder="1" applyAlignment="1" applyProtection="1">
      <alignment horizontal="center" vertical="top" wrapText="1" shrinkToFit="1"/>
      <protection locked="0"/>
    </xf>
    <xf numFmtId="0" fontId="9" fillId="0" borderId="1" xfId="0" applyNumberFormat="1" applyFont="1" applyFill="1" applyBorder="1" applyAlignment="1" applyProtection="1">
      <alignment horizontal="center" vertical="top" wrapText="1" shrinkToFit="1"/>
      <protection locked="0"/>
    </xf>
    <xf numFmtId="0" fontId="5" fillId="0" borderId="3" xfId="0" applyFont="1" applyFill="1" applyBorder="1" applyAlignment="1" applyProtection="1">
      <alignment horizontal="center" vertical="top" wrapText="1" shrinkToFit="1"/>
      <protection locked="0"/>
    </xf>
    <xf numFmtId="181" fontId="4" fillId="0" borderId="1" xfId="0" applyNumberFormat="1" applyFont="1" applyFill="1" applyBorder="1" applyAlignment="1" applyProtection="1">
      <alignment horizontal="center" vertical="top" wrapText="1" shrinkToFit="1"/>
      <protection locked="0"/>
    </xf>
    <xf numFmtId="0" fontId="4" fillId="0" borderId="1" xfId="0" applyNumberFormat="1" applyFont="1" applyFill="1" applyBorder="1" applyAlignment="1" applyProtection="1">
      <alignment horizontal="center" vertical="top" wrapText="1" shrinkToFit="1"/>
      <protection locked="0"/>
    </xf>
    <xf numFmtId="0" fontId="3" fillId="0" borderId="1" xfId="0" applyNumberFormat="1" applyFont="1" applyFill="1" applyBorder="1" applyAlignment="1" applyProtection="1">
      <alignment horizontal="center" vertical="top" wrapText="1" shrinkToFit="1"/>
      <protection locked="0"/>
    </xf>
    <xf numFmtId="0" fontId="3" fillId="0" borderId="1" xfId="0" applyFont="1" applyFill="1" applyBorder="1" applyAlignment="1" applyProtection="1">
      <alignment horizontal="center" vertical="center" wrapText="1"/>
      <protection locked="0"/>
    </xf>
    <xf numFmtId="179" fontId="10" fillId="0" borderId="4" xfId="0" applyNumberFormat="1" applyFont="1" applyFill="1" applyBorder="1" applyAlignment="1" applyProtection="1">
      <alignment horizontal="center" vertical="center" shrinkToFit="1"/>
    </xf>
    <xf numFmtId="179" fontId="11" fillId="2" borderId="4" xfId="0" applyNumberFormat="1" applyFont="1" applyFill="1" applyBorder="1" applyAlignment="1" applyProtection="1">
      <alignment horizontal="center" vertical="center" wrapText="1"/>
    </xf>
    <xf numFmtId="180" fontId="12" fillId="0" borderId="4" xfId="0" applyNumberFormat="1" applyFont="1" applyFill="1" applyBorder="1" applyAlignment="1" applyProtection="1">
      <alignment horizontal="center" vertical="center" wrapText="1"/>
      <protection locked="0"/>
    </xf>
    <xf numFmtId="0" fontId="1" fillId="0" borderId="4" xfId="0" applyNumberFormat="1" applyFont="1" applyFill="1" applyBorder="1" applyAlignment="1" applyProtection="1">
      <alignment horizontal="center" vertical="center"/>
      <protection locked="0"/>
    </xf>
    <xf numFmtId="49" fontId="13" fillId="0" borderId="4" xfId="0" applyNumberFormat="1" applyFont="1" applyFill="1" applyBorder="1" applyAlignment="1" applyProtection="1">
      <alignment horizontal="center" vertical="center" wrapText="1"/>
      <protection locked="0"/>
    </xf>
    <xf numFmtId="0" fontId="2" fillId="0" borderId="4" xfId="0" applyFont="1" applyFill="1" applyBorder="1" applyAlignment="1" applyProtection="1">
      <alignment vertical="center" wrapText="1"/>
      <protection locked="0"/>
    </xf>
    <xf numFmtId="0" fontId="13" fillId="0" borderId="4" xfId="0" applyFont="1" applyFill="1" applyBorder="1" applyAlignment="1" applyProtection="1">
      <alignment horizontal="center" vertical="center" wrapText="1"/>
      <protection locked="0"/>
    </xf>
    <xf numFmtId="3" fontId="12" fillId="0" borderId="4" xfId="0" applyNumberFormat="1" applyFont="1" applyFill="1" applyBorder="1" applyAlignment="1" applyProtection="1">
      <alignment horizontal="center" vertical="center" wrapText="1"/>
      <protection locked="0"/>
    </xf>
    <xf numFmtId="0" fontId="12" fillId="0" borderId="4" xfId="0" applyFont="1" applyFill="1" applyBorder="1" applyAlignment="1" applyProtection="1">
      <alignment horizontal="center" vertical="center" wrapText="1" shrinkToFit="1"/>
      <protection locked="0"/>
    </xf>
    <xf numFmtId="0" fontId="14" fillId="0" borderId="4" xfId="0" applyFont="1" applyFill="1" applyBorder="1" applyAlignment="1">
      <alignment horizontal="center" vertical="center"/>
    </xf>
    <xf numFmtId="179" fontId="13" fillId="0" borderId="4" xfId="0" applyNumberFormat="1" applyFont="1" applyFill="1" applyBorder="1" applyAlignment="1" applyProtection="1">
      <alignment horizontal="center" vertical="center" wrapText="1" shrinkToFit="1"/>
      <protection locked="0"/>
    </xf>
    <xf numFmtId="180" fontId="13"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pplyProtection="1">
      <alignment vertical="center" wrapText="1"/>
      <protection locked="0"/>
    </xf>
    <xf numFmtId="180" fontId="16" fillId="0" borderId="4" xfId="0" applyNumberFormat="1" applyFont="1" applyFill="1" applyBorder="1" applyAlignment="1" applyProtection="1">
      <alignment horizontal="center" vertical="center" wrapText="1"/>
      <protection locked="0"/>
    </xf>
    <xf numFmtId="180" fontId="13" fillId="0" borderId="5" xfId="0" applyNumberFormat="1" applyFont="1" applyFill="1" applyBorder="1" applyAlignment="1" applyProtection="1">
      <alignment horizontal="center" vertical="center" wrapText="1"/>
      <protection locked="0"/>
    </xf>
    <xf numFmtId="0" fontId="17" fillId="0" borderId="0" xfId="0" applyFont="1" applyFill="1" applyAlignment="1">
      <alignment horizontal="center" vertical="center"/>
    </xf>
    <xf numFmtId="0" fontId="12" fillId="0" borderId="4" xfId="0" applyNumberFormat="1" applyFont="1" applyFill="1" applyBorder="1" applyAlignment="1" applyProtection="1">
      <alignment horizontal="center" vertical="center" wrapText="1"/>
      <protection locked="0"/>
    </xf>
    <xf numFmtId="0" fontId="1" fillId="0" borderId="4" xfId="0" applyFont="1" applyFill="1" applyBorder="1" applyAlignment="1" applyProtection="1">
      <alignment horizontal="center" vertical="center"/>
      <protection locked="0"/>
    </xf>
    <xf numFmtId="182" fontId="12" fillId="0" borderId="4" xfId="0" applyNumberFormat="1" applyFont="1" applyFill="1" applyBorder="1" applyAlignment="1" applyProtection="1">
      <alignment horizontal="center" vertical="center" wrapText="1" shrinkToFit="1"/>
      <protection locked="0"/>
    </xf>
    <xf numFmtId="181" fontId="12" fillId="0" borderId="4" xfId="0" applyNumberFormat="1" applyFont="1" applyFill="1" applyBorder="1" applyAlignment="1" applyProtection="1">
      <alignment horizontal="center" vertical="center"/>
      <protection locked="0"/>
    </xf>
    <xf numFmtId="0" fontId="1" fillId="0" borderId="4" xfId="0" applyNumberFormat="1" applyFont="1" applyFill="1" applyBorder="1" applyAlignment="1" applyProtection="1">
      <alignment horizontal="center" vertical="center" wrapText="1"/>
      <protection locked="0"/>
    </xf>
    <xf numFmtId="0" fontId="13" fillId="0" borderId="4" xfId="0" applyNumberFormat="1" applyFont="1" applyFill="1" applyBorder="1" applyAlignment="1" applyProtection="1">
      <alignment horizontal="center" vertical="center" wrapText="1" shrinkToFit="1"/>
      <protection locked="0"/>
    </xf>
    <xf numFmtId="0" fontId="18" fillId="0" borderId="4" xfId="0" applyNumberFormat="1" applyFont="1" applyFill="1" applyBorder="1" applyAlignment="1" applyProtection="1">
      <alignment horizontal="center" vertical="center"/>
      <protection locked="0"/>
    </xf>
    <xf numFmtId="0" fontId="19" fillId="0" borderId="2" xfId="0" applyFont="1" applyFill="1" applyBorder="1" applyAlignment="1">
      <alignment vertical="center" wrapText="1"/>
    </xf>
    <xf numFmtId="0" fontId="2" fillId="2" borderId="1" xfId="0" applyFont="1" applyFill="1" applyBorder="1" applyAlignment="1" applyProtection="1">
      <alignment vertical="center"/>
      <protection locked="0"/>
    </xf>
    <xf numFmtId="180" fontId="13" fillId="0" borderId="0" xfId="0" applyNumberFormat="1" applyFont="1" applyFill="1" applyAlignment="1" applyProtection="1">
      <alignment horizontal="center" vertical="center" wrapText="1"/>
      <protection locked="0"/>
    </xf>
    <xf numFmtId="0" fontId="12" fillId="3" borderId="4" xfId="0" applyNumberFormat="1" applyFont="1" applyFill="1" applyBorder="1" applyAlignment="1" applyProtection="1">
      <alignment horizontal="center" vertical="center" wrapText="1"/>
      <protection locked="0"/>
    </xf>
    <xf numFmtId="179" fontId="10" fillId="0" borderId="5" xfId="0" applyNumberFormat="1" applyFont="1" applyFill="1" applyBorder="1" applyAlignment="1" applyProtection="1">
      <alignment horizontal="center" vertical="center" shrinkToFit="1"/>
    </xf>
    <xf numFmtId="179" fontId="11" fillId="2" borderId="5" xfId="0" applyNumberFormat="1" applyFont="1" applyFill="1" applyBorder="1" applyAlignment="1" applyProtection="1">
      <alignment horizontal="center" vertical="center" wrapText="1"/>
    </xf>
    <xf numFmtId="180" fontId="12" fillId="0" borderId="5" xfId="0" applyNumberFormat="1" applyFont="1" applyFill="1" applyBorder="1" applyAlignment="1" applyProtection="1">
      <alignment horizontal="center" vertical="center" wrapText="1"/>
      <protection locked="0"/>
    </xf>
    <xf numFmtId="0" fontId="1" fillId="0" borderId="5" xfId="0" applyNumberFormat="1" applyFont="1" applyFill="1" applyBorder="1" applyAlignment="1" applyProtection="1">
      <alignment horizontal="center" vertical="center"/>
      <protection locked="0"/>
    </xf>
    <xf numFmtId="49" fontId="13" fillId="0" borderId="5" xfId="0" applyNumberFormat="1" applyFont="1" applyFill="1" applyBorder="1" applyAlignment="1" applyProtection="1">
      <alignment horizontal="center" vertical="center" wrapText="1"/>
      <protection locked="0"/>
    </xf>
    <xf numFmtId="0" fontId="2" fillId="0" borderId="5" xfId="0" applyFont="1" applyFill="1" applyBorder="1" applyAlignment="1" applyProtection="1">
      <alignment vertical="center" wrapText="1"/>
      <protection locked="0"/>
    </xf>
    <xf numFmtId="0" fontId="13" fillId="0" borderId="5" xfId="0" applyFont="1" applyFill="1" applyBorder="1" applyAlignment="1" applyProtection="1">
      <alignment horizontal="center" vertical="center" wrapText="1"/>
      <protection locked="0"/>
    </xf>
    <xf numFmtId="3" fontId="12" fillId="0" borderId="5" xfId="0" applyNumberFormat="1" applyFont="1" applyFill="1" applyBorder="1" applyAlignment="1" applyProtection="1">
      <alignment horizontal="center" vertical="center" wrapText="1"/>
      <protection locked="0"/>
    </xf>
    <xf numFmtId="0" fontId="12" fillId="0" borderId="5" xfId="0" applyFont="1" applyFill="1" applyBorder="1" applyAlignment="1" applyProtection="1">
      <alignment horizontal="center" vertical="center" wrapText="1" shrinkToFit="1"/>
      <protection locked="0"/>
    </xf>
    <xf numFmtId="0" fontId="14" fillId="0" borderId="5" xfId="0" applyFont="1" applyFill="1" applyBorder="1" applyAlignment="1">
      <alignment horizontal="center" vertical="center"/>
    </xf>
    <xf numFmtId="179" fontId="13" fillId="0" borderId="5" xfId="0" applyNumberFormat="1" applyFont="1" applyFill="1" applyBorder="1" applyAlignment="1" applyProtection="1">
      <alignment horizontal="center" vertical="center" wrapText="1" shrinkToFit="1"/>
      <protection locked="0"/>
    </xf>
    <xf numFmtId="0" fontId="15" fillId="0" borderId="5" xfId="0" applyFont="1" applyFill="1" applyBorder="1" applyAlignment="1" applyProtection="1">
      <alignment vertical="center" wrapText="1"/>
      <protection locked="0"/>
    </xf>
    <xf numFmtId="180" fontId="16" fillId="0" borderId="5" xfId="0" applyNumberFormat="1" applyFont="1" applyFill="1" applyBorder="1" applyAlignment="1" applyProtection="1">
      <alignment horizontal="center" vertical="center" wrapText="1"/>
      <protection locked="0"/>
    </xf>
    <xf numFmtId="0" fontId="12" fillId="3" borderId="5" xfId="0" applyNumberFormat="1" applyFont="1" applyFill="1" applyBorder="1" applyAlignment="1" applyProtection="1">
      <alignment horizontal="center" vertical="center" wrapText="1"/>
      <protection locked="0"/>
    </xf>
    <xf numFmtId="0" fontId="1" fillId="0" borderId="5" xfId="0" applyFont="1" applyFill="1" applyBorder="1" applyAlignment="1" applyProtection="1">
      <alignment horizontal="center" vertical="center"/>
      <protection locked="0"/>
    </xf>
    <xf numFmtId="182" fontId="12" fillId="0" borderId="5" xfId="0" applyNumberFormat="1" applyFont="1" applyFill="1" applyBorder="1" applyAlignment="1" applyProtection="1">
      <alignment horizontal="center" vertical="center" wrapText="1" shrinkToFit="1"/>
      <protection locked="0"/>
    </xf>
    <xf numFmtId="181" fontId="12" fillId="0" borderId="5" xfId="0" applyNumberFormat="1" applyFont="1" applyFill="1" applyBorder="1" applyAlignment="1" applyProtection="1">
      <alignment horizontal="center" vertical="center"/>
      <protection locked="0"/>
    </xf>
    <xf numFmtId="0" fontId="2" fillId="0" borderId="6" xfId="0" applyFont="1" applyFill="1" applyBorder="1" applyAlignment="1" applyProtection="1">
      <alignment vertical="center"/>
      <protection locked="0"/>
    </xf>
    <xf numFmtId="0" fontId="1" fillId="0" borderId="5" xfId="0" applyNumberFormat="1" applyFont="1" applyFill="1" applyBorder="1" applyAlignment="1" applyProtection="1">
      <alignment horizontal="center" vertical="center" wrapText="1"/>
      <protection locked="0"/>
    </xf>
    <xf numFmtId="0" fontId="13" fillId="0" borderId="5" xfId="0" applyNumberFormat="1" applyFont="1" applyFill="1" applyBorder="1" applyAlignment="1" applyProtection="1">
      <alignment horizontal="center" vertical="center" wrapText="1" shrinkToFit="1"/>
      <protection locked="0"/>
    </xf>
    <xf numFmtId="0" fontId="18" fillId="0" borderId="5" xfId="0" applyNumberFormat="1" applyFont="1" applyFill="1" applyBorder="1" applyAlignment="1" applyProtection="1">
      <alignment horizontal="center" vertical="center"/>
      <protection locked="0"/>
    </xf>
    <xf numFmtId="0" fontId="19" fillId="0" borderId="7" xfId="0" applyFont="1" applyFill="1" applyBorder="1" applyAlignment="1">
      <alignment vertical="center" wrapText="1"/>
    </xf>
    <xf numFmtId="180" fontId="20" fillId="0" borderId="4" xfId="0" applyNumberFormat="1" applyFont="1" applyFill="1" applyBorder="1" applyAlignment="1" applyProtection="1">
      <alignment horizontal="center" vertical="center" wrapText="1"/>
      <protection locked="0"/>
    </xf>
    <xf numFmtId="180" fontId="13" fillId="0" borderId="1" xfId="0" applyNumberFormat="1" applyFont="1" applyFill="1" applyBorder="1" applyAlignment="1" applyProtection="1">
      <alignment horizontal="center" vertical="center" wrapText="1"/>
      <protection locked="0"/>
    </xf>
    <xf numFmtId="0" fontId="17" fillId="0" borderId="4" xfId="0" applyFont="1" applyFill="1" applyBorder="1" applyAlignment="1">
      <alignment horizontal="center" vertical="center" wrapText="1"/>
    </xf>
    <xf numFmtId="0" fontId="2" fillId="0" borderId="4" xfId="0" applyFont="1" applyFill="1" applyBorder="1" applyAlignment="1" applyProtection="1">
      <alignment horizontal="center" vertical="center" wrapText="1"/>
      <protection locked="0"/>
    </xf>
    <xf numFmtId="0" fontId="21" fillId="2" borderId="4" xfId="0"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protection locked="0"/>
    </xf>
    <xf numFmtId="179" fontId="10" fillId="0" borderId="6" xfId="0" applyNumberFormat="1" applyFont="1" applyFill="1" applyBorder="1" applyAlignment="1" applyProtection="1">
      <alignment horizontal="center" vertical="center" shrinkToFit="1"/>
    </xf>
    <xf numFmtId="180" fontId="12" fillId="0" borderId="6" xfId="0" applyNumberFormat="1" applyFont="1" applyFill="1" applyBorder="1" applyAlignment="1" applyProtection="1">
      <alignment horizontal="center" vertical="center" wrapText="1"/>
      <protection locked="0"/>
    </xf>
    <xf numFmtId="0" fontId="1" fillId="0" borderId="6" xfId="0" applyNumberFormat="1" applyFont="1" applyFill="1" applyBorder="1" applyAlignment="1" applyProtection="1">
      <alignment horizontal="center" vertical="center"/>
      <protection locked="0"/>
    </xf>
    <xf numFmtId="49" fontId="12" fillId="0" borderId="6" xfId="0" applyNumberFormat="1" applyFont="1" applyFill="1" applyBorder="1" applyAlignment="1" applyProtection="1">
      <alignment horizontal="center" vertical="center" wrapText="1"/>
      <protection locked="0"/>
    </xf>
    <xf numFmtId="0" fontId="18" fillId="0" borderId="6" xfId="0" applyFont="1" applyFill="1" applyBorder="1" applyAlignment="1" applyProtection="1">
      <alignment horizontal="center" vertical="center" wrapText="1"/>
      <protection locked="0"/>
    </xf>
    <xf numFmtId="0" fontId="2" fillId="0" borderId="6" xfId="0" applyFont="1" applyFill="1" applyBorder="1" applyAlignment="1" applyProtection="1">
      <alignment vertical="center" wrapText="1"/>
      <protection locked="0"/>
    </xf>
    <xf numFmtId="0" fontId="12" fillId="0" borderId="6" xfId="0" applyFont="1" applyFill="1" applyBorder="1" applyAlignment="1" applyProtection="1">
      <alignment horizontal="center" vertical="center" wrapText="1"/>
      <protection locked="0"/>
    </xf>
    <xf numFmtId="0" fontId="12" fillId="0" borderId="6" xfId="0" applyFont="1" applyFill="1" applyBorder="1" applyAlignment="1" applyProtection="1">
      <alignment horizontal="center" vertical="center" wrapText="1" shrinkToFit="1"/>
      <protection locked="0"/>
    </xf>
    <xf numFmtId="0" fontId="14" fillId="0" borderId="6" xfId="0" applyFont="1" applyFill="1" applyBorder="1" applyAlignment="1" applyProtection="1">
      <alignment horizontal="center" vertical="center"/>
      <protection locked="0"/>
    </xf>
    <xf numFmtId="179" fontId="22" fillId="0" borderId="6" xfId="0" applyNumberFormat="1" applyFont="1" applyFill="1" applyBorder="1" applyAlignment="1" applyProtection="1">
      <alignment horizontal="center" vertical="center" wrapText="1" shrinkToFit="1"/>
      <protection locked="0"/>
    </xf>
    <xf numFmtId="180" fontId="23" fillId="0" borderId="6" xfId="0" applyNumberFormat="1" applyFont="1" applyFill="1" applyBorder="1" applyAlignment="1" applyProtection="1">
      <alignment horizontal="center" vertical="center" wrapText="1"/>
      <protection locked="0"/>
    </xf>
    <xf numFmtId="180" fontId="13" fillId="0" borderId="6" xfId="0" applyNumberFormat="1" applyFont="1" applyFill="1" applyBorder="1" applyAlignment="1" applyProtection="1">
      <alignment horizontal="center" vertical="center" wrapText="1"/>
      <protection locked="0"/>
    </xf>
    <xf numFmtId="0" fontId="15" fillId="0" borderId="6" xfId="0" applyFont="1" applyFill="1" applyBorder="1" applyAlignment="1" applyProtection="1">
      <alignment vertical="center" wrapText="1"/>
      <protection locked="0"/>
    </xf>
    <xf numFmtId="180" fontId="16" fillId="0" borderId="1" xfId="0" applyNumberFormat="1" applyFont="1" applyFill="1" applyBorder="1" applyAlignment="1" applyProtection="1">
      <alignment horizontal="center" vertical="center" wrapText="1"/>
      <protection locked="0"/>
    </xf>
    <xf numFmtId="180" fontId="20" fillId="0" borderId="1" xfId="0" applyNumberFormat="1" applyFont="1" applyFill="1" applyBorder="1" applyAlignment="1" applyProtection="1">
      <alignment horizontal="center" vertical="center" wrapText="1"/>
      <protection locked="0"/>
    </xf>
    <xf numFmtId="0" fontId="19" fillId="0" borderId="0" xfId="0" applyFont="1" applyFill="1" applyBorder="1" applyAlignment="1">
      <alignment vertical="center" wrapText="1"/>
    </xf>
    <xf numFmtId="0" fontId="12" fillId="0" borderId="6" xfId="0" applyNumberFormat="1" applyFont="1" applyFill="1" applyBorder="1" applyAlignment="1" applyProtection="1">
      <alignment horizontal="center" vertical="center" wrapText="1"/>
      <protection locked="0"/>
    </xf>
    <xf numFmtId="0" fontId="1" fillId="0" borderId="6" xfId="0" applyFont="1" applyFill="1" applyBorder="1" applyAlignment="1" applyProtection="1">
      <alignment horizontal="center" vertical="center"/>
      <protection locked="0"/>
    </xf>
    <xf numFmtId="183" fontId="12" fillId="0" borderId="6" xfId="0" applyNumberFormat="1" applyFont="1" applyFill="1" applyBorder="1" applyAlignment="1" applyProtection="1">
      <alignment horizontal="center" vertical="center" wrapText="1" shrinkToFit="1"/>
      <protection locked="0"/>
    </xf>
    <xf numFmtId="181" fontId="12" fillId="0" borderId="6" xfId="0" applyNumberFormat="1" applyFont="1" applyFill="1" applyBorder="1" applyAlignment="1" applyProtection="1">
      <alignment horizontal="center" vertical="center"/>
      <protection locked="0"/>
    </xf>
    <xf numFmtId="0" fontId="2" fillId="0" borderId="6" xfId="0" applyFont="1" applyFill="1" applyBorder="1" applyAlignment="1" applyProtection="1">
      <alignment horizontal="center" vertical="center" wrapText="1"/>
      <protection locked="0"/>
    </xf>
    <xf numFmtId="0" fontId="2" fillId="0" borderId="6" xfId="0" applyFont="1" applyFill="1" applyBorder="1" applyAlignment="1" applyProtection="1">
      <alignment horizontal="center" vertical="center"/>
      <protection locked="0"/>
    </xf>
    <xf numFmtId="0" fontId="1" fillId="0" borderId="6" xfId="0" applyNumberFormat="1" applyFont="1" applyFill="1" applyBorder="1" applyAlignment="1" applyProtection="1">
      <alignment horizontal="center" vertical="center" wrapText="1"/>
      <protection locked="0"/>
    </xf>
    <xf numFmtId="0" fontId="13" fillId="0" borderId="6" xfId="0" applyNumberFormat="1" applyFont="1" applyFill="1" applyBorder="1" applyAlignment="1" applyProtection="1">
      <alignment horizontal="center" vertical="center" wrapText="1" shrinkToFit="1"/>
      <protection locked="0"/>
    </xf>
    <xf numFmtId="0" fontId="18" fillId="0" borderId="6" xfId="0" applyNumberFormat="1" applyFont="1" applyFill="1" applyBorder="1" applyAlignment="1" applyProtection="1">
      <alignment horizontal="center" vertical="center"/>
      <protection locked="0"/>
    </xf>
    <xf numFmtId="0" fontId="12" fillId="0" borderId="1" xfId="0" applyNumberFormat="1"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protection locked="0"/>
    </xf>
    <xf numFmtId="0" fontId="2" fillId="0" borderId="1" xfId="0" applyFont="1" applyFill="1" applyBorder="1" applyAlignment="1" applyProtection="1">
      <alignment horizontal="center" vertical="center" wrapText="1"/>
      <protection locked="0"/>
    </xf>
    <xf numFmtId="179" fontId="10" fillId="0" borderId="8" xfId="0" applyNumberFormat="1" applyFont="1" applyFill="1" applyBorder="1" applyAlignment="1" applyProtection="1">
      <alignment horizontal="center" vertical="center" shrinkToFit="1"/>
    </xf>
    <xf numFmtId="180" fontId="12" fillId="0" borderId="8" xfId="0" applyNumberFormat="1" applyFont="1" applyFill="1" applyBorder="1" applyAlignment="1" applyProtection="1">
      <alignment horizontal="center" vertical="center" wrapText="1"/>
      <protection locked="0"/>
    </xf>
    <xf numFmtId="0" fontId="1" fillId="0" borderId="8" xfId="0" applyNumberFormat="1" applyFont="1" applyFill="1" applyBorder="1" applyAlignment="1" applyProtection="1">
      <alignment horizontal="center" vertical="center"/>
      <protection locked="0"/>
    </xf>
    <xf numFmtId="49" fontId="12" fillId="0" borderId="8" xfId="0" applyNumberFormat="1" applyFont="1" applyFill="1" applyBorder="1" applyAlignment="1" applyProtection="1">
      <alignment horizontal="center" vertical="center" wrapText="1"/>
      <protection locked="0"/>
    </xf>
    <xf numFmtId="0" fontId="18" fillId="0" borderId="8" xfId="0" applyFont="1" applyFill="1" applyBorder="1" applyAlignment="1" applyProtection="1">
      <alignment horizontal="center" vertical="center" wrapText="1"/>
      <protection locked="0"/>
    </xf>
    <xf numFmtId="0" fontId="2" fillId="0" borderId="8" xfId="0" applyFont="1" applyFill="1" applyBorder="1" applyAlignment="1" applyProtection="1">
      <alignment vertical="center" wrapText="1"/>
      <protection locked="0"/>
    </xf>
    <xf numFmtId="0" fontId="13" fillId="0" borderId="8" xfId="0" applyFont="1" applyFill="1" applyBorder="1" applyAlignment="1" applyProtection="1">
      <alignment horizontal="center" vertical="center" wrapText="1"/>
      <protection locked="0"/>
    </xf>
    <xf numFmtId="0" fontId="12" fillId="0" borderId="8" xfId="0" applyFont="1" applyFill="1" applyBorder="1" applyAlignment="1" applyProtection="1">
      <alignment horizontal="center" vertical="center" wrapText="1"/>
      <protection locked="0"/>
    </xf>
    <xf numFmtId="0" fontId="12" fillId="0" borderId="8" xfId="0" applyFont="1" applyFill="1" applyBorder="1" applyAlignment="1" applyProtection="1">
      <alignment horizontal="center" vertical="center" wrapText="1" shrinkToFit="1"/>
      <protection locked="0"/>
    </xf>
    <xf numFmtId="0" fontId="14" fillId="0" borderId="8" xfId="0" applyFont="1" applyFill="1" applyBorder="1" applyAlignment="1">
      <alignment horizontal="center" vertical="center"/>
    </xf>
    <xf numFmtId="179" fontId="13" fillId="0" borderId="8" xfId="0" applyNumberFormat="1" applyFont="1" applyFill="1" applyBorder="1" applyAlignment="1" applyProtection="1">
      <alignment horizontal="center" vertical="center" wrapText="1" shrinkToFit="1"/>
      <protection locked="0"/>
    </xf>
    <xf numFmtId="180" fontId="13" fillId="0" borderId="8" xfId="0" applyNumberFormat="1" applyFont="1" applyFill="1" applyBorder="1" applyAlignment="1" applyProtection="1">
      <alignment horizontal="center" vertical="center" wrapText="1"/>
      <protection locked="0"/>
    </xf>
    <xf numFmtId="0" fontId="15" fillId="0" borderId="8" xfId="0" applyFont="1" applyFill="1" applyBorder="1" applyAlignment="1" applyProtection="1">
      <alignment vertical="center" wrapText="1"/>
      <protection locked="0"/>
    </xf>
    <xf numFmtId="0" fontId="15" fillId="0" borderId="8" xfId="0" applyFont="1" applyFill="1" applyBorder="1" applyAlignment="1" applyProtection="1">
      <alignment horizontal="center" vertical="center" wrapText="1"/>
      <protection locked="0"/>
    </xf>
    <xf numFmtId="180" fontId="20" fillId="0" borderId="8" xfId="0" applyNumberFormat="1" applyFont="1" applyFill="1" applyBorder="1" applyAlignment="1" applyProtection="1">
      <alignment horizontal="center" vertical="center" wrapText="1"/>
      <protection locked="0"/>
    </xf>
    <xf numFmtId="0" fontId="19" fillId="0" borderId="8" xfId="0" applyFont="1" applyFill="1" applyBorder="1">
      <alignment vertical="center"/>
    </xf>
    <xf numFmtId="0" fontId="12" fillId="0" borderId="8" xfId="0" applyNumberFormat="1" applyFont="1" applyFill="1" applyBorder="1" applyAlignment="1" applyProtection="1">
      <alignment horizontal="center" vertical="center" wrapText="1"/>
      <protection locked="0"/>
    </xf>
    <xf numFmtId="0" fontId="1" fillId="0" borderId="8" xfId="0" applyFont="1" applyFill="1" applyBorder="1" applyAlignment="1" applyProtection="1">
      <alignment horizontal="center" vertical="center"/>
      <protection locked="0"/>
    </xf>
    <xf numFmtId="183" fontId="12" fillId="0" borderId="8" xfId="0" applyNumberFormat="1" applyFont="1" applyFill="1" applyBorder="1" applyAlignment="1" applyProtection="1">
      <alignment horizontal="center" vertical="center" wrapText="1" shrinkToFit="1"/>
      <protection locked="0"/>
    </xf>
    <xf numFmtId="181" fontId="12" fillId="0" borderId="8" xfId="0" applyNumberFormat="1" applyFont="1" applyFill="1" applyBorder="1" applyAlignment="1" applyProtection="1">
      <alignment horizontal="center" vertical="center"/>
      <protection locked="0"/>
    </xf>
    <xf numFmtId="0" fontId="2" fillId="0" borderId="8" xfId="0" applyFont="1" applyFill="1" applyBorder="1" applyAlignment="1" applyProtection="1">
      <alignment horizontal="center" vertical="center"/>
      <protection locked="0"/>
    </xf>
    <xf numFmtId="0" fontId="1" fillId="0" borderId="8" xfId="0" applyNumberFormat="1" applyFont="1" applyFill="1" applyBorder="1" applyAlignment="1" applyProtection="1">
      <alignment horizontal="center" vertical="center" wrapText="1"/>
      <protection locked="0"/>
    </xf>
    <xf numFmtId="0" fontId="13" fillId="0" borderId="8" xfId="0" applyNumberFormat="1" applyFont="1" applyFill="1" applyBorder="1" applyAlignment="1" applyProtection="1">
      <alignment horizontal="center" vertical="center" wrapText="1" shrinkToFit="1"/>
      <protection locked="0"/>
    </xf>
    <xf numFmtId="0" fontId="18" fillId="0" borderId="8" xfId="0" applyNumberFormat="1" applyFont="1" applyFill="1" applyBorder="1" applyAlignment="1" applyProtection="1">
      <alignment horizontal="center" vertical="center"/>
      <protection locked="0"/>
    </xf>
    <xf numFmtId="0" fontId="2" fillId="0" borderId="8" xfId="0" applyFont="1" applyFill="1" applyBorder="1" applyAlignment="1" applyProtection="1">
      <alignment vertical="center"/>
      <protection locked="0"/>
    </xf>
    <xf numFmtId="0" fontId="2" fillId="0" borderId="8" xfId="0" applyFont="1" applyFill="1" applyBorder="1" applyAlignment="1" applyProtection="1">
      <alignment horizontal="center" vertical="center" wrapText="1"/>
      <protection locked="0"/>
    </xf>
    <xf numFmtId="0" fontId="14" fillId="0" borderId="0" xfId="0" applyFont="1" applyFill="1" applyBorder="1">
      <alignment vertical="center"/>
    </xf>
    <xf numFmtId="179" fontId="10" fillId="0" borderId="1" xfId="0" applyNumberFormat="1" applyFont="1" applyFill="1" applyBorder="1" applyAlignment="1" applyProtection="1">
      <alignment horizontal="center" vertical="center" shrinkToFit="1"/>
    </xf>
    <xf numFmtId="180" fontId="12" fillId="0" borderId="1" xfId="0" applyNumberFormat="1" applyFont="1" applyFill="1" applyBorder="1" applyAlignment="1" applyProtection="1">
      <alignment horizontal="center" vertical="center" wrapText="1"/>
      <protection locked="0"/>
    </xf>
    <xf numFmtId="49" fontId="12" fillId="0" borderId="1" xfId="0" applyNumberFormat="1" applyFont="1" applyFill="1" applyBorder="1" applyAlignment="1" applyProtection="1">
      <alignment horizontal="center" vertical="center" wrapText="1"/>
      <protection locked="0"/>
    </xf>
    <xf numFmtId="0" fontId="18" fillId="0" borderId="1" xfId="0" applyFont="1" applyFill="1" applyBorder="1" applyAlignment="1" applyProtection="1">
      <alignment horizontal="center" vertical="center" wrapText="1"/>
      <protection locked="0"/>
    </xf>
    <xf numFmtId="0" fontId="2" fillId="0" borderId="1" xfId="0" applyFont="1" applyFill="1" applyBorder="1" applyAlignment="1" applyProtection="1">
      <alignment vertical="center" wrapText="1"/>
      <protection locked="0"/>
    </xf>
    <xf numFmtId="0" fontId="13"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shrinkToFit="1"/>
      <protection locked="0"/>
    </xf>
    <xf numFmtId="0" fontId="14" fillId="0" borderId="1" xfId="0" applyFont="1" applyFill="1" applyBorder="1" applyAlignment="1">
      <alignment horizontal="center" vertical="center"/>
    </xf>
    <xf numFmtId="179" fontId="13" fillId="0" borderId="1" xfId="0" applyNumberFormat="1" applyFont="1" applyFill="1" applyBorder="1" applyAlignment="1" applyProtection="1">
      <alignment horizontal="center" vertical="center" wrapText="1" shrinkToFit="1"/>
      <protection locked="0"/>
    </xf>
    <xf numFmtId="0" fontId="15" fillId="0" borderId="1" xfId="0" applyFont="1" applyFill="1" applyBorder="1" applyAlignment="1" applyProtection="1">
      <alignment vertical="center" wrapText="1"/>
      <protection locked="0"/>
    </xf>
    <xf numFmtId="0" fontId="15" fillId="0" borderId="1" xfId="0"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protection locked="0"/>
    </xf>
    <xf numFmtId="183" fontId="12" fillId="0" borderId="1" xfId="0" applyNumberFormat="1" applyFont="1" applyFill="1" applyBorder="1" applyAlignment="1" applyProtection="1">
      <alignment horizontal="center" vertical="center" wrapText="1" shrinkToFit="1"/>
      <protection locked="0"/>
    </xf>
    <xf numFmtId="181" fontId="12" fillId="0"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wrapText="1"/>
      <protection locked="0"/>
    </xf>
    <xf numFmtId="0" fontId="13" fillId="0" borderId="1" xfId="0" applyNumberFormat="1" applyFont="1" applyFill="1" applyBorder="1" applyAlignment="1" applyProtection="1">
      <alignment horizontal="center" vertical="center" wrapText="1" shrinkToFit="1"/>
      <protection locked="0"/>
    </xf>
    <xf numFmtId="0" fontId="18" fillId="0" borderId="1" xfId="0" applyNumberFormat="1" applyFont="1" applyFill="1" applyBorder="1" applyAlignment="1" applyProtection="1">
      <alignment horizontal="center" vertical="center"/>
      <protection locked="0"/>
    </xf>
    <xf numFmtId="0" fontId="14" fillId="0" borderId="1" xfId="0" applyFont="1" applyFill="1" applyBorder="1">
      <alignment vertical="center"/>
    </xf>
    <xf numFmtId="179" fontId="11" fillId="2" borderId="1" xfId="0" applyNumberFormat="1" applyFont="1" applyFill="1" applyBorder="1" applyAlignment="1" applyProtection="1">
      <alignment horizontal="center" vertical="center" wrapText="1"/>
    </xf>
    <xf numFmtId="49" fontId="13" fillId="0" borderId="1" xfId="0" applyNumberFormat="1" applyFont="1" applyFill="1" applyBorder="1" applyAlignment="1" applyProtection="1">
      <alignment horizontal="center" vertical="center" wrapText="1"/>
      <protection locked="0"/>
    </xf>
    <xf numFmtId="3" fontId="12" fillId="0" borderId="1" xfId="0" applyNumberFormat="1" applyFont="1" applyFill="1" applyBorder="1" applyAlignment="1" applyProtection="1">
      <alignment horizontal="center" vertical="center" wrapText="1"/>
      <protection locked="0"/>
    </xf>
    <xf numFmtId="0" fontId="12" fillId="3" borderId="1" xfId="0" applyNumberFormat="1" applyFont="1" applyFill="1" applyBorder="1" applyAlignment="1" applyProtection="1">
      <alignment horizontal="center" vertical="center" wrapText="1"/>
      <protection locked="0"/>
    </xf>
    <xf numFmtId="182" fontId="12" fillId="0" borderId="1" xfId="0" applyNumberFormat="1" applyFont="1" applyFill="1" applyBorder="1" applyAlignment="1" applyProtection="1">
      <alignment horizontal="center" vertical="center" wrapText="1" shrinkToFit="1"/>
      <protection locked="0"/>
    </xf>
    <xf numFmtId="0" fontId="19" fillId="0" borderId="1" xfId="0" applyFont="1" applyFill="1" applyBorder="1" applyAlignment="1">
      <alignment vertical="center" wrapText="1"/>
    </xf>
    <xf numFmtId="0" fontId="0" fillId="0" borderId="0" xfId="0" applyFill="1">
      <alignment vertical="center"/>
    </xf>
    <xf numFmtId="0" fontId="24" fillId="4" borderId="9" xfId="0" applyFont="1" applyFill="1" applyBorder="1" applyAlignment="1">
      <alignment horizontal="center" vertical="center"/>
    </xf>
    <xf numFmtId="0" fontId="24" fillId="4" borderId="0" xfId="0" applyFont="1" applyFill="1" applyAlignment="1">
      <alignment horizontal="center" vertical="center"/>
    </xf>
    <xf numFmtId="0" fontId="25" fillId="0" borderId="4" xfId="0" applyFont="1" applyFill="1" applyBorder="1" applyAlignment="1">
      <alignment horizontal="center" vertical="center"/>
    </xf>
    <xf numFmtId="0" fontId="26" fillId="0" borderId="4" xfId="0" applyFont="1" applyFill="1" applyBorder="1" applyAlignment="1">
      <alignment horizontal="center" vertical="center"/>
    </xf>
    <xf numFmtId="0" fontId="26" fillId="0" borderId="10" xfId="0" applyFont="1" applyFill="1" applyBorder="1" applyAlignment="1">
      <alignment horizontal="center" vertical="center"/>
    </xf>
    <xf numFmtId="0" fontId="26" fillId="0" borderId="11" xfId="0" applyFont="1" applyFill="1" applyBorder="1" applyAlignment="1">
      <alignment horizontal="center" vertical="center"/>
    </xf>
    <xf numFmtId="0" fontId="26" fillId="0" borderId="1" xfId="0" applyFont="1" applyFill="1" applyBorder="1" applyAlignment="1">
      <alignment horizontal="center" vertical="center"/>
    </xf>
    <xf numFmtId="0" fontId="27" fillId="0" borderId="1" xfId="0" applyFont="1" applyFill="1" applyBorder="1" applyAlignment="1">
      <alignment horizontal="center" vertical="center"/>
    </xf>
    <xf numFmtId="0" fontId="26" fillId="0" borderId="5" xfId="0" applyFont="1" applyFill="1" applyBorder="1" applyAlignment="1">
      <alignment horizontal="center" vertical="center"/>
    </xf>
    <xf numFmtId="0" fontId="25" fillId="0" borderId="1" xfId="0" applyFont="1" applyFill="1" applyBorder="1" applyAlignment="1">
      <alignment horizontal="center" vertical="center"/>
    </xf>
    <xf numFmtId="49" fontId="28" fillId="0" borderId="6" xfId="0" applyNumberFormat="1" applyFont="1" applyFill="1" applyBorder="1" applyAlignment="1">
      <alignment horizontal="center" vertical="center"/>
    </xf>
    <xf numFmtId="49" fontId="29" fillId="0" borderId="6" xfId="0" applyNumberFormat="1" applyFont="1" applyFill="1" applyBorder="1" applyAlignment="1">
      <alignment horizontal="center" vertical="center"/>
    </xf>
    <xf numFmtId="49" fontId="28" fillId="0" borderId="5" xfId="0" applyNumberFormat="1" applyFont="1" applyFill="1" applyBorder="1" applyAlignment="1">
      <alignment horizontal="center" vertical="center"/>
    </xf>
    <xf numFmtId="49" fontId="28" fillId="0" borderId="4" xfId="0" applyNumberFormat="1" applyFont="1" applyFill="1" applyBorder="1" applyAlignment="1">
      <alignment horizontal="center" vertical="center"/>
    </xf>
    <xf numFmtId="178" fontId="30" fillId="0" borderId="1" xfId="0" applyNumberFormat="1" applyFont="1" applyFill="1" applyBorder="1" applyAlignment="1">
      <alignment horizontal="center" vertical="center"/>
    </xf>
    <xf numFmtId="184" fontId="31" fillId="0" borderId="1" xfId="0" applyNumberFormat="1" applyFont="1" applyFill="1" applyBorder="1" applyAlignment="1">
      <alignment horizontal="center" vertical="center"/>
    </xf>
    <xf numFmtId="49" fontId="30" fillId="0" borderId="1" xfId="0" applyNumberFormat="1" applyFont="1" applyFill="1" applyBorder="1" applyAlignment="1">
      <alignment horizontal="center" vertical="center"/>
    </xf>
    <xf numFmtId="49" fontId="32" fillId="0" borderId="1" xfId="0" applyNumberFormat="1" applyFont="1" applyFill="1" applyBorder="1" applyAlignment="1">
      <alignment horizontal="center" vertical="center"/>
    </xf>
    <xf numFmtId="184" fontId="33" fillId="0" borderId="1" xfId="0" applyNumberFormat="1" applyFont="1" applyFill="1" applyBorder="1" applyAlignment="1">
      <alignment horizontal="center" vertical="center"/>
    </xf>
    <xf numFmtId="0" fontId="34" fillId="0" borderId="1" xfId="0" applyFont="1" applyFill="1" applyBorder="1" applyAlignment="1">
      <alignment vertical="center"/>
    </xf>
    <xf numFmtId="0" fontId="26" fillId="0" borderId="1" xfId="0" applyFont="1" applyFill="1" applyBorder="1" applyAlignment="1">
      <alignment horizontal="center" vertical="center" wrapText="1"/>
    </xf>
    <xf numFmtId="49" fontId="32" fillId="0" borderId="1" xfId="49" applyNumberFormat="1" applyFont="1" applyFill="1" applyBorder="1" applyAlignment="1">
      <alignment horizontal="center" vertical="center"/>
    </xf>
    <xf numFmtId="3" fontId="32" fillId="0" borderId="1" xfId="0" applyNumberFormat="1" applyFont="1" applyFill="1" applyBorder="1" applyAlignment="1">
      <alignment horizontal="center" vertical="center"/>
    </xf>
    <xf numFmtId="0" fontId="35" fillId="0" borderId="1" xfId="0" applyFont="1" applyFill="1" applyBorder="1" applyAlignment="1">
      <alignment horizontal="center" vertical="center" wrapText="1"/>
    </xf>
    <xf numFmtId="14" fontId="32" fillId="0" borderId="1" xfId="0" applyNumberFormat="1" applyFont="1" applyFill="1" applyBorder="1" applyAlignment="1">
      <alignment horizontal="center" vertical="center"/>
    </xf>
    <xf numFmtId="49" fontId="32" fillId="0" borderId="3" xfId="0" applyNumberFormat="1" applyFont="1" applyFill="1" applyBorder="1" applyAlignment="1">
      <alignment horizontal="center" vertical="center"/>
    </xf>
    <xf numFmtId="49" fontId="36" fillId="0" borderId="8" xfId="0" applyNumberFormat="1" applyFont="1" applyFill="1" applyBorder="1" applyAlignment="1">
      <alignment horizontal="center" vertical="center"/>
    </xf>
    <xf numFmtId="0" fontId="35" fillId="0" borderId="1" xfId="0" applyFont="1" applyFill="1" applyBorder="1" applyAlignment="1">
      <alignment horizontal="center" vertical="center"/>
    </xf>
    <xf numFmtId="49" fontId="30" fillId="0" borderId="6" xfId="0" applyNumberFormat="1" applyFont="1" applyFill="1" applyBorder="1" applyAlignment="1">
      <alignment horizontal="center" vertical="center"/>
    </xf>
    <xf numFmtId="184" fontId="31" fillId="0" borderId="2" xfId="0" applyNumberFormat="1" applyFont="1" applyFill="1" applyBorder="1" applyAlignment="1">
      <alignment horizontal="center" vertical="center"/>
    </xf>
    <xf numFmtId="0" fontId="37" fillId="5" borderId="8" xfId="0" applyFont="1" applyFill="1" applyBorder="1" applyAlignment="1">
      <alignment horizontal="center" vertical="center" wrapText="1"/>
    </xf>
    <xf numFmtId="49" fontId="36" fillId="0" borderId="8" xfId="0" applyNumberFormat="1" applyFont="1" applyBorder="1" applyAlignment="1">
      <alignment horizontal="center" vertical="center"/>
    </xf>
    <xf numFmtId="0" fontId="38" fillId="0" borderId="8" xfId="0" applyFont="1" applyBorder="1" applyAlignment="1">
      <alignment horizontal="center" vertical="center"/>
    </xf>
    <xf numFmtId="49" fontId="36" fillId="0" borderId="3" xfId="0" applyNumberFormat="1" applyFont="1" applyBorder="1" applyAlignment="1">
      <alignment horizontal="center" vertical="center"/>
    </xf>
    <xf numFmtId="0" fontId="39" fillId="0" borderId="8" xfId="0" applyFont="1" applyBorder="1" applyAlignment="1">
      <alignment horizontal="center" vertical="center"/>
    </xf>
    <xf numFmtId="14" fontId="32" fillId="2" borderId="1" xfId="0" applyNumberFormat="1" applyFont="1" applyFill="1" applyBorder="1" applyAlignment="1">
      <alignment horizontal="center" vertical="center"/>
    </xf>
    <xf numFmtId="184" fontId="31" fillId="2" borderId="2" xfId="0" applyNumberFormat="1" applyFont="1" applyFill="1" applyBorder="1" applyAlignment="1">
      <alignment horizontal="center" vertical="center"/>
    </xf>
    <xf numFmtId="0" fontId="39" fillId="2" borderId="8" xfId="0" applyFont="1" applyFill="1" applyBorder="1" applyAlignment="1">
      <alignment horizontal="center" vertical="center"/>
    </xf>
    <xf numFmtId="49" fontId="36" fillId="2" borderId="8" xfId="0" applyNumberFormat="1" applyFont="1" applyFill="1" applyBorder="1" applyAlignment="1">
      <alignment horizontal="center" vertical="center"/>
    </xf>
    <xf numFmtId="184" fontId="33" fillId="2" borderId="1" xfId="0" applyNumberFormat="1" applyFont="1" applyFill="1" applyBorder="1" applyAlignment="1">
      <alignment horizontal="center" vertical="center"/>
    </xf>
    <xf numFmtId="0" fontId="35" fillId="2" borderId="1" xfId="0" applyFont="1" applyFill="1" applyBorder="1" applyAlignment="1">
      <alignment horizontal="center" vertical="center"/>
    </xf>
    <xf numFmtId="178" fontId="30" fillId="6" borderId="1" xfId="0" applyNumberFormat="1" applyFont="1" applyFill="1" applyBorder="1" applyAlignment="1">
      <alignment horizontal="center" vertical="center"/>
    </xf>
    <xf numFmtId="184" fontId="31" fillId="6" borderId="1" xfId="0" applyNumberFormat="1" applyFont="1" applyFill="1" applyBorder="1" applyAlignment="1">
      <alignment horizontal="center" vertical="center"/>
    </xf>
    <xf numFmtId="49" fontId="30" fillId="6" borderId="10" xfId="0" applyNumberFormat="1" applyFont="1" applyFill="1" applyBorder="1" applyAlignment="1">
      <alignment horizontal="center" vertical="center"/>
    </xf>
    <xf numFmtId="49" fontId="30" fillId="6" borderId="3" xfId="0" applyNumberFormat="1" applyFont="1" applyFill="1" applyBorder="1" applyAlignment="1">
      <alignment horizontal="center" vertical="center"/>
    </xf>
    <xf numFmtId="184" fontId="33" fillId="6" borderId="1" xfId="0" applyNumberFormat="1" applyFont="1" applyFill="1" applyBorder="1" applyAlignment="1">
      <alignment horizontal="center" vertical="center"/>
    </xf>
    <xf numFmtId="0" fontId="26" fillId="6" borderId="1" xfId="0" applyFont="1" applyFill="1" applyBorder="1" applyAlignment="1">
      <alignment horizontal="center" vertical="center" wrapText="1"/>
    </xf>
    <xf numFmtId="49" fontId="30" fillId="6" borderId="2" xfId="0" applyNumberFormat="1" applyFont="1" applyFill="1" applyBorder="1" applyAlignment="1">
      <alignment horizontal="center" vertical="center"/>
    </xf>
    <xf numFmtId="0" fontId="34" fillId="0" borderId="0" xfId="0" applyFont="1" applyFill="1" applyAlignment="1">
      <alignment vertical="center"/>
    </xf>
    <xf numFmtId="0" fontId="40" fillId="0" borderId="0" xfId="51" applyFont="1"/>
    <xf numFmtId="0" fontId="41" fillId="0" borderId="0" xfId="51" applyFont="1"/>
    <xf numFmtId="0" fontId="0" fillId="0" borderId="0" xfId="51" applyFont="1" applyFill="1" applyAlignment="1"/>
    <xf numFmtId="0" fontId="0" fillId="0" borderId="0" xfId="51" applyFont="1" applyFill="1" applyAlignment="1">
      <alignment horizontal="center" vertical="center"/>
    </xf>
    <xf numFmtId="0" fontId="42" fillId="0" borderId="0" xfId="51"/>
    <xf numFmtId="0" fontId="43" fillId="7" borderId="1" xfId="51" applyFont="1" applyFill="1" applyBorder="1" applyAlignment="1" applyProtection="1">
      <alignment horizontal="center" vertical="top" wrapText="1"/>
      <protection locked="0"/>
    </xf>
    <xf numFmtId="0" fontId="44" fillId="7" borderId="1" xfId="51" applyFont="1" applyFill="1" applyBorder="1" applyAlignment="1" applyProtection="1">
      <alignment horizontal="center" vertical="top" wrapText="1"/>
      <protection locked="0"/>
    </xf>
    <xf numFmtId="0" fontId="43" fillId="7" borderId="0" xfId="51" applyFont="1" applyFill="1" applyAlignment="1" applyProtection="1">
      <alignment horizontal="center" vertical="top" wrapText="1"/>
      <protection locked="0"/>
    </xf>
    <xf numFmtId="0" fontId="45" fillId="8" borderId="1" xfId="51" applyFont="1" applyFill="1" applyBorder="1" applyAlignment="1" applyProtection="1">
      <protection locked="0"/>
    </xf>
    <xf numFmtId="14" fontId="46" fillId="8" borderId="1" xfId="51" applyNumberFormat="1" applyFont="1" applyFill="1" applyBorder="1" applyAlignment="1" applyProtection="1">
      <alignment horizontal="center" vertical="center"/>
      <protection locked="0"/>
    </xf>
    <xf numFmtId="14" fontId="46" fillId="8" borderId="0" xfId="51" applyNumberFormat="1" applyFont="1" applyFill="1" applyAlignment="1" applyProtection="1">
      <alignment horizontal="center" vertical="center"/>
      <protection locked="0"/>
    </xf>
    <xf numFmtId="0" fontId="47" fillId="8" borderId="1" xfId="51" applyFont="1" applyFill="1" applyBorder="1" applyAlignment="1" applyProtection="1">
      <protection locked="0"/>
    </xf>
    <xf numFmtId="0" fontId="48" fillId="8" borderId="1" xfId="51" applyFont="1" applyFill="1" applyBorder="1" applyAlignment="1" applyProtection="1">
      <protection locked="0"/>
    </xf>
    <xf numFmtId="14" fontId="49" fillId="8" borderId="1" xfId="51" applyNumberFormat="1" applyFont="1" applyFill="1" applyBorder="1" applyAlignment="1" applyProtection="1">
      <alignment horizontal="center" vertical="center"/>
      <protection locked="0"/>
    </xf>
    <xf numFmtId="14" fontId="49" fillId="8" borderId="0" xfId="51" applyNumberFormat="1" applyFont="1" applyFill="1" applyAlignment="1" applyProtection="1">
      <alignment horizontal="center" vertical="center"/>
      <protection locked="0"/>
    </xf>
    <xf numFmtId="177" fontId="49" fillId="8" borderId="1" xfId="52" applyFont="1" applyFill="1" applyBorder="1" applyAlignment="1" applyProtection="1">
      <alignment horizontal="center" vertical="center"/>
      <protection locked="0"/>
    </xf>
    <xf numFmtId="0" fontId="45" fillId="9" borderId="1" xfId="51" applyFont="1" applyFill="1" applyBorder="1" applyAlignment="1" applyProtection="1">
      <alignment horizontal="left" vertical="center" wrapText="1"/>
      <protection locked="0"/>
    </xf>
    <xf numFmtId="0" fontId="41" fillId="9" borderId="1" xfId="51" applyFont="1" applyFill="1" applyBorder="1" applyAlignment="1" applyProtection="1">
      <alignment horizontal="center" vertical="center"/>
      <protection locked="0"/>
    </xf>
    <xf numFmtId="0" fontId="50" fillId="9" borderId="1" xfId="51" applyFont="1" applyFill="1" applyBorder="1" applyAlignment="1" applyProtection="1">
      <alignment horizontal="center" vertical="center"/>
      <protection locked="0"/>
    </xf>
    <xf numFmtId="0" fontId="42" fillId="9" borderId="1" xfId="51" applyFont="1" applyFill="1" applyBorder="1" applyAlignment="1" applyProtection="1">
      <alignment horizontal="center" vertical="center"/>
      <protection locked="0"/>
    </xf>
    <xf numFmtId="185" fontId="42" fillId="9" borderId="1" xfId="51" applyNumberFormat="1" applyFont="1" applyFill="1" applyBorder="1" applyAlignment="1" applyProtection="1">
      <alignment horizontal="right" vertical="center"/>
      <protection locked="0"/>
    </xf>
    <xf numFmtId="185" fontId="42" fillId="0" borderId="1" xfId="51" applyNumberFormat="1" applyFont="1" applyFill="1" applyBorder="1" applyAlignment="1">
      <alignment horizontal="right" vertical="center"/>
    </xf>
    <xf numFmtId="185" fontId="51" fillId="7" borderId="1" xfId="51" applyNumberFormat="1" applyFont="1" applyFill="1" applyBorder="1" applyAlignment="1" applyProtection="1">
      <alignment horizontal="right" vertical="center"/>
      <protection locked="0"/>
    </xf>
    <xf numFmtId="185" fontId="51" fillId="7" borderId="0" xfId="51" applyNumberFormat="1" applyFont="1" applyFill="1" applyAlignment="1" applyProtection="1">
      <alignment horizontal="right" vertical="center"/>
      <protection locked="0"/>
    </xf>
    <xf numFmtId="0" fontId="41" fillId="9" borderId="1" xfId="51" applyFont="1" applyFill="1" applyBorder="1" applyAlignment="1" applyProtection="1">
      <alignment horizontal="center" vertical="center" wrapText="1"/>
      <protection locked="0"/>
    </xf>
    <xf numFmtId="0" fontId="50" fillId="9" borderId="1" xfId="51" applyFont="1" applyFill="1" applyBorder="1" applyAlignment="1" applyProtection="1">
      <alignment horizontal="center" vertical="center" wrapText="1"/>
      <protection locked="0"/>
    </xf>
    <xf numFmtId="0" fontId="51" fillId="7" borderId="1" xfId="51" applyFont="1" applyFill="1" applyBorder="1" applyAlignment="1" applyProtection="1">
      <protection locked="0"/>
    </xf>
    <xf numFmtId="186" fontId="51" fillId="7" borderId="1" xfId="52" applyNumberFormat="1" applyFont="1" applyFill="1" applyBorder="1" applyAlignment="1" applyProtection="1">
      <protection locked="0"/>
    </xf>
    <xf numFmtId="185" fontId="51" fillId="10" borderId="1" xfId="51" applyNumberFormat="1" applyFont="1" applyFill="1" applyBorder="1" applyAlignment="1" applyProtection="1">
      <protection locked="0"/>
    </xf>
    <xf numFmtId="185" fontId="51" fillId="10" borderId="0" xfId="51" applyNumberFormat="1" applyFont="1" applyFill="1" applyAlignment="1" applyProtection="1">
      <protection locked="0"/>
    </xf>
    <xf numFmtId="14" fontId="42" fillId="0" borderId="0" xfId="51" applyNumberFormat="1"/>
    <xf numFmtId="0" fontId="52" fillId="0" borderId="0" xfId="0" applyFont="1" applyFill="1" applyAlignment="1">
      <alignment vertical="center"/>
    </xf>
    <xf numFmtId="0" fontId="0" fillId="0" borderId="0" xfId="53" applyAlignment="1">
      <alignment horizontal="left" wrapText="1"/>
    </xf>
    <xf numFmtId="0" fontId="0" fillId="0" borderId="0" xfId="53" applyAlignment="1">
      <alignment horizontal="left" vertical="center" wrapText="1"/>
    </xf>
    <xf numFmtId="187" fontId="53" fillId="11" borderId="1" xfId="52" applyNumberFormat="1" applyFont="1" applyFill="1" applyBorder="1" applyAlignment="1">
      <alignment horizontal="center" vertical="center" wrapText="1"/>
    </xf>
    <xf numFmtId="14" fontId="53" fillId="11" borderId="1" xfId="52" applyNumberFormat="1" applyFont="1" applyFill="1" applyBorder="1" applyAlignment="1">
      <alignment horizontal="center" vertical="center" wrapText="1"/>
    </xf>
    <xf numFmtId="188" fontId="0" fillId="0" borderId="0" xfId="52" applyNumberFormat="1" applyFont="1" applyAlignment="1">
      <alignment horizontal="left" vertical="center" wrapText="1"/>
    </xf>
    <xf numFmtId="185" fontId="0" fillId="0" borderId="0" xfId="53" applyNumberFormat="1" applyAlignment="1">
      <alignment horizontal="left" vertical="center" wrapText="1"/>
    </xf>
    <xf numFmtId="187" fontId="53" fillId="11" borderId="6" xfId="52" applyNumberFormat="1" applyFont="1" applyFill="1" applyBorder="1" applyAlignment="1">
      <alignment horizontal="center" vertical="center" wrapText="1"/>
    </xf>
    <xf numFmtId="14" fontId="53" fillId="11" borderId="6" xfId="52" applyNumberFormat="1" applyFont="1" applyFill="1" applyBorder="1" applyAlignment="1">
      <alignment horizontal="center" vertical="center" wrapText="1"/>
    </xf>
    <xf numFmtId="176" fontId="54" fillId="11" borderId="1" xfId="50" applyFont="1" applyFill="1" applyBorder="1" applyAlignment="1">
      <alignment horizontal="left" vertical="center" wrapText="1"/>
    </xf>
    <xf numFmtId="187" fontId="54" fillId="11" borderId="1" xfId="52" applyNumberFormat="1" applyFont="1" applyFill="1" applyBorder="1" applyAlignment="1">
      <alignment horizontal="left" vertical="center" wrapText="1"/>
    </xf>
    <xf numFmtId="187" fontId="53" fillId="11" borderId="1" xfId="52" applyNumberFormat="1" applyFont="1" applyFill="1" applyBorder="1" applyAlignment="1">
      <alignment horizontal="left" vertical="center" wrapText="1"/>
    </xf>
    <xf numFmtId="187" fontId="55" fillId="11" borderId="6" xfId="52" applyNumberFormat="1" applyFont="1" applyFill="1" applyBorder="1" applyAlignment="1">
      <alignment horizontal="left" vertical="center" wrapText="1"/>
    </xf>
    <xf numFmtId="176" fontId="56" fillId="11" borderId="1" xfId="50" applyFont="1" applyFill="1" applyBorder="1" applyAlignment="1">
      <alignment horizontal="left" vertical="center" wrapText="1"/>
    </xf>
    <xf numFmtId="182" fontId="54" fillId="11" borderId="2" xfId="50" applyNumberFormat="1" applyFont="1" applyFill="1" applyBorder="1" applyAlignment="1">
      <alignment horizontal="center" vertical="center" wrapText="1"/>
    </xf>
    <xf numFmtId="182" fontId="54" fillId="11" borderId="3" xfId="50" applyNumberFormat="1" applyFont="1" applyFill="1" applyBorder="1" applyAlignment="1">
      <alignment horizontal="center" vertical="center" wrapText="1"/>
    </xf>
    <xf numFmtId="189" fontId="54" fillId="11" borderId="1" xfId="52" applyNumberFormat="1" applyFont="1" applyFill="1" applyBorder="1" applyAlignment="1">
      <alignment horizontal="left" vertical="center" wrapText="1"/>
    </xf>
    <xf numFmtId="185" fontId="53" fillId="11" borderId="1" xfId="53" applyNumberFormat="1" applyFont="1" applyFill="1" applyBorder="1" applyAlignment="1">
      <alignment horizontal="center" vertical="center" wrapText="1"/>
    </xf>
    <xf numFmtId="185" fontId="57" fillId="8" borderId="6" xfId="53" applyNumberFormat="1" applyFont="1" applyFill="1" applyBorder="1" applyAlignment="1">
      <alignment horizontal="center" vertical="center" wrapText="1"/>
    </xf>
    <xf numFmtId="176" fontId="54" fillId="11" borderId="6" xfId="50" applyFont="1" applyFill="1" applyBorder="1" applyAlignment="1">
      <alignment horizontal="left" vertical="top" wrapText="1"/>
    </xf>
    <xf numFmtId="176" fontId="56" fillId="11" borderId="6" xfId="50" applyFont="1" applyFill="1" applyBorder="1" applyAlignment="1">
      <alignment horizontal="left" vertical="top" wrapText="1"/>
    </xf>
    <xf numFmtId="176" fontId="54" fillId="11" borderId="6" xfId="50" applyFont="1" applyFill="1" applyBorder="1" applyAlignment="1">
      <alignment horizontal="left" vertical="top" wrapText="1" shrinkToFit="1"/>
    </xf>
    <xf numFmtId="182" fontId="54" fillId="11" borderId="6" xfId="50" applyNumberFormat="1" applyFont="1" applyFill="1" applyBorder="1" applyAlignment="1">
      <alignment horizontal="left" vertical="top" wrapText="1" shrinkToFit="1"/>
    </xf>
    <xf numFmtId="189" fontId="54" fillId="11" borderId="6" xfId="52" applyNumberFormat="1" applyFont="1" applyFill="1" applyBorder="1" applyAlignment="1">
      <alignment horizontal="left" vertical="top" wrapText="1"/>
    </xf>
    <xf numFmtId="189" fontId="58" fillId="11" borderId="6" xfId="52" applyNumberFormat="1" applyFont="1" applyFill="1" applyBorder="1" applyAlignment="1">
      <alignment horizontal="left" vertical="top" wrapText="1"/>
    </xf>
    <xf numFmtId="189" fontId="53" fillId="11" borderId="6" xfId="52" applyNumberFormat="1" applyFont="1" applyFill="1" applyBorder="1" applyAlignment="1">
      <alignment horizontal="left" vertical="top" wrapText="1"/>
    </xf>
    <xf numFmtId="185" fontId="57" fillId="8" borderId="6" xfId="53" applyNumberFormat="1" applyFont="1" applyFill="1" applyBorder="1" applyAlignment="1">
      <alignment horizontal="left" vertical="top" wrapText="1"/>
    </xf>
    <xf numFmtId="0" fontId="0" fillId="0" borderId="12" xfId="53" applyBorder="1" applyAlignment="1">
      <alignment vertical="center" wrapText="1"/>
    </xf>
    <xf numFmtId="0" fontId="0" fillId="0" borderId="13" xfId="53" applyBorder="1" applyAlignment="1">
      <alignment vertical="center" wrapText="1"/>
    </xf>
    <xf numFmtId="190" fontId="59" fillId="0" borderId="13" xfId="54" applyNumberFormat="1" applyFont="1" applyBorder="1" applyAlignment="1">
      <alignment vertical="center" wrapText="1"/>
    </xf>
    <xf numFmtId="0" fontId="60" fillId="0" borderId="14" xfId="55" applyFont="1" applyBorder="1" applyAlignment="1">
      <alignment horizontal="center" vertical="center" wrapText="1"/>
    </xf>
    <xf numFmtId="189" fontId="0" fillId="0" borderId="14" xfId="52" applyNumberFormat="1" applyFont="1" applyFill="1" applyBorder="1" applyAlignment="1">
      <alignment horizontal="center" vertical="center" wrapText="1"/>
    </xf>
    <xf numFmtId="189" fontId="0" fillId="0" borderId="14" xfId="52" applyNumberFormat="1" applyFont="1" applyFill="1" applyBorder="1" applyAlignment="1">
      <alignment horizontal="center" vertical="center" wrapText="1" shrinkToFit="1"/>
    </xf>
    <xf numFmtId="190" fontId="0" fillId="0" borderId="14" xfId="53" applyNumberFormat="1" applyBorder="1" applyAlignment="1">
      <alignment horizontal="center" vertical="center" wrapText="1"/>
    </xf>
    <xf numFmtId="191" fontId="0" fillId="0" borderId="14" xfId="50" applyNumberFormat="1" applyFont="1" applyBorder="1" applyAlignment="1">
      <alignment horizontal="center" vertical="center" wrapText="1" shrinkToFit="1"/>
    </xf>
    <xf numFmtId="192" fontId="0" fillId="0" borderId="14" xfId="53" applyNumberFormat="1" applyBorder="1" applyAlignment="1">
      <alignment horizontal="center" vertical="center" wrapText="1"/>
    </xf>
    <xf numFmtId="185" fontId="0" fillId="12" borderId="14" xfId="53" applyNumberFormat="1" applyFill="1" applyBorder="1" applyAlignment="1">
      <alignment horizontal="center" vertical="center" wrapText="1"/>
    </xf>
    <xf numFmtId="185" fontId="0" fillId="13" borderId="1" xfId="53" applyNumberFormat="1" applyFill="1" applyBorder="1" applyAlignment="1">
      <alignment horizontal="center" vertical="center" wrapText="1"/>
    </xf>
    <xf numFmtId="185" fontId="0" fillId="13" borderId="4" xfId="53" applyNumberFormat="1" applyFill="1" applyBorder="1" applyAlignment="1">
      <alignment horizontal="center" vertical="center" wrapText="1"/>
    </xf>
    <xf numFmtId="188" fontId="0" fillId="0" borderId="4" xfId="52" applyNumberFormat="1" applyFont="1" applyBorder="1" applyAlignment="1">
      <alignment horizontal="center" vertical="center" wrapText="1"/>
    </xf>
    <xf numFmtId="185" fontId="0" fillId="2" borderId="14" xfId="53" applyNumberFormat="1" applyFill="1" applyBorder="1" applyAlignment="1">
      <alignment horizontal="center" vertical="center" wrapText="1"/>
    </xf>
    <xf numFmtId="192" fontId="0" fillId="14" borderId="14" xfId="53" applyNumberFormat="1" applyFill="1" applyBorder="1" applyAlignment="1">
      <alignment horizontal="center" vertical="center" wrapText="1"/>
    </xf>
    <xf numFmtId="185" fontId="0" fillId="0" borderId="14" xfId="53" applyNumberFormat="1" applyBorder="1" applyAlignment="1">
      <alignment horizontal="center" vertical="center" wrapText="1"/>
    </xf>
    <xf numFmtId="193" fontId="0" fillId="0" borderId="1" xfId="52" applyNumberFormat="1" applyFont="1" applyBorder="1" applyAlignment="1">
      <alignment horizontal="center" vertical="center"/>
    </xf>
    <xf numFmtId="185" fontId="53" fillId="11" borderId="1" xfId="52" applyNumberFormat="1" applyFont="1" applyFill="1" applyBorder="1" applyAlignment="1">
      <alignment horizontal="left" vertical="center" wrapText="1"/>
    </xf>
    <xf numFmtId="0" fontId="61" fillId="15" borderId="2" xfId="56" applyFont="1" applyFill="1" applyBorder="1" applyAlignment="1">
      <alignment horizontal="left" vertical="center"/>
    </xf>
    <xf numFmtId="0" fontId="61" fillId="15" borderId="3" xfId="56" applyFont="1" applyFill="1" applyBorder="1" applyAlignment="1">
      <alignment horizontal="left" vertical="center"/>
    </xf>
    <xf numFmtId="185" fontId="62" fillId="7" borderId="1" xfId="56" applyNumberFormat="1" applyFont="1" applyFill="1" applyBorder="1" applyAlignment="1">
      <alignment horizontal="center" vertical="top" wrapText="1"/>
    </xf>
    <xf numFmtId="0" fontId="63" fillId="7" borderId="1" xfId="56" applyFont="1" applyFill="1" applyBorder="1" applyAlignment="1">
      <alignment horizontal="center" vertical="top" wrapText="1"/>
    </xf>
    <xf numFmtId="185" fontId="64" fillId="7" borderId="1" xfId="56" applyNumberFormat="1" applyFont="1" applyFill="1" applyBorder="1" applyAlignment="1">
      <alignment horizontal="center" vertical="top" wrapText="1"/>
    </xf>
    <xf numFmtId="14" fontId="62" fillId="7" borderId="1" xfId="56" applyNumberFormat="1" applyFont="1" applyFill="1" applyBorder="1" applyAlignment="1">
      <alignment horizontal="center" vertical="center" wrapText="1"/>
    </xf>
    <xf numFmtId="0" fontId="61" fillId="16" borderId="2" xfId="56" applyFont="1" applyFill="1" applyBorder="1" applyAlignment="1">
      <alignment horizontal="left" vertical="center"/>
    </xf>
    <xf numFmtId="0" fontId="61" fillId="16" borderId="3" xfId="56" applyFont="1" applyFill="1" applyBorder="1" applyAlignment="1">
      <alignment horizontal="left" vertical="center"/>
    </xf>
    <xf numFmtId="38" fontId="65" fillId="0" borderId="1" xfId="56" applyNumberFormat="1" applyFont="1" applyBorder="1">
      <alignment vertical="center"/>
    </xf>
    <xf numFmtId="38" fontId="66" fillId="17" borderId="1" xfId="52" applyNumberFormat="1" applyFont="1" applyFill="1" applyBorder="1" applyAlignment="1">
      <alignment horizontal="right" vertical="center"/>
    </xf>
    <xf numFmtId="0" fontId="30" fillId="0" borderId="0" xfId="0" applyFont="1" applyFill="1" applyBorder="1" applyAlignment="1" applyProtection="1">
      <alignment horizontal="center" vertical="center"/>
      <protection locked="0"/>
    </xf>
    <xf numFmtId="0" fontId="30" fillId="0" borderId="0" xfId="0" applyFont="1" applyFill="1" applyBorder="1" applyAlignment="1" applyProtection="1">
      <alignment vertical="center"/>
      <protection locked="0"/>
    </xf>
    <xf numFmtId="0" fontId="30" fillId="0" borderId="0" xfId="0" applyFont="1" applyFill="1" applyAlignment="1" applyProtection="1">
      <alignment horizontal="center" vertical="top" wrapText="1"/>
      <protection locked="0"/>
    </xf>
    <xf numFmtId="0" fontId="67" fillId="0" borderId="0" xfId="0" applyFont="1" applyFill="1" applyAlignment="1" applyProtection="1">
      <alignment vertical="center"/>
      <protection locked="0"/>
    </xf>
    <xf numFmtId="0" fontId="67" fillId="0" borderId="1" xfId="0" applyFont="1" applyFill="1" applyBorder="1" applyAlignment="1" applyProtection="1">
      <alignment vertical="center"/>
      <protection locked="0"/>
    </xf>
    <xf numFmtId="0" fontId="0" fillId="0" borderId="0" xfId="0" applyBorder="1">
      <alignment vertical="center"/>
    </xf>
    <xf numFmtId="0" fontId="67" fillId="0" borderId="0" xfId="0" applyFont="1" applyFill="1" applyBorder="1" applyAlignment="1" applyProtection="1">
      <alignment vertical="center"/>
      <protection locked="0"/>
    </xf>
    <xf numFmtId="0" fontId="67" fillId="2" borderId="0" xfId="0" applyFont="1" applyFill="1" applyBorder="1" applyAlignment="1" applyProtection="1">
      <alignment vertical="center"/>
      <protection locked="0"/>
    </xf>
    <xf numFmtId="0" fontId="68" fillId="0" borderId="0" xfId="0" applyFont="1" applyBorder="1">
      <alignment vertical="center"/>
    </xf>
    <xf numFmtId="0" fontId="67" fillId="2" borderId="1" xfId="0" applyFont="1" applyFill="1" applyBorder="1" applyAlignment="1" applyProtection="1">
      <alignment vertical="center"/>
      <protection locked="0"/>
    </xf>
    <xf numFmtId="0" fontId="67" fillId="2" borderId="6" xfId="0" applyFont="1" applyFill="1" applyBorder="1" applyAlignment="1" applyProtection="1">
      <alignment vertical="center"/>
      <protection locked="0"/>
    </xf>
    <xf numFmtId="0" fontId="67" fillId="2" borderId="0" xfId="0" applyFont="1" applyFill="1" applyAlignment="1" applyProtection="1">
      <alignment vertical="center"/>
      <protection locked="0"/>
    </xf>
    <xf numFmtId="0" fontId="67" fillId="0" borderId="0" xfId="0" applyFont="1" applyFill="1" applyAlignment="1" applyProtection="1">
      <alignment horizontal="center" vertical="center"/>
      <protection locked="0"/>
    </xf>
    <xf numFmtId="0" fontId="67" fillId="2" borderId="8" xfId="0" applyFont="1" applyFill="1" applyBorder="1" applyAlignment="1" applyProtection="1">
      <alignment vertical="center"/>
      <protection locked="0"/>
    </xf>
    <xf numFmtId="0" fontId="34" fillId="0" borderId="1" xfId="0" applyFont="1" applyFill="1" applyBorder="1" applyAlignment="1" applyProtection="1">
      <alignment vertical="center"/>
      <protection locked="0"/>
    </xf>
    <xf numFmtId="0" fontId="34" fillId="0" borderId="0" xfId="0" applyFont="1" applyFill="1" applyAlignment="1" applyProtection="1">
      <alignment vertical="center"/>
      <protection locked="0"/>
    </xf>
    <xf numFmtId="0" fontId="34" fillId="2" borderId="8" xfId="0" applyFont="1" applyFill="1" applyBorder="1" applyAlignment="1" applyProtection="1">
      <alignment vertical="center"/>
      <protection locked="0"/>
    </xf>
    <xf numFmtId="0" fontId="34" fillId="0" borderId="0" xfId="0" applyFont="1" applyFill="1" applyBorder="1" applyAlignment="1" applyProtection="1">
      <alignment vertical="center"/>
      <protection locked="0"/>
    </xf>
    <xf numFmtId="0" fontId="67" fillId="2" borderId="4" xfId="0" applyFont="1" applyFill="1" applyBorder="1" applyAlignment="1" applyProtection="1">
      <alignment vertical="center"/>
      <protection locked="0"/>
    </xf>
    <xf numFmtId="0" fontId="69" fillId="0" borderId="8" xfId="0" applyFont="1" applyFill="1" applyBorder="1" applyAlignment="1" applyProtection="1">
      <alignment vertical="center"/>
      <protection locked="0"/>
    </xf>
    <xf numFmtId="0" fontId="67" fillId="0" borderId="8" xfId="0" applyFont="1" applyFill="1" applyBorder="1" applyAlignment="1" applyProtection="1">
      <alignment vertical="center"/>
      <protection locked="0"/>
    </xf>
    <xf numFmtId="0" fontId="34" fillId="0" borderId="8" xfId="0" applyFont="1" applyFill="1" applyBorder="1" applyAlignment="1" applyProtection="1">
      <alignment vertical="center"/>
      <protection locked="0"/>
    </xf>
    <xf numFmtId="0" fontId="69" fillId="0" borderId="1" xfId="0" applyFont="1" applyFill="1" applyBorder="1" applyAlignment="1" applyProtection="1">
      <alignment vertical="center"/>
      <protection locked="0"/>
    </xf>
    <xf numFmtId="0" fontId="34" fillId="2" borderId="1" xfId="0" applyFont="1" applyFill="1" applyBorder="1" applyAlignment="1" applyProtection="1">
      <alignment vertical="center"/>
      <protection locked="0"/>
    </xf>
    <xf numFmtId="0" fontId="69" fillId="0" borderId="0" xfId="0" applyFont="1" applyFill="1" applyAlignment="1" applyProtection="1">
      <alignment vertical="center"/>
      <protection locked="0"/>
    </xf>
    <xf numFmtId="0" fontId="0" fillId="0" borderId="0" xfId="0" applyFill="1" applyAlignment="1">
      <alignment vertical="center" wrapText="1"/>
    </xf>
    <xf numFmtId="0" fontId="70" fillId="0" borderId="0" xfId="0" applyFont="1" applyFill="1">
      <alignment vertical="center"/>
    </xf>
    <xf numFmtId="0" fontId="0" fillId="0" borderId="0" xfId="0" applyFill="1" applyAlignment="1">
      <alignment horizontal="center" vertical="center"/>
    </xf>
    <xf numFmtId="0" fontId="71" fillId="0" borderId="0" xfId="0" applyFont="1" applyFill="1">
      <alignment vertical="center"/>
    </xf>
    <xf numFmtId="178" fontId="72" fillId="0" borderId="0" xfId="0" applyNumberFormat="1" applyFont="1" applyFill="1" applyBorder="1" applyAlignment="1" applyProtection="1">
      <alignment vertical="center"/>
    </xf>
    <xf numFmtId="178" fontId="73" fillId="0" borderId="0" xfId="0" applyNumberFormat="1" applyFont="1" applyFill="1" applyBorder="1" applyAlignment="1" applyProtection="1">
      <alignment vertical="center"/>
      <protection locked="0"/>
    </xf>
    <xf numFmtId="0" fontId="73" fillId="0" borderId="0" xfId="0" applyFont="1" applyFill="1" applyBorder="1" applyAlignment="1" applyProtection="1">
      <alignment vertical="center" wrapText="1"/>
      <protection locked="0"/>
    </xf>
    <xf numFmtId="178" fontId="74" fillId="0" borderId="0" xfId="0" applyNumberFormat="1" applyFont="1" applyFill="1" applyBorder="1" applyAlignment="1" applyProtection="1">
      <alignment vertical="center"/>
      <protection locked="0"/>
    </xf>
    <xf numFmtId="178" fontId="73" fillId="0" borderId="0" xfId="0" applyNumberFormat="1" applyFont="1" applyFill="1" applyBorder="1" applyAlignment="1" applyProtection="1">
      <alignment vertical="center" wrapText="1"/>
      <protection locked="0"/>
    </xf>
    <xf numFmtId="0" fontId="75" fillId="0" borderId="0" xfId="0" applyNumberFormat="1" applyFont="1" applyFill="1" applyBorder="1" applyAlignment="1" applyProtection="1">
      <alignment vertical="center"/>
      <protection locked="0"/>
    </xf>
    <xf numFmtId="0" fontId="73" fillId="0" borderId="0" xfId="0" applyFont="1" applyFill="1" applyBorder="1" applyAlignment="1" applyProtection="1">
      <alignment vertical="center"/>
      <protection locked="0"/>
    </xf>
    <xf numFmtId="0" fontId="73" fillId="0" borderId="0" xfId="0" applyNumberFormat="1" applyFont="1" applyFill="1" applyBorder="1" applyAlignment="1" applyProtection="1">
      <alignment vertical="center"/>
      <protection locked="0"/>
    </xf>
    <xf numFmtId="180" fontId="73" fillId="0" borderId="0" xfId="0" applyNumberFormat="1" applyFont="1" applyFill="1" applyBorder="1" applyAlignment="1" applyProtection="1">
      <alignment vertical="center" wrapText="1"/>
      <protection locked="0"/>
    </xf>
    <xf numFmtId="178" fontId="76" fillId="0" borderId="0" xfId="0" applyNumberFormat="1" applyFont="1" applyFill="1" applyBorder="1" applyAlignment="1" applyProtection="1">
      <alignment vertical="center"/>
      <protection locked="0"/>
    </xf>
    <xf numFmtId="0" fontId="73" fillId="0" borderId="0" xfId="0" applyNumberFormat="1" applyFont="1" applyFill="1" applyBorder="1" applyAlignment="1" applyProtection="1">
      <alignment horizontal="center" vertical="center"/>
      <protection locked="0"/>
    </xf>
    <xf numFmtId="0" fontId="73" fillId="0" borderId="0" xfId="0" applyNumberFormat="1" applyFont="1" applyFill="1" applyBorder="1" applyAlignment="1" applyProtection="1">
      <alignment vertical="center" wrapText="1"/>
      <protection locked="0"/>
    </xf>
    <xf numFmtId="180" fontId="77" fillId="0" borderId="0" xfId="0" applyNumberFormat="1" applyFont="1" applyFill="1" applyBorder="1" applyAlignment="1" applyProtection="1">
      <alignment vertical="center"/>
      <protection locked="0"/>
    </xf>
    <xf numFmtId="180" fontId="21" fillId="0" borderId="0" xfId="0" applyNumberFormat="1" applyFont="1" applyFill="1" applyBorder="1" applyAlignment="1" applyProtection="1">
      <alignment vertical="center"/>
      <protection locked="0"/>
    </xf>
    <xf numFmtId="178" fontId="78" fillId="0" borderId="0" xfId="0" applyNumberFormat="1" applyFont="1" applyFill="1" applyBorder="1" applyAlignment="1" applyProtection="1">
      <alignment horizontal="center" vertical="center"/>
    </xf>
    <xf numFmtId="178" fontId="78" fillId="0" borderId="0" xfId="0" applyNumberFormat="1" applyFont="1" applyFill="1" applyBorder="1" applyAlignment="1" applyProtection="1">
      <alignment horizontal="center" vertical="center"/>
      <protection locked="0"/>
    </xf>
    <xf numFmtId="0" fontId="74" fillId="0" borderId="0" xfId="0" applyFont="1" applyFill="1" applyBorder="1" applyAlignment="1" applyProtection="1">
      <alignment horizontal="center" vertical="center" wrapText="1"/>
      <protection locked="0"/>
    </xf>
    <xf numFmtId="178" fontId="79" fillId="0" borderId="0" xfId="0" applyNumberFormat="1" applyFont="1" applyFill="1" applyBorder="1" applyAlignment="1" applyProtection="1">
      <alignment vertical="center"/>
      <protection locked="0"/>
    </xf>
    <xf numFmtId="178" fontId="80" fillId="0" borderId="0" xfId="0" applyNumberFormat="1" applyFont="1" applyFill="1" applyBorder="1" applyAlignment="1" applyProtection="1">
      <alignment vertical="center" wrapText="1"/>
      <protection locked="0"/>
    </xf>
    <xf numFmtId="0" fontId="80" fillId="0" borderId="0" xfId="0" applyNumberFormat="1" applyFont="1" applyFill="1" applyBorder="1" applyAlignment="1" applyProtection="1">
      <alignment vertical="center"/>
      <protection locked="0"/>
    </xf>
    <xf numFmtId="0" fontId="81" fillId="0" borderId="0" xfId="0" applyFont="1" applyFill="1" applyBorder="1" applyAlignment="1" applyProtection="1">
      <alignment horizontal="center" vertical="center" wrapText="1"/>
      <protection locked="0"/>
    </xf>
    <xf numFmtId="0" fontId="74" fillId="0" borderId="0" xfId="0" applyFont="1" applyFill="1" applyBorder="1" applyAlignment="1" applyProtection="1">
      <alignment horizontal="center" vertical="center"/>
      <protection locked="0"/>
    </xf>
    <xf numFmtId="180" fontId="74" fillId="0" borderId="0" xfId="0" applyNumberFormat="1" applyFont="1" applyFill="1" applyBorder="1" applyAlignment="1" applyProtection="1">
      <alignment horizontal="center" vertical="center" wrapText="1"/>
      <protection locked="0"/>
    </xf>
    <xf numFmtId="180" fontId="76" fillId="0" borderId="0" xfId="0" applyNumberFormat="1" applyFont="1" applyFill="1" applyBorder="1" applyAlignment="1" applyProtection="1">
      <alignment horizontal="center" vertical="center" wrapText="1"/>
      <protection locked="0"/>
    </xf>
    <xf numFmtId="178" fontId="80" fillId="0" borderId="0" xfId="0" applyNumberFormat="1" applyFont="1" applyFill="1" applyBorder="1" applyAlignment="1" applyProtection="1">
      <alignment vertical="center"/>
      <protection locked="0"/>
    </xf>
    <xf numFmtId="181" fontId="74" fillId="0" borderId="0" xfId="0" applyNumberFormat="1" applyFont="1" applyFill="1" applyBorder="1" applyAlignment="1" applyProtection="1">
      <alignment horizontal="center" vertical="center"/>
      <protection locked="0"/>
    </xf>
    <xf numFmtId="0" fontId="74" fillId="0" borderId="0" xfId="0" applyNumberFormat="1" applyFont="1" applyFill="1" applyBorder="1" applyAlignment="1" applyProtection="1">
      <alignment horizontal="center" vertical="center"/>
      <protection locked="0"/>
    </xf>
    <xf numFmtId="0" fontId="74" fillId="0" borderId="0" xfId="0" applyNumberFormat="1" applyFont="1" applyFill="1" applyBorder="1" applyAlignment="1" applyProtection="1">
      <alignment horizontal="center" vertical="center" wrapText="1"/>
      <protection locked="0"/>
    </xf>
    <xf numFmtId="0" fontId="82" fillId="0" borderId="0" xfId="0" applyNumberFormat="1" applyFont="1" applyFill="1" applyBorder="1" applyAlignment="1" applyProtection="1">
      <alignment horizontal="center" vertical="center"/>
      <protection locked="0"/>
    </xf>
    <xf numFmtId="0" fontId="83" fillId="0" borderId="0" xfId="0" applyNumberFormat="1" applyFont="1" applyFill="1" applyBorder="1" applyAlignment="1" applyProtection="1">
      <alignment horizontal="center" vertical="center"/>
      <protection locked="0"/>
    </xf>
    <xf numFmtId="178" fontId="76" fillId="0" borderId="1" xfId="0" applyNumberFormat="1" applyFont="1" applyFill="1" applyBorder="1" applyAlignment="1" applyProtection="1">
      <alignment horizontal="center" vertical="top" wrapText="1" shrinkToFit="1"/>
    </xf>
    <xf numFmtId="0" fontId="76" fillId="0" borderId="1" xfId="0" applyFont="1" applyFill="1" applyBorder="1" applyAlignment="1" applyProtection="1">
      <alignment horizontal="center" vertical="top" wrapText="1" shrinkToFit="1"/>
      <protection locked="0"/>
    </xf>
    <xf numFmtId="0" fontId="74" fillId="0" borderId="1" xfId="0" applyFont="1" applyFill="1" applyBorder="1" applyAlignment="1" applyProtection="1">
      <alignment horizontal="center" vertical="top" wrapText="1" shrinkToFit="1"/>
      <protection locked="0"/>
    </xf>
    <xf numFmtId="0" fontId="84" fillId="0" borderId="1" xfId="0" applyFont="1" applyFill="1" applyBorder="1" applyAlignment="1" applyProtection="1">
      <alignment horizontal="center" vertical="top" wrapText="1" shrinkToFit="1"/>
      <protection locked="0"/>
    </xf>
    <xf numFmtId="179" fontId="85" fillId="0" borderId="1" xfId="0" applyNumberFormat="1" applyFont="1" applyFill="1" applyBorder="1" applyAlignment="1" applyProtection="1">
      <alignment horizontal="center" vertical="top" wrapText="1" shrinkToFit="1"/>
      <protection locked="0"/>
    </xf>
    <xf numFmtId="180" fontId="76" fillId="0" borderId="1" xfId="0" applyNumberFormat="1" applyFont="1" applyFill="1" applyBorder="1" applyAlignment="1" applyProtection="1">
      <alignment horizontal="center" vertical="top" wrapText="1" shrinkToFit="1"/>
      <protection locked="0"/>
    </xf>
    <xf numFmtId="0" fontId="86" fillId="0" borderId="1" xfId="0" applyFont="1" applyFill="1" applyBorder="1" applyAlignment="1" applyProtection="1">
      <alignment horizontal="center" vertical="top" wrapText="1" shrinkToFit="1"/>
      <protection locked="0"/>
    </xf>
    <xf numFmtId="180" fontId="74" fillId="0" borderId="2" xfId="0" applyNumberFormat="1" applyFont="1" applyFill="1" applyBorder="1" applyAlignment="1" applyProtection="1">
      <alignment horizontal="center" vertical="top" wrapText="1" shrinkToFit="1"/>
      <protection locked="0"/>
    </xf>
    <xf numFmtId="180" fontId="76" fillId="0" borderId="2" xfId="0" applyNumberFormat="1" applyFont="1" applyFill="1" applyBorder="1" applyAlignment="1" applyProtection="1">
      <alignment horizontal="center" vertical="top" wrapText="1" shrinkToFit="1"/>
      <protection locked="0"/>
    </xf>
    <xf numFmtId="0" fontId="87" fillId="0" borderId="1" xfId="0" applyNumberFormat="1" applyFont="1" applyFill="1" applyBorder="1" applyAlignment="1" applyProtection="1">
      <alignment horizontal="center" vertical="top" wrapText="1" shrinkToFit="1"/>
      <protection locked="0"/>
    </xf>
    <xf numFmtId="0" fontId="74" fillId="0" borderId="3" xfId="0" applyFont="1" applyFill="1" applyBorder="1" applyAlignment="1" applyProtection="1">
      <alignment horizontal="center" vertical="top" wrapText="1" shrinkToFit="1"/>
      <protection locked="0"/>
    </xf>
    <xf numFmtId="181" fontId="74" fillId="0" borderId="1" xfId="0" applyNumberFormat="1" applyFont="1" applyFill="1" applyBorder="1" applyAlignment="1" applyProtection="1">
      <alignment horizontal="center" vertical="top" wrapText="1" shrinkToFit="1"/>
      <protection locked="0"/>
    </xf>
    <xf numFmtId="0" fontId="74" fillId="0" borderId="1" xfId="0" applyNumberFormat="1" applyFont="1" applyFill="1" applyBorder="1" applyAlignment="1" applyProtection="1">
      <alignment horizontal="center" vertical="top" wrapText="1" shrinkToFit="1"/>
      <protection locked="0"/>
    </xf>
    <xf numFmtId="0" fontId="76" fillId="0" borderId="1" xfId="0" applyNumberFormat="1" applyFont="1" applyFill="1" applyBorder="1" applyAlignment="1" applyProtection="1">
      <alignment horizontal="center" vertical="top" wrapText="1" shrinkToFit="1"/>
      <protection locked="0"/>
    </xf>
    <xf numFmtId="0" fontId="88" fillId="0" borderId="1" xfId="0" applyNumberFormat="1" applyFont="1" applyFill="1" applyBorder="1" applyAlignment="1" applyProtection="1">
      <alignment horizontal="center" vertical="top" wrapText="1" shrinkToFit="1"/>
      <protection locked="0"/>
    </xf>
    <xf numFmtId="0" fontId="89" fillId="0" borderId="1" xfId="0" applyNumberFormat="1" applyFont="1" applyFill="1" applyBorder="1" applyAlignment="1" applyProtection="1">
      <alignment horizontal="center" vertical="center" wrapText="1" shrinkToFit="1"/>
      <protection locked="0"/>
    </xf>
    <xf numFmtId="0" fontId="90" fillId="0" borderId="1" xfId="0" applyNumberFormat="1" applyFont="1" applyFill="1" applyBorder="1" applyAlignment="1" applyProtection="1">
      <alignment horizontal="center" vertical="top" wrapText="1" shrinkToFit="1"/>
      <protection locked="0"/>
    </xf>
    <xf numFmtId="0" fontId="76" fillId="0" borderId="1" xfId="0" applyFont="1" applyFill="1" applyBorder="1" applyAlignment="1" applyProtection="1">
      <alignment horizontal="center" vertical="center" wrapText="1"/>
      <protection locked="0"/>
    </xf>
    <xf numFmtId="179" fontId="91" fillId="0" borderId="1" xfId="0" applyNumberFormat="1" applyFont="1" applyFill="1" applyBorder="1" applyAlignment="1" applyProtection="1">
      <alignment horizontal="center" vertical="center" shrinkToFit="1"/>
    </xf>
    <xf numFmtId="180" fontId="92" fillId="0" borderId="1" xfId="0" applyNumberFormat="1" applyFont="1" applyFill="1" applyBorder="1" applyAlignment="1" applyProtection="1">
      <alignment horizontal="center" vertical="center" wrapText="1"/>
      <protection locked="0"/>
    </xf>
    <xf numFmtId="0" fontId="93" fillId="0" borderId="1" xfId="0" applyNumberFormat="1" applyFont="1" applyFill="1" applyBorder="1" applyAlignment="1" applyProtection="1">
      <alignment horizontal="center" vertical="center"/>
      <protection locked="0"/>
    </xf>
    <xf numFmtId="49" fontId="92" fillId="0" borderId="1" xfId="0" applyNumberFormat="1" applyFont="1" applyFill="1" applyBorder="1" applyAlignment="1" applyProtection="1">
      <alignment horizontal="center" vertical="center" wrapText="1"/>
      <protection locked="0"/>
    </xf>
    <xf numFmtId="0" fontId="94" fillId="0" borderId="1" xfId="0" applyFont="1" applyFill="1" applyBorder="1" applyAlignment="1" applyProtection="1">
      <alignment horizontal="center" vertical="center" wrapText="1"/>
      <protection locked="0"/>
    </xf>
    <xf numFmtId="0" fontId="67" fillId="0" borderId="1" xfId="0" applyFont="1" applyFill="1" applyBorder="1" applyAlignment="1" applyProtection="1">
      <alignment vertical="center" wrapText="1"/>
      <protection locked="0"/>
    </xf>
    <xf numFmtId="0" fontId="95" fillId="0" borderId="1" xfId="0" applyFont="1" applyFill="1" applyBorder="1" applyAlignment="1" applyProtection="1">
      <alignment horizontal="center" vertical="center" wrapText="1"/>
      <protection locked="0"/>
    </xf>
    <xf numFmtId="0" fontId="92" fillId="0" borderId="1" xfId="0" applyFont="1" applyFill="1" applyBorder="1" applyAlignment="1" applyProtection="1">
      <alignment horizontal="center" vertical="center" wrapText="1"/>
      <protection locked="0"/>
    </xf>
    <xf numFmtId="0" fontId="92" fillId="0" borderId="1" xfId="0" applyFont="1" applyFill="1" applyBorder="1" applyAlignment="1" applyProtection="1">
      <alignment horizontal="center" vertical="center" wrapText="1" shrinkToFit="1"/>
      <protection locked="0"/>
    </xf>
    <xf numFmtId="0" fontId="68" fillId="0" borderId="1" xfId="0" applyFont="1" applyFill="1" applyBorder="1" applyAlignment="1">
      <alignment horizontal="center" vertical="center"/>
    </xf>
    <xf numFmtId="179" fontId="95" fillId="0" borderId="1" xfId="0" applyNumberFormat="1" applyFont="1" applyFill="1" applyBorder="1" applyAlignment="1" applyProtection="1">
      <alignment horizontal="center" vertical="center" wrapText="1" shrinkToFit="1"/>
      <protection locked="0"/>
    </xf>
    <xf numFmtId="180" fontId="95" fillId="0" borderId="1" xfId="0" applyNumberFormat="1" applyFont="1" applyFill="1" applyBorder="1" applyAlignment="1" applyProtection="1">
      <alignment horizontal="center" vertical="center" wrapText="1"/>
      <protection locked="0"/>
    </xf>
    <xf numFmtId="0" fontId="96" fillId="0" borderId="1" xfId="0" applyFont="1" applyFill="1" applyBorder="1" applyAlignment="1" applyProtection="1">
      <alignment vertical="center" wrapText="1"/>
      <protection locked="0"/>
    </xf>
    <xf numFmtId="180" fontId="97" fillId="0" borderId="1" xfId="0" applyNumberFormat="1" applyFont="1" applyFill="1" applyBorder="1" applyAlignment="1" applyProtection="1">
      <alignment horizontal="center" vertical="center" wrapText="1"/>
      <protection locked="0"/>
    </xf>
    <xf numFmtId="0" fontId="92" fillId="0" borderId="1" xfId="0" applyNumberFormat="1" applyFont="1" applyFill="1" applyBorder="1" applyAlignment="1" applyProtection="1">
      <alignment horizontal="center" vertical="center" wrapText="1"/>
      <protection locked="0"/>
    </xf>
    <xf numFmtId="0" fontId="93" fillId="0" borderId="1" xfId="0" applyFont="1" applyFill="1" applyBorder="1" applyAlignment="1" applyProtection="1">
      <alignment horizontal="center" vertical="center"/>
      <protection locked="0"/>
    </xf>
    <xf numFmtId="182" fontId="92" fillId="0" borderId="1" xfId="0" applyNumberFormat="1" applyFont="1" applyFill="1" applyBorder="1" applyAlignment="1" applyProtection="1">
      <alignment horizontal="center" vertical="center" wrapText="1" shrinkToFit="1"/>
      <protection locked="0"/>
    </xf>
    <xf numFmtId="181" fontId="92" fillId="0" borderId="1" xfId="0" applyNumberFormat="1" applyFont="1" applyFill="1" applyBorder="1" applyAlignment="1" applyProtection="1">
      <alignment horizontal="center" vertical="center"/>
      <protection locked="0"/>
    </xf>
    <xf numFmtId="0" fontId="67" fillId="0" borderId="1" xfId="0" applyFont="1" applyFill="1" applyBorder="1" applyAlignment="1" applyProtection="1">
      <alignment horizontal="center" vertical="center" wrapText="1"/>
      <protection locked="0"/>
    </xf>
    <xf numFmtId="0" fontId="67" fillId="0" borderId="1" xfId="0" applyFont="1" applyFill="1" applyBorder="1" applyAlignment="1" applyProtection="1">
      <alignment horizontal="center" vertical="center"/>
      <protection locked="0"/>
    </xf>
    <xf numFmtId="0" fontId="93" fillId="0" borderId="1" xfId="0" applyNumberFormat="1" applyFont="1" applyFill="1" applyBorder="1" applyAlignment="1" applyProtection="1">
      <alignment horizontal="center" vertical="center" wrapText="1"/>
      <protection locked="0"/>
    </xf>
    <xf numFmtId="0" fontId="95" fillId="0" borderId="1" xfId="0" applyNumberFormat="1" applyFont="1" applyFill="1" applyBorder="1" applyAlignment="1" applyProtection="1">
      <alignment horizontal="center" vertical="center" wrapText="1" shrinkToFit="1"/>
      <protection locked="0"/>
    </xf>
    <xf numFmtId="0" fontId="94" fillId="0" borderId="1" xfId="0" applyNumberFormat="1" applyFont="1" applyFill="1" applyBorder="1" applyAlignment="1" applyProtection="1">
      <alignment horizontal="center" vertical="center"/>
      <protection locked="0"/>
    </xf>
    <xf numFmtId="0" fontId="93" fillId="0" borderId="2" xfId="0" applyNumberFormat="1" applyFont="1" applyFill="1" applyBorder="1" applyAlignment="1" applyProtection="1">
      <alignment horizontal="center" vertical="center"/>
      <protection locked="0"/>
    </xf>
    <xf numFmtId="179" fontId="91" fillId="0" borderId="6" xfId="0" applyNumberFormat="1" applyFont="1" applyFill="1" applyBorder="1" applyAlignment="1" applyProtection="1">
      <alignment horizontal="center" vertical="center" shrinkToFit="1"/>
    </xf>
    <xf numFmtId="180" fontId="92" fillId="0" borderId="6" xfId="0" applyNumberFormat="1" applyFont="1" applyFill="1" applyBorder="1" applyAlignment="1" applyProtection="1">
      <alignment horizontal="center" vertical="center" wrapText="1"/>
      <protection locked="0"/>
    </xf>
    <xf numFmtId="0" fontId="93" fillId="0" borderId="6" xfId="0" applyNumberFormat="1" applyFont="1" applyFill="1" applyBorder="1" applyAlignment="1" applyProtection="1">
      <alignment horizontal="center" vertical="center"/>
      <protection locked="0"/>
    </xf>
    <xf numFmtId="49" fontId="92" fillId="0" borderId="6" xfId="0" applyNumberFormat="1" applyFont="1" applyFill="1" applyBorder="1" applyAlignment="1" applyProtection="1">
      <alignment horizontal="center" vertical="center" wrapText="1"/>
      <protection locked="0"/>
    </xf>
    <xf numFmtId="0" fontId="94" fillId="0" borderId="6" xfId="0" applyFont="1" applyFill="1" applyBorder="1" applyAlignment="1" applyProtection="1">
      <alignment horizontal="center" vertical="center" wrapText="1"/>
      <protection locked="0"/>
    </xf>
    <xf numFmtId="0" fontId="67" fillId="0" borderId="6" xfId="0" applyFont="1" applyFill="1" applyBorder="1" applyAlignment="1" applyProtection="1">
      <alignment vertical="center" wrapText="1"/>
      <protection locked="0"/>
    </xf>
    <xf numFmtId="0" fontId="95" fillId="0" borderId="6" xfId="0" applyFont="1" applyFill="1" applyBorder="1" applyAlignment="1" applyProtection="1">
      <alignment horizontal="center" vertical="center" wrapText="1"/>
      <protection locked="0"/>
    </xf>
    <xf numFmtId="0" fontId="92" fillId="0" borderId="6" xfId="0" applyFont="1" applyFill="1" applyBorder="1" applyAlignment="1" applyProtection="1">
      <alignment horizontal="center" vertical="center" wrapText="1"/>
      <protection locked="0"/>
    </xf>
    <xf numFmtId="0" fontId="92" fillId="0" borderId="6" xfId="0" applyFont="1" applyFill="1" applyBorder="1" applyAlignment="1" applyProtection="1">
      <alignment horizontal="center" vertical="center" wrapText="1" shrinkToFit="1"/>
      <protection locked="0"/>
    </xf>
    <xf numFmtId="0" fontId="68" fillId="0" borderId="6" xfId="0" applyFont="1" applyFill="1" applyBorder="1" applyAlignment="1">
      <alignment horizontal="center" vertical="center"/>
    </xf>
    <xf numFmtId="179" fontId="95" fillId="0" borderId="6" xfId="0" applyNumberFormat="1" applyFont="1" applyFill="1" applyBorder="1" applyAlignment="1" applyProtection="1">
      <alignment horizontal="center" vertical="center" wrapText="1" shrinkToFit="1"/>
      <protection locked="0"/>
    </xf>
    <xf numFmtId="180" fontId="95" fillId="0" borderId="6" xfId="0" applyNumberFormat="1" applyFont="1" applyFill="1" applyBorder="1" applyAlignment="1" applyProtection="1">
      <alignment horizontal="center" vertical="center" wrapText="1"/>
      <protection locked="0"/>
    </xf>
    <xf numFmtId="0" fontId="96" fillId="0" borderId="6" xfId="0" applyFont="1" applyFill="1" applyBorder="1" applyAlignment="1" applyProtection="1">
      <alignment vertical="center" wrapText="1"/>
      <protection locked="0"/>
    </xf>
    <xf numFmtId="180" fontId="97" fillId="0" borderId="6" xfId="0" applyNumberFormat="1" applyFont="1" applyFill="1" applyBorder="1" applyAlignment="1" applyProtection="1">
      <alignment horizontal="center" vertical="center" wrapText="1"/>
      <protection locked="0"/>
    </xf>
    <xf numFmtId="0" fontId="92" fillId="0" borderId="6" xfId="0" applyNumberFormat="1" applyFont="1" applyFill="1" applyBorder="1" applyAlignment="1" applyProtection="1">
      <alignment horizontal="center" vertical="center" wrapText="1"/>
      <protection locked="0"/>
    </xf>
    <xf numFmtId="0" fontId="93" fillId="0" borderId="6" xfId="0" applyFont="1" applyFill="1" applyBorder="1" applyAlignment="1" applyProtection="1">
      <alignment horizontal="center" vertical="center"/>
      <protection locked="0"/>
    </xf>
    <xf numFmtId="182" fontId="92" fillId="0" borderId="6" xfId="0" applyNumberFormat="1" applyFont="1" applyFill="1" applyBorder="1" applyAlignment="1" applyProtection="1">
      <alignment horizontal="center" vertical="center" wrapText="1" shrinkToFit="1"/>
      <protection locked="0"/>
    </xf>
    <xf numFmtId="181" fontId="92" fillId="0" borderId="6" xfId="0" applyNumberFormat="1" applyFont="1" applyFill="1" applyBorder="1" applyAlignment="1" applyProtection="1">
      <alignment horizontal="center" vertical="center"/>
      <protection locked="0"/>
    </xf>
    <xf numFmtId="0" fontId="67" fillId="0" borderId="6" xfId="0" applyFont="1" applyFill="1" applyBorder="1" applyAlignment="1" applyProtection="1">
      <alignment horizontal="center" vertical="center" wrapText="1"/>
      <protection locked="0"/>
    </xf>
    <xf numFmtId="0" fontId="67" fillId="0" borderId="6" xfId="0" applyFont="1" applyFill="1" applyBorder="1" applyAlignment="1" applyProtection="1">
      <alignment horizontal="center" vertical="center"/>
      <protection locked="0"/>
    </xf>
    <xf numFmtId="0" fontId="98" fillId="0" borderId="4" xfId="0" applyNumberFormat="1" applyFont="1" applyFill="1" applyBorder="1" applyAlignment="1" applyProtection="1">
      <alignment horizontal="center" vertical="center" wrapText="1"/>
      <protection locked="0"/>
    </xf>
    <xf numFmtId="0" fontId="95" fillId="0" borderId="6" xfId="0" applyNumberFormat="1" applyFont="1" applyFill="1" applyBorder="1" applyAlignment="1" applyProtection="1">
      <alignment horizontal="center" vertical="center" wrapText="1" shrinkToFit="1"/>
      <protection locked="0"/>
    </xf>
    <xf numFmtId="0" fontId="94" fillId="0" borderId="6" xfId="0" applyNumberFormat="1" applyFont="1" applyFill="1" applyBorder="1" applyAlignment="1" applyProtection="1">
      <alignment horizontal="center" vertical="center"/>
      <protection locked="0"/>
    </xf>
    <xf numFmtId="0" fontId="93" fillId="0" borderId="7" xfId="0" applyNumberFormat="1" applyFont="1" applyFill="1" applyBorder="1" applyAlignment="1" applyProtection="1">
      <alignment horizontal="center" vertical="center"/>
      <protection locked="0"/>
    </xf>
    <xf numFmtId="49" fontId="95" fillId="0" borderId="1" xfId="0" applyNumberFormat="1" applyFont="1" applyFill="1" applyBorder="1" applyAlignment="1" applyProtection="1">
      <alignment horizontal="center" vertical="center" wrapText="1"/>
      <protection locked="0"/>
    </xf>
    <xf numFmtId="0" fontId="96" fillId="0" borderId="1" xfId="0" applyFont="1" applyFill="1" applyBorder="1" applyAlignment="1" applyProtection="1">
      <alignment horizontal="center" vertical="center" wrapText="1"/>
      <protection locked="0"/>
    </xf>
    <xf numFmtId="0" fontId="67" fillId="0" borderId="3" xfId="0" applyFont="1" applyFill="1" applyBorder="1" applyAlignment="1" applyProtection="1">
      <alignment vertical="center"/>
      <protection locked="0"/>
    </xf>
    <xf numFmtId="58" fontId="99" fillId="0" borderId="1" xfId="0" applyNumberFormat="1" applyFont="1" applyFill="1" applyBorder="1" applyAlignment="1" applyProtection="1">
      <alignment horizontal="center" vertical="center" wrapText="1"/>
      <protection locked="0"/>
    </xf>
    <xf numFmtId="0" fontId="100" fillId="0" borderId="2" xfId="0" applyFont="1" applyFill="1" applyBorder="1" applyAlignment="1">
      <alignment vertical="center" wrapText="1"/>
    </xf>
    <xf numFmtId="179" fontId="91" fillId="0" borderId="4" xfId="0" applyNumberFormat="1" applyFont="1" applyFill="1" applyBorder="1" applyAlignment="1" applyProtection="1">
      <alignment horizontal="center" vertical="center" shrinkToFit="1"/>
    </xf>
    <xf numFmtId="180" fontId="92" fillId="0" borderId="4" xfId="0" applyNumberFormat="1" applyFont="1" applyFill="1" applyBorder="1" applyAlignment="1" applyProtection="1">
      <alignment horizontal="center" vertical="center" wrapText="1"/>
      <protection locked="0"/>
    </xf>
    <xf numFmtId="0" fontId="93" fillId="0" borderId="4" xfId="0" applyNumberFormat="1" applyFont="1" applyFill="1" applyBorder="1" applyAlignment="1" applyProtection="1">
      <alignment horizontal="center" vertical="center"/>
      <protection locked="0"/>
    </xf>
    <xf numFmtId="49" fontId="95" fillId="0" borderId="4" xfId="0" applyNumberFormat="1" applyFont="1" applyFill="1" applyBorder="1" applyAlignment="1" applyProtection="1">
      <alignment horizontal="center" vertical="center" wrapText="1"/>
      <protection locked="0"/>
    </xf>
    <xf numFmtId="0" fontId="67" fillId="0" borderId="4" xfId="0" applyFont="1" applyFill="1" applyBorder="1" applyAlignment="1" applyProtection="1">
      <alignment horizontal="center" vertical="center" wrapText="1"/>
      <protection locked="0"/>
    </xf>
    <xf numFmtId="0" fontId="67" fillId="0" borderId="4" xfId="0" applyFont="1" applyFill="1" applyBorder="1" applyAlignment="1" applyProtection="1">
      <alignment vertical="center" wrapText="1"/>
      <protection locked="0"/>
    </xf>
    <xf numFmtId="0" fontId="95" fillId="0" borderId="4" xfId="0" applyFont="1" applyFill="1" applyBorder="1" applyAlignment="1" applyProtection="1">
      <alignment horizontal="center" vertical="center" wrapText="1"/>
      <protection locked="0"/>
    </xf>
    <xf numFmtId="3" fontId="92" fillId="0" borderId="4" xfId="0" applyNumberFormat="1" applyFont="1" applyFill="1" applyBorder="1" applyAlignment="1" applyProtection="1">
      <alignment horizontal="center" vertical="center" wrapText="1"/>
      <protection locked="0"/>
    </xf>
    <xf numFmtId="0" fontId="92" fillId="0" borderId="4" xfId="0" applyFont="1" applyFill="1" applyBorder="1" applyAlignment="1" applyProtection="1">
      <alignment horizontal="center" vertical="center" wrapText="1" shrinkToFit="1"/>
      <protection locked="0"/>
    </xf>
    <xf numFmtId="0" fontId="68" fillId="0" borderId="4" xfId="0" applyFont="1" applyFill="1" applyBorder="1" applyAlignment="1">
      <alignment horizontal="center" vertical="center"/>
    </xf>
    <xf numFmtId="179" fontId="95" fillId="0" borderId="4" xfId="0" applyNumberFormat="1" applyFont="1" applyFill="1" applyBorder="1" applyAlignment="1" applyProtection="1">
      <alignment horizontal="center" vertical="center" wrapText="1" shrinkToFit="1"/>
      <protection locked="0"/>
    </xf>
    <xf numFmtId="180" fontId="95" fillId="0" borderId="4" xfId="0" applyNumberFormat="1" applyFont="1" applyFill="1" applyBorder="1" applyAlignment="1" applyProtection="1">
      <alignment horizontal="center" vertical="center" wrapText="1"/>
      <protection locked="0"/>
    </xf>
    <xf numFmtId="58" fontId="99" fillId="0" borderId="4" xfId="0" applyNumberFormat="1" applyFont="1" applyFill="1" applyBorder="1" applyAlignment="1" applyProtection="1">
      <alignment horizontal="center" vertical="center" wrapText="1"/>
      <protection locked="0"/>
    </xf>
    <xf numFmtId="0" fontId="96" fillId="0" borderId="4" xfId="0" applyFont="1" applyFill="1" applyBorder="1" applyAlignment="1" applyProtection="1">
      <alignment horizontal="center" vertical="center" wrapText="1"/>
      <protection locked="0"/>
    </xf>
    <xf numFmtId="180" fontId="97" fillId="0" borderId="4" xfId="0" applyNumberFormat="1" applyFont="1" applyFill="1" applyBorder="1" applyAlignment="1" applyProtection="1">
      <alignment horizontal="center" vertical="center" wrapText="1"/>
      <protection locked="0"/>
    </xf>
    <xf numFmtId="180" fontId="100" fillId="0" borderId="1" xfId="0" applyNumberFormat="1" applyFont="1" applyFill="1" applyBorder="1" applyAlignment="1" applyProtection="1">
      <alignment horizontal="center" vertical="center" wrapText="1"/>
      <protection locked="0"/>
    </xf>
    <xf numFmtId="0" fontId="92" fillId="0" borderId="4" xfId="0" applyNumberFormat="1" applyFont="1" applyFill="1" applyBorder="1" applyAlignment="1" applyProtection="1">
      <alignment horizontal="center" vertical="center" wrapText="1"/>
      <protection locked="0"/>
    </xf>
    <xf numFmtId="0" fontId="93" fillId="0" borderId="4" xfId="0" applyFont="1" applyFill="1" applyBorder="1" applyAlignment="1" applyProtection="1">
      <alignment horizontal="center" vertical="center"/>
      <protection locked="0"/>
    </xf>
    <xf numFmtId="182" fontId="92" fillId="0" borderId="4" xfId="0" applyNumberFormat="1" applyFont="1" applyFill="1" applyBorder="1" applyAlignment="1" applyProtection="1">
      <alignment horizontal="center" vertical="center" wrapText="1" shrinkToFit="1"/>
      <protection locked="0"/>
    </xf>
    <xf numFmtId="181" fontId="92" fillId="0" borderId="4" xfId="0" applyNumberFormat="1" applyFont="1" applyFill="1" applyBorder="1" applyAlignment="1" applyProtection="1">
      <alignment horizontal="center" vertical="center"/>
      <protection locked="0"/>
    </xf>
    <xf numFmtId="0" fontId="95" fillId="0" borderId="4" xfId="0" applyNumberFormat="1" applyFont="1" applyFill="1" applyBorder="1" applyAlignment="1" applyProtection="1">
      <alignment horizontal="center" vertical="center" wrapText="1" shrinkToFit="1"/>
      <protection locked="0"/>
    </xf>
    <xf numFmtId="0" fontId="94" fillId="0" borderId="4" xfId="0" applyNumberFormat="1" applyFont="1" applyFill="1" applyBorder="1" applyAlignment="1" applyProtection="1">
      <alignment horizontal="center" vertical="center"/>
      <protection locked="0"/>
    </xf>
    <xf numFmtId="0" fontId="93" fillId="0" borderId="10" xfId="0" applyNumberFormat="1" applyFont="1" applyFill="1" applyBorder="1" applyAlignment="1" applyProtection="1">
      <alignment horizontal="center" vertical="center"/>
      <protection locked="0"/>
    </xf>
    <xf numFmtId="0" fontId="100" fillId="0" borderId="2" xfId="0" applyFont="1" applyFill="1" applyBorder="1" applyAlignment="1">
      <alignment horizontal="center" vertical="center" wrapText="1"/>
    </xf>
    <xf numFmtId="58" fontId="101" fillId="2" borderId="4" xfId="0" applyNumberFormat="1" applyFont="1" applyFill="1" applyBorder="1" applyAlignment="1" applyProtection="1">
      <alignment horizontal="center" vertical="center" wrapText="1"/>
      <protection locked="0"/>
    </xf>
    <xf numFmtId="0" fontId="96" fillId="0" borderId="4" xfId="0" applyFont="1" applyFill="1" applyBorder="1" applyAlignment="1" applyProtection="1">
      <alignment vertical="center" wrapText="1"/>
      <protection locked="0"/>
    </xf>
    <xf numFmtId="180" fontId="95" fillId="0" borderId="0" xfId="0" applyNumberFormat="1" applyFont="1" applyFill="1" applyAlignment="1" applyProtection="1">
      <alignment horizontal="center" vertical="center" wrapText="1"/>
      <protection locked="0"/>
    </xf>
    <xf numFmtId="0" fontId="100" fillId="0" borderId="1" xfId="0" applyFont="1" applyFill="1" applyBorder="1" applyAlignment="1">
      <alignment horizontal="center" vertical="center" wrapText="1"/>
    </xf>
    <xf numFmtId="0" fontId="92" fillId="0" borderId="4" xfId="0" applyFont="1" applyFill="1" applyBorder="1" applyAlignment="1" applyProtection="1">
      <alignment horizontal="center" vertical="center" wrapText="1"/>
      <protection locked="0"/>
    </xf>
    <xf numFmtId="58" fontId="99" fillId="0" borderId="4" xfId="0" applyNumberFormat="1" applyFont="1" applyFill="1" applyBorder="1" applyAlignment="1" applyProtection="1">
      <alignment vertical="center" wrapText="1"/>
      <protection locked="0"/>
    </xf>
    <xf numFmtId="0" fontId="100" fillId="0" borderId="0" xfId="0" applyFont="1" applyFill="1" applyBorder="1" applyAlignment="1">
      <alignment horizontal="center" vertical="center"/>
    </xf>
    <xf numFmtId="180" fontId="102" fillId="0" borderId="4" xfId="0" applyNumberFormat="1" applyFont="1" applyFill="1" applyBorder="1" applyAlignment="1" applyProtection="1">
      <alignment horizontal="center" vertical="center" wrapText="1"/>
      <protection locked="0"/>
    </xf>
    <xf numFmtId="58" fontId="103" fillId="0" borderId="4" xfId="0" applyNumberFormat="1" applyFont="1" applyFill="1" applyBorder="1" applyAlignment="1" applyProtection="1">
      <alignment horizontal="center" vertical="center" wrapText="1"/>
      <protection locked="0"/>
    </xf>
    <xf numFmtId="0" fontId="100" fillId="0" borderId="1" xfId="0" applyFont="1" applyFill="1" applyBorder="1" applyAlignment="1">
      <alignment horizontal="center" vertical="center"/>
    </xf>
    <xf numFmtId="0" fontId="100" fillId="0" borderId="4" xfId="0" applyFont="1" applyFill="1" applyBorder="1" applyAlignment="1">
      <alignment horizontal="center" vertical="center"/>
    </xf>
    <xf numFmtId="58" fontId="101" fillId="0" borderId="4" xfId="0" applyNumberFormat="1" applyFont="1" applyFill="1" applyBorder="1" applyAlignment="1" applyProtection="1">
      <alignment vertical="center" wrapText="1"/>
      <protection locked="0"/>
    </xf>
    <xf numFmtId="179" fontId="91" fillId="0" borderId="5" xfId="0" applyNumberFormat="1" applyFont="1" applyFill="1" applyBorder="1" applyAlignment="1" applyProtection="1">
      <alignment horizontal="center" vertical="center" shrinkToFit="1"/>
    </xf>
    <xf numFmtId="180" fontId="92" fillId="0" borderId="5" xfId="0" applyNumberFormat="1" applyFont="1" applyFill="1" applyBorder="1" applyAlignment="1" applyProtection="1">
      <alignment horizontal="center" vertical="center" wrapText="1"/>
      <protection locked="0"/>
    </xf>
    <xf numFmtId="0" fontId="93" fillId="0" borderId="5" xfId="0" applyNumberFormat="1" applyFont="1" applyFill="1" applyBorder="1" applyAlignment="1" applyProtection="1">
      <alignment horizontal="center" vertical="center"/>
      <protection locked="0"/>
    </xf>
    <xf numFmtId="49" fontId="95" fillId="0" borderId="5" xfId="0" applyNumberFormat="1" applyFont="1" applyFill="1" applyBorder="1" applyAlignment="1" applyProtection="1">
      <alignment horizontal="center" vertical="center" wrapText="1"/>
      <protection locked="0"/>
    </xf>
    <xf numFmtId="0" fontId="67" fillId="0" borderId="5" xfId="0" applyFont="1" applyFill="1" applyBorder="1" applyAlignment="1" applyProtection="1">
      <alignment horizontal="center" vertical="center" wrapText="1"/>
      <protection locked="0"/>
    </xf>
    <xf numFmtId="0" fontId="67" fillId="0" borderId="5" xfId="0" applyFont="1" applyFill="1" applyBorder="1" applyAlignment="1" applyProtection="1">
      <alignment vertical="center" wrapText="1"/>
      <protection locked="0"/>
    </xf>
    <xf numFmtId="179" fontId="95" fillId="0" borderId="5" xfId="0" applyNumberFormat="1" applyFont="1" applyFill="1" applyBorder="1" applyAlignment="1" applyProtection="1">
      <alignment horizontal="center" vertical="center" wrapText="1" shrinkToFit="1"/>
      <protection locked="0"/>
    </xf>
    <xf numFmtId="180" fontId="95" fillId="0" borderId="5" xfId="0" applyNumberFormat="1" applyFont="1" applyFill="1" applyBorder="1" applyAlignment="1" applyProtection="1">
      <alignment horizontal="center" vertical="center" wrapText="1"/>
      <protection locked="0"/>
    </xf>
    <xf numFmtId="58" fontId="101" fillId="0" borderId="5" xfId="0" applyNumberFormat="1" applyFont="1" applyFill="1" applyBorder="1" applyAlignment="1" applyProtection="1">
      <alignment vertical="center" wrapText="1"/>
      <protection locked="0"/>
    </xf>
    <xf numFmtId="180" fontId="97" fillId="0" borderId="5" xfId="0" applyNumberFormat="1" applyFont="1" applyFill="1" applyBorder="1" applyAlignment="1" applyProtection="1">
      <alignment horizontal="center" vertical="center" wrapText="1"/>
      <protection locked="0"/>
    </xf>
    <xf numFmtId="0" fontId="92" fillId="0" borderId="5" xfId="0" applyNumberFormat="1" applyFont="1" applyFill="1" applyBorder="1" applyAlignment="1" applyProtection="1">
      <alignment horizontal="center" vertical="center" wrapText="1"/>
      <protection locked="0"/>
    </xf>
    <xf numFmtId="0" fontId="93" fillId="0" borderId="5" xfId="0" applyFont="1" applyFill="1" applyBorder="1" applyAlignment="1" applyProtection="1">
      <alignment horizontal="center" vertical="center"/>
      <protection locked="0"/>
    </xf>
    <xf numFmtId="0" fontId="92" fillId="0" borderId="5" xfId="0" applyFont="1" applyFill="1" applyBorder="1" applyAlignment="1" applyProtection="1">
      <alignment horizontal="center" vertical="center" wrapText="1" shrinkToFit="1"/>
      <protection locked="0"/>
    </xf>
    <xf numFmtId="0" fontId="93" fillId="0" borderId="5" xfId="0" applyNumberFormat="1" applyFont="1" applyFill="1" applyBorder="1" applyAlignment="1" applyProtection="1">
      <alignment horizontal="center" vertical="center" wrapText="1"/>
      <protection locked="0"/>
    </xf>
    <xf numFmtId="0" fontId="95" fillId="0" borderId="5" xfId="0" applyNumberFormat="1" applyFont="1" applyFill="1" applyBorder="1" applyAlignment="1" applyProtection="1">
      <alignment horizontal="center" vertical="center" wrapText="1" shrinkToFit="1"/>
      <protection locked="0"/>
    </xf>
    <xf numFmtId="0" fontId="94" fillId="0" borderId="5" xfId="0" applyNumberFormat="1" applyFont="1" applyFill="1" applyBorder="1" applyAlignment="1" applyProtection="1">
      <alignment horizontal="center" vertical="center"/>
      <protection locked="0"/>
    </xf>
    <xf numFmtId="0" fontId="93" fillId="0" borderId="0" xfId="0" applyNumberFormat="1" applyFont="1" applyFill="1" applyAlignment="1" applyProtection="1">
      <alignment horizontal="center" vertical="center"/>
      <protection locked="0"/>
    </xf>
    <xf numFmtId="0" fontId="100" fillId="0" borderId="0" xfId="0" applyFont="1" applyFill="1" applyAlignment="1">
      <alignment horizontal="center" vertical="center" wrapText="1"/>
    </xf>
    <xf numFmtId="180" fontId="104" fillId="0" borderId="1" xfId="0" applyNumberFormat="1" applyFont="1" applyFill="1" applyBorder="1" applyAlignment="1" applyProtection="1">
      <alignment horizontal="center" vertical="center" wrapText="1"/>
      <protection locked="0"/>
    </xf>
    <xf numFmtId="58" fontId="101" fillId="2" borderId="1" xfId="0" applyNumberFormat="1" applyFont="1" applyFill="1" applyBorder="1" applyAlignment="1" applyProtection="1">
      <alignment vertical="center" wrapText="1"/>
      <protection locked="0"/>
    </xf>
    <xf numFmtId="183" fontId="92" fillId="0" borderId="1" xfId="0" applyNumberFormat="1" applyFont="1" applyFill="1" applyBorder="1" applyAlignment="1" applyProtection="1">
      <alignment horizontal="center" vertical="center" wrapText="1" shrinkToFit="1"/>
      <protection locked="0"/>
    </xf>
    <xf numFmtId="180" fontId="103" fillId="0" borderId="1" xfId="0" applyNumberFormat="1" applyFont="1" applyFill="1" applyBorder="1" applyAlignment="1" applyProtection="1">
      <alignment horizontal="center" vertical="center" wrapText="1"/>
      <protection locked="0"/>
    </xf>
    <xf numFmtId="58" fontId="99" fillId="0" borderId="1" xfId="0" applyNumberFormat="1" applyFont="1" applyFill="1" applyBorder="1" applyAlignment="1" applyProtection="1">
      <alignment vertical="center" wrapText="1"/>
      <protection locked="0"/>
    </xf>
    <xf numFmtId="183" fontId="92" fillId="0" borderId="4" xfId="0" applyNumberFormat="1" applyFont="1" applyFill="1" applyBorder="1" applyAlignment="1" applyProtection="1">
      <alignment horizontal="center" vertical="center" wrapText="1" shrinkToFit="1"/>
      <protection locked="0"/>
    </xf>
    <xf numFmtId="0" fontId="92" fillId="0" borderId="1"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05" fillId="0" borderId="1" xfId="0" applyFont="1" applyFill="1" applyBorder="1" applyAlignment="1">
      <alignment horizontal="center" vertical="center" wrapText="1" shrinkToFit="1"/>
    </xf>
    <xf numFmtId="0" fontId="105" fillId="0" borderId="1" xfId="0" applyFont="1" applyFill="1" applyBorder="1" applyAlignment="1">
      <alignment horizontal="center" vertical="center"/>
    </xf>
    <xf numFmtId="179" fontId="67" fillId="0" borderId="1" xfId="0" applyNumberFormat="1" applyFont="1" applyFill="1" applyBorder="1" applyAlignment="1" applyProtection="1">
      <alignment horizontal="center" vertical="center" wrapText="1" shrinkToFit="1"/>
      <protection locked="0"/>
    </xf>
    <xf numFmtId="194" fontId="106" fillId="0" borderId="1" xfId="0" applyNumberFormat="1" applyFont="1" applyFill="1" applyBorder="1" applyAlignment="1" applyProtection="1">
      <alignment horizontal="center" vertical="center" wrapText="1" shrinkToFit="1"/>
      <protection locked="0"/>
    </xf>
    <xf numFmtId="195" fontId="93" fillId="0" borderId="1" xfId="0" applyNumberFormat="1" applyFont="1" applyFill="1" applyBorder="1" applyAlignment="1" applyProtection="1">
      <alignment horizontal="center" vertical="center"/>
      <protection locked="0"/>
    </xf>
    <xf numFmtId="0" fontId="93" fillId="0" borderId="2" xfId="0" applyNumberFormat="1" applyFont="1" applyFill="1" applyBorder="1" applyAlignment="1" applyProtection="1">
      <alignment horizontal="center" vertical="center" wrapText="1"/>
      <protection locked="0"/>
    </xf>
    <xf numFmtId="58" fontId="99" fillId="2" borderId="1" xfId="0" applyNumberFormat="1" applyFont="1" applyFill="1" applyBorder="1" applyAlignment="1" applyProtection="1">
      <alignment vertical="center" wrapText="1"/>
      <protection locked="0"/>
    </xf>
    <xf numFmtId="0" fontId="92" fillId="2" borderId="1" xfId="0" applyNumberFormat="1" applyFont="1" applyFill="1" applyBorder="1" applyAlignment="1" applyProtection="1">
      <alignment horizontal="center" vertical="center" wrapText="1"/>
      <protection locked="0"/>
    </xf>
    <xf numFmtId="180" fontId="104" fillId="0" borderId="6" xfId="0" applyNumberFormat="1" applyFont="1" applyFill="1" applyBorder="1" applyAlignment="1" applyProtection="1">
      <alignment horizontal="center" vertical="center" wrapText="1"/>
      <protection locked="0"/>
    </xf>
    <xf numFmtId="58" fontId="101" fillId="2" borderId="6" xfId="0" applyNumberFormat="1" applyFont="1" applyFill="1" applyBorder="1" applyAlignment="1" applyProtection="1">
      <alignment horizontal="center" vertical="center" wrapText="1"/>
      <protection locked="0"/>
    </xf>
    <xf numFmtId="0" fontId="96" fillId="0" borderId="6" xfId="0" applyFont="1" applyFill="1" applyBorder="1" applyAlignment="1" applyProtection="1">
      <alignment horizontal="center" vertical="center" wrapText="1"/>
      <protection locked="0"/>
    </xf>
    <xf numFmtId="0" fontId="93" fillId="0" borderId="6" xfId="0" applyNumberFormat="1" applyFont="1" applyFill="1" applyBorder="1" applyAlignment="1" applyProtection="1">
      <alignment horizontal="center" vertical="center" wrapText="1"/>
      <protection locked="0"/>
    </xf>
    <xf numFmtId="0" fontId="100" fillId="0" borderId="7" xfId="0" applyFont="1" applyFill="1" applyBorder="1" applyAlignment="1">
      <alignment horizontal="center" vertical="center" wrapText="1"/>
    </xf>
    <xf numFmtId="0" fontId="67" fillId="0" borderId="7" xfId="0" applyFont="1" applyFill="1" applyBorder="1" applyAlignment="1" applyProtection="1">
      <alignment vertical="center"/>
      <protection locked="0"/>
    </xf>
    <xf numFmtId="58" fontId="101" fillId="0" borderId="1" xfId="0" applyNumberFormat="1" applyFont="1" applyFill="1" applyBorder="1" applyAlignment="1" applyProtection="1">
      <alignment horizontal="center" vertical="center" wrapText="1"/>
      <protection locked="0"/>
    </xf>
    <xf numFmtId="0" fontId="67" fillId="0" borderId="2" xfId="0" applyFont="1" applyFill="1" applyBorder="1" applyAlignment="1" applyProtection="1">
      <alignment vertical="center"/>
      <protection locked="0"/>
    </xf>
    <xf numFmtId="3" fontId="92" fillId="0" borderId="1" xfId="0" applyNumberFormat="1" applyFont="1" applyFill="1" applyBorder="1" applyAlignment="1" applyProtection="1">
      <alignment horizontal="center" vertical="center" wrapText="1"/>
      <protection locked="0"/>
    </xf>
    <xf numFmtId="58" fontId="103" fillId="0" borderId="1" xfId="0" applyNumberFormat="1" applyFont="1" applyFill="1" applyBorder="1" applyAlignment="1" applyProtection="1">
      <alignment vertical="center" wrapText="1"/>
      <protection locked="0"/>
    </xf>
    <xf numFmtId="58" fontId="103" fillId="2" borderId="6" xfId="0" applyNumberFormat="1" applyFont="1" applyFill="1" applyBorder="1" applyAlignment="1" applyProtection="1">
      <alignment horizontal="center" vertical="center" wrapText="1"/>
      <protection locked="0"/>
    </xf>
    <xf numFmtId="0" fontId="100" fillId="0" borderId="0" xfId="0" applyFont="1" applyFill="1" applyAlignment="1">
      <alignment horizontal="center" vertical="center"/>
    </xf>
    <xf numFmtId="183" fontId="92" fillId="0" borderId="6" xfId="0" applyNumberFormat="1" applyFont="1" applyFill="1" applyBorder="1" applyAlignment="1" applyProtection="1">
      <alignment horizontal="center" vertical="center" wrapText="1" shrinkToFit="1"/>
      <protection locked="0"/>
    </xf>
    <xf numFmtId="180" fontId="107" fillId="0" borderId="1" xfId="0" applyNumberFormat="1" applyFont="1" applyFill="1" applyBorder="1" applyAlignment="1" applyProtection="1">
      <alignment horizontal="center" vertical="center" wrapText="1"/>
      <protection locked="0"/>
    </xf>
    <xf numFmtId="58" fontId="101" fillId="2" borderId="1" xfId="0" applyNumberFormat="1" applyFont="1" applyFill="1" applyBorder="1" applyAlignment="1" applyProtection="1">
      <alignment horizontal="center" vertical="center" wrapText="1"/>
      <protection locked="0"/>
    </xf>
    <xf numFmtId="0" fontId="95" fillId="0" borderId="5" xfId="0" applyFont="1" applyFill="1" applyBorder="1" applyAlignment="1" applyProtection="1">
      <alignment horizontal="center" vertical="center" wrapText="1"/>
      <protection locked="0"/>
    </xf>
    <xf numFmtId="58" fontId="99" fillId="2" borderId="6" xfId="0" applyNumberFormat="1" applyFont="1" applyFill="1" applyBorder="1" applyAlignment="1" applyProtection="1">
      <alignment horizontal="center" vertical="center" wrapText="1"/>
      <protection locked="0"/>
    </xf>
    <xf numFmtId="58" fontId="103" fillId="2" borderId="1" xfId="0" applyNumberFormat="1" applyFont="1" applyFill="1" applyBorder="1" applyAlignment="1" applyProtection="1">
      <alignment horizontal="center" vertical="center" wrapText="1"/>
      <protection locked="0"/>
    </xf>
    <xf numFmtId="0" fontId="108" fillId="0" borderId="1" xfId="0" applyFont="1" applyFill="1" applyBorder="1" applyAlignment="1">
      <alignment horizontal="center" vertical="center" wrapText="1"/>
    </xf>
    <xf numFmtId="49" fontId="92" fillId="0" borderId="5" xfId="0" applyNumberFormat="1" applyFont="1" applyFill="1" applyBorder="1" applyAlignment="1" applyProtection="1">
      <alignment horizontal="center" vertical="center" wrapText="1"/>
      <protection locked="0"/>
    </xf>
    <xf numFmtId="0" fontId="94" fillId="0" borderId="5" xfId="0" applyFont="1" applyFill="1" applyBorder="1" applyAlignment="1" applyProtection="1">
      <alignment horizontal="center" vertical="center" wrapText="1"/>
      <protection locked="0"/>
    </xf>
    <xf numFmtId="0" fontId="92" fillId="0" borderId="5" xfId="0" applyFont="1" applyFill="1" applyBorder="1" applyAlignment="1" applyProtection="1">
      <alignment horizontal="center" vertical="center" wrapText="1"/>
      <protection locked="0"/>
    </xf>
    <xf numFmtId="0" fontId="68" fillId="0" borderId="5" xfId="0" applyFont="1" applyFill="1" applyBorder="1" applyAlignment="1">
      <alignment horizontal="center" vertical="center"/>
    </xf>
    <xf numFmtId="0" fontId="96" fillId="0" borderId="5" xfId="0" applyFont="1" applyFill="1" applyBorder="1" applyAlignment="1" applyProtection="1">
      <alignment horizontal="center" vertical="center" wrapText="1"/>
      <protection locked="0"/>
    </xf>
    <xf numFmtId="183" fontId="92" fillId="0" borderId="5" xfId="0" applyNumberFormat="1" applyFont="1" applyFill="1" applyBorder="1" applyAlignment="1" applyProtection="1">
      <alignment horizontal="center" vertical="center" wrapText="1" shrinkToFit="1"/>
      <protection locked="0"/>
    </xf>
    <xf numFmtId="181" fontId="92" fillId="0" borderId="5" xfId="0" applyNumberFormat="1" applyFont="1" applyFill="1" applyBorder="1" applyAlignment="1" applyProtection="1">
      <alignment horizontal="center" vertical="center"/>
      <protection locked="0"/>
    </xf>
    <xf numFmtId="0" fontId="67" fillId="0" borderId="4" xfId="0" applyFont="1" applyFill="1" applyBorder="1" applyAlignment="1" applyProtection="1">
      <alignment horizontal="center" vertical="center"/>
      <protection locked="0"/>
    </xf>
    <xf numFmtId="0" fontId="100" fillId="0" borderId="9" xfId="0" applyFont="1" applyFill="1" applyBorder="1" applyAlignment="1">
      <alignment horizontal="center" vertical="center" wrapText="1"/>
    </xf>
    <xf numFmtId="58" fontId="99" fillId="2" borderId="1" xfId="0" applyNumberFormat="1" applyFont="1" applyFill="1" applyBorder="1" applyAlignment="1" applyProtection="1">
      <alignment horizontal="center" vertical="center" wrapText="1"/>
      <protection locked="0"/>
    </xf>
    <xf numFmtId="0" fontId="67" fillId="0" borderId="1" xfId="0" applyFont="1" applyFill="1" applyBorder="1" applyAlignment="1" applyProtection="1">
      <alignment horizontal="left" vertical="center" wrapText="1"/>
      <protection locked="0"/>
    </xf>
    <xf numFmtId="0" fontId="109" fillId="0" borderId="1" xfId="0" applyFont="1" applyFill="1" applyBorder="1" applyAlignment="1">
      <alignment vertical="center" wrapText="1"/>
    </xf>
    <xf numFmtId="0" fontId="110" fillId="0" borderId="2" xfId="0" applyNumberFormat="1" applyFont="1" applyFill="1" applyBorder="1" applyAlignment="1" applyProtection="1">
      <alignment horizontal="center" vertical="center" wrapText="1"/>
      <protection locked="0"/>
    </xf>
    <xf numFmtId="0" fontId="0" fillId="0" borderId="1" xfId="0" applyBorder="1">
      <alignment vertical="center"/>
    </xf>
    <xf numFmtId="0" fontId="92" fillId="0" borderId="2" xfId="0" applyNumberFormat="1" applyFont="1" applyFill="1" applyBorder="1" applyAlignment="1" applyProtection="1">
      <alignment horizontal="center" vertical="center" wrapText="1"/>
      <protection locked="0"/>
    </xf>
    <xf numFmtId="0" fontId="100" fillId="0" borderId="6" xfId="0" applyFont="1" applyFill="1" applyBorder="1" applyAlignment="1">
      <alignment horizontal="center" vertical="center" wrapText="1"/>
    </xf>
    <xf numFmtId="0" fontId="67" fillId="0" borderId="5" xfId="0" applyFont="1" applyFill="1" applyBorder="1" applyAlignment="1" applyProtection="1">
      <alignment horizontal="center" vertical="center"/>
      <protection locked="0"/>
    </xf>
    <xf numFmtId="0" fontId="67" fillId="0" borderId="6" xfId="0" applyFont="1" applyFill="1" applyBorder="1" applyAlignment="1" applyProtection="1">
      <alignment vertical="center"/>
      <protection locked="0"/>
    </xf>
    <xf numFmtId="180" fontId="97" fillId="0" borderId="0" xfId="0" applyNumberFormat="1" applyFont="1" applyFill="1" applyBorder="1" applyAlignment="1" applyProtection="1">
      <alignment horizontal="center" vertical="center" wrapText="1"/>
      <protection locked="0"/>
    </xf>
    <xf numFmtId="180" fontId="103" fillId="0" borderId="6" xfId="0" applyNumberFormat="1" applyFont="1" applyFill="1" applyBorder="1" applyAlignment="1" applyProtection="1">
      <alignment horizontal="center" vertical="center" wrapText="1"/>
      <protection locked="0"/>
    </xf>
    <xf numFmtId="58" fontId="99" fillId="2" borderId="6" xfId="0" applyNumberFormat="1" applyFont="1" applyFill="1" applyBorder="1" applyAlignment="1" applyProtection="1">
      <alignment vertical="center" wrapText="1"/>
      <protection locked="0"/>
    </xf>
    <xf numFmtId="49" fontId="92" fillId="0" borderId="4" xfId="0" applyNumberFormat="1" applyFont="1" applyFill="1" applyBorder="1" applyAlignment="1" applyProtection="1">
      <alignment horizontal="center" vertical="center" wrapText="1"/>
      <protection locked="0"/>
    </xf>
    <xf numFmtId="0" fontId="94" fillId="0" borderId="4" xfId="0" applyFont="1" applyFill="1" applyBorder="1" applyAlignment="1" applyProtection="1">
      <alignment horizontal="center" vertical="center" wrapText="1"/>
      <protection locked="0"/>
    </xf>
    <xf numFmtId="180" fontId="103" fillId="0" borderId="0" xfId="0" applyNumberFormat="1" applyFont="1" applyFill="1" applyBorder="1" applyAlignment="1" applyProtection="1">
      <alignment horizontal="center" vertical="center" wrapText="1"/>
      <protection locked="0"/>
    </xf>
    <xf numFmtId="58" fontId="99" fillId="2" borderId="4" xfId="0" applyNumberFormat="1" applyFont="1" applyFill="1" applyBorder="1" applyAlignment="1" applyProtection="1">
      <alignment horizontal="center" vertical="center" wrapText="1"/>
      <protection locked="0"/>
    </xf>
    <xf numFmtId="0" fontId="93" fillId="0" borderId="4" xfId="0" applyNumberFormat="1" applyFont="1" applyFill="1" applyBorder="1" applyAlignment="1" applyProtection="1">
      <alignment horizontal="center" vertical="center" wrapText="1"/>
      <protection locked="0"/>
    </xf>
    <xf numFmtId="0" fontId="100" fillId="0" borderId="4" xfId="0" applyFont="1" applyFill="1" applyBorder="1" applyAlignment="1">
      <alignment horizontal="center" vertical="center" wrapText="1"/>
    </xf>
    <xf numFmtId="0" fontId="100" fillId="0" borderId="10" xfId="0" applyFont="1" applyFill="1" applyBorder="1" applyAlignment="1">
      <alignment horizontal="center" vertical="center" wrapText="1"/>
    </xf>
    <xf numFmtId="0" fontId="67" fillId="0" borderId="4" xfId="0" applyFont="1" applyFill="1" applyBorder="1" applyAlignment="1" applyProtection="1">
      <alignment vertical="center"/>
      <protection locked="0"/>
    </xf>
    <xf numFmtId="58" fontId="15" fillId="2" borderId="1" xfId="0" applyNumberFormat="1" applyFont="1" applyFill="1" applyBorder="1" applyAlignment="1" applyProtection="1">
      <alignment vertical="center" wrapText="1"/>
      <protection locked="0"/>
    </xf>
    <xf numFmtId="0" fontId="92" fillId="2" borderId="1" xfId="0" applyFont="1" applyFill="1" applyBorder="1" applyAlignment="1" applyProtection="1">
      <alignment horizontal="center" vertical="center" wrapText="1"/>
      <protection locked="0"/>
    </xf>
    <xf numFmtId="179" fontId="95" fillId="2" borderId="1" xfId="0" applyNumberFormat="1" applyFont="1" applyFill="1" applyBorder="1" applyAlignment="1" applyProtection="1">
      <alignment horizontal="center" vertical="center" wrapText="1" shrinkToFit="1"/>
      <protection locked="0"/>
    </xf>
    <xf numFmtId="182" fontId="92" fillId="2" borderId="1" xfId="0" applyNumberFormat="1" applyFont="1" applyFill="1" applyBorder="1" applyAlignment="1" applyProtection="1">
      <alignment horizontal="center" vertical="center" wrapText="1" shrinkToFit="1"/>
      <protection locked="0"/>
    </xf>
    <xf numFmtId="0" fontId="94" fillId="0" borderId="1" xfId="0" applyNumberFormat="1" applyFont="1" applyFill="1" applyBorder="1" applyAlignment="1" applyProtection="1">
      <alignment horizontal="center" vertical="center" wrapText="1"/>
      <protection locked="0"/>
    </xf>
    <xf numFmtId="0" fontId="67" fillId="0" borderId="0" xfId="0" applyFont="1" applyFill="1" applyBorder="1" applyAlignment="1" applyProtection="1">
      <alignment horizontal="center" vertical="center"/>
      <protection locked="0"/>
    </xf>
    <xf numFmtId="0" fontId="94" fillId="0" borderId="2" xfId="0" applyNumberFormat="1" applyFont="1" applyFill="1" applyBorder="1" applyAlignment="1" applyProtection="1">
      <alignment horizontal="center" vertical="center" wrapText="1"/>
      <protection locked="0"/>
    </xf>
    <xf numFmtId="0" fontId="67" fillId="0" borderId="0" xfId="0" applyFont="1" applyFill="1" applyBorder="1" applyAlignment="1" applyProtection="1">
      <alignment horizontal="center" vertical="center" wrapText="1"/>
      <protection locked="0"/>
    </xf>
    <xf numFmtId="49" fontId="92" fillId="2" borderId="4" xfId="0" applyNumberFormat="1" applyFont="1" applyFill="1" applyBorder="1" applyAlignment="1" applyProtection="1">
      <alignment horizontal="center" vertical="center" wrapText="1"/>
      <protection locked="0"/>
    </xf>
    <xf numFmtId="0" fontId="95" fillId="0" borderId="4" xfId="0" applyFont="1" applyBorder="1" applyAlignment="1">
      <alignment horizontal="center" vertical="center"/>
    </xf>
    <xf numFmtId="58" fontId="103" fillId="2" borderId="4" xfId="0" applyNumberFormat="1" applyFont="1" applyFill="1" applyBorder="1" applyAlignment="1" applyProtection="1">
      <alignment horizontal="center" vertical="center" wrapText="1"/>
      <protection locked="0"/>
    </xf>
    <xf numFmtId="0" fontId="92" fillId="2" borderId="4" xfId="0" applyNumberFormat="1" applyFont="1" applyFill="1" applyBorder="1" applyAlignment="1" applyProtection="1">
      <alignment horizontal="center" vertical="center" wrapText="1"/>
      <protection locked="0"/>
    </xf>
    <xf numFmtId="0" fontId="95" fillId="0" borderId="1" xfId="0" applyFont="1" applyBorder="1" applyAlignment="1">
      <alignment horizontal="center" vertical="center"/>
    </xf>
    <xf numFmtId="0" fontId="100" fillId="0" borderId="6" xfId="0" applyFont="1" applyFill="1" applyBorder="1" applyAlignment="1">
      <alignment horizontal="center" vertical="center"/>
    </xf>
    <xf numFmtId="0" fontId="94" fillId="0" borderId="6" xfId="0" applyNumberFormat="1" applyFont="1" applyFill="1" applyBorder="1" applyAlignment="1" applyProtection="1">
      <alignment horizontal="center" vertical="center" wrapText="1"/>
      <protection locked="0"/>
    </xf>
    <xf numFmtId="0" fontId="94" fillId="0" borderId="0" xfId="0" applyNumberFormat="1" applyFont="1" applyFill="1" applyBorder="1" applyAlignment="1" applyProtection="1">
      <alignment horizontal="center" vertical="center" wrapText="1"/>
      <protection locked="0"/>
    </xf>
    <xf numFmtId="0" fontId="93" fillId="0" borderId="0" xfId="0" applyNumberFormat="1" applyFont="1" applyFill="1" applyBorder="1" applyAlignment="1" applyProtection="1">
      <alignment horizontal="center" vertical="center"/>
      <protection locked="0"/>
    </xf>
    <xf numFmtId="180" fontId="102" fillId="0" borderId="1" xfId="0" applyNumberFormat="1" applyFont="1" applyFill="1" applyBorder="1" applyAlignment="1" applyProtection="1">
      <alignment horizontal="center" vertical="center" wrapText="1"/>
      <protection locked="0"/>
    </xf>
    <xf numFmtId="180" fontId="95" fillId="0" borderId="0" xfId="0" applyNumberFormat="1" applyFont="1" applyFill="1" applyBorder="1" applyAlignment="1" applyProtection="1">
      <alignment horizontal="center" vertical="center" wrapText="1"/>
      <protection locked="0"/>
    </xf>
    <xf numFmtId="180" fontId="106" fillId="0" borderId="1" xfId="0" applyNumberFormat="1" applyFont="1" applyFill="1" applyBorder="1" applyAlignment="1" applyProtection="1">
      <alignment horizontal="center" vertical="center" wrapText="1"/>
      <protection locked="0"/>
    </xf>
    <xf numFmtId="180" fontId="103" fillId="0" borderId="4" xfId="0" applyNumberFormat="1" applyFont="1" applyFill="1" applyBorder="1" applyAlignment="1" applyProtection="1">
      <alignment horizontal="center" vertical="center" wrapText="1"/>
      <protection locked="0"/>
    </xf>
    <xf numFmtId="0" fontId="94" fillId="0" borderId="4" xfId="0" applyNumberFormat="1" applyFont="1" applyFill="1" applyBorder="1" applyAlignment="1" applyProtection="1">
      <alignment horizontal="center" vertical="center" wrapText="1"/>
      <protection locked="0"/>
    </xf>
    <xf numFmtId="0" fontId="92" fillId="0" borderId="10" xfId="0" applyNumberFormat="1" applyFont="1" applyFill="1" applyBorder="1" applyAlignment="1" applyProtection="1">
      <alignment horizontal="center" vertical="center" wrapText="1"/>
      <protection locked="0"/>
    </xf>
    <xf numFmtId="0" fontId="0" fillId="0" borderId="4" xfId="0" applyBorder="1">
      <alignment vertical="center"/>
    </xf>
    <xf numFmtId="0" fontId="99" fillId="2" borderId="1" xfId="0" applyFont="1" applyFill="1" applyBorder="1" applyAlignment="1" applyProtection="1">
      <alignment horizontal="center" vertical="center" wrapText="1"/>
      <protection locked="0"/>
    </xf>
    <xf numFmtId="0" fontId="0" fillId="0" borderId="2" xfId="0" applyBorder="1">
      <alignment vertical="center"/>
    </xf>
    <xf numFmtId="0" fontId="99" fillId="2" borderId="1" xfId="0" applyFont="1" applyFill="1" applyBorder="1" applyAlignment="1" applyProtection="1">
      <alignment vertical="center" wrapText="1"/>
      <protection locked="0"/>
    </xf>
    <xf numFmtId="0" fontId="100" fillId="0" borderId="4" xfId="0" applyFont="1" applyFill="1" applyBorder="1" applyAlignment="1">
      <alignment vertical="center" wrapText="1"/>
    </xf>
    <xf numFmtId="0" fontId="100" fillId="0" borderId="1" xfId="0" applyFont="1" applyFill="1" applyBorder="1" applyAlignment="1">
      <alignment vertical="center" wrapText="1"/>
    </xf>
    <xf numFmtId="179" fontId="95" fillId="2" borderId="6" xfId="0" applyNumberFormat="1" applyFont="1" applyFill="1" applyBorder="1" applyAlignment="1" applyProtection="1">
      <alignment horizontal="center" vertical="center" wrapText="1" shrinkToFit="1"/>
      <protection locked="0"/>
    </xf>
    <xf numFmtId="0" fontId="100" fillId="0" borderId="6" xfId="0" applyFont="1" applyFill="1" applyBorder="1" applyAlignment="1">
      <alignment vertical="center" wrapText="1"/>
    </xf>
    <xf numFmtId="0" fontId="103" fillId="2" borderId="1" xfId="0" applyFont="1" applyFill="1" applyBorder="1" applyAlignment="1" applyProtection="1">
      <alignment vertical="center" wrapText="1"/>
      <protection locked="0"/>
    </xf>
    <xf numFmtId="58" fontId="96" fillId="0" borderId="1" xfId="0" applyNumberFormat="1" applyFont="1" applyFill="1" applyBorder="1" applyAlignment="1" applyProtection="1">
      <alignment horizontal="center" vertical="center" wrapText="1"/>
      <protection locked="0"/>
    </xf>
    <xf numFmtId="49" fontId="92" fillId="2" borderId="1" xfId="0" applyNumberFormat="1" applyFont="1" applyFill="1" applyBorder="1" applyAlignment="1" applyProtection="1">
      <alignment horizontal="center" vertical="center" wrapText="1"/>
      <protection locked="0"/>
    </xf>
    <xf numFmtId="0" fontId="67" fillId="2" borderId="1" xfId="0" applyFont="1" applyFill="1" applyBorder="1" applyAlignment="1" applyProtection="1">
      <alignment vertical="center" wrapText="1"/>
      <protection locked="0"/>
    </xf>
    <xf numFmtId="0" fontId="94" fillId="0" borderId="0" xfId="0" applyNumberFormat="1" applyFont="1" applyFill="1" applyBorder="1" applyAlignment="1" applyProtection="1">
      <alignment horizontal="center" vertical="center"/>
      <protection locked="0"/>
    </xf>
    <xf numFmtId="179" fontId="95" fillId="2" borderId="4" xfId="0" applyNumberFormat="1" applyFont="1" applyFill="1" applyBorder="1" applyAlignment="1" applyProtection="1">
      <alignment horizontal="center" vertical="center" wrapText="1" shrinkToFit="1"/>
      <protection locked="0"/>
    </xf>
    <xf numFmtId="180" fontId="107" fillId="0" borderId="4" xfId="0" applyNumberFormat="1" applyFont="1" applyFill="1" applyBorder="1" applyAlignment="1" applyProtection="1">
      <alignment horizontal="center" vertical="center" wrapText="1"/>
      <protection locked="0"/>
    </xf>
    <xf numFmtId="0" fontId="100" fillId="0" borderId="0" xfId="0" applyFont="1" applyFill="1" applyBorder="1" applyAlignment="1">
      <alignment vertical="center" wrapText="1"/>
    </xf>
    <xf numFmtId="180" fontId="107" fillId="0" borderId="6" xfId="0" applyNumberFormat="1" applyFont="1" applyFill="1" applyBorder="1" applyAlignment="1" applyProtection="1">
      <alignment horizontal="center" vertical="center" wrapText="1"/>
      <protection locked="0"/>
    </xf>
    <xf numFmtId="0" fontId="93" fillId="0" borderId="0" xfId="0" applyNumberFormat="1" applyFont="1" applyFill="1" applyBorder="1" applyAlignment="1" applyProtection="1">
      <alignment horizontal="center" vertical="center" wrapText="1"/>
      <protection locked="0"/>
    </xf>
    <xf numFmtId="0" fontId="93" fillId="0" borderId="9" xfId="0" applyNumberFormat="1" applyFont="1" applyFill="1" applyBorder="1" applyAlignment="1" applyProtection="1">
      <alignment horizontal="center" vertical="center"/>
      <protection locked="0"/>
    </xf>
    <xf numFmtId="0" fontId="92" fillId="0" borderId="0" xfId="0" applyNumberFormat="1" applyFont="1" applyFill="1" applyBorder="1" applyAlignment="1" applyProtection="1">
      <alignment horizontal="center" vertical="center"/>
      <protection locked="0"/>
    </xf>
    <xf numFmtId="0" fontId="68" fillId="0" borderId="1" xfId="0" applyFont="1" applyBorder="1">
      <alignment vertical="center"/>
    </xf>
    <xf numFmtId="180" fontId="91" fillId="0" borderId="1" xfId="0" applyNumberFormat="1" applyFont="1" applyFill="1" applyBorder="1" applyAlignment="1" applyProtection="1">
      <alignment horizontal="center" vertical="center" wrapText="1"/>
      <protection locked="0"/>
    </xf>
    <xf numFmtId="180" fontId="97" fillId="2" borderId="1" xfId="0" applyNumberFormat="1" applyFont="1" applyFill="1" applyBorder="1" applyAlignment="1" applyProtection="1">
      <alignment horizontal="center" vertical="center" wrapText="1"/>
      <protection locked="0"/>
    </xf>
    <xf numFmtId="180" fontId="103" fillId="2" borderId="1" xfId="0" applyNumberFormat="1" applyFont="1" applyFill="1" applyBorder="1" applyAlignment="1" applyProtection="1">
      <alignment horizontal="center" vertical="center" wrapText="1"/>
      <protection locked="0"/>
    </xf>
    <xf numFmtId="0" fontId="67" fillId="2" borderId="1" xfId="0" applyFont="1" applyFill="1" applyBorder="1" applyAlignment="1" applyProtection="1">
      <alignment horizontal="center" vertical="center"/>
      <protection locked="0"/>
    </xf>
    <xf numFmtId="180" fontId="106" fillId="0" borderId="4" xfId="0" applyNumberFormat="1" applyFont="1" applyFill="1" applyBorder="1" applyAlignment="1" applyProtection="1">
      <alignment horizontal="center" vertical="center" wrapText="1"/>
      <protection locked="0"/>
    </xf>
    <xf numFmtId="180" fontId="106" fillId="0" borderId="0" xfId="0" applyNumberFormat="1" applyFont="1" applyFill="1" applyBorder="1" applyAlignment="1" applyProtection="1">
      <alignment horizontal="center" vertical="center" wrapText="1"/>
      <protection locked="0"/>
    </xf>
    <xf numFmtId="183" fontId="92" fillId="6" borderId="1" xfId="0" applyNumberFormat="1" applyFont="1" applyFill="1" applyBorder="1" applyAlignment="1" applyProtection="1">
      <alignment horizontal="center" vertical="center" wrapText="1" shrinkToFit="1"/>
      <protection locked="0"/>
    </xf>
    <xf numFmtId="0" fontId="67" fillId="2" borderId="1" xfId="0" applyFont="1" applyFill="1" applyBorder="1" applyAlignment="1" applyProtection="1">
      <alignment horizontal="center" vertical="center" wrapText="1"/>
      <protection locked="0"/>
    </xf>
    <xf numFmtId="0" fontId="92" fillId="0" borderId="4" xfId="0" applyNumberFormat="1" applyFont="1" applyFill="1" applyBorder="1" applyAlignment="1" applyProtection="1">
      <alignment horizontal="center" vertical="center"/>
      <protection locked="0"/>
    </xf>
    <xf numFmtId="0" fontId="67" fillId="0" borderId="2" xfId="0" applyFont="1" applyFill="1" applyBorder="1" applyAlignment="1" applyProtection="1">
      <alignment horizontal="center" vertical="center" wrapText="1"/>
      <protection locked="0"/>
    </xf>
    <xf numFmtId="0" fontId="68" fillId="0" borderId="4" xfId="0" applyFont="1" applyBorder="1">
      <alignment vertical="center"/>
    </xf>
    <xf numFmtId="58" fontId="111" fillId="0" borderId="1" xfId="0" applyNumberFormat="1" applyFont="1" applyFill="1" applyBorder="1">
      <alignment vertical="center"/>
    </xf>
    <xf numFmtId="58" fontId="96" fillId="0" borderId="1" xfId="0" applyNumberFormat="1" applyFont="1" applyFill="1" applyBorder="1" applyAlignment="1" applyProtection="1">
      <alignment vertical="center" wrapText="1"/>
      <protection locked="0"/>
    </xf>
    <xf numFmtId="58" fontId="107" fillId="2" borderId="1" xfId="0" applyNumberFormat="1" applyFont="1" applyFill="1" applyBorder="1" applyAlignment="1" applyProtection="1">
      <alignment horizontal="center" vertical="center" wrapText="1"/>
      <protection locked="0"/>
    </xf>
    <xf numFmtId="0" fontId="108" fillId="0" borderId="1" xfId="0" applyFont="1" applyFill="1" applyBorder="1" applyAlignment="1">
      <alignment vertical="center" wrapText="1"/>
    </xf>
    <xf numFmtId="0" fontId="68" fillId="0" borderId="1" xfId="0" applyFont="1" applyFill="1" applyBorder="1" applyAlignment="1" applyProtection="1">
      <alignment horizontal="center" vertical="center"/>
      <protection locked="0"/>
    </xf>
    <xf numFmtId="0" fontId="100" fillId="0" borderId="1" xfId="0" applyFont="1" applyFill="1" applyBorder="1" applyAlignment="1" applyProtection="1">
      <alignment vertical="center" wrapText="1"/>
      <protection locked="0"/>
    </xf>
    <xf numFmtId="0" fontId="100" fillId="0" borderId="5" xfId="0" applyFont="1" applyFill="1" applyBorder="1" applyAlignment="1">
      <alignment vertical="center" wrapText="1"/>
    </xf>
    <xf numFmtId="58" fontId="99" fillId="2" borderId="0" xfId="0" applyNumberFormat="1" applyFont="1" applyFill="1" applyBorder="1" applyAlignment="1" applyProtection="1">
      <alignment horizontal="center" vertical="center" wrapText="1"/>
      <protection locked="0"/>
    </xf>
    <xf numFmtId="180" fontId="106" fillId="0" borderId="6" xfId="0" applyNumberFormat="1" applyFont="1" applyFill="1" applyBorder="1" applyAlignment="1" applyProtection="1">
      <alignment horizontal="center" vertical="center" wrapText="1"/>
      <protection locked="0"/>
    </xf>
    <xf numFmtId="0" fontId="67" fillId="0" borderId="10" xfId="0" applyFont="1" applyFill="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95" fillId="0" borderId="1" xfId="0" applyNumberFormat="1" applyFont="1" applyFill="1" applyBorder="1" applyAlignment="1" applyProtection="1">
      <alignment horizontal="center" vertical="center" wrapText="1"/>
      <protection locked="0"/>
    </xf>
    <xf numFmtId="0" fontId="92" fillId="0" borderId="0" xfId="0" applyNumberFormat="1" applyFont="1" applyFill="1" applyBorder="1" applyAlignment="1" applyProtection="1">
      <alignment horizontal="center" vertical="center" wrapText="1"/>
      <protection locked="0"/>
    </xf>
    <xf numFmtId="0" fontId="112" fillId="0" borderId="1" xfId="0" applyFont="1" applyBorder="1" applyAlignment="1">
      <alignment horizontal="center" vertical="center"/>
    </xf>
    <xf numFmtId="58" fontId="68" fillId="0" borderId="1" xfId="0" applyNumberFormat="1" applyFont="1" applyBorder="1">
      <alignment vertical="center"/>
    </xf>
    <xf numFmtId="179" fontId="91" fillId="0" borderId="8" xfId="0" applyNumberFormat="1" applyFont="1" applyFill="1" applyBorder="1" applyAlignment="1" applyProtection="1">
      <alignment horizontal="center" vertical="center" shrinkToFit="1"/>
    </xf>
    <xf numFmtId="180" fontId="92" fillId="0" borderId="8" xfId="0" applyNumberFormat="1" applyFont="1" applyFill="1" applyBorder="1" applyAlignment="1" applyProtection="1">
      <alignment horizontal="center" vertical="center" wrapText="1"/>
      <protection locked="0"/>
    </xf>
    <xf numFmtId="0" fontId="93" fillId="0" borderId="8" xfId="0" applyNumberFormat="1" applyFont="1" applyFill="1" applyBorder="1" applyAlignment="1" applyProtection="1">
      <alignment horizontal="center" vertical="center"/>
      <protection locked="0"/>
    </xf>
    <xf numFmtId="0" fontId="92" fillId="0" borderId="8" xfId="0" applyNumberFormat="1" applyFont="1" applyFill="1" applyBorder="1" applyAlignment="1" applyProtection="1">
      <alignment horizontal="center" vertical="center" wrapText="1"/>
      <protection locked="0"/>
    </xf>
    <xf numFmtId="0" fontId="94" fillId="0" borderId="8" xfId="0" applyFont="1" applyFill="1" applyBorder="1" applyAlignment="1" applyProtection="1">
      <alignment horizontal="center" vertical="center" wrapText="1"/>
      <protection locked="0"/>
    </xf>
    <xf numFmtId="0" fontId="67" fillId="0" borderId="8" xfId="0" applyFont="1" applyFill="1" applyBorder="1" applyAlignment="1" applyProtection="1">
      <alignment vertical="center" wrapText="1"/>
      <protection locked="0"/>
    </xf>
    <xf numFmtId="0" fontId="95" fillId="0" borderId="8" xfId="0" applyFont="1" applyFill="1" applyBorder="1" applyAlignment="1" applyProtection="1">
      <alignment horizontal="center" vertical="center" wrapText="1"/>
      <protection locked="0"/>
    </xf>
    <xf numFmtId="0" fontId="92" fillId="0" borderId="8" xfId="0" applyFont="1" applyFill="1" applyBorder="1" applyAlignment="1" applyProtection="1">
      <alignment horizontal="center" vertical="center" wrapText="1"/>
      <protection locked="0"/>
    </xf>
    <xf numFmtId="0" fontId="92" fillId="0" borderId="8" xfId="0" applyFont="1" applyFill="1" applyBorder="1" applyAlignment="1" applyProtection="1">
      <alignment horizontal="center" vertical="center" wrapText="1" shrinkToFit="1"/>
      <protection locked="0"/>
    </xf>
    <xf numFmtId="0" fontId="68" fillId="0" borderId="8" xfId="0" applyFont="1" applyFill="1" applyBorder="1" applyAlignment="1">
      <alignment horizontal="center" vertical="center"/>
    </xf>
    <xf numFmtId="179" fontId="95" fillId="0" borderId="8" xfId="0" applyNumberFormat="1" applyFont="1" applyFill="1" applyBorder="1" applyAlignment="1" applyProtection="1">
      <alignment horizontal="center" vertical="center" wrapText="1" shrinkToFit="1"/>
      <protection locked="0"/>
    </xf>
    <xf numFmtId="180" fontId="103" fillId="0" borderId="8" xfId="0" applyNumberFormat="1" applyFont="1" applyFill="1" applyBorder="1" applyAlignment="1" applyProtection="1">
      <alignment horizontal="center" vertical="center" wrapText="1"/>
      <protection locked="0"/>
    </xf>
    <xf numFmtId="180" fontId="95" fillId="0" borderId="8" xfId="0" applyNumberFormat="1" applyFont="1" applyFill="1" applyBorder="1" applyAlignment="1" applyProtection="1">
      <alignment horizontal="center" vertical="center" wrapText="1"/>
      <protection locked="0"/>
    </xf>
    <xf numFmtId="58" fontId="99" fillId="2" borderId="8" xfId="0" applyNumberFormat="1" applyFont="1" applyFill="1" applyBorder="1" applyAlignment="1" applyProtection="1">
      <alignment horizontal="center" vertical="center" wrapText="1"/>
      <protection locked="0"/>
    </xf>
    <xf numFmtId="0" fontId="108" fillId="0" borderId="8" xfId="0" applyFont="1" applyFill="1" applyBorder="1" applyAlignment="1">
      <alignment vertical="center" wrapText="1"/>
    </xf>
    <xf numFmtId="0" fontId="100" fillId="0" borderId="8" xfId="0" applyFont="1" applyFill="1" applyBorder="1" applyAlignment="1">
      <alignment vertical="center" wrapText="1"/>
    </xf>
    <xf numFmtId="0" fontId="93" fillId="0" borderId="8" xfId="0" applyFont="1" applyFill="1" applyBorder="1" applyAlignment="1" applyProtection="1">
      <alignment horizontal="center" vertical="center"/>
      <protection locked="0"/>
    </xf>
    <xf numFmtId="183" fontId="92" fillId="0" borderId="8" xfId="0" applyNumberFormat="1" applyFont="1" applyFill="1" applyBorder="1" applyAlignment="1" applyProtection="1">
      <alignment horizontal="center" vertical="center" wrapText="1" shrinkToFit="1"/>
      <protection locked="0"/>
    </xf>
    <xf numFmtId="181" fontId="92" fillId="0" borderId="8" xfId="0" applyNumberFormat="1" applyFont="1" applyFill="1" applyBorder="1" applyAlignment="1" applyProtection="1">
      <alignment horizontal="center" vertical="center"/>
      <protection locked="0"/>
    </xf>
    <xf numFmtId="0" fontId="67" fillId="0" borderId="8" xfId="0" applyFont="1" applyFill="1" applyBorder="1" applyAlignment="1" applyProtection="1">
      <alignment horizontal="center" vertical="center"/>
      <protection locked="0"/>
    </xf>
    <xf numFmtId="0" fontId="93" fillId="0" borderId="8" xfId="0" applyNumberFormat="1" applyFont="1" applyFill="1" applyBorder="1" applyAlignment="1" applyProtection="1">
      <alignment horizontal="center" vertical="center" wrapText="1"/>
      <protection locked="0"/>
    </xf>
    <xf numFmtId="0" fontId="95" fillId="0" borderId="8" xfId="0" applyNumberFormat="1" applyFont="1" applyFill="1" applyBorder="1" applyAlignment="1" applyProtection="1">
      <alignment horizontal="center" vertical="center" wrapText="1" shrinkToFit="1"/>
      <protection locked="0"/>
    </xf>
    <xf numFmtId="0" fontId="94" fillId="0" borderId="8" xfId="0" applyNumberFormat="1" applyFont="1" applyFill="1" applyBorder="1" applyAlignment="1" applyProtection="1">
      <alignment horizontal="center" vertical="center"/>
      <protection locked="0"/>
    </xf>
    <xf numFmtId="180" fontId="97" fillId="0" borderId="8" xfId="0" applyNumberFormat="1" applyFont="1" applyFill="1" applyBorder="1" applyAlignment="1" applyProtection="1">
      <alignment horizontal="center" vertical="center" wrapText="1"/>
      <protection locked="0"/>
    </xf>
    <xf numFmtId="0" fontId="68" fillId="0" borderId="8" xfId="0" applyFont="1" applyBorder="1">
      <alignment vertical="center"/>
    </xf>
    <xf numFmtId="0" fontId="92" fillId="0" borderId="8" xfId="0" applyNumberFormat="1" applyFont="1" applyFill="1" applyBorder="1" applyAlignment="1" applyProtection="1">
      <alignment horizontal="center" vertical="center"/>
      <protection locked="0"/>
    </xf>
    <xf numFmtId="0" fontId="68" fillId="0" borderId="6" xfId="0" applyFont="1" applyBorder="1">
      <alignment vertical="center"/>
    </xf>
    <xf numFmtId="0" fontId="67" fillId="0" borderId="8" xfId="0" applyFont="1" applyFill="1" applyBorder="1" applyAlignment="1" applyProtection="1">
      <alignment horizontal="center" vertical="center" wrapText="1"/>
      <protection locked="0"/>
    </xf>
    <xf numFmtId="49" fontId="92" fillId="0" borderId="8" xfId="0" applyNumberFormat="1" applyFont="1" applyFill="1" applyBorder="1" applyAlignment="1" applyProtection="1">
      <alignment horizontal="center" vertical="center" wrapText="1"/>
      <protection locked="0"/>
    </xf>
    <xf numFmtId="0" fontId="68" fillId="0" borderId="8" xfId="0" applyFont="1" applyFill="1" applyBorder="1" applyAlignment="1" applyProtection="1">
      <alignment horizontal="center" vertical="center"/>
      <protection locked="0"/>
    </xf>
    <xf numFmtId="58" fontId="103" fillId="2" borderId="8" xfId="0" applyNumberFormat="1" applyFont="1" applyFill="1" applyBorder="1" applyAlignment="1" applyProtection="1">
      <alignment horizontal="center" vertical="center" wrapText="1"/>
      <protection locked="0"/>
    </xf>
    <xf numFmtId="0" fontId="96" fillId="0" borderId="8" xfId="0" applyFont="1" applyFill="1" applyBorder="1" applyAlignment="1" applyProtection="1">
      <alignment horizontal="center" vertical="center" wrapText="1"/>
      <protection locked="0"/>
    </xf>
    <xf numFmtId="180" fontId="106" fillId="0" borderId="8" xfId="0" applyNumberFormat="1" applyFont="1" applyFill="1" applyBorder="1" applyAlignment="1" applyProtection="1">
      <alignment horizontal="center" vertical="center" wrapText="1"/>
      <protection locked="0"/>
    </xf>
    <xf numFmtId="0" fontId="100" fillId="0" borderId="8" xfId="0" applyFont="1" applyFill="1" applyBorder="1" applyAlignment="1" applyProtection="1">
      <alignment vertical="center" wrapText="1"/>
      <protection locked="0"/>
    </xf>
    <xf numFmtId="0" fontId="0" fillId="0" borderId="8" xfId="0" applyBorder="1">
      <alignment vertical="center"/>
    </xf>
    <xf numFmtId="0" fontId="96" fillId="0" borderId="8" xfId="0" applyFont="1" applyFill="1" applyBorder="1" applyAlignment="1" applyProtection="1">
      <alignment vertical="center" wrapText="1"/>
      <protection locked="0"/>
    </xf>
    <xf numFmtId="0" fontId="92" fillId="2" borderId="8" xfId="0" applyNumberFormat="1" applyFont="1" applyFill="1" applyBorder="1" applyAlignment="1" applyProtection="1">
      <alignment horizontal="center" vertical="center" wrapText="1"/>
      <protection locked="0"/>
    </xf>
    <xf numFmtId="179" fontId="95" fillId="2" borderId="8" xfId="0" applyNumberFormat="1" applyFont="1" applyFill="1" applyBorder="1" applyAlignment="1" applyProtection="1">
      <alignment horizontal="center" vertical="center" wrapText="1" shrinkToFit="1"/>
      <protection locked="0"/>
    </xf>
    <xf numFmtId="49" fontId="92" fillId="2" borderId="8" xfId="0" applyNumberFormat="1" applyFont="1" applyFill="1" applyBorder="1" applyAlignment="1" applyProtection="1">
      <alignment horizontal="center" vertical="center" wrapText="1"/>
      <protection locked="0"/>
    </xf>
    <xf numFmtId="58" fontId="96" fillId="0" borderId="8" xfId="0" applyNumberFormat="1" applyFont="1" applyFill="1" applyBorder="1" applyAlignment="1" applyProtection="1">
      <alignment vertical="center" wrapText="1"/>
      <protection locked="0"/>
    </xf>
    <xf numFmtId="0" fontId="92" fillId="2" borderId="6" xfId="0" applyNumberFormat="1" applyFont="1" applyFill="1" applyBorder="1" applyAlignment="1" applyProtection="1">
      <alignment horizontal="center" vertical="center" wrapText="1"/>
      <protection locked="0"/>
    </xf>
    <xf numFmtId="0" fontId="67" fillId="2" borderId="6" xfId="0" applyFont="1" applyFill="1" applyBorder="1" applyAlignment="1" applyProtection="1">
      <alignment horizontal="center" vertical="center" wrapText="1"/>
      <protection locked="0"/>
    </xf>
    <xf numFmtId="0" fontId="92" fillId="0" borderId="6" xfId="0" applyNumberFormat="1"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183" fontId="92" fillId="2" borderId="1" xfId="0" applyNumberFormat="1" applyFont="1" applyFill="1" applyBorder="1" applyAlignment="1" applyProtection="1">
      <alignment horizontal="center" vertical="center" wrapText="1" shrinkToFit="1"/>
      <protection locked="0"/>
    </xf>
    <xf numFmtId="0" fontId="92" fillId="0" borderId="7" xfId="0" applyNumberFormat="1" applyFont="1" applyFill="1" applyBorder="1" applyAlignment="1" applyProtection="1">
      <alignment horizontal="center" vertical="center" wrapText="1"/>
      <protection locked="0"/>
    </xf>
    <xf numFmtId="0" fontId="67" fillId="0" borderId="7" xfId="0" applyFont="1" applyFill="1" applyBorder="1" applyAlignment="1" applyProtection="1">
      <alignment horizontal="center" vertical="center" wrapText="1"/>
      <protection locked="0"/>
    </xf>
    <xf numFmtId="0" fontId="100" fillId="0" borderId="0" xfId="0" applyFont="1" applyFill="1" applyBorder="1" applyAlignment="1" applyProtection="1">
      <alignment vertical="center" wrapText="1"/>
      <protection locked="0"/>
    </xf>
    <xf numFmtId="0" fontId="100" fillId="0" borderId="6" xfId="0" applyFont="1" applyFill="1" applyBorder="1" applyAlignment="1" applyProtection="1">
      <alignment vertical="center" wrapText="1"/>
      <protection locked="0"/>
    </xf>
    <xf numFmtId="0" fontId="68" fillId="0" borderId="6" xfId="0" applyFont="1" applyFill="1" applyBorder="1" applyAlignment="1" applyProtection="1">
      <alignment horizontal="center" vertical="center"/>
      <protection locked="0"/>
    </xf>
    <xf numFmtId="0" fontId="68" fillId="0" borderId="4" xfId="0" applyFont="1" applyFill="1" applyBorder="1" applyAlignment="1" applyProtection="1">
      <alignment horizontal="center" vertical="center"/>
      <protection locked="0"/>
    </xf>
    <xf numFmtId="0" fontId="113" fillId="0" borderId="4" xfId="0" applyFont="1" applyFill="1" applyBorder="1" applyAlignment="1" applyProtection="1">
      <alignment vertical="center" wrapText="1"/>
      <protection locked="0"/>
    </xf>
    <xf numFmtId="58" fontId="96" fillId="0" borderId="4" xfId="0" applyNumberFormat="1" applyFont="1" applyFill="1" applyBorder="1" applyAlignment="1" applyProtection="1">
      <alignment vertical="center" wrapText="1"/>
      <protection locked="0"/>
    </xf>
    <xf numFmtId="0" fontId="100" fillId="0" borderId="4" xfId="0" applyFont="1" applyFill="1" applyBorder="1" applyAlignment="1" applyProtection="1">
      <alignment vertical="center" wrapText="1"/>
      <protection locked="0"/>
    </xf>
    <xf numFmtId="0" fontId="113" fillId="0" borderId="1" xfId="0" applyFont="1" applyFill="1" applyBorder="1" applyAlignment="1">
      <alignment vertical="center" wrapText="1"/>
    </xf>
    <xf numFmtId="0" fontId="96" fillId="0" borderId="0" xfId="0" applyFont="1" applyFill="1" applyBorder="1" applyAlignment="1" applyProtection="1">
      <alignment horizontal="center" vertical="center" wrapText="1"/>
      <protection locked="0"/>
    </xf>
    <xf numFmtId="0" fontId="113" fillId="0" borderId="8" xfId="0" applyFont="1" applyFill="1" applyBorder="1" applyAlignment="1">
      <alignment vertical="center" wrapText="1"/>
    </xf>
    <xf numFmtId="0" fontId="68" fillId="0" borderId="1" xfId="0" applyFont="1" applyFill="1" applyBorder="1">
      <alignment vertical="center"/>
    </xf>
    <xf numFmtId="0" fontId="68" fillId="0" borderId="6" xfId="0" applyFont="1" applyFill="1" applyBorder="1">
      <alignment vertical="center"/>
    </xf>
    <xf numFmtId="58" fontId="107" fillId="2" borderId="8" xfId="0" applyNumberFormat="1" applyFont="1" applyFill="1" applyBorder="1" applyAlignment="1" applyProtection="1">
      <alignment horizontal="center" vertical="center"/>
      <protection locked="0"/>
    </xf>
    <xf numFmtId="179" fontId="114" fillId="0" borderId="1" xfId="0" applyNumberFormat="1" applyFont="1" applyFill="1" applyBorder="1" applyAlignment="1" applyProtection="1">
      <alignment horizontal="center" vertical="center" wrapText="1" shrinkToFit="1"/>
      <protection locked="0"/>
    </xf>
    <xf numFmtId="0" fontId="68" fillId="0" borderId="8" xfId="0" applyFont="1" applyFill="1" applyBorder="1">
      <alignment vertical="center"/>
    </xf>
    <xf numFmtId="0" fontId="67" fillId="0" borderId="15" xfId="0" applyFont="1" applyFill="1" applyBorder="1" applyAlignment="1" applyProtection="1">
      <alignment horizontal="center" vertical="center" wrapText="1"/>
      <protection locked="0"/>
    </xf>
    <xf numFmtId="0" fontId="67" fillId="2" borderId="8" xfId="0" applyFont="1" applyFill="1" applyBorder="1" applyAlignment="1" applyProtection="1">
      <alignment horizontal="center" vertical="center" wrapText="1"/>
      <protection locked="0"/>
    </xf>
    <xf numFmtId="0" fontId="93" fillId="0" borderId="16" xfId="0" applyNumberFormat="1" applyFont="1" applyFill="1" applyBorder="1" applyAlignment="1" applyProtection="1">
      <alignment horizontal="center" vertical="center"/>
      <protection locked="0"/>
    </xf>
    <xf numFmtId="0" fontId="67" fillId="2" borderId="4" xfId="0" applyFont="1" applyFill="1" applyBorder="1" applyAlignment="1" applyProtection="1">
      <alignment horizontal="center" vertical="center" wrapText="1"/>
      <protection locked="0"/>
    </xf>
    <xf numFmtId="0" fontId="68" fillId="0" borderId="0" xfId="0" applyFont="1" applyFill="1" applyBorder="1">
      <alignment vertical="center"/>
    </xf>
    <xf numFmtId="179" fontId="115" fillId="0" borderId="8" xfId="0" applyNumberFormat="1" applyFont="1" applyFill="1" applyBorder="1" applyAlignment="1" applyProtection="1">
      <alignment horizontal="center" vertical="center" shrinkToFit="1"/>
    </xf>
    <xf numFmtId="180" fontId="116" fillId="0" borderId="8" xfId="0" applyNumberFormat="1" applyFont="1" applyFill="1" applyBorder="1" applyAlignment="1" applyProtection="1">
      <alignment horizontal="center" vertical="center" wrapText="1"/>
      <protection locked="0"/>
    </xf>
    <xf numFmtId="0" fontId="30" fillId="0" borderId="8" xfId="0" applyNumberFormat="1" applyFont="1" applyFill="1" applyBorder="1" applyAlignment="1" applyProtection="1">
      <alignment horizontal="center" vertical="center"/>
      <protection locked="0"/>
    </xf>
    <xf numFmtId="49" fontId="116" fillId="0" borderId="8" xfId="0" applyNumberFormat="1" applyFont="1" applyFill="1" applyBorder="1" applyAlignment="1" applyProtection="1">
      <alignment horizontal="center" vertical="center" wrapText="1"/>
      <protection locked="0"/>
    </xf>
    <xf numFmtId="0" fontId="82" fillId="0" borderId="8" xfId="0" applyFont="1" applyFill="1" applyBorder="1" applyAlignment="1" applyProtection="1">
      <alignment horizontal="center" vertical="center" wrapText="1"/>
      <protection locked="0"/>
    </xf>
    <xf numFmtId="0" fontId="34" fillId="0" borderId="8" xfId="0" applyFont="1" applyFill="1" applyBorder="1" applyAlignment="1" applyProtection="1">
      <alignment vertical="center" wrapText="1"/>
      <protection locked="0"/>
    </xf>
    <xf numFmtId="0" fontId="117" fillId="0" borderId="8" xfId="0" applyFont="1" applyFill="1" applyBorder="1" applyAlignment="1" applyProtection="1">
      <alignment horizontal="center" vertical="center" wrapText="1"/>
      <protection locked="0"/>
    </xf>
    <xf numFmtId="0" fontId="116" fillId="0" borderId="8" xfId="0" applyFont="1" applyFill="1" applyBorder="1" applyAlignment="1" applyProtection="1">
      <alignment horizontal="center" vertical="center" wrapText="1"/>
      <protection locked="0"/>
    </xf>
    <xf numFmtId="0" fontId="116" fillId="0" borderId="8" xfId="0" applyFont="1" applyFill="1" applyBorder="1" applyAlignment="1" applyProtection="1">
      <alignment horizontal="center" vertical="center" wrapText="1" shrinkToFit="1"/>
      <protection locked="0"/>
    </xf>
    <xf numFmtId="0" fontId="60" fillId="0" borderId="8" xfId="0" applyFont="1" applyFill="1" applyBorder="1" applyAlignment="1">
      <alignment horizontal="center" vertical="center"/>
    </xf>
    <xf numFmtId="179" fontId="117" fillId="0" borderId="8" xfId="0" applyNumberFormat="1" applyFont="1" applyFill="1" applyBorder="1" applyAlignment="1" applyProtection="1">
      <alignment horizontal="center" vertical="center" wrapText="1" shrinkToFit="1"/>
      <protection locked="0"/>
    </xf>
    <xf numFmtId="180" fontId="23" fillId="0" borderId="8" xfId="0" applyNumberFormat="1" applyFont="1" applyFill="1" applyBorder="1" applyAlignment="1" applyProtection="1">
      <alignment horizontal="center" vertical="center" wrapText="1"/>
      <protection locked="0"/>
    </xf>
    <xf numFmtId="0" fontId="118" fillId="0" borderId="8" xfId="0" applyFont="1" applyFill="1" applyBorder="1" applyAlignment="1" applyProtection="1">
      <alignment vertical="center" wrapText="1"/>
      <protection locked="0"/>
    </xf>
    <xf numFmtId="0" fontId="119" fillId="0" borderId="6" xfId="0" applyFont="1" applyFill="1" applyBorder="1" applyAlignment="1" applyProtection="1">
      <alignment horizontal="center" vertical="center" wrapText="1"/>
      <protection locked="0"/>
    </xf>
    <xf numFmtId="180" fontId="117" fillId="0" borderId="8" xfId="0" applyNumberFormat="1" applyFont="1" applyFill="1" applyBorder="1" applyAlignment="1" applyProtection="1">
      <alignment horizontal="center" vertical="center" wrapText="1"/>
      <protection locked="0"/>
    </xf>
    <xf numFmtId="180" fontId="120" fillId="0" borderId="6" xfId="0" applyNumberFormat="1" applyFont="1" applyFill="1" applyBorder="1" applyAlignment="1" applyProtection="1">
      <alignment horizontal="center" vertical="center" wrapText="1"/>
      <protection locked="0"/>
    </xf>
    <xf numFmtId="180" fontId="121" fillId="0" borderId="1" xfId="0" applyNumberFormat="1" applyFont="1" applyFill="1" applyBorder="1" applyAlignment="1" applyProtection="1">
      <alignment horizontal="center" vertical="center" wrapText="1"/>
      <protection locked="0"/>
    </xf>
    <xf numFmtId="180" fontId="120" fillId="0" borderId="8" xfId="0" applyNumberFormat="1" applyFont="1" applyFill="1" applyBorder="1" applyAlignment="1" applyProtection="1">
      <alignment horizontal="center" vertical="center" wrapText="1"/>
      <protection locked="0"/>
    </xf>
    <xf numFmtId="0" fontId="116" fillId="0" borderId="8" xfId="0" applyNumberFormat="1" applyFont="1" applyFill="1" applyBorder="1" applyAlignment="1" applyProtection="1">
      <alignment horizontal="center" vertical="center" wrapText="1"/>
      <protection locked="0"/>
    </xf>
    <xf numFmtId="0" fontId="30" fillId="0" borderId="8" xfId="0" applyFont="1" applyFill="1" applyBorder="1" applyAlignment="1" applyProtection="1">
      <alignment horizontal="center" vertical="center"/>
      <protection locked="0"/>
    </xf>
    <xf numFmtId="183" fontId="116" fillId="0" borderId="8" xfId="0" applyNumberFormat="1" applyFont="1" applyFill="1" applyBorder="1" applyAlignment="1" applyProtection="1">
      <alignment horizontal="center" vertical="center" wrapText="1" shrinkToFit="1"/>
      <protection locked="0"/>
    </xf>
    <xf numFmtId="181" fontId="116" fillId="0" borderId="8" xfId="0" applyNumberFormat="1" applyFont="1" applyFill="1" applyBorder="1" applyAlignment="1" applyProtection="1">
      <alignment horizontal="center" vertical="center"/>
      <protection locked="0"/>
    </xf>
    <xf numFmtId="0" fontId="34" fillId="0" borderId="1" xfId="0" applyFont="1" applyFill="1" applyBorder="1" applyAlignment="1" applyProtection="1">
      <alignment horizontal="center" vertical="center" wrapText="1"/>
      <protection locked="0"/>
    </xf>
    <xf numFmtId="0" fontId="34" fillId="0" borderId="8" xfId="0" applyFont="1" applyFill="1" applyBorder="1" applyAlignment="1" applyProtection="1">
      <alignment horizontal="center" vertical="center"/>
      <protection locked="0"/>
    </xf>
    <xf numFmtId="0" fontId="30" fillId="0" borderId="8" xfId="0" applyNumberFormat="1" applyFont="1" applyFill="1" applyBorder="1" applyAlignment="1" applyProtection="1">
      <alignment horizontal="center" vertical="center" wrapText="1"/>
      <protection locked="0"/>
    </xf>
    <xf numFmtId="0" fontId="117" fillId="0" borderId="8" xfId="0" applyNumberFormat="1" applyFont="1" applyFill="1" applyBorder="1" applyAlignment="1" applyProtection="1">
      <alignment horizontal="center" vertical="center" wrapText="1" shrinkToFit="1"/>
      <protection locked="0"/>
    </xf>
    <xf numFmtId="0" fontId="82" fillId="0" borderId="8" xfId="0" applyNumberFormat="1" applyFont="1" applyFill="1" applyBorder="1" applyAlignment="1" applyProtection="1">
      <alignment horizontal="center" vertical="center"/>
      <protection locked="0"/>
    </xf>
    <xf numFmtId="0" fontId="116" fillId="0" borderId="8" xfId="0" applyNumberFormat="1" applyFont="1" applyFill="1" applyBorder="1" applyAlignment="1" applyProtection="1">
      <alignment horizontal="center" vertical="center"/>
      <protection locked="0"/>
    </xf>
    <xf numFmtId="0" fontId="34" fillId="0" borderId="6" xfId="0" applyFont="1" applyFill="1" applyBorder="1" applyAlignment="1" applyProtection="1">
      <alignment vertical="center"/>
      <protection locked="0"/>
    </xf>
    <xf numFmtId="0" fontId="34" fillId="0" borderId="16" xfId="0" applyFont="1" applyFill="1" applyBorder="1" applyAlignment="1" applyProtection="1">
      <alignment horizontal="center" vertical="center" wrapText="1"/>
      <protection locked="0"/>
    </xf>
    <xf numFmtId="0" fontId="34" fillId="0" borderId="17" xfId="0" applyFont="1" applyFill="1" applyBorder="1" applyAlignment="1" applyProtection="1">
      <alignment vertical="center"/>
      <protection locked="0"/>
    </xf>
    <xf numFmtId="179" fontId="115" fillId="0" borderId="1" xfId="0" applyNumberFormat="1" applyFont="1" applyFill="1" applyBorder="1" applyAlignment="1" applyProtection="1">
      <alignment horizontal="center" vertical="center" shrinkToFit="1"/>
    </xf>
    <xf numFmtId="180" fontId="116" fillId="0" borderId="1" xfId="0" applyNumberFormat="1" applyFont="1" applyFill="1" applyBorder="1" applyAlignment="1" applyProtection="1">
      <alignment horizontal="center" vertical="center" wrapText="1"/>
      <protection locked="0"/>
    </xf>
    <xf numFmtId="0" fontId="30" fillId="0" borderId="1" xfId="0" applyNumberFormat="1" applyFont="1" applyFill="1" applyBorder="1" applyAlignment="1" applyProtection="1">
      <alignment horizontal="center" vertical="center"/>
      <protection locked="0"/>
    </xf>
    <xf numFmtId="49" fontId="116" fillId="0" borderId="1" xfId="0" applyNumberFormat="1" applyFont="1" applyFill="1" applyBorder="1" applyAlignment="1" applyProtection="1">
      <alignment horizontal="center" vertical="center" wrapText="1"/>
      <protection locked="0"/>
    </xf>
    <xf numFmtId="0" fontId="82" fillId="0" borderId="1" xfId="0" applyFont="1" applyFill="1" applyBorder="1" applyAlignment="1" applyProtection="1">
      <alignment horizontal="center" vertical="center" wrapText="1"/>
      <protection locked="0"/>
    </xf>
    <xf numFmtId="0" fontId="34" fillId="0" borderId="1" xfId="0" applyFont="1" applyFill="1" applyBorder="1" applyAlignment="1" applyProtection="1">
      <alignment vertical="center" wrapText="1"/>
      <protection locked="0"/>
    </xf>
    <xf numFmtId="0" fontId="117" fillId="0" borderId="4" xfId="0" applyFont="1" applyFill="1" applyBorder="1" applyAlignment="1" applyProtection="1">
      <alignment horizontal="center" vertical="center" wrapText="1"/>
      <protection locked="0"/>
    </xf>
    <xf numFmtId="0" fontId="116" fillId="0" borderId="1" xfId="0" applyFont="1" applyFill="1" applyBorder="1" applyAlignment="1" applyProtection="1">
      <alignment horizontal="center" vertical="center" wrapText="1"/>
      <protection locked="0"/>
    </xf>
    <xf numFmtId="0" fontId="116" fillId="0" borderId="1" xfId="0" applyFont="1" applyFill="1" applyBorder="1" applyAlignment="1" applyProtection="1">
      <alignment horizontal="center" vertical="center" wrapText="1" shrinkToFit="1"/>
      <protection locked="0"/>
    </xf>
    <xf numFmtId="0" fontId="60" fillId="0" borderId="1" xfId="0" applyFont="1" applyFill="1" applyBorder="1" applyAlignment="1">
      <alignment horizontal="center" vertical="center"/>
    </xf>
    <xf numFmtId="179" fontId="117" fillId="0" borderId="1" xfId="0" applyNumberFormat="1" applyFont="1" applyFill="1" applyBorder="1" applyAlignment="1" applyProtection="1">
      <alignment horizontal="center" vertical="center" wrapText="1" shrinkToFit="1"/>
      <protection locked="0"/>
    </xf>
    <xf numFmtId="180" fontId="87" fillId="0" borderId="1" xfId="0" applyNumberFormat="1" applyFont="1" applyFill="1" applyBorder="1" applyAlignment="1" applyProtection="1">
      <alignment horizontal="center" vertical="center" wrapText="1"/>
      <protection locked="0"/>
    </xf>
    <xf numFmtId="0" fontId="118" fillId="0" borderId="1" xfId="0" applyFont="1" applyFill="1" applyBorder="1" applyAlignment="1" applyProtection="1">
      <alignment vertical="center" wrapText="1"/>
      <protection locked="0"/>
    </xf>
    <xf numFmtId="0" fontId="119" fillId="0" borderId="1" xfId="0" applyFont="1" applyFill="1" applyBorder="1" applyAlignment="1" applyProtection="1">
      <alignment horizontal="center" vertical="center" wrapText="1"/>
      <protection locked="0"/>
    </xf>
    <xf numFmtId="180" fontId="117" fillId="0" borderId="1" xfId="0" applyNumberFormat="1" applyFont="1" applyFill="1" applyBorder="1" applyAlignment="1" applyProtection="1">
      <alignment horizontal="center" vertical="center" wrapText="1"/>
      <protection locked="0"/>
    </xf>
    <xf numFmtId="180" fontId="120" fillId="0" borderId="4" xfId="0" applyNumberFormat="1" applyFont="1" applyFill="1" applyBorder="1" applyAlignment="1" applyProtection="1">
      <alignment horizontal="center" vertical="center" wrapText="1"/>
      <protection locked="0"/>
    </xf>
    <xf numFmtId="180" fontId="120" fillId="0" borderId="1" xfId="0" applyNumberFormat="1" applyFont="1" applyFill="1" applyBorder="1" applyAlignment="1" applyProtection="1">
      <alignment horizontal="center" vertical="center" wrapText="1"/>
      <protection locked="0"/>
    </xf>
    <xf numFmtId="0" fontId="116" fillId="0" borderId="1" xfId="0" applyNumberFormat="1" applyFont="1" applyFill="1" applyBorder="1" applyAlignment="1" applyProtection="1">
      <alignment horizontal="center" vertical="center" wrapText="1"/>
      <protection locked="0"/>
    </xf>
    <xf numFmtId="0" fontId="30" fillId="0" borderId="1" xfId="0" applyFont="1" applyFill="1" applyBorder="1" applyAlignment="1" applyProtection="1">
      <alignment horizontal="center" vertical="center"/>
      <protection locked="0"/>
    </xf>
    <xf numFmtId="183" fontId="116" fillId="0" borderId="1" xfId="0" applyNumberFormat="1" applyFont="1" applyFill="1" applyBorder="1" applyAlignment="1" applyProtection="1">
      <alignment horizontal="center" vertical="center" wrapText="1" shrinkToFit="1"/>
      <protection locked="0"/>
    </xf>
    <xf numFmtId="181" fontId="116" fillId="0" borderId="1" xfId="0" applyNumberFormat="1" applyFont="1" applyFill="1" applyBorder="1" applyAlignment="1" applyProtection="1">
      <alignment horizontal="center" vertical="center"/>
      <protection locked="0"/>
    </xf>
    <xf numFmtId="0" fontId="34" fillId="0" borderId="1" xfId="0" applyFont="1" applyFill="1" applyBorder="1" applyAlignment="1" applyProtection="1">
      <alignment horizontal="center" vertical="center"/>
      <protection locked="0"/>
    </xf>
    <xf numFmtId="0" fontId="30" fillId="0" borderId="1" xfId="0" applyNumberFormat="1" applyFont="1" applyFill="1" applyBorder="1" applyAlignment="1" applyProtection="1">
      <alignment horizontal="center" vertical="center" wrapText="1"/>
      <protection locked="0"/>
    </xf>
    <xf numFmtId="0" fontId="117" fillId="0" borderId="1" xfId="0" applyNumberFormat="1" applyFont="1" applyFill="1" applyBorder="1" applyAlignment="1" applyProtection="1">
      <alignment horizontal="center" vertical="center" wrapText="1" shrinkToFit="1"/>
      <protection locked="0"/>
    </xf>
    <xf numFmtId="0" fontId="82" fillId="0" borderId="1" xfId="0" applyNumberFormat="1" applyFont="1" applyFill="1" applyBorder="1" applyAlignment="1" applyProtection="1">
      <alignment horizontal="center" vertical="center"/>
      <protection locked="0"/>
    </xf>
    <xf numFmtId="0" fontId="116" fillId="0" borderId="1" xfId="0" applyNumberFormat="1" applyFont="1" applyFill="1" applyBorder="1" applyAlignment="1" applyProtection="1">
      <alignment horizontal="center" vertical="center"/>
      <protection locked="0"/>
    </xf>
    <xf numFmtId="0" fontId="30" fillId="0" borderId="2" xfId="0" applyNumberFormat="1" applyFont="1" applyFill="1" applyBorder="1" applyAlignment="1" applyProtection="1">
      <alignment horizontal="center" vertical="center"/>
      <protection locked="0"/>
    </xf>
    <xf numFmtId="0" fontId="34" fillId="0" borderId="3" xfId="0" applyFont="1" applyFill="1" applyBorder="1" applyAlignment="1" applyProtection="1">
      <alignment horizontal="center" vertical="center" wrapText="1"/>
      <protection locked="0"/>
    </xf>
    <xf numFmtId="0" fontId="117" fillId="0" borderId="1" xfId="0" applyFont="1" applyFill="1" applyBorder="1" applyAlignment="1" applyProtection="1">
      <alignment horizontal="center" vertical="center" wrapText="1"/>
      <protection locked="0"/>
    </xf>
    <xf numFmtId="0" fontId="60" fillId="0" borderId="1" xfId="0" applyFont="1" applyFill="1" applyBorder="1" applyAlignment="1" applyProtection="1">
      <alignment horizontal="center" vertical="center"/>
      <protection locked="0"/>
    </xf>
    <xf numFmtId="0" fontId="122" fillId="0" borderId="1" xfId="0" applyFont="1" applyFill="1" applyBorder="1" applyAlignment="1">
      <alignment horizontal="center" vertical="center"/>
    </xf>
    <xf numFmtId="0" fontId="123" fillId="0" borderId="1" xfId="0" applyFont="1" applyFill="1" applyBorder="1" applyAlignment="1">
      <alignment vertical="center" wrapText="1"/>
    </xf>
    <xf numFmtId="0" fontId="124" fillId="0" borderId="1" xfId="0" applyNumberFormat="1"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protection locked="0"/>
    </xf>
    <xf numFmtId="0" fontId="34" fillId="0" borderId="3" xfId="0" applyFont="1" applyFill="1" applyBorder="1" applyAlignment="1" applyProtection="1">
      <alignment horizontal="center" vertical="center"/>
      <protection locked="0"/>
    </xf>
    <xf numFmtId="179" fontId="115" fillId="0" borderId="6" xfId="0" applyNumberFormat="1" applyFont="1" applyFill="1" applyBorder="1" applyAlignment="1" applyProtection="1">
      <alignment horizontal="center" vertical="center" shrinkToFit="1"/>
    </xf>
    <xf numFmtId="180" fontId="116" fillId="0" borderId="6" xfId="0" applyNumberFormat="1" applyFont="1" applyFill="1" applyBorder="1" applyAlignment="1" applyProtection="1">
      <alignment horizontal="center" vertical="center" wrapText="1"/>
      <protection locked="0"/>
    </xf>
    <xf numFmtId="0" fontId="30" fillId="0" borderId="6" xfId="0" applyNumberFormat="1" applyFont="1" applyFill="1" applyBorder="1" applyAlignment="1" applyProtection="1">
      <alignment horizontal="center" vertical="center"/>
      <protection locked="0"/>
    </xf>
    <xf numFmtId="49" fontId="124" fillId="2" borderId="6" xfId="0" applyNumberFormat="1" applyFont="1" applyFill="1" applyBorder="1" applyAlignment="1" applyProtection="1">
      <alignment horizontal="center" vertical="center" wrapText="1"/>
      <protection locked="0"/>
    </xf>
    <xf numFmtId="0" fontId="82" fillId="0" borderId="6" xfId="0" applyFont="1" applyFill="1" applyBorder="1" applyAlignment="1" applyProtection="1">
      <alignment horizontal="center" vertical="center" wrapText="1"/>
      <protection locked="0"/>
    </xf>
    <xf numFmtId="0" fontId="34" fillId="0" borderId="6" xfId="0" applyFont="1" applyFill="1" applyBorder="1" applyAlignment="1" applyProtection="1">
      <alignment vertical="center" wrapText="1"/>
      <protection locked="0"/>
    </xf>
    <xf numFmtId="0" fontId="117" fillId="0" borderId="5" xfId="0" applyFont="1" applyFill="1" applyBorder="1" applyAlignment="1" applyProtection="1">
      <alignment horizontal="center" vertical="center" wrapText="1"/>
      <protection locked="0"/>
    </xf>
    <xf numFmtId="0" fontId="116" fillId="0" borderId="6" xfId="0" applyFont="1" applyFill="1" applyBorder="1" applyAlignment="1" applyProtection="1">
      <alignment horizontal="center" vertical="center" wrapText="1"/>
      <protection locked="0"/>
    </xf>
    <xf numFmtId="0" fontId="116" fillId="0" borderId="6" xfId="0" applyFont="1" applyFill="1" applyBorder="1" applyAlignment="1" applyProtection="1">
      <alignment horizontal="center" vertical="center" wrapText="1" shrinkToFit="1"/>
      <protection locked="0"/>
    </xf>
    <xf numFmtId="0" fontId="60" fillId="0" borderId="6" xfId="0" applyFont="1" applyFill="1" applyBorder="1" applyAlignment="1" applyProtection="1">
      <alignment horizontal="center" vertical="center"/>
      <protection locked="0"/>
    </xf>
    <xf numFmtId="179" fontId="117" fillId="0" borderId="6" xfId="0" applyNumberFormat="1" applyFont="1" applyFill="1" applyBorder="1" applyAlignment="1" applyProtection="1">
      <alignment horizontal="center" vertical="center" wrapText="1" shrinkToFit="1"/>
      <protection locked="0"/>
    </xf>
    <xf numFmtId="180" fontId="87" fillId="0" borderId="6" xfId="0" applyNumberFormat="1" applyFont="1" applyFill="1" applyBorder="1" applyAlignment="1" applyProtection="1">
      <alignment horizontal="center" vertical="center" wrapText="1"/>
      <protection locked="0"/>
    </xf>
    <xf numFmtId="180" fontId="122" fillId="0" borderId="6" xfId="0" applyNumberFormat="1" applyFont="1" applyFill="1" applyBorder="1" applyAlignment="1" applyProtection="1">
      <alignment horizontal="center" vertical="center" wrapText="1"/>
      <protection locked="0"/>
    </xf>
    <xf numFmtId="0" fontId="123" fillId="0" borderId="0" xfId="0" applyFont="1" applyFill="1" applyBorder="1" applyAlignment="1">
      <alignment vertical="center" wrapText="1"/>
    </xf>
    <xf numFmtId="0" fontId="124" fillId="2" borderId="6" xfId="0" applyNumberFormat="1" applyFont="1" applyFill="1" applyBorder="1" applyAlignment="1" applyProtection="1">
      <alignment horizontal="center" vertical="center" wrapText="1"/>
      <protection locked="0"/>
    </xf>
    <xf numFmtId="0" fontId="30" fillId="0" borderId="6" xfId="0" applyFont="1" applyFill="1" applyBorder="1" applyAlignment="1" applyProtection="1">
      <alignment horizontal="center" vertical="center"/>
      <protection locked="0"/>
    </xf>
    <xf numFmtId="183" fontId="116" fillId="0" borderId="6" xfId="0" applyNumberFormat="1" applyFont="1" applyFill="1" applyBorder="1" applyAlignment="1" applyProtection="1">
      <alignment horizontal="center" vertical="center" wrapText="1" shrinkToFit="1"/>
      <protection locked="0"/>
    </xf>
    <xf numFmtId="181" fontId="116" fillId="0" borderId="6" xfId="0" applyNumberFormat="1" applyFont="1" applyFill="1" applyBorder="1" applyAlignment="1" applyProtection="1">
      <alignment horizontal="center" vertical="center"/>
      <protection locked="0"/>
    </xf>
    <xf numFmtId="0" fontId="34" fillId="0" borderId="8" xfId="0" applyFont="1" applyFill="1" applyBorder="1" applyAlignment="1" applyProtection="1">
      <alignment horizontal="center" vertical="center" wrapText="1"/>
      <protection locked="0"/>
    </xf>
    <xf numFmtId="0" fontId="69" fillId="2" borderId="6" xfId="0" applyFont="1" applyFill="1" applyBorder="1" applyAlignment="1" applyProtection="1">
      <alignment horizontal="center" vertical="center"/>
      <protection locked="0"/>
    </xf>
    <xf numFmtId="0" fontId="30" fillId="0" borderId="6" xfId="0" applyNumberFormat="1" applyFont="1" applyFill="1" applyBorder="1" applyAlignment="1" applyProtection="1">
      <alignment horizontal="center" vertical="center" wrapText="1"/>
      <protection locked="0"/>
    </xf>
    <xf numFmtId="0" fontId="117" fillId="0" borderId="6" xfId="0" applyNumberFormat="1" applyFont="1" applyFill="1" applyBorder="1" applyAlignment="1" applyProtection="1">
      <alignment horizontal="center" vertical="center" wrapText="1" shrinkToFit="1"/>
      <protection locked="0"/>
    </xf>
    <xf numFmtId="0" fontId="82" fillId="0" borderId="6" xfId="0" applyNumberFormat="1" applyFont="1" applyFill="1" applyBorder="1" applyAlignment="1" applyProtection="1">
      <alignment horizontal="center" vertical="center"/>
      <protection locked="0"/>
    </xf>
    <xf numFmtId="0" fontId="116" fillId="0" borderId="4" xfId="0" applyNumberFormat="1" applyFont="1" applyFill="1" applyBorder="1" applyAlignment="1" applyProtection="1">
      <alignment horizontal="center" vertical="center" wrapText="1"/>
      <protection locked="0"/>
    </xf>
    <xf numFmtId="0" fontId="30" fillId="0" borderId="4" xfId="0" applyNumberFormat="1" applyFont="1" applyFill="1" applyBorder="1" applyAlignment="1" applyProtection="1">
      <alignment horizontal="center" vertical="center"/>
      <protection locked="0"/>
    </xf>
    <xf numFmtId="0" fontId="30" fillId="0" borderId="10" xfId="0" applyNumberFormat="1" applyFont="1" applyFill="1" applyBorder="1" applyAlignment="1" applyProtection="1">
      <alignment horizontal="center" vertical="center"/>
      <protection locked="0"/>
    </xf>
    <xf numFmtId="0" fontId="34" fillId="0" borderId="11" xfId="0" applyFont="1" applyFill="1" applyBorder="1" applyAlignment="1" applyProtection="1">
      <alignment horizontal="center" vertical="center" wrapText="1"/>
      <protection locked="0"/>
    </xf>
    <xf numFmtId="0" fontId="34" fillId="0" borderId="4" xfId="0" applyFont="1" applyFill="1" applyBorder="1" applyAlignment="1" applyProtection="1">
      <alignment horizontal="center" vertical="center"/>
      <protection locked="0"/>
    </xf>
    <xf numFmtId="179" fontId="117" fillId="2" borderId="1" xfId="0" applyNumberFormat="1" applyFont="1" applyFill="1" applyBorder="1" applyAlignment="1" applyProtection="1">
      <alignment horizontal="center" vertical="center" wrapText="1" shrinkToFit="1"/>
      <protection locked="0"/>
    </xf>
    <xf numFmtId="0" fontId="34" fillId="2" borderId="1" xfId="0" applyFont="1" applyFill="1" applyBorder="1" applyAlignment="1" applyProtection="1">
      <alignment horizontal="center" vertical="center" wrapText="1"/>
      <protection locked="0"/>
    </xf>
    <xf numFmtId="179" fontId="125" fillId="0" borderId="8" xfId="0" applyNumberFormat="1" applyFont="1" applyFill="1" applyBorder="1" applyAlignment="1" applyProtection="1">
      <alignment horizontal="center" vertical="center" shrinkToFit="1"/>
    </xf>
    <xf numFmtId="180" fontId="124" fillId="0" borderId="8" xfId="0" applyNumberFormat="1" applyFont="1" applyFill="1" applyBorder="1" applyAlignment="1" applyProtection="1">
      <alignment horizontal="center" vertical="center" wrapText="1"/>
      <protection locked="0"/>
    </xf>
    <xf numFmtId="0" fontId="126" fillId="0" borderId="8" xfId="0" applyNumberFormat="1" applyFont="1" applyFill="1" applyBorder="1" applyAlignment="1" applyProtection="1">
      <alignment horizontal="center" vertical="center"/>
      <protection locked="0"/>
    </xf>
    <xf numFmtId="49" fontId="124" fillId="0" borderId="8" xfId="0" applyNumberFormat="1" applyFont="1" applyFill="1" applyBorder="1" applyAlignment="1" applyProtection="1">
      <alignment horizontal="center" vertical="center" wrapText="1"/>
      <protection locked="0"/>
    </xf>
    <xf numFmtId="0" fontId="127" fillId="0" borderId="8" xfId="0" applyFont="1" applyFill="1" applyBorder="1" applyAlignment="1" applyProtection="1">
      <alignment horizontal="center" vertical="center" wrapText="1"/>
      <protection locked="0"/>
    </xf>
    <xf numFmtId="0" fontId="69" fillId="0" borderId="8" xfId="0" applyFont="1" applyFill="1" applyBorder="1" applyAlignment="1" applyProtection="1">
      <alignment vertical="center" wrapText="1"/>
      <protection locked="0"/>
    </xf>
    <xf numFmtId="0" fontId="122" fillId="0" borderId="8" xfId="0" applyFont="1" applyFill="1" applyBorder="1" applyAlignment="1" applyProtection="1">
      <alignment horizontal="center" vertical="center" wrapText="1"/>
      <protection locked="0"/>
    </xf>
    <xf numFmtId="0" fontId="124" fillId="0" borderId="8" xfId="0" applyFont="1" applyFill="1" applyBorder="1" applyAlignment="1" applyProtection="1">
      <alignment horizontal="center" vertical="center" wrapText="1"/>
      <protection locked="0"/>
    </xf>
    <xf numFmtId="0" fontId="124" fillId="0" borderId="8" xfId="0" applyFont="1" applyFill="1" applyBorder="1" applyAlignment="1" applyProtection="1">
      <alignment horizontal="center" vertical="center" wrapText="1" shrinkToFit="1"/>
      <protection locked="0"/>
    </xf>
    <xf numFmtId="0" fontId="128" fillId="0" borderId="8" xfId="0" applyFont="1" applyFill="1" applyBorder="1" applyAlignment="1">
      <alignment horizontal="center" vertical="center"/>
    </xf>
    <xf numFmtId="179" fontId="122" fillId="0" borderId="8" xfId="0" applyNumberFormat="1" applyFont="1" applyFill="1" applyBorder="1" applyAlignment="1" applyProtection="1">
      <alignment horizontal="center" vertical="center" wrapText="1" shrinkToFit="1"/>
      <protection locked="0"/>
    </xf>
    <xf numFmtId="180" fontId="129" fillId="0" borderId="8" xfId="0" applyNumberFormat="1" applyFont="1" applyFill="1" applyBorder="1" applyAlignment="1" applyProtection="1">
      <alignment horizontal="center" vertical="center" wrapText="1"/>
      <protection locked="0"/>
    </xf>
    <xf numFmtId="0" fontId="119" fillId="0" borderId="8" xfId="0" applyFont="1" applyFill="1" applyBorder="1" applyAlignment="1" applyProtection="1">
      <alignment vertical="center" wrapText="1"/>
      <protection locked="0"/>
    </xf>
    <xf numFmtId="0" fontId="119" fillId="0" borderId="8" xfId="0" applyFont="1" applyFill="1" applyBorder="1" applyAlignment="1" applyProtection="1">
      <alignment horizontal="center" vertical="center" wrapText="1"/>
      <protection locked="0"/>
    </xf>
    <xf numFmtId="180" fontId="122" fillId="0" borderId="8" xfId="0" applyNumberFormat="1" applyFont="1" applyFill="1" applyBorder="1" applyAlignment="1" applyProtection="1">
      <alignment horizontal="center" vertical="center" wrapText="1"/>
      <protection locked="0"/>
    </xf>
    <xf numFmtId="180" fontId="121" fillId="0" borderId="8" xfId="0" applyNumberFormat="1" applyFont="1" applyFill="1" applyBorder="1" applyAlignment="1" applyProtection="1">
      <alignment horizontal="center" vertical="center" wrapText="1"/>
      <protection locked="0"/>
    </xf>
    <xf numFmtId="0" fontId="124" fillId="0" borderId="8" xfId="0" applyNumberFormat="1" applyFont="1" applyFill="1" applyBorder="1" applyAlignment="1" applyProtection="1">
      <alignment horizontal="center" vertical="center" wrapText="1"/>
      <protection locked="0"/>
    </xf>
    <xf numFmtId="0" fontId="126" fillId="0" borderId="8" xfId="0" applyFont="1" applyFill="1" applyBorder="1" applyAlignment="1" applyProtection="1">
      <alignment horizontal="center" vertical="center"/>
      <protection locked="0"/>
    </xf>
    <xf numFmtId="183" fontId="124" fillId="0" borderId="8" xfId="0" applyNumberFormat="1" applyFont="1" applyFill="1" applyBorder="1" applyAlignment="1" applyProtection="1">
      <alignment horizontal="center" vertical="center" wrapText="1" shrinkToFit="1"/>
      <protection locked="0"/>
    </xf>
    <xf numFmtId="181" fontId="124" fillId="0" borderId="8" xfId="0" applyNumberFormat="1" applyFont="1" applyFill="1" applyBorder="1" applyAlignment="1" applyProtection="1">
      <alignment horizontal="center" vertical="center"/>
      <protection locked="0"/>
    </xf>
    <xf numFmtId="0" fontId="69" fillId="0" borderId="8" xfId="0" applyFont="1" applyFill="1" applyBorder="1" applyAlignment="1" applyProtection="1">
      <alignment horizontal="center" vertical="center"/>
      <protection locked="0"/>
    </xf>
    <xf numFmtId="0" fontId="126" fillId="0" borderId="8" xfId="0" applyNumberFormat="1" applyFont="1" applyFill="1" applyBorder="1" applyAlignment="1" applyProtection="1">
      <alignment horizontal="center" vertical="center" wrapText="1"/>
      <protection locked="0"/>
    </xf>
    <xf numFmtId="0" fontId="122" fillId="0" borderId="8" xfId="0" applyNumberFormat="1" applyFont="1" applyFill="1" applyBorder="1" applyAlignment="1" applyProtection="1">
      <alignment horizontal="center" vertical="center" wrapText="1" shrinkToFit="1"/>
      <protection locked="0"/>
    </xf>
    <xf numFmtId="0" fontId="127" fillId="0" borderId="8" xfId="0" applyNumberFormat="1" applyFont="1" applyFill="1" applyBorder="1" applyAlignment="1" applyProtection="1">
      <alignment horizontal="center" vertical="center"/>
      <protection locked="0"/>
    </xf>
    <xf numFmtId="0" fontId="34" fillId="0" borderId="2" xfId="0" applyFont="1" applyFill="1" applyBorder="1" applyAlignment="1" applyProtection="1">
      <alignment horizontal="center" vertical="center" wrapText="1"/>
      <protection locked="0"/>
    </xf>
    <xf numFmtId="180" fontId="130" fillId="0" borderId="8" xfId="0" applyNumberFormat="1" applyFont="1" applyFill="1" applyBorder="1" applyAlignment="1" applyProtection="1">
      <alignment horizontal="center" vertical="center" wrapText="1"/>
      <protection locked="0"/>
    </xf>
    <xf numFmtId="0" fontId="128" fillId="0" borderId="8" xfId="0" applyFont="1" applyFill="1" applyBorder="1">
      <alignment vertical="center"/>
    </xf>
    <xf numFmtId="180" fontId="23" fillId="0" borderId="1" xfId="0" applyNumberFormat="1" applyFont="1" applyFill="1" applyBorder="1" applyAlignment="1" applyProtection="1">
      <alignment horizontal="center" vertical="center" wrapText="1"/>
      <protection locked="0"/>
    </xf>
    <xf numFmtId="180" fontId="121" fillId="0" borderId="4" xfId="0" applyNumberFormat="1" applyFont="1" applyFill="1" applyBorder="1" applyAlignment="1" applyProtection="1">
      <alignment horizontal="center" vertical="center" wrapText="1"/>
      <protection locked="0"/>
    </xf>
    <xf numFmtId="180" fontId="121" fillId="0" borderId="0" xfId="0" applyNumberFormat="1" applyFont="1" applyFill="1" applyBorder="1" applyAlignment="1" applyProtection="1">
      <alignment horizontal="center" vertical="center" wrapText="1"/>
      <protection locked="0"/>
    </xf>
    <xf numFmtId="0" fontId="124" fillId="2" borderId="1" xfId="0" applyNumberFormat="1" applyFont="1" applyFill="1" applyBorder="1" applyAlignment="1" applyProtection="1">
      <alignment horizontal="center" vertical="center" wrapText="1"/>
      <protection locked="0"/>
    </xf>
    <xf numFmtId="183" fontId="116" fillId="2" borderId="1" xfId="0" applyNumberFormat="1" applyFont="1" applyFill="1" applyBorder="1" applyAlignment="1" applyProtection="1">
      <alignment horizontal="center" vertical="center" wrapText="1" shrinkToFit="1"/>
      <protection locked="0"/>
    </xf>
    <xf numFmtId="0" fontId="34" fillId="2" borderId="6" xfId="0" applyFont="1" applyFill="1" applyBorder="1" applyAlignment="1" applyProtection="1">
      <alignment horizontal="center" vertical="center" wrapText="1"/>
      <protection locked="0"/>
    </xf>
    <xf numFmtId="0" fontId="116" fillId="0" borderId="4" xfId="0" applyNumberFormat="1" applyFont="1" applyFill="1" applyBorder="1" applyAlignment="1" applyProtection="1">
      <alignment horizontal="center" vertical="center"/>
      <protection locked="0"/>
    </xf>
    <xf numFmtId="0" fontId="34" fillId="0" borderId="4" xfId="0" applyFont="1" applyFill="1" applyBorder="1" applyAlignment="1" applyProtection="1">
      <alignment vertical="center"/>
      <protection locked="0"/>
    </xf>
    <xf numFmtId="0" fontId="34" fillId="2" borderId="1" xfId="0" applyFont="1" applyFill="1" applyBorder="1" applyAlignment="1" applyProtection="1">
      <alignment horizontal="center" vertical="center"/>
      <protection locked="0"/>
    </xf>
    <xf numFmtId="0" fontId="131" fillId="2" borderId="8" xfId="0" applyNumberFormat="1" applyFont="1" applyFill="1" applyBorder="1" applyAlignment="1" applyProtection="1">
      <alignment horizontal="center" vertical="center"/>
      <protection locked="0"/>
    </xf>
    <xf numFmtId="0" fontId="60" fillId="0" borderId="8" xfId="0" applyFont="1" applyFill="1" applyBorder="1" applyAlignment="1" applyProtection="1">
      <alignment horizontal="center" vertical="center"/>
      <protection locked="0"/>
    </xf>
    <xf numFmtId="180" fontId="87" fillId="0" borderId="8" xfId="0" applyNumberFormat="1" applyFont="1" applyFill="1" applyBorder="1" applyAlignment="1" applyProtection="1">
      <alignment horizontal="center" vertical="center" wrapText="1"/>
      <protection locked="0"/>
    </xf>
    <xf numFmtId="0" fontId="123" fillId="0" borderId="8" xfId="0" applyFont="1" applyFill="1" applyBorder="1" applyAlignment="1">
      <alignment vertical="center" wrapText="1"/>
    </xf>
    <xf numFmtId="0" fontId="69" fillId="0" borderId="8" xfId="0" applyFont="1" applyFill="1" applyBorder="1" applyAlignment="1" applyProtection="1">
      <alignment horizontal="center" vertical="center" wrapText="1"/>
      <protection locked="0"/>
    </xf>
    <xf numFmtId="179" fontId="125" fillId="0" borderId="1" xfId="0" applyNumberFormat="1" applyFont="1" applyFill="1" applyBorder="1" applyAlignment="1" applyProtection="1">
      <alignment horizontal="center" vertical="center" shrinkToFit="1"/>
    </xf>
    <xf numFmtId="180" fontId="124" fillId="0" borderId="1" xfId="0" applyNumberFormat="1" applyFont="1" applyFill="1" applyBorder="1" applyAlignment="1" applyProtection="1">
      <alignment horizontal="center" vertical="center" wrapText="1"/>
      <protection locked="0"/>
    </xf>
    <xf numFmtId="0" fontId="126" fillId="0" borderId="1" xfId="0" applyNumberFormat="1" applyFont="1" applyFill="1" applyBorder="1" applyAlignment="1" applyProtection="1">
      <alignment horizontal="center" vertical="center"/>
      <protection locked="0"/>
    </xf>
    <xf numFmtId="49" fontId="124" fillId="0" borderId="1" xfId="0" applyNumberFormat="1" applyFont="1" applyFill="1" applyBorder="1" applyAlignment="1" applyProtection="1">
      <alignment horizontal="center" vertical="center" wrapText="1"/>
      <protection locked="0"/>
    </xf>
    <xf numFmtId="0" fontId="127" fillId="0" borderId="1" xfId="0" applyFont="1" applyFill="1" applyBorder="1" applyAlignment="1" applyProtection="1">
      <alignment horizontal="center" vertical="center" wrapText="1"/>
      <protection locked="0"/>
    </xf>
    <xf numFmtId="0" fontId="69" fillId="0" borderId="1" xfId="0" applyFont="1" applyFill="1" applyBorder="1" applyAlignment="1" applyProtection="1">
      <alignment vertical="center" wrapText="1"/>
      <protection locked="0"/>
    </xf>
    <xf numFmtId="0" fontId="122" fillId="0" borderId="1" xfId="0" applyFont="1" applyFill="1" applyBorder="1" applyAlignment="1" applyProtection="1">
      <alignment horizontal="center" vertical="center" wrapText="1"/>
      <protection locked="0"/>
    </xf>
    <xf numFmtId="0" fontId="124" fillId="0" borderId="1" xfId="0" applyFont="1" applyFill="1" applyBorder="1" applyAlignment="1" applyProtection="1">
      <alignment horizontal="center" vertical="center" wrapText="1"/>
      <protection locked="0"/>
    </xf>
    <xf numFmtId="0" fontId="124" fillId="0" borderId="1" xfId="0" applyFont="1" applyFill="1" applyBorder="1" applyAlignment="1" applyProtection="1">
      <alignment horizontal="center" vertical="center" wrapText="1" shrinkToFit="1"/>
      <protection locked="0"/>
    </xf>
    <xf numFmtId="0" fontId="128" fillId="0" borderId="1" xfId="0" applyFont="1" applyFill="1" applyBorder="1" applyAlignment="1">
      <alignment horizontal="center" vertical="center"/>
    </xf>
    <xf numFmtId="179" fontId="122" fillId="0" borderId="1" xfId="0" applyNumberFormat="1" applyFont="1" applyFill="1" applyBorder="1" applyAlignment="1" applyProtection="1">
      <alignment horizontal="center" vertical="center" wrapText="1" shrinkToFit="1"/>
      <protection locked="0"/>
    </xf>
    <xf numFmtId="180" fontId="129" fillId="0" borderId="1" xfId="0" applyNumberFormat="1" applyFont="1" applyFill="1" applyBorder="1" applyAlignment="1" applyProtection="1">
      <alignment horizontal="center" vertical="center" wrapText="1"/>
      <protection locked="0"/>
    </xf>
    <xf numFmtId="0" fontId="119" fillId="0" borderId="1" xfId="0" applyFont="1" applyFill="1" applyBorder="1" applyAlignment="1" applyProtection="1">
      <alignment vertical="center" wrapText="1"/>
      <protection locked="0"/>
    </xf>
    <xf numFmtId="180" fontId="122" fillId="0" borderId="1" xfId="0" applyNumberFormat="1" applyFont="1" applyFill="1" applyBorder="1" applyAlignment="1" applyProtection="1">
      <alignment horizontal="center" vertical="center" wrapText="1"/>
      <protection locked="0"/>
    </xf>
    <xf numFmtId="0" fontId="126" fillId="0" borderId="1" xfId="0" applyFont="1" applyFill="1" applyBorder="1" applyAlignment="1" applyProtection="1">
      <alignment horizontal="center" vertical="center"/>
      <protection locked="0"/>
    </xf>
    <xf numFmtId="183" fontId="124" fillId="0" borderId="1" xfId="0" applyNumberFormat="1" applyFont="1" applyFill="1" applyBorder="1" applyAlignment="1" applyProtection="1">
      <alignment horizontal="center" vertical="center" wrapText="1" shrinkToFit="1"/>
      <protection locked="0"/>
    </xf>
    <xf numFmtId="181" fontId="124" fillId="0" borderId="1" xfId="0" applyNumberFormat="1" applyFont="1" applyFill="1" applyBorder="1" applyAlignment="1" applyProtection="1">
      <alignment horizontal="center" vertical="center"/>
      <protection locked="0"/>
    </xf>
    <xf numFmtId="0" fontId="126" fillId="0" borderId="1" xfId="0" applyNumberFormat="1" applyFont="1" applyFill="1" applyBorder="1" applyAlignment="1" applyProtection="1">
      <alignment horizontal="center" vertical="center" wrapText="1"/>
      <protection locked="0"/>
    </xf>
    <xf numFmtId="0" fontId="122" fillId="0" borderId="1" xfId="0" applyNumberFormat="1" applyFont="1" applyFill="1" applyBorder="1" applyAlignment="1" applyProtection="1">
      <alignment horizontal="center" vertical="center" wrapText="1" shrinkToFit="1"/>
      <protection locked="0"/>
    </xf>
    <xf numFmtId="0" fontId="127" fillId="0" borderId="1" xfId="0" applyNumberFormat="1" applyFont="1" applyFill="1" applyBorder="1" applyAlignment="1" applyProtection="1">
      <alignment horizontal="center" vertical="center"/>
      <protection locked="0"/>
    </xf>
    <xf numFmtId="0" fontId="124" fillId="0" borderId="1" xfId="0" applyNumberFormat="1" applyFont="1" applyFill="1" applyBorder="1" applyAlignment="1" applyProtection="1">
      <alignment horizontal="center" vertical="center"/>
      <protection locked="0"/>
    </xf>
    <xf numFmtId="0" fontId="123" fillId="0" borderId="2" xfId="0" applyFont="1" applyFill="1" applyBorder="1" applyAlignment="1">
      <alignment horizontal="center" vertical="center" wrapText="1"/>
    </xf>
    <xf numFmtId="180" fontId="130" fillId="0" borderId="1" xfId="0" applyNumberFormat="1"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wrapText="1"/>
      <protection locked="0"/>
    </xf>
    <xf numFmtId="0" fontId="128" fillId="0" borderId="1" xfId="0" applyFont="1" applyFill="1" applyBorder="1">
      <alignment vertical="center"/>
    </xf>
    <xf numFmtId="179" fontId="13" fillId="2" borderId="8" xfId="0" applyNumberFormat="1" applyFont="1" applyFill="1" applyBorder="1" applyAlignment="1" applyProtection="1">
      <alignment horizontal="center" vertical="center" wrapText="1" shrinkToFit="1"/>
      <protection locked="0"/>
    </xf>
    <xf numFmtId="179" fontId="13" fillId="2" borderId="1" xfId="0" applyNumberFormat="1" applyFont="1" applyFill="1" applyBorder="1" applyAlignment="1" applyProtection="1">
      <alignment horizontal="center" vertical="center" wrapText="1" shrinkToFit="1"/>
      <protection locked="0"/>
    </xf>
    <xf numFmtId="180" fontId="122" fillId="0" borderId="0" xfId="0" applyNumberFormat="1" applyFont="1" applyFill="1" applyBorder="1" applyAlignment="1" applyProtection="1">
      <alignment horizontal="center" vertical="center" wrapText="1"/>
      <protection locked="0"/>
    </xf>
    <xf numFmtId="0" fontId="34" fillId="2" borderId="0" xfId="0" applyFont="1" applyFill="1" applyBorder="1" applyAlignment="1" applyProtection="1">
      <alignment vertical="center"/>
      <protection locked="0"/>
    </xf>
    <xf numFmtId="180" fontId="121" fillId="0" borderId="6" xfId="0" applyNumberFormat="1" applyFont="1" applyFill="1" applyBorder="1" applyAlignment="1" applyProtection="1">
      <alignment horizontal="center" vertical="center" wrapText="1"/>
      <protection locked="0"/>
    </xf>
    <xf numFmtId="0" fontId="124" fillId="2" borderId="8" xfId="0" applyNumberFormat="1" applyFont="1" applyFill="1" applyBorder="1" applyAlignment="1" applyProtection="1">
      <alignment horizontal="center" vertical="center" wrapText="1"/>
      <protection locked="0"/>
    </xf>
    <xf numFmtId="58" fontId="132" fillId="0" borderId="8" xfId="0" applyNumberFormat="1" applyFont="1" applyFill="1" applyBorder="1" applyAlignment="1" applyProtection="1">
      <alignment horizontal="center" vertical="center" wrapText="1"/>
      <protection locked="0"/>
    </xf>
    <xf numFmtId="0" fontId="15" fillId="0" borderId="6" xfId="0" applyFont="1" applyFill="1" applyBorder="1" applyAlignment="1" applyProtection="1">
      <alignment horizontal="center" vertical="center" wrapText="1"/>
      <protection locked="0"/>
    </xf>
    <xf numFmtId="0" fontId="133" fillId="0" borderId="8" xfId="0" applyFont="1" applyFill="1" applyBorder="1" applyAlignment="1">
      <alignment vertical="center" wrapText="1"/>
    </xf>
    <xf numFmtId="180" fontId="121" fillId="18" borderId="1" xfId="0" applyNumberFormat="1" applyFont="1" applyFill="1" applyBorder="1" applyAlignment="1" applyProtection="1">
      <alignment horizontal="center" vertical="center" wrapText="1"/>
      <protection locked="0"/>
    </xf>
    <xf numFmtId="0" fontId="126" fillId="0" borderId="6" xfId="0" applyNumberFormat="1" applyFont="1" applyFill="1" applyBorder="1" applyAlignment="1" applyProtection="1">
      <alignment horizontal="center" vertical="center"/>
      <protection locked="0"/>
    </xf>
    <xf numFmtId="0" fontId="69" fillId="0" borderId="6" xfId="0" applyFont="1" applyFill="1" applyBorder="1" applyAlignment="1" applyProtection="1">
      <alignment horizontal="center" vertical="center"/>
      <protection locked="0"/>
    </xf>
    <xf numFmtId="180" fontId="130" fillId="0" borderId="0" xfId="0" applyNumberFormat="1" applyFont="1" applyFill="1" applyBorder="1" applyAlignment="1" applyProtection="1">
      <alignment horizontal="center" vertical="center" wrapText="1"/>
      <protection locked="0"/>
    </xf>
    <xf numFmtId="0" fontId="131" fillId="2" borderId="1" xfId="0" applyNumberFormat="1" applyFont="1" applyFill="1" applyBorder="1" applyAlignment="1" applyProtection="1">
      <alignment horizontal="center" vertical="center"/>
      <protection locked="0"/>
    </xf>
    <xf numFmtId="58" fontId="101" fillId="2" borderId="8" xfId="0" applyNumberFormat="1" applyFont="1" applyFill="1" applyBorder="1" applyAlignment="1" applyProtection="1">
      <alignment horizontal="center" vertical="center" wrapText="1"/>
      <protection locked="0"/>
    </xf>
    <xf numFmtId="0" fontId="21" fillId="0" borderId="8" xfId="0" applyNumberFormat="1" applyFont="1" applyFill="1" applyBorder="1" applyAlignment="1" applyProtection="1">
      <alignment horizontal="center" vertical="center"/>
      <protection locked="0"/>
    </xf>
    <xf numFmtId="0" fontId="69" fillId="0" borderId="0" xfId="0" applyFont="1" applyFill="1" applyBorder="1" applyAlignment="1" applyProtection="1">
      <alignment vertical="center"/>
      <protection locked="0"/>
    </xf>
    <xf numFmtId="0" fontId="0" fillId="0" borderId="1" xfId="0" applyFill="1" applyBorder="1">
      <alignment vertical="center"/>
    </xf>
    <xf numFmtId="0" fontId="116" fillId="0" borderId="2" xfId="0" applyNumberFormat="1" applyFont="1" applyFill="1" applyBorder="1" applyAlignment="1" applyProtection="1">
      <alignment horizontal="center" vertical="center" wrapText="1"/>
      <protection locked="0"/>
    </xf>
    <xf numFmtId="0" fontId="0" fillId="0" borderId="0" xfId="0" applyFill="1" applyBorder="1">
      <alignment vertical="center"/>
    </xf>
    <xf numFmtId="0" fontId="123" fillId="0" borderId="1" xfId="0" applyFont="1" applyFill="1" applyBorder="1" applyAlignment="1">
      <alignment horizontal="center" vertical="center" wrapText="1"/>
    </xf>
    <xf numFmtId="0" fontId="128" fillId="0" borderId="1" xfId="0" applyFont="1" applyFill="1" applyBorder="1" applyAlignment="1" applyProtection="1">
      <alignment horizontal="center" vertical="center"/>
      <protection locked="0"/>
    </xf>
    <xf numFmtId="0" fontId="123" fillId="0" borderId="1" xfId="0" applyFont="1" applyFill="1" applyBorder="1" applyAlignment="1" applyProtection="1">
      <alignment vertical="center" wrapText="1"/>
      <protection locked="0"/>
    </xf>
    <xf numFmtId="0" fontId="34" fillId="0" borderId="6" xfId="0" applyFont="1" applyFill="1" applyBorder="1" applyAlignment="1" applyProtection="1">
      <alignment horizontal="center" vertical="center" wrapText="1"/>
      <protection locked="0"/>
    </xf>
    <xf numFmtId="0" fontId="124" fillId="0" borderId="8" xfId="0" applyNumberFormat="1" applyFont="1" applyFill="1" applyBorder="1" applyAlignment="1" applyProtection="1">
      <alignment horizontal="center" vertical="center"/>
      <protection locked="0"/>
    </xf>
    <xf numFmtId="0" fontId="126" fillId="5" borderId="1" xfId="0" applyNumberFormat="1" applyFont="1" applyFill="1" applyBorder="1" applyAlignment="1" applyProtection="1">
      <alignment horizontal="center" vertical="center"/>
      <protection locked="0"/>
    </xf>
    <xf numFmtId="0" fontId="12" fillId="0" borderId="1" xfId="0" applyNumberFormat="1" applyFont="1" applyFill="1" applyBorder="1" applyAlignment="1" applyProtection="1">
      <alignment horizontal="center" vertical="center"/>
      <protection locked="0"/>
    </xf>
    <xf numFmtId="0" fontId="126" fillId="5" borderId="8" xfId="0" applyNumberFormat="1" applyFont="1" applyFill="1" applyBorder="1" applyAlignment="1" applyProtection="1">
      <alignment horizontal="center" vertical="center"/>
      <protection locked="0"/>
    </xf>
    <xf numFmtId="0" fontId="128" fillId="0" borderId="8" xfId="0" applyFont="1" applyFill="1" applyBorder="1" applyAlignment="1" applyProtection="1">
      <alignment horizontal="center" vertical="center"/>
      <protection locked="0"/>
    </xf>
    <xf numFmtId="0" fontId="123" fillId="0" borderId="8" xfId="0" applyFont="1" applyFill="1" applyBorder="1" applyAlignment="1" applyProtection="1">
      <alignment vertical="center" wrapText="1"/>
      <protection locked="0"/>
    </xf>
    <xf numFmtId="0" fontId="127" fillId="2" borderId="8" xfId="0" applyNumberFormat="1" applyFont="1" applyFill="1" applyBorder="1" applyAlignment="1" applyProtection="1">
      <alignment horizontal="center" vertical="center"/>
      <protection locked="0"/>
    </xf>
    <xf numFmtId="0" fontId="128" fillId="0" borderId="0" xfId="0" applyFont="1" applyFill="1" applyBorder="1">
      <alignment vertical="center"/>
    </xf>
    <xf numFmtId="0" fontId="127" fillId="2" borderId="1" xfId="0" applyNumberFormat="1" applyFont="1" applyFill="1" applyBorder="1" applyAlignment="1" applyProtection="1">
      <alignment horizontal="center" vertical="center"/>
      <protection locked="0"/>
    </xf>
    <xf numFmtId="0" fontId="12" fillId="0" borderId="8" xfId="0" applyNumberFormat="1" applyFont="1" applyFill="1" applyBorder="1" applyAlignment="1" applyProtection="1">
      <alignment horizontal="center" vertical="center"/>
      <protection locked="0"/>
    </xf>
    <xf numFmtId="0" fontId="30" fillId="0" borderId="16" xfId="0" applyNumberFormat="1" applyFont="1" applyFill="1" applyBorder="1" applyAlignment="1" applyProtection="1">
      <alignment horizontal="center" vertical="center"/>
      <protection locked="0"/>
    </xf>
    <xf numFmtId="0" fontId="34" fillId="0" borderId="18" xfId="0" applyFont="1" applyFill="1" applyBorder="1" applyAlignment="1" applyProtection="1">
      <alignment horizontal="center" vertical="center" wrapText="1"/>
      <protection locked="0"/>
    </xf>
    <xf numFmtId="0" fontId="122" fillId="0" borderId="8" xfId="0" applyFont="1" applyFill="1" applyBorder="1" applyAlignment="1">
      <alignment vertical="center" wrapText="1"/>
    </xf>
    <xf numFmtId="0" fontId="126" fillId="0" borderId="2" xfId="0" applyNumberFormat="1" applyFont="1" applyFill="1" applyBorder="1" applyAlignment="1" applyProtection="1">
      <alignment horizontal="center" vertical="center"/>
      <protection locked="0"/>
    </xf>
    <xf numFmtId="0" fontId="69" fillId="0" borderId="3" xfId="0" applyFont="1" applyFill="1" applyBorder="1" applyAlignment="1" applyProtection="1">
      <alignment horizontal="center" vertical="center"/>
      <protection locked="0"/>
    </xf>
    <xf numFmtId="0" fontId="122" fillId="2" borderId="1" xfId="0" applyFont="1" applyFill="1" applyBorder="1" applyAlignment="1" applyProtection="1">
      <alignment horizontal="center" vertical="center" wrapText="1" shrinkToFit="1"/>
      <protection locked="0"/>
    </xf>
    <xf numFmtId="0" fontId="116" fillId="2" borderId="1" xfId="0" applyFont="1" applyFill="1" applyBorder="1" applyAlignment="1" applyProtection="1">
      <alignment horizontal="center" vertical="center" wrapText="1"/>
      <protection locked="0"/>
    </xf>
    <xf numFmtId="0" fontId="60" fillId="2" borderId="1" xfId="0" applyFont="1" applyFill="1" applyBorder="1" applyAlignment="1">
      <alignment horizontal="center" vertical="center"/>
    </xf>
    <xf numFmtId="179" fontId="134" fillId="2" borderId="1" xfId="0" applyNumberFormat="1" applyFont="1" applyFill="1" applyBorder="1" applyAlignment="1" applyProtection="1">
      <alignment horizontal="center" vertical="center" wrapText="1" shrinkToFit="1"/>
      <protection locked="0"/>
    </xf>
    <xf numFmtId="49" fontId="124" fillId="2" borderId="1" xfId="0" applyNumberFormat="1" applyFont="1" applyFill="1" applyBorder="1" applyAlignment="1" applyProtection="1">
      <alignment horizontal="center" vertical="center" wrapText="1"/>
      <protection locked="0"/>
    </xf>
    <xf numFmtId="0" fontId="127" fillId="2" borderId="1" xfId="0" applyFont="1" applyFill="1" applyBorder="1" applyAlignment="1" applyProtection="1">
      <alignment horizontal="center" vertical="center" wrapText="1"/>
      <protection locked="0"/>
    </xf>
    <xf numFmtId="0" fontId="69" fillId="0" borderId="3" xfId="0" applyFont="1" applyFill="1" applyBorder="1" applyAlignment="1" applyProtection="1">
      <alignment horizontal="center" vertical="center" wrapText="1"/>
      <protection locked="0"/>
    </xf>
    <xf numFmtId="180" fontId="122" fillId="18" borderId="1" xfId="0" applyNumberFormat="1" applyFont="1" applyFill="1" applyBorder="1" applyAlignment="1" applyProtection="1">
      <alignment horizontal="center" vertical="center" wrapText="1"/>
      <protection locked="0"/>
    </xf>
    <xf numFmtId="0" fontId="30" fillId="0" borderId="1" xfId="0" applyFont="1" applyFill="1" applyBorder="1" applyAlignment="1" applyProtection="1">
      <alignment horizontal="center" vertical="center" wrapText="1"/>
      <protection locked="0"/>
    </xf>
    <xf numFmtId="0" fontId="0" fillId="0" borderId="1" xfId="0" applyBorder="1" applyAlignment="1">
      <alignment horizontal="center" vertical="center"/>
    </xf>
    <xf numFmtId="182" fontId="116" fillId="0" borderId="1" xfId="0" applyNumberFormat="1" applyFont="1" applyFill="1" applyBorder="1" applyAlignment="1" applyProtection="1">
      <alignment horizontal="center" vertical="center" wrapText="1" shrinkToFit="1"/>
      <protection locked="0"/>
    </xf>
    <xf numFmtId="0" fontId="0" fillId="0" borderId="0" xfId="0" applyAlignment="1">
      <alignment vertical="center" wrapText="1"/>
    </xf>
    <xf numFmtId="0" fontId="0" fillId="0" borderId="0" xfId="0" applyAlignment="1">
      <alignment horizontal="center" vertical="center"/>
    </xf>
    <xf numFmtId="0" fontId="70" fillId="0" borderId="0" xfId="0" applyFont="1">
      <alignment vertical="center"/>
    </xf>
    <xf numFmtId="0" fontId="0" fillId="0" borderId="1" xfId="0" applyFill="1" applyBorder="1" applyAlignment="1">
      <alignment horizontal="center" vertical="center"/>
    </xf>
    <xf numFmtId="0" fontId="92" fillId="0" borderId="8" xfId="0" applyNumberFormat="1" applyFont="1" applyFill="1" applyBorder="1" applyAlignment="1" applyProtection="1" quotePrefix="1">
      <alignment horizontal="center" vertical="center" wrapText="1"/>
      <protection locked="0"/>
    </xf>
    <xf numFmtId="0" fontId="92" fillId="0" borderId="1" xfId="0" applyNumberFormat="1" applyFont="1" applyFill="1" applyBorder="1" applyAlignment="1" applyProtection="1" quotePrefix="1">
      <alignment horizontal="center" vertical="center" wrapText="1"/>
      <protection locked="0"/>
    </xf>
    <xf numFmtId="49" fontId="124" fillId="0" borderId="1" xfId="0" applyNumberFormat="1" applyFont="1" applyFill="1" applyBorder="1" applyAlignment="1" applyProtection="1" quotePrefix="1">
      <alignment horizontal="center" vertical="center" wrapText="1"/>
      <protection locked="0"/>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73" xfId="49"/>
    <cellStyle name="常规 2 3" xfId="50"/>
    <cellStyle name="常规 4" xfId="51"/>
    <cellStyle name="千位分隔 2" xfId="52"/>
    <cellStyle name="常规 5" xfId="53"/>
    <cellStyle name="20% - 强调文字颜色 4 2 3 117" xfId="54"/>
    <cellStyle name="常规 10 2 2 2 2 2 2 2 2" xfId="55"/>
    <cellStyle name="常规 3" xfId="56"/>
  </cellStyles>
  <dxfs count="1">
    <dxf>
      <font>
        <color rgb="FF9C0006"/>
      </font>
      <fill>
        <patternFill patternType="solid">
          <bgColor rgb="FFFFC7CE"/>
        </patternFill>
      </fill>
    </dxf>
  </dxfs>
  <tableStyles count="0" defaultTableStyle="TableStyleMedium2" defaultPivotStyle="PivotStyleLight16"/>
  <colors>
    <mruColors>
      <color rgb="000FB7FD"/>
      <color rgb="0000B0F0"/>
      <color rgb="00000000"/>
      <color rgb="000E2EF0"/>
      <color rgb="00FFFF00"/>
      <color rgb="00FF00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893" dbFileVersion="0" changeLogVersion="0">
    <open main="123" threadCnt="1"/>
    <sheetInfos>
      <sheetInfo cellCmpFml="835" sheetStid="1">
        <open main="57" threadCnt="1"/>
      </sheetInfo>
      <sheetInfo cellCmpFml="3" sheetStid="2">
        <open threadCnt="1"/>
      </sheetInfo>
      <sheetInfo cellCmpFml="17" sheetStid="3">
        <open main="2" threadCnt="1"/>
      </sheetInfo>
      <sheetInfo cellCmpFml="23" sheetStid="4">
        <open main="1" threadCnt="1"/>
      </sheetInfo>
      <sheetInfo cellCmpFml="15" sheetStid="5">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www.wps.cn/officeDocument/2023/relationships/woinfos" Target="woinfos.xml"/><Relationship Id="rId13" Type="http://schemas.openxmlformats.org/officeDocument/2006/relationships/styles" Target="styles.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12</xdr:row>
      <xdr:rowOff>0</xdr:rowOff>
    </xdr:from>
    <xdr:to>
      <xdr:col>3</xdr:col>
      <xdr:colOff>400050</xdr:colOff>
      <xdr:row>16</xdr:row>
      <xdr:rowOff>33020</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2974975"/>
          <a:ext cx="5012055" cy="747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266700</xdr:colOff>
      <xdr:row>23</xdr:row>
      <xdr:rowOff>35560</xdr:rowOff>
    </xdr:from>
    <xdr:ext cx="628015" cy="546100"/>
    <xdr:pic>
      <xdr:nvPicPr>
        <xdr:cNvPr id="3" name="图片 2"/>
        <xdr:cNvPicPr>
          <a:picLocks noChangeAspect="1"/>
        </xdr:cNvPicPr>
      </xdr:nvPicPr>
      <xdr:blipFill>
        <a:blip r:embed="rId2"/>
        <a:stretch>
          <a:fillRect/>
        </a:stretch>
      </xdr:blipFill>
      <xdr:spPr>
        <a:xfrm>
          <a:off x="266700" y="6069330"/>
          <a:ext cx="628015" cy="546100"/>
        </a:xfrm>
        <a:prstGeom prst="rect">
          <a:avLst/>
        </a:prstGeom>
      </xdr:spPr>
    </xdr:pic>
    <xdr:clientData/>
  </xdr:oneCellAnchor>
  <xdr:twoCellAnchor editAs="oneCell">
    <xdr:from>
      <xdr:col>4</xdr:col>
      <xdr:colOff>18415</xdr:colOff>
      <xdr:row>10</xdr:row>
      <xdr:rowOff>27305</xdr:rowOff>
    </xdr:from>
    <xdr:to>
      <xdr:col>10</xdr:col>
      <xdr:colOff>92075</xdr:colOff>
      <xdr:row>19</xdr:row>
      <xdr:rowOff>104775</xdr:rowOff>
    </xdr:to>
    <xdr:pic>
      <xdr:nvPicPr>
        <xdr:cNvPr id="4" name="图片 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5146040" y="2640330"/>
          <a:ext cx="5095875" cy="1639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436880</xdr:colOff>
      <xdr:row>27</xdr:row>
      <xdr:rowOff>0</xdr:rowOff>
    </xdr:from>
    <xdr:ext cx="1190476" cy="1003805"/>
    <xdr:pic>
      <xdr:nvPicPr>
        <xdr:cNvPr id="5" name="图片 4"/>
        <xdr:cNvPicPr>
          <a:picLocks noChangeAspect="1"/>
        </xdr:cNvPicPr>
      </xdr:nvPicPr>
      <xdr:blipFill>
        <a:blip r:embed="rId2"/>
        <a:stretch>
          <a:fillRect/>
        </a:stretch>
      </xdr:blipFill>
      <xdr:spPr>
        <a:xfrm>
          <a:off x="436880" y="7343140"/>
          <a:ext cx="1189990" cy="10033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395"/>
  <sheetViews>
    <sheetView tabSelected="1" zoomScale="70" zoomScaleNormal="70" workbookViewId="0">
      <pane xSplit="14" ySplit="3" topLeftCell="AM7" activePane="bottomRight" state="frozen"/>
      <selection/>
      <selection pane="topRight"/>
      <selection pane="bottomLeft"/>
      <selection pane="bottomRight" activeCell="AR289" sqref="AR289"/>
    </sheetView>
  </sheetViews>
  <sheetFormatPr defaultColWidth="9" defaultRowHeight="14.25"/>
  <cols>
    <col min="1" max="1" width="13.8083333333333" style="156" customWidth="1"/>
    <col min="2" max="2" width="11.6083333333333" style="156" customWidth="1"/>
    <col min="3" max="3" width="13.0333333333333" style="156" customWidth="1"/>
    <col min="4" max="4" width="16.1333333333333" style="156" customWidth="1"/>
    <col min="5" max="5" width="14.8166666666667" style="317" customWidth="1"/>
    <col min="6" max="6" width="17.6416666666667" style="156" customWidth="1"/>
    <col min="7" max="7" width="14.4083333333333" style="156" customWidth="1"/>
    <col min="8" max="12" width="9" style="156"/>
    <col min="13" max="13" width="16.9083333333333" style="156" customWidth="1"/>
    <col min="14" max="14" width="16.7583333333333" style="156" customWidth="1"/>
    <col min="15" max="15" width="13.2833333333333" style="156" customWidth="1"/>
    <col min="16" max="16" width="9" style="156"/>
    <col min="17" max="17" width="9.225" style="156"/>
    <col min="18" max="18" width="9" style="156"/>
    <col min="19" max="19" width="11.5" style="156"/>
    <col min="20" max="22" width="9" style="156"/>
    <col min="23" max="23" width="36.6666666666667" style="318" customWidth="1"/>
    <col min="24" max="25" width="11.175" style="156" customWidth="1"/>
    <col min="26" max="26" width="13" style="156" customWidth="1"/>
    <col min="27" max="27" width="9" style="156" customWidth="1"/>
    <col min="28" max="28" width="16.425" style="319" customWidth="1"/>
    <col min="29" max="29" width="8.38333333333333" style="319" customWidth="1"/>
    <col min="30" max="30" width="9" style="156" customWidth="1"/>
    <col min="31" max="31" width="10" style="156" customWidth="1"/>
    <col min="32" max="32" width="9" style="156" customWidth="1"/>
    <col min="33" max="33" width="9" style="156"/>
    <col min="34" max="34" width="9" style="320"/>
    <col min="35" max="44" width="9" style="156"/>
    <col min="45" max="45" width="11.6166666666667" style="156" customWidth="1"/>
    <col min="46" max="16384" width="9" style="156"/>
  </cols>
  <sheetData>
    <row r="1" s="292" customFormat="1" ht="42" customHeight="1" spans="1:46">
      <c r="A1" s="321" t="s">
        <v>0</v>
      </c>
      <c r="B1" s="322"/>
      <c r="C1" s="323"/>
      <c r="D1" s="324"/>
      <c r="E1" s="325"/>
      <c r="F1" s="326"/>
      <c r="G1" s="322"/>
      <c r="H1" s="322"/>
      <c r="I1" s="322"/>
      <c r="J1" s="327"/>
      <c r="K1" s="327"/>
      <c r="L1" s="327"/>
      <c r="M1" s="327"/>
      <c r="N1" s="327"/>
      <c r="O1" s="328"/>
      <c r="P1" s="323"/>
      <c r="Q1" s="323"/>
      <c r="R1" s="323"/>
      <c r="S1" s="327"/>
      <c r="T1" s="327"/>
      <c r="U1" s="329"/>
      <c r="V1" s="329"/>
      <c r="W1" s="330"/>
      <c r="X1" s="322"/>
      <c r="Y1" s="327"/>
      <c r="Z1" s="327"/>
      <c r="AA1" s="328"/>
      <c r="AB1" s="331"/>
      <c r="AC1" s="331"/>
      <c r="AD1" s="328"/>
      <c r="AE1" s="332"/>
      <c r="AF1" s="329"/>
      <c r="AG1" s="333"/>
      <c r="AH1" s="334"/>
      <c r="AI1" s="328"/>
      <c r="AJ1" s="328"/>
      <c r="AK1" s="328"/>
      <c r="AL1" s="328"/>
      <c r="AM1" s="328"/>
      <c r="AN1" s="328"/>
      <c r="AO1" s="328"/>
      <c r="AP1" s="328"/>
    </row>
    <row r="2" s="293" customFormat="1" ht="15" spans="1:46">
      <c r="A2" s="335"/>
      <c r="B2" s="336"/>
      <c r="C2" s="337"/>
      <c r="D2" s="338"/>
      <c r="E2" s="339"/>
      <c r="F2" s="340"/>
      <c r="G2" s="341"/>
      <c r="H2" s="341"/>
      <c r="I2" s="341"/>
      <c r="J2" s="342"/>
      <c r="K2" s="342"/>
      <c r="L2" s="342"/>
      <c r="M2" s="342"/>
      <c r="N2" s="342"/>
      <c r="O2" s="343"/>
      <c r="P2" s="337"/>
      <c r="Q2" s="337"/>
      <c r="R2" s="337"/>
      <c r="S2" s="342"/>
      <c r="T2" s="342"/>
      <c r="U2" s="343"/>
      <c r="V2" s="343"/>
      <c r="W2" s="344"/>
      <c r="X2" s="345"/>
      <c r="Y2" s="342"/>
      <c r="Z2" s="346"/>
      <c r="AA2" s="347"/>
      <c r="AB2" s="347"/>
      <c r="AC2" s="347"/>
      <c r="AD2" s="347"/>
      <c r="AE2" s="348"/>
      <c r="AF2" s="347"/>
      <c r="AG2" s="349"/>
      <c r="AH2" s="350"/>
      <c r="AI2" s="347"/>
      <c r="AJ2" s="347"/>
      <c r="AK2" s="347"/>
      <c r="AL2" s="347"/>
      <c r="AM2" s="347"/>
      <c r="AN2" s="347"/>
      <c r="AO2" s="347"/>
      <c r="AP2" s="347"/>
    </row>
    <row r="3" s="294" customFormat="1" ht="46" customHeight="1" spans="1:46">
      <c r="A3" s="351" t="s">
        <v>1</v>
      </c>
      <c r="B3" s="352" t="s">
        <v>2</v>
      </c>
      <c r="C3" s="353" t="s">
        <v>3</v>
      </c>
      <c r="D3" s="353" t="s">
        <v>4</v>
      </c>
      <c r="E3" s="353" t="s">
        <v>5</v>
      </c>
      <c r="F3" s="353" t="s">
        <v>6</v>
      </c>
      <c r="G3" s="353" t="s">
        <v>7</v>
      </c>
      <c r="H3" s="354" t="s">
        <v>8</v>
      </c>
      <c r="I3" s="354" t="s">
        <v>9</v>
      </c>
      <c r="J3" s="354" t="s">
        <v>10</v>
      </c>
      <c r="K3" s="353" t="s">
        <v>11</v>
      </c>
      <c r="L3" s="353" t="s">
        <v>12</v>
      </c>
      <c r="M3" s="355" t="s">
        <v>13</v>
      </c>
      <c r="N3" s="355" t="s">
        <v>14</v>
      </c>
      <c r="O3" s="356" t="s">
        <v>15</v>
      </c>
      <c r="P3" s="357" t="s">
        <v>16</v>
      </c>
      <c r="Q3" s="353" t="s">
        <v>17</v>
      </c>
      <c r="R3" s="352" t="s">
        <v>18</v>
      </c>
      <c r="S3" s="353" t="s">
        <v>19</v>
      </c>
      <c r="T3" s="352" t="s">
        <v>20</v>
      </c>
      <c r="U3" s="358" t="s">
        <v>21</v>
      </c>
      <c r="V3" s="359" t="s">
        <v>22</v>
      </c>
      <c r="W3" s="360" t="s">
        <v>23</v>
      </c>
      <c r="X3" s="361" t="s">
        <v>24</v>
      </c>
      <c r="Y3" s="353" t="s">
        <v>25</v>
      </c>
      <c r="Z3" s="362" t="s">
        <v>26</v>
      </c>
      <c r="AA3" s="363" t="s">
        <v>27</v>
      </c>
      <c r="AB3" s="364" t="s">
        <v>28</v>
      </c>
      <c r="AC3" s="363" t="s">
        <v>29</v>
      </c>
      <c r="AD3" s="365" t="s">
        <v>30</v>
      </c>
      <c r="AE3" s="365" t="s">
        <v>31</v>
      </c>
      <c r="AF3" s="365" t="s">
        <v>32</v>
      </c>
      <c r="AG3" s="365" t="s">
        <v>33</v>
      </c>
      <c r="AH3" s="366" t="s">
        <v>34</v>
      </c>
      <c r="AI3" s="364" t="s">
        <v>35</v>
      </c>
      <c r="AJ3" s="364" t="s">
        <v>36</v>
      </c>
      <c r="AK3" s="367" t="s">
        <v>37</v>
      </c>
      <c r="AL3" s="364" t="s">
        <v>38</v>
      </c>
      <c r="AM3" s="364" t="s">
        <v>39</v>
      </c>
      <c r="AN3" s="364" t="s">
        <v>40</v>
      </c>
      <c r="AO3" s="364" t="s">
        <v>41</v>
      </c>
      <c r="AP3" s="364" t="s">
        <v>42</v>
      </c>
      <c r="AQ3" s="367" t="s">
        <v>43</v>
      </c>
      <c r="AR3" s="367" t="s">
        <v>44</v>
      </c>
      <c r="AS3" s="368" t="s">
        <v>45</v>
      </c>
    </row>
    <row r="4" s="295" customFormat="1" ht="36" customHeight="1" spans="1:46">
      <c r="A4" s="369">
        <v>45989</v>
      </c>
      <c r="B4" s="370" t="s">
        <v>46</v>
      </c>
      <c r="C4" s="370" t="s">
        <v>47</v>
      </c>
      <c r="D4" s="371" t="s">
        <v>48</v>
      </c>
      <c r="E4" s="372" t="s">
        <v>49</v>
      </c>
      <c r="F4" s="373"/>
      <c r="G4" s="374" t="s">
        <v>50</v>
      </c>
      <c r="H4" s="375" t="s">
        <v>51</v>
      </c>
      <c r="I4" s="376">
        <v>300</v>
      </c>
      <c r="J4" s="377">
        <v>0</v>
      </c>
      <c r="K4" s="377">
        <v>3</v>
      </c>
      <c r="L4" s="378">
        <f t="shared" ref="L4:L67" si="0">I4/K4</f>
        <v>100</v>
      </c>
      <c r="M4" s="379">
        <v>45666</v>
      </c>
      <c r="N4" s="379">
        <v>45666</v>
      </c>
      <c r="O4" s="380"/>
      <c r="P4" s="380" t="s">
        <v>52</v>
      </c>
      <c r="Q4" s="381"/>
      <c r="R4" s="381"/>
      <c r="S4" s="380" t="s">
        <v>53</v>
      </c>
      <c r="T4" s="382" t="s">
        <v>54</v>
      </c>
      <c r="U4" s="382" t="s">
        <v>54</v>
      </c>
      <c r="V4" s="382"/>
      <c r="W4" s="383" t="s">
        <v>55</v>
      </c>
      <c r="X4" s="384"/>
      <c r="Y4" s="385"/>
      <c r="Z4" s="386"/>
      <c r="AA4" s="371"/>
      <c r="AB4" s="387" t="s">
        <v>50</v>
      </c>
      <c r="AC4" s="388" t="s">
        <v>56</v>
      </c>
      <c r="AD4" s="377"/>
      <c r="AE4" s="389"/>
      <c r="AF4" s="390"/>
      <c r="AG4" s="391"/>
      <c r="AH4" s="391"/>
      <c r="AI4" s="371"/>
      <c r="AJ4" s="371"/>
      <c r="AK4" s="371"/>
      <c r="AL4" s="371"/>
      <c r="AM4" s="371"/>
      <c r="AN4" s="392"/>
      <c r="AO4" s="392"/>
      <c r="AP4" s="392"/>
      <c r="AQ4" s="296"/>
      <c r="AR4" s="296"/>
      <c r="AS4" s="296"/>
    </row>
    <row r="5" s="295" customFormat="1" ht="36" customHeight="1" spans="1:46">
      <c r="A5" s="393">
        <v>46021</v>
      </c>
      <c r="B5" s="394"/>
      <c r="C5" s="394"/>
      <c r="D5" s="395" t="s">
        <v>57</v>
      </c>
      <c r="E5" s="396"/>
      <c r="F5" s="397"/>
      <c r="G5" s="398" t="s">
        <v>50</v>
      </c>
      <c r="H5" s="399" t="s">
        <v>51</v>
      </c>
      <c r="I5" s="400">
        <v>498</v>
      </c>
      <c r="J5" s="401">
        <v>0</v>
      </c>
      <c r="K5" s="401">
        <v>3</v>
      </c>
      <c r="L5" s="402">
        <f t="shared" si="0"/>
        <v>166</v>
      </c>
      <c r="M5" s="403">
        <v>46038</v>
      </c>
      <c r="N5" s="403">
        <v>46038</v>
      </c>
      <c r="O5" s="404"/>
      <c r="P5" s="380" t="s">
        <v>52</v>
      </c>
      <c r="Q5" s="405"/>
      <c r="R5" s="405"/>
      <c r="S5" s="404">
        <v>46386</v>
      </c>
      <c r="T5" s="406" t="s">
        <v>54</v>
      </c>
      <c r="U5" s="406" t="s">
        <v>54</v>
      </c>
      <c r="V5" s="406"/>
      <c r="W5" s="407" t="s">
        <v>58</v>
      </c>
      <c r="X5" s="408"/>
      <c r="Y5" s="409"/>
      <c r="Z5" s="410"/>
      <c r="AA5" s="395"/>
      <c r="AB5" s="411" t="s">
        <v>50</v>
      </c>
      <c r="AC5" s="412" t="s">
        <v>56</v>
      </c>
      <c r="AD5" s="401"/>
      <c r="AE5" s="413" t="s">
        <v>59</v>
      </c>
      <c r="AF5" s="414"/>
      <c r="AG5" s="415"/>
      <c r="AH5" s="415"/>
      <c r="AI5" s="395"/>
      <c r="AJ5" s="395"/>
      <c r="AK5" s="395"/>
      <c r="AL5" s="395"/>
      <c r="AM5" s="395"/>
      <c r="AN5" s="416"/>
      <c r="AO5" s="416"/>
      <c r="AP5" s="416"/>
      <c r="AQ5" s="296"/>
      <c r="AR5" s="296"/>
      <c r="AS5" s="296"/>
    </row>
    <row r="6" s="296" customFormat="1" ht="36" customHeight="1" spans="1:46">
      <c r="A6" s="369">
        <v>46045</v>
      </c>
      <c r="B6" s="370" t="s">
        <v>60</v>
      </c>
      <c r="C6" s="370" t="s">
        <v>61</v>
      </c>
      <c r="D6" s="371">
        <v>4500192110</v>
      </c>
      <c r="E6" s="417" t="s">
        <v>62</v>
      </c>
      <c r="F6" s="387" t="s">
        <v>63</v>
      </c>
      <c r="G6" s="374" t="s">
        <v>64</v>
      </c>
      <c r="H6" s="375" t="s">
        <v>51</v>
      </c>
      <c r="I6" s="376">
        <v>24</v>
      </c>
      <c r="J6" s="377">
        <v>0</v>
      </c>
      <c r="K6" s="377">
        <v>3</v>
      </c>
      <c r="L6" s="378">
        <f t="shared" si="0"/>
        <v>8</v>
      </c>
      <c r="M6" s="379">
        <v>46052</v>
      </c>
      <c r="N6" s="379">
        <v>46048</v>
      </c>
      <c r="O6" s="380"/>
      <c r="P6" s="380"/>
      <c r="Q6" s="381"/>
      <c r="R6" s="418" t="s">
        <v>65</v>
      </c>
      <c r="S6" s="380">
        <v>46045</v>
      </c>
      <c r="T6" s="382" t="s">
        <v>66</v>
      </c>
      <c r="U6" s="382" t="s">
        <v>67</v>
      </c>
      <c r="V6" s="382"/>
      <c r="W6" s="383" t="s">
        <v>68</v>
      </c>
      <c r="X6" s="384" t="s">
        <v>69</v>
      </c>
      <c r="Y6" s="385">
        <v>8.5</v>
      </c>
      <c r="Z6" s="386">
        <f t="shared" ref="Z6:Z17" si="1">I6*Y6</f>
        <v>204</v>
      </c>
      <c r="AA6" s="371"/>
      <c r="AB6" s="411" t="s">
        <v>50</v>
      </c>
      <c r="AC6" s="388" t="s">
        <v>56</v>
      </c>
      <c r="AD6" s="377"/>
      <c r="AE6" s="413" t="s">
        <v>59</v>
      </c>
      <c r="AF6" s="390"/>
      <c r="AG6" s="391"/>
      <c r="AH6" s="391"/>
      <c r="AI6" s="371"/>
      <c r="AJ6" s="371"/>
      <c r="AK6" s="371"/>
      <c r="AL6" s="371"/>
      <c r="AM6" s="371"/>
      <c r="AN6" s="392"/>
      <c r="AO6" s="392"/>
      <c r="AP6" s="392"/>
      <c r="AT6" s="419"/>
    </row>
    <row r="7" s="296" customFormat="1" ht="36" customHeight="1" spans="1:46">
      <c r="A7" s="369">
        <v>46059</v>
      </c>
      <c r="B7" s="370" t="s">
        <v>70</v>
      </c>
      <c r="C7" s="370" t="s">
        <v>71</v>
      </c>
      <c r="D7" s="371">
        <v>4500190738</v>
      </c>
      <c r="E7" s="417" t="s">
        <v>72</v>
      </c>
      <c r="F7" s="387" t="s">
        <v>73</v>
      </c>
      <c r="G7" s="374" t="s">
        <v>50</v>
      </c>
      <c r="H7" s="375" t="s">
        <v>51</v>
      </c>
      <c r="I7" s="376">
        <v>2442</v>
      </c>
      <c r="J7" s="377">
        <v>0</v>
      </c>
      <c r="K7" s="377">
        <v>3</v>
      </c>
      <c r="L7" s="378">
        <f t="shared" si="0"/>
        <v>814</v>
      </c>
      <c r="M7" s="379">
        <v>46119</v>
      </c>
      <c r="N7" s="379">
        <v>46118</v>
      </c>
      <c r="O7" s="380"/>
      <c r="P7" s="380" t="s">
        <v>52</v>
      </c>
      <c r="Q7" s="420">
        <v>46133</v>
      </c>
      <c r="R7" s="418" t="s">
        <v>65</v>
      </c>
      <c r="S7" s="380">
        <v>46081</v>
      </c>
      <c r="T7" s="382" t="s">
        <v>66</v>
      </c>
      <c r="U7" s="380" t="s">
        <v>74</v>
      </c>
      <c r="V7" s="380"/>
      <c r="W7" s="383" t="s">
        <v>75</v>
      </c>
      <c r="X7" s="384" t="s">
        <v>76</v>
      </c>
      <c r="Y7" s="385">
        <v>5.9383</v>
      </c>
      <c r="Z7" s="386">
        <f t="shared" si="1"/>
        <v>14501.3286</v>
      </c>
      <c r="AA7" s="371"/>
      <c r="AB7" s="411" t="s">
        <v>50</v>
      </c>
      <c r="AC7" s="388" t="s">
        <v>56</v>
      </c>
      <c r="AD7" s="377"/>
      <c r="AE7" s="413" t="s">
        <v>59</v>
      </c>
      <c r="AF7" s="390"/>
      <c r="AG7" s="391"/>
      <c r="AH7" s="391"/>
      <c r="AI7" s="371">
        <f>I7</f>
        <v>2442</v>
      </c>
      <c r="AJ7" s="371"/>
      <c r="AK7" s="371"/>
      <c r="AL7" s="371"/>
      <c r="AM7" s="371">
        <f>I7</f>
        <v>2442</v>
      </c>
      <c r="AN7" s="392"/>
      <c r="AO7" s="421"/>
      <c r="AP7" s="421"/>
      <c r="AQ7" s="296">
        <f>I7</f>
        <v>2442</v>
      </c>
      <c r="AT7" s="419"/>
    </row>
    <row r="8" s="295" customFormat="1" ht="36" customHeight="1" spans="1:46">
      <c r="A8" s="422">
        <v>46055</v>
      </c>
      <c r="B8" s="423" t="s">
        <v>77</v>
      </c>
      <c r="C8" s="423" t="s">
        <v>78</v>
      </c>
      <c r="D8" s="424">
        <v>4500192931</v>
      </c>
      <c r="E8" s="425" t="s">
        <v>79</v>
      </c>
      <c r="F8" s="426" t="s">
        <v>80</v>
      </c>
      <c r="G8" s="427" t="s">
        <v>50</v>
      </c>
      <c r="H8" s="428" t="s">
        <v>51</v>
      </c>
      <c r="I8" s="429">
        <v>3000</v>
      </c>
      <c r="J8" s="430">
        <v>0</v>
      </c>
      <c r="K8" s="430">
        <v>3</v>
      </c>
      <c r="L8" s="431">
        <f t="shared" si="0"/>
        <v>1000</v>
      </c>
      <c r="M8" s="432">
        <v>46122</v>
      </c>
      <c r="N8" s="379">
        <v>46120</v>
      </c>
      <c r="O8" s="433"/>
      <c r="P8" s="433" t="s">
        <v>52</v>
      </c>
      <c r="Q8" s="434">
        <v>46125</v>
      </c>
      <c r="R8" s="435" t="s">
        <v>65</v>
      </c>
      <c r="S8" s="433">
        <v>46083</v>
      </c>
      <c r="T8" s="436" t="s">
        <v>54</v>
      </c>
      <c r="U8" s="437" t="s">
        <v>81</v>
      </c>
      <c r="V8" s="433"/>
      <c r="W8" s="438" t="s">
        <v>82</v>
      </c>
      <c r="X8" s="439" t="s">
        <v>83</v>
      </c>
      <c r="Y8" s="440">
        <v>8.8</v>
      </c>
      <c r="Z8" s="441">
        <f t="shared" si="1"/>
        <v>26400</v>
      </c>
      <c r="AA8" s="424"/>
      <c r="AB8" s="411" t="s">
        <v>84</v>
      </c>
      <c r="AC8" s="388" t="s">
        <v>56</v>
      </c>
      <c r="AD8" s="430"/>
      <c r="AE8" s="413" t="s">
        <v>59</v>
      </c>
      <c r="AF8" s="442"/>
      <c r="AG8" s="443"/>
      <c r="AH8" s="443"/>
      <c r="AI8" s="424"/>
      <c r="AJ8" s="424"/>
      <c r="AK8" s="424"/>
      <c r="AL8" s="424">
        <f>I8</f>
        <v>3000</v>
      </c>
      <c r="AM8" s="371">
        <f t="shared" ref="AM8:AM14" si="2">I8</f>
        <v>3000</v>
      </c>
      <c r="AN8" s="444"/>
      <c r="AO8" s="445" t="s">
        <v>85</v>
      </c>
      <c r="AP8" s="445"/>
      <c r="AQ8" s="388">
        <f>I8</f>
        <v>3000</v>
      </c>
      <c r="AR8" s="388"/>
      <c r="AS8" s="296"/>
    </row>
    <row r="9" s="295" customFormat="1" ht="36" customHeight="1" spans="1:46">
      <c r="A9" s="422">
        <v>46055</v>
      </c>
      <c r="B9" s="423" t="s">
        <v>86</v>
      </c>
      <c r="C9" s="423" t="s">
        <v>87</v>
      </c>
      <c r="D9" s="424">
        <v>4500192949</v>
      </c>
      <c r="E9" s="425" t="s">
        <v>88</v>
      </c>
      <c r="F9" s="426" t="s">
        <v>89</v>
      </c>
      <c r="G9" s="427" t="s">
        <v>50</v>
      </c>
      <c r="H9" s="428" t="s">
        <v>51</v>
      </c>
      <c r="I9" s="429">
        <v>840</v>
      </c>
      <c r="J9" s="430">
        <v>0</v>
      </c>
      <c r="K9" s="430">
        <v>3</v>
      </c>
      <c r="L9" s="431">
        <f t="shared" si="0"/>
        <v>280</v>
      </c>
      <c r="M9" s="432">
        <v>46122</v>
      </c>
      <c r="N9" s="379">
        <v>46120</v>
      </c>
      <c r="O9" s="433"/>
      <c r="P9" s="433" t="s">
        <v>52</v>
      </c>
      <c r="Q9" s="434">
        <v>46133</v>
      </c>
      <c r="R9" s="435" t="s">
        <v>65</v>
      </c>
      <c r="S9" s="433">
        <v>46083</v>
      </c>
      <c r="T9" s="436" t="s">
        <v>54</v>
      </c>
      <c r="U9" s="433" t="s">
        <v>90</v>
      </c>
      <c r="V9" s="433" t="s">
        <v>91</v>
      </c>
      <c r="W9" s="438" t="s">
        <v>92</v>
      </c>
      <c r="X9" s="439" t="s">
        <v>83</v>
      </c>
      <c r="Y9" s="440">
        <v>8.8</v>
      </c>
      <c r="Z9" s="441">
        <f t="shared" si="1"/>
        <v>7392</v>
      </c>
      <c r="AA9" s="424"/>
      <c r="AB9" s="411" t="s">
        <v>84</v>
      </c>
      <c r="AC9" s="388" t="s">
        <v>56</v>
      </c>
      <c r="AD9" s="430"/>
      <c r="AE9" s="413" t="s">
        <v>59</v>
      </c>
      <c r="AF9" s="442"/>
      <c r="AG9" s="443"/>
      <c r="AH9" s="443"/>
      <c r="AI9" s="424"/>
      <c r="AJ9" s="424"/>
      <c r="AK9" s="424"/>
      <c r="AL9" s="424">
        <f>I9</f>
        <v>840</v>
      </c>
      <c r="AM9" s="371">
        <f t="shared" si="2"/>
        <v>840</v>
      </c>
      <c r="AN9" s="444"/>
      <c r="AO9" s="445" t="s">
        <v>85</v>
      </c>
      <c r="AP9" s="445"/>
      <c r="AQ9" s="388">
        <f>I9</f>
        <v>840</v>
      </c>
      <c r="AR9" s="388"/>
      <c r="AS9" s="296"/>
    </row>
    <row r="10" s="295" customFormat="1" ht="36" customHeight="1" spans="1:46">
      <c r="A10" s="422">
        <v>46055</v>
      </c>
      <c r="B10" s="423" t="s">
        <v>86</v>
      </c>
      <c r="C10" s="423" t="s">
        <v>87</v>
      </c>
      <c r="D10" s="424">
        <v>4500192949</v>
      </c>
      <c r="E10" s="425" t="s">
        <v>93</v>
      </c>
      <c r="F10" s="426" t="s">
        <v>94</v>
      </c>
      <c r="G10" s="427" t="s">
        <v>50</v>
      </c>
      <c r="H10" s="428" t="s">
        <v>51</v>
      </c>
      <c r="I10" s="429">
        <v>660</v>
      </c>
      <c r="J10" s="430">
        <v>0</v>
      </c>
      <c r="K10" s="430">
        <v>3</v>
      </c>
      <c r="L10" s="431">
        <f t="shared" si="0"/>
        <v>220</v>
      </c>
      <c r="M10" s="432">
        <v>46122</v>
      </c>
      <c r="N10" s="379">
        <v>46120</v>
      </c>
      <c r="O10" s="433"/>
      <c r="P10" s="433" t="s">
        <v>52</v>
      </c>
      <c r="Q10" s="434">
        <v>46133</v>
      </c>
      <c r="R10" s="435" t="s">
        <v>65</v>
      </c>
      <c r="S10" s="433">
        <v>46083</v>
      </c>
      <c r="T10" s="436" t="s">
        <v>54</v>
      </c>
      <c r="U10" s="433" t="s">
        <v>90</v>
      </c>
      <c r="V10" s="433" t="s">
        <v>91</v>
      </c>
      <c r="W10" s="438" t="s">
        <v>92</v>
      </c>
      <c r="X10" s="439" t="s">
        <v>83</v>
      </c>
      <c r="Y10" s="440">
        <v>8.8</v>
      </c>
      <c r="Z10" s="441">
        <f t="shared" si="1"/>
        <v>5808</v>
      </c>
      <c r="AA10" s="424"/>
      <c r="AB10" s="411" t="s">
        <v>84</v>
      </c>
      <c r="AC10" s="388" t="s">
        <v>56</v>
      </c>
      <c r="AD10" s="430"/>
      <c r="AE10" s="413" t="s">
        <v>59</v>
      </c>
      <c r="AF10" s="442"/>
      <c r="AG10" s="443"/>
      <c r="AH10" s="443"/>
      <c r="AI10" s="424"/>
      <c r="AJ10" s="424"/>
      <c r="AK10" s="424"/>
      <c r="AL10" s="424">
        <f>I10</f>
        <v>660</v>
      </c>
      <c r="AM10" s="371">
        <f t="shared" si="2"/>
        <v>660</v>
      </c>
      <c r="AN10" s="444"/>
      <c r="AO10" s="445" t="s">
        <v>85</v>
      </c>
      <c r="AP10" s="445"/>
      <c r="AQ10" s="388">
        <f>I10</f>
        <v>660</v>
      </c>
      <c r="AR10" s="388"/>
      <c r="AS10" s="296"/>
    </row>
    <row r="11" s="295" customFormat="1" ht="36" customHeight="1" spans="1:46">
      <c r="A11" s="422">
        <v>46080</v>
      </c>
      <c r="B11" s="423" t="s">
        <v>95</v>
      </c>
      <c r="C11" s="423" t="s">
        <v>78</v>
      </c>
      <c r="D11" s="424">
        <v>4500194581</v>
      </c>
      <c r="E11" s="425" t="s">
        <v>96</v>
      </c>
      <c r="F11" s="426" t="s">
        <v>97</v>
      </c>
      <c r="G11" s="427" t="s">
        <v>50</v>
      </c>
      <c r="H11" s="428" t="s">
        <v>51</v>
      </c>
      <c r="I11" s="429">
        <v>975</v>
      </c>
      <c r="J11" s="430">
        <v>0</v>
      </c>
      <c r="K11" s="430">
        <v>3</v>
      </c>
      <c r="L11" s="431">
        <f t="shared" si="0"/>
        <v>325</v>
      </c>
      <c r="M11" s="432">
        <v>46122</v>
      </c>
      <c r="N11" s="379">
        <v>46120</v>
      </c>
      <c r="O11" s="433"/>
      <c r="P11" s="433" t="s">
        <v>52</v>
      </c>
      <c r="Q11" s="446">
        <v>46194</v>
      </c>
      <c r="R11" s="447" t="s">
        <v>98</v>
      </c>
      <c r="S11" s="433">
        <v>46093</v>
      </c>
      <c r="T11" s="436" t="s">
        <v>54</v>
      </c>
      <c r="U11" s="433" t="s">
        <v>54</v>
      </c>
      <c r="V11" s="448"/>
      <c r="W11" s="438" t="s">
        <v>99</v>
      </c>
      <c r="X11" s="439" t="s">
        <v>100</v>
      </c>
      <c r="Y11" s="440">
        <v>10.2316</v>
      </c>
      <c r="Z11" s="441">
        <f t="shared" si="1"/>
        <v>9975.81</v>
      </c>
      <c r="AA11" s="424"/>
      <c r="AB11" s="411" t="s">
        <v>50</v>
      </c>
      <c r="AC11" s="388" t="s">
        <v>56</v>
      </c>
      <c r="AD11" s="430"/>
      <c r="AE11" s="413" t="s">
        <v>59</v>
      </c>
      <c r="AF11" s="442"/>
      <c r="AG11" s="443"/>
      <c r="AH11" s="443"/>
      <c r="AI11" s="424">
        <f>I11</f>
        <v>975</v>
      </c>
      <c r="AJ11" s="424"/>
      <c r="AK11" s="424"/>
      <c r="AL11" s="424"/>
      <c r="AM11" s="371">
        <f t="shared" si="2"/>
        <v>975</v>
      </c>
      <c r="AN11" s="371"/>
      <c r="AO11" s="449" t="s">
        <v>101</v>
      </c>
      <c r="AP11" s="449"/>
      <c r="AQ11" s="388">
        <f>I11</f>
        <v>975</v>
      </c>
      <c r="AR11" s="388"/>
      <c r="AS11" s="296"/>
    </row>
    <row r="12" s="295" customFormat="1" ht="36" customHeight="1" spans="1:46">
      <c r="A12" s="422">
        <v>46055</v>
      </c>
      <c r="B12" s="423" t="s">
        <v>102</v>
      </c>
      <c r="C12" s="423" t="s">
        <v>103</v>
      </c>
      <c r="D12" s="424">
        <v>4500192938</v>
      </c>
      <c r="E12" s="425" t="s">
        <v>104</v>
      </c>
      <c r="F12" s="426" t="s">
        <v>105</v>
      </c>
      <c r="G12" s="427" t="s">
        <v>50</v>
      </c>
      <c r="H12" s="428" t="s">
        <v>51</v>
      </c>
      <c r="I12" s="429">
        <v>1002</v>
      </c>
      <c r="J12" s="430">
        <v>0</v>
      </c>
      <c r="K12" s="430">
        <v>3</v>
      </c>
      <c r="L12" s="431">
        <f t="shared" si="0"/>
        <v>334</v>
      </c>
      <c r="M12" s="432">
        <v>46122</v>
      </c>
      <c r="N12" s="379">
        <v>46120</v>
      </c>
      <c r="O12" s="433"/>
      <c r="P12" s="433" t="s">
        <v>52</v>
      </c>
      <c r="Q12" s="434">
        <v>46127</v>
      </c>
      <c r="R12" s="435" t="s">
        <v>65</v>
      </c>
      <c r="S12" s="433">
        <v>46083</v>
      </c>
      <c r="T12" s="436" t="s">
        <v>54</v>
      </c>
      <c r="U12" s="437" t="s">
        <v>81</v>
      </c>
      <c r="V12" s="433"/>
      <c r="W12" s="438" t="s">
        <v>106</v>
      </c>
      <c r="X12" s="439" t="s">
        <v>83</v>
      </c>
      <c r="Y12" s="440">
        <v>8.8</v>
      </c>
      <c r="Z12" s="441">
        <f t="shared" si="1"/>
        <v>8817.6</v>
      </c>
      <c r="AA12" s="424"/>
      <c r="AB12" s="411" t="s">
        <v>84</v>
      </c>
      <c r="AC12" s="388" t="s">
        <v>56</v>
      </c>
      <c r="AD12" s="430"/>
      <c r="AE12" s="413" t="s">
        <v>59</v>
      </c>
      <c r="AF12" s="442"/>
      <c r="AG12" s="443"/>
      <c r="AH12" s="443"/>
      <c r="AI12" s="424"/>
      <c r="AJ12" s="424"/>
      <c r="AK12" s="424"/>
      <c r="AL12" s="424">
        <f>I12</f>
        <v>1002</v>
      </c>
      <c r="AM12" s="371">
        <f t="shared" si="2"/>
        <v>1002</v>
      </c>
      <c r="AN12" s="444"/>
      <c r="AO12" s="445" t="s">
        <v>85</v>
      </c>
      <c r="AP12" s="445"/>
      <c r="AQ12" s="388">
        <f t="shared" ref="AQ12:AQ75" si="3">I12</f>
        <v>1002</v>
      </c>
      <c r="AR12" s="388"/>
      <c r="AS12" s="296"/>
    </row>
    <row r="13" s="296" customFormat="1" ht="36" customHeight="1" spans="1:46">
      <c r="A13" s="369">
        <v>46055</v>
      </c>
      <c r="B13" s="370" t="s">
        <v>107</v>
      </c>
      <c r="C13" s="370" t="s">
        <v>108</v>
      </c>
      <c r="D13" s="371">
        <v>4500192944</v>
      </c>
      <c r="E13" s="417">
        <v>4400536944</v>
      </c>
      <c r="F13" s="387" t="s">
        <v>109</v>
      </c>
      <c r="G13" s="374" t="s">
        <v>50</v>
      </c>
      <c r="H13" s="375" t="s">
        <v>51</v>
      </c>
      <c r="I13" s="376">
        <v>561</v>
      </c>
      <c r="J13" s="377">
        <v>0</v>
      </c>
      <c r="K13" s="377">
        <v>3</v>
      </c>
      <c r="L13" s="378">
        <f t="shared" si="0"/>
        <v>187</v>
      </c>
      <c r="M13" s="379">
        <v>46122</v>
      </c>
      <c r="N13" s="379">
        <v>46120</v>
      </c>
      <c r="O13" s="380"/>
      <c r="P13" s="433" t="s">
        <v>52</v>
      </c>
      <c r="Q13" s="420">
        <v>46132</v>
      </c>
      <c r="R13" s="418" t="s">
        <v>65</v>
      </c>
      <c r="S13" s="380">
        <v>46083</v>
      </c>
      <c r="T13" s="382" t="s">
        <v>54</v>
      </c>
      <c r="U13" s="437" t="s">
        <v>81</v>
      </c>
      <c r="V13" s="380"/>
      <c r="W13" s="383" t="s">
        <v>110</v>
      </c>
      <c r="X13" s="384" t="s">
        <v>83</v>
      </c>
      <c r="Y13" s="385">
        <v>8.8</v>
      </c>
      <c r="Z13" s="386">
        <f t="shared" si="1"/>
        <v>4936.8</v>
      </c>
      <c r="AA13" s="371"/>
      <c r="AB13" s="411" t="s">
        <v>84</v>
      </c>
      <c r="AC13" s="388" t="s">
        <v>56</v>
      </c>
      <c r="AD13" s="377"/>
      <c r="AE13" s="413" t="s">
        <v>59</v>
      </c>
      <c r="AF13" s="390"/>
      <c r="AG13" s="391"/>
      <c r="AH13" s="391"/>
      <c r="AI13" s="371"/>
      <c r="AJ13" s="371"/>
      <c r="AK13" s="371"/>
      <c r="AL13" s="371">
        <f>I13</f>
        <v>561</v>
      </c>
      <c r="AM13" s="371">
        <f t="shared" si="2"/>
        <v>561</v>
      </c>
      <c r="AN13" s="392"/>
      <c r="AO13" s="445" t="s">
        <v>85</v>
      </c>
      <c r="AP13" s="445"/>
      <c r="AQ13" s="388">
        <f t="shared" si="3"/>
        <v>561</v>
      </c>
      <c r="AR13" s="388"/>
      <c r="AT13" s="419"/>
    </row>
    <row r="14" s="295" customFormat="1" ht="36" customHeight="1" spans="1:46">
      <c r="A14" s="422">
        <v>46055</v>
      </c>
      <c r="B14" s="423" t="s">
        <v>107</v>
      </c>
      <c r="C14" s="423" t="s">
        <v>108</v>
      </c>
      <c r="D14" s="424">
        <v>4500192944</v>
      </c>
      <c r="E14" s="425">
        <v>4400536950</v>
      </c>
      <c r="F14" s="426" t="s">
        <v>111</v>
      </c>
      <c r="G14" s="427" t="s">
        <v>50</v>
      </c>
      <c r="H14" s="428" t="s">
        <v>51</v>
      </c>
      <c r="I14" s="450">
        <v>240</v>
      </c>
      <c r="J14" s="430">
        <v>0</v>
      </c>
      <c r="K14" s="430">
        <v>3</v>
      </c>
      <c r="L14" s="431">
        <f t="shared" si="0"/>
        <v>80</v>
      </c>
      <c r="M14" s="432">
        <v>46122</v>
      </c>
      <c r="N14" s="379">
        <v>46120</v>
      </c>
      <c r="O14" s="433"/>
      <c r="P14" s="433" t="s">
        <v>52</v>
      </c>
      <c r="Q14" s="420">
        <v>46132</v>
      </c>
      <c r="R14" s="418" t="s">
        <v>65</v>
      </c>
      <c r="S14" s="380">
        <v>46083</v>
      </c>
      <c r="T14" s="436" t="s">
        <v>54</v>
      </c>
      <c r="U14" s="437" t="s">
        <v>81</v>
      </c>
      <c r="V14" s="433"/>
      <c r="W14" s="383" t="s">
        <v>110</v>
      </c>
      <c r="X14" s="439" t="s">
        <v>83</v>
      </c>
      <c r="Y14" s="440">
        <v>8.8</v>
      </c>
      <c r="Z14" s="441">
        <f t="shared" si="1"/>
        <v>2112</v>
      </c>
      <c r="AA14" s="424"/>
      <c r="AB14" s="411" t="s">
        <v>84</v>
      </c>
      <c r="AC14" s="388" t="s">
        <v>56</v>
      </c>
      <c r="AD14" s="430"/>
      <c r="AE14" s="413" t="s">
        <v>59</v>
      </c>
      <c r="AF14" s="442"/>
      <c r="AG14" s="443"/>
      <c r="AH14" s="443"/>
      <c r="AI14" s="424"/>
      <c r="AJ14" s="424"/>
      <c r="AK14" s="424"/>
      <c r="AL14" s="424">
        <f>I14</f>
        <v>240</v>
      </c>
      <c r="AM14" s="371">
        <f t="shared" si="2"/>
        <v>240</v>
      </c>
      <c r="AN14" s="444"/>
      <c r="AO14" s="445" t="s">
        <v>85</v>
      </c>
      <c r="AP14" s="445"/>
      <c r="AQ14" s="388">
        <f t="shared" si="3"/>
        <v>240</v>
      </c>
      <c r="AR14" s="388"/>
      <c r="AS14" s="296"/>
    </row>
    <row r="15" s="295" customFormat="1" ht="36" customHeight="1" spans="1:46">
      <c r="A15" s="422">
        <v>46064</v>
      </c>
      <c r="B15" s="423" t="s">
        <v>112</v>
      </c>
      <c r="C15" s="423" t="s">
        <v>113</v>
      </c>
      <c r="D15" s="424">
        <v>4500193679</v>
      </c>
      <c r="E15" s="425"/>
      <c r="F15" s="426" t="s">
        <v>114</v>
      </c>
      <c r="G15" s="427" t="s">
        <v>50</v>
      </c>
      <c r="H15" s="428" t="s">
        <v>51</v>
      </c>
      <c r="I15" s="429">
        <v>2502</v>
      </c>
      <c r="J15" s="430">
        <v>0</v>
      </c>
      <c r="K15" s="430">
        <v>3</v>
      </c>
      <c r="L15" s="431">
        <f t="shared" si="0"/>
        <v>834</v>
      </c>
      <c r="M15" s="432">
        <v>46128</v>
      </c>
      <c r="N15" s="432">
        <v>46126</v>
      </c>
      <c r="O15" s="433"/>
      <c r="P15" s="433" t="s">
        <v>52</v>
      </c>
      <c r="Q15" s="434">
        <v>46133</v>
      </c>
      <c r="R15" s="435" t="s">
        <v>65</v>
      </c>
      <c r="S15" s="433">
        <v>46093</v>
      </c>
      <c r="T15" s="436" t="s">
        <v>54</v>
      </c>
      <c r="U15" s="380" t="s">
        <v>54</v>
      </c>
      <c r="V15" s="380"/>
      <c r="W15" s="438" t="s">
        <v>115</v>
      </c>
      <c r="X15" s="439" t="s">
        <v>116</v>
      </c>
      <c r="Y15" s="440">
        <v>8.8</v>
      </c>
      <c r="Z15" s="441">
        <f t="shared" si="1"/>
        <v>22017.6</v>
      </c>
      <c r="AA15" s="424"/>
      <c r="AB15" s="411" t="s">
        <v>84</v>
      </c>
      <c r="AC15" s="388" t="s">
        <v>56</v>
      </c>
      <c r="AD15" s="430"/>
      <c r="AE15" s="413" t="s">
        <v>117</v>
      </c>
      <c r="AF15" s="442"/>
      <c r="AG15" s="443"/>
      <c r="AH15" s="443"/>
      <c r="AI15" s="424"/>
      <c r="AJ15" s="424"/>
      <c r="AK15" s="424"/>
      <c r="AL15" s="424">
        <f>I15</f>
        <v>2502</v>
      </c>
      <c r="AM15" s="449">
        <f t="shared" ref="AM15:AM75" si="4">I15</f>
        <v>2502</v>
      </c>
      <c r="AN15" s="449"/>
      <c r="AO15" s="449" t="s">
        <v>101</v>
      </c>
      <c r="AP15" s="449"/>
      <c r="AQ15" s="388">
        <f t="shared" si="3"/>
        <v>2502</v>
      </c>
      <c r="AR15" s="388"/>
      <c r="AS15" s="296"/>
    </row>
    <row r="16" s="295" customFormat="1" ht="36" customHeight="1" spans="1:46">
      <c r="A16" s="422">
        <v>46079</v>
      </c>
      <c r="B16" s="423" t="s">
        <v>70</v>
      </c>
      <c r="C16" s="423" t="s">
        <v>71</v>
      </c>
      <c r="D16" s="424">
        <v>4500194297</v>
      </c>
      <c r="E16" s="425" t="s">
        <v>118</v>
      </c>
      <c r="F16" s="426" t="s">
        <v>119</v>
      </c>
      <c r="G16" s="427" t="s">
        <v>50</v>
      </c>
      <c r="H16" s="428" t="s">
        <v>51</v>
      </c>
      <c r="I16" s="429">
        <v>3366</v>
      </c>
      <c r="J16" s="430">
        <v>0</v>
      </c>
      <c r="K16" s="430">
        <v>3</v>
      </c>
      <c r="L16" s="431">
        <f t="shared" si="0"/>
        <v>1122</v>
      </c>
      <c r="M16" s="432">
        <v>46132</v>
      </c>
      <c r="N16" s="432">
        <v>46129</v>
      </c>
      <c r="O16" s="433"/>
      <c r="P16" s="433" t="s">
        <v>52</v>
      </c>
      <c r="Q16" s="451">
        <v>46142</v>
      </c>
      <c r="R16" s="435" t="s">
        <v>65</v>
      </c>
      <c r="S16" s="433">
        <v>46101</v>
      </c>
      <c r="T16" s="436" t="s">
        <v>66</v>
      </c>
      <c r="U16" s="433" t="s">
        <v>120</v>
      </c>
      <c r="V16" s="452"/>
      <c r="W16" s="438" t="s">
        <v>121</v>
      </c>
      <c r="X16" s="439" t="s">
        <v>76</v>
      </c>
      <c r="Y16" s="440">
        <v>5.28</v>
      </c>
      <c r="Z16" s="441">
        <f t="shared" si="1"/>
        <v>17772.48</v>
      </c>
      <c r="AA16" s="424"/>
      <c r="AB16" s="426" t="s">
        <v>50</v>
      </c>
      <c r="AC16" s="388" t="s">
        <v>56</v>
      </c>
      <c r="AD16" s="430"/>
      <c r="AE16" s="413" t="s">
        <v>117</v>
      </c>
      <c r="AF16" s="442"/>
      <c r="AG16" s="443"/>
      <c r="AH16" s="443"/>
      <c r="AI16" s="424">
        <f>I16</f>
        <v>3366</v>
      </c>
      <c r="AJ16" s="424"/>
      <c r="AK16" s="424"/>
      <c r="AL16" s="424"/>
      <c r="AM16" s="449">
        <f t="shared" si="4"/>
        <v>3366</v>
      </c>
      <c r="AN16" s="444"/>
      <c r="AO16" s="421"/>
      <c r="AP16" s="421"/>
      <c r="AQ16" s="388">
        <f t="shared" si="3"/>
        <v>3366</v>
      </c>
      <c r="AR16" s="388"/>
      <c r="AS16" s="296"/>
    </row>
    <row r="17" s="295" customFormat="1" ht="36" customHeight="1" spans="1:45">
      <c r="A17" s="422">
        <v>46087</v>
      </c>
      <c r="B17" s="423" t="s">
        <v>122</v>
      </c>
      <c r="C17" s="423" t="s">
        <v>71</v>
      </c>
      <c r="D17" s="424">
        <v>4500195615</v>
      </c>
      <c r="E17" s="425" t="s">
        <v>123</v>
      </c>
      <c r="F17" s="424" t="s">
        <v>124</v>
      </c>
      <c r="G17" s="427" t="s">
        <v>125</v>
      </c>
      <c r="H17" s="428" t="s">
        <v>51</v>
      </c>
      <c r="I17" s="429">
        <v>500</v>
      </c>
      <c r="J17" s="430">
        <v>0</v>
      </c>
      <c r="K17" s="430">
        <v>2</v>
      </c>
      <c r="L17" s="431">
        <f t="shared" si="0"/>
        <v>250</v>
      </c>
      <c r="M17" s="432">
        <v>46135</v>
      </c>
      <c r="N17" s="432">
        <v>46133</v>
      </c>
      <c r="O17" s="453" t="s">
        <v>126</v>
      </c>
      <c r="P17" s="433" t="s">
        <v>52</v>
      </c>
      <c r="Q17" s="446">
        <v>46174</v>
      </c>
      <c r="R17" s="435" t="s">
        <v>65</v>
      </c>
      <c r="S17" s="433">
        <v>46087</v>
      </c>
      <c r="T17" s="436" t="s">
        <v>54</v>
      </c>
      <c r="U17" s="433" t="s">
        <v>127</v>
      </c>
      <c r="V17" s="452"/>
      <c r="W17" s="438" t="s">
        <v>128</v>
      </c>
      <c r="X17" s="439" t="s">
        <v>129</v>
      </c>
      <c r="Y17" s="440">
        <v>6.5485</v>
      </c>
      <c r="Z17" s="441">
        <f>Y17*I17</f>
        <v>3274.25</v>
      </c>
      <c r="AA17" s="424"/>
      <c r="AB17" s="411" t="s">
        <v>125</v>
      </c>
      <c r="AC17" s="388" t="s">
        <v>56</v>
      </c>
      <c r="AD17" s="430"/>
      <c r="AE17" s="413" t="s">
        <v>117</v>
      </c>
      <c r="AF17" s="442"/>
      <c r="AG17" s="443"/>
      <c r="AH17" s="443"/>
      <c r="AI17" s="424">
        <f>I17</f>
        <v>500</v>
      </c>
      <c r="AJ17" s="424"/>
      <c r="AK17" s="424"/>
      <c r="AL17" s="424"/>
      <c r="AM17" s="449">
        <f t="shared" si="4"/>
        <v>500</v>
      </c>
      <c r="AN17" s="444"/>
      <c r="AO17" s="421"/>
      <c r="AP17" s="421"/>
      <c r="AQ17" s="388">
        <f t="shared" si="3"/>
        <v>500</v>
      </c>
      <c r="AR17" s="388"/>
      <c r="AS17" s="296"/>
    </row>
    <row r="18" s="295" customFormat="1" ht="36" customHeight="1" spans="1:45">
      <c r="A18" s="422">
        <v>46079</v>
      </c>
      <c r="B18" s="423" t="s">
        <v>70</v>
      </c>
      <c r="C18" s="423" t="s">
        <v>71</v>
      </c>
      <c r="D18" s="424">
        <v>4500194290</v>
      </c>
      <c r="E18" s="425" t="s">
        <v>130</v>
      </c>
      <c r="F18" s="426" t="s">
        <v>131</v>
      </c>
      <c r="G18" s="427" t="s">
        <v>50</v>
      </c>
      <c r="H18" s="428" t="s">
        <v>51</v>
      </c>
      <c r="I18" s="429">
        <v>375</v>
      </c>
      <c r="J18" s="430">
        <v>0</v>
      </c>
      <c r="K18" s="430">
        <v>3</v>
      </c>
      <c r="L18" s="431">
        <f t="shared" si="0"/>
        <v>125</v>
      </c>
      <c r="M18" s="432">
        <v>46136</v>
      </c>
      <c r="N18" s="432">
        <v>46132</v>
      </c>
      <c r="O18" s="433"/>
      <c r="P18" s="433" t="s">
        <v>52</v>
      </c>
      <c r="Q18" s="454">
        <v>46143</v>
      </c>
      <c r="R18" s="435" t="s">
        <v>65</v>
      </c>
      <c r="S18" s="433">
        <v>46105</v>
      </c>
      <c r="T18" s="436" t="s">
        <v>66</v>
      </c>
      <c r="U18" s="380" t="s">
        <v>132</v>
      </c>
      <c r="V18" s="455"/>
      <c r="W18" s="438" t="s">
        <v>133</v>
      </c>
      <c r="X18" s="439" t="s">
        <v>76</v>
      </c>
      <c r="Y18" s="440">
        <v>5.28</v>
      </c>
      <c r="Z18" s="441">
        <f>I18*Y18</f>
        <v>1980</v>
      </c>
      <c r="AA18" s="424"/>
      <c r="AB18" s="411" t="s">
        <v>50</v>
      </c>
      <c r="AC18" s="388" t="s">
        <v>56</v>
      </c>
      <c r="AD18" s="430"/>
      <c r="AE18" s="413" t="s">
        <v>117</v>
      </c>
      <c r="AF18" s="442"/>
      <c r="AG18" s="443"/>
      <c r="AH18" s="443"/>
      <c r="AI18" s="424">
        <f>I18</f>
        <v>375</v>
      </c>
      <c r="AJ18" s="424"/>
      <c r="AK18" s="424"/>
      <c r="AL18" s="424"/>
      <c r="AM18" s="449">
        <f t="shared" si="4"/>
        <v>375</v>
      </c>
      <c r="AN18" s="444"/>
      <c r="AO18" s="421"/>
      <c r="AP18" s="421"/>
      <c r="AQ18" s="388">
        <f t="shared" si="3"/>
        <v>375</v>
      </c>
      <c r="AR18" s="388"/>
      <c r="AS18" s="296"/>
    </row>
    <row r="19" s="295" customFormat="1" ht="36" customHeight="1" spans="1:45">
      <c r="A19" s="422">
        <v>46079</v>
      </c>
      <c r="B19" s="423" t="s">
        <v>70</v>
      </c>
      <c r="C19" s="423" t="s">
        <v>71</v>
      </c>
      <c r="D19" s="424">
        <v>4500194303</v>
      </c>
      <c r="E19" s="425" t="s">
        <v>134</v>
      </c>
      <c r="F19" s="426" t="s">
        <v>135</v>
      </c>
      <c r="G19" s="427" t="s">
        <v>50</v>
      </c>
      <c r="H19" s="428" t="s">
        <v>51</v>
      </c>
      <c r="I19" s="429">
        <v>1764</v>
      </c>
      <c r="J19" s="430">
        <v>0</v>
      </c>
      <c r="K19" s="430">
        <v>3</v>
      </c>
      <c r="L19" s="431">
        <f t="shared" si="0"/>
        <v>588</v>
      </c>
      <c r="M19" s="432">
        <v>46141</v>
      </c>
      <c r="N19" s="432">
        <v>46139</v>
      </c>
      <c r="O19" s="433"/>
      <c r="P19" s="433" t="s">
        <v>52</v>
      </c>
      <c r="Q19" s="454">
        <v>46153</v>
      </c>
      <c r="R19" s="435" t="s">
        <v>65</v>
      </c>
      <c r="S19" s="433">
        <v>46108</v>
      </c>
      <c r="T19" s="436" t="s">
        <v>66</v>
      </c>
      <c r="U19" s="380" t="s">
        <v>136</v>
      </c>
      <c r="V19" s="456"/>
      <c r="W19" s="438" t="s">
        <v>137</v>
      </c>
      <c r="X19" s="439" t="s">
        <v>76</v>
      </c>
      <c r="Y19" s="440">
        <v>5.9555</v>
      </c>
      <c r="Z19" s="441">
        <f t="shared" ref="Z18:Z29" si="5">I19*Y19</f>
        <v>10505.502</v>
      </c>
      <c r="AA19" s="424"/>
      <c r="AB19" s="411" t="s">
        <v>50</v>
      </c>
      <c r="AC19" s="388" t="s">
        <v>56</v>
      </c>
      <c r="AD19" s="430"/>
      <c r="AE19" s="413" t="s">
        <v>117</v>
      </c>
      <c r="AF19" s="442"/>
      <c r="AG19" s="443"/>
      <c r="AH19" s="443"/>
      <c r="AI19" s="424">
        <f t="shared" ref="AI19:AI37" si="6">I19</f>
        <v>1764</v>
      </c>
      <c r="AJ19" s="424"/>
      <c r="AK19" s="424"/>
      <c r="AL19" s="424"/>
      <c r="AM19" s="449">
        <f t="shared" si="4"/>
        <v>1764</v>
      </c>
      <c r="AN19" s="444"/>
      <c r="AO19" s="421"/>
      <c r="AP19" s="421"/>
      <c r="AQ19" s="388">
        <f t="shared" si="3"/>
        <v>1764</v>
      </c>
      <c r="AR19" s="388"/>
      <c r="AS19" s="296"/>
    </row>
    <row r="20" s="295" customFormat="1" ht="36" customHeight="1" spans="1:45">
      <c r="A20" s="422">
        <v>46080</v>
      </c>
      <c r="B20" s="423" t="s">
        <v>138</v>
      </c>
      <c r="C20" s="423" t="s">
        <v>71</v>
      </c>
      <c r="D20" s="424">
        <v>4500194442</v>
      </c>
      <c r="E20" s="425" t="s">
        <v>139</v>
      </c>
      <c r="F20" s="426" t="s">
        <v>140</v>
      </c>
      <c r="G20" s="427" t="s">
        <v>50</v>
      </c>
      <c r="H20" s="428" t="s">
        <v>51</v>
      </c>
      <c r="I20" s="450">
        <v>570</v>
      </c>
      <c r="J20" s="430">
        <v>0</v>
      </c>
      <c r="K20" s="430">
        <v>3</v>
      </c>
      <c r="L20" s="431">
        <f t="shared" si="0"/>
        <v>190</v>
      </c>
      <c r="M20" s="432">
        <v>46142</v>
      </c>
      <c r="N20" s="432">
        <v>46140</v>
      </c>
      <c r="O20" s="433"/>
      <c r="P20" s="433" t="s">
        <v>52</v>
      </c>
      <c r="Q20" s="434">
        <v>46152</v>
      </c>
      <c r="R20" s="435" t="s">
        <v>65</v>
      </c>
      <c r="S20" s="433">
        <v>46098</v>
      </c>
      <c r="T20" s="436" t="s">
        <v>54</v>
      </c>
      <c r="U20" s="436" t="s">
        <v>54</v>
      </c>
      <c r="V20" s="436"/>
      <c r="W20" s="438" t="s">
        <v>141</v>
      </c>
      <c r="X20" s="439" t="s">
        <v>142</v>
      </c>
      <c r="Y20" s="440">
        <v>5.28</v>
      </c>
      <c r="Z20" s="441">
        <f t="shared" si="5"/>
        <v>3009.6</v>
      </c>
      <c r="AA20" s="424"/>
      <c r="AB20" s="411" t="s">
        <v>50</v>
      </c>
      <c r="AC20" s="388" t="s">
        <v>56</v>
      </c>
      <c r="AD20" s="430"/>
      <c r="AE20" s="413" t="s">
        <v>117</v>
      </c>
      <c r="AF20" s="442"/>
      <c r="AG20" s="443"/>
      <c r="AH20" s="443"/>
      <c r="AI20" s="424">
        <f t="shared" si="6"/>
        <v>570</v>
      </c>
      <c r="AJ20" s="424"/>
      <c r="AK20" s="424"/>
      <c r="AL20" s="424"/>
      <c r="AM20" s="449">
        <f t="shared" si="4"/>
        <v>570</v>
      </c>
      <c r="AN20" s="444"/>
      <c r="AO20" s="392"/>
      <c r="AP20" s="392"/>
      <c r="AQ20" s="388">
        <f t="shared" si="3"/>
        <v>570</v>
      </c>
      <c r="AR20" s="388"/>
      <c r="AS20" s="296"/>
    </row>
    <row r="21" s="295" customFormat="1" ht="36" customHeight="1" spans="1:45">
      <c r="A21" s="422">
        <v>46080</v>
      </c>
      <c r="B21" s="423" t="s">
        <v>138</v>
      </c>
      <c r="C21" s="423" t="s">
        <v>71</v>
      </c>
      <c r="D21" s="424">
        <v>4500194442</v>
      </c>
      <c r="E21" s="425" t="s">
        <v>143</v>
      </c>
      <c r="F21" s="426" t="s">
        <v>144</v>
      </c>
      <c r="G21" s="427" t="s">
        <v>50</v>
      </c>
      <c r="H21" s="428" t="s">
        <v>51</v>
      </c>
      <c r="I21" s="450">
        <v>402</v>
      </c>
      <c r="J21" s="430">
        <v>0</v>
      </c>
      <c r="K21" s="430">
        <v>3</v>
      </c>
      <c r="L21" s="431">
        <f t="shared" si="0"/>
        <v>134</v>
      </c>
      <c r="M21" s="432">
        <v>46142</v>
      </c>
      <c r="N21" s="432">
        <v>46140</v>
      </c>
      <c r="O21" s="433"/>
      <c r="P21" s="433" t="s">
        <v>52</v>
      </c>
      <c r="Q21" s="434">
        <v>46152</v>
      </c>
      <c r="R21" s="435" t="s">
        <v>65</v>
      </c>
      <c r="S21" s="433">
        <v>46098</v>
      </c>
      <c r="T21" s="436" t="s">
        <v>54</v>
      </c>
      <c r="U21" s="436" t="s">
        <v>54</v>
      </c>
      <c r="V21" s="436"/>
      <c r="W21" s="438" t="s">
        <v>141</v>
      </c>
      <c r="X21" s="439" t="s">
        <v>142</v>
      </c>
      <c r="Y21" s="440">
        <v>5.28</v>
      </c>
      <c r="Z21" s="441">
        <f t="shared" si="5"/>
        <v>2122.56</v>
      </c>
      <c r="AA21" s="424"/>
      <c r="AB21" s="411" t="s">
        <v>50</v>
      </c>
      <c r="AC21" s="388" t="s">
        <v>56</v>
      </c>
      <c r="AD21" s="430"/>
      <c r="AE21" s="413" t="s">
        <v>117</v>
      </c>
      <c r="AF21" s="442"/>
      <c r="AG21" s="443"/>
      <c r="AH21" s="443"/>
      <c r="AI21" s="424">
        <f t="shared" si="6"/>
        <v>402</v>
      </c>
      <c r="AJ21" s="424"/>
      <c r="AK21" s="424"/>
      <c r="AL21" s="424"/>
      <c r="AM21" s="449">
        <f t="shared" si="4"/>
        <v>402</v>
      </c>
      <c r="AN21" s="444"/>
      <c r="AO21" s="392"/>
      <c r="AP21" s="392"/>
      <c r="AQ21" s="388">
        <f t="shared" si="3"/>
        <v>402</v>
      </c>
      <c r="AR21" s="388"/>
      <c r="AS21" s="296"/>
    </row>
    <row r="22" s="295" customFormat="1" ht="36" customHeight="1" spans="1:45">
      <c r="A22" s="422">
        <v>46093</v>
      </c>
      <c r="B22" s="423" t="s">
        <v>145</v>
      </c>
      <c r="C22" s="423" t="s">
        <v>71</v>
      </c>
      <c r="D22" s="424">
        <v>4500196264</v>
      </c>
      <c r="E22" s="425" t="s">
        <v>146</v>
      </c>
      <c r="F22" s="426" t="s">
        <v>147</v>
      </c>
      <c r="G22" s="427" t="s">
        <v>50</v>
      </c>
      <c r="H22" s="428" t="s">
        <v>51</v>
      </c>
      <c r="I22" s="450">
        <v>144</v>
      </c>
      <c r="J22" s="430">
        <v>0</v>
      </c>
      <c r="K22" s="430">
        <v>3</v>
      </c>
      <c r="L22" s="431">
        <f t="shared" si="0"/>
        <v>48</v>
      </c>
      <c r="M22" s="432">
        <v>46142</v>
      </c>
      <c r="N22" s="432">
        <v>46140</v>
      </c>
      <c r="O22" s="433"/>
      <c r="P22" s="433" t="s">
        <v>52</v>
      </c>
      <c r="Q22" s="457">
        <v>46154</v>
      </c>
      <c r="R22" s="435" t="s">
        <v>65</v>
      </c>
      <c r="S22" s="433">
        <v>46098</v>
      </c>
      <c r="T22" s="436" t="s">
        <v>54</v>
      </c>
      <c r="U22" s="436" t="s">
        <v>54</v>
      </c>
      <c r="V22" s="436"/>
      <c r="W22" s="438" t="s">
        <v>148</v>
      </c>
      <c r="X22" s="439" t="s">
        <v>149</v>
      </c>
      <c r="Y22" s="440">
        <v>6.139</v>
      </c>
      <c r="Z22" s="441">
        <f t="shared" si="5"/>
        <v>884.016</v>
      </c>
      <c r="AA22" s="424"/>
      <c r="AB22" s="411" t="s">
        <v>50</v>
      </c>
      <c r="AC22" s="388" t="s">
        <v>56</v>
      </c>
      <c r="AD22" s="430"/>
      <c r="AE22" s="413" t="s">
        <v>117</v>
      </c>
      <c r="AF22" s="442"/>
      <c r="AG22" s="443"/>
      <c r="AH22" s="443"/>
      <c r="AI22" s="424">
        <f t="shared" si="6"/>
        <v>144</v>
      </c>
      <c r="AJ22" s="424"/>
      <c r="AK22" s="424"/>
      <c r="AL22" s="424"/>
      <c r="AM22" s="449">
        <f t="shared" si="4"/>
        <v>144</v>
      </c>
      <c r="AN22" s="444"/>
      <c r="AO22" s="392"/>
      <c r="AP22" s="392"/>
      <c r="AQ22" s="388">
        <f t="shared" si="3"/>
        <v>144</v>
      </c>
      <c r="AR22" s="388"/>
      <c r="AS22" s="296"/>
    </row>
    <row r="23" s="295" customFormat="1" ht="36" customHeight="1" spans="1:45">
      <c r="A23" s="458">
        <v>46094</v>
      </c>
      <c r="B23" s="459" t="s">
        <v>150</v>
      </c>
      <c r="C23" s="459" t="s">
        <v>78</v>
      </c>
      <c r="D23" s="460">
        <v>4500196850</v>
      </c>
      <c r="E23" s="461" t="s">
        <v>151</v>
      </c>
      <c r="F23" s="462" t="s">
        <v>152</v>
      </c>
      <c r="G23" s="463" t="s">
        <v>50</v>
      </c>
      <c r="H23" s="428" t="s">
        <v>51</v>
      </c>
      <c r="I23" s="450">
        <v>750</v>
      </c>
      <c r="J23" s="430">
        <v>0</v>
      </c>
      <c r="K23" s="430">
        <v>3</v>
      </c>
      <c r="L23" s="431">
        <f t="shared" si="0"/>
        <v>250</v>
      </c>
      <c r="M23" s="464">
        <v>46147</v>
      </c>
      <c r="N23" s="464">
        <v>46143</v>
      </c>
      <c r="O23" s="465"/>
      <c r="P23" s="465" t="s">
        <v>52</v>
      </c>
      <c r="Q23" s="466">
        <v>46160</v>
      </c>
      <c r="R23" s="435" t="s">
        <v>65</v>
      </c>
      <c r="S23" s="465">
        <v>46115</v>
      </c>
      <c r="T23" s="436" t="s">
        <v>54</v>
      </c>
      <c r="U23" s="436" t="s">
        <v>54</v>
      </c>
      <c r="V23" s="467"/>
      <c r="W23" s="468" t="s">
        <v>153</v>
      </c>
      <c r="X23" s="469" t="s">
        <v>154</v>
      </c>
      <c r="Y23" s="440">
        <v>9.9425</v>
      </c>
      <c r="Z23" s="441">
        <f t="shared" si="5"/>
        <v>7456.875</v>
      </c>
      <c r="AA23" s="460"/>
      <c r="AB23" s="411" t="s">
        <v>50</v>
      </c>
      <c r="AC23" s="388" t="s">
        <v>56</v>
      </c>
      <c r="AD23" s="470"/>
      <c r="AE23" s="471"/>
      <c r="AF23" s="472"/>
      <c r="AG23" s="473"/>
      <c r="AH23" s="473"/>
      <c r="AI23" s="460">
        <f t="shared" si="6"/>
        <v>750</v>
      </c>
      <c r="AJ23" s="460"/>
      <c r="AK23" s="460"/>
      <c r="AL23" s="460"/>
      <c r="AM23" s="449">
        <f t="shared" si="4"/>
        <v>750</v>
      </c>
      <c r="AN23" s="474"/>
      <c r="AO23" s="475" t="s">
        <v>155</v>
      </c>
      <c r="AP23" s="475"/>
      <c r="AQ23" s="388">
        <f t="shared" si="3"/>
        <v>750</v>
      </c>
      <c r="AR23" s="388"/>
      <c r="AS23" s="296"/>
    </row>
    <row r="24" s="295" customFormat="1" ht="36" customHeight="1" spans="1:45">
      <c r="A24" s="369">
        <v>46106</v>
      </c>
      <c r="B24" s="370" t="s">
        <v>122</v>
      </c>
      <c r="C24" s="370" t="s">
        <v>71</v>
      </c>
      <c r="D24" s="371">
        <v>4500197934</v>
      </c>
      <c r="E24" s="372" t="s">
        <v>156</v>
      </c>
      <c r="F24" s="373" t="s">
        <v>157</v>
      </c>
      <c r="G24" s="374" t="s">
        <v>125</v>
      </c>
      <c r="H24" s="428" t="s">
        <v>51</v>
      </c>
      <c r="I24" s="450">
        <v>500</v>
      </c>
      <c r="J24" s="377">
        <v>0</v>
      </c>
      <c r="K24" s="377">
        <v>2</v>
      </c>
      <c r="L24" s="378">
        <f t="shared" si="0"/>
        <v>250</v>
      </c>
      <c r="M24" s="379">
        <v>46149</v>
      </c>
      <c r="N24" s="379">
        <v>46146</v>
      </c>
      <c r="O24" s="476">
        <v>46153</v>
      </c>
      <c r="P24" s="380" t="s">
        <v>52</v>
      </c>
      <c r="Q24" s="477">
        <v>46160</v>
      </c>
      <c r="R24" s="435" t="s">
        <v>65</v>
      </c>
      <c r="S24" s="433" t="s">
        <v>158</v>
      </c>
      <c r="T24" s="436" t="s">
        <v>54</v>
      </c>
      <c r="U24" s="433" t="s">
        <v>159</v>
      </c>
      <c r="V24" s="382"/>
      <c r="W24" s="383" t="s">
        <v>160</v>
      </c>
      <c r="X24" s="384" t="s">
        <v>129</v>
      </c>
      <c r="Y24" s="478">
        <v>6.5485</v>
      </c>
      <c r="Z24" s="386">
        <f t="shared" si="5"/>
        <v>3274.25</v>
      </c>
      <c r="AA24" s="371"/>
      <c r="AB24" s="426" t="s">
        <v>125</v>
      </c>
      <c r="AC24" s="388" t="s">
        <v>56</v>
      </c>
      <c r="AD24" s="377"/>
      <c r="AE24" s="389"/>
      <c r="AF24" s="390"/>
      <c r="AG24" s="391"/>
      <c r="AH24" s="391"/>
      <c r="AI24" s="371">
        <f t="shared" si="6"/>
        <v>500</v>
      </c>
      <c r="AJ24" s="371"/>
      <c r="AK24" s="371"/>
      <c r="AL24" s="371"/>
      <c r="AM24" s="445">
        <f t="shared" si="4"/>
        <v>500</v>
      </c>
      <c r="AN24" s="445"/>
      <c r="AO24" s="296"/>
      <c r="AP24" s="296"/>
      <c r="AQ24" s="388">
        <f t="shared" si="3"/>
        <v>500</v>
      </c>
      <c r="AR24" s="388"/>
      <c r="AS24" s="296"/>
    </row>
    <row r="25" s="295" customFormat="1" ht="36" customHeight="1" spans="1:45">
      <c r="A25" s="369">
        <v>46112</v>
      </c>
      <c r="B25" s="370" t="s">
        <v>161</v>
      </c>
      <c r="C25" s="370" t="s">
        <v>71</v>
      </c>
      <c r="D25" s="371" t="s">
        <v>162</v>
      </c>
      <c r="E25" s="372" t="s">
        <v>163</v>
      </c>
      <c r="F25" s="373" t="s">
        <v>164</v>
      </c>
      <c r="G25" s="374" t="s">
        <v>165</v>
      </c>
      <c r="H25" s="428" t="s">
        <v>51</v>
      </c>
      <c r="I25" s="450">
        <v>480</v>
      </c>
      <c r="J25" s="377">
        <v>0</v>
      </c>
      <c r="K25" s="377">
        <v>3</v>
      </c>
      <c r="L25" s="378">
        <f t="shared" si="0"/>
        <v>160</v>
      </c>
      <c r="M25" s="379">
        <v>46149</v>
      </c>
      <c r="N25" s="379">
        <v>46147</v>
      </c>
      <c r="O25" s="479"/>
      <c r="P25" s="380" t="s">
        <v>52</v>
      </c>
      <c r="Q25" s="480">
        <v>46157</v>
      </c>
      <c r="R25" s="418" t="s">
        <v>65</v>
      </c>
      <c r="S25" s="380">
        <v>46113</v>
      </c>
      <c r="T25" s="436" t="s">
        <v>54</v>
      </c>
      <c r="U25" s="382" t="s">
        <v>54</v>
      </c>
      <c r="V25" s="382" t="s">
        <v>166</v>
      </c>
      <c r="W25" s="383" t="s">
        <v>167</v>
      </c>
      <c r="X25" s="408" t="s">
        <v>168</v>
      </c>
      <c r="Y25" s="481">
        <v>7.3813</v>
      </c>
      <c r="Z25" s="441">
        <f>Y25*L25</f>
        <v>1181.008</v>
      </c>
      <c r="AA25" s="371"/>
      <c r="AB25" s="387" t="s">
        <v>169</v>
      </c>
      <c r="AC25" s="388" t="s">
        <v>56</v>
      </c>
      <c r="AD25" s="377"/>
      <c r="AE25" s="389"/>
      <c r="AF25" s="390"/>
      <c r="AG25" s="391"/>
      <c r="AH25" s="391"/>
      <c r="AI25" s="371">
        <f t="shared" si="6"/>
        <v>480</v>
      </c>
      <c r="AJ25" s="371"/>
      <c r="AK25" s="371"/>
      <c r="AL25" s="482"/>
      <c r="AM25" s="445">
        <f t="shared" si="4"/>
        <v>480</v>
      </c>
      <c r="AN25" s="383"/>
      <c r="AO25" s="371"/>
      <c r="AP25" s="371"/>
      <c r="AQ25" s="388">
        <f t="shared" si="3"/>
        <v>480</v>
      </c>
      <c r="AR25" s="388"/>
      <c r="AS25" s="296"/>
    </row>
    <row r="26" s="295" customFormat="1" ht="36" customHeight="1" spans="1:45">
      <c r="A26" s="369">
        <v>46108</v>
      </c>
      <c r="B26" s="483" t="s">
        <v>70</v>
      </c>
      <c r="C26" s="484" t="s">
        <v>71</v>
      </c>
      <c r="D26" s="485">
        <v>4500199055</v>
      </c>
      <c r="E26" s="484" t="s">
        <v>170</v>
      </c>
      <c r="F26" s="483" t="s">
        <v>171</v>
      </c>
      <c r="G26" s="484" t="s">
        <v>50</v>
      </c>
      <c r="H26" s="428" t="s">
        <v>51</v>
      </c>
      <c r="I26" s="376">
        <v>2430</v>
      </c>
      <c r="J26" s="484">
        <v>0</v>
      </c>
      <c r="K26" s="484">
        <v>3</v>
      </c>
      <c r="L26" s="378">
        <f t="shared" si="0"/>
        <v>810</v>
      </c>
      <c r="M26" s="486">
        <v>46150</v>
      </c>
      <c r="N26" s="486">
        <v>46148</v>
      </c>
      <c r="O26" s="380"/>
      <c r="P26" s="380" t="s">
        <v>52</v>
      </c>
      <c r="Q26" s="477">
        <v>46163</v>
      </c>
      <c r="R26" s="435" t="s">
        <v>65</v>
      </c>
      <c r="S26" s="433">
        <v>46120</v>
      </c>
      <c r="T26" s="436" t="s">
        <v>66</v>
      </c>
      <c r="U26" s="436" t="s">
        <v>172</v>
      </c>
      <c r="V26" s="382"/>
      <c r="W26" s="375" t="s">
        <v>173</v>
      </c>
      <c r="X26" s="487" t="s">
        <v>76</v>
      </c>
      <c r="Y26" s="488">
        <v>5.9383</v>
      </c>
      <c r="Z26" s="386">
        <f>I26*Y26</f>
        <v>14430.069</v>
      </c>
      <c r="AA26" s="371"/>
      <c r="AB26" s="426" t="s">
        <v>50</v>
      </c>
      <c r="AC26" s="388" t="s">
        <v>56</v>
      </c>
      <c r="AD26" s="377"/>
      <c r="AE26" s="389"/>
      <c r="AF26" s="390"/>
      <c r="AG26" s="391"/>
      <c r="AH26" s="391"/>
      <c r="AI26" s="371">
        <f t="shared" si="6"/>
        <v>2430</v>
      </c>
      <c r="AJ26" s="371"/>
      <c r="AK26" s="371"/>
      <c r="AL26" s="371"/>
      <c r="AM26" s="445">
        <f t="shared" si="4"/>
        <v>2430</v>
      </c>
      <c r="AN26" s="489"/>
      <c r="AO26" s="296"/>
      <c r="AP26" s="296"/>
      <c r="AQ26" s="388">
        <f t="shared" si="3"/>
        <v>2430</v>
      </c>
      <c r="AR26" s="388"/>
      <c r="AS26" s="296"/>
    </row>
    <row r="27" s="295" customFormat="1" ht="36" customHeight="1" spans="1:45">
      <c r="A27" s="369">
        <v>46108</v>
      </c>
      <c r="B27" s="370" t="s">
        <v>174</v>
      </c>
      <c r="C27" s="370" t="s">
        <v>175</v>
      </c>
      <c r="D27" s="371">
        <v>4500198640</v>
      </c>
      <c r="E27" s="372" t="s">
        <v>176</v>
      </c>
      <c r="F27" s="373" t="s">
        <v>177</v>
      </c>
      <c r="G27" s="374" t="s">
        <v>169</v>
      </c>
      <c r="H27" s="428" t="s">
        <v>51</v>
      </c>
      <c r="I27" s="376">
        <v>501</v>
      </c>
      <c r="J27" s="377">
        <v>0</v>
      </c>
      <c r="K27" s="377">
        <v>3</v>
      </c>
      <c r="L27" s="378">
        <f t="shared" si="0"/>
        <v>167</v>
      </c>
      <c r="M27" s="379">
        <v>46150</v>
      </c>
      <c r="N27" s="379">
        <v>46148</v>
      </c>
      <c r="O27" s="380"/>
      <c r="P27" s="380" t="s">
        <v>52</v>
      </c>
      <c r="Q27" s="490">
        <v>46159</v>
      </c>
      <c r="R27" s="447"/>
      <c r="S27" s="433" t="s">
        <v>178</v>
      </c>
      <c r="T27" s="436" t="s">
        <v>66</v>
      </c>
      <c r="U27" s="436" t="s">
        <v>179</v>
      </c>
      <c r="V27" s="382" t="s">
        <v>180</v>
      </c>
      <c r="W27" s="491" t="s">
        <v>181</v>
      </c>
      <c r="X27" s="384" t="s">
        <v>182</v>
      </c>
      <c r="Y27" s="478">
        <v>12.65</v>
      </c>
      <c r="Z27" s="386">
        <f>Y27*I27</f>
        <v>6337.65</v>
      </c>
      <c r="AA27" s="371"/>
      <c r="AB27" s="426" t="s">
        <v>183</v>
      </c>
      <c r="AC27" s="388" t="s">
        <v>56</v>
      </c>
      <c r="AD27" s="377"/>
      <c r="AE27" s="389"/>
      <c r="AF27" s="390"/>
      <c r="AG27" s="391"/>
      <c r="AH27" s="391"/>
      <c r="AI27" s="371"/>
      <c r="AJ27" s="371"/>
      <c r="AK27" s="371"/>
      <c r="AL27" s="371">
        <f>I27</f>
        <v>501</v>
      </c>
      <c r="AM27" s="445">
        <f t="shared" si="4"/>
        <v>501</v>
      </c>
      <c r="AN27" s="445"/>
      <c r="AO27" s="388" t="s">
        <v>101</v>
      </c>
      <c r="AP27" s="388"/>
      <c r="AQ27" s="388">
        <f t="shared" si="3"/>
        <v>501</v>
      </c>
      <c r="AR27" s="388"/>
      <c r="AS27" s="296"/>
    </row>
    <row r="28" s="295" customFormat="1" ht="36" customHeight="1" spans="1:45">
      <c r="A28" s="393">
        <v>46106</v>
      </c>
      <c r="B28" s="394" t="s">
        <v>122</v>
      </c>
      <c r="C28" s="394" t="s">
        <v>71</v>
      </c>
      <c r="D28" s="395">
        <v>4500198118</v>
      </c>
      <c r="E28" s="396" t="s">
        <v>184</v>
      </c>
      <c r="F28" s="397" t="s">
        <v>185</v>
      </c>
      <c r="G28" s="398" t="s">
        <v>125</v>
      </c>
      <c r="H28" s="428" t="s">
        <v>51</v>
      </c>
      <c r="I28" s="376">
        <v>500</v>
      </c>
      <c r="J28" s="377">
        <v>0</v>
      </c>
      <c r="K28" s="377">
        <v>2</v>
      </c>
      <c r="L28" s="378">
        <f t="shared" si="0"/>
        <v>250</v>
      </c>
      <c r="M28" s="403">
        <v>46153</v>
      </c>
      <c r="N28" s="403">
        <v>46149</v>
      </c>
      <c r="O28" s="492">
        <v>46156</v>
      </c>
      <c r="P28" s="404" t="s">
        <v>52</v>
      </c>
      <c r="Q28" s="493">
        <v>46174</v>
      </c>
      <c r="R28" s="494" t="s">
        <v>65</v>
      </c>
      <c r="S28" s="404" t="s">
        <v>158</v>
      </c>
      <c r="T28" s="406" t="s">
        <v>54</v>
      </c>
      <c r="U28" s="404" t="s">
        <v>159</v>
      </c>
      <c r="V28" s="406"/>
      <c r="W28" s="407" t="s">
        <v>160</v>
      </c>
      <c r="X28" s="408" t="s">
        <v>129</v>
      </c>
      <c r="Y28" s="481">
        <v>6.5485</v>
      </c>
      <c r="Z28" s="441">
        <f>I28*Y28</f>
        <v>3274.25</v>
      </c>
      <c r="AA28" s="395"/>
      <c r="AB28" s="411" t="s">
        <v>125</v>
      </c>
      <c r="AC28" s="388" t="s">
        <v>56</v>
      </c>
      <c r="AD28" s="401"/>
      <c r="AE28" s="495"/>
      <c r="AF28" s="414"/>
      <c r="AG28" s="415"/>
      <c r="AH28" s="415"/>
      <c r="AI28" s="371">
        <f>I28</f>
        <v>500</v>
      </c>
      <c r="AJ28" s="395"/>
      <c r="AK28" s="395"/>
      <c r="AL28" s="395"/>
      <c r="AM28" s="445">
        <f t="shared" si="4"/>
        <v>500</v>
      </c>
      <c r="AN28" s="496"/>
      <c r="AO28" s="497"/>
      <c r="AP28" s="497"/>
      <c r="AQ28" s="388">
        <f t="shared" si="3"/>
        <v>500</v>
      </c>
      <c r="AR28" s="388"/>
      <c r="AS28" s="296"/>
    </row>
    <row r="29" s="295" customFormat="1" ht="36" customHeight="1" spans="1:45">
      <c r="A29" s="369">
        <v>46106</v>
      </c>
      <c r="B29" s="370" t="s">
        <v>122</v>
      </c>
      <c r="C29" s="370" t="s">
        <v>71</v>
      </c>
      <c r="D29" s="371">
        <v>4500198126</v>
      </c>
      <c r="E29" s="372" t="s">
        <v>186</v>
      </c>
      <c r="F29" s="373" t="s">
        <v>187</v>
      </c>
      <c r="G29" s="374" t="s">
        <v>125</v>
      </c>
      <c r="H29" s="428" t="s">
        <v>51</v>
      </c>
      <c r="I29" s="376">
        <v>500</v>
      </c>
      <c r="J29" s="377">
        <v>0</v>
      </c>
      <c r="K29" s="377">
        <v>2</v>
      </c>
      <c r="L29" s="378">
        <f t="shared" si="0"/>
        <v>250</v>
      </c>
      <c r="M29" s="379">
        <v>46153</v>
      </c>
      <c r="N29" s="379">
        <v>46149</v>
      </c>
      <c r="O29" s="476">
        <v>46156</v>
      </c>
      <c r="P29" s="380" t="s">
        <v>52</v>
      </c>
      <c r="Q29" s="498">
        <v>46163</v>
      </c>
      <c r="R29" s="494" t="s">
        <v>65</v>
      </c>
      <c r="S29" s="433" t="s">
        <v>158</v>
      </c>
      <c r="T29" s="436" t="s">
        <v>54</v>
      </c>
      <c r="U29" s="380" t="s">
        <v>159</v>
      </c>
      <c r="V29" s="382"/>
      <c r="W29" s="383" t="s">
        <v>160</v>
      </c>
      <c r="X29" s="384" t="s">
        <v>129</v>
      </c>
      <c r="Y29" s="478">
        <v>6.5485</v>
      </c>
      <c r="Z29" s="386">
        <f>I29*Y29</f>
        <v>3274.25</v>
      </c>
      <c r="AA29" s="371"/>
      <c r="AB29" s="426" t="s">
        <v>125</v>
      </c>
      <c r="AC29" s="388" t="s">
        <v>56</v>
      </c>
      <c r="AD29" s="377"/>
      <c r="AE29" s="389"/>
      <c r="AF29" s="390"/>
      <c r="AG29" s="391"/>
      <c r="AH29" s="391"/>
      <c r="AI29" s="371">
        <f>I29</f>
        <v>500</v>
      </c>
      <c r="AJ29" s="371"/>
      <c r="AK29" s="371"/>
      <c r="AL29" s="371"/>
      <c r="AM29" s="445">
        <f t="shared" si="4"/>
        <v>500</v>
      </c>
      <c r="AN29" s="445"/>
      <c r="AO29" s="499"/>
      <c r="AP29" s="499"/>
      <c r="AQ29" s="388">
        <f t="shared" si="3"/>
        <v>500</v>
      </c>
      <c r="AR29" s="388"/>
      <c r="AS29" s="296"/>
    </row>
    <row r="30" s="295" customFormat="1" ht="36" customHeight="1" spans="1:45">
      <c r="A30" s="369">
        <v>46095</v>
      </c>
      <c r="B30" s="370" t="s">
        <v>188</v>
      </c>
      <c r="C30" s="370" t="s">
        <v>189</v>
      </c>
      <c r="D30" s="371">
        <v>4500196881</v>
      </c>
      <c r="E30" s="372" t="s">
        <v>190</v>
      </c>
      <c r="F30" s="373" t="s">
        <v>191</v>
      </c>
      <c r="G30" s="374" t="s">
        <v>50</v>
      </c>
      <c r="H30" s="428" t="s">
        <v>51</v>
      </c>
      <c r="I30" s="500">
        <v>1500</v>
      </c>
      <c r="J30" s="377">
        <v>0</v>
      </c>
      <c r="K30" s="377">
        <v>3</v>
      </c>
      <c r="L30" s="378">
        <f t="shared" si="0"/>
        <v>500</v>
      </c>
      <c r="M30" s="379">
        <v>46153</v>
      </c>
      <c r="N30" s="379">
        <v>46150</v>
      </c>
      <c r="O30" s="380"/>
      <c r="P30" s="380" t="s">
        <v>52</v>
      </c>
      <c r="Q30" s="501">
        <v>46155</v>
      </c>
      <c r="R30" s="418" t="s">
        <v>65</v>
      </c>
      <c r="S30" s="380">
        <v>46097</v>
      </c>
      <c r="T30" s="436" t="s">
        <v>66</v>
      </c>
      <c r="U30" s="382" t="s">
        <v>192</v>
      </c>
      <c r="V30" s="382"/>
      <c r="W30" s="383" t="s">
        <v>193</v>
      </c>
      <c r="X30" s="384" t="s">
        <v>194</v>
      </c>
      <c r="Y30" s="385">
        <v>9.9259</v>
      </c>
      <c r="Z30" s="386">
        <f>I30*Y30</f>
        <v>14888.85</v>
      </c>
      <c r="AA30" s="371"/>
      <c r="AB30" s="387" t="s">
        <v>50</v>
      </c>
      <c r="AC30" s="388" t="s">
        <v>56</v>
      </c>
      <c r="AD30" s="377"/>
      <c r="AE30" s="389"/>
      <c r="AF30" s="390"/>
      <c r="AG30" s="391"/>
      <c r="AH30" s="391"/>
      <c r="AI30" s="371">
        <f>I30</f>
        <v>1500</v>
      </c>
      <c r="AJ30" s="371"/>
      <c r="AK30" s="371"/>
      <c r="AL30" s="371"/>
      <c r="AM30" s="445">
        <f t="shared" si="4"/>
        <v>1500</v>
      </c>
      <c r="AN30" s="392"/>
      <c r="AO30" s="392"/>
      <c r="AP30" s="392"/>
      <c r="AQ30" s="388">
        <f t="shared" si="3"/>
        <v>1500</v>
      </c>
      <c r="AR30" s="388"/>
      <c r="AS30" s="296"/>
    </row>
    <row r="31" s="295" customFormat="1" ht="36" customHeight="1" spans="1:45">
      <c r="A31" s="393">
        <v>46094</v>
      </c>
      <c r="B31" s="394" t="s">
        <v>195</v>
      </c>
      <c r="C31" s="394" t="s">
        <v>71</v>
      </c>
      <c r="D31" s="395">
        <v>4500196792</v>
      </c>
      <c r="E31" s="396" t="s">
        <v>196</v>
      </c>
      <c r="F31" s="397" t="s">
        <v>197</v>
      </c>
      <c r="G31" s="398" t="s">
        <v>125</v>
      </c>
      <c r="H31" s="428" t="s">
        <v>51</v>
      </c>
      <c r="I31" s="400">
        <v>1216</v>
      </c>
      <c r="J31" s="401">
        <v>0</v>
      </c>
      <c r="K31" s="401">
        <v>2</v>
      </c>
      <c r="L31" s="402">
        <f t="shared" si="0"/>
        <v>608</v>
      </c>
      <c r="M31" s="403">
        <v>46153</v>
      </c>
      <c r="N31" s="403">
        <v>46150</v>
      </c>
      <c r="O31" s="476">
        <v>46156</v>
      </c>
      <c r="P31" s="404" t="s">
        <v>52</v>
      </c>
      <c r="Q31" s="502">
        <v>46174</v>
      </c>
      <c r="R31" s="494" t="s">
        <v>65</v>
      </c>
      <c r="S31" s="404">
        <v>46094</v>
      </c>
      <c r="T31" s="406" t="s">
        <v>66</v>
      </c>
      <c r="U31" s="406" t="s">
        <v>198</v>
      </c>
      <c r="V31" s="503"/>
      <c r="W31" s="407" t="s">
        <v>199</v>
      </c>
      <c r="X31" s="408" t="s">
        <v>200</v>
      </c>
      <c r="Y31" s="504">
        <v>6.5485</v>
      </c>
      <c r="Z31" s="410">
        <f>I31*Y31</f>
        <v>7962.976</v>
      </c>
      <c r="AA31" s="395"/>
      <c r="AB31" s="426" t="s">
        <v>125</v>
      </c>
      <c r="AC31" s="388" t="s">
        <v>56</v>
      </c>
      <c r="AD31" s="401"/>
      <c r="AE31" s="495"/>
      <c r="AF31" s="414"/>
      <c r="AG31" s="415"/>
      <c r="AH31" s="415"/>
      <c r="AI31" s="371">
        <f t="shared" si="6"/>
        <v>1216</v>
      </c>
      <c r="AJ31" s="371"/>
      <c r="AK31" s="371"/>
      <c r="AL31" s="371"/>
      <c r="AM31" s="445">
        <f t="shared" si="4"/>
        <v>1216</v>
      </c>
      <c r="AN31" s="445"/>
      <c r="AO31" s="371"/>
      <c r="AP31" s="371"/>
      <c r="AQ31" s="388">
        <f t="shared" si="3"/>
        <v>1216</v>
      </c>
      <c r="AR31" s="388"/>
      <c r="AS31" s="296"/>
    </row>
    <row r="32" s="295" customFormat="1" ht="36" customHeight="1" spans="1:45">
      <c r="A32" s="393">
        <v>46094</v>
      </c>
      <c r="B32" s="394" t="s">
        <v>195</v>
      </c>
      <c r="C32" s="394" t="s">
        <v>71</v>
      </c>
      <c r="D32" s="395">
        <v>4500196792</v>
      </c>
      <c r="E32" s="396" t="s">
        <v>201</v>
      </c>
      <c r="F32" s="397" t="s">
        <v>202</v>
      </c>
      <c r="G32" s="398" t="s">
        <v>125</v>
      </c>
      <c r="H32" s="428" t="s">
        <v>51</v>
      </c>
      <c r="I32" s="376">
        <v>1264</v>
      </c>
      <c r="J32" s="377">
        <v>0</v>
      </c>
      <c r="K32" s="377">
        <v>2</v>
      </c>
      <c r="L32" s="378">
        <f t="shared" si="0"/>
        <v>632</v>
      </c>
      <c r="M32" s="403">
        <v>46153</v>
      </c>
      <c r="N32" s="403">
        <v>46150</v>
      </c>
      <c r="O32" s="476">
        <v>46156</v>
      </c>
      <c r="P32" s="404" t="s">
        <v>52</v>
      </c>
      <c r="Q32" s="502">
        <v>46174</v>
      </c>
      <c r="R32" s="494" t="s">
        <v>65</v>
      </c>
      <c r="S32" s="404">
        <v>46094</v>
      </c>
      <c r="T32" s="406" t="s">
        <v>66</v>
      </c>
      <c r="U32" s="406" t="s">
        <v>198</v>
      </c>
      <c r="V32" s="503"/>
      <c r="W32" s="407" t="s">
        <v>199</v>
      </c>
      <c r="X32" s="408" t="s">
        <v>200</v>
      </c>
      <c r="Y32" s="504">
        <v>6.5485</v>
      </c>
      <c r="Z32" s="410">
        <f>I32*Y32</f>
        <v>8277.304</v>
      </c>
      <c r="AA32" s="395"/>
      <c r="AB32" s="426" t="s">
        <v>125</v>
      </c>
      <c r="AC32" s="388" t="s">
        <v>56</v>
      </c>
      <c r="AD32" s="401"/>
      <c r="AE32" s="495"/>
      <c r="AF32" s="414"/>
      <c r="AG32" s="415"/>
      <c r="AH32" s="415"/>
      <c r="AI32" s="371">
        <f t="shared" si="6"/>
        <v>1264</v>
      </c>
      <c r="AJ32" s="371"/>
      <c r="AK32" s="371"/>
      <c r="AL32" s="371"/>
      <c r="AM32" s="445">
        <f t="shared" si="4"/>
        <v>1264</v>
      </c>
      <c r="AN32" s="445"/>
      <c r="AO32" s="371"/>
      <c r="AP32" s="371"/>
      <c r="AQ32" s="388">
        <f t="shared" si="3"/>
        <v>1264</v>
      </c>
      <c r="AR32" s="388"/>
      <c r="AS32" s="296"/>
    </row>
    <row r="33" s="295" customFormat="1" ht="36" customHeight="1" spans="1:46">
      <c r="A33" s="369">
        <v>46108</v>
      </c>
      <c r="B33" s="370" t="s">
        <v>203</v>
      </c>
      <c r="C33" s="370" t="s">
        <v>204</v>
      </c>
      <c r="D33" s="371">
        <v>4500198855</v>
      </c>
      <c r="E33" s="372" t="s">
        <v>205</v>
      </c>
      <c r="F33" s="373" t="s">
        <v>206</v>
      </c>
      <c r="G33" s="374" t="s">
        <v>50</v>
      </c>
      <c r="H33" s="428" t="s">
        <v>51</v>
      </c>
      <c r="I33" s="376">
        <v>120</v>
      </c>
      <c r="J33" s="377">
        <v>0</v>
      </c>
      <c r="K33" s="377">
        <v>3</v>
      </c>
      <c r="L33" s="378">
        <f t="shared" si="0"/>
        <v>40</v>
      </c>
      <c r="M33" s="379">
        <v>46154</v>
      </c>
      <c r="N33" s="379">
        <v>46153</v>
      </c>
      <c r="O33" s="505"/>
      <c r="P33" s="380" t="s">
        <v>52</v>
      </c>
      <c r="Q33" s="420">
        <v>46164</v>
      </c>
      <c r="R33" s="418" t="s">
        <v>65</v>
      </c>
      <c r="S33" s="380">
        <v>46108</v>
      </c>
      <c r="T33" s="382" t="s">
        <v>54</v>
      </c>
      <c r="U33" s="382" t="s">
        <v>207</v>
      </c>
      <c r="V33" s="382"/>
      <c r="W33" s="383" t="s">
        <v>208</v>
      </c>
      <c r="X33" s="384" t="s">
        <v>209</v>
      </c>
      <c r="Y33" s="478">
        <v>9.9425</v>
      </c>
      <c r="Z33" s="386">
        <f>Y33*I33</f>
        <v>1193.1</v>
      </c>
      <c r="AA33" s="371"/>
      <c r="AB33" s="411" t="s">
        <v>50</v>
      </c>
      <c r="AC33" s="388" t="s">
        <v>56</v>
      </c>
      <c r="AD33" s="377"/>
      <c r="AE33" s="389"/>
      <c r="AF33" s="390"/>
      <c r="AG33" s="391"/>
      <c r="AH33" s="391"/>
      <c r="AI33" s="371">
        <f t="shared" si="6"/>
        <v>120</v>
      </c>
      <c r="AJ33" s="371"/>
      <c r="AK33" s="371"/>
      <c r="AL33" s="371"/>
      <c r="AM33" s="445">
        <f t="shared" si="4"/>
        <v>120</v>
      </c>
      <c r="AN33" s="392"/>
      <c r="AO33" s="392"/>
      <c r="AP33" s="392"/>
      <c r="AQ33" s="388">
        <f t="shared" si="3"/>
        <v>120</v>
      </c>
      <c r="AR33" s="388"/>
      <c r="AS33" s="296"/>
    </row>
    <row r="34" s="295" customFormat="1" ht="36" customHeight="1" spans="1:46">
      <c r="A34" s="369">
        <v>46108</v>
      </c>
      <c r="B34" s="370" t="s">
        <v>210</v>
      </c>
      <c r="C34" s="370" t="s">
        <v>211</v>
      </c>
      <c r="D34" s="371">
        <v>4500198860</v>
      </c>
      <c r="E34" s="372" t="s">
        <v>212</v>
      </c>
      <c r="F34" s="373" t="s">
        <v>213</v>
      </c>
      <c r="G34" s="374" t="s">
        <v>50</v>
      </c>
      <c r="H34" s="428" t="s">
        <v>51</v>
      </c>
      <c r="I34" s="376">
        <v>120</v>
      </c>
      <c r="J34" s="377">
        <v>0</v>
      </c>
      <c r="K34" s="377">
        <v>3</v>
      </c>
      <c r="L34" s="378">
        <f t="shared" si="0"/>
        <v>40</v>
      </c>
      <c r="M34" s="379">
        <v>46154</v>
      </c>
      <c r="N34" s="379">
        <v>46153</v>
      </c>
      <c r="O34" s="380"/>
      <c r="P34" s="380" t="s">
        <v>52</v>
      </c>
      <c r="Q34" s="506">
        <v>46172</v>
      </c>
      <c r="R34" s="418" t="s">
        <v>65</v>
      </c>
      <c r="S34" s="380">
        <v>46108</v>
      </c>
      <c r="T34" s="382" t="s">
        <v>54</v>
      </c>
      <c r="U34" s="382" t="s">
        <v>214</v>
      </c>
      <c r="V34" s="382"/>
      <c r="W34" s="383" t="s">
        <v>215</v>
      </c>
      <c r="X34" s="384" t="s">
        <v>209</v>
      </c>
      <c r="Y34" s="478">
        <v>10.2316</v>
      </c>
      <c r="Z34" s="386">
        <f>Y34*I34</f>
        <v>1227.792</v>
      </c>
      <c r="AA34" s="371"/>
      <c r="AB34" s="411" t="s">
        <v>50</v>
      </c>
      <c r="AC34" s="388" t="s">
        <v>56</v>
      </c>
      <c r="AD34" s="377"/>
      <c r="AE34" s="389"/>
      <c r="AF34" s="390"/>
      <c r="AG34" s="391"/>
      <c r="AH34" s="391"/>
      <c r="AI34" s="371">
        <f t="shared" si="6"/>
        <v>120</v>
      </c>
      <c r="AJ34" s="371"/>
      <c r="AK34" s="371"/>
      <c r="AL34" s="371"/>
      <c r="AM34" s="445">
        <f t="shared" si="4"/>
        <v>120</v>
      </c>
      <c r="AN34" s="392"/>
      <c r="AO34" s="392"/>
      <c r="AP34" s="392"/>
      <c r="AQ34" s="388">
        <f t="shared" si="3"/>
        <v>120</v>
      </c>
      <c r="AR34" s="388"/>
      <c r="AS34" s="296"/>
    </row>
    <row r="35" s="295" customFormat="1" ht="36" customHeight="1" spans="1:46">
      <c r="A35" s="369">
        <v>46106</v>
      </c>
      <c r="B35" s="370" t="s">
        <v>122</v>
      </c>
      <c r="C35" s="370" t="s">
        <v>71</v>
      </c>
      <c r="D35" s="371">
        <v>4500198129</v>
      </c>
      <c r="E35" s="372" t="s">
        <v>216</v>
      </c>
      <c r="F35" s="373" t="s">
        <v>217</v>
      </c>
      <c r="G35" s="374" t="s">
        <v>125</v>
      </c>
      <c r="H35" s="428" t="s">
        <v>51</v>
      </c>
      <c r="I35" s="376">
        <v>500</v>
      </c>
      <c r="J35" s="377">
        <v>0</v>
      </c>
      <c r="K35" s="377">
        <v>2</v>
      </c>
      <c r="L35" s="378">
        <f t="shared" si="0"/>
        <v>250</v>
      </c>
      <c r="M35" s="379">
        <v>46156</v>
      </c>
      <c r="N35" s="379">
        <v>46154</v>
      </c>
      <c r="O35" s="505" t="s">
        <v>218</v>
      </c>
      <c r="P35" s="380" t="s">
        <v>52</v>
      </c>
      <c r="Q35" s="506">
        <v>46179</v>
      </c>
      <c r="R35" s="418" t="s">
        <v>65</v>
      </c>
      <c r="S35" s="380" t="s">
        <v>158</v>
      </c>
      <c r="T35" s="436" t="s">
        <v>54</v>
      </c>
      <c r="U35" s="382" t="s">
        <v>159</v>
      </c>
      <c r="V35" s="382"/>
      <c r="W35" s="383" t="s">
        <v>219</v>
      </c>
      <c r="X35" s="384" t="s">
        <v>129</v>
      </c>
      <c r="Y35" s="478">
        <v>6.5485</v>
      </c>
      <c r="Z35" s="386">
        <f>I35*Y35</f>
        <v>3274.25</v>
      </c>
      <c r="AA35" s="371"/>
      <c r="AB35" s="387" t="s">
        <v>125</v>
      </c>
      <c r="AC35" s="388" t="s">
        <v>56</v>
      </c>
      <c r="AD35" s="377"/>
      <c r="AE35" s="389"/>
      <c r="AF35" s="390"/>
      <c r="AG35" s="391"/>
      <c r="AH35" s="391"/>
      <c r="AI35" s="371">
        <f t="shared" si="6"/>
        <v>500</v>
      </c>
      <c r="AJ35" s="371"/>
      <c r="AK35" s="371"/>
      <c r="AL35" s="371"/>
      <c r="AM35" s="445">
        <f t="shared" si="4"/>
        <v>500</v>
      </c>
      <c r="AN35" s="445"/>
      <c r="AO35" s="371"/>
      <c r="AP35" s="371"/>
      <c r="AQ35" s="388">
        <f t="shared" si="3"/>
        <v>500</v>
      </c>
      <c r="AR35" s="388"/>
      <c r="AS35" s="296"/>
    </row>
    <row r="36" s="295" customFormat="1" ht="36" customHeight="1" spans="1:46">
      <c r="A36" s="369">
        <v>46101</v>
      </c>
      <c r="B36" s="370" t="s">
        <v>220</v>
      </c>
      <c r="C36" s="370" t="s">
        <v>61</v>
      </c>
      <c r="D36" s="371">
        <v>4500197606</v>
      </c>
      <c r="E36" s="372">
        <v>3108</v>
      </c>
      <c r="F36" s="373" t="s">
        <v>221</v>
      </c>
      <c r="G36" s="374" t="s">
        <v>50</v>
      </c>
      <c r="H36" s="428" t="s">
        <v>51</v>
      </c>
      <c r="I36" s="376">
        <v>168</v>
      </c>
      <c r="J36" s="377">
        <v>0</v>
      </c>
      <c r="K36" s="377">
        <v>3</v>
      </c>
      <c r="L36" s="378">
        <f t="shared" si="0"/>
        <v>56</v>
      </c>
      <c r="M36" s="379">
        <v>46156</v>
      </c>
      <c r="N36" s="379">
        <v>46154</v>
      </c>
      <c r="O36" s="380"/>
      <c r="P36" s="380" t="s">
        <v>52</v>
      </c>
      <c r="Q36" s="477">
        <v>46165</v>
      </c>
      <c r="R36" s="418" t="s">
        <v>65</v>
      </c>
      <c r="S36" s="380">
        <v>46101</v>
      </c>
      <c r="T36" s="382" t="s">
        <v>54</v>
      </c>
      <c r="U36" s="382" t="s">
        <v>54</v>
      </c>
      <c r="V36" s="382"/>
      <c r="W36" s="383" t="s">
        <v>222</v>
      </c>
      <c r="X36" s="384" t="s">
        <v>223</v>
      </c>
      <c r="Y36" s="478">
        <v>10.2316</v>
      </c>
      <c r="Z36" s="386">
        <f>I36*Y36</f>
        <v>1718.9088</v>
      </c>
      <c r="AA36" s="371"/>
      <c r="AB36" s="411" t="s">
        <v>50</v>
      </c>
      <c r="AC36" s="388" t="s">
        <v>56</v>
      </c>
      <c r="AD36" s="377"/>
      <c r="AE36" s="389"/>
      <c r="AF36" s="390"/>
      <c r="AG36" s="391"/>
      <c r="AH36" s="391"/>
      <c r="AI36" s="371">
        <f t="shared" si="6"/>
        <v>168</v>
      </c>
      <c r="AJ36" s="371"/>
      <c r="AK36" s="371"/>
      <c r="AL36" s="371"/>
      <c r="AM36" s="445">
        <f t="shared" si="4"/>
        <v>168</v>
      </c>
      <c r="AN36" s="392"/>
      <c r="AO36" s="392"/>
      <c r="AP36" s="392"/>
      <c r="AQ36" s="388">
        <f t="shared" si="3"/>
        <v>168</v>
      </c>
      <c r="AR36" s="388"/>
      <c r="AS36" s="296"/>
    </row>
    <row r="37" s="295" customFormat="1" ht="36" customHeight="1" spans="1:46">
      <c r="A37" s="393">
        <v>46094</v>
      </c>
      <c r="B37" s="394" t="s">
        <v>195</v>
      </c>
      <c r="C37" s="394" t="s">
        <v>71</v>
      </c>
      <c r="D37" s="395">
        <v>4500196793</v>
      </c>
      <c r="E37" s="396" t="s">
        <v>224</v>
      </c>
      <c r="F37" s="397" t="s">
        <v>225</v>
      </c>
      <c r="G37" s="398" t="s">
        <v>125</v>
      </c>
      <c r="H37" s="507" t="s">
        <v>51</v>
      </c>
      <c r="I37" s="400">
        <v>960</v>
      </c>
      <c r="J37" s="401">
        <v>0</v>
      </c>
      <c r="K37" s="401">
        <v>2</v>
      </c>
      <c r="L37" s="402">
        <f t="shared" si="0"/>
        <v>480</v>
      </c>
      <c r="M37" s="403">
        <v>46156</v>
      </c>
      <c r="N37" s="403">
        <v>46154</v>
      </c>
      <c r="O37" s="505" t="s">
        <v>218</v>
      </c>
      <c r="P37" s="404" t="s">
        <v>52</v>
      </c>
      <c r="Q37" s="508">
        <v>46165</v>
      </c>
      <c r="R37" s="494" t="s">
        <v>65</v>
      </c>
      <c r="S37" s="404">
        <v>46094</v>
      </c>
      <c r="T37" s="406" t="s">
        <v>66</v>
      </c>
      <c r="U37" s="406" t="s">
        <v>198</v>
      </c>
      <c r="V37" s="503"/>
      <c r="W37" s="407" t="s">
        <v>199</v>
      </c>
      <c r="X37" s="408" t="s">
        <v>200</v>
      </c>
      <c r="Y37" s="504">
        <v>6.5485</v>
      </c>
      <c r="Z37" s="410">
        <f>I37*Y37</f>
        <v>6286.56</v>
      </c>
      <c r="AA37" s="395"/>
      <c r="AB37" s="462" t="s">
        <v>125</v>
      </c>
      <c r="AC37" s="412" t="s">
        <v>56</v>
      </c>
      <c r="AD37" s="401"/>
      <c r="AE37" s="495"/>
      <c r="AF37" s="414"/>
      <c r="AG37" s="415"/>
      <c r="AH37" s="415"/>
      <c r="AI37" s="395">
        <f t="shared" si="6"/>
        <v>960</v>
      </c>
      <c r="AJ37" s="395"/>
      <c r="AK37" s="395"/>
      <c r="AL37" s="395"/>
      <c r="AM37" s="496">
        <f t="shared" si="4"/>
        <v>960</v>
      </c>
      <c r="AN37" s="496"/>
      <c r="AO37" s="395"/>
      <c r="AP37" s="395"/>
      <c r="AQ37" s="412">
        <f t="shared" si="3"/>
        <v>960</v>
      </c>
      <c r="AR37" s="412"/>
      <c r="AS37" s="296"/>
    </row>
    <row r="38" s="296" customFormat="1" ht="36" customHeight="1" spans="1:46">
      <c r="A38" s="369">
        <v>46112</v>
      </c>
      <c r="B38" s="370" t="s">
        <v>226</v>
      </c>
      <c r="C38" s="370" t="s">
        <v>78</v>
      </c>
      <c r="D38" s="371">
        <v>4500198642</v>
      </c>
      <c r="E38" s="372" t="s">
        <v>227</v>
      </c>
      <c r="F38" s="373" t="s">
        <v>228</v>
      </c>
      <c r="G38" s="374" t="s">
        <v>229</v>
      </c>
      <c r="H38" s="375" t="s">
        <v>51</v>
      </c>
      <c r="I38" s="376">
        <v>978</v>
      </c>
      <c r="J38" s="377">
        <v>0</v>
      </c>
      <c r="K38" s="377">
        <v>3</v>
      </c>
      <c r="L38" s="378">
        <f t="shared" si="0"/>
        <v>326</v>
      </c>
      <c r="M38" s="379">
        <v>46156</v>
      </c>
      <c r="N38" s="379">
        <v>46154</v>
      </c>
      <c r="O38" s="380"/>
      <c r="P38" s="404" t="s">
        <v>52</v>
      </c>
      <c r="Q38" s="509">
        <v>46158</v>
      </c>
      <c r="R38" s="418"/>
      <c r="S38" s="380" t="s">
        <v>178</v>
      </c>
      <c r="T38" s="382" t="s">
        <v>66</v>
      </c>
      <c r="U38" s="382" t="s">
        <v>230</v>
      </c>
      <c r="V38" s="510" t="s">
        <v>231</v>
      </c>
      <c r="W38" s="491" t="s">
        <v>232</v>
      </c>
      <c r="X38" s="384" t="s">
        <v>182</v>
      </c>
      <c r="Y38" s="478">
        <v>12.65</v>
      </c>
      <c r="Z38" s="386">
        <f>Y38*I38</f>
        <v>12371.7</v>
      </c>
      <c r="AA38" s="371"/>
      <c r="AB38" s="387" t="s">
        <v>183</v>
      </c>
      <c r="AC38" s="388" t="s">
        <v>56</v>
      </c>
      <c r="AD38" s="377"/>
      <c r="AE38" s="389"/>
      <c r="AF38" s="390"/>
      <c r="AG38" s="391"/>
      <c r="AH38" s="391"/>
      <c r="AI38" s="371"/>
      <c r="AJ38" s="371"/>
      <c r="AK38" s="371"/>
      <c r="AL38" s="371">
        <f>I38</f>
        <v>978</v>
      </c>
      <c r="AM38" s="496">
        <f t="shared" si="4"/>
        <v>978</v>
      </c>
      <c r="AN38" s="496"/>
      <c r="AO38" s="371" t="s">
        <v>101</v>
      </c>
      <c r="AP38" s="371"/>
      <c r="AQ38" s="388">
        <f t="shared" si="3"/>
        <v>978</v>
      </c>
      <c r="AR38" s="388"/>
      <c r="AT38" s="419"/>
    </row>
    <row r="39" s="295" customFormat="1" ht="36" customHeight="1" spans="1:46">
      <c r="A39" s="458">
        <v>46094</v>
      </c>
      <c r="B39" s="459" t="s">
        <v>195</v>
      </c>
      <c r="C39" s="459" t="s">
        <v>71</v>
      </c>
      <c r="D39" s="460">
        <v>4500196793</v>
      </c>
      <c r="E39" s="511" t="s">
        <v>233</v>
      </c>
      <c r="F39" s="512" t="s">
        <v>234</v>
      </c>
      <c r="G39" s="463" t="s">
        <v>125</v>
      </c>
      <c r="H39" s="428" t="s">
        <v>51</v>
      </c>
      <c r="I39" s="513">
        <v>1356</v>
      </c>
      <c r="J39" s="470">
        <v>0</v>
      </c>
      <c r="K39" s="470">
        <v>2</v>
      </c>
      <c r="L39" s="514">
        <f t="shared" si="0"/>
        <v>678</v>
      </c>
      <c r="M39" s="464">
        <v>46156</v>
      </c>
      <c r="N39" s="464">
        <v>46154</v>
      </c>
      <c r="O39" s="505" t="s">
        <v>218</v>
      </c>
      <c r="P39" s="404" t="s">
        <v>52</v>
      </c>
      <c r="Q39" s="508">
        <v>46165</v>
      </c>
      <c r="R39" s="515" t="s">
        <v>65</v>
      </c>
      <c r="S39" s="465">
        <v>46094</v>
      </c>
      <c r="T39" s="467" t="s">
        <v>66</v>
      </c>
      <c r="U39" s="467" t="s">
        <v>198</v>
      </c>
      <c r="V39" s="503"/>
      <c r="W39" s="468" t="s">
        <v>199</v>
      </c>
      <c r="X39" s="469" t="s">
        <v>200</v>
      </c>
      <c r="Y39" s="516">
        <v>6.5485</v>
      </c>
      <c r="Z39" s="517">
        <f>I39*Y39</f>
        <v>8879.766</v>
      </c>
      <c r="AA39" s="460"/>
      <c r="AB39" s="426" t="s">
        <v>125</v>
      </c>
      <c r="AC39" s="518" t="s">
        <v>56</v>
      </c>
      <c r="AD39" s="470"/>
      <c r="AE39" s="471"/>
      <c r="AF39" s="472"/>
      <c r="AG39" s="473"/>
      <c r="AH39" s="473"/>
      <c r="AI39" s="424">
        <f>I39</f>
        <v>1356</v>
      </c>
      <c r="AJ39" s="424"/>
      <c r="AK39" s="424"/>
      <c r="AL39" s="424"/>
      <c r="AM39" s="496">
        <f t="shared" si="4"/>
        <v>1356</v>
      </c>
      <c r="AN39" s="519"/>
      <c r="AO39" s="424"/>
      <c r="AP39" s="424"/>
      <c r="AQ39" s="518">
        <f t="shared" si="3"/>
        <v>1356</v>
      </c>
      <c r="AR39" s="518"/>
      <c r="AS39" s="296"/>
    </row>
    <row r="40" s="295" customFormat="1" ht="36" customHeight="1" spans="1:46">
      <c r="A40" s="369">
        <v>46107</v>
      </c>
      <c r="B40" s="370" t="s">
        <v>235</v>
      </c>
      <c r="C40" s="370" t="s">
        <v>236</v>
      </c>
      <c r="D40" s="371">
        <v>4500198705</v>
      </c>
      <c r="E40" s="372"/>
      <c r="F40" s="373" t="s">
        <v>237</v>
      </c>
      <c r="G40" s="374" t="s">
        <v>50</v>
      </c>
      <c r="H40" s="428" t="s">
        <v>51</v>
      </c>
      <c r="I40" s="376">
        <v>801</v>
      </c>
      <c r="J40" s="377">
        <v>0</v>
      </c>
      <c r="K40" s="377">
        <v>3</v>
      </c>
      <c r="L40" s="378">
        <f t="shared" si="0"/>
        <v>267</v>
      </c>
      <c r="M40" s="379">
        <v>46157</v>
      </c>
      <c r="N40" s="379">
        <v>46155</v>
      </c>
      <c r="O40" s="380"/>
      <c r="P40" s="380" t="s">
        <v>52</v>
      </c>
      <c r="Q40" s="506">
        <v>46187</v>
      </c>
      <c r="R40" s="515" t="s">
        <v>65</v>
      </c>
      <c r="S40" s="380">
        <v>46127</v>
      </c>
      <c r="T40" s="382" t="s">
        <v>54</v>
      </c>
      <c r="U40" s="382" t="s">
        <v>238</v>
      </c>
      <c r="V40" s="382"/>
      <c r="W40" s="383" t="s">
        <v>239</v>
      </c>
      <c r="X40" s="384" t="s">
        <v>240</v>
      </c>
      <c r="Y40" s="478">
        <v>10.2316</v>
      </c>
      <c r="Z40" s="386">
        <f>I40*Y40</f>
        <v>8195.5116</v>
      </c>
      <c r="AA40" s="371"/>
      <c r="AB40" s="411" t="s">
        <v>84</v>
      </c>
      <c r="AC40" s="388" t="s">
        <v>56</v>
      </c>
      <c r="AD40" s="377"/>
      <c r="AE40" s="389"/>
      <c r="AF40" s="390"/>
      <c r="AG40" s="391"/>
      <c r="AH40" s="391"/>
      <c r="AI40" s="371"/>
      <c r="AJ40" s="371"/>
      <c r="AK40" s="371"/>
      <c r="AL40" s="371">
        <f>I40</f>
        <v>801</v>
      </c>
      <c r="AM40" s="496">
        <f t="shared" si="4"/>
        <v>801</v>
      </c>
      <c r="AN40" s="392"/>
      <c r="AO40" s="392"/>
      <c r="AP40" s="392"/>
      <c r="AQ40" s="518">
        <f t="shared" si="3"/>
        <v>801</v>
      </c>
      <c r="AR40" s="518"/>
      <c r="AS40" s="296"/>
    </row>
    <row r="41" s="295" customFormat="1" ht="36" customHeight="1" spans="1:46">
      <c r="A41" s="369">
        <v>46105</v>
      </c>
      <c r="B41" s="370" t="s">
        <v>203</v>
      </c>
      <c r="C41" s="370" t="s">
        <v>204</v>
      </c>
      <c r="D41" s="371">
        <v>4500198401</v>
      </c>
      <c r="E41" s="372" t="s">
        <v>241</v>
      </c>
      <c r="F41" s="373" t="s">
        <v>242</v>
      </c>
      <c r="G41" s="374" t="s">
        <v>50</v>
      </c>
      <c r="H41" s="428" t="s">
        <v>51</v>
      </c>
      <c r="I41" s="376">
        <v>120</v>
      </c>
      <c r="J41" s="377">
        <v>0</v>
      </c>
      <c r="K41" s="377">
        <v>3</v>
      </c>
      <c r="L41" s="378">
        <f t="shared" si="0"/>
        <v>40</v>
      </c>
      <c r="M41" s="379">
        <v>46157</v>
      </c>
      <c r="N41" s="379">
        <v>46155</v>
      </c>
      <c r="O41" s="380"/>
      <c r="P41" s="380" t="s">
        <v>52</v>
      </c>
      <c r="Q41" s="520">
        <v>46164</v>
      </c>
      <c r="R41" s="418" t="s">
        <v>65</v>
      </c>
      <c r="S41" s="380">
        <v>46105</v>
      </c>
      <c r="T41" s="382" t="s">
        <v>54</v>
      </c>
      <c r="U41" s="382" t="s">
        <v>243</v>
      </c>
      <c r="V41" s="382"/>
      <c r="W41" s="491" t="s">
        <v>244</v>
      </c>
      <c r="X41" s="384" t="s">
        <v>209</v>
      </c>
      <c r="Y41" s="478">
        <v>9.9425</v>
      </c>
      <c r="Z41" s="386">
        <f>I41*Y41</f>
        <v>1193.1</v>
      </c>
      <c r="AA41" s="371"/>
      <c r="AB41" s="411" t="s">
        <v>50</v>
      </c>
      <c r="AC41" s="388" t="s">
        <v>56</v>
      </c>
      <c r="AD41" s="377"/>
      <c r="AE41" s="389"/>
      <c r="AF41" s="390"/>
      <c r="AG41" s="391"/>
      <c r="AH41" s="391"/>
      <c r="AI41" s="371">
        <f>I41</f>
        <v>120</v>
      </c>
      <c r="AJ41" s="371"/>
      <c r="AK41" s="371"/>
      <c r="AL41" s="371"/>
      <c r="AM41" s="496">
        <f t="shared" si="4"/>
        <v>120</v>
      </c>
      <c r="AN41" s="392"/>
      <c r="AO41" s="392"/>
      <c r="AP41" s="392"/>
      <c r="AQ41" s="518">
        <f t="shared" si="3"/>
        <v>120</v>
      </c>
      <c r="AR41" s="518"/>
      <c r="AS41" s="296"/>
    </row>
    <row r="42" s="295" customFormat="1" ht="36" customHeight="1" spans="1:46">
      <c r="A42" s="369">
        <v>46128</v>
      </c>
      <c r="B42" s="370" t="s">
        <v>245</v>
      </c>
      <c r="C42" s="370" t="s">
        <v>246</v>
      </c>
      <c r="D42" s="371" t="s">
        <v>247</v>
      </c>
      <c r="E42" s="372" t="s">
        <v>248</v>
      </c>
      <c r="F42" s="373" t="s">
        <v>249</v>
      </c>
      <c r="G42" s="521" t="s">
        <v>250</v>
      </c>
      <c r="H42" s="428" t="s">
        <v>51</v>
      </c>
      <c r="I42" s="376">
        <v>300</v>
      </c>
      <c r="J42" s="377">
        <v>0</v>
      </c>
      <c r="K42" s="377">
        <v>3</v>
      </c>
      <c r="L42" s="378">
        <f t="shared" si="0"/>
        <v>100</v>
      </c>
      <c r="M42" s="379">
        <v>46157</v>
      </c>
      <c r="N42" s="379">
        <v>46155</v>
      </c>
      <c r="O42" s="522" t="s">
        <v>251</v>
      </c>
      <c r="P42" s="380" t="s">
        <v>52</v>
      </c>
      <c r="Q42" s="381">
        <f>SUM(Q6:Q8)</f>
        <v>92258</v>
      </c>
      <c r="R42" s="381"/>
      <c r="S42" s="380"/>
      <c r="T42" s="382"/>
      <c r="U42" s="382" t="s">
        <v>252</v>
      </c>
      <c r="V42" s="382" t="s">
        <v>253</v>
      </c>
      <c r="W42" s="491" t="s">
        <v>254</v>
      </c>
      <c r="X42" s="384" t="s">
        <v>255</v>
      </c>
      <c r="Y42" s="478">
        <v>9.7428</v>
      </c>
      <c r="Z42" s="386">
        <f>I42*Y42</f>
        <v>2922.84</v>
      </c>
      <c r="AA42" s="371"/>
      <c r="AB42" s="387" t="s">
        <v>84</v>
      </c>
      <c r="AC42" s="388" t="s">
        <v>56</v>
      </c>
      <c r="AD42" s="377"/>
      <c r="AE42" s="389"/>
      <c r="AF42" s="390"/>
      <c r="AG42" s="391"/>
      <c r="AH42" s="391"/>
      <c r="AI42" s="371"/>
      <c r="AJ42" s="371"/>
      <c r="AK42" s="371"/>
      <c r="AL42" s="371">
        <f>I42</f>
        <v>300</v>
      </c>
      <c r="AM42" s="371">
        <f t="shared" si="4"/>
        <v>300</v>
      </c>
      <c r="AN42" s="392"/>
      <c r="AO42" s="392"/>
      <c r="AP42" s="392"/>
      <c r="AQ42" s="388">
        <f t="shared" si="3"/>
        <v>300</v>
      </c>
      <c r="AR42" s="388"/>
      <c r="AS42" s="296"/>
    </row>
    <row r="43" s="296" customFormat="1" ht="36" customHeight="1" spans="1:46">
      <c r="A43" s="369">
        <v>46094</v>
      </c>
      <c r="B43" s="370" t="s">
        <v>256</v>
      </c>
      <c r="C43" s="370" t="s">
        <v>257</v>
      </c>
      <c r="D43" s="371">
        <v>4500196797</v>
      </c>
      <c r="E43" s="372">
        <v>26000056</v>
      </c>
      <c r="F43" s="373" t="s">
        <v>258</v>
      </c>
      <c r="G43" s="374" t="s">
        <v>50</v>
      </c>
      <c r="H43" s="428" t="s">
        <v>51</v>
      </c>
      <c r="I43" s="376">
        <v>600</v>
      </c>
      <c r="J43" s="377">
        <v>0</v>
      </c>
      <c r="K43" s="377">
        <v>3</v>
      </c>
      <c r="L43" s="378">
        <f t="shared" si="0"/>
        <v>200</v>
      </c>
      <c r="M43" s="379">
        <v>46157</v>
      </c>
      <c r="N43" s="379">
        <v>46155</v>
      </c>
      <c r="O43" s="404" t="s">
        <v>259</v>
      </c>
      <c r="P43" s="404" t="s">
        <v>52</v>
      </c>
      <c r="Q43" s="506">
        <v>46188</v>
      </c>
      <c r="R43" s="405" t="s">
        <v>260</v>
      </c>
      <c r="S43" s="433">
        <v>46113</v>
      </c>
      <c r="T43" s="436" t="s">
        <v>54</v>
      </c>
      <c r="U43" s="382" t="s">
        <v>261</v>
      </c>
      <c r="V43" s="382" t="s">
        <v>262</v>
      </c>
      <c r="W43" s="491" t="s">
        <v>263</v>
      </c>
      <c r="X43" s="384" t="s">
        <v>264</v>
      </c>
      <c r="Y43" s="478">
        <v>10.2316</v>
      </c>
      <c r="Z43" s="386">
        <f>I43*Y43</f>
        <v>6138.96</v>
      </c>
      <c r="AA43" s="371"/>
      <c r="AB43" s="426" t="s">
        <v>84</v>
      </c>
      <c r="AC43" s="388" t="s">
        <v>56</v>
      </c>
      <c r="AD43" s="377"/>
      <c r="AE43" s="389"/>
      <c r="AF43" s="390"/>
      <c r="AG43" s="391"/>
      <c r="AH43" s="391"/>
      <c r="AI43" s="371"/>
      <c r="AJ43" s="371"/>
      <c r="AK43" s="371"/>
      <c r="AL43" s="371">
        <f>I43</f>
        <v>600</v>
      </c>
      <c r="AM43" s="392">
        <f t="shared" si="4"/>
        <v>600</v>
      </c>
      <c r="AN43" s="392"/>
      <c r="AO43" s="523" t="s">
        <v>265</v>
      </c>
      <c r="AP43" s="523"/>
      <c r="AQ43" s="388">
        <f t="shared" si="3"/>
        <v>600</v>
      </c>
      <c r="AR43" s="388"/>
      <c r="AS43" s="524"/>
    </row>
    <row r="44" s="295" customFormat="1" ht="36" customHeight="1" spans="1:46">
      <c r="A44" s="369">
        <v>46122</v>
      </c>
      <c r="B44" s="370" t="s">
        <v>245</v>
      </c>
      <c r="C44" s="370" t="s">
        <v>257</v>
      </c>
      <c r="D44" s="371" t="s">
        <v>266</v>
      </c>
      <c r="E44" s="372" t="s">
        <v>267</v>
      </c>
      <c r="F44" s="373" t="s">
        <v>268</v>
      </c>
      <c r="G44" s="521">
        <v>77858</v>
      </c>
      <c r="H44" s="428" t="s">
        <v>51</v>
      </c>
      <c r="I44" s="376">
        <v>576</v>
      </c>
      <c r="J44" s="377">
        <v>0</v>
      </c>
      <c r="K44" s="377">
        <v>3</v>
      </c>
      <c r="L44" s="378">
        <f t="shared" si="0"/>
        <v>192</v>
      </c>
      <c r="M44" s="379">
        <v>46161</v>
      </c>
      <c r="N44" s="379">
        <v>46160</v>
      </c>
      <c r="O44" s="522" t="s">
        <v>251</v>
      </c>
      <c r="P44" s="380" t="s">
        <v>52</v>
      </c>
      <c r="Q44" s="381"/>
      <c r="R44" s="381"/>
      <c r="S44" s="380"/>
      <c r="T44" s="382"/>
      <c r="U44" s="382"/>
      <c r="V44" s="382"/>
      <c r="W44" s="383" t="s">
        <v>269</v>
      </c>
      <c r="X44" s="384" t="s">
        <v>270</v>
      </c>
      <c r="Y44" s="478">
        <v>9.7428</v>
      </c>
      <c r="Z44" s="386">
        <f>G44*Y44</f>
        <v>758554.9224</v>
      </c>
      <c r="AA44" s="371"/>
      <c r="AB44" s="387" t="s">
        <v>84</v>
      </c>
      <c r="AC44" s="388" t="s">
        <v>56</v>
      </c>
      <c r="AD44" s="377"/>
      <c r="AE44" s="389"/>
      <c r="AF44" s="390"/>
      <c r="AG44" s="391"/>
      <c r="AH44" s="391"/>
      <c r="AI44" s="371"/>
      <c r="AJ44" s="371"/>
      <c r="AK44" s="371"/>
      <c r="AL44" s="482">
        <f>I44</f>
        <v>576</v>
      </c>
      <c r="AM44" s="525">
        <f t="shared" si="4"/>
        <v>576</v>
      </c>
      <c r="AN44" s="525"/>
      <c r="AO44" s="392" t="s">
        <v>271</v>
      </c>
      <c r="AP44" s="392"/>
      <c r="AQ44" s="387">
        <f t="shared" si="3"/>
        <v>576</v>
      </c>
      <c r="AR44" s="387"/>
      <c r="AS44" s="296"/>
    </row>
    <row r="45" s="295" customFormat="1" ht="36" customHeight="1" spans="1:46">
      <c r="A45" s="393">
        <v>46134</v>
      </c>
      <c r="B45" s="394"/>
      <c r="C45" s="394"/>
      <c r="D45" s="395" t="s">
        <v>272</v>
      </c>
      <c r="E45" s="396"/>
      <c r="F45" s="397" t="s">
        <v>273</v>
      </c>
      <c r="G45" s="398" t="s">
        <v>50</v>
      </c>
      <c r="H45" s="507" t="s">
        <v>51</v>
      </c>
      <c r="I45" s="400">
        <v>222</v>
      </c>
      <c r="J45" s="401">
        <v>0</v>
      </c>
      <c r="K45" s="470">
        <v>3</v>
      </c>
      <c r="L45" s="514">
        <f t="shared" si="0"/>
        <v>74</v>
      </c>
      <c r="M45" s="403">
        <v>46162</v>
      </c>
      <c r="N45" s="403">
        <v>46158</v>
      </c>
      <c r="O45" s="404"/>
      <c r="P45" s="380" t="s">
        <v>52</v>
      </c>
      <c r="Q45" s="405"/>
      <c r="R45" s="494"/>
      <c r="S45" s="404">
        <v>46134</v>
      </c>
      <c r="T45" s="406"/>
      <c r="U45" s="406"/>
      <c r="V45" s="406"/>
      <c r="W45" s="407" t="s">
        <v>274</v>
      </c>
      <c r="X45" s="408" t="s">
        <v>275</v>
      </c>
      <c r="Y45" s="504"/>
      <c r="Z45" s="410"/>
      <c r="AA45" s="395"/>
      <c r="AB45" s="411" t="s">
        <v>50</v>
      </c>
      <c r="AC45" s="412" t="s">
        <v>56</v>
      </c>
      <c r="AD45" s="401"/>
      <c r="AE45" s="495"/>
      <c r="AF45" s="414"/>
      <c r="AG45" s="415"/>
      <c r="AH45" s="415"/>
      <c r="AI45" s="395">
        <f>I45</f>
        <v>222</v>
      </c>
      <c r="AJ45" s="395"/>
      <c r="AK45" s="395"/>
      <c r="AL45" s="395"/>
      <c r="AM45" s="526">
        <f t="shared" si="4"/>
        <v>222</v>
      </c>
      <c r="AN45" s="496"/>
      <c r="AO45" s="416"/>
      <c r="AP45" s="416"/>
      <c r="AQ45" s="527">
        <f t="shared" si="3"/>
        <v>222</v>
      </c>
      <c r="AR45" s="527"/>
      <c r="AS45" s="528"/>
    </row>
    <row r="46" s="297" customFormat="1" ht="36" customHeight="1" spans="1:46">
      <c r="A46" s="369">
        <v>46114</v>
      </c>
      <c r="B46" s="370" t="s">
        <v>276</v>
      </c>
      <c r="C46" s="370" t="s">
        <v>277</v>
      </c>
      <c r="D46" s="371" t="s">
        <v>278</v>
      </c>
      <c r="E46" s="372" t="s">
        <v>279</v>
      </c>
      <c r="F46" s="373" t="s">
        <v>280</v>
      </c>
      <c r="G46" s="374" t="s">
        <v>50</v>
      </c>
      <c r="H46" s="428" t="s">
        <v>51</v>
      </c>
      <c r="I46" s="376">
        <v>360</v>
      </c>
      <c r="J46" s="377">
        <v>0</v>
      </c>
      <c r="K46" s="377">
        <v>3</v>
      </c>
      <c r="L46" s="378">
        <f t="shared" si="0"/>
        <v>120</v>
      </c>
      <c r="M46" s="379">
        <v>46162</v>
      </c>
      <c r="N46" s="379">
        <v>46160</v>
      </c>
      <c r="O46" s="380"/>
      <c r="P46" s="380" t="s">
        <v>52</v>
      </c>
      <c r="Q46" s="506">
        <v>46166</v>
      </c>
      <c r="R46" s="494" t="s">
        <v>65</v>
      </c>
      <c r="S46" s="433">
        <v>46127</v>
      </c>
      <c r="T46" s="436" t="s">
        <v>54</v>
      </c>
      <c r="U46" s="382" t="s">
        <v>281</v>
      </c>
      <c r="V46" s="382"/>
      <c r="W46" s="383" t="s">
        <v>282</v>
      </c>
      <c r="X46" s="384" t="s">
        <v>240</v>
      </c>
      <c r="Y46" s="478">
        <v>10.2316</v>
      </c>
      <c r="Z46" s="386">
        <f>I46*Y46</f>
        <v>3683.376</v>
      </c>
      <c r="AA46" s="371"/>
      <c r="AB46" s="426" t="s">
        <v>84</v>
      </c>
      <c r="AC46" s="388" t="s">
        <v>56</v>
      </c>
      <c r="AD46" s="377"/>
      <c r="AE46" s="389"/>
      <c r="AF46" s="390"/>
      <c r="AG46" s="391"/>
      <c r="AH46" s="391"/>
      <c r="AI46" s="371"/>
      <c r="AJ46" s="371"/>
      <c r="AK46" s="371"/>
      <c r="AL46" s="371">
        <f>I46</f>
        <v>360</v>
      </c>
      <c r="AM46" s="525">
        <f t="shared" si="4"/>
        <v>360</v>
      </c>
      <c r="AN46" s="392"/>
      <c r="AO46" s="392"/>
      <c r="AP46" s="392"/>
      <c r="AQ46" s="387">
        <f t="shared" si="3"/>
        <v>360</v>
      </c>
      <c r="AR46" s="387"/>
      <c r="AS46" s="296"/>
    </row>
    <row r="47" s="298" customFormat="1" ht="36" customHeight="1" spans="1:46">
      <c r="A47" s="369">
        <v>46106</v>
      </c>
      <c r="B47" s="370" t="s">
        <v>122</v>
      </c>
      <c r="C47" s="370" t="s">
        <v>71</v>
      </c>
      <c r="D47" s="371">
        <v>4500198130</v>
      </c>
      <c r="E47" s="372" t="s">
        <v>283</v>
      </c>
      <c r="F47" s="373" t="s">
        <v>284</v>
      </c>
      <c r="G47" s="374" t="s">
        <v>125</v>
      </c>
      <c r="H47" s="428" t="s">
        <v>51</v>
      </c>
      <c r="I47" s="376">
        <v>500</v>
      </c>
      <c r="J47" s="377">
        <v>0</v>
      </c>
      <c r="K47" s="377">
        <v>2</v>
      </c>
      <c r="L47" s="378">
        <f t="shared" si="0"/>
        <v>250</v>
      </c>
      <c r="M47" s="379">
        <v>46162</v>
      </c>
      <c r="N47" s="379">
        <v>46160</v>
      </c>
      <c r="O47" s="479">
        <v>46164</v>
      </c>
      <c r="P47" s="380" t="s">
        <v>52</v>
      </c>
      <c r="Q47" s="381"/>
      <c r="R47" s="494" t="s">
        <v>65</v>
      </c>
      <c r="S47" s="433" t="s">
        <v>158</v>
      </c>
      <c r="T47" s="436" t="s">
        <v>54</v>
      </c>
      <c r="U47" s="382" t="s">
        <v>159</v>
      </c>
      <c r="V47" s="382"/>
      <c r="W47" s="383" t="s">
        <v>219</v>
      </c>
      <c r="X47" s="384" t="s">
        <v>129</v>
      </c>
      <c r="Y47" s="478">
        <v>6.5485</v>
      </c>
      <c r="Z47" s="386">
        <f>I47*Y47</f>
        <v>3274.25</v>
      </c>
      <c r="AA47" s="371"/>
      <c r="AB47" s="426" t="s">
        <v>125</v>
      </c>
      <c r="AC47" s="388" t="s">
        <v>56</v>
      </c>
      <c r="AD47" s="377"/>
      <c r="AE47" s="389"/>
      <c r="AF47" s="390"/>
      <c r="AG47" s="391"/>
      <c r="AH47" s="391"/>
      <c r="AI47" s="371">
        <f t="shared" ref="AI47:AI55" si="7">I47</f>
        <v>500</v>
      </c>
      <c r="AJ47" s="371"/>
      <c r="AK47" s="371"/>
      <c r="AL47" s="371"/>
      <c r="AM47" s="445">
        <f t="shared" si="4"/>
        <v>500</v>
      </c>
      <c r="AN47" s="445"/>
      <c r="AO47" s="392"/>
      <c r="AP47" s="392"/>
      <c r="AQ47" s="388">
        <f t="shared" si="3"/>
        <v>500</v>
      </c>
      <c r="AR47" s="388"/>
      <c r="AS47" s="296"/>
    </row>
    <row r="48" s="295" customFormat="1" ht="36" customHeight="1" spans="1:46">
      <c r="A48" s="369">
        <v>46115</v>
      </c>
      <c r="B48" s="370" t="s">
        <v>285</v>
      </c>
      <c r="C48" s="370" t="s">
        <v>71</v>
      </c>
      <c r="D48" s="371" t="s">
        <v>286</v>
      </c>
      <c r="E48" s="372" t="s">
        <v>287</v>
      </c>
      <c r="F48" s="373" t="s">
        <v>288</v>
      </c>
      <c r="G48" s="374" t="s">
        <v>169</v>
      </c>
      <c r="H48" s="428" t="s">
        <v>51</v>
      </c>
      <c r="I48" s="376">
        <v>321</v>
      </c>
      <c r="J48" s="377">
        <v>0</v>
      </c>
      <c r="K48" s="377">
        <v>3</v>
      </c>
      <c r="L48" s="378">
        <f t="shared" si="0"/>
        <v>107</v>
      </c>
      <c r="M48" s="379">
        <v>46162</v>
      </c>
      <c r="N48" s="379">
        <v>46160</v>
      </c>
      <c r="O48" s="380"/>
      <c r="P48" s="380" t="s">
        <v>52</v>
      </c>
      <c r="Q48" s="381"/>
      <c r="R48" s="381" t="s">
        <v>98</v>
      </c>
      <c r="S48" s="380">
        <v>46115</v>
      </c>
      <c r="T48" s="382" t="s">
        <v>66</v>
      </c>
      <c r="U48" s="382" t="s">
        <v>289</v>
      </c>
      <c r="V48" s="382" t="s">
        <v>290</v>
      </c>
      <c r="W48" s="383" t="s">
        <v>291</v>
      </c>
      <c r="X48" s="384" t="s">
        <v>292</v>
      </c>
      <c r="Y48" s="478">
        <v>7.59</v>
      </c>
      <c r="Z48" s="386">
        <f>Y48*I48</f>
        <v>2436.39</v>
      </c>
      <c r="AA48" s="371"/>
      <c r="AB48" s="387" t="s">
        <v>169</v>
      </c>
      <c r="AC48" s="388" t="s">
        <v>56</v>
      </c>
      <c r="AD48" s="377"/>
      <c r="AE48" s="389"/>
      <c r="AF48" s="390"/>
      <c r="AG48" s="391"/>
      <c r="AH48" s="391"/>
      <c r="AI48" s="371">
        <f t="shared" si="7"/>
        <v>321</v>
      </c>
      <c r="AJ48" s="371"/>
      <c r="AK48" s="371"/>
      <c r="AL48" s="371"/>
      <c r="AM48" s="445">
        <f t="shared" si="4"/>
        <v>321</v>
      </c>
      <c r="AN48" s="392"/>
      <c r="AO48" s="392"/>
      <c r="AP48" s="392"/>
      <c r="AQ48" s="388">
        <f t="shared" si="3"/>
        <v>321</v>
      </c>
      <c r="AR48" s="388"/>
      <c r="AS48" s="296"/>
    </row>
    <row r="49" s="295" customFormat="1" ht="36" customHeight="1" spans="1:45">
      <c r="A49" s="369">
        <v>46106</v>
      </c>
      <c r="B49" s="370" t="s">
        <v>122</v>
      </c>
      <c r="C49" s="370" t="s">
        <v>71</v>
      </c>
      <c r="D49" s="371">
        <v>4500198134</v>
      </c>
      <c r="E49" s="372" t="s">
        <v>293</v>
      </c>
      <c r="F49" s="373" t="s">
        <v>294</v>
      </c>
      <c r="G49" s="374" t="s">
        <v>125</v>
      </c>
      <c r="H49" s="428" t="s">
        <v>51</v>
      </c>
      <c r="I49" s="376">
        <v>500</v>
      </c>
      <c r="J49" s="377">
        <v>0</v>
      </c>
      <c r="K49" s="377">
        <v>2</v>
      </c>
      <c r="L49" s="378">
        <f t="shared" si="0"/>
        <v>250</v>
      </c>
      <c r="M49" s="379">
        <v>46162</v>
      </c>
      <c r="N49" s="379">
        <v>46160</v>
      </c>
      <c r="O49" s="479" t="s">
        <v>295</v>
      </c>
      <c r="P49" s="380" t="s">
        <v>52</v>
      </c>
      <c r="Q49" s="520">
        <v>46174</v>
      </c>
      <c r="R49" s="418" t="s">
        <v>65</v>
      </c>
      <c r="S49" s="380" t="s">
        <v>158</v>
      </c>
      <c r="T49" s="382" t="s">
        <v>54</v>
      </c>
      <c r="U49" s="382" t="s">
        <v>159</v>
      </c>
      <c r="V49" s="382"/>
      <c r="W49" s="383" t="s">
        <v>296</v>
      </c>
      <c r="X49" s="384" t="s">
        <v>129</v>
      </c>
      <c r="Y49" s="478">
        <v>6.3555</v>
      </c>
      <c r="Z49" s="386">
        <f>I49*Y49</f>
        <v>3177.75</v>
      </c>
      <c r="AA49" s="371"/>
      <c r="AB49" s="387" t="s">
        <v>125</v>
      </c>
      <c r="AC49" s="388" t="s">
        <v>56</v>
      </c>
      <c r="AD49" s="377"/>
      <c r="AE49" s="389"/>
      <c r="AF49" s="390"/>
      <c r="AG49" s="391"/>
      <c r="AH49" s="391"/>
      <c r="AI49" s="371">
        <f t="shared" si="7"/>
        <v>500</v>
      </c>
      <c r="AJ49" s="371"/>
      <c r="AK49" s="371"/>
      <c r="AL49" s="371"/>
      <c r="AM49" s="445">
        <f t="shared" si="4"/>
        <v>500</v>
      </c>
      <c r="AN49" s="445"/>
      <c r="AO49" s="392"/>
      <c r="AP49" s="392"/>
      <c r="AQ49" s="388">
        <f t="shared" si="3"/>
        <v>500</v>
      </c>
      <c r="AR49" s="388"/>
      <c r="AS49" s="296"/>
    </row>
    <row r="50" s="295" customFormat="1" ht="36" customHeight="1" spans="1:45">
      <c r="A50" s="369">
        <v>46106</v>
      </c>
      <c r="B50" s="370" t="s">
        <v>122</v>
      </c>
      <c r="C50" s="370" t="s">
        <v>71</v>
      </c>
      <c r="D50" s="371">
        <v>4500198134</v>
      </c>
      <c r="E50" s="372" t="s">
        <v>297</v>
      </c>
      <c r="F50" s="373" t="s">
        <v>298</v>
      </c>
      <c r="G50" s="374" t="s">
        <v>125</v>
      </c>
      <c r="H50" s="428" t="s">
        <v>51</v>
      </c>
      <c r="I50" s="376">
        <v>500</v>
      </c>
      <c r="J50" s="377">
        <v>0</v>
      </c>
      <c r="K50" s="377">
        <v>2</v>
      </c>
      <c r="L50" s="378">
        <f t="shared" si="0"/>
        <v>250</v>
      </c>
      <c r="M50" s="379">
        <v>46162</v>
      </c>
      <c r="N50" s="379">
        <v>46160</v>
      </c>
      <c r="O50" s="479" t="s">
        <v>295</v>
      </c>
      <c r="P50" s="380" t="s">
        <v>52</v>
      </c>
      <c r="Q50" s="520">
        <v>46174</v>
      </c>
      <c r="R50" s="418" t="s">
        <v>65</v>
      </c>
      <c r="S50" s="380" t="s">
        <v>158</v>
      </c>
      <c r="T50" s="382" t="s">
        <v>54</v>
      </c>
      <c r="U50" s="382" t="s">
        <v>159</v>
      </c>
      <c r="V50" s="382"/>
      <c r="W50" s="383" t="s">
        <v>296</v>
      </c>
      <c r="X50" s="384" t="s">
        <v>129</v>
      </c>
      <c r="Y50" s="478">
        <v>6.5485</v>
      </c>
      <c r="Z50" s="386">
        <f>I50*Y50</f>
        <v>3274.25</v>
      </c>
      <c r="AA50" s="371"/>
      <c r="AB50" s="387" t="s">
        <v>125</v>
      </c>
      <c r="AC50" s="388" t="s">
        <v>56</v>
      </c>
      <c r="AD50" s="377"/>
      <c r="AE50" s="389"/>
      <c r="AF50" s="390"/>
      <c r="AG50" s="391"/>
      <c r="AH50" s="391"/>
      <c r="AI50" s="371">
        <f t="shared" si="7"/>
        <v>500</v>
      </c>
      <c r="AJ50" s="371"/>
      <c r="AK50" s="371"/>
      <c r="AL50" s="371"/>
      <c r="AM50" s="445">
        <f t="shared" si="4"/>
        <v>500</v>
      </c>
      <c r="AN50" s="445"/>
      <c r="AO50" s="392"/>
      <c r="AP50" s="392"/>
      <c r="AQ50" s="388">
        <f t="shared" si="3"/>
        <v>500</v>
      </c>
      <c r="AR50" s="388"/>
      <c r="AS50" s="296"/>
    </row>
    <row r="51" s="295" customFormat="1" ht="36" customHeight="1" spans="1:45">
      <c r="A51" s="393">
        <v>46115</v>
      </c>
      <c r="B51" s="394" t="s">
        <v>285</v>
      </c>
      <c r="C51" s="394" t="s">
        <v>71</v>
      </c>
      <c r="D51" s="395" t="s">
        <v>299</v>
      </c>
      <c r="E51" s="396" t="s">
        <v>300</v>
      </c>
      <c r="F51" s="397" t="s">
        <v>301</v>
      </c>
      <c r="G51" s="398" t="s">
        <v>169</v>
      </c>
      <c r="H51" s="428" t="s">
        <v>51</v>
      </c>
      <c r="I51" s="400">
        <v>426</v>
      </c>
      <c r="J51" s="401">
        <v>0</v>
      </c>
      <c r="K51" s="401">
        <v>3</v>
      </c>
      <c r="L51" s="402">
        <f t="shared" si="0"/>
        <v>142</v>
      </c>
      <c r="M51" s="403">
        <v>46162</v>
      </c>
      <c r="N51" s="403">
        <v>46160</v>
      </c>
      <c r="O51" s="404"/>
      <c r="P51" s="380" t="s">
        <v>52</v>
      </c>
      <c r="Q51" s="490">
        <v>46170</v>
      </c>
      <c r="R51" s="405" t="s">
        <v>98</v>
      </c>
      <c r="S51" s="404">
        <v>46115</v>
      </c>
      <c r="T51" s="406" t="s">
        <v>66</v>
      </c>
      <c r="U51" s="406" t="s">
        <v>289</v>
      </c>
      <c r="V51" s="529" t="s">
        <v>290</v>
      </c>
      <c r="W51" s="407" t="s">
        <v>291</v>
      </c>
      <c r="X51" s="408" t="s">
        <v>292</v>
      </c>
      <c r="Y51" s="504">
        <v>7.59</v>
      </c>
      <c r="Z51" s="410">
        <f>Y51*I51</f>
        <v>3233.34</v>
      </c>
      <c r="AA51" s="395"/>
      <c r="AB51" s="426" t="s">
        <v>169</v>
      </c>
      <c r="AC51" s="388" t="s">
        <v>56</v>
      </c>
      <c r="AD51" s="401"/>
      <c r="AE51" s="495"/>
      <c r="AF51" s="414"/>
      <c r="AG51" s="415"/>
      <c r="AH51" s="415"/>
      <c r="AI51" s="371">
        <f t="shared" si="7"/>
        <v>426</v>
      </c>
      <c r="AJ51" s="371"/>
      <c r="AK51" s="371"/>
      <c r="AL51" s="371"/>
      <c r="AM51" s="445">
        <f t="shared" si="4"/>
        <v>426</v>
      </c>
      <c r="AN51" s="392"/>
      <c r="AO51" s="371"/>
      <c r="AP51" s="371"/>
      <c r="AQ51" s="388">
        <f t="shared" si="3"/>
        <v>426</v>
      </c>
      <c r="AR51" s="388"/>
      <c r="AS51" s="296"/>
    </row>
    <row r="52" s="295" customFormat="1" ht="36" customHeight="1" spans="1:45">
      <c r="A52" s="369">
        <v>46115</v>
      </c>
      <c r="B52" s="370" t="s">
        <v>285</v>
      </c>
      <c r="C52" s="370" t="s">
        <v>71</v>
      </c>
      <c r="D52" s="371" t="s">
        <v>302</v>
      </c>
      <c r="E52" s="372" t="s">
        <v>303</v>
      </c>
      <c r="F52" s="373" t="s">
        <v>304</v>
      </c>
      <c r="G52" s="374" t="s">
        <v>169</v>
      </c>
      <c r="H52" s="428" t="s">
        <v>51</v>
      </c>
      <c r="I52" s="376">
        <v>252</v>
      </c>
      <c r="J52" s="377">
        <v>0</v>
      </c>
      <c r="K52" s="377">
        <v>3</v>
      </c>
      <c r="L52" s="378">
        <f t="shared" si="0"/>
        <v>84</v>
      </c>
      <c r="M52" s="379">
        <v>46162</v>
      </c>
      <c r="N52" s="379">
        <v>46160</v>
      </c>
      <c r="O52" s="380"/>
      <c r="P52" s="380" t="s">
        <v>52</v>
      </c>
      <c r="Q52" s="506">
        <v>46184</v>
      </c>
      <c r="R52" s="381" t="s">
        <v>98</v>
      </c>
      <c r="S52" s="380">
        <v>46115</v>
      </c>
      <c r="T52" s="382" t="s">
        <v>66</v>
      </c>
      <c r="U52" s="382" t="s">
        <v>289</v>
      </c>
      <c r="V52" s="382" t="s">
        <v>290</v>
      </c>
      <c r="W52" s="383" t="s">
        <v>291</v>
      </c>
      <c r="X52" s="384" t="s">
        <v>292</v>
      </c>
      <c r="Y52" s="478">
        <v>7.59</v>
      </c>
      <c r="Z52" s="386">
        <f>Y52*I52</f>
        <v>1912.68</v>
      </c>
      <c r="AA52" s="371"/>
      <c r="AB52" s="411" t="s">
        <v>169</v>
      </c>
      <c r="AC52" s="388" t="s">
        <v>56</v>
      </c>
      <c r="AD52" s="377"/>
      <c r="AE52" s="389"/>
      <c r="AF52" s="390"/>
      <c r="AG52" s="391"/>
      <c r="AH52" s="391"/>
      <c r="AI52" s="371">
        <f t="shared" si="7"/>
        <v>252</v>
      </c>
      <c r="AJ52" s="371"/>
      <c r="AK52" s="371"/>
      <c r="AL52" s="371"/>
      <c r="AM52" s="445">
        <f t="shared" si="4"/>
        <v>252</v>
      </c>
      <c r="AN52" s="392"/>
      <c r="AO52" s="392"/>
      <c r="AP52" s="392"/>
      <c r="AQ52" s="388">
        <f t="shared" si="3"/>
        <v>252</v>
      </c>
      <c r="AR52" s="388"/>
      <c r="AS52" s="296"/>
    </row>
    <row r="53" s="295" customFormat="1" ht="36" customHeight="1" spans="1:45">
      <c r="A53" s="369">
        <v>46115</v>
      </c>
      <c r="B53" s="370" t="s">
        <v>285</v>
      </c>
      <c r="C53" s="370" t="s">
        <v>71</v>
      </c>
      <c r="D53" s="371" t="s">
        <v>302</v>
      </c>
      <c r="E53" s="372" t="s">
        <v>305</v>
      </c>
      <c r="F53" s="373" t="s">
        <v>306</v>
      </c>
      <c r="G53" s="374" t="s">
        <v>169</v>
      </c>
      <c r="H53" s="428" t="s">
        <v>51</v>
      </c>
      <c r="I53" s="376">
        <v>402</v>
      </c>
      <c r="J53" s="377">
        <v>0</v>
      </c>
      <c r="K53" s="377">
        <v>3</v>
      </c>
      <c r="L53" s="378">
        <f t="shared" si="0"/>
        <v>134</v>
      </c>
      <c r="M53" s="379">
        <v>46162</v>
      </c>
      <c r="N53" s="379">
        <v>46160</v>
      </c>
      <c r="O53" s="380"/>
      <c r="P53" s="380" t="s">
        <v>52</v>
      </c>
      <c r="Q53" s="506">
        <v>46184</v>
      </c>
      <c r="R53" s="405" t="s">
        <v>98</v>
      </c>
      <c r="S53" s="433">
        <v>46115</v>
      </c>
      <c r="T53" s="436" t="s">
        <v>66</v>
      </c>
      <c r="U53" s="382" t="s">
        <v>289</v>
      </c>
      <c r="V53" s="382" t="s">
        <v>290</v>
      </c>
      <c r="W53" s="383" t="s">
        <v>291</v>
      </c>
      <c r="X53" s="384" t="s">
        <v>292</v>
      </c>
      <c r="Y53" s="478">
        <v>7.59</v>
      </c>
      <c r="Z53" s="386">
        <f>Y53*I53</f>
        <v>3051.18</v>
      </c>
      <c r="AA53" s="371"/>
      <c r="AB53" s="426" t="s">
        <v>169</v>
      </c>
      <c r="AC53" s="388" t="s">
        <v>56</v>
      </c>
      <c r="AD53" s="377"/>
      <c r="AE53" s="389"/>
      <c r="AF53" s="390"/>
      <c r="AG53" s="391"/>
      <c r="AH53" s="391"/>
      <c r="AI53" s="371">
        <f t="shared" si="7"/>
        <v>402</v>
      </c>
      <c r="AJ53" s="371"/>
      <c r="AK53" s="371"/>
      <c r="AL53" s="371"/>
      <c r="AM53" s="445">
        <f t="shared" si="4"/>
        <v>402</v>
      </c>
      <c r="AN53" s="392"/>
      <c r="AO53" s="371"/>
      <c r="AP53" s="371"/>
      <c r="AQ53" s="388">
        <f t="shared" si="3"/>
        <v>402</v>
      </c>
      <c r="AR53" s="388"/>
      <c r="AS53" s="296"/>
    </row>
    <row r="54" s="295" customFormat="1" ht="36" customHeight="1" spans="1:45">
      <c r="A54" s="369">
        <v>46094</v>
      </c>
      <c r="B54" s="370" t="s">
        <v>195</v>
      </c>
      <c r="C54" s="370" t="s">
        <v>71</v>
      </c>
      <c r="D54" s="371">
        <v>4500196794</v>
      </c>
      <c r="E54" s="372" t="s">
        <v>307</v>
      </c>
      <c r="F54" s="373" t="s">
        <v>308</v>
      </c>
      <c r="G54" s="374" t="s">
        <v>125</v>
      </c>
      <c r="H54" s="428" t="s">
        <v>51</v>
      </c>
      <c r="I54" s="376">
        <v>1768</v>
      </c>
      <c r="J54" s="377">
        <v>0</v>
      </c>
      <c r="K54" s="377">
        <v>2</v>
      </c>
      <c r="L54" s="378">
        <f t="shared" si="0"/>
        <v>884</v>
      </c>
      <c r="M54" s="379">
        <v>46162</v>
      </c>
      <c r="N54" s="379">
        <v>46160</v>
      </c>
      <c r="O54" s="479">
        <v>46164</v>
      </c>
      <c r="P54" s="380" t="s">
        <v>52</v>
      </c>
      <c r="Q54" s="506">
        <v>46181</v>
      </c>
      <c r="R54" s="418" t="s">
        <v>65</v>
      </c>
      <c r="S54" s="380">
        <v>46094</v>
      </c>
      <c r="T54" s="382" t="s">
        <v>66</v>
      </c>
      <c r="U54" s="382" t="s">
        <v>198</v>
      </c>
      <c r="V54" s="455"/>
      <c r="W54" s="383" t="s">
        <v>199</v>
      </c>
      <c r="X54" s="384" t="s">
        <v>200</v>
      </c>
      <c r="Y54" s="478">
        <v>6.5485</v>
      </c>
      <c r="Z54" s="386">
        <f>I54*Y54</f>
        <v>11577.748</v>
      </c>
      <c r="AA54" s="371"/>
      <c r="AB54" s="411" t="s">
        <v>125</v>
      </c>
      <c r="AC54" s="388" t="s">
        <v>56</v>
      </c>
      <c r="AD54" s="377"/>
      <c r="AE54" s="389"/>
      <c r="AF54" s="390"/>
      <c r="AG54" s="391"/>
      <c r="AH54" s="391"/>
      <c r="AI54" s="371">
        <f t="shared" si="7"/>
        <v>1768</v>
      </c>
      <c r="AJ54" s="371"/>
      <c r="AK54" s="371"/>
      <c r="AL54" s="371"/>
      <c r="AM54" s="445">
        <f t="shared" si="4"/>
        <v>1768</v>
      </c>
      <c r="AN54" s="445"/>
      <c r="AO54" s="392"/>
      <c r="AP54" s="392"/>
      <c r="AQ54" s="388">
        <f t="shared" si="3"/>
        <v>1768</v>
      </c>
      <c r="AR54" s="388"/>
      <c r="AS54" s="296"/>
    </row>
    <row r="55" s="295" customFormat="1" ht="36" customHeight="1" spans="1:45">
      <c r="A55" s="369">
        <v>46120</v>
      </c>
      <c r="B55" s="370" t="s">
        <v>309</v>
      </c>
      <c r="C55" s="370" t="s">
        <v>310</v>
      </c>
      <c r="D55" s="371" t="s">
        <v>311</v>
      </c>
      <c r="E55" s="372" t="s">
        <v>312</v>
      </c>
      <c r="F55" s="373" t="s">
        <v>313</v>
      </c>
      <c r="G55" s="374" t="s">
        <v>50</v>
      </c>
      <c r="H55" s="428" t="s">
        <v>51</v>
      </c>
      <c r="I55" s="376">
        <v>480</v>
      </c>
      <c r="J55" s="377">
        <v>0</v>
      </c>
      <c r="K55" s="377">
        <v>3</v>
      </c>
      <c r="L55" s="378">
        <f t="shared" si="0"/>
        <v>160</v>
      </c>
      <c r="M55" s="379">
        <v>46162</v>
      </c>
      <c r="N55" s="379">
        <v>46160</v>
      </c>
      <c r="O55" s="380"/>
      <c r="P55" s="380" t="s">
        <v>52</v>
      </c>
      <c r="Q55" s="490">
        <v>46171</v>
      </c>
      <c r="R55" s="418" t="s">
        <v>65</v>
      </c>
      <c r="S55" s="380">
        <v>46128</v>
      </c>
      <c r="T55" s="436" t="s">
        <v>54</v>
      </c>
      <c r="U55" s="382" t="s">
        <v>238</v>
      </c>
      <c r="V55" s="382"/>
      <c r="W55" s="491" t="s">
        <v>314</v>
      </c>
      <c r="X55" s="384" t="s">
        <v>240</v>
      </c>
      <c r="Y55" s="478">
        <v>10.2316</v>
      </c>
      <c r="Z55" s="386">
        <f>I55*Y55</f>
        <v>4911.168</v>
      </c>
      <c r="AA55" s="371"/>
      <c r="AB55" s="411" t="s">
        <v>84</v>
      </c>
      <c r="AC55" s="388" t="s">
        <v>56</v>
      </c>
      <c r="AD55" s="377"/>
      <c r="AE55" s="389"/>
      <c r="AF55" s="390"/>
      <c r="AG55" s="391"/>
      <c r="AH55" s="391"/>
      <c r="AI55" s="371"/>
      <c r="AJ55" s="371"/>
      <c r="AK55" s="371"/>
      <c r="AL55" s="371">
        <f>I55</f>
        <v>480</v>
      </c>
      <c r="AM55" s="445">
        <f t="shared" si="4"/>
        <v>480</v>
      </c>
      <c r="AN55" s="392"/>
      <c r="AO55" s="371"/>
      <c r="AP55" s="371"/>
      <c r="AQ55" s="388">
        <f t="shared" si="3"/>
        <v>480</v>
      </c>
      <c r="AR55" s="388"/>
      <c r="AS55" s="296"/>
    </row>
    <row r="56" s="297" customFormat="1" ht="36" customHeight="1" spans="1:45">
      <c r="A56" s="369">
        <v>46104</v>
      </c>
      <c r="B56" s="370" t="s">
        <v>315</v>
      </c>
      <c r="C56" s="370" t="s">
        <v>71</v>
      </c>
      <c r="D56" s="371">
        <v>4500198024</v>
      </c>
      <c r="E56" s="372">
        <v>36245</v>
      </c>
      <c r="F56" s="373" t="s">
        <v>316</v>
      </c>
      <c r="G56" s="374" t="s">
        <v>50</v>
      </c>
      <c r="H56" s="428" t="s">
        <v>51</v>
      </c>
      <c r="I56" s="376">
        <v>240</v>
      </c>
      <c r="J56" s="377">
        <v>0</v>
      </c>
      <c r="K56" s="377">
        <v>3</v>
      </c>
      <c r="L56" s="378">
        <f t="shared" si="0"/>
        <v>80</v>
      </c>
      <c r="M56" s="379">
        <v>46164</v>
      </c>
      <c r="N56" s="379">
        <v>46160</v>
      </c>
      <c r="O56" s="380"/>
      <c r="P56" s="380" t="s">
        <v>52</v>
      </c>
      <c r="Q56" s="520">
        <v>46167</v>
      </c>
      <c r="R56" s="381" t="s">
        <v>98</v>
      </c>
      <c r="S56" s="380">
        <v>46133</v>
      </c>
      <c r="T56" s="382" t="s">
        <v>54</v>
      </c>
      <c r="U56" s="382" t="s">
        <v>54</v>
      </c>
      <c r="V56" s="382"/>
      <c r="W56" s="383" t="s">
        <v>317</v>
      </c>
      <c r="X56" s="384" t="s">
        <v>318</v>
      </c>
      <c r="Y56" s="478">
        <v>6.139</v>
      </c>
      <c r="Z56" s="386">
        <f>I56*Y56</f>
        <v>1473.36</v>
      </c>
      <c r="AA56" s="371"/>
      <c r="AB56" s="411" t="s">
        <v>50</v>
      </c>
      <c r="AC56" s="388" t="s">
        <v>56</v>
      </c>
      <c r="AD56" s="377"/>
      <c r="AE56" s="389"/>
      <c r="AF56" s="390"/>
      <c r="AG56" s="391"/>
      <c r="AH56" s="391"/>
      <c r="AI56" s="371">
        <f t="shared" ref="AI56:AI61" si="8">I56</f>
        <v>240</v>
      </c>
      <c r="AJ56" s="371"/>
      <c r="AK56" s="371"/>
      <c r="AL56" s="371"/>
      <c r="AM56" s="445">
        <f t="shared" si="4"/>
        <v>240</v>
      </c>
      <c r="AN56" s="392"/>
      <c r="AO56" s="392"/>
      <c r="AP56" s="392"/>
      <c r="AQ56" s="388">
        <f t="shared" si="3"/>
        <v>240</v>
      </c>
      <c r="AR56" s="388"/>
      <c r="AS56" s="296"/>
    </row>
    <row r="57" s="298" customFormat="1" ht="36" customHeight="1" spans="1:45">
      <c r="A57" s="369">
        <v>46098</v>
      </c>
      <c r="B57" s="370" t="s">
        <v>319</v>
      </c>
      <c r="C57" s="370" t="s">
        <v>71</v>
      </c>
      <c r="D57" s="371">
        <v>4500195170</v>
      </c>
      <c r="E57" s="372" t="s">
        <v>320</v>
      </c>
      <c r="F57" s="373" t="s">
        <v>321</v>
      </c>
      <c r="G57" s="374" t="s">
        <v>50</v>
      </c>
      <c r="H57" s="428" t="s">
        <v>51</v>
      </c>
      <c r="I57" s="376">
        <v>1002</v>
      </c>
      <c r="J57" s="377">
        <v>0</v>
      </c>
      <c r="K57" s="377">
        <v>3</v>
      </c>
      <c r="L57" s="378">
        <f t="shared" si="0"/>
        <v>334</v>
      </c>
      <c r="M57" s="379">
        <v>46164</v>
      </c>
      <c r="N57" s="379">
        <v>46160</v>
      </c>
      <c r="O57" s="380"/>
      <c r="P57" s="380" t="s">
        <v>52</v>
      </c>
      <c r="Q57" s="509">
        <v>46173</v>
      </c>
      <c r="R57" s="494" t="s">
        <v>65</v>
      </c>
      <c r="S57" s="433">
        <v>46104</v>
      </c>
      <c r="T57" s="436" t="s">
        <v>54</v>
      </c>
      <c r="U57" s="382" t="s">
        <v>54</v>
      </c>
      <c r="V57" s="382"/>
      <c r="W57" s="383" t="s">
        <v>322</v>
      </c>
      <c r="X57" s="384" t="s">
        <v>323</v>
      </c>
      <c r="Y57" s="478">
        <v>6.129</v>
      </c>
      <c r="Z57" s="386">
        <f>I57*Y57</f>
        <v>6141.258</v>
      </c>
      <c r="AA57" s="371"/>
      <c r="AB57" s="426" t="s">
        <v>50</v>
      </c>
      <c r="AC57" s="388" t="s">
        <v>56</v>
      </c>
      <c r="AD57" s="377"/>
      <c r="AE57" s="389"/>
      <c r="AF57" s="390"/>
      <c r="AG57" s="391"/>
      <c r="AH57" s="391"/>
      <c r="AI57" s="371">
        <f t="shared" si="8"/>
        <v>1002</v>
      </c>
      <c r="AJ57" s="371"/>
      <c r="AK57" s="371"/>
      <c r="AL57" s="371"/>
      <c r="AM57" s="445">
        <f t="shared" si="4"/>
        <v>1002</v>
      </c>
      <c r="AN57" s="392"/>
      <c r="AO57" s="371"/>
      <c r="AP57" s="371"/>
      <c r="AQ57" s="388">
        <f t="shared" si="3"/>
        <v>1002</v>
      </c>
      <c r="AR57" s="388"/>
      <c r="AS57" s="296"/>
    </row>
    <row r="58" s="298" customFormat="1" ht="36" customHeight="1" spans="1:45">
      <c r="A58" s="393">
        <v>46114</v>
      </c>
      <c r="B58" s="394" t="s">
        <v>324</v>
      </c>
      <c r="C58" s="394" t="s">
        <v>71</v>
      </c>
      <c r="D58" s="395" t="s">
        <v>325</v>
      </c>
      <c r="E58" s="396" t="s">
        <v>326</v>
      </c>
      <c r="F58" s="397" t="s">
        <v>327</v>
      </c>
      <c r="G58" s="398" t="s">
        <v>50</v>
      </c>
      <c r="H58" s="428" t="s">
        <v>51</v>
      </c>
      <c r="I58" s="400">
        <v>600</v>
      </c>
      <c r="J58" s="401">
        <v>0</v>
      </c>
      <c r="K58" s="401">
        <v>3</v>
      </c>
      <c r="L58" s="402">
        <f t="shared" si="0"/>
        <v>200</v>
      </c>
      <c r="M58" s="403">
        <v>46164</v>
      </c>
      <c r="N58" s="403">
        <v>46162</v>
      </c>
      <c r="O58" s="530"/>
      <c r="P58" s="404" t="s">
        <v>52</v>
      </c>
      <c r="Q58" s="531">
        <v>46168</v>
      </c>
      <c r="R58" s="494" t="s">
        <v>65</v>
      </c>
      <c r="S58" s="404">
        <v>46132</v>
      </c>
      <c r="T58" s="406" t="s">
        <v>54</v>
      </c>
      <c r="U58" s="406" t="s">
        <v>54</v>
      </c>
      <c r="V58" s="529"/>
      <c r="W58" s="407" t="s">
        <v>328</v>
      </c>
      <c r="X58" s="408" t="s">
        <v>329</v>
      </c>
      <c r="Y58" s="504">
        <v>6.139</v>
      </c>
      <c r="Z58" s="410">
        <f>Y58*I58</f>
        <v>3683.4</v>
      </c>
      <c r="AA58" s="395"/>
      <c r="AB58" s="426" t="s">
        <v>50</v>
      </c>
      <c r="AC58" s="388" t="s">
        <v>56</v>
      </c>
      <c r="AD58" s="401"/>
      <c r="AE58" s="495"/>
      <c r="AF58" s="414"/>
      <c r="AG58" s="415"/>
      <c r="AH58" s="415"/>
      <c r="AI58" s="371">
        <f t="shared" si="8"/>
        <v>600</v>
      </c>
      <c r="AJ58" s="371"/>
      <c r="AK58" s="371"/>
      <c r="AL58" s="482"/>
      <c r="AM58" s="445">
        <f t="shared" si="4"/>
        <v>600</v>
      </c>
      <c r="AN58" s="525"/>
      <c r="AO58" s="371"/>
      <c r="AP58" s="371"/>
      <c r="AQ58" s="388">
        <f t="shared" si="3"/>
        <v>600</v>
      </c>
      <c r="AR58" s="388"/>
      <c r="AS58" s="296"/>
    </row>
    <row r="59" s="295" customFormat="1" ht="36" customHeight="1" spans="1:45">
      <c r="A59" s="393">
        <v>46108</v>
      </c>
      <c r="B59" s="394" t="s">
        <v>330</v>
      </c>
      <c r="C59" s="394" t="s">
        <v>331</v>
      </c>
      <c r="D59" s="395">
        <v>4500199109</v>
      </c>
      <c r="E59" s="396"/>
      <c r="F59" s="397" t="s">
        <v>332</v>
      </c>
      <c r="G59" s="398" t="s">
        <v>50</v>
      </c>
      <c r="H59" s="507" t="s">
        <v>51</v>
      </c>
      <c r="I59" s="400">
        <v>510</v>
      </c>
      <c r="J59" s="401">
        <v>0</v>
      </c>
      <c r="K59" s="401">
        <v>3</v>
      </c>
      <c r="L59" s="402">
        <f t="shared" si="0"/>
        <v>170</v>
      </c>
      <c r="M59" s="403">
        <v>46165</v>
      </c>
      <c r="N59" s="403">
        <v>46163</v>
      </c>
      <c r="O59" s="404"/>
      <c r="P59" s="404" t="s">
        <v>52</v>
      </c>
      <c r="Q59" s="508">
        <v>46181</v>
      </c>
      <c r="R59" s="494" t="s">
        <v>65</v>
      </c>
      <c r="S59" s="404">
        <v>46122</v>
      </c>
      <c r="T59" s="467" t="s">
        <v>54</v>
      </c>
      <c r="U59" s="406" t="s">
        <v>54</v>
      </c>
      <c r="V59" s="406"/>
      <c r="W59" s="407" t="s">
        <v>333</v>
      </c>
      <c r="X59" s="408" t="s">
        <v>209</v>
      </c>
      <c r="Y59" s="504">
        <v>9.9425</v>
      </c>
      <c r="Z59" s="410">
        <f>Y59*I59</f>
        <v>5070.675</v>
      </c>
      <c r="AA59" s="395"/>
      <c r="AB59" s="411" t="s">
        <v>50</v>
      </c>
      <c r="AC59" s="388" t="s">
        <v>56</v>
      </c>
      <c r="AD59" s="401"/>
      <c r="AE59" s="495"/>
      <c r="AF59" s="414"/>
      <c r="AG59" s="415"/>
      <c r="AH59" s="415"/>
      <c r="AI59" s="395">
        <f t="shared" si="8"/>
        <v>510</v>
      </c>
      <c r="AJ59" s="460"/>
      <c r="AK59" s="460"/>
      <c r="AL59" s="460"/>
      <c r="AM59" s="526">
        <f t="shared" si="4"/>
        <v>510</v>
      </c>
      <c r="AN59" s="416"/>
      <c r="AO59" s="416"/>
      <c r="AP59" s="416"/>
      <c r="AQ59" s="412">
        <f t="shared" si="3"/>
        <v>510</v>
      </c>
      <c r="AR59" s="412"/>
      <c r="AS59" s="528"/>
    </row>
    <row r="60" s="298" customFormat="1" ht="36" customHeight="1" spans="1:45">
      <c r="A60" s="422">
        <v>46106</v>
      </c>
      <c r="B60" s="423" t="s">
        <v>122</v>
      </c>
      <c r="C60" s="423" t="s">
        <v>71</v>
      </c>
      <c r="D60" s="424">
        <v>4500198135</v>
      </c>
      <c r="E60" s="532" t="s">
        <v>334</v>
      </c>
      <c r="F60" s="533" t="s">
        <v>335</v>
      </c>
      <c r="G60" s="427" t="s">
        <v>125</v>
      </c>
      <c r="H60" s="428" t="s">
        <v>51</v>
      </c>
      <c r="I60" s="450">
        <v>500</v>
      </c>
      <c r="J60" s="401">
        <v>0</v>
      </c>
      <c r="K60" s="470">
        <v>2</v>
      </c>
      <c r="L60" s="514">
        <f t="shared" si="0"/>
        <v>250</v>
      </c>
      <c r="M60" s="432">
        <v>46167</v>
      </c>
      <c r="N60" s="432">
        <v>46163</v>
      </c>
      <c r="O60" s="534" t="s">
        <v>336</v>
      </c>
      <c r="P60" s="380" t="s">
        <v>52</v>
      </c>
      <c r="Q60" s="535">
        <v>46178</v>
      </c>
      <c r="R60" s="435" t="s">
        <v>65</v>
      </c>
      <c r="S60" s="433" t="s">
        <v>158</v>
      </c>
      <c r="T60" s="436" t="s">
        <v>54</v>
      </c>
      <c r="U60" s="436" t="s">
        <v>159</v>
      </c>
      <c r="V60" s="436"/>
      <c r="W60" s="438" t="s">
        <v>219</v>
      </c>
      <c r="X60" s="439" t="s">
        <v>129</v>
      </c>
      <c r="Y60" s="481">
        <v>6.5485</v>
      </c>
      <c r="Z60" s="441">
        <f>I60*Y60</f>
        <v>3274.25</v>
      </c>
      <c r="AA60" s="424"/>
      <c r="AB60" s="462" t="s">
        <v>125</v>
      </c>
      <c r="AC60" s="388" t="s">
        <v>56</v>
      </c>
      <c r="AD60" s="430"/>
      <c r="AE60" s="536"/>
      <c r="AF60" s="442"/>
      <c r="AG60" s="443"/>
      <c r="AH60" s="443"/>
      <c r="AI60" s="424">
        <f t="shared" si="8"/>
        <v>500</v>
      </c>
      <c r="AJ60" s="424"/>
      <c r="AK60" s="424"/>
      <c r="AL60" s="424"/>
      <c r="AM60" s="537">
        <f t="shared" si="4"/>
        <v>500</v>
      </c>
      <c r="AN60" s="538"/>
      <c r="AO60" s="444"/>
      <c r="AP60" s="444"/>
      <c r="AQ60" s="518">
        <f t="shared" si="3"/>
        <v>500</v>
      </c>
      <c r="AR60" s="518"/>
      <c r="AS60" s="539"/>
    </row>
    <row r="61" s="295" customFormat="1" ht="36" customHeight="1" spans="1:45">
      <c r="A61" s="369">
        <v>46106</v>
      </c>
      <c r="B61" s="370" t="s">
        <v>122</v>
      </c>
      <c r="C61" s="370" t="s">
        <v>71</v>
      </c>
      <c r="D61" s="371">
        <v>4500198141</v>
      </c>
      <c r="E61" s="372" t="s">
        <v>337</v>
      </c>
      <c r="F61" s="373" t="s">
        <v>338</v>
      </c>
      <c r="G61" s="374" t="s">
        <v>125</v>
      </c>
      <c r="H61" s="428" t="s">
        <v>51</v>
      </c>
      <c r="I61" s="376">
        <v>500</v>
      </c>
      <c r="J61" s="377">
        <v>0</v>
      </c>
      <c r="K61" s="377">
        <v>2</v>
      </c>
      <c r="L61" s="378">
        <f t="shared" si="0"/>
        <v>250</v>
      </c>
      <c r="M61" s="379">
        <v>46167</v>
      </c>
      <c r="N61" s="379">
        <v>46163</v>
      </c>
      <c r="O61" s="479">
        <v>46174</v>
      </c>
      <c r="P61" s="380" t="s">
        <v>52</v>
      </c>
      <c r="Q61" s="540">
        <v>46181</v>
      </c>
      <c r="R61" s="418" t="s">
        <v>65</v>
      </c>
      <c r="S61" s="380" t="s">
        <v>158</v>
      </c>
      <c r="T61" s="382" t="s">
        <v>54</v>
      </c>
      <c r="U61" s="382" t="s">
        <v>159</v>
      </c>
      <c r="V61" s="382"/>
      <c r="W61" s="383" t="s">
        <v>339</v>
      </c>
      <c r="X61" s="384" t="s">
        <v>129</v>
      </c>
      <c r="Y61" s="478">
        <v>6.5485</v>
      </c>
      <c r="Z61" s="386">
        <f>I61*Y61</f>
        <v>3274.25</v>
      </c>
      <c r="AA61" s="371"/>
      <c r="AB61" s="411" t="s">
        <v>125</v>
      </c>
      <c r="AC61" s="388" t="s">
        <v>56</v>
      </c>
      <c r="AD61" s="377"/>
      <c r="AE61" s="389"/>
      <c r="AF61" s="390"/>
      <c r="AG61" s="391"/>
      <c r="AH61" s="391"/>
      <c r="AI61" s="371">
        <f t="shared" si="8"/>
        <v>500</v>
      </c>
      <c r="AJ61" s="371"/>
      <c r="AK61" s="371"/>
      <c r="AL61" s="371"/>
      <c r="AM61" s="445">
        <f t="shared" si="4"/>
        <v>500</v>
      </c>
      <c r="AN61" s="445"/>
      <c r="AO61" s="392"/>
      <c r="AP61" s="392"/>
      <c r="AQ61" s="388">
        <f t="shared" si="3"/>
        <v>500</v>
      </c>
      <c r="AR61" s="388"/>
      <c r="AS61" s="296"/>
    </row>
    <row r="62" s="299" customFormat="1" ht="36" customHeight="1" spans="1:45">
      <c r="A62" s="369">
        <v>46052</v>
      </c>
      <c r="B62" s="370" t="s">
        <v>340</v>
      </c>
      <c r="C62" s="370" t="s">
        <v>341</v>
      </c>
      <c r="D62" s="371">
        <v>4500192784</v>
      </c>
      <c r="E62" s="417" t="s">
        <v>342</v>
      </c>
      <c r="F62" s="387" t="s">
        <v>343</v>
      </c>
      <c r="G62" s="374" t="s">
        <v>50</v>
      </c>
      <c r="H62" s="428" t="s">
        <v>51</v>
      </c>
      <c r="I62" s="541">
        <v>714</v>
      </c>
      <c r="J62" s="401">
        <v>0</v>
      </c>
      <c r="K62" s="470">
        <v>3</v>
      </c>
      <c r="L62" s="514">
        <f t="shared" si="0"/>
        <v>238</v>
      </c>
      <c r="M62" s="542">
        <v>46167</v>
      </c>
      <c r="N62" s="542">
        <v>46163</v>
      </c>
      <c r="O62" s="380"/>
      <c r="P62" s="380" t="s">
        <v>52</v>
      </c>
      <c r="Q62" s="520">
        <v>46173</v>
      </c>
      <c r="R62" s="418" t="s">
        <v>65</v>
      </c>
      <c r="S62" s="380">
        <v>46052</v>
      </c>
      <c r="T62" s="382" t="s">
        <v>54</v>
      </c>
      <c r="U62" s="382" t="s">
        <v>344</v>
      </c>
      <c r="V62" s="382"/>
      <c r="W62" s="491" t="s">
        <v>345</v>
      </c>
      <c r="X62" s="384" t="s">
        <v>346</v>
      </c>
      <c r="Y62" s="543">
        <v>10.215</v>
      </c>
      <c r="Z62" s="386">
        <f>I62*Y62</f>
        <v>7293.51</v>
      </c>
      <c r="AA62" s="371"/>
      <c r="AB62" s="387" t="s">
        <v>84</v>
      </c>
      <c r="AC62" s="388" t="s">
        <v>56</v>
      </c>
      <c r="AD62" s="377"/>
      <c r="AE62" s="389"/>
      <c r="AF62" s="390"/>
      <c r="AG62" s="391"/>
      <c r="AH62" s="391"/>
      <c r="AI62" s="371"/>
      <c r="AJ62" s="371"/>
      <c r="AK62" s="371"/>
      <c r="AL62" s="371">
        <f>I62</f>
        <v>714</v>
      </c>
      <c r="AM62" s="544">
        <f t="shared" si="4"/>
        <v>714</v>
      </c>
      <c r="AN62" s="371"/>
      <c r="AO62" s="371"/>
      <c r="AP62" s="371"/>
      <c r="AQ62" s="388">
        <f t="shared" si="3"/>
        <v>714</v>
      </c>
      <c r="AR62" s="545"/>
    </row>
    <row r="63" s="295" customFormat="1" ht="36" customHeight="1" spans="1:45">
      <c r="A63" s="369">
        <v>46106</v>
      </c>
      <c r="B63" s="370" t="s">
        <v>122</v>
      </c>
      <c r="C63" s="370" t="s">
        <v>71</v>
      </c>
      <c r="D63" s="371">
        <v>4500198137</v>
      </c>
      <c r="E63" s="372" t="s">
        <v>347</v>
      </c>
      <c r="F63" s="373" t="s">
        <v>348</v>
      </c>
      <c r="G63" s="374" t="s">
        <v>125</v>
      </c>
      <c r="H63" s="428" t="s">
        <v>51</v>
      </c>
      <c r="I63" s="376">
        <v>500</v>
      </c>
      <c r="J63" s="377">
        <v>0</v>
      </c>
      <c r="K63" s="377">
        <v>2</v>
      </c>
      <c r="L63" s="378">
        <f t="shared" si="0"/>
        <v>250</v>
      </c>
      <c r="M63" s="379">
        <v>46167</v>
      </c>
      <c r="N63" s="379">
        <v>46163</v>
      </c>
      <c r="O63" s="479" t="s">
        <v>349</v>
      </c>
      <c r="P63" s="380" t="s">
        <v>52</v>
      </c>
      <c r="Q63" s="520">
        <v>46185</v>
      </c>
      <c r="R63" s="418" t="s">
        <v>65</v>
      </c>
      <c r="S63" s="380" t="s">
        <v>158</v>
      </c>
      <c r="T63" s="436" t="s">
        <v>54</v>
      </c>
      <c r="U63" s="382" t="s">
        <v>159</v>
      </c>
      <c r="V63" s="382"/>
      <c r="W63" s="383" t="s">
        <v>219</v>
      </c>
      <c r="X63" s="384" t="s">
        <v>129</v>
      </c>
      <c r="Y63" s="478">
        <v>6.5485</v>
      </c>
      <c r="Z63" s="386">
        <f>I63*Y63</f>
        <v>3274.25</v>
      </c>
      <c r="AA63" s="371"/>
      <c r="AB63" s="387" t="s">
        <v>125</v>
      </c>
      <c r="AC63" s="388" t="s">
        <v>56</v>
      </c>
      <c r="AD63" s="377"/>
      <c r="AE63" s="389"/>
      <c r="AF63" s="390"/>
      <c r="AG63" s="391"/>
      <c r="AH63" s="391"/>
      <c r="AI63" s="371">
        <f>I63</f>
        <v>500</v>
      </c>
      <c r="AJ63" s="424"/>
      <c r="AK63" s="424"/>
      <c r="AL63" s="424"/>
      <c r="AM63" s="449">
        <f t="shared" si="4"/>
        <v>500</v>
      </c>
      <c r="AN63" s="445"/>
      <c r="AO63" s="392"/>
      <c r="AP63" s="392"/>
      <c r="AQ63" s="388">
        <f t="shared" si="3"/>
        <v>500</v>
      </c>
      <c r="AR63" s="388"/>
      <c r="AS63" s="296"/>
    </row>
    <row r="64" s="295" customFormat="1" ht="36" customHeight="1" spans="1:45">
      <c r="A64" s="369">
        <v>46106</v>
      </c>
      <c r="B64" s="370" t="s">
        <v>122</v>
      </c>
      <c r="C64" s="370" t="s">
        <v>71</v>
      </c>
      <c r="D64" s="371">
        <v>4500198137</v>
      </c>
      <c r="E64" s="372" t="s">
        <v>350</v>
      </c>
      <c r="F64" s="373" t="s">
        <v>351</v>
      </c>
      <c r="G64" s="374" t="s">
        <v>125</v>
      </c>
      <c r="H64" s="428" t="s">
        <v>51</v>
      </c>
      <c r="I64" s="376">
        <v>500</v>
      </c>
      <c r="J64" s="377">
        <v>0</v>
      </c>
      <c r="K64" s="377">
        <v>2</v>
      </c>
      <c r="L64" s="378">
        <f t="shared" si="0"/>
        <v>250</v>
      </c>
      <c r="M64" s="379">
        <v>46167</v>
      </c>
      <c r="N64" s="379">
        <v>46163</v>
      </c>
      <c r="O64" s="479" t="s">
        <v>336</v>
      </c>
      <c r="P64" s="380" t="s">
        <v>52</v>
      </c>
      <c r="Q64" s="520">
        <v>46183</v>
      </c>
      <c r="R64" s="418" t="s">
        <v>65</v>
      </c>
      <c r="S64" s="380" t="s">
        <v>158</v>
      </c>
      <c r="T64" s="436" t="s">
        <v>54</v>
      </c>
      <c r="U64" s="382" t="s">
        <v>159</v>
      </c>
      <c r="V64" s="382"/>
      <c r="W64" s="383" t="s">
        <v>219</v>
      </c>
      <c r="X64" s="384" t="s">
        <v>129</v>
      </c>
      <c r="Y64" s="478">
        <v>6.5485</v>
      </c>
      <c r="Z64" s="386">
        <f>I64*Y64</f>
        <v>3274.25</v>
      </c>
      <c r="AA64" s="371"/>
      <c r="AB64" s="387" t="s">
        <v>125</v>
      </c>
      <c r="AC64" s="388" t="s">
        <v>56</v>
      </c>
      <c r="AD64" s="377"/>
      <c r="AE64" s="389"/>
      <c r="AF64" s="390"/>
      <c r="AG64" s="391"/>
      <c r="AH64" s="391"/>
      <c r="AI64" s="371">
        <f>I64</f>
        <v>500</v>
      </c>
      <c r="AJ64" s="424"/>
      <c r="AK64" s="424"/>
      <c r="AL64" s="424"/>
      <c r="AM64" s="449">
        <f t="shared" si="4"/>
        <v>500</v>
      </c>
      <c r="AN64" s="445"/>
      <c r="AO64" s="392"/>
      <c r="AP64" s="392"/>
      <c r="AQ64" s="388">
        <f t="shared" si="3"/>
        <v>500</v>
      </c>
      <c r="AR64" s="388"/>
      <c r="AS64" s="296"/>
    </row>
    <row r="65" s="295" customFormat="1" ht="36" customHeight="1" spans="1:46">
      <c r="A65" s="369">
        <v>46126</v>
      </c>
      <c r="B65" s="370" t="s">
        <v>352</v>
      </c>
      <c r="C65" s="370" t="s">
        <v>257</v>
      </c>
      <c r="D65" s="371">
        <v>4500201678</v>
      </c>
      <c r="E65" s="372" t="s">
        <v>353</v>
      </c>
      <c r="F65" s="373" t="s">
        <v>354</v>
      </c>
      <c r="G65" s="374" t="s">
        <v>50</v>
      </c>
      <c r="H65" s="428" t="s">
        <v>51</v>
      </c>
      <c r="I65" s="376">
        <v>1200</v>
      </c>
      <c r="J65" s="377">
        <v>0</v>
      </c>
      <c r="K65" s="377">
        <v>3</v>
      </c>
      <c r="L65" s="378">
        <f t="shared" si="0"/>
        <v>400</v>
      </c>
      <c r="M65" s="379">
        <v>46167</v>
      </c>
      <c r="N65" s="379">
        <v>46164</v>
      </c>
      <c r="O65" s="479"/>
      <c r="P65" s="380" t="s">
        <v>52</v>
      </c>
      <c r="Q65" s="509">
        <v>46170</v>
      </c>
      <c r="R65" s="381" t="s">
        <v>98</v>
      </c>
      <c r="S65" s="380">
        <v>46135</v>
      </c>
      <c r="T65" s="436" t="s">
        <v>54</v>
      </c>
      <c r="U65" s="382" t="s">
        <v>355</v>
      </c>
      <c r="V65" s="382" t="s">
        <v>356</v>
      </c>
      <c r="W65" s="383" t="s">
        <v>357</v>
      </c>
      <c r="X65" s="384" t="s">
        <v>358</v>
      </c>
      <c r="Y65" s="478">
        <v>10.215</v>
      </c>
      <c r="Z65" s="386">
        <f t="shared" ref="Z65:Z71" si="9">Y65*L65</f>
        <v>4086</v>
      </c>
      <c r="AA65" s="371"/>
      <c r="AB65" s="387" t="s">
        <v>84</v>
      </c>
      <c r="AC65" s="388" t="s">
        <v>56</v>
      </c>
      <c r="AD65" s="377"/>
      <c r="AE65" s="389"/>
      <c r="AF65" s="390"/>
      <c r="AG65" s="391"/>
      <c r="AH65" s="391"/>
      <c r="AI65" s="371"/>
      <c r="AJ65" s="424"/>
      <c r="AK65" s="424"/>
      <c r="AL65" s="424">
        <f t="shared" ref="AL65:AL73" si="10">I65</f>
        <v>1200</v>
      </c>
      <c r="AM65" s="544">
        <f t="shared" si="4"/>
        <v>1200</v>
      </c>
      <c r="AN65" s="546"/>
      <c r="AO65" s="392"/>
      <c r="AP65" s="392"/>
      <c r="AQ65" s="387">
        <f t="shared" si="3"/>
        <v>1200</v>
      </c>
      <c r="AR65" s="387"/>
      <c r="AS65" s="296"/>
    </row>
    <row r="66" s="295" customFormat="1" ht="36" customHeight="1" spans="1:46">
      <c r="A66" s="369">
        <v>46125</v>
      </c>
      <c r="B66" s="370" t="s">
        <v>174</v>
      </c>
      <c r="C66" s="370" t="s">
        <v>87</v>
      </c>
      <c r="D66" s="371">
        <v>4500201268</v>
      </c>
      <c r="E66" s="372" t="s">
        <v>359</v>
      </c>
      <c r="F66" s="373" t="s">
        <v>360</v>
      </c>
      <c r="G66" s="374" t="s">
        <v>169</v>
      </c>
      <c r="H66" s="428" t="s">
        <v>51</v>
      </c>
      <c r="I66" s="376">
        <v>714</v>
      </c>
      <c r="J66" s="377">
        <v>0</v>
      </c>
      <c r="K66" s="377">
        <v>3</v>
      </c>
      <c r="L66" s="378">
        <f t="shared" si="0"/>
        <v>238</v>
      </c>
      <c r="M66" s="379">
        <v>46167</v>
      </c>
      <c r="N66" s="379">
        <v>46164</v>
      </c>
      <c r="O66" s="479"/>
      <c r="P66" s="380" t="s">
        <v>52</v>
      </c>
      <c r="Q66" s="520">
        <v>46170</v>
      </c>
      <c r="R66" s="381" t="s">
        <v>98</v>
      </c>
      <c r="S66" s="380" t="s">
        <v>178</v>
      </c>
      <c r="T66" s="436" t="s">
        <v>66</v>
      </c>
      <c r="U66" s="382" t="s">
        <v>361</v>
      </c>
      <c r="V66" s="382" t="s">
        <v>362</v>
      </c>
      <c r="W66" s="383" t="s">
        <v>363</v>
      </c>
      <c r="X66" s="384" t="s">
        <v>364</v>
      </c>
      <c r="Y66" s="478">
        <v>12.65</v>
      </c>
      <c r="Z66" s="386">
        <f t="shared" si="9"/>
        <v>3010.7</v>
      </c>
      <c r="AA66" s="371"/>
      <c r="AB66" s="387" t="s">
        <v>183</v>
      </c>
      <c r="AC66" s="388" t="s">
        <v>56</v>
      </c>
      <c r="AD66" s="377"/>
      <c r="AE66" s="389"/>
      <c r="AF66" s="390"/>
      <c r="AG66" s="391"/>
      <c r="AH66" s="391"/>
      <c r="AI66" s="371"/>
      <c r="AJ66" s="424"/>
      <c r="AK66" s="424"/>
      <c r="AL66" s="424">
        <f t="shared" si="10"/>
        <v>714</v>
      </c>
      <c r="AM66" s="383">
        <f t="shared" si="4"/>
        <v>714</v>
      </c>
      <c r="AN66" s="525"/>
      <c r="AO66" s="392" t="s">
        <v>85</v>
      </c>
      <c r="AP66" s="392"/>
      <c r="AQ66" s="387">
        <f t="shared" si="3"/>
        <v>714</v>
      </c>
      <c r="AR66" s="387"/>
      <c r="AS66" s="296"/>
    </row>
    <row r="67" s="295" customFormat="1" ht="36" customHeight="1" spans="1:46">
      <c r="A67" s="369">
        <v>46125</v>
      </c>
      <c r="B67" s="370" t="s">
        <v>174</v>
      </c>
      <c r="C67" s="370" t="s">
        <v>257</v>
      </c>
      <c r="D67" s="371">
        <v>4500201268</v>
      </c>
      <c r="E67" s="372" t="s">
        <v>365</v>
      </c>
      <c r="F67" s="373" t="s">
        <v>366</v>
      </c>
      <c r="G67" s="374" t="s">
        <v>169</v>
      </c>
      <c r="H67" s="428" t="s">
        <v>51</v>
      </c>
      <c r="I67" s="376">
        <v>501</v>
      </c>
      <c r="J67" s="377">
        <v>0</v>
      </c>
      <c r="K67" s="377">
        <v>3</v>
      </c>
      <c r="L67" s="378">
        <f t="shared" si="0"/>
        <v>167</v>
      </c>
      <c r="M67" s="379">
        <v>46167</v>
      </c>
      <c r="N67" s="379">
        <v>46164</v>
      </c>
      <c r="O67" s="479"/>
      <c r="P67" s="380" t="s">
        <v>52</v>
      </c>
      <c r="Q67" s="520">
        <v>46170</v>
      </c>
      <c r="R67" s="381" t="s">
        <v>98</v>
      </c>
      <c r="S67" s="380" t="s">
        <v>178</v>
      </c>
      <c r="T67" s="436" t="s">
        <v>66</v>
      </c>
      <c r="U67" s="382" t="s">
        <v>367</v>
      </c>
      <c r="V67" s="382" t="s">
        <v>362</v>
      </c>
      <c r="W67" s="383" t="s">
        <v>368</v>
      </c>
      <c r="X67" s="384" t="s">
        <v>364</v>
      </c>
      <c r="Y67" s="478">
        <v>12.65</v>
      </c>
      <c r="Z67" s="386">
        <f t="shared" si="9"/>
        <v>2112.55</v>
      </c>
      <c r="AA67" s="371"/>
      <c r="AB67" s="411" t="s">
        <v>183</v>
      </c>
      <c r="AC67" s="388" t="s">
        <v>56</v>
      </c>
      <c r="AD67" s="377"/>
      <c r="AE67" s="389"/>
      <c r="AF67" s="390"/>
      <c r="AG67" s="391"/>
      <c r="AH67" s="391"/>
      <c r="AI67" s="371"/>
      <c r="AJ67" s="424"/>
      <c r="AK67" s="424"/>
      <c r="AL67" s="424">
        <f t="shared" si="10"/>
        <v>501</v>
      </c>
      <c r="AM67" s="383">
        <f t="shared" si="4"/>
        <v>501</v>
      </c>
      <c r="AN67" s="525"/>
      <c r="AO67" s="392" t="s">
        <v>85</v>
      </c>
      <c r="AP67" s="392"/>
      <c r="AQ67" s="387">
        <f t="shared" si="3"/>
        <v>501</v>
      </c>
      <c r="AR67" s="387"/>
      <c r="AS67" s="296"/>
    </row>
    <row r="68" s="295" customFormat="1" ht="36" customHeight="1" spans="1:46">
      <c r="A68" s="369">
        <v>46125</v>
      </c>
      <c r="B68" s="370" t="s">
        <v>174</v>
      </c>
      <c r="C68" s="370" t="s">
        <v>78</v>
      </c>
      <c r="D68" s="371">
        <v>4500201268</v>
      </c>
      <c r="E68" s="372" t="s">
        <v>369</v>
      </c>
      <c r="F68" s="373" t="s">
        <v>370</v>
      </c>
      <c r="G68" s="374" t="s">
        <v>169</v>
      </c>
      <c r="H68" s="428" t="s">
        <v>51</v>
      </c>
      <c r="I68" s="376">
        <v>636</v>
      </c>
      <c r="J68" s="377">
        <v>0</v>
      </c>
      <c r="K68" s="377">
        <v>3</v>
      </c>
      <c r="L68" s="378">
        <f t="shared" ref="L68:L131" si="11">I68/K68</f>
        <v>212</v>
      </c>
      <c r="M68" s="379">
        <v>46167</v>
      </c>
      <c r="N68" s="379">
        <v>46164</v>
      </c>
      <c r="O68" s="479"/>
      <c r="P68" s="380" t="s">
        <v>52</v>
      </c>
      <c r="Q68" s="520">
        <v>46170</v>
      </c>
      <c r="R68" s="405" t="s">
        <v>98</v>
      </c>
      <c r="S68" s="433" t="s">
        <v>178</v>
      </c>
      <c r="T68" s="436" t="s">
        <v>66</v>
      </c>
      <c r="U68" s="382" t="s">
        <v>367</v>
      </c>
      <c r="V68" s="382" t="s">
        <v>362</v>
      </c>
      <c r="W68" s="383" t="s">
        <v>368</v>
      </c>
      <c r="X68" s="384" t="s">
        <v>364</v>
      </c>
      <c r="Y68" s="478">
        <v>12.65</v>
      </c>
      <c r="Z68" s="386">
        <f t="shared" si="9"/>
        <v>2681.8</v>
      </c>
      <c r="AA68" s="371"/>
      <c r="AB68" s="426" t="s">
        <v>183</v>
      </c>
      <c r="AC68" s="388" t="s">
        <v>56</v>
      </c>
      <c r="AD68" s="377"/>
      <c r="AE68" s="389"/>
      <c r="AF68" s="390"/>
      <c r="AG68" s="391"/>
      <c r="AH68" s="391"/>
      <c r="AI68" s="371"/>
      <c r="AJ68" s="371"/>
      <c r="AK68" s="371"/>
      <c r="AL68" s="371">
        <f t="shared" si="10"/>
        <v>636</v>
      </c>
      <c r="AM68" s="525">
        <f t="shared" si="4"/>
        <v>636</v>
      </c>
      <c r="AN68" s="525"/>
      <c r="AO68" s="371" t="s">
        <v>85</v>
      </c>
      <c r="AP68" s="371"/>
      <c r="AQ68" s="387">
        <f t="shared" si="3"/>
        <v>636</v>
      </c>
      <c r="AR68" s="387"/>
      <c r="AS68" s="296"/>
    </row>
    <row r="69" s="295" customFormat="1" ht="36" customHeight="1" spans="1:46">
      <c r="A69" s="369">
        <v>46125</v>
      </c>
      <c r="B69" s="370" t="s">
        <v>174</v>
      </c>
      <c r="C69" s="370" t="s">
        <v>371</v>
      </c>
      <c r="D69" s="371">
        <v>4500201268</v>
      </c>
      <c r="E69" s="372" t="s">
        <v>372</v>
      </c>
      <c r="F69" s="373" t="s">
        <v>373</v>
      </c>
      <c r="G69" s="374" t="s">
        <v>169</v>
      </c>
      <c r="H69" s="375" t="s">
        <v>51</v>
      </c>
      <c r="I69" s="376">
        <v>501</v>
      </c>
      <c r="J69" s="377">
        <v>0</v>
      </c>
      <c r="K69" s="377">
        <v>3</v>
      </c>
      <c r="L69" s="378">
        <f t="shared" si="11"/>
        <v>167</v>
      </c>
      <c r="M69" s="379">
        <v>46167</v>
      </c>
      <c r="N69" s="379">
        <v>46164</v>
      </c>
      <c r="O69" s="479"/>
      <c r="P69" s="380" t="s">
        <v>52</v>
      </c>
      <c r="Q69" s="520">
        <v>46170</v>
      </c>
      <c r="R69" s="381" t="s">
        <v>98</v>
      </c>
      <c r="S69" s="380" t="s">
        <v>178</v>
      </c>
      <c r="T69" s="382" t="s">
        <v>66</v>
      </c>
      <c r="U69" s="382" t="s">
        <v>367</v>
      </c>
      <c r="V69" s="382" t="s">
        <v>362</v>
      </c>
      <c r="W69" s="383" t="s">
        <v>368</v>
      </c>
      <c r="X69" s="384" t="s">
        <v>364</v>
      </c>
      <c r="Y69" s="478">
        <v>12.65</v>
      </c>
      <c r="Z69" s="386">
        <f t="shared" si="9"/>
        <v>2112.55</v>
      </c>
      <c r="AA69" s="371"/>
      <c r="AB69" s="387" t="s">
        <v>183</v>
      </c>
      <c r="AC69" s="388" t="s">
        <v>56</v>
      </c>
      <c r="AD69" s="377"/>
      <c r="AE69" s="389"/>
      <c r="AF69" s="390"/>
      <c r="AG69" s="391"/>
      <c r="AH69" s="391"/>
      <c r="AI69" s="371"/>
      <c r="AJ69" s="371"/>
      <c r="AK69" s="371"/>
      <c r="AL69" s="371">
        <f t="shared" si="10"/>
        <v>501</v>
      </c>
      <c r="AM69" s="383">
        <f t="shared" si="4"/>
        <v>501</v>
      </c>
      <c r="AN69" s="383"/>
      <c r="AO69" s="371" t="s">
        <v>85</v>
      </c>
      <c r="AP69" s="371"/>
      <c r="AQ69" s="387">
        <f t="shared" si="3"/>
        <v>501</v>
      </c>
      <c r="AR69" s="547"/>
      <c r="AS69" s="298"/>
    </row>
    <row r="70" s="295" customFormat="1" ht="36" customHeight="1" spans="1:46">
      <c r="A70" s="369">
        <v>46113</v>
      </c>
      <c r="B70" s="370" t="s">
        <v>374</v>
      </c>
      <c r="C70" s="370" t="s">
        <v>257</v>
      </c>
      <c r="D70" s="371" t="s">
        <v>375</v>
      </c>
      <c r="E70" s="372" t="s">
        <v>376</v>
      </c>
      <c r="F70" s="373" t="s">
        <v>377</v>
      </c>
      <c r="G70" s="374" t="s">
        <v>50</v>
      </c>
      <c r="H70" s="375" t="s">
        <v>51</v>
      </c>
      <c r="I70" s="376">
        <v>1452</v>
      </c>
      <c r="J70" s="377">
        <v>0</v>
      </c>
      <c r="K70" s="377">
        <v>3</v>
      </c>
      <c r="L70" s="378">
        <f t="shared" si="11"/>
        <v>484</v>
      </c>
      <c r="M70" s="379">
        <v>46167</v>
      </c>
      <c r="N70" s="379">
        <v>46164</v>
      </c>
      <c r="O70" s="479" t="s">
        <v>378</v>
      </c>
      <c r="P70" s="380" t="s">
        <v>52</v>
      </c>
      <c r="Q70" s="381"/>
      <c r="R70" s="418" t="s">
        <v>65</v>
      </c>
      <c r="S70" s="380">
        <v>46127</v>
      </c>
      <c r="T70" s="382" t="s">
        <v>54</v>
      </c>
      <c r="U70" s="382" t="s">
        <v>379</v>
      </c>
      <c r="V70" s="382"/>
      <c r="W70" s="383" t="s">
        <v>380</v>
      </c>
      <c r="X70" s="384" t="s">
        <v>381</v>
      </c>
      <c r="Y70" s="478">
        <v>9.9259</v>
      </c>
      <c r="Z70" s="386">
        <f t="shared" si="9"/>
        <v>4804.1356</v>
      </c>
      <c r="AA70" s="371"/>
      <c r="AB70" s="387" t="s">
        <v>84</v>
      </c>
      <c r="AC70" s="388" t="s">
        <v>56</v>
      </c>
      <c r="AD70" s="377"/>
      <c r="AE70" s="389"/>
      <c r="AF70" s="390"/>
      <c r="AG70" s="391"/>
      <c r="AH70" s="391"/>
      <c r="AI70" s="371"/>
      <c r="AJ70" s="371"/>
      <c r="AK70" s="371"/>
      <c r="AL70" s="371">
        <f t="shared" si="10"/>
        <v>1452</v>
      </c>
      <c r="AM70" s="544">
        <f t="shared" si="4"/>
        <v>1452</v>
      </c>
      <c r="AN70" s="544"/>
      <c r="AO70" s="371"/>
      <c r="AP70" s="371"/>
      <c r="AQ70" s="387">
        <f t="shared" si="3"/>
        <v>1452</v>
      </c>
      <c r="AR70" s="547"/>
      <c r="AS70" s="298"/>
    </row>
    <row r="71" s="298" customFormat="1" ht="36" customHeight="1" spans="1:46">
      <c r="A71" s="422">
        <v>46115</v>
      </c>
      <c r="B71" s="423" t="s">
        <v>382</v>
      </c>
      <c r="C71" s="423" t="s">
        <v>175</v>
      </c>
      <c r="D71" s="424" t="s">
        <v>383</v>
      </c>
      <c r="E71" s="548" t="s">
        <v>384</v>
      </c>
      <c r="F71" s="533" t="s">
        <v>385</v>
      </c>
      <c r="G71" s="427" t="s">
        <v>50</v>
      </c>
      <c r="H71" s="428" t="s">
        <v>51</v>
      </c>
      <c r="I71" s="450">
        <v>3000</v>
      </c>
      <c r="J71" s="430">
        <v>0</v>
      </c>
      <c r="K71" s="430">
        <v>3</v>
      </c>
      <c r="L71" s="431">
        <f t="shared" si="11"/>
        <v>1000</v>
      </c>
      <c r="M71" s="432">
        <v>46167</v>
      </c>
      <c r="N71" s="432">
        <v>46164</v>
      </c>
      <c r="O71" s="433"/>
      <c r="P71" s="549" t="s">
        <v>52</v>
      </c>
      <c r="Q71" s="550">
        <v>46186</v>
      </c>
      <c r="R71" s="435" t="s">
        <v>65</v>
      </c>
      <c r="S71" s="433">
        <v>46126</v>
      </c>
      <c r="T71" s="436" t="s">
        <v>54</v>
      </c>
      <c r="U71" s="436" t="s">
        <v>386</v>
      </c>
      <c r="V71" s="436"/>
      <c r="W71" s="551" t="s">
        <v>387</v>
      </c>
      <c r="X71" s="439" t="s">
        <v>388</v>
      </c>
      <c r="Y71" s="481">
        <v>10.1862</v>
      </c>
      <c r="Z71" s="441">
        <f>I71*Y71</f>
        <v>30558.6</v>
      </c>
      <c r="AA71" s="424"/>
      <c r="AB71" s="426" t="s">
        <v>84</v>
      </c>
      <c r="AC71" s="388" t="s">
        <v>56</v>
      </c>
      <c r="AD71" s="430"/>
      <c r="AE71" s="536"/>
      <c r="AF71" s="442"/>
      <c r="AG71" s="443"/>
      <c r="AH71" s="443"/>
      <c r="AI71" s="424"/>
      <c r="AJ71" s="424"/>
      <c r="AK71" s="424"/>
      <c r="AL71" s="424">
        <f t="shared" si="10"/>
        <v>3000</v>
      </c>
      <c r="AM71" s="537">
        <f t="shared" si="4"/>
        <v>3000</v>
      </c>
      <c r="AN71" s="538"/>
      <c r="AO71" s="444" t="s">
        <v>101</v>
      </c>
      <c r="AP71" s="444"/>
      <c r="AQ71" s="518">
        <f t="shared" si="3"/>
        <v>3000</v>
      </c>
      <c r="AR71" s="518"/>
      <c r="AS71" s="539"/>
    </row>
    <row r="72" s="296" customFormat="1" ht="36" customHeight="1" spans="1:46">
      <c r="A72" s="369">
        <v>46094</v>
      </c>
      <c r="B72" s="370" t="s">
        <v>195</v>
      </c>
      <c r="C72" s="370" t="s">
        <v>71</v>
      </c>
      <c r="D72" s="371">
        <v>4500196796</v>
      </c>
      <c r="E72" s="372" t="s">
        <v>389</v>
      </c>
      <c r="F72" s="373" t="s">
        <v>390</v>
      </c>
      <c r="G72" s="374" t="s">
        <v>125</v>
      </c>
      <c r="H72" s="428" t="s">
        <v>51</v>
      </c>
      <c r="I72" s="376">
        <v>1176</v>
      </c>
      <c r="J72" s="377">
        <v>0</v>
      </c>
      <c r="K72" s="377">
        <v>2</v>
      </c>
      <c r="L72" s="378">
        <f t="shared" si="11"/>
        <v>588</v>
      </c>
      <c r="M72" s="379">
        <v>46167</v>
      </c>
      <c r="N72" s="379">
        <v>46182</v>
      </c>
      <c r="O72" s="479" t="s">
        <v>336</v>
      </c>
      <c r="P72" s="552" t="s">
        <v>52</v>
      </c>
      <c r="Q72" s="520" t="s">
        <v>391</v>
      </c>
      <c r="R72" s="418" t="s">
        <v>65</v>
      </c>
      <c r="S72" s="380">
        <v>46094</v>
      </c>
      <c r="T72" s="382" t="s">
        <v>66</v>
      </c>
      <c r="U72" s="382" t="s">
        <v>392</v>
      </c>
      <c r="V72" s="455"/>
      <c r="W72" s="383" t="s">
        <v>199</v>
      </c>
      <c r="X72" s="384" t="s">
        <v>200</v>
      </c>
      <c r="Y72" s="478">
        <v>6.5485</v>
      </c>
      <c r="Z72" s="386">
        <f>I72*Y72</f>
        <v>7701.036</v>
      </c>
      <c r="AA72" s="371"/>
      <c r="AB72" s="387" t="s">
        <v>125</v>
      </c>
      <c r="AC72" s="388" t="s">
        <v>56</v>
      </c>
      <c r="AD72" s="377"/>
      <c r="AE72" s="389"/>
      <c r="AF72" s="390"/>
      <c r="AG72" s="391"/>
      <c r="AH72" s="391"/>
      <c r="AI72" s="371">
        <f>I72</f>
        <v>1176</v>
      </c>
      <c r="AJ72" s="371"/>
      <c r="AK72" s="371"/>
      <c r="AL72" s="371"/>
      <c r="AM72" s="445">
        <f t="shared" si="4"/>
        <v>1176</v>
      </c>
      <c r="AN72" s="445"/>
      <c r="AO72" s="392"/>
      <c r="AP72" s="392"/>
      <c r="AQ72" s="388">
        <f t="shared" si="3"/>
        <v>1176</v>
      </c>
      <c r="AR72" s="388"/>
    </row>
    <row r="73" s="295" customFormat="1" ht="36" customHeight="1" spans="1:46">
      <c r="A73" s="393">
        <v>46094</v>
      </c>
      <c r="B73" s="394" t="s">
        <v>195</v>
      </c>
      <c r="C73" s="394" t="s">
        <v>71</v>
      </c>
      <c r="D73" s="395">
        <v>4500196796</v>
      </c>
      <c r="E73" s="396" t="s">
        <v>393</v>
      </c>
      <c r="F73" s="397" t="s">
        <v>394</v>
      </c>
      <c r="G73" s="398" t="s">
        <v>125</v>
      </c>
      <c r="H73" s="507" t="s">
        <v>51</v>
      </c>
      <c r="I73" s="400">
        <v>1128</v>
      </c>
      <c r="J73" s="401">
        <v>0</v>
      </c>
      <c r="K73" s="401">
        <v>2</v>
      </c>
      <c r="L73" s="378">
        <f t="shared" si="11"/>
        <v>564</v>
      </c>
      <c r="M73" s="403">
        <v>46167</v>
      </c>
      <c r="N73" s="403">
        <v>46182</v>
      </c>
      <c r="O73" s="530" t="s">
        <v>336</v>
      </c>
      <c r="P73" s="404" t="s">
        <v>52</v>
      </c>
      <c r="Q73" s="508" t="s">
        <v>391</v>
      </c>
      <c r="R73" s="494" t="s">
        <v>65</v>
      </c>
      <c r="S73" s="404">
        <v>46094</v>
      </c>
      <c r="T73" s="467" t="s">
        <v>66</v>
      </c>
      <c r="U73" s="406" t="s">
        <v>392</v>
      </c>
      <c r="V73" s="553"/>
      <c r="W73" s="407" t="s">
        <v>199</v>
      </c>
      <c r="X73" s="408" t="s">
        <v>200</v>
      </c>
      <c r="Y73" s="504">
        <v>6.5485</v>
      </c>
      <c r="Z73" s="410">
        <f>I73*Y73</f>
        <v>7386.708</v>
      </c>
      <c r="AA73" s="395"/>
      <c r="AB73" s="411" t="s">
        <v>125</v>
      </c>
      <c r="AC73" s="388" t="s">
        <v>56</v>
      </c>
      <c r="AD73" s="401"/>
      <c r="AE73" s="495"/>
      <c r="AF73" s="414"/>
      <c r="AG73" s="415"/>
      <c r="AH73" s="415"/>
      <c r="AI73" s="395">
        <f>I73</f>
        <v>1128</v>
      </c>
      <c r="AJ73" s="460"/>
      <c r="AK73" s="460"/>
      <c r="AL73" s="460"/>
      <c r="AM73" s="554">
        <f t="shared" si="4"/>
        <v>1128</v>
      </c>
      <c r="AN73" s="555"/>
      <c r="AO73" s="556"/>
      <c r="AP73" s="556"/>
      <c r="AQ73" s="388">
        <f t="shared" si="3"/>
        <v>1128</v>
      </c>
      <c r="AR73" s="412"/>
      <c r="AS73" s="528"/>
      <c r="AT73" s="298"/>
    </row>
    <row r="74" s="296" customFormat="1" ht="36" customHeight="1" spans="1:46">
      <c r="A74" s="369">
        <v>46115</v>
      </c>
      <c r="B74" s="370" t="s">
        <v>395</v>
      </c>
      <c r="C74" s="370" t="s">
        <v>396</v>
      </c>
      <c r="D74" s="371" t="s">
        <v>397</v>
      </c>
      <c r="E74" s="491">
        <v>62100056</v>
      </c>
      <c r="F74" s="373" t="s">
        <v>398</v>
      </c>
      <c r="G74" s="374" t="s">
        <v>50</v>
      </c>
      <c r="H74" s="428" t="s">
        <v>51</v>
      </c>
      <c r="I74" s="376">
        <v>6000</v>
      </c>
      <c r="J74" s="377">
        <v>0</v>
      </c>
      <c r="K74" s="377">
        <v>3</v>
      </c>
      <c r="L74" s="378">
        <f t="shared" si="11"/>
        <v>2000</v>
      </c>
      <c r="M74" s="379">
        <v>46167</v>
      </c>
      <c r="N74" s="379">
        <v>46234</v>
      </c>
      <c r="O74" s="557" t="s">
        <v>399</v>
      </c>
      <c r="P74" s="558" t="s">
        <v>52</v>
      </c>
      <c r="Q74" s="520">
        <v>46236</v>
      </c>
      <c r="R74" s="494" t="s">
        <v>65</v>
      </c>
      <c r="S74" s="380">
        <v>46139</v>
      </c>
      <c r="T74" s="382" t="s">
        <v>54</v>
      </c>
      <c r="U74" s="559" t="s">
        <v>400</v>
      </c>
      <c r="V74" s="559" t="s">
        <v>401</v>
      </c>
      <c r="W74" s="491" t="s">
        <v>402</v>
      </c>
      <c r="X74" s="384" t="s">
        <v>240</v>
      </c>
      <c r="Y74" s="478">
        <v>10.1135</v>
      </c>
      <c r="Z74" s="386">
        <f>Y74*L74</f>
        <v>20227</v>
      </c>
      <c r="AA74" s="371"/>
      <c r="AB74" s="387" t="s">
        <v>84</v>
      </c>
      <c r="AC74" s="388" t="s">
        <v>56</v>
      </c>
      <c r="AD74" s="377"/>
      <c r="AE74" s="389"/>
      <c r="AF74" s="390"/>
      <c r="AG74" s="391"/>
      <c r="AH74" s="391"/>
      <c r="AI74" s="371"/>
      <c r="AJ74" s="371"/>
      <c r="AK74" s="371"/>
      <c r="AL74" s="371">
        <f>I74</f>
        <v>6000</v>
      </c>
      <c r="AM74" s="546">
        <f t="shared" si="4"/>
        <v>6000</v>
      </c>
      <c r="AN74" s="546"/>
      <c r="AO74" s="392"/>
      <c r="AP74" s="392"/>
      <c r="AQ74" s="387">
        <f t="shared" si="3"/>
        <v>6000</v>
      </c>
      <c r="AR74" s="387"/>
    </row>
    <row r="75" s="295" customFormat="1" ht="36" customHeight="1" spans="1:46">
      <c r="A75" s="422">
        <v>46126</v>
      </c>
      <c r="B75" s="423" t="s">
        <v>403</v>
      </c>
      <c r="C75" s="423" t="s">
        <v>246</v>
      </c>
      <c r="D75" s="424">
        <v>4500201931</v>
      </c>
      <c r="E75" s="532" t="s">
        <v>312</v>
      </c>
      <c r="F75" s="533" t="s">
        <v>404</v>
      </c>
      <c r="G75" s="427" t="s">
        <v>50</v>
      </c>
      <c r="H75" s="428" t="s">
        <v>51</v>
      </c>
      <c r="I75" s="450">
        <v>600</v>
      </c>
      <c r="J75" s="430">
        <v>0</v>
      </c>
      <c r="K75" s="430">
        <v>3</v>
      </c>
      <c r="L75" s="431">
        <f t="shared" si="11"/>
        <v>200</v>
      </c>
      <c r="M75" s="432">
        <v>46168</v>
      </c>
      <c r="N75" s="432">
        <v>46167</v>
      </c>
      <c r="O75" s="560"/>
      <c r="P75" s="433" t="s">
        <v>52</v>
      </c>
      <c r="Q75" s="535">
        <v>46175</v>
      </c>
      <c r="R75" s="435" t="s">
        <v>65</v>
      </c>
      <c r="S75" s="433">
        <v>46139</v>
      </c>
      <c r="T75" s="436" t="s">
        <v>54</v>
      </c>
      <c r="U75" s="436" t="s">
        <v>405</v>
      </c>
      <c r="V75" s="436" t="s">
        <v>406</v>
      </c>
      <c r="W75" s="551" t="s">
        <v>407</v>
      </c>
      <c r="X75" s="439" t="s">
        <v>255</v>
      </c>
      <c r="Y75" s="481">
        <v>10.2316</v>
      </c>
      <c r="Z75" s="441">
        <f>Y75*L75</f>
        <v>2046.32</v>
      </c>
      <c r="AA75" s="424"/>
      <c r="AB75" s="426" t="s">
        <v>84</v>
      </c>
      <c r="AC75" s="388" t="s">
        <v>56</v>
      </c>
      <c r="AD75" s="430"/>
      <c r="AE75" s="536"/>
      <c r="AF75" s="442"/>
      <c r="AG75" s="443"/>
      <c r="AH75" s="443"/>
      <c r="AI75" s="424"/>
      <c r="AJ75" s="424"/>
      <c r="AK75" s="424"/>
      <c r="AL75" s="424">
        <f>I75</f>
        <v>600</v>
      </c>
      <c r="AM75" s="561">
        <f t="shared" si="4"/>
        <v>600</v>
      </c>
      <c r="AN75" s="562"/>
      <c r="AO75" s="444"/>
      <c r="AP75" s="444"/>
      <c r="AQ75" s="426">
        <f t="shared" si="3"/>
        <v>600</v>
      </c>
      <c r="AR75" s="426"/>
      <c r="AS75" s="563"/>
      <c r="AT75" s="298"/>
    </row>
    <row r="76" s="295" customFormat="1" ht="36" customHeight="1" spans="1:46">
      <c r="A76" s="369">
        <v>46129</v>
      </c>
      <c r="B76" s="370" t="s">
        <v>408</v>
      </c>
      <c r="C76" s="370" t="s">
        <v>409</v>
      </c>
      <c r="D76" s="371" t="s">
        <v>410</v>
      </c>
      <c r="E76" s="372" t="s">
        <v>312</v>
      </c>
      <c r="F76" s="373" t="s">
        <v>411</v>
      </c>
      <c r="G76" s="374" t="s">
        <v>50</v>
      </c>
      <c r="H76" s="428" t="s">
        <v>51</v>
      </c>
      <c r="I76" s="376">
        <v>600</v>
      </c>
      <c r="J76" s="377">
        <v>0</v>
      </c>
      <c r="K76" s="377">
        <v>3</v>
      </c>
      <c r="L76" s="431">
        <f t="shared" si="11"/>
        <v>200</v>
      </c>
      <c r="M76" s="379">
        <v>46169</v>
      </c>
      <c r="N76" s="379">
        <v>46188</v>
      </c>
      <c r="O76" s="380"/>
      <c r="P76" s="433" t="s">
        <v>52</v>
      </c>
      <c r="Q76" s="564" t="s">
        <v>412</v>
      </c>
      <c r="R76" s="380" t="s">
        <v>65</v>
      </c>
      <c r="S76" s="380">
        <v>46142</v>
      </c>
      <c r="T76" s="382" t="s">
        <v>54</v>
      </c>
      <c r="U76" s="382" t="s">
        <v>413</v>
      </c>
      <c r="V76" s="382"/>
      <c r="W76" s="491" t="s">
        <v>414</v>
      </c>
      <c r="X76" s="384" t="s">
        <v>415</v>
      </c>
      <c r="Y76" s="478">
        <v>10.2316</v>
      </c>
      <c r="Z76" s="386">
        <v>2046.32</v>
      </c>
      <c r="AA76" s="371"/>
      <c r="AB76" s="398" t="s">
        <v>50</v>
      </c>
      <c r="AC76" s="388" t="s">
        <v>56</v>
      </c>
      <c r="AD76" s="377"/>
      <c r="AE76" s="389"/>
      <c r="AF76" s="390"/>
      <c r="AG76" s="391"/>
      <c r="AH76" s="391"/>
      <c r="AI76" s="371">
        <v>600</v>
      </c>
      <c r="AJ76" s="371"/>
      <c r="AK76" s="371"/>
      <c r="AL76" s="371"/>
      <c r="AM76" s="546">
        <v>600</v>
      </c>
      <c r="AN76" s="489"/>
      <c r="AO76" s="392" t="s">
        <v>101</v>
      </c>
      <c r="AP76" s="392"/>
      <c r="AQ76" s="387">
        <v>600</v>
      </c>
      <c r="AR76" s="387"/>
      <c r="AS76" s="296"/>
    </row>
    <row r="77" s="295" customFormat="1" ht="36" customHeight="1" spans="1:46">
      <c r="A77" s="369">
        <v>46094</v>
      </c>
      <c r="B77" s="370" t="s">
        <v>416</v>
      </c>
      <c r="C77" s="370" t="s">
        <v>417</v>
      </c>
      <c r="D77" s="371">
        <v>4500196453</v>
      </c>
      <c r="E77" s="372">
        <v>188529</v>
      </c>
      <c r="F77" s="373" t="s">
        <v>418</v>
      </c>
      <c r="G77" s="374" t="s">
        <v>50</v>
      </c>
      <c r="H77" s="428" t="s">
        <v>51</v>
      </c>
      <c r="I77" s="376">
        <v>51</v>
      </c>
      <c r="J77" s="377">
        <v>0</v>
      </c>
      <c r="K77" s="377">
        <v>3</v>
      </c>
      <c r="L77" s="378">
        <f t="shared" si="11"/>
        <v>17</v>
      </c>
      <c r="M77" s="379">
        <v>46170</v>
      </c>
      <c r="N77" s="379">
        <v>46167</v>
      </c>
      <c r="O77" s="380"/>
      <c r="P77" s="380" t="s">
        <v>52</v>
      </c>
      <c r="Q77" s="520">
        <v>46177</v>
      </c>
      <c r="R77" s="418" t="s">
        <v>65</v>
      </c>
      <c r="S77" s="558">
        <v>46127</v>
      </c>
      <c r="T77" s="382" t="s">
        <v>54</v>
      </c>
      <c r="U77" s="382" t="s">
        <v>419</v>
      </c>
      <c r="V77" s="382"/>
      <c r="W77" s="383" t="s">
        <v>420</v>
      </c>
      <c r="X77" s="384" t="s">
        <v>421</v>
      </c>
      <c r="Y77" s="478">
        <v>10.2316</v>
      </c>
      <c r="Z77" s="386">
        <f>I77*Y77</f>
        <v>521.8116</v>
      </c>
      <c r="AA77" s="371"/>
      <c r="AB77" s="387" t="s">
        <v>84</v>
      </c>
      <c r="AC77" s="388" t="s">
        <v>56</v>
      </c>
      <c r="AD77" s="377"/>
      <c r="AE77" s="389"/>
      <c r="AF77" s="390"/>
      <c r="AG77" s="391"/>
      <c r="AH77" s="391"/>
      <c r="AI77" s="371"/>
      <c r="AJ77" s="371"/>
      <c r="AK77" s="371"/>
      <c r="AL77" s="371">
        <f>I77</f>
        <v>51</v>
      </c>
      <c r="AM77" s="544">
        <f>I77</f>
        <v>51</v>
      </c>
      <c r="AN77" s="546"/>
      <c r="AO77" s="565"/>
      <c r="AP77" s="565"/>
      <c r="AQ77" s="387">
        <f>I77</f>
        <v>51</v>
      </c>
      <c r="AR77" s="387"/>
      <c r="AS77" s="296"/>
    </row>
    <row r="78" s="295" customFormat="1" ht="36" customHeight="1" spans="1:46">
      <c r="A78" s="369">
        <v>46133</v>
      </c>
      <c r="B78" s="370" t="s">
        <v>86</v>
      </c>
      <c r="C78" s="370" t="s">
        <v>87</v>
      </c>
      <c r="D78" s="371" t="s">
        <v>422</v>
      </c>
      <c r="E78" s="372" t="s">
        <v>423</v>
      </c>
      <c r="F78" s="373" t="s">
        <v>424</v>
      </c>
      <c r="G78" s="374" t="s">
        <v>50</v>
      </c>
      <c r="H78" s="428" t="s">
        <v>51</v>
      </c>
      <c r="I78" s="376">
        <v>501</v>
      </c>
      <c r="J78" s="377">
        <v>0</v>
      </c>
      <c r="K78" s="377">
        <v>3</v>
      </c>
      <c r="L78" s="378">
        <f t="shared" si="11"/>
        <v>167</v>
      </c>
      <c r="M78" s="379">
        <v>46171</v>
      </c>
      <c r="N78" s="379">
        <v>46169</v>
      </c>
      <c r="O78" s="380"/>
      <c r="P78" s="380" t="s">
        <v>52</v>
      </c>
      <c r="Q78" s="520">
        <v>46177</v>
      </c>
      <c r="R78" s="380" t="s">
        <v>65</v>
      </c>
      <c r="S78" s="558">
        <v>46141</v>
      </c>
      <c r="T78" s="382" t="s">
        <v>54</v>
      </c>
      <c r="U78" s="382" t="s">
        <v>425</v>
      </c>
      <c r="V78" s="382"/>
      <c r="W78" s="383" t="s">
        <v>426</v>
      </c>
      <c r="X78" s="384" t="s">
        <v>83</v>
      </c>
      <c r="Y78" s="478">
        <v>10.2316</v>
      </c>
      <c r="Z78" s="386">
        <v>1708.6772</v>
      </c>
      <c r="AA78" s="371"/>
      <c r="AB78" s="387" t="s">
        <v>84</v>
      </c>
      <c r="AC78" s="388" t="s">
        <v>56</v>
      </c>
      <c r="AD78" s="377"/>
      <c r="AE78" s="389"/>
      <c r="AF78" s="390"/>
      <c r="AG78" s="391"/>
      <c r="AH78" s="391"/>
      <c r="AI78" s="371"/>
      <c r="AJ78" s="371"/>
      <c r="AK78" s="371"/>
      <c r="AL78" s="371">
        <v>501</v>
      </c>
      <c r="AM78" s="544">
        <v>501</v>
      </c>
      <c r="AN78" s="489"/>
      <c r="AO78" s="392" t="s">
        <v>101</v>
      </c>
      <c r="AP78" s="392"/>
      <c r="AQ78" s="387">
        <v>501</v>
      </c>
      <c r="AR78" s="387"/>
      <c r="AS78" s="524"/>
      <c r="AT78" s="298"/>
    </row>
    <row r="79" s="300" customFormat="1" ht="36" customHeight="1" spans="1:46">
      <c r="A79" s="393">
        <v>46115</v>
      </c>
      <c r="B79" s="394" t="s">
        <v>427</v>
      </c>
      <c r="C79" s="394" t="s">
        <v>428</v>
      </c>
      <c r="D79" s="395" t="s">
        <v>429</v>
      </c>
      <c r="E79" s="396" t="s">
        <v>312</v>
      </c>
      <c r="F79" s="397" t="s">
        <v>430</v>
      </c>
      <c r="G79" s="398" t="s">
        <v>50</v>
      </c>
      <c r="H79" s="428" t="s">
        <v>51</v>
      </c>
      <c r="I79" s="400">
        <v>300</v>
      </c>
      <c r="J79" s="401">
        <v>0</v>
      </c>
      <c r="K79" s="401">
        <v>3</v>
      </c>
      <c r="L79" s="431">
        <f t="shared" si="11"/>
        <v>100</v>
      </c>
      <c r="M79" s="403">
        <v>46171</v>
      </c>
      <c r="N79" s="403">
        <v>46169</v>
      </c>
      <c r="O79" s="404"/>
      <c r="P79" s="558" t="s">
        <v>52</v>
      </c>
      <c r="Q79" s="502">
        <v>46176</v>
      </c>
      <c r="R79" s="494" t="s">
        <v>65</v>
      </c>
      <c r="S79" s="404">
        <v>46125</v>
      </c>
      <c r="T79" s="406" t="s">
        <v>54</v>
      </c>
      <c r="U79" s="406" t="s">
        <v>431</v>
      </c>
      <c r="V79" s="529"/>
      <c r="W79" s="407" t="s">
        <v>432</v>
      </c>
      <c r="X79" s="408" t="s">
        <v>433</v>
      </c>
      <c r="Y79" s="504">
        <v>10.2316</v>
      </c>
      <c r="Z79" s="410">
        <f>I79*Y79</f>
        <v>3069.48</v>
      </c>
      <c r="AA79" s="395"/>
      <c r="AB79" s="427" t="s">
        <v>50</v>
      </c>
      <c r="AC79" s="388" t="s">
        <v>56</v>
      </c>
      <c r="AD79" s="401"/>
      <c r="AE79" s="495"/>
      <c r="AF79" s="414"/>
      <c r="AG79" s="415"/>
      <c r="AH79" s="415"/>
      <c r="AI79" s="371">
        <f>I79</f>
        <v>300</v>
      </c>
      <c r="AJ79" s="371"/>
      <c r="AK79" s="371"/>
      <c r="AL79" s="371"/>
      <c r="AM79" s="544">
        <f>I79</f>
        <v>300</v>
      </c>
      <c r="AN79" s="371"/>
      <c r="AO79" s="371"/>
      <c r="AP79" s="371"/>
      <c r="AQ79" s="387">
        <f>I79</f>
        <v>300</v>
      </c>
      <c r="AR79" s="387"/>
      <c r="AS79" s="296"/>
      <c r="AT79" s="295"/>
    </row>
    <row r="80" s="295" customFormat="1" ht="36" customHeight="1" spans="1:46">
      <c r="A80" s="369">
        <v>46129</v>
      </c>
      <c r="B80" s="370" t="s">
        <v>434</v>
      </c>
      <c r="C80" s="370" t="s">
        <v>435</v>
      </c>
      <c r="D80" s="371" t="s">
        <v>436</v>
      </c>
      <c r="E80" s="372" t="s">
        <v>312</v>
      </c>
      <c r="F80" s="373" t="s">
        <v>437</v>
      </c>
      <c r="G80" s="374" t="s">
        <v>50</v>
      </c>
      <c r="H80" s="428" t="s">
        <v>51</v>
      </c>
      <c r="I80" s="376">
        <v>600</v>
      </c>
      <c r="J80" s="377">
        <v>0</v>
      </c>
      <c r="K80" s="377">
        <v>3</v>
      </c>
      <c r="L80" s="378">
        <f t="shared" si="11"/>
        <v>200</v>
      </c>
      <c r="M80" s="379">
        <v>46171</v>
      </c>
      <c r="N80" s="379">
        <v>46185</v>
      </c>
      <c r="O80" s="380"/>
      <c r="P80" s="558" t="s">
        <v>52</v>
      </c>
      <c r="Q80" s="566" t="s">
        <v>438</v>
      </c>
      <c r="R80" s="380" t="s">
        <v>65</v>
      </c>
      <c r="S80" s="433">
        <v>46132</v>
      </c>
      <c r="T80" s="436" t="s">
        <v>54</v>
      </c>
      <c r="U80" s="436" t="s">
        <v>439</v>
      </c>
      <c r="V80" s="382"/>
      <c r="W80" s="491" t="s">
        <v>440</v>
      </c>
      <c r="X80" s="384" t="s">
        <v>441</v>
      </c>
      <c r="Y80" s="478">
        <v>10.2316</v>
      </c>
      <c r="Z80" s="386">
        <v>6138.96</v>
      </c>
      <c r="AA80" s="371"/>
      <c r="AB80" s="374" t="s">
        <v>50</v>
      </c>
      <c r="AC80" s="388" t="s">
        <v>56</v>
      </c>
      <c r="AD80" s="377"/>
      <c r="AE80" s="389"/>
      <c r="AF80" s="390"/>
      <c r="AG80" s="391"/>
      <c r="AH80" s="391"/>
      <c r="AI80" s="371">
        <v>600</v>
      </c>
      <c r="AJ80" s="371"/>
      <c r="AK80" s="371"/>
      <c r="AL80" s="371"/>
      <c r="AM80" s="544">
        <v>600</v>
      </c>
      <c r="AN80" s="489"/>
      <c r="AO80" s="392"/>
      <c r="AP80" s="392"/>
      <c r="AQ80" s="387">
        <v>600</v>
      </c>
      <c r="AR80" s="387"/>
      <c r="AS80" s="296"/>
    </row>
    <row r="81" s="298" customFormat="1" ht="36" customHeight="1" spans="1:46">
      <c r="A81" s="369">
        <v>46122</v>
      </c>
      <c r="B81" s="370" t="s">
        <v>188</v>
      </c>
      <c r="C81" s="370" t="s">
        <v>189</v>
      </c>
      <c r="D81" s="371" t="s">
        <v>442</v>
      </c>
      <c r="E81" s="372" t="s">
        <v>443</v>
      </c>
      <c r="F81" s="373" t="s">
        <v>444</v>
      </c>
      <c r="G81" s="374" t="s">
        <v>50</v>
      </c>
      <c r="H81" s="428" t="s">
        <v>51</v>
      </c>
      <c r="I81" s="376">
        <v>1500</v>
      </c>
      <c r="J81" s="377">
        <v>0</v>
      </c>
      <c r="K81" s="377">
        <v>3</v>
      </c>
      <c r="L81" s="431">
        <f t="shared" si="11"/>
        <v>500</v>
      </c>
      <c r="M81" s="542">
        <v>46174</v>
      </c>
      <c r="N81" s="542">
        <f>M81-4</f>
        <v>46170</v>
      </c>
      <c r="O81" s="380"/>
      <c r="P81" s="380" t="s">
        <v>52</v>
      </c>
      <c r="Q81" s="509">
        <v>46176</v>
      </c>
      <c r="R81" s="418" t="s">
        <v>65</v>
      </c>
      <c r="S81" s="558">
        <v>46122</v>
      </c>
      <c r="T81" s="382" t="s">
        <v>66</v>
      </c>
      <c r="U81" s="382" t="s">
        <v>445</v>
      </c>
      <c r="V81" s="382"/>
      <c r="W81" s="383" t="s">
        <v>446</v>
      </c>
      <c r="X81" s="384" t="s">
        <v>194</v>
      </c>
      <c r="Y81" s="478">
        <v>9.9259</v>
      </c>
      <c r="Z81" s="386">
        <f>I81*Y81</f>
        <v>14888.85</v>
      </c>
      <c r="AA81" s="371"/>
      <c r="AB81" s="374" t="s">
        <v>50</v>
      </c>
      <c r="AC81" s="388" t="s">
        <v>56</v>
      </c>
      <c r="AD81" s="377"/>
      <c r="AE81" s="389"/>
      <c r="AF81" s="390"/>
      <c r="AG81" s="391"/>
      <c r="AH81" s="391"/>
      <c r="AI81" s="371">
        <f t="shared" ref="AI81:AI86" si="12">I81</f>
        <v>1500</v>
      </c>
      <c r="AJ81" s="371"/>
      <c r="AK81" s="371"/>
      <c r="AL81" s="371"/>
      <c r="AM81" s="449">
        <f t="shared" ref="AM81:AM87" si="13">I81</f>
        <v>1500</v>
      </c>
      <c r="AN81" s="392"/>
      <c r="AO81" s="392"/>
      <c r="AP81" s="392"/>
      <c r="AQ81" s="388">
        <f t="shared" ref="AQ81:AQ87" si="14">I81</f>
        <v>1500</v>
      </c>
      <c r="AR81" s="388"/>
      <c r="AS81" s="296"/>
      <c r="AT81" s="295"/>
    </row>
    <row r="82" s="300" customFormat="1" ht="36" customHeight="1" spans="1:46">
      <c r="A82" s="369">
        <v>46133</v>
      </c>
      <c r="B82" s="370" t="s">
        <v>70</v>
      </c>
      <c r="C82" s="370" t="s">
        <v>71</v>
      </c>
      <c r="D82" s="371" t="s">
        <v>447</v>
      </c>
      <c r="E82" s="372" t="s">
        <v>448</v>
      </c>
      <c r="F82" s="373" t="s">
        <v>449</v>
      </c>
      <c r="G82" s="374" t="s">
        <v>50</v>
      </c>
      <c r="H82" s="428" t="s">
        <v>51</v>
      </c>
      <c r="I82" s="376">
        <v>10002</v>
      </c>
      <c r="J82" s="377">
        <v>0</v>
      </c>
      <c r="K82" s="377">
        <v>3</v>
      </c>
      <c r="L82" s="378">
        <f t="shared" si="11"/>
        <v>3334</v>
      </c>
      <c r="M82" s="379">
        <v>46176</v>
      </c>
      <c r="N82" s="379">
        <v>46174</v>
      </c>
      <c r="O82" s="380"/>
      <c r="P82" s="380" t="s">
        <v>52</v>
      </c>
      <c r="Q82" s="520">
        <v>46183</v>
      </c>
      <c r="R82" s="380" t="s">
        <v>65</v>
      </c>
      <c r="S82" s="558">
        <v>46140</v>
      </c>
      <c r="T82" s="382" t="s">
        <v>54</v>
      </c>
      <c r="U82" s="382" t="s">
        <v>450</v>
      </c>
      <c r="V82" s="382"/>
      <c r="W82" s="383" t="s">
        <v>451</v>
      </c>
      <c r="X82" s="384" t="s">
        <v>76</v>
      </c>
      <c r="Y82" s="478">
        <v>5.87</v>
      </c>
      <c r="Z82" s="386">
        <v>58711.74</v>
      </c>
      <c r="AA82" s="371"/>
      <c r="AB82" s="374" t="s">
        <v>50</v>
      </c>
      <c r="AC82" s="388" t="s">
        <v>56</v>
      </c>
      <c r="AD82" s="377"/>
      <c r="AE82" s="389"/>
      <c r="AF82" s="390"/>
      <c r="AG82" s="391"/>
      <c r="AH82" s="391"/>
      <c r="AI82" s="371">
        <f t="shared" si="12"/>
        <v>10002</v>
      </c>
      <c r="AJ82" s="371"/>
      <c r="AK82" s="371"/>
      <c r="AL82" s="371"/>
      <c r="AM82" s="544">
        <f t="shared" si="13"/>
        <v>10002</v>
      </c>
      <c r="AN82" s="489"/>
      <c r="AO82" s="392"/>
      <c r="AP82" s="392"/>
      <c r="AQ82" s="387">
        <f t="shared" si="14"/>
        <v>10002</v>
      </c>
      <c r="AR82" s="387"/>
      <c r="AS82" s="296"/>
      <c r="AT82" s="295"/>
    </row>
    <row r="83" s="298" customFormat="1" ht="36" customHeight="1" spans="1:46">
      <c r="A83" s="369">
        <v>46136</v>
      </c>
      <c r="B83" s="370" t="s">
        <v>122</v>
      </c>
      <c r="C83" s="370" t="s">
        <v>71</v>
      </c>
      <c r="D83" s="371" t="s">
        <v>452</v>
      </c>
      <c r="E83" s="372" t="s">
        <v>453</v>
      </c>
      <c r="F83" s="373" t="s">
        <v>454</v>
      </c>
      <c r="G83" s="374" t="s">
        <v>125</v>
      </c>
      <c r="H83" s="428" t="s">
        <v>51</v>
      </c>
      <c r="I83" s="376">
        <v>500</v>
      </c>
      <c r="J83" s="377">
        <v>0</v>
      </c>
      <c r="K83" s="377">
        <v>2</v>
      </c>
      <c r="L83" s="431">
        <f t="shared" si="11"/>
        <v>250</v>
      </c>
      <c r="M83" s="379">
        <v>46176</v>
      </c>
      <c r="N83" s="542">
        <v>46183</v>
      </c>
      <c r="O83" s="479" t="s">
        <v>455</v>
      </c>
      <c r="P83" s="479" t="s">
        <v>52</v>
      </c>
      <c r="Q83" s="381"/>
      <c r="R83" s="405"/>
      <c r="S83" s="567" t="s">
        <v>456</v>
      </c>
      <c r="T83" s="436" t="s">
        <v>54</v>
      </c>
      <c r="U83" s="382" t="s">
        <v>457</v>
      </c>
      <c r="V83" s="382"/>
      <c r="W83" s="383" t="s">
        <v>458</v>
      </c>
      <c r="X83" s="384" t="s">
        <v>129</v>
      </c>
      <c r="Y83" s="478">
        <v>6.5485</v>
      </c>
      <c r="Z83" s="386">
        <f>I83*Y83</f>
        <v>3274.25</v>
      </c>
      <c r="AA83" s="371"/>
      <c r="AB83" s="427" t="s">
        <v>125</v>
      </c>
      <c r="AC83" s="388" t="s">
        <v>56</v>
      </c>
      <c r="AD83" s="377"/>
      <c r="AE83" s="389"/>
      <c r="AF83" s="390"/>
      <c r="AG83" s="391"/>
      <c r="AH83" s="391"/>
      <c r="AI83" s="371">
        <f t="shared" si="12"/>
        <v>500</v>
      </c>
      <c r="AJ83" s="371"/>
      <c r="AK83" s="371"/>
      <c r="AL83" s="371"/>
      <c r="AM83" s="554">
        <f t="shared" si="13"/>
        <v>500</v>
      </c>
      <c r="AN83" s="392"/>
      <c r="AO83" s="371"/>
      <c r="AP83" s="371"/>
      <c r="AQ83" s="388">
        <f t="shared" si="14"/>
        <v>500</v>
      </c>
      <c r="AR83" s="387"/>
      <c r="AS83" s="296"/>
      <c r="AT83" s="295"/>
    </row>
    <row r="84" s="298" customFormat="1" ht="36" customHeight="1" spans="1:46">
      <c r="A84" s="369">
        <v>46136</v>
      </c>
      <c r="B84" s="370" t="s">
        <v>122</v>
      </c>
      <c r="C84" s="370" t="s">
        <v>71</v>
      </c>
      <c r="D84" s="371" t="s">
        <v>452</v>
      </c>
      <c r="E84" s="372" t="s">
        <v>459</v>
      </c>
      <c r="F84" s="373" t="s">
        <v>460</v>
      </c>
      <c r="G84" s="374" t="s">
        <v>125</v>
      </c>
      <c r="H84" s="428" t="s">
        <v>51</v>
      </c>
      <c r="I84" s="376">
        <v>500</v>
      </c>
      <c r="J84" s="377">
        <v>0</v>
      </c>
      <c r="K84" s="377">
        <v>2</v>
      </c>
      <c r="L84" s="378">
        <f t="shared" si="11"/>
        <v>250</v>
      </c>
      <c r="M84" s="379">
        <v>46176</v>
      </c>
      <c r="N84" s="542">
        <v>46184</v>
      </c>
      <c r="O84" s="479" t="s">
        <v>455</v>
      </c>
      <c r="P84" s="479" t="s">
        <v>52</v>
      </c>
      <c r="Q84" s="520">
        <v>46188</v>
      </c>
      <c r="R84" s="381"/>
      <c r="S84" s="568" t="s">
        <v>456</v>
      </c>
      <c r="T84" s="436" t="s">
        <v>54</v>
      </c>
      <c r="U84" s="382" t="s">
        <v>457</v>
      </c>
      <c r="V84" s="382"/>
      <c r="W84" s="383" t="s">
        <v>458</v>
      </c>
      <c r="X84" s="384" t="s">
        <v>129</v>
      </c>
      <c r="Y84" s="478">
        <v>6.5485</v>
      </c>
      <c r="Z84" s="386">
        <f>I84*Y84</f>
        <v>3274.25</v>
      </c>
      <c r="AA84" s="371"/>
      <c r="AB84" s="398" t="s">
        <v>125</v>
      </c>
      <c r="AC84" s="388" t="s">
        <v>56</v>
      </c>
      <c r="AD84" s="377"/>
      <c r="AE84" s="389"/>
      <c r="AF84" s="390"/>
      <c r="AG84" s="391"/>
      <c r="AH84" s="391"/>
      <c r="AI84" s="371">
        <f t="shared" si="12"/>
        <v>500</v>
      </c>
      <c r="AJ84" s="371"/>
      <c r="AK84" s="371"/>
      <c r="AL84" s="371"/>
      <c r="AM84" s="554">
        <f t="shared" si="13"/>
        <v>500</v>
      </c>
      <c r="AN84" s="392"/>
      <c r="AO84" s="392"/>
      <c r="AP84" s="392"/>
      <c r="AQ84" s="388">
        <f t="shared" si="14"/>
        <v>500</v>
      </c>
      <c r="AR84" s="387"/>
      <c r="AS84" s="296"/>
      <c r="AT84" s="295"/>
    </row>
    <row r="85" s="295" customFormat="1" ht="36" customHeight="1" spans="1:46">
      <c r="A85" s="393">
        <v>46136</v>
      </c>
      <c r="B85" s="394" t="s">
        <v>122</v>
      </c>
      <c r="C85" s="394" t="s">
        <v>71</v>
      </c>
      <c r="D85" s="395" t="s">
        <v>452</v>
      </c>
      <c r="E85" s="396" t="s">
        <v>461</v>
      </c>
      <c r="F85" s="397" t="s">
        <v>462</v>
      </c>
      <c r="G85" s="398" t="s">
        <v>125</v>
      </c>
      <c r="H85" s="507" t="s">
        <v>51</v>
      </c>
      <c r="I85" s="400">
        <v>500</v>
      </c>
      <c r="J85" s="401">
        <v>0</v>
      </c>
      <c r="K85" s="401">
        <v>2</v>
      </c>
      <c r="L85" s="402">
        <f t="shared" si="11"/>
        <v>250</v>
      </c>
      <c r="M85" s="403">
        <v>46176</v>
      </c>
      <c r="N85" s="569">
        <v>46185</v>
      </c>
      <c r="O85" s="530">
        <v>46188</v>
      </c>
      <c r="P85" s="479" t="s">
        <v>52</v>
      </c>
      <c r="Q85" s="508">
        <v>46202</v>
      </c>
      <c r="R85" s="381"/>
      <c r="S85" s="570" t="s">
        <v>456</v>
      </c>
      <c r="T85" s="467" t="s">
        <v>54</v>
      </c>
      <c r="U85" s="406" t="s">
        <v>457</v>
      </c>
      <c r="V85" s="406"/>
      <c r="W85" s="407" t="s">
        <v>458</v>
      </c>
      <c r="X85" s="408" t="s">
        <v>129</v>
      </c>
      <c r="Y85" s="504">
        <v>6.5485</v>
      </c>
      <c r="Z85" s="410">
        <f>I85*Y85</f>
        <v>3274.25</v>
      </c>
      <c r="AA85" s="395"/>
      <c r="AB85" s="398" t="s">
        <v>125</v>
      </c>
      <c r="AC85" s="388" t="s">
        <v>56</v>
      </c>
      <c r="AD85" s="401"/>
      <c r="AE85" s="495"/>
      <c r="AF85" s="414"/>
      <c r="AG85" s="415"/>
      <c r="AH85" s="415"/>
      <c r="AI85" s="395">
        <f t="shared" si="12"/>
        <v>500</v>
      </c>
      <c r="AJ85" s="395"/>
      <c r="AK85" s="460"/>
      <c r="AL85" s="460"/>
      <c r="AM85" s="554">
        <f t="shared" si="13"/>
        <v>500</v>
      </c>
      <c r="AN85" s="416"/>
      <c r="AO85" s="416"/>
      <c r="AP85" s="416"/>
      <c r="AQ85" s="388">
        <f t="shared" si="14"/>
        <v>500</v>
      </c>
      <c r="AR85" s="411"/>
      <c r="AS85" s="528"/>
    </row>
    <row r="86" s="295" customFormat="1" ht="36" customHeight="1" spans="1:46">
      <c r="A86" s="369">
        <v>46140</v>
      </c>
      <c r="B86" s="370" t="s">
        <v>203</v>
      </c>
      <c r="C86" s="370" t="s">
        <v>204</v>
      </c>
      <c r="D86" s="371">
        <v>4500204383</v>
      </c>
      <c r="E86" s="372" t="s">
        <v>463</v>
      </c>
      <c r="F86" s="373" t="s">
        <v>464</v>
      </c>
      <c r="G86" s="374" t="s">
        <v>50</v>
      </c>
      <c r="H86" s="428" t="s">
        <v>51</v>
      </c>
      <c r="I86" s="376">
        <v>240</v>
      </c>
      <c r="J86" s="377">
        <v>0</v>
      </c>
      <c r="K86" s="377">
        <v>3</v>
      </c>
      <c r="L86" s="378">
        <f t="shared" si="11"/>
        <v>80</v>
      </c>
      <c r="M86" s="379">
        <v>46178</v>
      </c>
      <c r="N86" s="542">
        <v>46188</v>
      </c>
      <c r="O86" s="380"/>
      <c r="P86" s="380" t="s">
        <v>52</v>
      </c>
      <c r="Q86" s="571" t="s">
        <v>465</v>
      </c>
      <c r="R86" s="418" t="s">
        <v>65</v>
      </c>
      <c r="S86" s="380">
        <v>46140</v>
      </c>
      <c r="T86" s="436" t="s">
        <v>54</v>
      </c>
      <c r="U86" s="382" t="s">
        <v>466</v>
      </c>
      <c r="V86" s="382" t="s">
        <v>467</v>
      </c>
      <c r="W86" s="491" t="s">
        <v>468</v>
      </c>
      <c r="X86" s="384" t="s">
        <v>209</v>
      </c>
      <c r="Y86" s="478">
        <v>9.9425</v>
      </c>
      <c r="Z86" s="386">
        <f>I86*Y86</f>
        <v>2386.2</v>
      </c>
      <c r="AA86" s="371"/>
      <c r="AB86" s="374" t="s">
        <v>50</v>
      </c>
      <c r="AC86" s="388" t="s">
        <v>56</v>
      </c>
      <c r="AD86" s="377"/>
      <c r="AE86" s="389"/>
      <c r="AF86" s="390"/>
      <c r="AG86" s="391"/>
      <c r="AH86" s="391"/>
      <c r="AI86" s="371">
        <f t="shared" si="12"/>
        <v>240</v>
      </c>
      <c r="AJ86" s="371"/>
      <c r="AK86" s="371"/>
      <c r="AL86" s="371"/>
      <c r="AM86" s="544">
        <f t="shared" si="13"/>
        <v>240</v>
      </c>
      <c r="AN86" s="392"/>
      <c r="AO86" s="392"/>
      <c r="AP86" s="392"/>
      <c r="AQ86" s="387">
        <f t="shared" si="14"/>
        <v>240</v>
      </c>
      <c r="AR86" s="387"/>
      <c r="AS86" s="296"/>
    </row>
    <row r="87" s="298" customFormat="1" ht="36" customHeight="1" spans="1:46">
      <c r="A87" s="369">
        <v>46127</v>
      </c>
      <c r="B87" s="370" t="s">
        <v>374</v>
      </c>
      <c r="C87" s="370" t="s">
        <v>257</v>
      </c>
      <c r="D87" s="371">
        <v>4500202216</v>
      </c>
      <c r="E87" s="372">
        <v>2000010089</v>
      </c>
      <c r="F87" s="373" t="s">
        <v>469</v>
      </c>
      <c r="G87" s="374" t="s">
        <v>50</v>
      </c>
      <c r="H87" s="428" t="s">
        <v>51</v>
      </c>
      <c r="I87" s="376">
        <v>1299</v>
      </c>
      <c r="J87" s="377">
        <v>0</v>
      </c>
      <c r="K87" s="377">
        <v>3</v>
      </c>
      <c r="L87" s="378">
        <f t="shared" si="11"/>
        <v>433</v>
      </c>
      <c r="M87" s="379">
        <v>46178</v>
      </c>
      <c r="N87" s="542">
        <v>46189</v>
      </c>
      <c r="O87" s="479">
        <v>46191</v>
      </c>
      <c r="P87" s="380" t="s">
        <v>52</v>
      </c>
      <c r="Q87" s="572">
        <v>46218</v>
      </c>
      <c r="R87" s="418" t="s">
        <v>65</v>
      </c>
      <c r="S87" s="558">
        <v>46149</v>
      </c>
      <c r="T87" s="382" t="s">
        <v>54</v>
      </c>
      <c r="U87" s="382" t="s">
        <v>470</v>
      </c>
      <c r="V87" s="382"/>
      <c r="W87" s="383" t="s">
        <v>471</v>
      </c>
      <c r="X87" s="384" t="s">
        <v>381</v>
      </c>
      <c r="Y87" s="478">
        <v>9.9259</v>
      </c>
      <c r="Z87" s="386">
        <f>Y87*L87</f>
        <v>4297.9147</v>
      </c>
      <c r="AA87" s="371"/>
      <c r="AB87" s="387" t="s">
        <v>84</v>
      </c>
      <c r="AC87" s="388" t="s">
        <v>56</v>
      </c>
      <c r="AD87" s="377"/>
      <c r="AE87" s="389"/>
      <c r="AF87" s="390"/>
      <c r="AG87" s="391"/>
      <c r="AH87" s="391"/>
      <c r="AI87" s="371"/>
      <c r="AJ87" s="371"/>
      <c r="AK87" s="371"/>
      <c r="AL87" s="482">
        <f>I87</f>
        <v>1299</v>
      </c>
      <c r="AM87" s="383">
        <f t="shared" si="13"/>
        <v>1299</v>
      </c>
      <c r="AN87" s="525"/>
      <c r="AO87" s="392"/>
      <c r="AP87" s="392"/>
      <c r="AQ87" s="387">
        <f t="shared" si="14"/>
        <v>1299</v>
      </c>
      <c r="AR87" s="387"/>
      <c r="AS87" s="296"/>
      <c r="AT87" s="295"/>
    </row>
    <row r="88" s="295" customFormat="1" ht="36" customHeight="1" spans="1:46">
      <c r="A88" s="369">
        <v>46129</v>
      </c>
      <c r="B88" s="370" t="s">
        <v>472</v>
      </c>
      <c r="C88" s="370" t="s">
        <v>473</v>
      </c>
      <c r="D88" s="371" t="s">
        <v>474</v>
      </c>
      <c r="E88" s="573" t="s">
        <v>475</v>
      </c>
      <c r="F88" s="373" t="s">
        <v>476</v>
      </c>
      <c r="G88" s="374" t="s">
        <v>50</v>
      </c>
      <c r="H88" s="428" t="s">
        <v>51</v>
      </c>
      <c r="I88" s="376">
        <v>651</v>
      </c>
      <c r="J88" s="377">
        <v>0</v>
      </c>
      <c r="K88" s="377">
        <v>3</v>
      </c>
      <c r="L88" s="378">
        <f t="shared" si="11"/>
        <v>217</v>
      </c>
      <c r="M88" s="542">
        <v>46181</v>
      </c>
      <c r="N88" s="542">
        <v>46177</v>
      </c>
      <c r="O88" s="380"/>
      <c r="P88" s="380" t="s">
        <v>52</v>
      </c>
      <c r="Q88" s="520">
        <v>46203</v>
      </c>
      <c r="R88" s="418" t="s">
        <v>65</v>
      </c>
      <c r="S88" s="380">
        <v>46163</v>
      </c>
      <c r="T88" s="436" t="s">
        <v>54</v>
      </c>
      <c r="U88" s="382" t="s">
        <v>477</v>
      </c>
      <c r="V88" s="382"/>
      <c r="W88" s="491" t="s">
        <v>478</v>
      </c>
      <c r="X88" s="384" t="s">
        <v>388</v>
      </c>
      <c r="Y88" s="478">
        <v>10.2316</v>
      </c>
      <c r="Z88" s="386">
        <v>6660.7716</v>
      </c>
      <c r="AA88" s="371"/>
      <c r="AB88" s="574" t="s">
        <v>84</v>
      </c>
      <c r="AC88" s="388" t="s">
        <v>56</v>
      </c>
      <c r="AD88" s="377"/>
      <c r="AE88" s="389"/>
      <c r="AF88" s="390"/>
      <c r="AG88" s="391"/>
      <c r="AH88" s="391"/>
      <c r="AI88" s="371"/>
      <c r="AJ88" s="371"/>
      <c r="AK88" s="371"/>
      <c r="AL88" s="371">
        <f>I88</f>
        <v>651</v>
      </c>
      <c r="AM88" s="544">
        <v>651</v>
      </c>
      <c r="AN88" s="389"/>
      <c r="AO88" s="371" t="s">
        <v>101</v>
      </c>
      <c r="AP88" s="371"/>
      <c r="AQ88" s="387">
        <v>651</v>
      </c>
      <c r="AR88" s="387"/>
      <c r="AS88" s="296"/>
    </row>
    <row r="89" s="295" customFormat="1" ht="36" customHeight="1" spans="1:46">
      <c r="A89" s="369">
        <v>46129</v>
      </c>
      <c r="B89" s="370" t="s">
        <v>479</v>
      </c>
      <c r="C89" s="370" t="s">
        <v>71</v>
      </c>
      <c r="D89" s="371" t="s">
        <v>480</v>
      </c>
      <c r="E89" s="372" t="s">
        <v>481</v>
      </c>
      <c r="F89" s="373" t="s">
        <v>482</v>
      </c>
      <c r="G89" s="374" t="s">
        <v>50</v>
      </c>
      <c r="H89" s="428" t="s">
        <v>51</v>
      </c>
      <c r="I89" s="376">
        <v>30</v>
      </c>
      <c r="J89" s="377">
        <v>0</v>
      </c>
      <c r="K89" s="377">
        <v>3</v>
      </c>
      <c r="L89" s="378">
        <f t="shared" si="11"/>
        <v>10</v>
      </c>
      <c r="M89" s="379">
        <v>46181</v>
      </c>
      <c r="N89" s="379">
        <v>46178</v>
      </c>
      <c r="O89" s="380"/>
      <c r="P89" s="418" t="s">
        <v>52</v>
      </c>
      <c r="Q89" s="572">
        <v>46238</v>
      </c>
      <c r="R89" s="418" t="s">
        <v>65</v>
      </c>
      <c r="S89" s="380">
        <v>46154</v>
      </c>
      <c r="T89" s="467" t="s">
        <v>54</v>
      </c>
      <c r="U89" s="382" t="s">
        <v>54</v>
      </c>
      <c r="V89" s="382"/>
      <c r="W89" s="383" t="s">
        <v>483</v>
      </c>
      <c r="X89" s="384" t="s">
        <v>318</v>
      </c>
      <c r="Y89" s="478">
        <v>6.139</v>
      </c>
      <c r="Z89" s="386">
        <v>184.17</v>
      </c>
      <c r="AA89" s="371"/>
      <c r="AB89" s="374" t="s">
        <v>50</v>
      </c>
      <c r="AC89" s="388" t="s">
        <v>56</v>
      </c>
      <c r="AD89" s="377"/>
      <c r="AE89" s="389"/>
      <c r="AF89" s="390"/>
      <c r="AG89" s="391"/>
      <c r="AH89" s="391"/>
      <c r="AI89" s="371">
        <v>30</v>
      </c>
      <c r="AJ89" s="371"/>
      <c r="AK89" s="371"/>
      <c r="AL89" s="371"/>
      <c r="AM89" s="389">
        <v>30</v>
      </c>
      <c r="AN89" s="489"/>
      <c r="AO89" s="392"/>
      <c r="AP89" s="392"/>
      <c r="AQ89" s="387">
        <v>30</v>
      </c>
      <c r="AR89" s="387"/>
      <c r="AS89" s="296"/>
      <c r="AT89" s="300"/>
    </row>
    <row r="90" s="295" customFormat="1" ht="36" customHeight="1" spans="1:46">
      <c r="A90" s="369">
        <v>46129</v>
      </c>
      <c r="B90" s="370" t="s">
        <v>479</v>
      </c>
      <c r="C90" s="370" t="s">
        <v>71</v>
      </c>
      <c r="D90" s="371" t="s">
        <v>484</v>
      </c>
      <c r="E90" s="372" t="s">
        <v>485</v>
      </c>
      <c r="F90" s="373" t="s">
        <v>486</v>
      </c>
      <c r="G90" s="374" t="s">
        <v>50</v>
      </c>
      <c r="H90" s="428" t="s">
        <v>51</v>
      </c>
      <c r="I90" s="376">
        <v>3</v>
      </c>
      <c r="J90" s="377">
        <v>0</v>
      </c>
      <c r="K90" s="377">
        <v>3</v>
      </c>
      <c r="L90" s="378">
        <f t="shared" si="11"/>
        <v>1</v>
      </c>
      <c r="M90" s="379">
        <v>46181</v>
      </c>
      <c r="N90" s="379">
        <v>46178</v>
      </c>
      <c r="O90" s="380"/>
      <c r="P90" s="418" t="s">
        <v>52</v>
      </c>
      <c r="Q90" s="520">
        <v>46202</v>
      </c>
      <c r="R90" s="418" t="s">
        <v>65</v>
      </c>
      <c r="S90" s="380">
        <v>46154</v>
      </c>
      <c r="T90" s="436" t="s">
        <v>54</v>
      </c>
      <c r="U90" s="382" t="s">
        <v>54</v>
      </c>
      <c r="V90" s="382"/>
      <c r="W90" s="383" t="s">
        <v>483</v>
      </c>
      <c r="X90" s="384" t="s">
        <v>318</v>
      </c>
      <c r="Y90" s="478">
        <v>6.1367</v>
      </c>
      <c r="Z90" s="386">
        <v>18.4101</v>
      </c>
      <c r="AA90" s="371"/>
      <c r="AB90" s="374" t="s">
        <v>50</v>
      </c>
      <c r="AC90" s="388" t="s">
        <v>56</v>
      </c>
      <c r="AD90" s="377"/>
      <c r="AE90" s="389"/>
      <c r="AF90" s="390"/>
      <c r="AG90" s="391"/>
      <c r="AH90" s="575"/>
      <c r="AI90" s="556">
        <v>3</v>
      </c>
      <c r="AJ90" s="371"/>
      <c r="AK90" s="371"/>
      <c r="AL90" s="371"/>
      <c r="AM90" s="389">
        <v>3</v>
      </c>
      <c r="AN90" s="389"/>
      <c r="AO90" s="371"/>
      <c r="AP90" s="371"/>
      <c r="AQ90" s="387">
        <v>3</v>
      </c>
      <c r="AR90" s="387"/>
      <c r="AS90" s="296"/>
    </row>
    <row r="91" s="295" customFormat="1" ht="36" customHeight="1" spans="1:46">
      <c r="A91" s="369">
        <v>46122</v>
      </c>
      <c r="B91" s="370" t="s">
        <v>107</v>
      </c>
      <c r="C91" s="370" t="s">
        <v>257</v>
      </c>
      <c r="D91" s="371" t="s">
        <v>487</v>
      </c>
      <c r="E91" s="372" t="s">
        <v>488</v>
      </c>
      <c r="F91" s="373" t="s">
        <v>489</v>
      </c>
      <c r="G91" s="374" t="s">
        <v>50</v>
      </c>
      <c r="H91" s="428" t="s">
        <v>51</v>
      </c>
      <c r="I91" s="376">
        <v>402</v>
      </c>
      <c r="J91" s="377">
        <v>0</v>
      </c>
      <c r="K91" s="377">
        <v>3</v>
      </c>
      <c r="L91" s="378">
        <f t="shared" si="11"/>
        <v>134</v>
      </c>
      <c r="M91" s="379">
        <v>46181</v>
      </c>
      <c r="N91" s="542">
        <v>46182</v>
      </c>
      <c r="O91" s="380"/>
      <c r="P91" s="380" t="s">
        <v>52</v>
      </c>
      <c r="Q91" s="520" t="s">
        <v>490</v>
      </c>
      <c r="R91" s="418" t="s">
        <v>65</v>
      </c>
      <c r="S91" s="380">
        <v>46128</v>
      </c>
      <c r="T91" s="436" t="s">
        <v>54</v>
      </c>
      <c r="U91" s="382" t="s">
        <v>491</v>
      </c>
      <c r="V91" s="382"/>
      <c r="W91" s="383" t="s">
        <v>492</v>
      </c>
      <c r="X91" s="384" t="s">
        <v>83</v>
      </c>
      <c r="Y91" s="478">
        <v>10.2316</v>
      </c>
      <c r="Z91" s="386">
        <f>I91*Y91</f>
        <v>4113.1032</v>
      </c>
      <c r="AA91" s="371"/>
      <c r="AB91" s="387" t="s">
        <v>84</v>
      </c>
      <c r="AC91" s="388" t="s">
        <v>56</v>
      </c>
      <c r="AD91" s="377"/>
      <c r="AE91" s="389"/>
      <c r="AF91" s="390"/>
      <c r="AG91" s="391"/>
      <c r="AH91" s="391"/>
      <c r="AI91" s="371"/>
      <c r="AJ91" s="371"/>
      <c r="AK91" s="371"/>
      <c r="AL91" s="371">
        <f>I91</f>
        <v>402</v>
      </c>
      <c r="AM91" s="389">
        <f>I91</f>
        <v>402</v>
      </c>
      <c r="AN91" s="489"/>
      <c r="AO91" s="392" t="s">
        <v>101</v>
      </c>
      <c r="AP91" s="392"/>
      <c r="AQ91" s="387">
        <f>I91</f>
        <v>402</v>
      </c>
      <c r="AR91" s="387"/>
      <c r="AS91" s="296"/>
    </row>
    <row r="92" s="295" customFormat="1" ht="36" customHeight="1" spans="1:46">
      <c r="A92" s="369">
        <v>46122</v>
      </c>
      <c r="B92" s="370" t="s">
        <v>107</v>
      </c>
      <c r="C92" s="370" t="s">
        <v>257</v>
      </c>
      <c r="D92" s="371" t="s">
        <v>487</v>
      </c>
      <c r="E92" s="372" t="s">
        <v>493</v>
      </c>
      <c r="F92" s="373" t="s">
        <v>494</v>
      </c>
      <c r="G92" s="374" t="s">
        <v>50</v>
      </c>
      <c r="H92" s="428" t="s">
        <v>51</v>
      </c>
      <c r="I92" s="376">
        <v>201</v>
      </c>
      <c r="J92" s="377">
        <v>0</v>
      </c>
      <c r="K92" s="377">
        <v>3</v>
      </c>
      <c r="L92" s="378">
        <f t="shared" si="11"/>
        <v>67</v>
      </c>
      <c r="M92" s="379">
        <v>46181</v>
      </c>
      <c r="N92" s="379">
        <v>46182</v>
      </c>
      <c r="O92" s="380"/>
      <c r="P92" s="380" t="s">
        <v>52</v>
      </c>
      <c r="Q92" s="520" t="s">
        <v>490</v>
      </c>
      <c r="R92" s="418" t="s">
        <v>65</v>
      </c>
      <c r="S92" s="380">
        <v>46128</v>
      </c>
      <c r="T92" s="436" t="s">
        <v>54</v>
      </c>
      <c r="U92" s="382" t="s">
        <v>491</v>
      </c>
      <c r="V92" s="382"/>
      <c r="W92" s="383" t="s">
        <v>492</v>
      </c>
      <c r="X92" s="384" t="s">
        <v>83</v>
      </c>
      <c r="Y92" s="478">
        <v>10.2316</v>
      </c>
      <c r="Z92" s="386">
        <f>I92*Y92</f>
        <v>2056.5516</v>
      </c>
      <c r="AA92" s="371"/>
      <c r="AB92" s="387" t="s">
        <v>84</v>
      </c>
      <c r="AC92" s="388" t="s">
        <v>56</v>
      </c>
      <c r="AD92" s="377"/>
      <c r="AE92" s="389"/>
      <c r="AF92" s="390"/>
      <c r="AG92" s="391"/>
      <c r="AH92" s="391"/>
      <c r="AI92" s="371"/>
      <c r="AJ92" s="371"/>
      <c r="AK92" s="371"/>
      <c r="AL92" s="371">
        <f>I92</f>
        <v>201</v>
      </c>
      <c r="AM92" s="389">
        <f>I92</f>
        <v>201</v>
      </c>
      <c r="AN92" s="489"/>
      <c r="AO92" s="392" t="s">
        <v>101</v>
      </c>
      <c r="AP92" s="392"/>
      <c r="AQ92" s="387">
        <f>I92</f>
        <v>201</v>
      </c>
      <c r="AR92" s="387"/>
      <c r="AS92" s="296"/>
    </row>
    <row r="93" s="295" customFormat="1" ht="36" customHeight="1" spans="1:46">
      <c r="A93" s="369">
        <v>46129</v>
      </c>
      <c r="B93" s="370" t="s">
        <v>479</v>
      </c>
      <c r="C93" s="370" t="s">
        <v>71</v>
      </c>
      <c r="D93" s="371" t="s">
        <v>495</v>
      </c>
      <c r="E93" s="372" t="s">
        <v>496</v>
      </c>
      <c r="F93" s="373" t="s">
        <v>497</v>
      </c>
      <c r="G93" s="374" t="s">
        <v>50</v>
      </c>
      <c r="H93" s="375" t="s">
        <v>51</v>
      </c>
      <c r="I93" s="376">
        <v>3</v>
      </c>
      <c r="J93" s="377">
        <v>0</v>
      </c>
      <c r="K93" s="377">
        <v>3</v>
      </c>
      <c r="L93" s="378">
        <f t="shared" si="11"/>
        <v>1</v>
      </c>
      <c r="M93" s="379">
        <v>46181</v>
      </c>
      <c r="N93" s="379">
        <v>46182</v>
      </c>
      <c r="O93" s="380"/>
      <c r="P93" s="380" t="s">
        <v>52</v>
      </c>
      <c r="Q93" s="509">
        <v>46183</v>
      </c>
      <c r="R93" s="418" t="s">
        <v>65</v>
      </c>
      <c r="S93" s="380">
        <v>46151</v>
      </c>
      <c r="T93" s="382" t="s">
        <v>54</v>
      </c>
      <c r="U93" s="382" t="s">
        <v>54</v>
      </c>
      <c r="V93" s="382"/>
      <c r="W93" s="383" t="s">
        <v>483</v>
      </c>
      <c r="X93" s="384" t="s">
        <v>318</v>
      </c>
      <c r="Y93" s="478">
        <v>5.9667</v>
      </c>
      <c r="Z93" s="386">
        <v>17.9001</v>
      </c>
      <c r="AA93" s="371"/>
      <c r="AB93" s="374" t="s">
        <v>50</v>
      </c>
      <c r="AC93" s="388" t="s">
        <v>56</v>
      </c>
      <c r="AD93" s="377"/>
      <c r="AE93" s="389"/>
      <c r="AF93" s="390"/>
      <c r="AG93" s="391"/>
      <c r="AH93" s="391"/>
      <c r="AI93" s="371">
        <v>3</v>
      </c>
      <c r="AJ93" s="371"/>
      <c r="AK93" s="371"/>
      <c r="AL93" s="371"/>
      <c r="AM93" s="389">
        <v>3</v>
      </c>
      <c r="AN93" s="389"/>
      <c r="AO93" s="371"/>
      <c r="AP93" s="371"/>
      <c r="AQ93" s="387">
        <v>3</v>
      </c>
      <c r="AR93" s="547"/>
      <c r="AS93" s="298"/>
      <c r="AT93" s="298"/>
    </row>
    <row r="94" s="298" customFormat="1" ht="36" customHeight="1" spans="1:46">
      <c r="A94" s="369">
        <v>46134</v>
      </c>
      <c r="B94" s="370" t="s">
        <v>498</v>
      </c>
      <c r="C94" s="370" t="s">
        <v>71</v>
      </c>
      <c r="D94" s="371" t="s">
        <v>499</v>
      </c>
      <c r="E94" s="372" t="s">
        <v>500</v>
      </c>
      <c r="F94" s="373" t="s">
        <v>501</v>
      </c>
      <c r="G94" s="374" t="s">
        <v>50</v>
      </c>
      <c r="H94" s="428" t="s">
        <v>51</v>
      </c>
      <c r="I94" s="376">
        <v>24</v>
      </c>
      <c r="J94" s="377">
        <v>0</v>
      </c>
      <c r="K94" s="377">
        <v>3</v>
      </c>
      <c r="L94" s="378">
        <f t="shared" si="11"/>
        <v>8</v>
      </c>
      <c r="M94" s="379">
        <v>46181</v>
      </c>
      <c r="N94" s="379">
        <v>46189</v>
      </c>
      <c r="O94" s="380"/>
      <c r="P94" s="380" t="s">
        <v>52</v>
      </c>
      <c r="Q94" s="520">
        <v>46191</v>
      </c>
      <c r="R94" s="418" t="s">
        <v>65</v>
      </c>
      <c r="S94" s="380">
        <v>46136</v>
      </c>
      <c r="T94" s="382" t="s">
        <v>54</v>
      </c>
      <c r="U94" s="382" t="s">
        <v>54</v>
      </c>
      <c r="V94" s="382"/>
      <c r="W94" s="383" t="s">
        <v>502</v>
      </c>
      <c r="X94" s="384" t="s">
        <v>503</v>
      </c>
      <c r="Y94" s="478">
        <v>6.1392</v>
      </c>
      <c r="Z94" s="386">
        <v>147.3408</v>
      </c>
      <c r="AA94" s="371"/>
      <c r="AB94" s="374" t="s">
        <v>50</v>
      </c>
      <c r="AC94" s="388" t="s">
        <v>56</v>
      </c>
      <c r="AD94" s="377"/>
      <c r="AE94" s="389"/>
      <c r="AF94" s="390"/>
      <c r="AG94" s="391"/>
      <c r="AH94" s="391"/>
      <c r="AI94" s="371">
        <v>24</v>
      </c>
      <c r="AJ94" s="371"/>
      <c r="AK94" s="371"/>
      <c r="AL94" s="371"/>
      <c r="AM94" s="389">
        <v>24</v>
      </c>
      <c r="AN94" s="489"/>
      <c r="AO94" s="392"/>
      <c r="AP94" s="392"/>
      <c r="AQ94" s="387">
        <v>24</v>
      </c>
      <c r="AR94" s="387"/>
      <c r="AS94" s="296"/>
      <c r="AT94" s="295"/>
    </row>
    <row r="95" s="295" customFormat="1" ht="36" customHeight="1" spans="1:46">
      <c r="A95" s="369">
        <v>46136</v>
      </c>
      <c r="B95" s="370" t="s">
        <v>122</v>
      </c>
      <c r="C95" s="370" t="s">
        <v>71</v>
      </c>
      <c r="D95" s="371" t="s">
        <v>504</v>
      </c>
      <c r="E95" s="372" t="s">
        <v>505</v>
      </c>
      <c r="F95" s="373" t="s">
        <v>506</v>
      </c>
      <c r="G95" s="374" t="s">
        <v>125</v>
      </c>
      <c r="H95" s="428" t="s">
        <v>51</v>
      </c>
      <c r="I95" s="376">
        <v>500</v>
      </c>
      <c r="J95" s="377">
        <v>0</v>
      </c>
      <c r="K95" s="377">
        <v>2</v>
      </c>
      <c r="L95" s="378">
        <f t="shared" si="11"/>
        <v>250</v>
      </c>
      <c r="M95" s="379">
        <v>46182</v>
      </c>
      <c r="N95" s="576">
        <v>46185</v>
      </c>
      <c r="O95" s="577">
        <v>46188</v>
      </c>
      <c r="P95" s="479" t="s">
        <v>52</v>
      </c>
      <c r="Q95" s="520">
        <v>46191</v>
      </c>
      <c r="R95" s="381"/>
      <c r="S95" s="568" t="s">
        <v>456</v>
      </c>
      <c r="T95" s="436" t="s">
        <v>54</v>
      </c>
      <c r="U95" s="382" t="s">
        <v>457</v>
      </c>
      <c r="V95" s="382"/>
      <c r="W95" s="383" t="s">
        <v>458</v>
      </c>
      <c r="X95" s="384" t="s">
        <v>129</v>
      </c>
      <c r="Y95" s="478">
        <v>6.5485</v>
      </c>
      <c r="Z95" s="386">
        <f>I95*Y95</f>
        <v>3274.25</v>
      </c>
      <c r="AA95" s="371"/>
      <c r="AB95" s="374" t="s">
        <v>125</v>
      </c>
      <c r="AC95" s="388" t="s">
        <v>56</v>
      </c>
      <c r="AD95" s="377"/>
      <c r="AE95" s="389"/>
      <c r="AF95" s="390"/>
      <c r="AG95" s="391"/>
      <c r="AH95" s="391"/>
      <c r="AI95" s="371">
        <f>I95</f>
        <v>500</v>
      </c>
      <c r="AJ95" s="371"/>
      <c r="AK95" s="371"/>
      <c r="AL95" s="371"/>
      <c r="AM95" s="554">
        <f t="shared" ref="AM95:AM103" si="15">I95</f>
        <v>500</v>
      </c>
      <c r="AN95" s="392"/>
      <c r="AO95" s="392"/>
      <c r="AP95" s="392"/>
      <c r="AQ95" s="388">
        <f t="shared" ref="AQ95:AQ103" si="16">I95</f>
        <v>500</v>
      </c>
      <c r="AR95" s="387"/>
      <c r="AS95" s="296"/>
    </row>
    <row r="96" s="295" customFormat="1" ht="36" customHeight="1" spans="1:46">
      <c r="A96" s="369">
        <v>46136</v>
      </c>
      <c r="B96" s="370" t="s">
        <v>122</v>
      </c>
      <c r="C96" s="370" t="s">
        <v>71</v>
      </c>
      <c r="D96" s="371" t="s">
        <v>504</v>
      </c>
      <c r="E96" s="372" t="s">
        <v>507</v>
      </c>
      <c r="F96" s="373" t="s">
        <v>508</v>
      </c>
      <c r="G96" s="374" t="s">
        <v>125</v>
      </c>
      <c r="H96" s="428" t="s">
        <v>51</v>
      </c>
      <c r="I96" s="376">
        <v>500</v>
      </c>
      <c r="J96" s="377">
        <v>0</v>
      </c>
      <c r="K96" s="377">
        <v>2</v>
      </c>
      <c r="L96" s="378">
        <f t="shared" si="11"/>
        <v>250</v>
      </c>
      <c r="M96" s="379">
        <v>46182</v>
      </c>
      <c r="N96" s="542">
        <v>46185</v>
      </c>
      <c r="O96" s="505">
        <v>46188</v>
      </c>
      <c r="P96" s="479" t="s">
        <v>52</v>
      </c>
      <c r="Q96" s="520">
        <v>46190</v>
      </c>
      <c r="R96" s="381"/>
      <c r="S96" s="578" t="s">
        <v>456</v>
      </c>
      <c r="T96" s="382" t="s">
        <v>54</v>
      </c>
      <c r="U96" s="382" t="s">
        <v>457</v>
      </c>
      <c r="V96" s="382"/>
      <c r="W96" s="383" t="s">
        <v>458</v>
      </c>
      <c r="X96" s="384" t="s">
        <v>129</v>
      </c>
      <c r="Y96" s="478">
        <v>6.5485</v>
      </c>
      <c r="Z96" s="386">
        <f>I96*Y96</f>
        <v>3274.25</v>
      </c>
      <c r="AA96" s="371"/>
      <c r="AB96" s="374" t="s">
        <v>125</v>
      </c>
      <c r="AC96" s="388" t="s">
        <v>56</v>
      </c>
      <c r="AD96" s="377"/>
      <c r="AE96" s="389"/>
      <c r="AF96" s="390"/>
      <c r="AG96" s="391"/>
      <c r="AH96" s="391"/>
      <c r="AI96" s="371">
        <f>I96</f>
        <v>500</v>
      </c>
      <c r="AJ96" s="371"/>
      <c r="AK96" s="371"/>
      <c r="AL96" s="371"/>
      <c r="AM96" s="554">
        <f t="shared" si="15"/>
        <v>500</v>
      </c>
      <c r="AN96" s="392"/>
      <c r="AO96" s="392"/>
      <c r="AP96" s="392"/>
      <c r="AQ96" s="388">
        <f t="shared" si="16"/>
        <v>500</v>
      </c>
      <c r="AR96" s="387"/>
      <c r="AS96" s="296"/>
      <c r="AT96" s="298"/>
    </row>
    <row r="97" s="295" customFormat="1" ht="36" customHeight="1" spans="1:46">
      <c r="A97" s="369">
        <v>46136</v>
      </c>
      <c r="B97" s="370" t="s">
        <v>122</v>
      </c>
      <c r="C97" s="370" t="s">
        <v>71</v>
      </c>
      <c r="D97" s="371" t="s">
        <v>504</v>
      </c>
      <c r="E97" s="372" t="s">
        <v>509</v>
      </c>
      <c r="F97" s="373" t="s">
        <v>510</v>
      </c>
      <c r="G97" s="374" t="s">
        <v>125</v>
      </c>
      <c r="H97" s="428" t="s">
        <v>51</v>
      </c>
      <c r="I97" s="376">
        <v>500</v>
      </c>
      <c r="J97" s="377">
        <v>0</v>
      </c>
      <c r="K97" s="377">
        <v>2</v>
      </c>
      <c r="L97" s="378">
        <f t="shared" si="11"/>
        <v>250</v>
      </c>
      <c r="M97" s="379">
        <v>46182</v>
      </c>
      <c r="N97" s="542">
        <v>46189</v>
      </c>
      <c r="O97" s="505">
        <v>46191</v>
      </c>
      <c r="P97" s="479" t="s">
        <v>52</v>
      </c>
      <c r="Q97" s="520">
        <v>46200</v>
      </c>
      <c r="R97" s="381"/>
      <c r="S97" s="578" t="s">
        <v>456</v>
      </c>
      <c r="T97" s="382" t="s">
        <v>54</v>
      </c>
      <c r="U97" s="382" t="s">
        <v>457</v>
      </c>
      <c r="V97" s="382"/>
      <c r="W97" s="383" t="s">
        <v>458</v>
      </c>
      <c r="X97" s="384" t="s">
        <v>129</v>
      </c>
      <c r="Y97" s="478">
        <v>6.5485</v>
      </c>
      <c r="Z97" s="386">
        <f>I97*Y97</f>
        <v>3274.25</v>
      </c>
      <c r="AA97" s="371"/>
      <c r="AB97" s="374" t="s">
        <v>125</v>
      </c>
      <c r="AC97" s="388" t="s">
        <v>56</v>
      </c>
      <c r="AD97" s="377"/>
      <c r="AE97" s="389"/>
      <c r="AF97" s="390"/>
      <c r="AG97" s="391"/>
      <c r="AH97" s="391"/>
      <c r="AI97" s="371">
        <f>I97</f>
        <v>500</v>
      </c>
      <c r="AJ97" s="371"/>
      <c r="AK97" s="371"/>
      <c r="AL97" s="371"/>
      <c r="AM97" s="554">
        <f t="shared" si="15"/>
        <v>500</v>
      </c>
      <c r="AN97" s="392"/>
      <c r="AO97" s="392"/>
      <c r="AP97" s="392"/>
      <c r="AQ97" s="388">
        <f t="shared" si="16"/>
        <v>500</v>
      </c>
      <c r="AR97" s="387"/>
      <c r="AS97" s="296"/>
      <c r="AT97" s="300"/>
    </row>
    <row r="98" s="295" customFormat="1" ht="36" customHeight="1" spans="1:46">
      <c r="A98" s="393">
        <v>46136</v>
      </c>
      <c r="B98" s="394" t="s">
        <v>122</v>
      </c>
      <c r="C98" s="394" t="s">
        <v>71</v>
      </c>
      <c r="D98" s="395" t="s">
        <v>504</v>
      </c>
      <c r="E98" s="396" t="s">
        <v>511</v>
      </c>
      <c r="F98" s="397" t="s">
        <v>512</v>
      </c>
      <c r="G98" s="398" t="s">
        <v>125</v>
      </c>
      <c r="H98" s="507" t="s">
        <v>51</v>
      </c>
      <c r="I98" s="400">
        <v>500</v>
      </c>
      <c r="J98" s="401">
        <v>0</v>
      </c>
      <c r="K98" s="401">
        <v>2</v>
      </c>
      <c r="L98" s="402">
        <f t="shared" si="11"/>
        <v>250</v>
      </c>
      <c r="M98" s="403">
        <v>46182</v>
      </c>
      <c r="N98" s="542">
        <v>46189</v>
      </c>
      <c r="O98" s="579">
        <v>46191</v>
      </c>
      <c r="P98" s="530" t="s">
        <v>52</v>
      </c>
      <c r="Q98" s="509">
        <v>46197</v>
      </c>
      <c r="R98" s="405"/>
      <c r="S98" s="570" t="s">
        <v>456</v>
      </c>
      <c r="T98" s="467" t="s">
        <v>54</v>
      </c>
      <c r="U98" s="406" t="s">
        <v>457</v>
      </c>
      <c r="V98" s="406"/>
      <c r="W98" s="407" t="s">
        <v>458</v>
      </c>
      <c r="X98" s="408" t="s">
        <v>129</v>
      </c>
      <c r="Y98" s="504">
        <v>6.5485</v>
      </c>
      <c r="Z98" s="410">
        <f>I98*Y98</f>
        <v>3274.25</v>
      </c>
      <c r="AA98" s="395"/>
      <c r="AB98" s="398" t="s">
        <v>125</v>
      </c>
      <c r="AC98" s="388" t="s">
        <v>56</v>
      </c>
      <c r="AD98" s="401"/>
      <c r="AE98" s="495"/>
      <c r="AF98" s="414"/>
      <c r="AG98" s="415"/>
      <c r="AH98" s="415"/>
      <c r="AI98" s="395">
        <f>I98</f>
        <v>500</v>
      </c>
      <c r="AJ98" s="395"/>
      <c r="AK98" s="395"/>
      <c r="AL98" s="395"/>
      <c r="AM98" s="554">
        <f t="shared" si="15"/>
        <v>500</v>
      </c>
      <c r="AN98" s="395"/>
      <c r="AO98" s="395"/>
      <c r="AP98" s="395"/>
      <c r="AQ98" s="388">
        <f t="shared" si="16"/>
        <v>500</v>
      </c>
      <c r="AR98" s="411"/>
      <c r="AS98" s="528"/>
    </row>
    <row r="99" s="295" customFormat="1" ht="36" customHeight="1" spans="1:46">
      <c r="A99" s="422">
        <v>46115</v>
      </c>
      <c r="B99" s="423" t="s">
        <v>513</v>
      </c>
      <c r="C99" s="423" t="s">
        <v>514</v>
      </c>
      <c r="D99" s="424" t="s">
        <v>515</v>
      </c>
      <c r="E99" s="532" t="s">
        <v>312</v>
      </c>
      <c r="F99" s="533" t="s">
        <v>516</v>
      </c>
      <c r="G99" s="427" t="s">
        <v>50</v>
      </c>
      <c r="H99" s="428" t="s">
        <v>51</v>
      </c>
      <c r="I99" s="450">
        <v>300</v>
      </c>
      <c r="J99" s="430">
        <v>0</v>
      </c>
      <c r="K99" s="430">
        <v>3</v>
      </c>
      <c r="L99" s="431">
        <f t="shared" si="11"/>
        <v>100</v>
      </c>
      <c r="M99" s="432">
        <v>46183</v>
      </c>
      <c r="N99" s="379">
        <v>46183</v>
      </c>
      <c r="O99" s="433"/>
      <c r="P99" s="433" t="s">
        <v>52</v>
      </c>
      <c r="Q99" s="520" t="s">
        <v>517</v>
      </c>
      <c r="R99" s="435" t="s">
        <v>65</v>
      </c>
      <c r="S99" s="433">
        <v>46139</v>
      </c>
      <c r="T99" s="436" t="s">
        <v>54</v>
      </c>
      <c r="U99" s="436" t="s">
        <v>518</v>
      </c>
      <c r="V99" s="436"/>
      <c r="W99" s="438" t="s">
        <v>519</v>
      </c>
      <c r="X99" s="439" t="s">
        <v>240</v>
      </c>
      <c r="Y99" s="481">
        <v>10.2316</v>
      </c>
      <c r="Z99" s="441">
        <f>I99*Y99</f>
        <v>3069.48</v>
      </c>
      <c r="AA99" s="424"/>
      <c r="AB99" s="426" t="s">
        <v>84</v>
      </c>
      <c r="AC99" s="388" t="s">
        <v>56</v>
      </c>
      <c r="AD99" s="430"/>
      <c r="AE99" s="536"/>
      <c r="AF99" s="442"/>
      <c r="AG99" s="443"/>
      <c r="AH99" s="443"/>
      <c r="AI99" s="424"/>
      <c r="AJ99" s="424"/>
      <c r="AK99" s="556"/>
      <c r="AL99" s="556">
        <f>I99</f>
        <v>300</v>
      </c>
      <c r="AM99" s="580">
        <f t="shared" si="15"/>
        <v>300</v>
      </c>
      <c r="AN99" s="460"/>
      <c r="AO99" s="581"/>
      <c r="AP99" s="460"/>
      <c r="AQ99" s="547">
        <f t="shared" si="16"/>
        <v>300</v>
      </c>
      <c r="AR99" s="547"/>
      <c r="AS99" s="539"/>
    </row>
    <row r="100" s="295" customFormat="1" ht="36" customHeight="1" spans="1:46">
      <c r="A100" s="369">
        <v>46126</v>
      </c>
      <c r="B100" s="370" t="s">
        <v>520</v>
      </c>
      <c r="C100" s="370" t="s">
        <v>71</v>
      </c>
      <c r="D100" s="371">
        <v>4500201308</v>
      </c>
      <c r="E100" s="372" t="s">
        <v>521</v>
      </c>
      <c r="F100" s="373" t="s">
        <v>522</v>
      </c>
      <c r="G100" s="374" t="s">
        <v>50</v>
      </c>
      <c r="H100" s="428" t="s">
        <v>51</v>
      </c>
      <c r="I100" s="376">
        <v>81</v>
      </c>
      <c r="J100" s="377">
        <v>0</v>
      </c>
      <c r="K100" s="377">
        <v>3</v>
      </c>
      <c r="L100" s="378">
        <f t="shared" si="11"/>
        <v>27</v>
      </c>
      <c r="M100" s="379">
        <v>46183</v>
      </c>
      <c r="N100" s="379">
        <v>46199</v>
      </c>
      <c r="O100" s="479"/>
      <c r="P100" s="380" t="s">
        <v>52</v>
      </c>
      <c r="Q100" s="566" t="s">
        <v>523</v>
      </c>
      <c r="R100" s="418" t="s">
        <v>65</v>
      </c>
      <c r="S100" s="380">
        <v>46136</v>
      </c>
      <c r="T100" s="436" t="s">
        <v>54</v>
      </c>
      <c r="U100" s="382" t="s">
        <v>54</v>
      </c>
      <c r="V100" s="382"/>
      <c r="W100" s="383" t="s">
        <v>524</v>
      </c>
      <c r="X100" s="384" t="s">
        <v>525</v>
      </c>
      <c r="Y100" s="478">
        <v>6.139</v>
      </c>
      <c r="Z100" s="386">
        <f>Y100*L100</f>
        <v>165.753</v>
      </c>
      <c r="AA100" s="371"/>
      <c r="AB100" s="374" t="s">
        <v>50</v>
      </c>
      <c r="AC100" s="388" t="s">
        <v>56</v>
      </c>
      <c r="AD100" s="377"/>
      <c r="AE100" s="389"/>
      <c r="AF100" s="390"/>
      <c r="AG100" s="391"/>
      <c r="AH100" s="391"/>
      <c r="AI100" s="371">
        <f>I100</f>
        <v>81</v>
      </c>
      <c r="AJ100" s="371"/>
      <c r="AK100" s="371"/>
      <c r="AL100" s="482"/>
      <c r="AM100" s="389">
        <f t="shared" si="15"/>
        <v>81</v>
      </c>
      <c r="AN100" s="392"/>
      <c r="AO100" s="392"/>
      <c r="AP100" s="392"/>
      <c r="AQ100" s="387">
        <f t="shared" si="16"/>
        <v>81</v>
      </c>
      <c r="AR100" s="387"/>
      <c r="AS100" s="296"/>
    </row>
    <row r="101" s="300" customFormat="1" ht="36" customHeight="1" spans="1:46">
      <c r="A101" s="369">
        <v>46140</v>
      </c>
      <c r="B101" s="370" t="s">
        <v>285</v>
      </c>
      <c r="C101" s="370" t="s">
        <v>71</v>
      </c>
      <c r="D101" s="371" t="s">
        <v>526</v>
      </c>
      <c r="E101" s="372" t="s">
        <v>527</v>
      </c>
      <c r="F101" s="373" t="s">
        <v>528</v>
      </c>
      <c r="G101" s="374" t="s">
        <v>169</v>
      </c>
      <c r="H101" s="428" t="s">
        <v>51</v>
      </c>
      <c r="I101" s="376">
        <v>321</v>
      </c>
      <c r="J101" s="377">
        <v>0</v>
      </c>
      <c r="K101" s="377">
        <v>3</v>
      </c>
      <c r="L101" s="378">
        <f t="shared" si="11"/>
        <v>107</v>
      </c>
      <c r="M101" s="379">
        <v>46184</v>
      </c>
      <c r="N101" s="379">
        <v>46192</v>
      </c>
      <c r="O101" s="479"/>
      <c r="P101" s="404" t="s">
        <v>52</v>
      </c>
      <c r="Q101" s="520" t="s">
        <v>529</v>
      </c>
      <c r="R101" s="381" t="s">
        <v>98</v>
      </c>
      <c r="S101" s="380">
        <v>46141</v>
      </c>
      <c r="T101" s="436" t="s">
        <v>66</v>
      </c>
      <c r="U101" s="382" t="s">
        <v>530</v>
      </c>
      <c r="V101" s="382" t="s">
        <v>290</v>
      </c>
      <c r="W101" s="383" t="s">
        <v>531</v>
      </c>
      <c r="X101" s="384" t="s">
        <v>292</v>
      </c>
      <c r="Y101" s="478">
        <v>7.59</v>
      </c>
      <c r="Z101" s="386">
        <f>Y101*L101</f>
        <v>812.13</v>
      </c>
      <c r="AA101" s="371"/>
      <c r="AB101" s="387" t="s">
        <v>169</v>
      </c>
      <c r="AC101" s="388" t="s">
        <v>56</v>
      </c>
      <c r="AD101" s="377"/>
      <c r="AE101" s="389"/>
      <c r="AF101" s="390"/>
      <c r="AG101" s="391"/>
      <c r="AH101" s="391"/>
      <c r="AI101" s="371">
        <f>I101</f>
        <v>321</v>
      </c>
      <c r="AJ101" s="482"/>
      <c r="AK101" s="482"/>
      <c r="AL101" s="296"/>
      <c r="AM101" s="383">
        <f t="shared" si="15"/>
        <v>321</v>
      </c>
      <c r="AN101" s="525"/>
      <c r="AO101" s="392"/>
      <c r="AP101" s="392"/>
      <c r="AQ101" s="387">
        <f t="shared" si="16"/>
        <v>321</v>
      </c>
      <c r="AR101" s="387"/>
      <c r="AS101" s="388"/>
    </row>
    <row r="102" s="295" customFormat="1" ht="36" customHeight="1" spans="1:46">
      <c r="A102" s="369">
        <v>46140</v>
      </c>
      <c r="B102" s="370" t="s">
        <v>285</v>
      </c>
      <c r="C102" s="370" t="s">
        <v>71</v>
      </c>
      <c r="D102" s="371" t="s">
        <v>532</v>
      </c>
      <c r="E102" s="372" t="s">
        <v>533</v>
      </c>
      <c r="F102" s="373" t="s">
        <v>534</v>
      </c>
      <c r="G102" s="374" t="s">
        <v>169</v>
      </c>
      <c r="H102" s="428" t="s">
        <v>51</v>
      </c>
      <c r="I102" s="376">
        <v>486</v>
      </c>
      <c r="J102" s="377">
        <v>0</v>
      </c>
      <c r="K102" s="377">
        <v>3</v>
      </c>
      <c r="L102" s="378">
        <f t="shared" si="11"/>
        <v>162</v>
      </c>
      <c r="M102" s="379">
        <v>46184</v>
      </c>
      <c r="N102" s="432">
        <v>46192</v>
      </c>
      <c r="O102" s="560"/>
      <c r="P102" s="404" t="s">
        <v>52</v>
      </c>
      <c r="Q102" s="520">
        <v>46196</v>
      </c>
      <c r="R102" s="381" t="s">
        <v>98</v>
      </c>
      <c r="S102" s="380">
        <v>46141</v>
      </c>
      <c r="T102" s="436" t="s">
        <v>66</v>
      </c>
      <c r="U102" s="382" t="s">
        <v>530</v>
      </c>
      <c r="V102" s="382" t="s">
        <v>290</v>
      </c>
      <c r="W102" s="383" t="s">
        <v>535</v>
      </c>
      <c r="X102" s="384" t="s">
        <v>292</v>
      </c>
      <c r="Y102" s="478">
        <v>7.59</v>
      </c>
      <c r="Z102" s="386">
        <f>Y102*L102</f>
        <v>1229.58</v>
      </c>
      <c r="AA102" s="371"/>
      <c r="AB102" s="387" t="s">
        <v>169</v>
      </c>
      <c r="AC102" s="388" t="s">
        <v>56</v>
      </c>
      <c r="AD102" s="377"/>
      <c r="AE102" s="389"/>
      <c r="AF102" s="390"/>
      <c r="AG102" s="391"/>
      <c r="AH102" s="391"/>
      <c r="AI102" s="371">
        <f>I102</f>
        <v>486</v>
      </c>
      <c r="AJ102" s="582"/>
      <c r="AK102" s="582"/>
      <c r="AL102" s="296"/>
      <c r="AM102" s="383">
        <f t="shared" si="15"/>
        <v>486</v>
      </c>
      <c r="AN102" s="407"/>
      <c r="AO102" s="416"/>
      <c r="AP102" s="395"/>
      <c r="AQ102" s="387">
        <f t="shared" si="16"/>
        <v>486</v>
      </c>
      <c r="AR102" s="387"/>
      <c r="AS102" s="388"/>
    </row>
    <row r="103" s="295" customFormat="1" ht="36" customHeight="1" spans="1:46">
      <c r="A103" s="369">
        <v>46121</v>
      </c>
      <c r="B103" s="370" t="s">
        <v>70</v>
      </c>
      <c r="C103" s="370" t="s">
        <v>71</v>
      </c>
      <c r="D103" s="371" t="s">
        <v>536</v>
      </c>
      <c r="E103" s="372" t="s">
        <v>537</v>
      </c>
      <c r="F103" s="373" t="s">
        <v>538</v>
      </c>
      <c r="G103" s="374" t="s">
        <v>50</v>
      </c>
      <c r="H103" s="428" t="s">
        <v>51</v>
      </c>
      <c r="I103" s="376">
        <v>273</v>
      </c>
      <c r="J103" s="377">
        <v>0</v>
      </c>
      <c r="K103" s="377">
        <v>3</v>
      </c>
      <c r="L103" s="378">
        <f t="shared" si="11"/>
        <v>91</v>
      </c>
      <c r="M103" s="379">
        <v>46184</v>
      </c>
      <c r="N103" s="432">
        <v>46195</v>
      </c>
      <c r="O103" s="380"/>
      <c r="P103" s="404" t="s">
        <v>52</v>
      </c>
      <c r="Q103" s="520" t="s">
        <v>539</v>
      </c>
      <c r="R103" s="418" t="s">
        <v>65</v>
      </c>
      <c r="S103" s="380">
        <v>46151</v>
      </c>
      <c r="T103" s="436" t="s">
        <v>66</v>
      </c>
      <c r="U103" s="382" t="s">
        <v>540</v>
      </c>
      <c r="V103" s="406"/>
      <c r="W103" s="383" t="s">
        <v>541</v>
      </c>
      <c r="X103" s="384" t="s">
        <v>76</v>
      </c>
      <c r="Y103" s="478">
        <v>5.9655</v>
      </c>
      <c r="Z103" s="386">
        <f>I103*Y103</f>
        <v>1628.5815</v>
      </c>
      <c r="AA103" s="371"/>
      <c r="AB103" s="374" t="s">
        <v>50</v>
      </c>
      <c r="AC103" s="388" t="s">
        <v>56</v>
      </c>
      <c r="AD103" s="377"/>
      <c r="AE103" s="389"/>
      <c r="AF103" s="390"/>
      <c r="AG103" s="391"/>
      <c r="AH103" s="391"/>
      <c r="AI103" s="371">
        <f>I103</f>
        <v>273</v>
      </c>
      <c r="AJ103" s="371"/>
      <c r="AK103" s="371"/>
      <c r="AL103" s="371"/>
      <c r="AM103" s="389">
        <f t="shared" si="15"/>
        <v>273</v>
      </c>
      <c r="AN103" s="371"/>
      <c r="AO103" s="371"/>
      <c r="AP103" s="371"/>
      <c r="AQ103" s="387">
        <f t="shared" si="16"/>
        <v>273</v>
      </c>
      <c r="AR103" s="387"/>
      <c r="AS103" s="583"/>
      <c r="AT103" s="298"/>
    </row>
    <row r="104" s="300" customFormat="1" ht="36" customHeight="1" spans="1:46">
      <c r="A104" s="369">
        <v>46129</v>
      </c>
      <c r="B104" s="370" t="s">
        <v>434</v>
      </c>
      <c r="C104" s="370" t="s">
        <v>542</v>
      </c>
      <c r="D104" s="371" t="s">
        <v>543</v>
      </c>
      <c r="E104" s="372" t="s">
        <v>312</v>
      </c>
      <c r="F104" s="373" t="s">
        <v>544</v>
      </c>
      <c r="G104" s="374" t="s">
        <v>50</v>
      </c>
      <c r="H104" s="428" t="s">
        <v>51</v>
      </c>
      <c r="I104" s="376">
        <v>360</v>
      </c>
      <c r="J104" s="377">
        <v>0</v>
      </c>
      <c r="K104" s="377">
        <v>3</v>
      </c>
      <c r="L104" s="378">
        <f t="shared" si="11"/>
        <v>120</v>
      </c>
      <c r="M104" s="542">
        <v>46185</v>
      </c>
      <c r="N104" s="542">
        <f>M104-4</f>
        <v>46181</v>
      </c>
      <c r="O104" s="380"/>
      <c r="P104" s="380" t="s">
        <v>52</v>
      </c>
      <c r="Q104" s="564" t="s">
        <v>545</v>
      </c>
      <c r="R104" s="418" t="s">
        <v>65</v>
      </c>
      <c r="S104" s="380">
        <v>46132</v>
      </c>
      <c r="T104" s="436" t="s">
        <v>54</v>
      </c>
      <c r="U104" s="382" t="s">
        <v>546</v>
      </c>
      <c r="V104" s="406"/>
      <c r="W104" s="491" t="s">
        <v>547</v>
      </c>
      <c r="X104" s="384" t="s">
        <v>441</v>
      </c>
      <c r="Y104" s="478">
        <v>10.2316</v>
      </c>
      <c r="Z104" s="386">
        <v>3683.376</v>
      </c>
      <c r="AA104" s="371"/>
      <c r="AB104" s="374" t="s">
        <v>50</v>
      </c>
      <c r="AC104" s="388" t="s">
        <v>56</v>
      </c>
      <c r="AD104" s="377"/>
      <c r="AE104" s="389"/>
      <c r="AF104" s="390"/>
      <c r="AG104" s="391"/>
      <c r="AH104" s="391"/>
      <c r="AI104" s="371">
        <v>360</v>
      </c>
      <c r="AJ104" s="371"/>
      <c r="AK104" s="371"/>
      <c r="AL104" s="371"/>
      <c r="AM104" s="544">
        <v>360</v>
      </c>
      <c r="AN104" s="389"/>
      <c r="AO104" s="371"/>
      <c r="AP104" s="371"/>
      <c r="AQ104" s="387">
        <v>360</v>
      </c>
      <c r="AR104" s="387"/>
      <c r="AS104" s="296"/>
      <c r="AT104" s="298"/>
    </row>
    <row r="105" s="295" customFormat="1" ht="36" customHeight="1" spans="1:46">
      <c r="A105" s="369">
        <v>46129</v>
      </c>
      <c r="B105" s="370" t="s">
        <v>548</v>
      </c>
      <c r="C105" s="370" t="s">
        <v>549</v>
      </c>
      <c r="D105" s="371" t="s">
        <v>550</v>
      </c>
      <c r="E105" s="372" t="s">
        <v>312</v>
      </c>
      <c r="F105" s="373" t="s">
        <v>551</v>
      </c>
      <c r="G105" s="374" t="s">
        <v>50</v>
      </c>
      <c r="H105" s="428" t="s">
        <v>51</v>
      </c>
      <c r="I105" s="376">
        <v>1200</v>
      </c>
      <c r="J105" s="377">
        <v>0</v>
      </c>
      <c r="K105" s="377">
        <v>3</v>
      </c>
      <c r="L105" s="378">
        <f t="shared" si="11"/>
        <v>400</v>
      </c>
      <c r="M105" s="542">
        <v>46185</v>
      </c>
      <c r="N105" s="542">
        <f>M105-4</f>
        <v>46181</v>
      </c>
      <c r="O105" s="380"/>
      <c r="P105" s="380" t="s">
        <v>52</v>
      </c>
      <c r="Q105" s="520">
        <v>46209</v>
      </c>
      <c r="R105" s="380" t="s">
        <v>65</v>
      </c>
      <c r="S105" s="380">
        <v>46132</v>
      </c>
      <c r="T105" s="382" t="s">
        <v>54</v>
      </c>
      <c r="U105" s="382" t="s">
        <v>552</v>
      </c>
      <c r="V105" s="382" t="s">
        <v>553</v>
      </c>
      <c r="W105" s="491" t="s">
        <v>554</v>
      </c>
      <c r="X105" s="384" t="s">
        <v>441</v>
      </c>
      <c r="Y105" s="478">
        <v>10.215</v>
      </c>
      <c r="Z105" s="386">
        <v>12258</v>
      </c>
      <c r="AA105" s="371"/>
      <c r="AB105" s="374" t="s">
        <v>50</v>
      </c>
      <c r="AC105" s="388" t="s">
        <v>56</v>
      </c>
      <c r="AD105" s="377"/>
      <c r="AE105" s="389"/>
      <c r="AF105" s="390"/>
      <c r="AG105" s="391"/>
      <c r="AH105" s="391"/>
      <c r="AI105" s="371">
        <v>1200</v>
      </c>
      <c r="AJ105" s="371"/>
      <c r="AK105" s="371"/>
      <c r="AL105" s="371"/>
      <c r="AM105" s="544">
        <v>1200</v>
      </c>
      <c r="AN105" s="489"/>
      <c r="AO105" s="392"/>
      <c r="AP105" s="392"/>
      <c r="AQ105" s="387">
        <v>1200</v>
      </c>
      <c r="AR105" s="387"/>
      <c r="AS105" s="296"/>
      <c r="AT105" s="300"/>
    </row>
    <row r="106" s="296" customFormat="1" ht="36" customHeight="1" spans="1:46">
      <c r="A106" s="369">
        <v>46140</v>
      </c>
      <c r="B106" s="584" t="s">
        <v>555</v>
      </c>
      <c r="C106" s="370" t="s">
        <v>556</v>
      </c>
      <c r="D106" s="371" t="s">
        <v>557</v>
      </c>
      <c r="E106" s="573" t="s">
        <v>558</v>
      </c>
      <c r="F106" s="373" t="s">
        <v>559</v>
      </c>
      <c r="G106" s="374" t="s">
        <v>50</v>
      </c>
      <c r="H106" s="428" t="s">
        <v>51</v>
      </c>
      <c r="I106" s="376">
        <v>1200</v>
      </c>
      <c r="J106" s="377">
        <v>0</v>
      </c>
      <c r="K106" s="377">
        <v>3</v>
      </c>
      <c r="L106" s="378">
        <f t="shared" si="11"/>
        <v>400</v>
      </c>
      <c r="M106" s="379">
        <v>46188</v>
      </c>
      <c r="N106" s="379">
        <v>46185</v>
      </c>
      <c r="O106" s="380"/>
      <c r="P106" s="380" t="s">
        <v>52</v>
      </c>
      <c r="Q106" s="520">
        <v>46218</v>
      </c>
      <c r="R106" s="494" t="s">
        <v>65</v>
      </c>
      <c r="S106" s="380">
        <v>46156</v>
      </c>
      <c r="T106" s="382" t="s">
        <v>54</v>
      </c>
      <c r="U106" s="585" t="s">
        <v>560</v>
      </c>
      <c r="V106" s="382"/>
      <c r="W106" s="491" t="s">
        <v>561</v>
      </c>
      <c r="X106" s="384" t="s">
        <v>441</v>
      </c>
      <c r="Y106" s="478">
        <v>10.215</v>
      </c>
      <c r="Z106" s="386">
        <f t="shared" ref="Z106:Z113" si="17">I106*Y106</f>
        <v>12258</v>
      </c>
      <c r="AA106" s="371"/>
      <c r="AB106" s="374" t="s">
        <v>50</v>
      </c>
      <c r="AC106" s="388" t="s">
        <v>56</v>
      </c>
      <c r="AD106" s="377"/>
      <c r="AE106" s="389"/>
      <c r="AF106" s="390"/>
      <c r="AG106" s="391"/>
      <c r="AH106" s="391"/>
      <c r="AI106" s="371">
        <f>I106</f>
        <v>1200</v>
      </c>
      <c r="AJ106" s="371"/>
      <c r="AK106" s="424"/>
      <c r="AL106" s="424"/>
      <c r="AM106" s="389">
        <f t="shared" ref="AM106:AM113" si="18">I106</f>
        <v>1200</v>
      </c>
      <c r="AN106" s="392"/>
      <c r="AO106" s="392"/>
      <c r="AP106" s="392"/>
      <c r="AQ106" s="387">
        <f t="shared" ref="AQ106:AQ113" si="19">I106</f>
        <v>1200</v>
      </c>
      <c r="AR106" s="387"/>
    </row>
    <row r="107" s="298" customFormat="1" ht="36" customHeight="1" spans="1:46">
      <c r="A107" s="369">
        <v>46148</v>
      </c>
      <c r="B107" s="370" t="s">
        <v>562</v>
      </c>
      <c r="C107" s="370" t="s">
        <v>563</v>
      </c>
      <c r="D107" s="371" t="s">
        <v>564</v>
      </c>
      <c r="E107" s="372" t="s">
        <v>312</v>
      </c>
      <c r="F107" s="373" t="s">
        <v>565</v>
      </c>
      <c r="G107" s="374" t="s">
        <v>50</v>
      </c>
      <c r="H107" s="428" t="s">
        <v>51</v>
      </c>
      <c r="I107" s="376">
        <v>600</v>
      </c>
      <c r="J107" s="377">
        <v>0</v>
      </c>
      <c r="K107" s="377">
        <v>3</v>
      </c>
      <c r="L107" s="431">
        <f t="shared" si="11"/>
        <v>200</v>
      </c>
      <c r="M107" s="379">
        <v>46188</v>
      </c>
      <c r="N107" s="379">
        <v>46196</v>
      </c>
      <c r="O107" s="380"/>
      <c r="P107" s="380" t="s">
        <v>52</v>
      </c>
      <c r="Q107" s="520">
        <v>46198</v>
      </c>
      <c r="R107" s="418" t="s">
        <v>65</v>
      </c>
      <c r="S107" s="558">
        <v>46154</v>
      </c>
      <c r="T107" s="382" t="s">
        <v>54</v>
      </c>
      <c r="U107" s="382" t="s">
        <v>566</v>
      </c>
      <c r="V107" s="382"/>
      <c r="W107" s="383" t="s">
        <v>567</v>
      </c>
      <c r="X107" s="384" t="s">
        <v>240</v>
      </c>
      <c r="Y107" s="478">
        <v>10.2316</v>
      </c>
      <c r="Z107" s="386">
        <f t="shared" si="17"/>
        <v>6138.96</v>
      </c>
      <c r="AA107" s="371"/>
      <c r="AB107" s="374" t="s">
        <v>84</v>
      </c>
      <c r="AC107" s="388" t="s">
        <v>56</v>
      </c>
      <c r="AD107" s="377"/>
      <c r="AE107" s="389"/>
      <c r="AF107" s="390"/>
      <c r="AG107" s="391"/>
      <c r="AH107" s="391"/>
      <c r="AI107" s="371"/>
      <c r="AJ107" s="371"/>
      <c r="AK107" s="371"/>
      <c r="AL107" s="371">
        <f>I107</f>
        <v>600</v>
      </c>
      <c r="AM107" s="389">
        <f t="shared" si="18"/>
        <v>600</v>
      </c>
      <c r="AN107" s="392"/>
      <c r="AO107" s="392"/>
      <c r="AP107" s="392"/>
      <c r="AQ107" s="387">
        <f t="shared" si="19"/>
        <v>600</v>
      </c>
      <c r="AR107" s="387"/>
      <c r="AS107" s="296"/>
      <c r="AT107" s="295"/>
    </row>
    <row r="108" s="295" customFormat="1" ht="36" customHeight="1" spans="1:46">
      <c r="A108" s="369">
        <v>46151</v>
      </c>
      <c r="B108" s="370" t="s">
        <v>568</v>
      </c>
      <c r="C108" s="370" t="s">
        <v>569</v>
      </c>
      <c r="D108" s="371" t="s">
        <v>570</v>
      </c>
      <c r="E108" s="372" t="s">
        <v>312</v>
      </c>
      <c r="F108" s="373" t="s">
        <v>571</v>
      </c>
      <c r="G108" s="374" t="s">
        <v>50</v>
      </c>
      <c r="H108" s="428" t="s">
        <v>51</v>
      </c>
      <c r="I108" s="376">
        <v>774</v>
      </c>
      <c r="J108" s="377">
        <v>0</v>
      </c>
      <c r="K108" s="377">
        <v>3</v>
      </c>
      <c r="L108" s="378">
        <f t="shared" si="11"/>
        <v>258</v>
      </c>
      <c r="M108" s="379">
        <v>46188</v>
      </c>
      <c r="N108" s="379">
        <v>46196</v>
      </c>
      <c r="O108" s="380"/>
      <c r="P108" s="380" t="s">
        <v>52</v>
      </c>
      <c r="Q108" s="520">
        <v>46198</v>
      </c>
      <c r="R108" s="418" t="s">
        <v>65</v>
      </c>
      <c r="S108" s="380">
        <v>46157</v>
      </c>
      <c r="T108" s="382" t="s">
        <v>54</v>
      </c>
      <c r="U108" s="382" t="s">
        <v>572</v>
      </c>
      <c r="V108" s="529"/>
      <c r="W108" s="383" t="s">
        <v>573</v>
      </c>
      <c r="X108" s="384" t="s">
        <v>574</v>
      </c>
      <c r="Y108" s="478">
        <v>10.2316</v>
      </c>
      <c r="Z108" s="386">
        <f t="shared" si="17"/>
        <v>7919.2584</v>
      </c>
      <c r="AA108" s="371"/>
      <c r="AB108" s="374" t="s">
        <v>50</v>
      </c>
      <c r="AC108" s="388" t="s">
        <v>56</v>
      </c>
      <c r="AD108" s="377"/>
      <c r="AE108" s="389"/>
      <c r="AF108" s="390"/>
      <c r="AG108" s="391"/>
      <c r="AH108" s="391"/>
      <c r="AI108" s="371">
        <f>I108</f>
        <v>774</v>
      </c>
      <c r="AJ108" s="371"/>
      <c r="AK108" s="424"/>
      <c r="AL108" s="539"/>
      <c r="AM108" s="389">
        <f t="shared" si="18"/>
        <v>774</v>
      </c>
      <c r="AN108" s="392"/>
      <c r="AO108" s="392"/>
      <c r="AP108" s="392"/>
      <c r="AQ108" s="387">
        <f t="shared" si="19"/>
        <v>774</v>
      </c>
      <c r="AR108" s="387"/>
      <c r="AS108" s="296"/>
    </row>
    <row r="109" s="295" customFormat="1" ht="36" customHeight="1" spans="1:46">
      <c r="A109" s="369">
        <v>46142</v>
      </c>
      <c r="B109" s="370" t="s">
        <v>575</v>
      </c>
      <c r="C109" s="370" t="s">
        <v>371</v>
      </c>
      <c r="D109" s="371" t="s">
        <v>576</v>
      </c>
      <c r="E109" s="372" t="s">
        <v>312</v>
      </c>
      <c r="F109" s="373" t="s">
        <v>577</v>
      </c>
      <c r="G109" s="374" t="s">
        <v>50</v>
      </c>
      <c r="H109" s="428" t="s">
        <v>51</v>
      </c>
      <c r="I109" s="376">
        <v>108</v>
      </c>
      <c r="J109" s="377">
        <v>0</v>
      </c>
      <c r="K109" s="377">
        <v>3</v>
      </c>
      <c r="L109" s="378">
        <f t="shared" si="11"/>
        <v>36</v>
      </c>
      <c r="M109" s="379">
        <v>46189</v>
      </c>
      <c r="N109" s="379">
        <v>46188</v>
      </c>
      <c r="O109" s="380"/>
      <c r="P109" s="380" t="s">
        <v>52</v>
      </c>
      <c r="Q109" s="520">
        <v>46190</v>
      </c>
      <c r="R109" s="418" t="s">
        <v>65</v>
      </c>
      <c r="S109" s="380">
        <v>46157</v>
      </c>
      <c r="T109" s="436" t="s">
        <v>54</v>
      </c>
      <c r="U109" s="382" t="s">
        <v>578</v>
      </c>
      <c r="V109" s="382"/>
      <c r="W109" s="383" t="s">
        <v>579</v>
      </c>
      <c r="X109" s="384" t="s">
        <v>580</v>
      </c>
      <c r="Y109" s="478">
        <v>10.2316</v>
      </c>
      <c r="Z109" s="386">
        <f t="shared" si="17"/>
        <v>1105.0128</v>
      </c>
      <c r="AA109" s="371"/>
      <c r="AB109" s="374" t="s">
        <v>84</v>
      </c>
      <c r="AC109" s="388" t="s">
        <v>56</v>
      </c>
      <c r="AD109" s="377"/>
      <c r="AE109" s="389"/>
      <c r="AF109" s="390"/>
      <c r="AG109" s="391"/>
      <c r="AH109" s="391"/>
      <c r="AI109" s="371"/>
      <c r="AJ109" s="371"/>
      <c r="AK109" s="371"/>
      <c r="AL109" s="371">
        <f>I109</f>
        <v>108</v>
      </c>
      <c r="AM109" s="389">
        <f t="shared" si="18"/>
        <v>108</v>
      </c>
      <c r="AN109" s="392"/>
      <c r="AO109" s="392"/>
      <c r="AP109" s="392"/>
      <c r="AQ109" s="387">
        <f t="shared" si="19"/>
        <v>108</v>
      </c>
      <c r="AR109" s="387"/>
      <c r="AS109" s="296"/>
    </row>
    <row r="110" s="295" customFormat="1" ht="36" customHeight="1" spans="1:46">
      <c r="A110" s="369">
        <v>46151</v>
      </c>
      <c r="B110" s="370" t="s">
        <v>195</v>
      </c>
      <c r="C110" s="370" t="s">
        <v>71</v>
      </c>
      <c r="D110" s="371" t="s">
        <v>581</v>
      </c>
      <c r="E110" s="372" t="s">
        <v>582</v>
      </c>
      <c r="F110" s="373" t="s">
        <v>583</v>
      </c>
      <c r="G110" s="374" t="s">
        <v>125</v>
      </c>
      <c r="H110" s="428" t="s">
        <v>51</v>
      </c>
      <c r="I110" s="376">
        <v>500</v>
      </c>
      <c r="J110" s="377">
        <v>0</v>
      </c>
      <c r="K110" s="377">
        <v>2</v>
      </c>
      <c r="L110" s="378">
        <f t="shared" si="11"/>
        <v>250</v>
      </c>
      <c r="M110" s="379">
        <v>46190</v>
      </c>
      <c r="N110" s="379">
        <v>46196</v>
      </c>
      <c r="O110" s="479" t="s">
        <v>584</v>
      </c>
      <c r="P110" s="479" t="s">
        <v>52</v>
      </c>
      <c r="Q110" s="520">
        <v>46216</v>
      </c>
      <c r="R110" s="381"/>
      <c r="S110" s="568" t="s">
        <v>456</v>
      </c>
      <c r="T110" s="436" t="s">
        <v>54</v>
      </c>
      <c r="U110" s="382" t="s">
        <v>585</v>
      </c>
      <c r="V110" s="382"/>
      <c r="W110" s="383" t="s">
        <v>586</v>
      </c>
      <c r="X110" s="384" t="s">
        <v>200</v>
      </c>
      <c r="Y110" s="478">
        <v>6.5485</v>
      </c>
      <c r="Z110" s="386">
        <f t="shared" si="17"/>
        <v>3274.25</v>
      </c>
      <c r="AA110" s="371"/>
      <c r="AB110" s="374" t="s">
        <v>125</v>
      </c>
      <c r="AC110" s="388" t="s">
        <v>56</v>
      </c>
      <c r="AD110" s="377"/>
      <c r="AE110" s="389"/>
      <c r="AF110" s="390"/>
      <c r="AG110" s="391"/>
      <c r="AH110" s="391"/>
      <c r="AI110" s="371">
        <f>I110</f>
        <v>500</v>
      </c>
      <c r="AJ110" s="371"/>
      <c r="AK110" s="371"/>
      <c r="AL110" s="371"/>
      <c r="AM110" s="554">
        <f t="shared" si="18"/>
        <v>500</v>
      </c>
      <c r="AN110" s="392"/>
      <c r="AO110" s="392"/>
      <c r="AP110" s="392"/>
      <c r="AQ110" s="388">
        <f t="shared" si="19"/>
        <v>500</v>
      </c>
      <c r="AR110" s="387"/>
      <c r="AS110" s="296"/>
      <c r="AT110" s="300"/>
    </row>
    <row r="111" s="295" customFormat="1" ht="36" customHeight="1" spans="1:46">
      <c r="A111" s="369">
        <v>46151</v>
      </c>
      <c r="B111" s="370" t="s">
        <v>195</v>
      </c>
      <c r="C111" s="370" t="s">
        <v>71</v>
      </c>
      <c r="D111" s="371" t="s">
        <v>581</v>
      </c>
      <c r="E111" s="372" t="s">
        <v>587</v>
      </c>
      <c r="F111" s="373" t="s">
        <v>588</v>
      </c>
      <c r="G111" s="374" t="s">
        <v>125</v>
      </c>
      <c r="H111" s="428" t="s">
        <v>51</v>
      </c>
      <c r="I111" s="376">
        <v>500</v>
      </c>
      <c r="J111" s="377">
        <v>0</v>
      </c>
      <c r="K111" s="377">
        <v>2</v>
      </c>
      <c r="L111" s="378">
        <f t="shared" si="11"/>
        <v>250</v>
      </c>
      <c r="M111" s="379">
        <v>46190</v>
      </c>
      <c r="N111" s="379">
        <v>46196</v>
      </c>
      <c r="O111" s="479" t="s">
        <v>584</v>
      </c>
      <c r="P111" s="380" t="s">
        <v>52</v>
      </c>
      <c r="Q111" s="509">
        <v>46205</v>
      </c>
      <c r="R111" s="381"/>
      <c r="S111" s="568" t="s">
        <v>456</v>
      </c>
      <c r="T111" s="436" t="s">
        <v>54</v>
      </c>
      <c r="U111" s="382" t="s">
        <v>585</v>
      </c>
      <c r="V111" s="382"/>
      <c r="W111" s="383" t="s">
        <v>586</v>
      </c>
      <c r="X111" s="384" t="s">
        <v>200</v>
      </c>
      <c r="Y111" s="478">
        <v>6.3555</v>
      </c>
      <c r="Z111" s="386">
        <f t="shared" si="17"/>
        <v>3177.75</v>
      </c>
      <c r="AA111" s="371"/>
      <c r="AB111" s="374" t="s">
        <v>125</v>
      </c>
      <c r="AC111" s="388" t="s">
        <v>56</v>
      </c>
      <c r="AD111" s="377"/>
      <c r="AE111" s="389"/>
      <c r="AF111" s="390"/>
      <c r="AG111" s="391"/>
      <c r="AH111" s="391"/>
      <c r="AI111" s="371">
        <f>I111</f>
        <v>500</v>
      </c>
      <c r="AJ111" s="371"/>
      <c r="AK111" s="371"/>
      <c r="AL111" s="371"/>
      <c r="AM111" s="554">
        <f t="shared" si="18"/>
        <v>500</v>
      </c>
      <c r="AN111" s="371"/>
      <c r="AO111" s="371"/>
      <c r="AP111" s="371"/>
      <c r="AQ111" s="388">
        <f t="shared" si="19"/>
        <v>500</v>
      </c>
      <c r="AR111" s="387"/>
      <c r="AS111" s="296"/>
    </row>
    <row r="112" s="300" customFormat="1" ht="36" customHeight="1" spans="1:46">
      <c r="A112" s="369">
        <v>46151</v>
      </c>
      <c r="B112" s="370" t="s">
        <v>195</v>
      </c>
      <c r="C112" s="370" t="s">
        <v>71</v>
      </c>
      <c r="D112" s="371" t="s">
        <v>581</v>
      </c>
      <c r="E112" s="372" t="s">
        <v>589</v>
      </c>
      <c r="F112" s="373" t="s">
        <v>590</v>
      </c>
      <c r="G112" s="374" t="s">
        <v>125</v>
      </c>
      <c r="H112" s="428" t="s">
        <v>51</v>
      </c>
      <c r="I112" s="376">
        <v>500</v>
      </c>
      <c r="J112" s="377">
        <v>0</v>
      </c>
      <c r="K112" s="377">
        <v>2</v>
      </c>
      <c r="L112" s="378">
        <f t="shared" si="11"/>
        <v>250</v>
      </c>
      <c r="M112" s="379">
        <v>46190</v>
      </c>
      <c r="N112" s="379">
        <v>46199</v>
      </c>
      <c r="O112" s="479">
        <v>46202</v>
      </c>
      <c r="P112" s="380" t="s">
        <v>52</v>
      </c>
      <c r="Q112" s="490" t="s">
        <v>591</v>
      </c>
      <c r="R112" s="381"/>
      <c r="S112" s="568" t="s">
        <v>456</v>
      </c>
      <c r="T112" s="382" t="s">
        <v>54</v>
      </c>
      <c r="U112" s="436" t="s">
        <v>585</v>
      </c>
      <c r="V112" s="529"/>
      <c r="W112" s="383" t="s">
        <v>586</v>
      </c>
      <c r="X112" s="384" t="s">
        <v>200</v>
      </c>
      <c r="Y112" s="478">
        <v>6.5485</v>
      </c>
      <c r="Z112" s="386">
        <f t="shared" si="17"/>
        <v>3274.25</v>
      </c>
      <c r="AA112" s="371"/>
      <c r="AB112" s="374" t="s">
        <v>125</v>
      </c>
      <c r="AC112" s="388" t="s">
        <v>56</v>
      </c>
      <c r="AD112" s="377"/>
      <c r="AE112" s="389"/>
      <c r="AF112" s="390"/>
      <c r="AG112" s="391"/>
      <c r="AH112" s="391"/>
      <c r="AI112" s="371">
        <f>I112</f>
        <v>500</v>
      </c>
      <c r="AJ112" s="371"/>
      <c r="AK112" s="424"/>
      <c r="AL112" s="424"/>
      <c r="AM112" s="554">
        <f t="shared" si="18"/>
        <v>500</v>
      </c>
      <c r="AN112" s="392"/>
      <c r="AO112" s="392"/>
      <c r="AP112" s="392"/>
      <c r="AQ112" s="388">
        <f t="shared" si="19"/>
        <v>500</v>
      </c>
      <c r="AR112" s="387"/>
      <c r="AS112" s="296"/>
      <c r="AT112" s="295"/>
    </row>
    <row r="113" s="295" customFormat="1" ht="36" customHeight="1" spans="1:46">
      <c r="A113" s="369">
        <v>46151</v>
      </c>
      <c r="B113" s="370" t="s">
        <v>195</v>
      </c>
      <c r="C113" s="370" t="s">
        <v>71</v>
      </c>
      <c r="D113" s="371" t="s">
        <v>581</v>
      </c>
      <c r="E113" s="372" t="s">
        <v>592</v>
      </c>
      <c r="F113" s="373" t="s">
        <v>593</v>
      </c>
      <c r="G113" s="374" t="s">
        <v>125</v>
      </c>
      <c r="H113" s="428" t="s">
        <v>51</v>
      </c>
      <c r="I113" s="376">
        <v>500</v>
      </c>
      <c r="J113" s="377">
        <v>0</v>
      </c>
      <c r="K113" s="377">
        <v>2</v>
      </c>
      <c r="L113" s="378">
        <f t="shared" si="11"/>
        <v>250</v>
      </c>
      <c r="M113" s="379">
        <v>46190</v>
      </c>
      <c r="N113" s="379">
        <v>46199</v>
      </c>
      <c r="O113" s="479">
        <v>46202</v>
      </c>
      <c r="P113" s="380" t="s">
        <v>52</v>
      </c>
      <c r="Q113" s="520">
        <v>46206</v>
      </c>
      <c r="R113" s="381"/>
      <c r="S113" s="568" t="s">
        <v>456</v>
      </c>
      <c r="T113" s="382" t="s">
        <v>54</v>
      </c>
      <c r="U113" s="436" t="s">
        <v>585</v>
      </c>
      <c r="V113" s="529"/>
      <c r="W113" s="383" t="s">
        <v>586</v>
      </c>
      <c r="X113" s="384" t="s">
        <v>200</v>
      </c>
      <c r="Y113" s="478">
        <v>6.5485</v>
      </c>
      <c r="Z113" s="386">
        <f t="shared" si="17"/>
        <v>3274.25</v>
      </c>
      <c r="AA113" s="371"/>
      <c r="AB113" s="374" t="s">
        <v>125</v>
      </c>
      <c r="AC113" s="388" t="s">
        <v>56</v>
      </c>
      <c r="AD113" s="377"/>
      <c r="AE113" s="389"/>
      <c r="AF113" s="390"/>
      <c r="AG113" s="391"/>
      <c r="AH113" s="391"/>
      <c r="AI113" s="371">
        <f>I113</f>
        <v>500</v>
      </c>
      <c r="AJ113" s="371"/>
      <c r="AK113" s="424"/>
      <c r="AL113" s="424"/>
      <c r="AM113" s="554">
        <f t="shared" si="18"/>
        <v>500</v>
      </c>
      <c r="AN113" s="392"/>
      <c r="AO113" s="392"/>
      <c r="AP113" s="392"/>
      <c r="AQ113" s="388">
        <f t="shared" si="19"/>
        <v>500</v>
      </c>
      <c r="AR113" s="387"/>
      <c r="AS113" s="296"/>
      <c r="AT113" s="300"/>
    </row>
    <row r="114" s="295" customFormat="1" ht="36" customHeight="1" spans="1:46">
      <c r="A114" s="369">
        <v>46114</v>
      </c>
      <c r="B114" s="370" t="s">
        <v>594</v>
      </c>
      <c r="C114" s="370" t="s">
        <v>71</v>
      </c>
      <c r="D114" s="371">
        <v>4500199798</v>
      </c>
      <c r="E114" s="372" t="s">
        <v>595</v>
      </c>
      <c r="F114" s="373" t="s">
        <v>596</v>
      </c>
      <c r="G114" s="374" t="s">
        <v>597</v>
      </c>
      <c r="H114" s="428" t="s">
        <v>51</v>
      </c>
      <c r="I114" s="376">
        <v>1944</v>
      </c>
      <c r="J114" s="377">
        <v>0</v>
      </c>
      <c r="K114" s="377">
        <v>54</v>
      </c>
      <c r="L114" s="378">
        <f t="shared" si="11"/>
        <v>36</v>
      </c>
      <c r="M114" s="379">
        <v>46191</v>
      </c>
      <c r="N114" s="379">
        <v>46202</v>
      </c>
      <c r="O114" s="586" t="s">
        <v>598</v>
      </c>
      <c r="P114" s="380" t="s">
        <v>52</v>
      </c>
      <c r="Q114" s="509">
        <v>46207</v>
      </c>
      <c r="R114" s="494" t="s">
        <v>65</v>
      </c>
      <c r="S114" s="380">
        <v>46132</v>
      </c>
      <c r="T114" s="436" t="s">
        <v>54</v>
      </c>
      <c r="U114" s="382" t="s">
        <v>54</v>
      </c>
      <c r="V114" s="406" t="s">
        <v>599</v>
      </c>
      <c r="W114" s="491" t="s">
        <v>600</v>
      </c>
      <c r="X114" s="384" t="s">
        <v>601</v>
      </c>
      <c r="Y114" s="478">
        <v>499.9139</v>
      </c>
      <c r="Z114" s="386">
        <f>Y114*L114</f>
        <v>17996.9004</v>
      </c>
      <c r="AA114" s="371"/>
      <c r="AB114" s="387" t="s">
        <v>602</v>
      </c>
      <c r="AC114" s="388" t="s">
        <v>56</v>
      </c>
      <c r="AD114" s="377"/>
      <c r="AE114" s="389"/>
      <c r="AF114" s="390"/>
      <c r="AG114" s="391"/>
      <c r="AH114" s="391"/>
      <c r="AI114" s="371"/>
      <c r="AJ114" s="482">
        <f>I114</f>
        <v>1944</v>
      </c>
      <c r="AK114" s="482"/>
      <c r="AL114" s="296"/>
      <c r="AM114" s="296"/>
      <c r="AN114" s="383">
        <f>I114</f>
        <v>1944</v>
      </c>
      <c r="AO114" s="371"/>
      <c r="AP114" s="387">
        <f>I114</f>
        <v>1944</v>
      </c>
      <c r="AQ114" s="296"/>
      <c r="AR114" s="296"/>
      <c r="AS114" s="587">
        <f>I114/3</f>
        <v>648</v>
      </c>
    </row>
    <row r="115" s="295" customFormat="1" ht="36" customHeight="1" spans="1:46">
      <c r="A115" s="369">
        <v>46121</v>
      </c>
      <c r="B115" s="370" t="s">
        <v>70</v>
      </c>
      <c r="C115" s="370" t="s">
        <v>71</v>
      </c>
      <c r="D115" s="371" t="s">
        <v>603</v>
      </c>
      <c r="E115" s="372" t="s">
        <v>604</v>
      </c>
      <c r="F115" s="373" t="s">
        <v>605</v>
      </c>
      <c r="G115" s="374" t="s">
        <v>50</v>
      </c>
      <c r="H115" s="428" t="s">
        <v>51</v>
      </c>
      <c r="I115" s="376">
        <v>387</v>
      </c>
      <c r="J115" s="377">
        <v>0</v>
      </c>
      <c r="K115" s="377">
        <v>3</v>
      </c>
      <c r="L115" s="378">
        <f t="shared" si="11"/>
        <v>129</v>
      </c>
      <c r="M115" s="379">
        <v>46191</v>
      </c>
      <c r="N115" s="379">
        <v>46204</v>
      </c>
      <c r="O115" s="380"/>
      <c r="P115" s="380" t="s">
        <v>52</v>
      </c>
      <c r="Q115" s="520">
        <v>46205</v>
      </c>
      <c r="R115" s="418" t="s">
        <v>65</v>
      </c>
      <c r="S115" s="380">
        <v>46157</v>
      </c>
      <c r="T115" s="382" t="s">
        <v>66</v>
      </c>
      <c r="U115" s="559" t="s">
        <v>606</v>
      </c>
      <c r="V115" s="529"/>
      <c r="W115" s="383" t="s">
        <v>541</v>
      </c>
      <c r="X115" s="384" t="s">
        <v>76</v>
      </c>
      <c r="Y115" s="478">
        <v>5.9655</v>
      </c>
      <c r="Z115" s="386">
        <f>I115*Y115</f>
        <v>2308.6485</v>
      </c>
      <c r="AA115" s="371"/>
      <c r="AB115" s="374" t="s">
        <v>50</v>
      </c>
      <c r="AC115" s="388" t="s">
        <v>56</v>
      </c>
      <c r="AD115" s="377"/>
      <c r="AE115" s="389"/>
      <c r="AF115" s="390"/>
      <c r="AG115" s="391"/>
      <c r="AH115" s="391"/>
      <c r="AI115" s="371">
        <f>I115</f>
        <v>387</v>
      </c>
      <c r="AJ115" s="371"/>
      <c r="AK115" s="424"/>
      <c r="AL115" s="539"/>
      <c r="AM115" s="296">
        <f>I115</f>
        <v>387</v>
      </c>
      <c r="AN115" s="392"/>
      <c r="AO115" s="392"/>
      <c r="AP115" s="499"/>
      <c r="AQ115" s="296">
        <f>I115</f>
        <v>387</v>
      </c>
      <c r="AR115" s="296"/>
      <c r="AS115" s="296"/>
    </row>
    <row r="116" s="295" customFormat="1" ht="36" customHeight="1" spans="1:46">
      <c r="A116" s="369">
        <v>46114</v>
      </c>
      <c r="B116" s="370" t="s">
        <v>594</v>
      </c>
      <c r="C116" s="370" t="s">
        <v>71</v>
      </c>
      <c r="D116" s="371" t="s">
        <v>607</v>
      </c>
      <c r="E116" s="383">
        <v>1750601599</v>
      </c>
      <c r="F116" s="373" t="s">
        <v>608</v>
      </c>
      <c r="G116" s="374" t="s">
        <v>597</v>
      </c>
      <c r="H116" s="428" t="s">
        <v>51</v>
      </c>
      <c r="I116" s="376">
        <v>1944</v>
      </c>
      <c r="J116" s="377">
        <v>0</v>
      </c>
      <c r="K116" s="377">
        <v>54</v>
      </c>
      <c r="L116" s="378">
        <f t="shared" si="11"/>
        <v>36</v>
      </c>
      <c r="M116" s="379">
        <v>46191</v>
      </c>
      <c r="N116" s="379">
        <v>46205</v>
      </c>
      <c r="O116" s="479"/>
      <c r="P116" s="380" t="s">
        <v>52</v>
      </c>
      <c r="Q116" s="509">
        <v>46207</v>
      </c>
      <c r="R116" s="494" t="s">
        <v>65</v>
      </c>
      <c r="S116" s="380">
        <v>46132</v>
      </c>
      <c r="T116" s="467" t="s">
        <v>54</v>
      </c>
      <c r="U116" s="406" t="s">
        <v>54</v>
      </c>
      <c r="V116" s="406" t="s">
        <v>599</v>
      </c>
      <c r="W116" s="491" t="s">
        <v>609</v>
      </c>
      <c r="X116" s="384" t="s">
        <v>601</v>
      </c>
      <c r="Y116" s="478">
        <v>499.9139</v>
      </c>
      <c r="Z116" s="386">
        <f>Y116*L116</f>
        <v>17996.9004</v>
      </c>
      <c r="AA116" s="371"/>
      <c r="AB116" s="387" t="s">
        <v>602</v>
      </c>
      <c r="AC116" s="388" t="s">
        <v>56</v>
      </c>
      <c r="AD116" s="377"/>
      <c r="AE116" s="389"/>
      <c r="AF116" s="390"/>
      <c r="AG116" s="391"/>
      <c r="AH116" s="391"/>
      <c r="AI116" s="371"/>
      <c r="AJ116" s="482">
        <f>I116</f>
        <v>1944</v>
      </c>
      <c r="AK116" s="482"/>
      <c r="AL116" s="296"/>
      <c r="AM116" s="296"/>
      <c r="AN116" s="383">
        <f>I116</f>
        <v>1944</v>
      </c>
      <c r="AO116" s="371"/>
      <c r="AP116" s="387">
        <f>I116</f>
        <v>1944</v>
      </c>
      <c r="AQ116" s="296"/>
      <c r="AR116" s="296"/>
      <c r="AS116" s="587">
        <f>I116/3</f>
        <v>648</v>
      </c>
      <c r="AT116" s="300"/>
    </row>
    <row r="117" s="295" customFormat="1" ht="36" customHeight="1" spans="1:46">
      <c r="A117" s="369">
        <v>46107</v>
      </c>
      <c r="B117" s="370" t="s">
        <v>610</v>
      </c>
      <c r="C117" s="370" t="s">
        <v>396</v>
      </c>
      <c r="D117" s="371">
        <v>4500198844</v>
      </c>
      <c r="E117" s="383">
        <v>7950320021</v>
      </c>
      <c r="F117" s="373" t="str">
        <f>D117&amp;-10</f>
        <v>4500198844-10</v>
      </c>
      <c r="G117" s="374" t="s">
        <v>602</v>
      </c>
      <c r="H117" s="428" t="s">
        <v>51</v>
      </c>
      <c r="I117" s="376">
        <v>1944</v>
      </c>
      <c r="J117" s="377">
        <v>0</v>
      </c>
      <c r="K117" s="377">
        <v>54</v>
      </c>
      <c r="L117" s="378">
        <f t="shared" si="11"/>
        <v>36</v>
      </c>
      <c r="M117" s="379">
        <v>46191</v>
      </c>
      <c r="N117" s="379">
        <v>46206</v>
      </c>
      <c r="O117" s="586" t="s">
        <v>611</v>
      </c>
      <c r="P117" s="380" t="s">
        <v>52</v>
      </c>
      <c r="Q117" s="520">
        <v>46212</v>
      </c>
      <c r="R117" s="418" t="s">
        <v>65</v>
      </c>
      <c r="S117" s="380">
        <v>46155</v>
      </c>
      <c r="T117" s="382" t="s">
        <v>54</v>
      </c>
      <c r="U117" s="588" t="s">
        <v>612</v>
      </c>
      <c r="V117" s="589" t="s">
        <v>613</v>
      </c>
      <c r="W117" s="491" t="s">
        <v>614</v>
      </c>
      <c r="X117" s="384" t="s">
        <v>615</v>
      </c>
      <c r="Y117" s="590">
        <v>793.6019</v>
      </c>
      <c r="Z117" s="386">
        <f>Y117*L117</f>
        <v>28569.6684</v>
      </c>
      <c r="AA117" s="371"/>
      <c r="AB117" s="591" t="s">
        <v>616</v>
      </c>
      <c r="AC117" s="388" t="s">
        <v>56</v>
      </c>
      <c r="AD117" s="377"/>
      <c r="AE117" s="389"/>
      <c r="AF117" s="390"/>
      <c r="AG117" s="391"/>
      <c r="AH117" s="391"/>
      <c r="AI117" s="296"/>
      <c r="AJ117" s="482">
        <f>I117</f>
        <v>1944</v>
      </c>
      <c r="AK117" s="592"/>
      <c r="AL117" s="539"/>
      <c r="AM117" s="388">
        <f>I117</f>
        <v>1944</v>
      </c>
      <c r="AN117" s="525"/>
      <c r="AO117" s="392"/>
      <c r="AP117" s="593">
        <f>I117</f>
        <v>1944</v>
      </c>
      <c r="AQ117" s="296"/>
      <c r="AR117" s="296"/>
      <c r="AS117" s="587">
        <f>I117/3</f>
        <v>648</v>
      </c>
      <c r="AT117" s="298"/>
    </row>
    <row r="118" s="300" customFormat="1" ht="36" customHeight="1" spans="1:46">
      <c r="A118" s="369">
        <v>46107</v>
      </c>
      <c r="B118" s="370" t="s">
        <v>610</v>
      </c>
      <c r="C118" s="370" t="s">
        <v>396</v>
      </c>
      <c r="D118" s="371">
        <v>4500198845</v>
      </c>
      <c r="E118" s="383">
        <v>7950320023</v>
      </c>
      <c r="F118" s="373" t="str">
        <f>D118&amp;-10</f>
        <v>4500198845-10</v>
      </c>
      <c r="G118" s="374" t="s">
        <v>602</v>
      </c>
      <c r="H118" s="428" t="s">
        <v>51</v>
      </c>
      <c r="I118" s="376">
        <v>1944</v>
      </c>
      <c r="J118" s="377">
        <v>0</v>
      </c>
      <c r="K118" s="377">
        <v>54</v>
      </c>
      <c r="L118" s="378">
        <f t="shared" si="11"/>
        <v>36</v>
      </c>
      <c r="M118" s="379">
        <v>46191</v>
      </c>
      <c r="N118" s="542">
        <v>46212</v>
      </c>
      <c r="O118" s="479"/>
      <c r="P118" s="380" t="s">
        <v>52</v>
      </c>
      <c r="Q118" s="520">
        <v>46212</v>
      </c>
      <c r="R118" s="418" t="s">
        <v>65</v>
      </c>
      <c r="S118" s="380">
        <v>46155</v>
      </c>
      <c r="T118" s="382" t="s">
        <v>54</v>
      </c>
      <c r="U118" s="588" t="s">
        <v>612</v>
      </c>
      <c r="V118" s="589" t="s">
        <v>613</v>
      </c>
      <c r="W118" s="491" t="s">
        <v>614</v>
      </c>
      <c r="X118" s="384" t="s">
        <v>615</v>
      </c>
      <c r="Y118" s="590">
        <v>793.6019</v>
      </c>
      <c r="Z118" s="386">
        <f>Y118*L118</f>
        <v>28569.6684</v>
      </c>
      <c r="AA118" s="371"/>
      <c r="AB118" s="591" t="s">
        <v>616</v>
      </c>
      <c r="AC118" s="388" t="s">
        <v>56</v>
      </c>
      <c r="AD118" s="377"/>
      <c r="AE118" s="389"/>
      <c r="AF118" s="390"/>
      <c r="AG118" s="391"/>
      <c r="AH118" s="391"/>
      <c r="AI118" s="371"/>
      <c r="AJ118" s="482">
        <f>I118</f>
        <v>1944</v>
      </c>
      <c r="AK118" s="592"/>
      <c r="AL118" s="594"/>
      <c r="AM118" s="388">
        <f>I118</f>
        <v>1944</v>
      </c>
      <c r="AN118" s="525"/>
      <c r="AO118" s="392"/>
      <c r="AP118" s="593">
        <f>I118</f>
        <v>1944</v>
      </c>
      <c r="AQ118" s="583"/>
      <c r="AR118" s="583"/>
      <c r="AS118" s="587">
        <f>I118/3</f>
        <v>648</v>
      </c>
      <c r="AT118" s="298"/>
    </row>
    <row r="119" s="295" customFormat="1" ht="36" customHeight="1" spans="1:46">
      <c r="A119" s="369">
        <v>46132</v>
      </c>
      <c r="B119" s="370" t="s">
        <v>395</v>
      </c>
      <c r="C119" s="370" t="s">
        <v>396</v>
      </c>
      <c r="D119" s="371" t="s">
        <v>617</v>
      </c>
      <c r="E119" s="372" t="s">
        <v>312</v>
      </c>
      <c r="F119" s="373" t="s">
        <v>618</v>
      </c>
      <c r="G119" s="374" t="s">
        <v>50</v>
      </c>
      <c r="H119" s="428" t="s">
        <v>51</v>
      </c>
      <c r="I119" s="376">
        <v>3000</v>
      </c>
      <c r="J119" s="377">
        <v>0</v>
      </c>
      <c r="K119" s="377">
        <v>3</v>
      </c>
      <c r="L119" s="378">
        <f t="shared" si="11"/>
        <v>1000</v>
      </c>
      <c r="M119" s="379">
        <v>46191</v>
      </c>
      <c r="N119" s="379">
        <v>46234</v>
      </c>
      <c r="O119" s="557" t="s">
        <v>399</v>
      </c>
      <c r="P119" s="380" t="s">
        <v>52</v>
      </c>
      <c r="Q119" s="520">
        <v>46236</v>
      </c>
      <c r="R119" s="418" t="s">
        <v>65</v>
      </c>
      <c r="S119" s="380">
        <v>46162</v>
      </c>
      <c r="T119" s="382" t="s">
        <v>54</v>
      </c>
      <c r="U119" s="559" t="s">
        <v>400</v>
      </c>
      <c r="V119" s="589" t="s">
        <v>619</v>
      </c>
      <c r="W119" s="491" t="s">
        <v>620</v>
      </c>
      <c r="X119" s="384" t="s">
        <v>240</v>
      </c>
      <c r="Y119" s="478">
        <v>10.1862</v>
      </c>
      <c r="Z119" s="386">
        <v>30558.6</v>
      </c>
      <c r="AA119" s="371"/>
      <c r="AB119" s="374" t="s">
        <v>84</v>
      </c>
      <c r="AC119" s="388" t="s">
        <v>56</v>
      </c>
      <c r="AD119" s="377"/>
      <c r="AE119" s="389"/>
      <c r="AF119" s="390"/>
      <c r="AG119" s="391"/>
      <c r="AH119" s="391"/>
      <c r="AI119" s="371"/>
      <c r="AJ119" s="371"/>
      <c r="AK119" s="424"/>
      <c r="AL119" s="539">
        <v>3000</v>
      </c>
      <c r="AM119" s="296">
        <v>3000</v>
      </c>
      <c r="AN119" s="489"/>
      <c r="AO119" s="392"/>
      <c r="AP119" s="593"/>
      <c r="AQ119" s="296">
        <v>3000</v>
      </c>
      <c r="AR119" s="296"/>
      <c r="AS119" s="296"/>
      <c r="AT119" s="298"/>
    </row>
    <row r="120" s="295" customFormat="1" ht="36" customHeight="1" spans="1:46">
      <c r="A120" s="369">
        <v>46121</v>
      </c>
      <c r="B120" s="370" t="s">
        <v>309</v>
      </c>
      <c r="C120" s="370" t="s">
        <v>310</v>
      </c>
      <c r="D120" s="371" t="s">
        <v>621</v>
      </c>
      <c r="E120" s="372" t="s">
        <v>312</v>
      </c>
      <c r="F120" s="373" t="s">
        <v>622</v>
      </c>
      <c r="G120" s="374" t="s">
        <v>50</v>
      </c>
      <c r="H120" s="428" t="s">
        <v>51</v>
      </c>
      <c r="I120" s="376">
        <v>321</v>
      </c>
      <c r="J120" s="377">
        <v>0</v>
      </c>
      <c r="K120" s="377">
        <v>3</v>
      </c>
      <c r="L120" s="378">
        <f t="shared" si="11"/>
        <v>107</v>
      </c>
      <c r="M120" s="379">
        <v>46195</v>
      </c>
      <c r="N120" s="379">
        <f>M120-4</f>
        <v>46191</v>
      </c>
      <c r="O120" s="380"/>
      <c r="P120" s="479" t="s">
        <v>52</v>
      </c>
      <c r="Q120" s="520">
        <v>46223</v>
      </c>
      <c r="R120" s="494" t="s">
        <v>65</v>
      </c>
      <c r="S120" s="380">
        <v>46154</v>
      </c>
      <c r="T120" s="436" t="s">
        <v>54</v>
      </c>
      <c r="U120" s="382" t="s">
        <v>623</v>
      </c>
      <c r="V120" s="382"/>
      <c r="W120" s="491" t="s">
        <v>624</v>
      </c>
      <c r="X120" s="384" t="s">
        <v>240</v>
      </c>
      <c r="Y120" s="478">
        <v>10.2316</v>
      </c>
      <c r="Z120" s="386">
        <f>I120*Y120</f>
        <v>3284.3436</v>
      </c>
      <c r="AA120" s="371"/>
      <c r="AB120" s="374" t="s">
        <v>84</v>
      </c>
      <c r="AC120" s="388" t="s">
        <v>56</v>
      </c>
      <c r="AD120" s="377"/>
      <c r="AE120" s="389"/>
      <c r="AF120" s="390"/>
      <c r="AG120" s="391"/>
      <c r="AH120" s="391"/>
      <c r="AI120" s="371"/>
      <c r="AJ120" s="583"/>
      <c r="AK120" s="583"/>
      <c r="AL120" s="371">
        <f>I120</f>
        <v>321</v>
      </c>
      <c r="AM120" s="389">
        <f>I120</f>
        <v>321</v>
      </c>
      <c r="AN120" s="371"/>
      <c r="AO120" s="371"/>
      <c r="AP120" s="296"/>
      <c r="AQ120" s="387">
        <f>I120</f>
        <v>321</v>
      </c>
      <c r="AR120" s="387"/>
      <c r="AS120" s="296"/>
    </row>
    <row r="121" s="295" customFormat="1" ht="36" customHeight="1" spans="1:46">
      <c r="A121" s="369">
        <v>46115</v>
      </c>
      <c r="B121" s="370" t="s">
        <v>625</v>
      </c>
      <c r="C121" s="370" t="s">
        <v>626</v>
      </c>
      <c r="D121" s="371" t="s">
        <v>627</v>
      </c>
      <c r="E121" s="372" t="s">
        <v>312</v>
      </c>
      <c r="F121" s="373" t="s">
        <v>628</v>
      </c>
      <c r="G121" s="374" t="s">
        <v>50</v>
      </c>
      <c r="H121" s="428" t="s">
        <v>51</v>
      </c>
      <c r="I121" s="376">
        <v>90</v>
      </c>
      <c r="J121" s="377">
        <v>0</v>
      </c>
      <c r="K121" s="377">
        <v>3</v>
      </c>
      <c r="L121" s="378">
        <f t="shared" si="11"/>
        <v>30</v>
      </c>
      <c r="M121" s="379">
        <v>46195</v>
      </c>
      <c r="N121" s="379">
        <v>46197</v>
      </c>
      <c r="O121" s="380"/>
      <c r="P121" s="380" t="s">
        <v>52</v>
      </c>
      <c r="Q121" s="520">
        <v>46199</v>
      </c>
      <c r="R121" s="418" t="s">
        <v>65</v>
      </c>
      <c r="S121" s="380">
        <v>46162</v>
      </c>
      <c r="T121" s="382" t="s">
        <v>54</v>
      </c>
      <c r="U121" s="382" t="s">
        <v>629</v>
      </c>
      <c r="V121" s="382"/>
      <c r="W121" s="383" t="s">
        <v>630</v>
      </c>
      <c r="X121" s="384" t="s">
        <v>240</v>
      </c>
      <c r="Y121" s="478">
        <v>10.2316</v>
      </c>
      <c r="Z121" s="386">
        <f>I121*Y121</f>
        <v>920.844</v>
      </c>
      <c r="AA121" s="371"/>
      <c r="AB121" s="374" t="s">
        <v>84</v>
      </c>
      <c r="AC121" s="388" t="s">
        <v>56</v>
      </c>
      <c r="AD121" s="377"/>
      <c r="AE121" s="389"/>
      <c r="AF121" s="390"/>
      <c r="AG121" s="391"/>
      <c r="AH121" s="391"/>
      <c r="AI121" s="371"/>
      <c r="AJ121" s="296"/>
      <c r="AK121" s="296"/>
      <c r="AL121" s="371">
        <f>I121</f>
        <v>90</v>
      </c>
      <c r="AM121" s="580">
        <f>I121</f>
        <v>90</v>
      </c>
      <c r="AN121" s="392"/>
      <c r="AO121" s="392"/>
      <c r="AP121" s="499"/>
      <c r="AQ121" s="547">
        <f>I121</f>
        <v>90</v>
      </c>
      <c r="AR121" s="547"/>
      <c r="AS121" s="296"/>
    </row>
    <row r="122" s="300" customFormat="1" ht="36" customHeight="1" spans="1:46">
      <c r="A122" s="369">
        <v>46134</v>
      </c>
      <c r="B122" s="370" t="s">
        <v>631</v>
      </c>
      <c r="C122" s="370" t="s">
        <v>257</v>
      </c>
      <c r="D122" s="371" t="s">
        <v>632</v>
      </c>
      <c r="E122" s="372" t="s">
        <v>633</v>
      </c>
      <c r="F122" s="373" t="s">
        <v>634</v>
      </c>
      <c r="G122" s="374" t="s">
        <v>50</v>
      </c>
      <c r="H122" s="428" t="s">
        <v>51</v>
      </c>
      <c r="I122" s="376">
        <v>72</v>
      </c>
      <c r="J122" s="377">
        <v>0</v>
      </c>
      <c r="K122" s="377">
        <v>3</v>
      </c>
      <c r="L122" s="378">
        <f t="shared" si="11"/>
        <v>24</v>
      </c>
      <c r="M122" s="542">
        <v>46195</v>
      </c>
      <c r="N122" s="542">
        <v>46199</v>
      </c>
      <c r="O122" s="595">
        <v>46203</v>
      </c>
      <c r="P122" s="380" t="s">
        <v>52</v>
      </c>
      <c r="Q122" s="381"/>
      <c r="R122" s="380" t="s">
        <v>65</v>
      </c>
      <c r="S122" s="380">
        <v>46154</v>
      </c>
      <c r="T122" s="382" t="s">
        <v>54</v>
      </c>
      <c r="U122" s="382" t="s">
        <v>635</v>
      </c>
      <c r="V122" s="559" t="s">
        <v>636</v>
      </c>
      <c r="W122" s="491" t="s">
        <v>637</v>
      </c>
      <c r="X122" s="384" t="s">
        <v>358</v>
      </c>
      <c r="Y122" s="478">
        <v>9.9425</v>
      </c>
      <c r="Z122" s="386">
        <v>238.62</v>
      </c>
      <c r="AA122" s="371"/>
      <c r="AB122" s="387" t="s">
        <v>84</v>
      </c>
      <c r="AC122" s="388" t="s">
        <v>56</v>
      </c>
      <c r="AD122" s="377"/>
      <c r="AE122" s="389"/>
      <c r="AF122" s="390"/>
      <c r="AG122" s="391"/>
      <c r="AH122" s="391"/>
      <c r="AI122" s="371"/>
      <c r="AJ122" s="371"/>
      <c r="AK122" s="371"/>
      <c r="AL122" s="371">
        <v>72</v>
      </c>
      <c r="AM122" s="544"/>
      <c r="AN122" s="489"/>
      <c r="AO122" s="392" t="s">
        <v>101</v>
      </c>
      <c r="AP122" s="392"/>
      <c r="AQ122" s="387">
        <f>I122</f>
        <v>72</v>
      </c>
      <c r="AR122" s="387"/>
      <c r="AS122" s="296"/>
      <c r="AT122" s="295"/>
    </row>
    <row r="123" s="295" customFormat="1" ht="36" customHeight="1" spans="1:46">
      <c r="A123" s="369">
        <v>46134</v>
      </c>
      <c r="B123" s="370" t="s">
        <v>631</v>
      </c>
      <c r="C123" s="370" t="s">
        <v>257</v>
      </c>
      <c r="D123" s="371" t="s">
        <v>638</v>
      </c>
      <c r="E123" s="372" t="s">
        <v>639</v>
      </c>
      <c r="F123" s="373" t="s">
        <v>640</v>
      </c>
      <c r="G123" s="374" t="s">
        <v>50</v>
      </c>
      <c r="H123" s="428" t="s">
        <v>51</v>
      </c>
      <c r="I123" s="376">
        <v>177</v>
      </c>
      <c r="J123" s="377">
        <v>0</v>
      </c>
      <c r="K123" s="377">
        <v>3</v>
      </c>
      <c r="L123" s="378">
        <f t="shared" si="11"/>
        <v>59</v>
      </c>
      <c r="M123" s="542">
        <v>46195</v>
      </c>
      <c r="N123" s="542">
        <v>46199</v>
      </c>
      <c r="O123" s="595">
        <v>46203</v>
      </c>
      <c r="P123" s="380" t="s">
        <v>52</v>
      </c>
      <c r="Q123" s="596">
        <v>46245</v>
      </c>
      <c r="R123" s="380" t="s">
        <v>65</v>
      </c>
      <c r="S123" s="380">
        <v>46153</v>
      </c>
      <c r="T123" s="382" t="s">
        <v>54</v>
      </c>
      <c r="U123" s="382" t="s">
        <v>641</v>
      </c>
      <c r="V123" s="559" t="s">
        <v>636</v>
      </c>
      <c r="W123" s="491" t="s">
        <v>642</v>
      </c>
      <c r="X123" s="384" t="s">
        <v>358</v>
      </c>
      <c r="Y123" s="478">
        <v>10.2316</v>
      </c>
      <c r="Z123" s="386">
        <v>1810.9932</v>
      </c>
      <c r="AA123" s="371"/>
      <c r="AB123" s="387" t="s">
        <v>84</v>
      </c>
      <c r="AC123" s="388" t="s">
        <v>56</v>
      </c>
      <c r="AD123" s="377"/>
      <c r="AE123" s="389"/>
      <c r="AF123" s="390"/>
      <c r="AG123" s="391"/>
      <c r="AH123" s="391"/>
      <c r="AI123" s="371"/>
      <c r="AJ123" s="371"/>
      <c r="AK123" s="371"/>
      <c r="AL123" s="371">
        <v>177</v>
      </c>
      <c r="AM123" s="544"/>
      <c r="AN123" s="489"/>
      <c r="AO123" s="392" t="s">
        <v>101</v>
      </c>
      <c r="AP123" s="392"/>
      <c r="AQ123" s="387">
        <v>177</v>
      </c>
      <c r="AR123" s="387"/>
      <c r="AS123" s="296"/>
    </row>
    <row r="124" s="295" customFormat="1" ht="36" customHeight="1" spans="1:46">
      <c r="A124" s="369">
        <v>46153</v>
      </c>
      <c r="B124" s="370" t="s">
        <v>643</v>
      </c>
      <c r="C124" s="370" t="s">
        <v>71</v>
      </c>
      <c r="D124" s="371" t="s">
        <v>644</v>
      </c>
      <c r="E124" s="372" t="s">
        <v>645</v>
      </c>
      <c r="F124" s="373" t="s">
        <v>646</v>
      </c>
      <c r="G124" s="374" t="s">
        <v>50</v>
      </c>
      <c r="H124" s="428" t="s">
        <v>51</v>
      </c>
      <c r="I124" s="376">
        <v>51</v>
      </c>
      <c r="J124" s="377">
        <v>0</v>
      </c>
      <c r="K124" s="377">
        <v>3</v>
      </c>
      <c r="L124" s="378">
        <f t="shared" si="11"/>
        <v>17</v>
      </c>
      <c r="M124" s="379">
        <v>46195</v>
      </c>
      <c r="N124" s="379">
        <v>46200</v>
      </c>
      <c r="O124" s="380"/>
      <c r="P124" s="380" t="s">
        <v>52</v>
      </c>
      <c r="Q124" s="520">
        <v>46203</v>
      </c>
      <c r="R124" s="494" t="s">
        <v>65</v>
      </c>
      <c r="S124" s="380">
        <v>46161</v>
      </c>
      <c r="T124" s="436" t="s">
        <v>66</v>
      </c>
      <c r="U124" s="559" t="s">
        <v>647</v>
      </c>
      <c r="V124" s="406"/>
      <c r="W124" s="383" t="s">
        <v>648</v>
      </c>
      <c r="X124" s="384" t="s">
        <v>525</v>
      </c>
      <c r="Y124" s="478">
        <v>5.9655</v>
      </c>
      <c r="Z124" s="386">
        <f>I124*Y124</f>
        <v>304.2405</v>
      </c>
      <c r="AA124" s="371"/>
      <c r="AB124" s="374" t="s">
        <v>50</v>
      </c>
      <c r="AC124" s="388" t="s">
        <v>56</v>
      </c>
      <c r="AD124" s="377"/>
      <c r="AE124" s="389"/>
      <c r="AF124" s="390"/>
      <c r="AG124" s="391"/>
      <c r="AH124" s="391"/>
      <c r="AI124" s="371">
        <f>I124</f>
        <v>51</v>
      </c>
      <c r="AJ124" s="371"/>
      <c r="AK124" s="371"/>
      <c r="AL124" s="296"/>
      <c r="AM124" s="371">
        <f>I124</f>
        <v>51</v>
      </c>
      <c r="AN124" s="371"/>
      <c r="AO124" s="371"/>
      <c r="AP124" s="371"/>
      <c r="AQ124" s="388">
        <f>I124</f>
        <v>51</v>
      </c>
      <c r="AR124" s="388"/>
      <c r="AS124" s="296"/>
    </row>
    <row r="125" s="295" customFormat="1" ht="36" customHeight="1" spans="1:46">
      <c r="A125" s="369">
        <v>46153</v>
      </c>
      <c r="B125" s="370" t="s">
        <v>643</v>
      </c>
      <c r="C125" s="370" t="s">
        <v>71</v>
      </c>
      <c r="D125" s="371" t="s">
        <v>644</v>
      </c>
      <c r="E125" s="372" t="s">
        <v>649</v>
      </c>
      <c r="F125" s="373" t="s">
        <v>650</v>
      </c>
      <c r="G125" s="374" t="s">
        <v>50</v>
      </c>
      <c r="H125" s="428" t="s">
        <v>51</v>
      </c>
      <c r="I125" s="376">
        <v>33</v>
      </c>
      <c r="J125" s="377">
        <v>0</v>
      </c>
      <c r="K125" s="377">
        <v>3</v>
      </c>
      <c r="L125" s="378">
        <f t="shared" si="11"/>
        <v>11</v>
      </c>
      <c r="M125" s="379">
        <v>46195</v>
      </c>
      <c r="N125" s="379">
        <v>46200</v>
      </c>
      <c r="O125" s="380"/>
      <c r="P125" s="380" t="s">
        <v>52</v>
      </c>
      <c r="Q125" s="520">
        <v>46203</v>
      </c>
      <c r="R125" s="418" t="s">
        <v>65</v>
      </c>
      <c r="S125" s="380">
        <v>46161</v>
      </c>
      <c r="T125" s="436" t="s">
        <v>54</v>
      </c>
      <c r="U125" s="382" t="s">
        <v>54</v>
      </c>
      <c r="V125" s="382"/>
      <c r="W125" s="383" t="s">
        <v>648</v>
      </c>
      <c r="X125" s="384" t="s">
        <v>525</v>
      </c>
      <c r="Y125" s="478">
        <v>5.9655</v>
      </c>
      <c r="Z125" s="386">
        <f>I125*Y125</f>
        <v>196.8615</v>
      </c>
      <c r="AA125" s="371"/>
      <c r="AB125" s="374" t="s">
        <v>50</v>
      </c>
      <c r="AC125" s="388" t="s">
        <v>56</v>
      </c>
      <c r="AD125" s="377"/>
      <c r="AE125" s="389"/>
      <c r="AF125" s="390"/>
      <c r="AG125" s="391"/>
      <c r="AH125" s="391"/>
      <c r="AI125" s="371">
        <f>I125</f>
        <v>33</v>
      </c>
      <c r="AJ125" s="371"/>
      <c r="AK125" s="371"/>
      <c r="AL125" s="296"/>
      <c r="AM125" s="371">
        <f>I125</f>
        <v>33</v>
      </c>
      <c r="AN125" s="392"/>
      <c r="AO125" s="392"/>
      <c r="AP125" s="392"/>
      <c r="AQ125" s="388">
        <f>I125</f>
        <v>33</v>
      </c>
      <c r="AR125" s="388"/>
      <c r="AS125" s="296"/>
    </row>
    <row r="126" s="295" customFormat="1" ht="36" customHeight="1" spans="1:46">
      <c r="A126" s="369">
        <v>46153</v>
      </c>
      <c r="B126" s="370" t="s">
        <v>643</v>
      </c>
      <c r="C126" s="370" t="s">
        <v>71</v>
      </c>
      <c r="D126" s="371" t="s">
        <v>644</v>
      </c>
      <c r="E126" s="372" t="s">
        <v>651</v>
      </c>
      <c r="F126" s="373" t="s">
        <v>652</v>
      </c>
      <c r="G126" s="374" t="s">
        <v>50</v>
      </c>
      <c r="H126" s="428" t="s">
        <v>51</v>
      </c>
      <c r="I126" s="376">
        <v>75</v>
      </c>
      <c r="J126" s="377">
        <v>0</v>
      </c>
      <c r="K126" s="377">
        <v>3</v>
      </c>
      <c r="L126" s="378">
        <f t="shared" si="11"/>
        <v>25</v>
      </c>
      <c r="M126" s="379">
        <v>46195</v>
      </c>
      <c r="N126" s="379">
        <v>46200</v>
      </c>
      <c r="O126" s="380"/>
      <c r="P126" s="380" t="s">
        <v>52</v>
      </c>
      <c r="Q126" s="520">
        <v>46203</v>
      </c>
      <c r="R126" s="494" t="s">
        <v>65</v>
      </c>
      <c r="S126" s="380">
        <v>46161</v>
      </c>
      <c r="T126" s="382" t="s">
        <v>66</v>
      </c>
      <c r="U126" s="559" t="s">
        <v>647</v>
      </c>
      <c r="V126" s="382"/>
      <c r="W126" s="383" t="s">
        <v>648</v>
      </c>
      <c r="X126" s="384" t="s">
        <v>525</v>
      </c>
      <c r="Y126" s="478">
        <v>5.9655</v>
      </c>
      <c r="Z126" s="386">
        <f>I126*Y126</f>
        <v>447.4125</v>
      </c>
      <c r="AA126" s="371"/>
      <c r="AB126" s="374" t="s">
        <v>50</v>
      </c>
      <c r="AC126" s="388" t="s">
        <v>56</v>
      </c>
      <c r="AD126" s="377"/>
      <c r="AE126" s="389"/>
      <c r="AF126" s="390"/>
      <c r="AG126" s="391"/>
      <c r="AH126" s="391"/>
      <c r="AI126" s="371">
        <f>I126</f>
        <v>75</v>
      </c>
      <c r="AJ126" s="371"/>
      <c r="AK126" s="371"/>
      <c r="AL126" s="296"/>
      <c r="AM126" s="371">
        <f>I126</f>
        <v>75</v>
      </c>
      <c r="AN126" s="371"/>
      <c r="AO126" s="371"/>
      <c r="AP126" s="371"/>
      <c r="AQ126" s="388">
        <f>I126</f>
        <v>75</v>
      </c>
      <c r="AR126" s="388"/>
      <c r="AS126" s="296"/>
    </row>
    <row r="127" s="295" customFormat="1" ht="36" customHeight="1" spans="1:46">
      <c r="A127" s="369">
        <v>46153</v>
      </c>
      <c r="B127" s="370" t="s">
        <v>643</v>
      </c>
      <c r="C127" s="370" t="s">
        <v>71</v>
      </c>
      <c r="D127" s="371" t="s">
        <v>644</v>
      </c>
      <c r="E127" s="372" t="s">
        <v>653</v>
      </c>
      <c r="F127" s="373" t="s">
        <v>654</v>
      </c>
      <c r="G127" s="374" t="s">
        <v>50</v>
      </c>
      <c r="H127" s="375" t="s">
        <v>51</v>
      </c>
      <c r="I127" s="376">
        <v>60</v>
      </c>
      <c r="J127" s="377">
        <v>0</v>
      </c>
      <c r="K127" s="377">
        <v>3</v>
      </c>
      <c r="L127" s="378">
        <f t="shared" si="11"/>
        <v>20</v>
      </c>
      <c r="M127" s="379">
        <v>46195</v>
      </c>
      <c r="N127" s="379">
        <v>46200</v>
      </c>
      <c r="O127" s="380"/>
      <c r="P127" s="380" t="s">
        <v>52</v>
      </c>
      <c r="Q127" s="520">
        <v>46203</v>
      </c>
      <c r="R127" s="418" t="s">
        <v>65</v>
      </c>
      <c r="S127" s="380">
        <v>46161</v>
      </c>
      <c r="T127" s="382" t="s">
        <v>66</v>
      </c>
      <c r="U127" s="559" t="s">
        <v>647</v>
      </c>
      <c r="V127" s="382"/>
      <c r="W127" s="383" t="s">
        <v>648</v>
      </c>
      <c r="X127" s="384" t="s">
        <v>525</v>
      </c>
      <c r="Y127" s="478">
        <v>5.9655</v>
      </c>
      <c r="Z127" s="386">
        <f>I127*Y127</f>
        <v>357.93</v>
      </c>
      <c r="AA127" s="371"/>
      <c r="AB127" s="374" t="s">
        <v>50</v>
      </c>
      <c r="AC127" s="388" t="s">
        <v>56</v>
      </c>
      <c r="AD127" s="377"/>
      <c r="AE127" s="389"/>
      <c r="AF127" s="390"/>
      <c r="AG127" s="391"/>
      <c r="AH127" s="391"/>
      <c r="AI127" s="371">
        <f>I127</f>
        <v>60</v>
      </c>
      <c r="AJ127" s="371"/>
      <c r="AK127" s="371"/>
      <c r="AL127" s="296"/>
      <c r="AM127" s="371">
        <f>I127</f>
        <v>60</v>
      </c>
      <c r="AN127" s="392"/>
      <c r="AO127" s="392"/>
      <c r="AP127" s="392"/>
      <c r="AQ127" s="388">
        <f>I127</f>
        <v>60</v>
      </c>
      <c r="AR127" s="388"/>
      <c r="AS127" s="296"/>
    </row>
    <row r="128" s="295" customFormat="1" ht="36" customHeight="1" spans="1:46">
      <c r="A128" s="369">
        <v>46153</v>
      </c>
      <c r="B128" s="370" t="s">
        <v>643</v>
      </c>
      <c r="C128" s="370" t="s">
        <v>71</v>
      </c>
      <c r="D128" s="371">
        <v>4500206179</v>
      </c>
      <c r="E128" s="372" t="s">
        <v>655</v>
      </c>
      <c r="F128" s="373" t="s">
        <v>656</v>
      </c>
      <c r="G128" s="374" t="s">
        <v>50</v>
      </c>
      <c r="H128" s="428" t="s">
        <v>51</v>
      </c>
      <c r="I128" s="376">
        <v>51</v>
      </c>
      <c r="J128" s="377">
        <v>0</v>
      </c>
      <c r="K128" s="377">
        <v>3</v>
      </c>
      <c r="L128" s="431">
        <f t="shared" si="11"/>
        <v>17</v>
      </c>
      <c r="M128" s="379">
        <v>46195</v>
      </c>
      <c r="N128" s="379">
        <v>46200</v>
      </c>
      <c r="O128" s="380"/>
      <c r="P128" s="380" t="s">
        <v>52</v>
      </c>
      <c r="Q128" s="520">
        <v>46203</v>
      </c>
      <c r="R128" s="418" t="s">
        <v>65</v>
      </c>
      <c r="S128" s="380">
        <v>46161</v>
      </c>
      <c r="T128" s="436" t="s">
        <v>54</v>
      </c>
      <c r="U128" s="382" t="s">
        <v>54</v>
      </c>
      <c r="V128" s="382"/>
      <c r="W128" s="383" t="s">
        <v>648</v>
      </c>
      <c r="X128" s="384" t="s">
        <v>525</v>
      </c>
      <c r="Y128" s="478">
        <v>5.9655</v>
      </c>
      <c r="Z128" s="386">
        <f>I128*Y128</f>
        <v>304.2405</v>
      </c>
      <c r="AA128" s="371"/>
      <c r="AB128" s="374" t="s">
        <v>50</v>
      </c>
      <c r="AC128" s="388" t="s">
        <v>56</v>
      </c>
      <c r="AD128" s="377"/>
      <c r="AE128" s="389"/>
      <c r="AF128" s="390"/>
      <c r="AG128" s="391"/>
      <c r="AH128" s="391"/>
      <c r="AI128" s="371">
        <f>I128</f>
        <v>51</v>
      </c>
      <c r="AJ128" s="371"/>
      <c r="AK128" s="371"/>
      <c r="AL128" s="296"/>
      <c r="AM128" s="371">
        <f>I128</f>
        <v>51</v>
      </c>
      <c r="AN128" s="392"/>
      <c r="AO128" s="392"/>
      <c r="AP128" s="392"/>
      <c r="AQ128" s="388">
        <f>I128</f>
        <v>51</v>
      </c>
      <c r="AR128" s="388"/>
      <c r="AS128" s="296"/>
    </row>
    <row r="129" s="295" customFormat="1" ht="36" customHeight="1" spans="1:46">
      <c r="A129" s="369">
        <v>46114</v>
      </c>
      <c r="B129" s="370" t="s">
        <v>594</v>
      </c>
      <c r="C129" s="370" t="s">
        <v>71</v>
      </c>
      <c r="D129" s="371" t="s">
        <v>657</v>
      </c>
      <c r="E129" s="372" t="s">
        <v>658</v>
      </c>
      <c r="F129" s="373" t="s">
        <v>659</v>
      </c>
      <c r="G129" s="374" t="s">
        <v>597</v>
      </c>
      <c r="H129" s="428" t="s">
        <v>51</v>
      </c>
      <c r="I129" s="376">
        <v>1944</v>
      </c>
      <c r="J129" s="377">
        <v>0</v>
      </c>
      <c r="K129" s="377">
        <v>54</v>
      </c>
      <c r="L129" s="378">
        <f t="shared" si="11"/>
        <v>36</v>
      </c>
      <c r="M129" s="379">
        <v>46195</v>
      </c>
      <c r="N129" s="379">
        <v>46202</v>
      </c>
      <c r="O129" s="479"/>
      <c r="P129" s="380" t="s">
        <v>52</v>
      </c>
      <c r="Q129" s="520">
        <v>46204</v>
      </c>
      <c r="R129" s="418" t="s">
        <v>65</v>
      </c>
      <c r="S129" s="380">
        <v>46132</v>
      </c>
      <c r="T129" s="436" t="s">
        <v>54</v>
      </c>
      <c r="U129" s="382" t="s">
        <v>54</v>
      </c>
      <c r="V129" s="382" t="s">
        <v>599</v>
      </c>
      <c r="W129" s="491" t="s">
        <v>660</v>
      </c>
      <c r="X129" s="384" t="s">
        <v>601</v>
      </c>
      <c r="Y129" s="478">
        <v>499.9139</v>
      </c>
      <c r="Z129" s="386">
        <f>Y129*L129</f>
        <v>17996.9004</v>
      </c>
      <c r="AA129" s="371"/>
      <c r="AB129" s="387" t="s">
        <v>602</v>
      </c>
      <c r="AC129" s="388" t="s">
        <v>56</v>
      </c>
      <c r="AD129" s="377"/>
      <c r="AE129" s="389"/>
      <c r="AF129" s="390"/>
      <c r="AG129" s="391"/>
      <c r="AH129" s="391"/>
      <c r="AI129" s="371"/>
      <c r="AJ129" s="482">
        <f>I129</f>
        <v>1944</v>
      </c>
      <c r="AK129" s="482"/>
      <c r="AL129" s="296"/>
      <c r="AM129" s="296"/>
      <c r="AN129" s="525">
        <f>I129</f>
        <v>1944</v>
      </c>
      <c r="AO129" s="392"/>
      <c r="AP129" s="593">
        <f>I129</f>
        <v>1944</v>
      </c>
      <c r="AQ129" s="296"/>
      <c r="AR129" s="296"/>
      <c r="AS129" s="587">
        <f>I129/3</f>
        <v>648</v>
      </c>
    </row>
    <row r="130" s="295" customFormat="1" ht="36" customHeight="1" spans="1:46">
      <c r="A130" s="369">
        <v>46114</v>
      </c>
      <c r="B130" s="370" t="s">
        <v>594</v>
      </c>
      <c r="C130" s="370" t="s">
        <v>71</v>
      </c>
      <c r="D130" s="371" t="s">
        <v>661</v>
      </c>
      <c r="E130" s="383">
        <v>1750601600</v>
      </c>
      <c r="F130" s="373" t="s">
        <v>662</v>
      </c>
      <c r="G130" s="374" t="s">
        <v>597</v>
      </c>
      <c r="H130" s="375" t="s">
        <v>51</v>
      </c>
      <c r="I130" s="376">
        <v>1944</v>
      </c>
      <c r="J130" s="377">
        <v>0</v>
      </c>
      <c r="K130" s="377">
        <v>54</v>
      </c>
      <c r="L130" s="378">
        <f t="shared" si="11"/>
        <v>36</v>
      </c>
      <c r="M130" s="379">
        <v>46195</v>
      </c>
      <c r="N130" s="379">
        <v>46205</v>
      </c>
      <c r="O130" s="479"/>
      <c r="P130" s="380" t="s">
        <v>52</v>
      </c>
      <c r="Q130" s="597">
        <v>46207</v>
      </c>
      <c r="R130" s="418" t="s">
        <v>65</v>
      </c>
      <c r="S130" s="380">
        <v>46132</v>
      </c>
      <c r="T130" s="436" t="s">
        <v>54</v>
      </c>
      <c r="U130" s="436" t="s">
        <v>54</v>
      </c>
      <c r="V130" s="382" t="s">
        <v>599</v>
      </c>
      <c r="W130" s="491" t="s">
        <v>660</v>
      </c>
      <c r="X130" s="384" t="s">
        <v>601</v>
      </c>
      <c r="Y130" s="478">
        <v>499.9139</v>
      </c>
      <c r="Z130" s="386">
        <f>Y130*L130</f>
        <v>17996.9004</v>
      </c>
      <c r="AA130" s="371"/>
      <c r="AB130" s="387" t="s">
        <v>602</v>
      </c>
      <c r="AC130" s="388" t="s">
        <v>56</v>
      </c>
      <c r="AD130" s="377"/>
      <c r="AE130" s="389"/>
      <c r="AF130" s="390"/>
      <c r="AG130" s="391"/>
      <c r="AH130" s="391"/>
      <c r="AI130" s="371"/>
      <c r="AJ130" s="482">
        <f>I130</f>
        <v>1944</v>
      </c>
      <c r="AK130" s="482"/>
      <c r="AL130" s="296"/>
      <c r="AM130" s="296"/>
      <c r="AN130" s="525">
        <f>I130</f>
        <v>1944</v>
      </c>
      <c r="AO130" s="392"/>
      <c r="AP130" s="593">
        <f>I130</f>
        <v>1944</v>
      </c>
      <c r="AQ130" s="296"/>
      <c r="AR130" s="296"/>
      <c r="AS130" s="587">
        <f>I130/3</f>
        <v>648</v>
      </c>
    </row>
    <row r="131" s="295" customFormat="1" ht="36" customHeight="1" spans="1:46">
      <c r="A131" s="369">
        <v>46148</v>
      </c>
      <c r="B131" s="370" t="s">
        <v>395</v>
      </c>
      <c r="C131" s="370" t="s">
        <v>396</v>
      </c>
      <c r="D131" s="371" t="s">
        <v>663</v>
      </c>
      <c r="E131" s="383">
        <v>62110212</v>
      </c>
      <c r="F131" s="373" t="s">
        <v>664</v>
      </c>
      <c r="G131" s="374" t="s">
        <v>50</v>
      </c>
      <c r="H131" s="428" t="s">
        <v>51</v>
      </c>
      <c r="I131" s="376">
        <v>210</v>
      </c>
      <c r="J131" s="377">
        <v>0</v>
      </c>
      <c r="K131" s="377">
        <v>3</v>
      </c>
      <c r="L131" s="378">
        <f t="shared" si="11"/>
        <v>70</v>
      </c>
      <c r="M131" s="379">
        <v>46195</v>
      </c>
      <c r="N131" s="379">
        <v>46224</v>
      </c>
      <c r="O131" s="557" t="s">
        <v>665</v>
      </c>
      <c r="P131" s="380" t="s">
        <v>52</v>
      </c>
      <c r="Q131" s="520">
        <v>46226</v>
      </c>
      <c r="R131" s="494" t="s">
        <v>65</v>
      </c>
      <c r="S131" s="380">
        <v>46171</v>
      </c>
      <c r="T131" s="436" t="s">
        <v>54</v>
      </c>
      <c r="U131" s="559" t="s">
        <v>666</v>
      </c>
      <c r="V131" s="559" t="s">
        <v>619</v>
      </c>
      <c r="W131" s="383" t="s">
        <v>667</v>
      </c>
      <c r="X131" s="384" t="s">
        <v>240</v>
      </c>
      <c r="Y131" s="478">
        <v>10.2316</v>
      </c>
      <c r="Z131" s="386">
        <f t="shared" ref="Z131:Z136" si="20">I131*Y131</f>
        <v>2148.636</v>
      </c>
      <c r="AA131" s="371"/>
      <c r="AB131" s="374" t="s">
        <v>84</v>
      </c>
      <c r="AC131" s="388" t="s">
        <v>56</v>
      </c>
      <c r="AD131" s="377"/>
      <c r="AE131" s="389"/>
      <c r="AF131" s="390"/>
      <c r="AG131" s="391"/>
      <c r="AH131" s="391"/>
      <c r="AI131" s="371"/>
      <c r="AJ131" s="371"/>
      <c r="AK131" s="371"/>
      <c r="AL131" s="371">
        <f>I131</f>
        <v>210</v>
      </c>
      <c r="AM131" s="389">
        <f t="shared" ref="AM131:AM136" si="21">I131</f>
        <v>210</v>
      </c>
      <c r="AN131" s="392"/>
      <c r="AO131" s="392"/>
      <c r="AP131" s="392"/>
      <c r="AQ131" s="387">
        <f t="shared" ref="AQ131:AQ136" si="22">I131</f>
        <v>210</v>
      </c>
      <c r="AR131" s="387"/>
      <c r="AS131" s="296"/>
      <c r="AT131" s="298"/>
    </row>
    <row r="132" s="295" customFormat="1" ht="36" customHeight="1" spans="1:46">
      <c r="A132" s="369">
        <v>46142</v>
      </c>
      <c r="B132" s="370" t="s">
        <v>668</v>
      </c>
      <c r="C132" s="370" t="s">
        <v>669</v>
      </c>
      <c r="D132" s="371" t="s">
        <v>670</v>
      </c>
      <c r="E132" s="372" t="s">
        <v>671</v>
      </c>
      <c r="F132" s="373" t="s">
        <v>672</v>
      </c>
      <c r="G132" s="374" t="s">
        <v>50</v>
      </c>
      <c r="H132" s="428" t="s">
        <v>51</v>
      </c>
      <c r="I132" s="376">
        <v>1044</v>
      </c>
      <c r="J132" s="377">
        <v>0</v>
      </c>
      <c r="K132" s="377">
        <v>3</v>
      </c>
      <c r="L132" s="378">
        <f>I132/K132</f>
        <v>348</v>
      </c>
      <c r="M132" s="379">
        <v>46196</v>
      </c>
      <c r="N132" s="379">
        <v>46195</v>
      </c>
      <c r="O132" s="479"/>
      <c r="P132" s="380" t="s">
        <v>52</v>
      </c>
      <c r="Q132" s="520">
        <v>46210</v>
      </c>
      <c r="R132" s="418" t="s">
        <v>65</v>
      </c>
      <c r="S132" s="380">
        <v>46161</v>
      </c>
      <c r="T132" s="382" t="s">
        <v>54</v>
      </c>
      <c r="U132" s="382" t="s">
        <v>54</v>
      </c>
      <c r="V132" s="529"/>
      <c r="W132" s="383" t="s">
        <v>673</v>
      </c>
      <c r="X132" s="384" t="s">
        <v>421</v>
      </c>
      <c r="Y132" s="478">
        <v>10.215</v>
      </c>
      <c r="Z132" s="386">
        <f t="shared" si="20"/>
        <v>10664.46</v>
      </c>
      <c r="AA132" s="371"/>
      <c r="AB132" s="374" t="s">
        <v>84</v>
      </c>
      <c r="AC132" s="388" t="s">
        <v>56</v>
      </c>
      <c r="AD132" s="377"/>
      <c r="AE132" s="389"/>
      <c r="AF132" s="390"/>
      <c r="AG132" s="391"/>
      <c r="AH132" s="391"/>
      <c r="AI132" s="371"/>
      <c r="AJ132" s="482"/>
      <c r="AK132" s="592"/>
      <c r="AL132" s="539">
        <f>I132</f>
        <v>1044</v>
      </c>
      <c r="AM132" s="296">
        <f t="shared" si="21"/>
        <v>1044</v>
      </c>
      <c r="AN132" s="525"/>
      <c r="AO132" s="392" t="s">
        <v>101</v>
      </c>
      <c r="AP132" s="593"/>
      <c r="AQ132" s="296">
        <f t="shared" si="22"/>
        <v>1044</v>
      </c>
      <c r="AR132" s="296"/>
      <c r="AS132" s="388"/>
    </row>
    <row r="133" s="295" customFormat="1" ht="36" customHeight="1" spans="1:46">
      <c r="A133" s="369">
        <v>46142</v>
      </c>
      <c r="B133" s="370" t="s">
        <v>668</v>
      </c>
      <c r="C133" s="370" t="s">
        <v>669</v>
      </c>
      <c r="D133" s="371" t="s">
        <v>674</v>
      </c>
      <c r="E133" s="372" t="s">
        <v>675</v>
      </c>
      <c r="F133" s="373" t="s">
        <v>676</v>
      </c>
      <c r="G133" s="374" t="s">
        <v>50</v>
      </c>
      <c r="H133" s="428" t="s">
        <v>51</v>
      </c>
      <c r="I133" s="376">
        <v>957</v>
      </c>
      <c r="J133" s="377">
        <v>0</v>
      </c>
      <c r="K133" s="377">
        <v>3</v>
      </c>
      <c r="L133" s="378">
        <f>I133/K133</f>
        <v>319</v>
      </c>
      <c r="M133" s="379">
        <v>46196</v>
      </c>
      <c r="N133" s="379">
        <v>46195</v>
      </c>
      <c r="O133" s="380"/>
      <c r="P133" s="380" t="s">
        <v>52</v>
      </c>
      <c r="Q133" s="520">
        <v>46210</v>
      </c>
      <c r="R133" s="418" t="s">
        <v>65</v>
      </c>
      <c r="S133" s="380">
        <v>46161</v>
      </c>
      <c r="T133" s="382" t="s">
        <v>54</v>
      </c>
      <c r="U133" s="382" t="s">
        <v>54</v>
      </c>
      <c r="V133" s="382"/>
      <c r="W133" s="383" t="s">
        <v>677</v>
      </c>
      <c r="X133" s="384" t="s">
        <v>421</v>
      </c>
      <c r="Y133" s="478">
        <v>10.2316</v>
      </c>
      <c r="Z133" s="386">
        <f t="shared" si="20"/>
        <v>9791.6412</v>
      </c>
      <c r="AA133" s="371"/>
      <c r="AB133" s="374" t="s">
        <v>84</v>
      </c>
      <c r="AC133" s="388" t="s">
        <v>56</v>
      </c>
      <c r="AD133" s="377"/>
      <c r="AE133" s="389"/>
      <c r="AF133" s="390"/>
      <c r="AG133" s="391"/>
      <c r="AH133" s="391"/>
      <c r="AI133" s="371"/>
      <c r="AJ133" s="371"/>
      <c r="AK133" s="371"/>
      <c r="AL133" s="296">
        <f>I133</f>
        <v>957</v>
      </c>
      <c r="AM133" s="296">
        <f t="shared" si="21"/>
        <v>957</v>
      </c>
      <c r="AN133" s="525"/>
      <c r="AO133" s="392" t="s">
        <v>101</v>
      </c>
      <c r="AP133" s="593"/>
      <c r="AQ133" s="296">
        <f t="shared" si="22"/>
        <v>957</v>
      </c>
      <c r="AR133" s="296"/>
      <c r="AS133" s="296"/>
    </row>
    <row r="134" s="301" customFormat="1" ht="36" customHeight="1" spans="1:46">
      <c r="A134" s="369">
        <v>46157</v>
      </c>
      <c r="B134" s="370" t="s">
        <v>678</v>
      </c>
      <c r="C134" s="370" t="s">
        <v>341</v>
      </c>
      <c r="D134" s="371" t="s">
        <v>679</v>
      </c>
      <c r="E134" s="372" t="s">
        <v>680</v>
      </c>
      <c r="F134" s="373" t="s">
        <v>681</v>
      </c>
      <c r="G134" s="374" t="s">
        <v>50</v>
      </c>
      <c r="H134" s="428" t="s">
        <v>51</v>
      </c>
      <c r="I134" s="376">
        <v>2247</v>
      </c>
      <c r="J134" s="377">
        <v>0</v>
      </c>
      <c r="K134" s="377">
        <v>3</v>
      </c>
      <c r="L134" s="378">
        <f t="shared" ref="L134:L194" si="23">I134/K134</f>
        <v>749</v>
      </c>
      <c r="M134" s="379">
        <v>46197</v>
      </c>
      <c r="N134" s="379">
        <v>46195</v>
      </c>
      <c r="O134" s="479"/>
      <c r="P134" s="380" t="s">
        <v>52</v>
      </c>
      <c r="Q134" s="381"/>
      <c r="R134" s="494" t="s">
        <v>65</v>
      </c>
      <c r="S134" s="380">
        <v>46169</v>
      </c>
      <c r="T134" s="436" t="s">
        <v>54</v>
      </c>
      <c r="U134" s="559" t="s">
        <v>682</v>
      </c>
      <c r="V134" s="406"/>
      <c r="W134" s="383" t="s">
        <v>683</v>
      </c>
      <c r="X134" s="384" t="s">
        <v>684</v>
      </c>
      <c r="Y134" s="478">
        <v>10.1553</v>
      </c>
      <c r="Z134" s="386">
        <f t="shared" si="20"/>
        <v>22818.9591</v>
      </c>
      <c r="AA134" s="371"/>
      <c r="AB134" s="374" t="s">
        <v>84</v>
      </c>
      <c r="AC134" s="388" t="s">
        <v>56</v>
      </c>
      <c r="AD134" s="377"/>
      <c r="AE134" s="389"/>
      <c r="AF134" s="390"/>
      <c r="AG134" s="391"/>
      <c r="AH134" s="391"/>
      <c r="AI134" s="371"/>
      <c r="AJ134" s="482"/>
      <c r="AK134" s="482"/>
      <c r="AL134" s="296">
        <f>I134</f>
        <v>2247</v>
      </c>
      <c r="AM134" s="296">
        <f t="shared" si="21"/>
        <v>2247</v>
      </c>
      <c r="AN134" s="383"/>
      <c r="AO134" s="371"/>
      <c r="AP134" s="387"/>
      <c r="AQ134" s="296">
        <f t="shared" si="22"/>
        <v>2247</v>
      </c>
      <c r="AR134" s="296"/>
      <c r="AS134" s="388"/>
      <c r="AT134" s="296"/>
    </row>
    <row r="135" s="295" customFormat="1" ht="36" customHeight="1" spans="1:46">
      <c r="A135" s="369">
        <v>46156</v>
      </c>
      <c r="B135" s="370" t="s">
        <v>122</v>
      </c>
      <c r="C135" s="370" t="s">
        <v>71</v>
      </c>
      <c r="D135" s="371" t="s">
        <v>685</v>
      </c>
      <c r="E135" s="372" t="s">
        <v>686</v>
      </c>
      <c r="F135" s="373" t="s">
        <v>687</v>
      </c>
      <c r="G135" s="374" t="s">
        <v>125</v>
      </c>
      <c r="H135" s="428" t="s">
        <v>51</v>
      </c>
      <c r="I135" s="376">
        <v>500</v>
      </c>
      <c r="J135" s="377">
        <v>0</v>
      </c>
      <c r="K135" s="377">
        <v>2</v>
      </c>
      <c r="L135" s="378">
        <f t="shared" si="23"/>
        <v>250</v>
      </c>
      <c r="M135" s="379">
        <v>46197</v>
      </c>
      <c r="N135" s="542">
        <v>46199</v>
      </c>
      <c r="O135" s="505">
        <v>46202</v>
      </c>
      <c r="P135" s="380" t="s">
        <v>52</v>
      </c>
      <c r="Q135" s="520">
        <v>46219</v>
      </c>
      <c r="R135" s="381"/>
      <c r="S135" s="568" t="s">
        <v>456</v>
      </c>
      <c r="T135" s="382" t="s">
        <v>54</v>
      </c>
      <c r="U135" s="436">
        <v>46164</v>
      </c>
      <c r="V135" s="529"/>
      <c r="W135" s="383" t="s">
        <v>688</v>
      </c>
      <c r="X135" s="384" t="s">
        <v>129</v>
      </c>
      <c r="Y135" s="478">
        <v>6.3555</v>
      </c>
      <c r="Z135" s="386">
        <f t="shared" si="20"/>
        <v>3177.75</v>
      </c>
      <c r="AA135" s="371"/>
      <c r="AB135" s="374" t="s">
        <v>125</v>
      </c>
      <c r="AC135" s="388" t="s">
        <v>56</v>
      </c>
      <c r="AD135" s="377"/>
      <c r="AE135" s="389"/>
      <c r="AF135" s="390"/>
      <c r="AG135" s="391"/>
      <c r="AH135" s="391"/>
      <c r="AI135" s="371">
        <f>I135</f>
        <v>500</v>
      </c>
      <c r="AJ135" s="371"/>
      <c r="AK135" s="424"/>
      <c r="AL135" s="424"/>
      <c r="AM135" s="554">
        <f t="shared" si="21"/>
        <v>500</v>
      </c>
      <c r="AN135" s="392"/>
      <c r="AO135" s="392"/>
      <c r="AP135" s="392"/>
      <c r="AQ135" s="388">
        <f t="shared" si="22"/>
        <v>500</v>
      </c>
      <c r="AR135" s="387"/>
      <c r="AS135" s="296"/>
    </row>
    <row r="136" s="295" customFormat="1" ht="36" customHeight="1" spans="1:46">
      <c r="A136" s="369">
        <v>46156</v>
      </c>
      <c r="B136" s="370" t="s">
        <v>122</v>
      </c>
      <c r="C136" s="370" t="s">
        <v>71</v>
      </c>
      <c r="D136" s="371" t="s">
        <v>685</v>
      </c>
      <c r="E136" s="372" t="s">
        <v>689</v>
      </c>
      <c r="F136" s="373" t="s">
        <v>690</v>
      </c>
      <c r="G136" s="374" t="s">
        <v>125</v>
      </c>
      <c r="H136" s="428" t="s">
        <v>51</v>
      </c>
      <c r="I136" s="376">
        <v>500</v>
      </c>
      <c r="J136" s="377">
        <v>0</v>
      </c>
      <c r="K136" s="377">
        <v>2</v>
      </c>
      <c r="L136" s="378">
        <f t="shared" si="23"/>
        <v>250</v>
      </c>
      <c r="M136" s="379">
        <v>46197</v>
      </c>
      <c r="N136" s="542">
        <v>46199</v>
      </c>
      <c r="O136" s="505">
        <v>46202</v>
      </c>
      <c r="P136" s="380" t="s">
        <v>52</v>
      </c>
      <c r="Q136" s="520">
        <v>46213</v>
      </c>
      <c r="R136" s="381"/>
      <c r="S136" s="598" t="s">
        <v>691</v>
      </c>
      <c r="T136" s="436" t="s">
        <v>54</v>
      </c>
      <c r="U136" s="382">
        <v>46164</v>
      </c>
      <c r="V136" s="382"/>
      <c r="W136" s="383" t="s">
        <v>688</v>
      </c>
      <c r="X136" s="384" t="s">
        <v>129</v>
      </c>
      <c r="Y136" s="478">
        <v>6.5485</v>
      </c>
      <c r="Z136" s="386">
        <f t="shared" si="20"/>
        <v>3274.25</v>
      </c>
      <c r="AA136" s="371"/>
      <c r="AB136" s="374" t="s">
        <v>125</v>
      </c>
      <c r="AC136" s="388" t="s">
        <v>56</v>
      </c>
      <c r="AD136" s="377"/>
      <c r="AE136" s="389"/>
      <c r="AF136" s="390"/>
      <c r="AG136" s="391"/>
      <c r="AH136" s="391"/>
      <c r="AI136" s="371">
        <f>I136</f>
        <v>500</v>
      </c>
      <c r="AJ136" s="371"/>
      <c r="AK136" s="371"/>
      <c r="AL136" s="371"/>
      <c r="AM136" s="554">
        <f t="shared" si="21"/>
        <v>500</v>
      </c>
      <c r="AN136" s="371"/>
      <c r="AO136" s="392"/>
      <c r="AP136" s="371"/>
      <c r="AQ136" s="388">
        <f t="shared" si="22"/>
        <v>500</v>
      </c>
      <c r="AR136" s="387"/>
      <c r="AS136" s="296"/>
      <c r="AT136" s="300"/>
    </row>
    <row r="137" s="295" customFormat="1" ht="36" customHeight="1" spans="1:46">
      <c r="A137" s="369">
        <v>46114</v>
      </c>
      <c r="B137" s="370" t="s">
        <v>594</v>
      </c>
      <c r="C137" s="370" t="s">
        <v>71</v>
      </c>
      <c r="D137" s="371" t="s">
        <v>692</v>
      </c>
      <c r="E137" s="372" t="s">
        <v>693</v>
      </c>
      <c r="F137" s="373" t="s">
        <v>694</v>
      </c>
      <c r="G137" s="374" t="s">
        <v>597</v>
      </c>
      <c r="H137" s="428" t="s">
        <v>51</v>
      </c>
      <c r="I137" s="376">
        <v>1944</v>
      </c>
      <c r="J137" s="377">
        <v>0</v>
      </c>
      <c r="K137" s="377">
        <v>54</v>
      </c>
      <c r="L137" s="378">
        <f t="shared" si="23"/>
        <v>36</v>
      </c>
      <c r="M137" s="379">
        <v>46197</v>
      </c>
      <c r="N137" s="379">
        <v>46202</v>
      </c>
      <c r="O137" s="479"/>
      <c r="P137" s="380" t="s">
        <v>52</v>
      </c>
      <c r="Q137" s="520">
        <v>46204</v>
      </c>
      <c r="R137" s="494" t="s">
        <v>65</v>
      </c>
      <c r="S137" s="380">
        <v>46132</v>
      </c>
      <c r="T137" s="382" t="s">
        <v>54</v>
      </c>
      <c r="U137" s="382" t="s">
        <v>54</v>
      </c>
      <c r="V137" s="382" t="s">
        <v>599</v>
      </c>
      <c r="W137" s="491" t="s">
        <v>609</v>
      </c>
      <c r="X137" s="384" t="s">
        <v>601</v>
      </c>
      <c r="Y137" s="478">
        <v>499.9139</v>
      </c>
      <c r="Z137" s="386">
        <f>Y137*L137</f>
        <v>17996.9004</v>
      </c>
      <c r="AA137" s="371"/>
      <c r="AB137" s="387" t="s">
        <v>602</v>
      </c>
      <c r="AC137" s="388" t="s">
        <v>56</v>
      </c>
      <c r="AD137" s="377"/>
      <c r="AE137" s="389"/>
      <c r="AF137" s="390"/>
      <c r="AG137" s="391"/>
      <c r="AH137" s="391"/>
      <c r="AI137" s="371"/>
      <c r="AJ137" s="482">
        <f>I137</f>
        <v>1944</v>
      </c>
      <c r="AK137" s="482"/>
      <c r="AL137" s="296"/>
      <c r="AM137" s="296"/>
      <c r="AN137" s="383">
        <f>I137</f>
        <v>1944</v>
      </c>
      <c r="AO137" s="371"/>
      <c r="AP137" s="387">
        <f>I137</f>
        <v>1944</v>
      </c>
      <c r="AQ137" s="296"/>
      <c r="AR137" s="296"/>
      <c r="AS137" s="587">
        <f>I137/3</f>
        <v>648</v>
      </c>
    </row>
    <row r="138" s="295" customFormat="1" ht="36" customHeight="1" spans="1:46">
      <c r="A138" s="369">
        <v>46114</v>
      </c>
      <c r="B138" s="370" t="s">
        <v>594</v>
      </c>
      <c r="C138" s="370" t="s">
        <v>71</v>
      </c>
      <c r="D138" s="371" t="s">
        <v>695</v>
      </c>
      <c r="E138" s="383">
        <v>2620601441</v>
      </c>
      <c r="F138" s="373" t="s">
        <v>696</v>
      </c>
      <c r="G138" s="374" t="s">
        <v>597</v>
      </c>
      <c r="H138" s="428" t="s">
        <v>51</v>
      </c>
      <c r="I138" s="376">
        <v>1944</v>
      </c>
      <c r="J138" s="377">
        <v>0</v>
      </c>
      <c r="K138" s="377">
        <v>54</v>
      </c>
      <c r="L138" s="378">
        <f t="shared" si="23"/>
        <v>36</v>
      </c>
      <c r="M138" s="379">
        <v>46197</v>
      </c>
      <c r="N138" s="379">
        <v>46205</v>
      </c>
      <c r="O138" s="479"/>
      <c r="P138" s="380" t="s">
        <v>52</v>
      </c>
      <c r="Q138" s="509">
        <v>46206</v>
      </c>
      <c r="R138" s="494" t="s">
        <v>65</v>
      </c>
      <c r="S138" s="380">
        <v>46132</v>
      </c>
      <c r="T138" s="382" t="s">
        <v>54</v>
      </c>
      <c r="U138" s="382" t="s">
        <v>54</v>
      </c>
      <c r="V138" s="382" t="s">
        <v>599</v>
      </c>
      <c r="W138" s="491" t="s">
        <v>609</v>
      </c>
      <c r="X138" s="384" t="s">
        <v>601</v>
      </c>
      <c r="Y138" s="478">
        <v>499.9139</v>
      </c>
      <c r="Z138" s="386">
        <f>Y138*L138</f>
        <v>17996.9004</v>
      </c>
      <c r="AA138" s="371"/>
      <c r="AB138" s="387" t="s">
        <v>602</v>
      </c>
      <c r="AC138" s="388" t="s">
        <v>56</v>
      </c>
      <c r="AD138" s="377"/>
      <c r="AE138" s="389"/>
      <c r="AF138" s="390"/>
      <c r="AG138" s="391"/>
      <c r="AH138" s="391"/>
      <c r="AI138" s="371"/>
      <c r="AJ138" s="482">
        <f>I138</f>
        <v>1944</v>
      </c>
      <c r="AK138" s="482"/>
      <c r="AL138" s="296"/>
      <c r="AM138" s="296"/>
      <c r="AN138" s="383">
        <f>I138</f>
        <v>1944</v>
      </c>
      <c r="AO138" s="371"/>
      <c r="AP138" s="387">
        <f>I138</f>
        <v>1944</v>
      </c>
      <c r="AQ138" s="296"/>
      <c r="AR138" s="296"/>
      <c r="AS138" s="587">
        <f>I138/3</f>
        <v>648</v>
      </c>
    </row>
    <row r="139" s="295" customFormat="1" ht="36" customHeight="1" spans="1:46">
      <c r="A139" s="369">
        <v>46114</v>
      </c>
      <c r="B139" s="370" t="s">
        <v>697</v>
      </c>
      <c r="C139" s="370" t="s">
        <v>341</v>
      </c>
      <c r="D139" s="371" t="s">
        <v>698</v>
      </c>
      <c r="E139" s="372" t="s">
        <v>699</v>
      </c>
      <c r="F139" s="373" t="s">
        <v>700</v>
      </c>
      <c r="G139" s="374" t="s">
        <v>597</v>
      </c>
      <c r="H139" s="428" t="s">
        <v>51</v>
      </c>
      <c r="I139" s="376">
        <v>1944</v>
      </c>
      <c r="J139" s="377">
        <v>0</v>
      </c>
      <c r="K139" s="377">
        <v>54</v>
      </c>
      <c r="L139" s="378">
        <f t="shared" si="23"/>
        <v>36</v>
      </c>
      <c r="M139" s="379">
        <v>46198</v>
      </c>
      <c r="N139" s="379">
        <v>46196</v>
      </c>
      <c r="O139" s="586" t="s">
        <v>701</v>
      </c>
      <c r="P139" s="380" t="s">
        <v>52</v>
      </c>
      <c r="Q139" s="420">
        <v>46212</v>
      </c>
      <c r="R139" s="418" t="s">
        <v>65</v>
      </c>
      <c r="S139" s="380">
        <v>46164</v>
      </c>
      <c r="T139" s="436" t="s">
        <v>54</v>
      </c>
      <c r="U139" s="382" t="s">
        <v>54</v>
      </c>
      <c r="V139" s="382" t="s">
        <v>599</v>
      </c>
      <c r="W139" s="491" t="s">
        <v>702</v>
      </c>
      <c r="X139" s="384" t="s">
        <v>601</v>
      </c>
      <c r="Y139" s="478">
        <v>833.19</v>
      </c>
      <c r="Z139" s="386">
        <f>Y139*L139</f>
        <v>29994.84</v>
      </c>
      <c r="AA139" s="371"/>
      <c r="AB139" s="387" t="s">
        <v>602</v>
      </c>
      <c r="AC139" s="388" t="s">
        <v>56</v>
      </c>
      <c r="AD139" s="377"/>
      <c r="AE139" s="389"/>
      <c r="AF139" s="390"/>
      <c r="AG139" s="391"/>
      <c r="AH139" s="391"/>
      <c r="AI139" s="371"/>
      <c r="AJ139" s="482">
        <f>I139</f>
        <v>1944</v>
      </c>
      <c r="AK139" s="482"/>
      <c r="AL139" s="296"/>
      <c r="AM139" s="298"/>
      <c r="AN139" s="383">
        <f>I139</f>
        <v>1944</v>
      </c>
      <c r="AO139" s="392"/>
      <c r="AP139" s="387">
        <f>I139</f>
        <v>1944</v>
      </c>
      <c r="AQ139" s="296"/>
      <c r="AR139" s="296"/>
      <c r="AS139" s="587">
        <f>I139/3</f>
        <v>648</v>
      </c>
    </row>
    <row r="140" s="295" customFormat="1" ht="36" customHeight="1" spans="1:46">
      <c r="A140" s="369">
        <v>46121</v>
      </c>
      <c r="B140" s="370" t="s">
        <v>70</v>
      </c>
      <c r="C140" s="370" t="s">
        <v>71</v>
      </c>
      <c r="D140" s="371" t="s">
        <v>703</v>
      </c>
      <c r="E140" s="372" t="s">
        <v>704</v>
      </c>
      <c r="F140" s="373" t="s">
        <v>705</v>
      </c>
      <c r="G140" s="374" t="s">
        <v>50</v>
      </c>
      <c r="H140" s="428" t="s">
        <v>51</v>
      </c>
      <c r="I140" s="376">
        <v>273</v>
      </c>
      <c r="J140" s="377">
        <v>0</v>
      </c>
      <c r="K140" s="377">
        <v>3</v>
      </c>
      <c r="L140" s="378">
        <f t="shared" si="23"/>
        <v>91</v>
      </c>
      <c r="M140" s="379">
        <v>46198</v>
      </c>
      <c r="N140" s="379">
        <v>46219</v>
      </c>
      <c r="O140" s="380"/>
      <c r="P140" s="380" t="s">
        <v>52</v>
      </c>
      <c r="Q140" s="520">
        <v>46219</v>
      </c>
      <c r="R140" s="418" t="s">
        <v>65</v>
      </c>
      <c r="S140" s="380">
        <v>46163</v>
      </c>
      <c r="T140" s="436" t="s">
        <v>66</v>
      </c>
      <c r="U140" s="559" t="s">
        <v>706</v>
      </c>
      <c r="V140" s="382"/>
      <c r="W140" s="383" t="s">
        <v>541</v>
      </c>
      <c r="X140" s="384" t="s">
        <v>76</v>
      </c>
      <c r="Y140" s="478">
        <v>5.9655</v>
      </c>
      <c r="Z140" s="386">
        <f>I140*Y140</f>
        <v>1628.5815</v>
      </c>
      <c r="AA140" s="371"/>
      <c r="AB140" s="374" t="s">
        <v>50</v>
      </c>
      <c r="AC140" s="388" t="s">
        <v>56</v>
      </c>
      <c r="AD140" s="377"/>
      <c r="AE140" s="389"/>
      <c r="AF140" s="390"/>
      <c r="AG140" s="391"/>
      <c r="AH140" s="391"/>
      <c r="AI140" s="371">
        <f>I140</f>
        <v>273</v>
      </c>
      <c r="AJ140" s="371"/>
      <c r="AK140" s="371"/>
      <c r="AL140" s="296"/>
      <c r="AM140" s="296">
        <f>I140</f>
        <v>273</v>
      </c>
      <c r="AN140" s="371"/>
      <c r="AO140" s="371"/>
      <c r="AP140" s="296"/>
      <c r="AQ140" s="296">
        <f>I140</f>
        <v>273</v>
      </c>
      <c r="AR140" s="296"/>
      <c r="AS140" s="296"/>
    </row>
    <row r="141" s="300" customFormat="1" ht="36" customHeight="1" spans="1:46">
      <c r="A141" s="369">
        <v>46154</v>
      </c>
      <c r="B141" s="370" t="s">
        <v>707</v>
      </c>
      <c r="C141" s="370" t="s">
        <v>175</v>
      </c>
      <c r="D141" s="371" t="s">
        <v>708</v>
      </c>
      <c r="E141" s="491">
        <v>2000010355</v>
      </c>
      <c r="F141" s="373" t="s">
        <v>709</v>
      </c>
      <c r="G141" s="374" t="s">
        <v>50</v>
      </c>
      <c r="H141" s="375" t="s">
        <v>51</v>
      </c>
      <c r="I141" s="376">
        <v>300</v>
      </c>
      <c r="J141" s="377">
        <v>0</v>
      </c>
      <c r="K141" s="377">
        <v>3</v>
      </c>
      <c r="L141" s="378">
        <f t="shared" si="23"/>
        <v>100</v>
      </c>
      <c r="M141" s="379">
        <v>46198</v>
      </c>
      <c r="N141" s="379">
        <v>46237</v>
      </c>
      <c r="O141" s="380"/>
      <c r="P141" s="380" t="s">
        <v>52</v>
      </c>
      <c r="Q141" s="520">
        <v>46238</v>
      </c>
      <c r="R141" s="418" t="s">
        <v>65</v>
      </c>
      <c r="S141" s="380">
        <v>46164</v>
      </c>
      <c r="T141" s="382" t="s">
        <v>54</v>
      </c>
      <c r="U141" s="559" t="s">
        <v>710</v>
      </c>
      <c r="V141" s="559" t="s">
        <v>711</v>
      </c>
      <c r="W141" s="491" t="s">
        <v>712</v>
      </c>
      <c r="X141" s="384" t="s">
        <v>381</v>
      </c>
      <c r="Y141" s="478">
        <v>9.9425</v>
      </c>
      <c r="Z141" s="386">
        <f>I141*Y141</f>
        <v>2982.75</v>
      </c>
      <c r="AA141" s="371"/>
      <c r="AB141" s="374" t="s">
        <v>84</v>
      </c>
      <c r="AC141" s="388" t="s">
        <v>56</v>
      </c>
      <c r="AD141" s="377"/>
      <c r="AE141" s="389"/>
      <c r="AF141" s="390"/>
      <c r="AG141" s="391"/>
      <c r="AH141" s="391"/>
      <c r="AI141" s="371"/>
      <c r="AJ141" s="371"/>
      <c r="AK141" s="371"/>
      <c r="AL141" s="296">
        <f>I141</f>
        <v>300</v>
      </c>
      <c r="AM141" s="296">
        <f>I141</f>
        <v>300</v>
      </c>
      <c r="AN141" s="371"/>
      <c r="AO141" s="371"/>
      <c r="AP141" s="371"/>
      <c r="AQ141" s="296">
        <f>I141</f>
        <v>300</v>
      </c>
      <c r="AR141" s="296"/>
      <c r="AS141" s="296"/>
      <c r="AT141" s="298"/>
    </row>
    <row r="142" s="295" customFormat="1" ht="36" customHeight="1" spans="1:46">
      <c r="A142" s="369">
        <v>46114</v>
      </c>
      <c r="B142" s="370" t="s">
        <v>594</v>
      </c>
      <c r="C142" s="370" t="s">
        <v>71</v>
      </c>
      <c r="D142" s="371" t="s">
        <v>713</v>
      </c>
      <c r="E142" s="383">
        <v>2670601442</v>
      </c>
      <c r="F142" s="373" t="s">
        <v>714</v>
      </c>
      <c r="G142" s="374" t="s">
        <v>597</v>
      </c>
      <c r="H142" s="428" t="s">
        <v>51</v>
      </c>
      <c r="I142" s="376">
        <v>1944</v>
      </c>
      <c r="J142" s="377">
        <v>0</v>
      </c>
      <c r="K142" s="377">
        <v>54</v>
      </c>
      <c r="L142" s="378">
        <f t="shared" si="23"/>
        <v>36</v>
      </c>
      <c r="M142" s="379">
        <v>46199</v>
      </c>
      <c r="N142" s="379">
        <v>46204</v>
      </c>
      <c r="O142" s="479"/>
      <c r="P142" s="380" t="s">
        <v>52</v>
      </c>
      <c r="Q142" s="420">
        <v>46206</v>
      </c>
      <c r="R142" s="418" t="s">
        <v>65</v>
      </c>
      <c r="S142" s="380">
        <v>46132</v>
      </c>
      <c r="T142" s="382" t="s">
        <v>54</v>
      </c>
      <c r="U142" s="436" t="s">
        <v>54</v>
      </c>
      <c r="V142" s="529" t="s">
        <v>599</v>
      </c>
      <c r="W142" s="383" t="s">
        <v>609</v>
      </c>
      <c r="X142" s="384" t="s">
        <v>601</v>
      </c>
      <c r="Y142" s="478">
        <v>499.9139</v>
      </c>
      <c r="Z142" s="386">
        <f>Y142*L142</f>
        <v>17996.9004</v>
      </c>
      <c r="AA142" s="371"/>
      <c r="AB142" s="387" t="s">
        <v>602</v>
      </c>
      <c r="AC142" s="388" t="s">
        <v>56</v>
      </c>
      <c r="AD142" s="377"/>
      <c r="AE142" s="389"/>
      <c r="AF142" s="390"/>
      <c r="AG142" s="391"/>
      <c r="AH142" s="391"/>
      <c r="AI142" s="371"/>
      <c r="AJ142" s="482">
        <f>I142</f>
        <v>1944</v>
      </c>
      <c r="AK142" s="592"/>
      <c r="AL142" s="539"/>
      <c r="AM142" s="296"/>
      <c r="AN142" s="525">
        <f>I142</f>
        <v>1944</v>
      </c>
      <c r="AO142" s="392"/>
      <c r="AP142" s="593">
        <f>I142</f>
        <v>1944</v>
      </c>
      <c r="AQ142" s="296"/>
      <c r="AR142" s="296"/>
      <c r="AS142" s="388">
        <f>I142/3</f>
        <v>648</v>
      </c>
    </row>
    <row r="143" s="295" customFormat="1" ht="36" customHeight="1" spans="1:46">
      <c r="A143" s="369">
        <v>46114</v>
      </c>
      <c r="B143" s="370" t="s">
        <v>594</v>
      </c>
      <c r="C143" s="370" t="s">
        <v>71</v>
      </c>
      <c r="D143" s="371" t="s">
        <v>715</v>
      </c>
      <c r="E143" s="383">
        <v>2620601442</v>
      </c>
      <c r="F143" s="373" t="s">
        <v>716</v>
      </c>
      <c r="G143" s="374" t="s">
        <v>597</v>
      </c>
      <c r="H143" s="428" t="s">
        <v>51</v>
      </c>
      <c r="I143" s="376">
        <v>1944</v>
      </c>
      <c r="J143" s="377">
        <v>0</v>
      </c>
      <c r="K143" s="377">
        <v>54</v>
      </c>
      <c r="L143" s="378">
        <f t="shared" si="23"/>
        <v>36</v>
      </c>
      <c r="M143" s="379">
        <v>46199</v>
      </c>
      <c r="N143" s="379">
        <v>46204</v>
      </c>
      <c r="O143" s="479"/>
      <c r="P143" s="380" t="s">
        <v>52</v>
      </c>
      <c r="Q143" s="520">
        <v>46206</v>
      </c>
      <c r="R143" s="418" t="s">
        <v>65</v>
      </c>
      <c r="S143" s="558">
        <v>46132</v>
      </c>
      <c r="T143" s="382" t="s">
        <v>54</v>
      </c>
      <c r="U143" s="382" t="s">
        <v>54</v>
      </c>
      <c r="V143" s="382" t="s">
        <v>599</v>
      </c>
      <c r="W143" s="491" t="s">
        <v>609</v>
      </c>
      <c r="X143" s="384" t="s">
        <v>601</v>
      </c>
      <c r="Y143" s="478">
        <v>499.9139</v>
      </c>
      <c r="Z143" s="386">
        <f>Y143*L143</f>
        <v>17996.9004</v>
      </c>
      <c r="AA143" s="371"/>
      <c r="AB143" s="387" t="s">
        <v>602</v>
      </c>
      <c r="AC143" s="388" t="s">
        <v>56</v>
      </c>
      <c r="AD143" s="377"/>
      <c r="AE143" s="389"/>
      <c r="AF143" s="390"/>
      <c r="AG143" s="391"/>
      <c r="AH143" s="391"/>
      <c r="AI143" s="371"/>
      <c r="AJ143" s="482">
        <f>I143</f>
        <v>1944</v>
      </c>
      <c r="AK143" s="482"/>
      <c r="AL143" s="296"/>
      <c r="AM143" s="296"/>
      <c r="AN143" s="525">
        <f>I143</f>
        <v>1944</v>
      </c>
      <c r="AO143" s="392"/>
      <c r="AP143" s="593">
        <f>I143</f>
        <v>1944</v>
      </c>
      <c r="AQ143" s="296"/>
      <c r="AR143" s="296"/>
      <c r="AS143" s="587">
        <f>I143/3</f>
        <v>648</v>
      </c>
    </row>
    <row r="144" s="295" customFormat="1" ht="36" customHeight="1" spans="1:46">
      <c r="A144" s="369">
        <v>46157</v>
      </c>
      <c r="B144" s="370" t="s">
        <v>717</v>
      </c>
      <c r="C144" s="370" t="s">
        <v>718</v>
      </c>
      <c r="D144" s="371" t="s">
        <v>719</v>
      </c>
      <c r="E144" s="372" t="s">
        <v>312</v>
      </c>
      <c r="F144" s="373" t="s">
        <v>720</v>
      </c>
      <c r="G144" s="374" t="s">
        <v>50</v>
      </c>
      <c r="H144" s="428" t="s">
        <v>51</v>
      </c>
      <c r="I144" s="376">
        <v>252</v>
      </c>
      <c r="J144" s="377">
        <v>0</v>
      </c>
      <c r="K144" s="377">
        <v>3</v>
      </c>
      <c r="L144" s="378">
        <f t="shared" si="23"/>
        <v>84</v>
      </c>
      <c r="M144" s="542">
        <v>46202</v>
      </c>
      <c r="N144" s="542">
        <v>46199</v>
      </c>
      <c r="O144" s="380"/>
      <c r="P144" s="380" t="s">
        <v>52</v>
      </c>
      <c r="Q144" s="381"/>
      <c r="R144" s="381"/>
      <c r="S144" s="380">
        <v>46165</v>
      </c>
      <c r="T144" s="436" t="s">
        <v>54</v>
      </c>
      <c r="U144" s="559" t="s">
        <v>721</v>
      </c>
      <c r="V144" s="382"/>
      <c r="W144" s="491" t="s">
        <v>722</v>
      </c>
      <c r="X144" s="384" t="s">
        <v>723</v>
      </c>
      <c r="Y144" s="478">
        <v>10.2316</v>
      </c>
      <c r="Z144" s="386">
        <f>I144*Y144</f>
        <v>2578.3632</v>
      </c>
      <c r="AA144" s="371"/>
      <c r="AB144" s="398" t="s">
        <v>50</v>
      </c>
      <c r="AC144" s="388" t="s">
        <v>56</v>
      </c>
      <c r="AD144" s="377"/>
      <c r="AE144" s="389"/>
      <c r="AF144" s="390"/>
      <c r="AG144" s="391"/>
      <c r="AH144" s="391"/>
      <c r="AI144" s="371">
        <f>I144</f>
        <v>252</v>
      </c>
      <c r="AJ144" s="424"/>
      <c r="AK144" s="424"/>
      <c r="AL144" s="539"/>
      <c r="AM144" s="371">
        <f>I144</f>
        <v>252</v>
      </c>
      <c r="AN144" s="392"/>
      <c r="AO144" s="392"/>
      <c r="AP144" s="392"/>
      <c r="AQ144" s="388">
        <f>I144</f>
        <v>252</v>
      </c>
      <c r="AR144" s="388"/>
      <c r="AS144" s="296"/>
    </row>
    <row r="145" s="298" customFormat="1" ht="36" customHeight="1" spans="1:46">
      <c r="A145" s="422">
        <v>46157</v>
      </c>
      <c r="B145" s="423" t="s">
        <v>717</v>
      </c>
      <c r="C145" s="423" t="s">
        <v>718</v>
      </c>
      <c r="D145" s="424" t="s">
        <v>719</v>
      </c>
      <c r="E145" s="532" t="s">
        <v>312</v>
      </c>
      <c r="F145" s="533" t="s">
        <v>724</v>
      </c>
      <c r="G145" s="427" t="s">
        <v>50</v>
      </c>
      <c r="H145" s="428" t="s">
        <v>51</v>
      </c>
      <c r="I145" s="450">
        <v>150</v>
      </c>
      <c r="J145" s="430">
        <v>0</v>
      </c>
      <c r="K145" s="430">
        <v>3</v>
      </c>
      <c r="L145" s="431">
        <f t="shared" si="23"/>
        <v>50</v>
      </c>
      <c r="M145" s="576">
        <v>46202</v>
      </c>
      <c r="N145" s="576">
        <v>46199</v>
      </c>
      <c r="O145" s="433"/>
      <c r="P145" s="380" t="s">
        <v>52</v>
      </c>
      <c r="Q145" s="447"/>
      <c r="R145" s="447"/>
      <c r="S145" s="433">
        <v>46165</v>
      </c>
      <c r="T145" s="436" t="s">
        <v>54</v>
      </c>
      <c r="U145" s="588" t="s">
        <v>721</v>
      </c>
      <c r="V145" s="436"/>
      <c r="W145" s="551" t="s">
        <v>722</v>
      </c>
      <c r="X145" s="439" t="s">
        <v>723</v>
      </c>
      <c r="Y145" s="481">
        <v>10.2316</v>
      </c>
      <c r="Z145" s="441">
        <f>I145*Y145</f>
        <v>1534.74</v>
      </c>
      <c r="AA145" s="424"/>
      <c r="AB145" s="427" t="s">
        <v>50</v>
      </c>
      <c r="AC145" s="518" t="s">
        <v>56</v>
      </c>
      <c r="AD145" s="430"/>
      <c r="AE145" s="536"/>
      <c r="AF145" s="442"/>
      <c r="AG145" s="443"/>
      <c r="AH145" s="443"/>
      <c r="AI145" s="424">
        <f>I145</f>
        <v>150</v>
      </c>
      <c r="AJ145" s="556"/>
      <c r="AK145" s="556"/>
      <c r="AL145" s="539"/>
      <c r="AM145" s="556">
        <f>I145</f>
        <v>150</v>
      </c>
      <c r="AN145" s="460"/>
      <c r="AO145" s="581"/>
      <c r="AP145" s="460"/>
      <c r="AQ145" s="545">
        <f>I145</f>
        <v>150</v>
      </c>
      <c r="AR145" s="545"/>
      <c r="AS145" s="539"/>
      <c r="AT145" s="295"/>
    </row>
    <row r="146" s="301" customFormat="1" ht="36" customHeight="1" spans="1:46">
      <c r="A146" s="369">
        <v>46114</v>
      </c>
      <c r="B146" s="370" t="s">
        <v>594</v>
      </c>
      <c r="C146" s="370" t="s">
        <v>71</v>
      </c>
      <c r="D146" s="371" t="s">
        <v>725</v>
      </c>
      <c r="E146" s="372" t="s">
        <v>726</v>
      </c>
      <c r="F146" s="373" t="s">
        <v>727</v>
      </c>
      <c r="G146" s="374" t="s">
        <v>597</v>
      </c>
      <c r="H146" s="375" t="s">
        <v>51</v>
      </c>
      <c r="I146" s="376">
        <v>1944</v>
      </c>
      <c r="J146" s="377">
        <v>0</v>
      </c>
      <c r="K146" s="377">
        <v>54</v>
      </c>
      <c r="L146" s="378">
        <f t="shared" si="23"/>
        <v>36</v>
      </c>
      <c r="M146" s="379">
        <v>46202</v>
      </c>
      <c r="N146" s="379">
        <v>46202</v>
      </c>
      <c r="O146" s="479"/>
      <c r="P146" s="380" t="s">
        <v>52</v>
      </c>
      <c r="Q146" s="520">
        <v>46204</v>
      </c>
      <c r="R146" s="418" t="s">
        <v>65</v>
      </c>
      <c r="S146" s="380">
        <v>46132</v>
      </c>
      <c r="T146" s="436" t="s">
        <v>54</v>
      </c>
      <c r="U146" s="382" t="s">
        <v>54</v>
      </c>
      <c r="V146" s="382" t="s">
        <v>599</v>
      </c>
      <c r="W146" s="491" t="s">
        <v>609</v>
      </c>
      <c r="X146" s="384" t="s">
        <v>601</v>
      </c>
      <c r="Y146" s="478">
        <v>499.9139</v>
      </c>
      <c r="Z146" s="386">
        <f>Y146*L146</f>
        <v>17996.9004</v>
      </c>
      <c r="AA146" s="371"/>
      <c r="AB146" s="426" t="s">
        <v>602</v>
      </c>
      <c r="AC146" s="388" t="s">
        <v>56</v>
      </c>
      <c r="AD146" s="377"/>
      <c r="AE146" s="389"/>
      <c r="AF146" s="390"/>
      <c r="AG146" s="391"/>
      <c r="AH146" s="391"/>
      <c r="AI146" s="371"/>
      <c r="AJ146" s="482">
        <f>I146</f>
        <v>1944</v>
      </c>
      <c r="AK146" s="592"/>
      <c r="AL146" s="539"/>
      <c r="AM146" s="298"/>
      <c r="AN146" s="468">
        <f>I146</f>
        <v>1944</v>
      </c>
      <c r="AO146" s="581"/>
      <c r="AP146" s="462">
        <f>I146</f>
        <v>1944</v>
      </c>
      <c r="AQ146" s="296"/>
      <c r="AR146" s="296"/>
      <c r="AS146" s="587">
        <f>I146/3</f>
        <v>648</v>
      </c>
      <c r="AT146" s="296"/>
    </row>
    <row r="147" s="295" customFormat="1" ht="36" customHeight="1" spans="1:46">
      <c r="A147" s="369">
        <v>46114</v>
      </c>
      <c r="B147" s="370" t="s">
        <v>594</v>
      </c>
      <c r="C147" s="370" t="s">
        <v>71</v>
      </c>
      <c r="D147" s="371" t="s">
        <v>728</v>
      </c>
      <c r="E147" s="491">
        <v>5840601279</v>
      </c>
      <c r="F147" s="373" t="s">
        <v>729</v>
      </c>
      <c r="G147" s="374" t="s">
        <v>597</v>
      </c>
      <c r="H147" s="375" t="s">
        <v>51</v>
      </c>
      <c r="I147" s="376">
        <v>1944</v>
      </c>
      <c r="J147" s="377">
        <v>0</v>
      </c>
      <c r="K147" s="377">
        <v>54</v>
      </c>
      <c r="L147" s="378">
        <f t="shared" si="23"/>
        <v>36</v>
      </c>
      <c r="M147" s="379">
        <v>46202</v>
      </c>
      <c r="N147" s="379">
        <v>46216</v>
      </c>
      <c r="O147" s="479"/>
      <c r="P147" s="380" t="s">
        <v>52</v>
      </c>
      <c r="Q147" s="520">
        <v>46218</v>
      </c>
      <c r="R147" s="494" t="s">
        <v>65</v>
      </c>
      <c r="S147" s="380">
        <v>46132</v>
      </c>
      <c r="T147" s="436" t="s">
        <v>54</v>
      </c>
      <c r="U147" s="436" t="s">
        <v>54</v>
      </c>
      <c r="V147" s="382" t="s">
        <v>599</v>
      </c>
      <c r="W147" s="491" t="s">
        <v>730</v>
      </c>
      <c r="X147" s="384" t="s">
        <v>601</v>
      </c>
      <c r="Y147" s="478">
        <v>499.9139</v>
      </c>
      <c r="Z147" s="386">
        <f>Y147*L147</f>
        <v>17996.9004</v>
      </c>
      <c r="AA147" s="371"/>
      <c r="AB147" s="387" t="s">
        <v>602</v>
      </c>
      <c r="AC147" s="388" t="s">
        <v>56</v>
      </c>
      <c r="AD147" s="377"/>
      <c r="AE147" s="389"/>
      <c r="AF147" s="390"/>
      <c r="AG147" s="391"/>
      <c r="AH147" s="391"/>
      <c r="AI147" s="371"/>
      <c r="AJ147" s="482">
        <f>I147</f>
        <v>1944</v>
      </c>
      <c r="AK147" s="482"/>
      <c r="AL147" s="296"/>
      <c r="AM147" s="296"/>
      <c r="AN147" s="525">
        <f>I147</f>
        <v>1944</v>
      </c>
      <c r="AO147" s="392"/>
      <c r="AP147" s="593">
        <f>I147</f>
        <v>1944</v>
      </c>
      <c r="AQ147" s="296"/>
      <c r="AR147" s="296"/>
      <c r="AS147" s="587">
        <f>I147/3</f>
        <v>648</v>
      </c>
    </row>
    <row r="148" s="295" customFormat="1" ht="36" customHeight="1" spans="1:46">
      <c r="A148" s="369">
        <v>46168</v>
      </c>
      <c r="B148" s="370" t="s">
        <v>731</v>
      </c>
      <c r="C148" s="370" t="s">
        <v>175</v>
      </c>
      <c r="D148" s="371" t="s">
        <v>732</v>
      </c>
      <c r="E148" s="372" t="s">
        <v>312</v>
      </c>
      <c r="F148" s="373" t="s">
        <v>733</v>
      </c>
      <c r="G148" s="374" t="s">
        <v>125</v>
      </c>
      <c r="H148" s="428" t="s">
        <v>51</v>
      </c>
      <c r="I148" s="376">
        <v>480</v>
      </c>
      <c r="J148" s="377">
        <v>0</v>
      </c>
      <c r="K148" s="377">
        <v>2</v>
      </c>
      <c r="L148" s="378">
        <f t="shared" si="23"/>
        <v>240</v>
      </c>
      <c r="M148" s="379">
        <v>46203</v>
      </c>
      <c r="N148" s="379">
        <v>46202</v>
      </c>
      <c r="O148" s="479"/>
      <c r="P148" s="380" t="s">
        <v>52</v>
      </c>
      <c r="Q148" s="520">
        <v>46212</v>
      </c>
      <c r="R148" s="494" t="s">
        <v>65</v>
      </c>
      <c r="S148" s="380">
        <v>46175</v>
      </c>
      <c r="T148" s="436" t="s">
        <v>54</v>
      </c>
      <c r="U148" s="588" t="s">
        <v>734</v>
      </c>
      <c r="V148" s="570"/>
      <c r="W148" s="491" t="s">
        <v>735</v>
      </c>
      <c r="X148" s="384" t="s">
        <v>388</v>
      </c>
      <c r="Y148" s="478">
        <v>10.5943</v>
      </c>
      <c r="Z148" s="386">
        <f>Y148*L148</f>
        <v>2542.632</v>
      </c>
      <c r="AA148" s="371"/>
      <c r="AB148" s="374" t="s">
        <v>84</v>
      </c>
      <c r="AC148" s="388" t="s">
        <v>56</v>
      </c>
      <c r="AD148" s="377"/>
      <c r="AE148" s="389"/>
      <c r="AF148" s="390"/>
      <c r="AG148" s="391"/>
      <c r="AH148" s="391"/>
      <c r="AI148" s="371"/>
      <c r="AJ148" s="371"/>
      <c r="AK148" s="371"/>
      <c r="AL148" s="296">
        <f>I148</f>
        <v>480</v>
      </c>
      <c r="AM148" s="371">
        <f>I148</f>
        <v>480</v>
      </c>
      <c r="AN148" s="371"/>
      <c r="AO148" s="371" t="s">
        <v>101</v>
      </c>
      <c r="AP148" s="371"/>
      <c r="AQ148" s="388">
        <f>I148</f>
        <v>480</v>
      </c>
      <c r="AR148" s="388"/>
      <c r="AS148" s="388"/>
      <c r="AT148" s="299"/>
    </row>
    <row r="149" s="296" customFormat="1" ht="36" customHeight="1" spans="1:46">
      <c r="A149" s="369">
        <v>46114</v>
      </c>
      <c r="B149" s="370" t="s">
        <v>697</v>
      </c>
      <c r="C149" s="370" t="s">
        <v>341</v>
      </c>
      <c r="D149" s="371" t="s">
        <v>736</v>
      </c>
      <c r="E149" s="372" t="s">
        <v>737</v>
      </c>
      <c r="F149" s="373" t="s">
        <v>738</v>
      </c>
      <c r="G149" s="374" t="s">
        <v>597</v>
      </c>
      <c r="H149" s="428" t="s">
        <v>51</v>
      </c>
      <c r="I149" s="376">
        <v>1944</v>
      </c>
      <c r="J149" s="377">
        <v>0</v>
      </c>
      <c r="K149" s="377">
        <v>54</v>
      </c>
      <c r="L149" s="378">
        <f t="shared" si="23"/>
        <v>36</v>
      </c>
      <c r="M149" s="379">
        <v>46203</v>
      </c>
      <c r="N149" s="542">
        <v>46213</v>
      </c>
      <c r="O149" s="479"/>
      <c r="P149" s="380" t="s">
        <v>52</v>
      </c>
      <c r="Q149" s="520">
        <v>46212</v>
      </c>
      <c r="R149" s="418" t="s">
        <v>65</v>
      </c>
      <c r="S149" s="380">
        <v>46162</v>
      </c>
      <c r="T149" s="382" t="s">
        <v>54</v>
      </c>
      <c r="U149" s="436" t="s">
        <v>54</v>
      </c>
      <c r="V149" s="529" t="s">
        <v>599</v>
      </c>
      <c r="W149" s="383" t="s">
        <v>739</v>
      </c>
      <c r="X149" s="384" t="s">
        <v>601</v>
      </c>
      <c r="Y149" s="478">
        <v>833.19</v>
      </c>
      <c r="Z149" s="386">
        <f>Y149*L149</f>
        <v>29994.84</v>
      </c>
      <c r="AA149" s="371"/>
      <c r="AB149" s="387" t="s">
        <v>602</v>
      </c>
      <c r="AC149" s="388" t="s">
        <v>56</v>
      </c>
      <c r="AD149" s="377"/>
      <c r="AE149" s="389"/>
      <c r="AF149" s="390"/>
      <c r="AG149" s="391"/>
      <c r="AH149" s="391"/>
      <c r="AI149" s="371"/>
      <c r="AJ149" s="482">
        <f>I149</f>
        <v>1944</v>
      </c>
      <c r="AK149" s="592"/>
      <c r="AL149" s="539"/>
      <c r="AM149" s="296"/>
      <c r="AN149" s="525">
        <f>I149</f>
        <v>1944</v>
      </c>
      <c r="AO149" s="392"/>
      <c r="AP149" s="593">
        <f>I149</f>
        <v>1944</v>
      </c>
      <c r="AS149" s="587">
        <f>I149/3</f>
        <v>648</v>
      </c>
    </row>
    <row r="150" s="295" customFormat="1" ht="36" customHeight="1" spans="1:46">
      <c r="A150" s="369">
        <v>46154</v>
      </c>
      <c r="B150" s="370" t="s">
        <v>740</v>
      </c>
      <c r="C150" s="370" t="s">
        <v>741</v>
      </c>
      <c r="D150" s="371" t="s">
        <v>742</v>
      </c>
      <c r="E150" s="573" t="s">
        <v>743</v>
      </c>
      <c r="F150" s="373" t="s">
        <v>744</v>
      </c>
      <c r="G150" s="374" t="s">
        <v>50</v>
      </c>
      <c r="H150" s="428" t="s">
        <v>51</v>
      </c>
      <c r="I150" s="541">
        <v>432</v>
      </c>
      <c r="J150" s="377">
        <v>0</v>
      </c>
      <c r="K150" s="377">
        <v>3</v>
      </c>
      <c r="L150" s="378">
        <f t="shared" si="23"/>
        <v>144</v>
      </c>
      <c r="M150" s="379">
        <v>46203</v>
      </c>
      <c r="N150" s="379">
        <v>46218</v>
      </c>
      <c r="O150" s="380" t="s">
        <v>745</v>
      </c>
      <c r="P150" s="380" t="s">
        <v>52</v>
      </c>
      <c r="Q150" s="520">
        <v>46221</v>
      </c>
      <c r="R150" s="494" t="s">
        <v>65</v>
      </c>
      <c r="S150" s="380">
        <v>46172</v>
      </c>
      <c r="T150" s="436" t="s">
        <v>54</v>
      </c>
      <c r="U150" s="559" t="s">
        <v>746</v>
      </c>
      <c r="V150" s="406"/>
      <c r="W150" s="383" t="s">
        <v>747</v>
      </c>
      <c r="X150" s="384" t="s">
        <v>748</v>
      </c>
      <c r="Y150" s="478">
        <v>10.2316</v>
      </c>
      <c r="Z150" s="386">
        <f>I150*Y150</f>
        <v>4420.0512</v>
      </c>
      <c r="AA150" s="371"/>
      <c r="AB150" s="374" t="s">
        <v>84</v>
      </c>
      <c r="AC150" s="388" t="s">
        <v>56</v>
      </c>
      <c r="AD150" s="377"/>
      <c r="AE150" s="389"/>
      <c r="AF150" s="390"/>
      <c r="AG150" s="391"/>
      <c r="AH150" s="391"/>
      <c r="AI150" s="371"/>
      <c r="AJ150" s="371"/>
      <c r="AK150" s="371"/>
      <c r="AL150" s="296">
        <f>I150</f>
        <v>432</v>
      </c>
      <c r="AM150" s="371">
        <f>I150</f>
        <v>432</v>
      </c>
      <c r="AN150" s="371"/>
      <c r="AO150" s="371" t="s">
        <v>749</v>
      </c>
      <c r="AP150" s="371"/>
      <c r="AQ150" s="388">
        <f>I150</f>
        <v>432</v>
      </c>
      <c r="AR150" s="388"/>
      <c r="AS150" s="296"/>
    </row>
    <row r="151" s="295" customFormat="1" ht="36" customHeight="1" spans="1:46">
      <c r="A151" s="369">
        <v>46171</v>
      </c>
      <c r="B151" s="370" t="s">
        <v>740</v>
      </c>
      <c r="C151" s="370" t="s">
        <v>741</v>
      </c>
      <c r="D151" s="371">
        <v>4500209692</v>
      </c>
      <c r="E151" s="383">
        <v>5907192509</v>
      </c>
      <c r="F151" s="373" t="s">
        <v>750</v>
      </c>
      <c r="G151" s="374" t="s">
        <v>50</v>
      </c>
      <c r="H151" s="375" t="s">
        <v>51</v>
      </c>
      <c r="I151" s="376">
        <v>396</v>
      </c>
      <c r="J151" s="377">
        <v>0</v>
      </c>
      <c r="K151" s="377">
        <v>3</v>
      </c>
      <c r="L151" s="599">
        <f t="shared" si="23"/>
        <v>132</v>
      </c>
      <c r="M151" s="379">
        <v>46203</v>
      </c>
      <c r="N151" s="379">
        <v>46219</v>
      </c>
      <c r="O151" s="479" t="s">
        <v>751</v>
      </c>
      <c r="P151" s="380" t="s">
        <v>52</v>
      </c>
      <c r="Q151" s="520">
        <v>46221</v>
      </c>
      <c r="R151" s="418" t="s">
        <v>65</v>
      </c>
      <c r="S151" s="380">
        <v>46172</v>
      </c>
      <c r="T151" s="436" t="s">
        <v>54</v>
      </c>
      <c r="U151" s="559" t="s">
        <v>752</v>
      </c>
      <c r="V151" s="600"/>
      <c r="W151" s="383" t="s">
        <v>753</v>
      </c>
      <c r="X151" s="384" t="s">
        <v>748</v>
      </c>
      <c r="Y151" s="478">
        <v>10.4985</v>
      </c>
      <c r="Z151" s="386">
        <f>I151*Y151</f>
        <v>4157.406</v>
      </c>
      <c r="AA151" s="371"/>
      <c r="AB151" s="374" t="s">
        <v>84</v>
      </c>
      <c r="AC151" s="388" t="s">
        <v>56</v>
      </c>
      <c r="AD151" s="377"/>
      <c r="AE151" s="389"/>
      <c r="AF151" s="390"/>
      <c r="AG151" s="391"/>
      <c r="AH151" s="391"/>
      <c r="AI151" s="371"/>
      <c r="AJ151" s="371"/>
      <c r="AK151" s="371"/>
      <c r="AL151" s="296">
        <f>I151</f>
        <v>396</v>
      </c>
      <c r="AM151" s="556">
        <f>I151</f>
        <v>396</v>
      </c>
      <c r="AN151" s="371"/>
      <c r="AO151" s="371" t="s">
        <v>749</v>
      </c>
      <c r="AP151" s="371"/>
      <c r="AQ151" s="545">
        <f>I151</f>
        <v>396</v>
      </c>
      <c r="AR151" s="545"/>
      <c r="AS151" s="388"/>
      <c r="AT151" s="298"/>
    </row>
    <row r="152" s="295" customFormat="1" ht="36" customHeight="1" spans="1:46">
      <c r="A152" s="369">
        <v>46154</v>
      </c>
      <c r="B152" s="370" t="s">
        <v>754</v>
      </c>
      <c r="C152" s="370" t="s">
        <v>563</v>
      </c>
      <c r="D152" s="371" t="s">
        <v>755</v>
      </c>
      <c r="E152" s="372" t="s">
        <v>312</v>
      </c>
      <c r="F152" s="373" t="s">
        <v>756</v>
      </c>
      <c r="G152" s="374" t="s">
        <v>50</v>
      </c>
      <c r="H152" s="428" t="s">
        <v>51</v>
      </c>
      <c r="I152" s="376">
        <v>2019</v>
      </c>
      <c r="J152" s="377">
        <v>0</v>
      </c>
      <c r="K152" s="377">
        <v>3</v>
      </c>
      <c r="L152" s="378">
        <f t="shared" si="23"/>
        <v>673</v>
      </c>
      <c r="M152" s="379">
        <v>46203</v>
      </c>
      <c r="N152" s="379">
        <v>46221</v>
      </c>
      <c r="O152" s="380"/>
      <c r="P152" s="380" t="s">
        <v>52</v>
      </c>
      <c r="Q152" s="520">
        <v>46221</v>
      </c>
      <c r="R152" s="494" t="s">
        <v>65</v>
      </c>
      <c r="S152" s="380">
        <v>46172</v>
      </c>
      <c r="T152" s="382" t="s">
        <v>54</v>
      </c>
      <c r="U152" s="559" t="s">
        <v>757</v>
      </c>
      <c r="V152" s="382"/>
      <c r="W152" s="383" t="s">
        <v>747</v>
      </c>
      <c r="X152" s="384" t="s">
        <v>748</v>
      </c>
      <c r="Y152" s="478">
        <v>10.1862</v>
      </c>
      <c r="Z152" s="386">
        <f>I152*Y152</f>
        <v>20565.9378</v>
      </c>
      <c r="AA152" s="371"/>
      <c r="AB152" s="374" t="s">
        <v>84</v>
      </c>
      <c r="AC152" s="388" t="s">
        <v>56</v>
      </c>
      <c r="AD152" s="377"/>
      <c r="AE152" s="389"/>
      <c r="AF152" s="390"/>
      <c r="AG152" s="391"/>
      <c r="AH152" s="391"/>
      <c r="AI152" s="371"/>
      <c r="AJ152" s="371"/>
      <c r="AK152" s="371"/>
      <c r="AL152" s="296">
        <f>I152</f>
        <v>2019</v>
      </c>
      <c r="AM152" s="371">
        <f>I152</f>
        <v>2019</v>
      </c>
      <c r="AN152" s="371"/>
      <c r="AO152" s="371" t="s">
        <v>749</v>
      </c>
      <c r="AP152" s="371"/>
      <c r="AQ152" s="388">
        <f>I152</f>
        <v>2019</v>
      </c>
      <c r="AR152" s="388"/>
      <c r="AS152" s="296"/>
    </row>
    <row r="153" s="295" customFormat="1" ht="36" customHeight="1" spans="1:46">
      <c r="A153" s="369">
        <v>46154</v>
      </c>
      <c r="B153" s="370" t="s">
        <v>758</v>
      </c>
      <c r="C153" s="370" t="s">
        <v>277</v>
      </c>
      <c r="D153" s="371" t="s">
        <v>759</v>
      </c>
      <c r="E153" s="491">
        <v>4407192470</v>
      </c>
      <c r="F153" s="373" t="s">
        <v>760</v>
      </c>
      <c r="G153" s="387" t="s">
        <v>50</v>
      </c>
      <c r="H153" s="428" t="s">
        <v>51</v>
      </c>
      <c r="I153" s="541">
        <v>972</v>
      </c>
      <c r="J153" s="377">
        <v>0</v>
      </c>
      <c r="K153" s="377">
        <v>3</v>
      </c>
      <c r="L153" s="378">
        <f t="shared" si="23"/>
        <v>324</v>
      </c>
      <c r="M153" s="379">
        <v>46203</v>
      </c>
      <c r="N153" s="379">
        <v>46224</v>
      </c>
      <c r="O153" s="380"/>
      <c r="P153" s="380" t="s">
        <v>52</v>
      </c>
      <c r="Q153" s="520">
        <v>46226</v>
      </c>
      <c r="R153" s="418" t="s">
        <v>65</v>
      </c>
      <c r="S153" s="558">
        <v>46172</v>
      </c>
      <c r="T153" s="382" t="s">
        <v>54</v>
      </c>
      <c r="U153" s="559" t="s">
        <v>752</v>
      </c>
      <c r="V153" s="382"/>
      <c r="W153" s="383" t="s">
        <v>761</v>
      </c>
      <c r="X153" s="384" t="s">
        <v>748</v>
      </c>
      <c r="Y153" s="478">
        <v>9.9425</v>
      </c>
      <c r="Z153" s="386">
        <f>I153*Y153</f>
        <v>9664.11</v>
      </c>
      <c r="AA153" s="371"/>
      <c r="AB153" s="374" t="s">
        <v>84</v>
      </c>
      <c r="AC153" s="388" t="s">
        <v>56</v>
      </c>
      <c r="AD153" s="377"/>
      <c r="AE153" s="389"/>
      <c r="AF153" s="390"/>
      <c r="AG153" s="391"/>
      <c r="AH153" s="391"/>
      <c r="AI153" s="371"/>
      <c r="AJ153" s="371"/>
      <c r="AK153" s="371"/>
      <c r="AL153" s="296">
        <f>I153</f>
        <v>972</v>
      </c>
      <c r="AM153" s="371">
        <f>I153</f>
        <v>972</v>
      </c>
      <c r="AN153" s="392"/>
      <c r="AO153" s="392" t="s">
        <v>749</v>
      </c>
      <c r="AP153" s="392"/>
      <c r="AQ153" s="388">
        <f>I153</f>
        <v>972</v>
      </c>
      <c r="AR153" s="388"/>
      <c r="AS153" s="296"/>
      <c r="AT153" s="298"/>
    </row>
    <row r="154" s="295" customFormat="1" ht="36" customHeight="1" spans="1:46">
      <c r="A154" s="369">
        <v>46168</v>
      </c>
      <c r="B154" s="370" t="s">
        <v>762</v>
      </c>
      <c r="C154" s="370" t="s">
        <v>175</v>
      </c>
      <c r="D154" s="371" t="s">
        <v>763</v>
      </c>
      <c r="E154" s="372" t="s">
        <v>312</v>
      </c>
      <c r="F154" s="373" t="s">
        <v>764</v>
      </c>
      <c r="G154" s="374" t="s">
        <v>50</v>
      </c>
      <c r="H154" s="428" t="s">
        <v>51</v>
      </c>
      <c r="I154" s="376">
        <v>300</v>
      </c>
      <c r="J154" s="377">
        <v>0</v>
      </c>
      <c r="K154" s="377">
        <v>3</v>
      </c>
      <c r="L154" s="378">
        <f t="shared" si="23"/>
        <v>100</v>
      </c>
      <c r="M154" s="379">
        <v>46203</v>
      </c>
      <c r="N154" s="379">
        <v>46238</v>
      </c>
      <c r="O154" s="479"/>
      <c r="P154" s="380" t="s">
        <v>52</v>
      </c>
      <c r="Q154" s="520">
        <v>46240</v>
      </c>
      <c r="R154" s="418" t="s">
        <v>65</v>
      </c>
      <c r="S154" s="380">
        <v>46168</v>
      </c>
      <c r="T154" s="436" t="s">
        <v>54</v>
      </c>
      <c r="U154" s="382" t="s">
        <v>54</v>
      </c>
      <c r="V154" s="568"/>
      <c r="W154" s="383" t="s">
        <v>765</v>
      </c>
      <c r="X154" s="384" t="s">
        <v>388</v>
      </c>
      <c r="Y154" s="478">
        <v>10.4985</v>
      </c>
      <c r="Z154" s="386">
        <f>I154*Y154</f>
        <v>3149.55</v>
      </c>
      <c r="AA154" s="371"/>
      <c r="AB154" s="374" t="s">
        <v>84</v>
      </c>
      <c r="AC154" s="388" t="s">
        <v>56</v>
      </c>
      <c r="AD154" s="377"/>
      <c r="AE154" s="389"/>
      <c r="AF154" s="390"/>
      <c r="AG154" s="391"/>
      <c r="AH154" s="391"/>
      <c r="AI154" s="371"/>
      <c r="AJ154" s="371"/>
      <c r="AK154" s="371"/>
      <c r="AL154" s="296">
        <f>I154</f>
        <v>300</v>
      </c>
      <c r="AM154" s="371">
        <f>I154</f>
        <v>300</v>
      </c>
      <c r="AN154" s="371"/>
      <c r="AO154" s="392" t="s">
        <v>101</v>
      </c>
      <c r="AP154" s="371"/>
      <c r="AQ154" s="388">
        <f>I154</f>
        <v>300</v>
      </c>
      <c r="AR154" s="388"/>
      <c r="AS154" s="296"/>
      <c r="AT154" s="299"/>
    </row>
    <row r="155" s="295" customFormat="1" ht="36" customHeight="1" spans="1:46">
      <c r="A155" s="369">
        <v>46154</v>
      </c>
      <c r="B155" s="370" t="s">
        <v>594</v>
      </c>
      <c r="C155" s="370" t="s">
        <v>71</v>
      </c>
      <c r="D155" s="371" t="s">
        <v>766</v>
      </c>
      <c r="E155" s="372" t="s">
        <v>767</v>
      </c>
      <c r="F155" s="373" t="s">
        <v>768</v>
      </c>
      <c r="G155" s="374" t="s">
        <v>597</v>
      </c>
      <c r="H155" s="428" t="s">
        <v>51</v>
      </c>
      <c r="I155" s="376">
        <v>1944</v>
      </c>
      <c r="J155" s="377">
        <v>0</v>
      </c>
      <c r="K155" s="377">
        <v>54</v>
      </c>
      <c r="L155" s="378">
        <f t="shared" si="23"/>
        <v>36</v>
      </c>
      <c r="M155" s="379">
        <v>46204</v>
      </c>
      <c r="N155" s="379">
        <v>46202</v>
      </c>
      <c r="O155" s="479"/>
      <c r="P155" s="380" t="s">
        <v>52</v>
      </c>
      <c r="Q155" s="520">
        <v>46205</v>
      </c>
      <c r="R155" s="418"/>
      <c r="S155" s="380" t="s">
        <v>769</v>
      </c>
      <c r="T155" s="382" t="s">
        <v>54</v>
      </c>
      <c r="U155" s="436" t="s">
        <v>54</v>
      </c>
      <c r="V155" s="529" t="s">
        <v>599</v>
      </c>
      <c r="W155" s="383" t="s">
        <v>770</v>
      </c>
      <c r="X155" s="384" t="s">
        <v>601</v>
      </c>
      <c r="Y155" s="478">
        <v>499.9139</v>
      </c>
      <c r="Z155" s="386">
        <f t="shared" ref="Z155:Z178" si="24">Y155*L155</f>
        <v>17996.9004</v>
      </c>
      <c r="AA155" s="371"/>
      <c r="AB155" s="387" t="s">
        <v>602</v>
      </c>
      <c r="AC155" s="388" t="s">
        <v>56</v>
      </c>
      <c r="AD155" s="377"/>
      <c r="AE155" s="389"/>
      <c r="AF155" s="390"/>
      <c r="AG155" s="391"/>
      <c r="AH155" s="391"/>
      <c r="AI155" s="371"/>
      <c r="AJ155" s="482">
        <f>I155</f>
        <v>1944</v>
      </c>
      <c r="AK155" s="592"/>
      <c r="AL155" s="539"/>
      <c r="AM155" s="296"/>
      <c r="AN155" s="525">
        <f>I155</f>
        <v>1944</v>
      </c>
      <c r="AO155" s="392"/>
      <c r="AP155" s="593">
        <f>I155</f>
        <v>1944</v>
      </c>
      <c r="AQ155" s="296"/>
      <c r="AR155" s="296"/>
      <c r="AS155" s="388">
        <f>I155/3</f>
        <v>648</v>
      </c>
    </row>
    <row r="156" s="295" customFormat="1" ht="36" customHeight="1" spans="1:46">
      <c r="A156" s="369">
        <v>46154</v>
      </c>
      <c r="B156" s="370" t="s">
        <v>594</v>
      </c>
      <c r="C156" s="370" t="s">
        <v>71</v>
      </c>
      <c r="D156" s="371" t="s">
        <v>771</v>
      </c>
      <c r="E156" s="372" t="s">
        <v>772</v>
      </c>
      <c r="F156" s="373" t="s">
        <v>773</v>
      </c>
      <c r="G156" s="374" t="s">
        <v>597</v>
      </c>
      <c r="H156" s="428" t="s">
        <v>51</v>
      </c>
      <c r="I156" s="376">
        <v>1944</v>
      </c>
      <c r="J156" s="377">
        <v>0</v>
      </c>
      <c r="K156" s="377">
        <v>54</v>
      </c>
      <c r="L156" s="378">
        <f t="shared" si="23"/>
        <v>36</v>
      </c>
      <c r="M156" s="379">
        <v>46204</v>
      </c>
      <c r="N156" s="379">
        <v>46202</v>
      </c>
      <c r="O156" s="479"/>
      <c r="P156" s="380" t="s">
        <v>52</v>
      </c>
      <c r="Q156" s="520">
        <v>46205</v>
      </c>
      <c r="R156" s="494"/>
      <c r="S156" s="380" t="s">
        <v>769</v>
      </c>
      <c r="T156" s="382" t="s">
        <v>54</v>
      </c>
      <c r="U156" s="382" t="s">
        <v>54</v>
      </c>
      <c r="V156" s="382" t="s">
        <v>599</v>
      </c>
      <c r="W156" s="383" t="s">
        <v>770</v>
      </c>
      <c r="X156" s="384" t="s">
        <v>601</v>
      </c>
      <c r="Y156" s="478">
        <v>499.9139</v>
      </c>
      <c r="Z156" s="386">
        <f t="shared" si="24"/>
        <v>17996.9004</v>
      </c>
      <c r="AA156" s="371"/>
      <c r="AB156" s="387" t="s">
        <v>602</v>
      </c>
      <c r="AC156" s="388" t="s">
        <v>56</v>
      </c>
      <c r="AD156" s="377"/>
      <c r="AE156" s="389"/>
      <c r="AF156" s="390"/>
      <c r="AG156" s="391"/>
      <c r="AH156" s="391"/>
      <c r="AI156" s="371"/>
      <c r="AJ156" s="482">
        <f>I156</f>
        <v>1944</v>
      </c>
      <c r="AK156" s="482"/>
      <c r="AL156" s="296"/>
      <c r="AM156" s="296"/>
      <c r="AN156" s="383">
        <f>I156</f>
        <v>1944</v>
      </c>
      <c r="AO156" s="371"/>
      <c r="AP156" s="387">
        <f>I156</f>
        <v>1944</v>
      </c>
      <c r="AQ156" s="296"/>
      <c r="AR156" s="296"/>
      <c r="AS156" s="388">
        <f>I156/3</f>
        <v>648</v>
      </c>
    </row>
    <row r="157" s="295" customFormat="1" ht="36" customHeight="1" spans="1:46">
      <c r="A157" s="369">
        <v>46154</v>
      </c>
      <c r="B157" s="370" t="s">
        <v>774</v>
      </c>
      <c r="C157" s="370" t="s">
        <v>341</v>
      </c>
      <c r="D157" s="371" t="s">
        <v>775</v>
      </c>
      <c r="E157" s="372" t="s">
        <v>776</v>
      </c>
      <c r="F157" s="373" t="s">
        <v>777</v>
      </c>
      <c r="G157" s="374" t="s">
        <v>169</v>
      </c>
      <c r="H157" s="428" t="s">
        <v>51</v>
      </c>
      <c r="I157" s="376">
        <v>9</v>
      </c>
      <c r="J157" s="377">
        <v>0</v>
      </c>
      <c r="K157" s="377">
        <v>3</v>
      </c>
      <c r="L157" s="378">
        <f t="shared" si="23"/>
        <v>3</v>
      </c>
      <c r="M157" s="379">
        <v>46204</v>
      </c>
      <c r="N157" s="379">
        <v>46213</v>
      </c>
      <c r="O157" s="380"/>
      <c r="P157" s="380" t="s">
        <v>52</v>
      </c>
      <c r="Q157" s="520">
        <v>46213</v>
      </c>
      <c r="R157" s="405" t="s">
        <v>98</v>
      </c>
      <c r="S157" s="380">
        <v>46154</v>
      </c>
      <c r="T157" s="382" t="s">
        <v>66</v>
      </c>
      <c r="U157" s="559" t="s">
        <v>778</v>
      </c>
      <c r="V157" s="568" t="s">
        <v>779</v>
      </c>
      <c r="W157" s="383" t="s">
        <v>780</v>
      </c>
      <c r="X157" s="384" t="s">
        <v>168</v>
      </c>
      <c r="Y157" s="478">
        <v>12.65</v>
      </c>
      <c r="Z157" s="386">
        <f t="shared" si="24"/>
        <v>37.95</v>
      </c>
      <c r="AA157" s="371"/>
      <c r="AB157" s="387" t="s">
        <v>183</v>
      </c>
      <c r="AC157" s="388" t="s">
        <v>56</v>
      </c>
      <c r="AD157" s="377"/>
      <c r="AE157" s="389"/>
      <c r="AF157" s="390"/>
      <c r="AG157" s="391"/>
      <c r="AH157" s="391"/>
      <c r="AI157" s="371"/>
      <c r="AJ157" s="371"/>
      <c r="AK157" s="371"/>
      <c r="AL157" s="371">
        <f t="shared" ref="AL157:AL166" si="25">I157</f>
        <v>9</v>
      </c>
      <c r="AM157" s="383">
        <f t="shared" ref="AM157:AM167" si="26">I157</f>
        <v>9</v>
      </c>
      <c r="AN157" s="371"/>
      <c r="AO157" s="371"/>
      <c r="AP157" s="371"/>
      <c r="AQ157" s="387">
        <f t="shared" ref="AQ157:AQ167" si="27">I157</f>
        <v>9</v>
      </c>
      <c r="AR157" s="387"/>
      <c r="AS157" s="296"/>
    </row>
    <row r="158" s="295" customFormat="1" ht="36" customHeight="1" spans="1:46">
      <c r="A158" s="369">
        <v>46154</v>
      </c>
      <c r="B158" s="370" t="s">
        <v>774</v>
      </c>
      <c r="C158" s="370" t="s">
        <v>341</v>
      </c>
      <c r="D158" s="371" t="s">
        <v>775</v>
      </c>
      <c r="E158" s="372" t="s">
        <v>781</v>
      </c>
      <c r="F158" s="373" t="s">
        <v>782</v>
      </c>
      <c r="G158" s="374" t="s">
        <v>169</v>
      </c>
      <c r="H158" s="428" t="s">
        <v>51</v>
      </c>
      <c r="I158" s="376">
        <v>15</v>
      </c>
      <c r="J158" s="377">
        <v>0</v>
      </c>
      <c r="K158" s="377">
        <v>3</v>
      </c>
      <c r="L158" s="378">
        <f t="shared" si="23"/>
        <v>5</v>
      </c>
      <c r="M158" s="379">
        <v>46204</v>
      </c>
      <c r="N158" s="379">
        <v>46213</v>
      </c>
      <c r="O158" s="380"/>
      <c r="P158" s="380" t="s">
        <v>52</v>
      </c>
      <c r="Q158" s="520">
        <v>46213</v>
      </c>
      <c r="R158" s="405" t="s">
        <v>98</v>
      </c>
      <c r="S158" s="380">
        <v>46154</v>
      </c>
      <c r="T158" s="436" t="s">
        <v>66</v>
      </c>
      <c r="U158" s="588" t="s">
        <v>778</v>
      </c>
      <c r="V158" s="601" t="s">
        <v>779</v>
      </c>
      <c r="W158" s="383" t="s">
        <v>780</v>
      </c>
      <c r="X158" s="384" t="s">
        <v>168</v>
      </c>
      <c r="Y158" s="478">
        <v>12.65</v>
      </c>
      <c r="Z158" s="386">
        <f t="shared" si="24"/>
        <v>63.25</v>
      </c>
      <c r="AA158" s="371"/>
      <c r="AB158" s="387" t="s">
        <v>183</v>
      </c>
      <c r="AC158" s="388" t="s">
        <v>56</v>
      </c>
      <c r="AD158" s="377"/>
      <c r="AE158" s="389"/>
      <c r="AF158" s="390"/>
      <c r="AG158" s="391"/>
      <c r="AH158" s="391"/>
      <c r="AI158" s="371"/>
      <c r="AJ158" s="371"/>
      <c r="AK158" s="371"/>
      <c r="AL158" s="371">
        <f t="shared" si="25"/>
        <v>15</v>
      </c>
      <c r="AM158" s="383">
        <f t="shared" si="26"/>
        <v>15</v>
      </c>
      <c r="AN158" s="371"/>
      <c r="AO158" s="371"/>
      <c r="AP158" s="371"/>
      <c r="AQ158" s="387">
        <f t="shared" si="27"/>
        <v>15</v>
      </c>
      <c r="AR158" s="387"/>
      <c r="AS158" s="296"/>
    </row>
    <row r="159" s="295" customFormat="1" ht="36" customHeight="1" spans="1:46">
      <c r="A159" s="422">
        <v>46154</v>
      </c>
      <c r="B159" s="423" t="s">
        <v>774</v>
      </c>
      <c r="C159" s="423" t="s">
        <v>341</v>
      </c>
      <c r="D159" s="424" t="s">
        <v>775</v>
      </c>
      <c r="E159" s="532" t="s">
        <v>783</v>
      </c>
      <c r="F159" s="533" t="s">
        <v>784</v>
      </c>
      <c r="G159" s="427" t="s">
        <v>169</v>
      </c>
      <c r="H159" s="428" t="s">
        <v>51</v>
      </c>
      <c r="I159" s="450">
        <v>9</v>
      </c>
      <c r="J159" s="430">
        <v>0</v>
      </c>
      <c r="K159" s="430">
        <v>3</v>
      </c>
      <c r="L159" s="431">
        <f t="shared" si="23"/>
        <v>3</v>
      </c>
      <c r="M159" s="432">
        <v>46204</v>
      </c>
      <c r="N159" s="432">
        <v>46213</v>
      </c>
      <c r="O159" s="433"/>
      <c r="P159" s="558" t="s">
        <v>52</v>
      </c>
      <c r="Q159" s="520">
        <v>46213</v>
      </c>
      <c r="R159" s="447" t="s">
        <v>98</v>
      </c>
      <c r="S159" s="433">
        <v>46154</v>
      </c>
      <c r="T159" s="436" t="s">
        <v>66</v>
      </c>
      <c r="U159" s="588" t="s">
        <v>778</v>
      </c>
      <c r="V159" s="567" t="s">
        <v>779</v>
      </c>
      <c r="W159" s="438" t="s">
        <v>780</v>
      </c>
      <c r="X159" s="439" t="s">
        <v>168</v>
      </c>
      <c r="Y159" s="481">
        <v>12.65</v>
      </c>
      <c r="Z159" s="441">
        <f t="shared" si="24"/>
        <v>37.95</v>
      </c>
      <c r="AA159" s="424"/>
      <c r="AB159" s="411" t="s">
        <v>183</v>
      </c>
      <c r="AC159" s="388" t="s">
        <v>56</v>
      </c>
      <c r="AD159" s="430"/>
      <c r="AE159" s="536"/>
      <c r="AF159" s="442"/>
      <c r="AG159" s="443"/>
      <c r="AH159" s="443"/>
      <c r="AI159" s="424"/>
      <c r="AJ159" s="424"/>
      <c r="AK159" s="424"/>
      <c r="AL159" s="424">
        <f t="shared" si="25"/>
        <v>9</v>
      </c>
      <c r="AM159" s="383">
        <f t="shared" si="26"/>
        <v>9</v>
      </c>
      <c r="AN159" s="444"/>
      <c r="AO159" s="392"/>
      <c r="AP159" s="392"/>
      <c r="AQ159" s="387">
        <f t="shared" si="27"/>
        <v>9</v>
      </c>
      <c r="AR159" s="387"/>
      <c r="AS159" s="296"/>
    </row>
    <row r="160" s="295" customFormat="1" ht="36" customHeight="1" spans="1:46">
      <c r="A160" s="369">
        <v>46154</v>
      </c>
      <c r="B160" s="370" t="s">
        <v>774</v>
      </c>
      <c r="C160" s="370" t="s">
        <v>341</v>
      </c>
      <c r="D160" s="371" t="s">
        <v>775</v>
      </c>
      <c r="E160" s="372" t="s">
        <v>785</v>
      </c>
      <c r="F160" s="373" t="s">
        <v>786</v>
      </c>
      <c r="G160" s="374" t="s">
        <v>169</v>
      </c>
      <c r="H160" s="428" t="s">
        <v>51</v>
      </c>
      <c r="I160" s="376">
        <v>9</v>
      </c>
      <c r="J160" s="377">
        <v>0</v>
      </c>
      <c r="K160" s="377">
        <v>3</v>
      </c>
      <c r="L160" s="378">
        <f t="shared" si="23"/>
        <v>3</v>
      </c>
      <c r="M160" s="379">
        <v>46204</v>
      </c>
      <c r="N160" s="379">
        <v>46213</v>
      </c>
      <c r="O160" s="433"/>
      <c r="P160" s="380" t="s">
        <v>52</v>
      </c>
      <c r="Q160" s="520">
        <v>46213</v>
      </c>
      <c r="R160" s="381" t="s">
        <v>98</v>
      </c>
      <c r="S160" s="380">
        <v>46154</v>
      </c>
      <c r="T160" s="382" t="s">
        <v>66</v>
      </c>
      <c r="U160" s="559" t="s">
        <v>778</v>
      </c>
      <c r="V160" s="568" t="s">
        <v>779</v>
      </c>
      <c r="W160" s="383" t="s">
        <v>780</v>
      </c>
      <c r="X160" s="384" t="s">
        <v>168</v>
      </c>
      <c r="Y160" s="478">
        <v>12.65</v>
      </c>
      <c r="Z160" s="386">
        <f t="shared" si="24"/>
        <v>37.95</v>
      </c>
      <c r="AA160" s="371"/>
      <c r="AB160" s="387" t="s">
        <v>183</v>
      </c>
      <c r="AC160" s="388" t="s">
        <v>56</v>
      </c>
      <c r="AD160" s="377"/>
      <c r="AE160" s="389"/>
      <c r="AF160" s="390"/>
      <c r="AG160" s="391"/>
      <c r="AH160" s="391"/>
      <c r="AI160" s="371"/>
      <c r="AJ160" s="371"/>
      <c r="AK160" s="371"/>
      <c r="AL160" s="371">
        <f t="shared" si="25"/>
        <v>9</v>
      </c>
      <c r="AM160" s="383">
        <f t="shared" si="26"/>
        <v>9</v>
      </c>
      <c r="AN160" s="392"/>
      <c r="AO160" s="392"/>
      <c r="AP160" s="392"/>
      <c r="AQ160" s="387">
        <f t="shared" si="27"/>
        <v>9</v>
      </c>
      <c r="AR160" s="387"/>
      <c r="AS160" s="296"/>
    </row>
    <row r="161" s="295" customFormat="1" ht="36" customHeight="1" spans="1:46">
      <c r="A161" s="369">
        <v>46154</v>
      </c>
      <c r="B161" s="370" t="s">
        <v>774</v>
      </c>
      <c r="C161" s="370" t="s">
        <v>341</v>
      </c>
      <c r="D161" s="371" t="s">
        <v>775</v>
      </c>
      <c r="E161" s="372" t="s">
        <v>787</v>
      </c>
      <c r="F161" s="373" t="s">
        <v>788</v>
      </c>
      <c r="G161" s="374" t="s">
        <v>169</v>
      </c>
      <c r="H161" s="428" t="s">
        <v>51</v>
      </c>
      <c r="I161" s="376">
        <v>6</v>
      </c>
      <c r="J161" s="377">
        <v>0</v>
      </c>
      <c r="K161" s="377">
        <v>3</v>
      </c>
      <c r="L161" s="378">
        <f t="shared" si="23"/>
        <v>2</v>
      </c>
      <c r="M161" s="379">
        <v>46204</v>
      </c>
      <c r="N161" s="379">
        <v>46213</v>
      </c>
      <c r="O161" s="380"/>
      <c r="P161" s="380" t="s">
        <v>52</v>
      </c>
      <c r="Q161" s="520">
        <v>46213</v>
      </c>
      <c r="R161" s="381" t="s">
        <v>98</v>
      </c>
      <c r="S161" s="558">
        <v>46154</v>
      </c>
      <c r="T161" s="382" t="s">
        <v>66</v>
      </c>
      <c r="U161" s="559" t="s">
        <v>778</v>
      </c>
      <c r="V161" s="568" t="s">
        <v>779</v>
      </c>
      <c r="W161" s="383" t="s">
        <v>780</v>
      </c>
      <c r="X161" s="384" t="s">
        <v>168</v>
      </c>
      <c r="Y161" s="478">
        <v>12.65</v>
      </c>
      <c r="Z161" s="386">
        <f t="shared" si="24"/>
        <v>25.3</v>
      </c>
      <c r="AA161" s="371"/>
      <c r="AB161" s="387" t="s">
        <v>183</v>
      </c>
      <c r="AC161" s="388" t="s">
        <v>56</v>
      </c>
      <c r="AD161" s="377"/>
      <c r="AE161" s="389"/>
      <c r="AF161" s="390"/>
      <c r="AG161" s="391"/>
      <c r="AH161" s="391"/>
      <c r="AI161" s="371"/>
      <c r="AJ161" s="371"/>
      <c r="AK161" s="371"/>
      <c r="AL161" s="371">
        <f t="shared" si="25"/>
        <v>6</v>
      </c>
      <c r="AM161" s="383">
        <f t="shared" si="26"/>
        <v>6</v>
      </c>
      <c r="AN161" s="392"/>
      <c r="AO161" s="392"/>
      <c r="AP161" s="392"/>
      <c r="AQ161" s="387">
        <f t="shared" si="27"/>
        <v>6</v>
      </c>
      <c r="AR161" s="387"/>
      <c r="AS161" s="296"/>
    </row>
    <row r="162" s="295" customFormat="1" ht="36" customHeight="1" spans="1:46">
      <c r="A162" s="422">
        <v>46154</v>
      </c>
      <c r="B162" s="423" t="s">
        <v>774</v>
      </c>
      <c r="C162" s="423" t="s">
        <v>341</v>
      </c>
      <c r="D162" s="424" t="s">
        <v>775</v>
      </c>
      <c r="E162" s="532" t="s">
        <v>789</v>
      </c>
      <c r="F162" s="533" t="s">
        <v>790</v>
      </c>
      <c r="G162" s="427" t="s">
        <v>169</v>
      </c>
      <c r="H162" s="428" t="s">
        <v>51</v>
      </c>
      <c r="I162" s="450">
        <v>9</v>
      </c>
      <c r="J162" s="377">
        <v>0</v>
      </c>
      <c r="K162" s="377">
        <v>3</v>
      </c>
      <c r="L162" s="378">
        <f t="shared" si="23"/>
        <v>3</v>
      </c>
      <c r="M162" s="432">
        <v>46204</v>
      </c>
      <c r="N162" s="432">
        <v>46213</v>
      </c>
      <c r="O162" s="558"/>
      <c r="P162" s="380" t="s">
        <v>52</v>
      </c>
      <c r="Q162" s="535">
        <v>46213</v>
      </c>
      <c r="R162" s="447" t="s">
        <v>98</v>
      </c>
      <c r="S162" s="433">
        <v>46154</v>
      </c>
      <c r="T162" s="436" t="s">
        <v>66</v>
      </c>
      <c r="U162" s="588" t="s">
        <v>778</v>
      </c>
      <c r="V162" s="567" t="s">
        <v>779</v>
      </c>
      <c r="W162" s="438" t="s">
        <v>780</v>
      </c>
      <c r="X162" s="439" t="s">
        <v>168</v>
      </c>
      <c r="Y162" s="481">
        <v>12.65</v>
      </c>
      <c r="Z162" s="441">
        <f t="shared" si="24"/>
        <v>37.95</v>
      </c>
      <c r="AA162" s="424"/>
      <c r="AB162" s="387" t="s">
        <v>183</v>
      </c>
      <c r="AC162" s="388" t="s">
        <v>56</v>
      </c>
      <c r="AD162" s="430"/>
      <c r="AE162" s="536"/>
      <c r="AF162" s="442"/>
      <c r="AG162" s="443"/>
      <c r="AH162" s="443"/>
      <c r="AI162" s="424"/>
      <c r="AJ162" s="424"/>
      <c r="AK162" s="424"/>
      <c r="AL162" s="371">
        <f t="shared" si="25"/>
        <v>9</v>
      </c>
      <c r="AM162" s="383">
        <f t="shared" si="26"/>
        <v>9</v>
      </c>
      <c r="AN162" s="371"/>
      <c r="AO162" s="392"/>
      <c r="AP162" s="371"/>
      <c r="AQ162" s="387">
        <f t="shared" si="27"/>
        <v>9</v>
      </c>
      <c r="AR162" s="426"/>
      <c r="AS162" s="539"/>
    </row>
    <row r="163" s="301" customFormat="1" ht="36" customHeight="1" spans="1:46">
      <c r="A163" s="369">
        <v>46154</v>
      </c>
      <c r="B163" s="370" t="s">
        <v>774</v>
      </c>
      <c r="C163" s="370" t="s">
        <v>341</v>
      </c>
      <c r="D163" s="371" t="s">
        <v>775</v>
      </c>
      <c r="E163" s="372" t="s">
        <v>791</v>
      </c>
      <c r="F163" s="373" t="s">
        <v>792</v>
      </c>
      <c r="G163" s="374" t="s">
        <v>169</v>
      </c>
      <c r="H163" s="428" t="s">
        <v>51</v>
      </c>
      <c r="I163" s="376">
        <v>12</v>
      </c>
      <c r="J163" s="377">
        <v>0</v>
      </c>
      <c r="K163" s="377">
        <v>3</v>
      </c>
      <c r="L163" s="378">
        <f t="shared" si="23"/>
        <v>4</v>
      </c>
      <c r="M163" s="379">
        <v>46204</v>
      </c>
      <c r="N163" s="379">
        <v>46213</v>
      </c>
      <c r="O163" s="380"/>
      <c r="P163" s="380" t="s">
        <v>52</v>
      </c>
      <c r="Q163" s="520">
        <v>46213</v>
      </c>
      <c r="R163" s="381" t="s">
        <v>98</v>
      </c>
      <c r="S163" s="380">
        <v>46154</v>
      </c>
      <c r="T163" s="436" t="s">
        <v>66</v>
      </c>
      <c r="U163" s="559" t="s">
        <v>778</v>
      </c>
      <c r="V163" s="568" t="s">
        <v>779</v>
      </c>
      <c r="W163" s="383" t="s">
        <v>780</v>
      </c>
      <c r="X163" s="384" t="s">
        <v>168</v>
      </c>
      <c r="Y163" s="478">
        <v>12.65</v>
      </c>
      <c r="Z163" s="386">
        <f t="shared" si="24"/>
        <v>50.6</v>
      </c>
      <c r="AA163" s="371"/>
      <c r="AB163" s="387" t="s">
        <v>183</v>
      </c>
      <c r="AC163" s="388" t="s">
        <v>56</v>
      </c>
      <c r="AD163" s="377"/>
      <c r="AE163" s="389"/>
      <c r="AF163" s="390"/>
      <c r="AG163" s="391"/>
      <c r="AH163" s="391"/>
      <c r="AI163" s="371"/>
      <c r="AJ163" s="371"/>
      <c r="AK163" s="371"/>
      <c r="AL163" s="371">
        <f t="shared" si="25"/>
        <v>12</v>
      </c>
      <c r="AM163" s="383">
        <f t="shared" si="26"/>
        <v>12</v>
      </c>
      <c r="AN163" s="371"/>
      <c r="AO163" s="371"/>
      <c r="AP163" s="371"/>
      <c r="AQ163" s="387">
        <f t="shared" si="27"/>
        <v>12</v>
      </c>
      <c r="AR163" s="387"/>
      <c r="AS163" s="296"/>
      <c r="AT163" s="296"/>
    </row>
    <row r="164" s="302" customFormat="1" ht="36" customHeight="1" spans="1:46">
      <c r="A164" s="369">
        <v>46154</v>
      </c>
      <c r="B164" s="370" t="s">
        <v>774</v>
      </c>
      <c r="C164" s="370" t="s">
        <v>341</v>
      </c>
      <c r="D164" s="371" t="s">
        <v>775</v>
      </c>
      <c r="E164" s="372" t="s">
        <v>793</v>
      </c>
      <c r="F164" s="373" t="s">
        <v>794</v>
      </c>
      <c r="G164" s="374" t="s">
        <v>169</v>
      </c>
      <c r="H164" s="428" t="s">
        <v>51</v>
      </c>
      <c r="I164" s="376">
        <v>15</v>
      </c>
      <c r="J164" s="377">
        <v>0</v>
      </c>
      <c r="K164" s="377">
        <v>3</v>
      </c>
      <c r="L164" s="378">
        <f t="shared" si="23"/>
        <v>5</v>
      </c>
      <c r="M164" s="379">
        <v>46204</v>
      </c>
      <c r="N164" s="379">
        <v>46213</v>
      </c>
      <c r="O164" s="380"/>
      <c r="P164" s="380" t="s">
        <v>52</v>
      </c>
      <c r="Q164" s="520">
        <v>46213</v>
      </c>
      <c r="R164" s="381" t="s">
        <v>98</v>
      </c>
      <c r="S164" s="380">
        <v>46154</v>
      </c>
      <c r="T164" s="436" t="s">
        <v>66</v>
      </c>
      <c r="U164" s="559" t="s">
        <v>778</v>
      </c>
      <c r="V164" s="568" t="s">
        <v>779</v>
      </c>
      <c r="W164" s="383" t="s">
        <v>780</v>
      </c>
      <c r="X164" s="384" t="s">
        <v>168</v>
      </c>
      <c r="Y164" s="478">
        <v>12.65</v>
      </c>
      <c r="Z164" s="386">
        <f t="shared" si="24"/>
        <v>63.25</v>
      </c>
      <c r="AA164" s="371"/>
      <c r="AB164" s="411" t="s">
        <v>183</v>
      </c>
      <c r="AC164" s="388" t="s">
        <v>56</v>
      </c>
      <c r="AD164" s="377"/>
      <c r="AE164" s="389"/>
      <c r="AF164" s="390"/>
      <c r="AG164" s="391"/>
      <c r="AH164" s="391"/>
      <c r="AI164" s="371"/>
      <c r="AJ164" s="371"/>
      <c r="AK164" s="371"/>
      <c r="AL164" s="371">
        <f t="shared" si="25"/>
        <v>15</v>
      </c>
      <c r="AM164" s="383">
        <f t="shared" si="26"/>
        <v>15</v>
      </c>
      <c r="AN164" s="392"/>
      <c r="AO164" s="392"/>
      <c r="AP164" s="392"/>
      <c r="AQ164" s="387">
        <f t="shared" si="27"/>
        <v>15</v>
      </c>
      <c r="AR164" s="387"/>
      <c r="AS164" s="296"/>
      <c r="AT164" s="528"/>
    </row>
    <row r="165" s="295" customFormat="1" ht="36" customHeight="1" spans="1:46">
      <c r="A165" s="369">
        <v>46154</v>
      </c>
      <c r="B165" s="370" t="s">
        <v>774</v>
      </c>
      <c r="C165" s="370" t="s">
        <v>341</v>
      </c>
      <c r="D165" s="371" t="s">
        <v>775</v>
      </c>
      <c r="E165" s="372" t="s">
        <v>795</v>
      </c>
      <c r="F165" s="373" t="s">
        <v>796</v>
      </c>
      <c r="G165" s="374" t="s">
        <v>169</v>
      </c>
      <c r="H165" s="428" t="s">
        <v>51</v>
      </c>
      <c r="I165" s="376">
        <v>9</v>
      </c>
      <c r="J165" s="377">
        <v>0</v>
      </c>
      <c r="K165" s="377">
        <v>3</v>
      </c>
      <c r="L165" s="378">
        <f t="shared" si="23"/>
        <v>3</v>
      </c>
      <c r="M165" s="379">
        <v>46204</v>
      </c>
      <c r="N165" s="379">
        <v>46213</v>
      </c>
      <c r="O165" s="380"/>
      <c r="P165" s="380" t="s">
        <v>52</v>
      </c>
      <c r="Q165" s="520">
        <v>46213</v>
      </c>
      <c r="R165" s="381" t="s">
        <v>98</v>
      </c>
      <c r="S165" s="380">
        <v>46154</v>
      </c>
      <c r="T165" s="436" t="s">
        <v>66</v>
      </c>
      <c r="U165" s="559" t="s">
        <v>778</v>
      </c>
      <c r="V165" s="568" t="s">
        <v>779</v>
      </c>
      <c r="W165" s="383" t="s">
        <v>780</v>
      </c>
      <c r="X165" s="384" t="s">
        <v>168</v>
      </c>
      <c r="Y165" s="478">
        <v>12.65</v>
      </c>
      <c r="Z165" s="386">
        <f t="shared" si="24"/>
        <v>37.95</v>
      </c>
      <c r="AA165" s="371"/>
      <c r="AB165" s="387" t="s">
        <v>183</v>
      </c>
      <c r="AC165" s="388" t="s">
        <v>56</v>
      </c>
      <c r="AD165" s="377"/>
      <c r="AE165" s="389"/>
      <c r="AF165" s="390"/>
      <c r="AG165" s="391"/>
      <c r="AH165" s="391"/>
      <c r="AI165" s="371"/>
      <c r="AJ165" s="371"/>
      <c r="AK165" s="371"/>
      <c r="AL165" s="371">
        <f t="shared" si="25"/>
        <v>9</v>
      </c>
      <c r="AM165" s="383">
        <f t="shared" si="26"/>
        <v>9</v>
      </c>
      <c r="AN165" s="392"/>
      <c r="AO165" s="392"/>
      <c r="AP165" s="392"/>
      <c r="AQ165" s="387">
        <f t="shared" si="27"/>
        <v>9</v>
      </c>
      <c r="AR165" s="387"/>
      <c r="AS165" s="296"/>
    </row>
    <row r="166" s="295" customFormat="1" ht="36" customHeight="1" spans="1:46">
      <c r="A166" s="369">
        <v>46154</v>
      </c>
      <c r="B166" s="370" t="s">
        <v>774</v>
      </c>
      <c r="C166" s="370" t="s">
        <v>341</v>
      </c>
      <c r="D166" s="371" t="s">
        <v>775</v>
      </c>
      <c r="E166" s="372" t="s">
        <v>797</v>
      </c>
      <c r="F166" s="373" t="s">
        <v>798</v>
      </c>
      <c r="G166" s="374" t="s">
        <v>169</v>
      </c>
      <c r="H166" s="428" t="s">
        <v>51</v>
      </c>
      <c r="I166" s="376">
        <v>6</v>
      </c>
      <c r="J166" s="377">
        <v>0</v>
      </c>
      <c r="K166" s="377">
        <v>3</v>
      </c>
      <c r="L166" s="431">
        <f t="shared" si="23"/>
        <v>2</v>
      </c>
      <c r="M166" s="379">
        <v>46204</v>
      </c>
      <c r="N166" s="379">
        <v>46213</v>
      </c>
      <c r="O166" s="380"/>
      <c r="P166" s="380" t="s">
        <v>52</v>
      </c>
      <c r="Q166" s="602">
        <v>46213</v>
      </c>
      <c r="R166" s="381" t="s">
        <v>98</v>
      </c>
      <c r="S166" s="380">
        <v>46154</v>
      </c>
      <c r="T166" s="436" t="s">
        <v>66</v>
      </c>
      <c r="U166" s="559" t="s">
        <v>778</v>
      </c>
      <c r="V166" s="568" t="s">
        <v>779</v>
      </c>
      <c r="W166" s="383" t="s">
        <v>780</v>
      </c>
      <c r="X166" s="384" t="s">
        <v>168</v>
      </c>
      <c r="Y166" s="478">
        <v>12.65</v>
      </c>
      <c r="Z166" s="386">
        <f t="shared" si="24"/>
        <v>25.3</v>
      </c>
      <c r="AA166" s="371"/>
      <c r="AB166" s="411" t="s">
        <v>183</v>
      </c>
      <c r="AC166" s="388" t="s">
        <v>56</v>
      </c>
      <c r="AD166" s="377"/>
      <c r="AE166" s="389"/>
      <c r="AF166" s="390"/>
      <c r="AG166" s="391"/>
      <c r="AH166" s="391"/>
      <c r="AI166" s="371"/>
      <c r="AJ166" s="371"/>
      <c r="AK166" s="371"/>
      <c r="AL166" s="371">
        <f t="shared" si="25"/>
        <v>6</v>
      </c>
      <c r="AM166" s="383">
        <f t="shared" si="26"/>
        <v>6</v>
      </c>
      <c r="AN166" s="392"/>
      <c r="AO166" s="392"/>
      <c r="AP166" s="392"/>
      <c r="AQ166" s="387">
        <f t="shared" si="27"/>
        <v>6</v>
      </c>
      <c r="AR166" s="387"/>
      <c r="AS166" s="296"/>
    </row>
    <row r="167" s="295" customFormat="1" ht="36" customHeight="1" spans="1:46">
      <c r="A167" s="369">
        <v>46169</v>
      </c>
      <c r="B167" s="370" t="s">
        <v>122</v>
      </c>
      <c r="C167" s="370" t="s">
        <v>71</v>
      </c>
      <c r="D167" s="371" t="s">
        <v>799</v>
      </c>
      <c r="E167" s="383">
        <v>983717817</v>
      </c>
      <c r="F167" s="373" t="s">
        <v>800</v>
      </c>
      <c r="G167" s="374" t="s">
        <v>125</v>
      </c>
      <c r="H167" s="375" t="s">
        <v>51</v>
      </c>
      <c r="I167" s="376">
        <v>500</v>
      </c>
      <c r="J167" s="377">
        <v>0</v>
      </c>
      <c r="K167" s="377">
        <v>2</v>
      </c>
      <c r="L167" s="378">
        <f t="shared" si="23"/>
        <v>250</v>
      </c>
      <c r="M167" s="379">
        <v>46204</v>
      </c>
      <c r="N167" s="379">
        <v>46213</v>
      </c>
      <c r="O167" s="479" t="s">
        <v>801</v>
      </c>
      <c r="P167" s="380" t="s">
        <v>52</v>
      </c>
      <c r="Q167" s="520">
        <v>46217</v>
      </c>
      <c r="R167" s="381"/>
      <c r="S167" s="598" t="s">
        <v>691</v>
      </c>
      <c r="T167" s="382" t="s">
        <v>54</v>
      </c>
      <c r="U167" s="559" t="s">
        <v>802</v>
      </c>
      <c r="V167" s="568"/>
      <c r="W167" s="383" t="s">
        <v>803</v>
      </c>
      <c r="X167" s="384" t="s">
        <v>129</v>
      </c>
      <c r="Y167" s="478">
        <v>6.3566</v>
      </c>
      <c r="Z167" s="386">
        <f t="shared" si="24"/>
        <v>1589.15</v>
      </c>
      <c r="AA167" s="371"/>
      <c r="AB167" s="374" t="s">
        <v>125</v>
      </c>
      <c r="AC167" s="388" t="s">
        <v>56</v>
      </c>
      <c r="AD167" s="377"/>
      <c r="AE167" s="389"/>
      <c r="AF167" s="390"/>
      <c r="AG167" s="391"/>
      <c r="AH167" s="391"/>
      <c r="AI167" s="371">
        <f>I167</f>
        <v>500</v>
      </c>
      <c r="AJ167" s="371"/>
      <c r="AK167" s="371"/>
      <c r="AL167" s="371"/>
      <c r="AM167" s="554">
        <f t="shared" si="26"/>
        <v>500</v>
      </c>
      <c r="AN167" s="392"/>
      <c r="AO167" s="392"/>
      <c r="AP167" s="392"/>
      <c r="AQ167" s="388">
        <f t="shared" si="27"/>
        <v>500</v>
      </c>
      <c r="AR167" s="387"/>
      <c r="AS167" s="296"/>
      <c r="AT167" s="299"/>
    </row>
    <row r="168" s="295" customFormat="1" ht="36" customHeight="1" spans="1:46">
      <c r="A168" s="369">
        <v>46154</v>
      </c>
      <c r="B168" s="370" t="s">
        <v>774</v>
      </c>
      <c r="C168" s="370" t="s">
        <v>341</v>
      </c>
      <c r="D168" s="371" t="s">
        <v>804</v>
      </c>
      <c r="E168" s="372" t="s">
        <v>805</v>
      </c>
      <c r="F168" s="373" t="s">
        <v>806</v>
      </c>
      <c r="G168" s="374" t="s">
        <v>169</v>
      </c>
      <c r="H168" s="428" t="s">
        <v>51</v>
      </c>
      <c r="I168" s="376">
        <v>54</v>
      </c>
      <c r="J168" s="377">
        <v>0</v>
      </c>
      <c r="K168" s="377">
        <v>3</v>
      </c>
      <c r="L168" s="431">
        <f t="shared" si="23"/>
        <v>18</v>
      </c>
      <c r="M168" s="379">
        <v>46204</v>
      </c>
      <c r="N168" s="379">
        <v>46213</v>
      </c>
      <c r="O168" s="380"/>
      <c r="P168" s="380" t="s">
        <v>52</v>
      </c>
      <c r="Q168" s="520">
        <v>46216</v>
      </c>
      <c r="R168" s="381" t="s">
        <v>98</v>
      </c>
      <c r="S168" s="380">
        <v>46154</v>
      </c>
      <c r="T168" s="436" t="s">
        <v>66</v>
      </c>
      <c r="U168" s="559" t="s">
        <v>778</v>
      </c>
      <c r="V168" s="568" t="s">
        <v>779</v>
      </c>
      <c r="W168" s="383" t="s">
        <v>807</v>
      </c>
      <c r="X168" s="384" t="s">
        <v>168</v>
      </c>
      <c r="Y168" s="478">
        <v>12.65</v>
      </c>
      <c r="Z168" s="386">
        <f t="shared" si="24"/>
        <v>227.7</v>
      </c>
      <c r="AA168" s="371"/>
      <c r="AB168" s="387" t="s">
        <v>183</v>
      </c>
      <c r="AC168" s="388" t="s">
        <v>56</v>
      </c>
      <c r="AD168" s="377"/>
      <c r="AE168" s="389"/>
      <c r="AF168" s="390"/>
      <c r="AG168" s="391"/>
      <c r="AH168" s="391"/>
      <c r="AI168" s="371"/>
      <c r="AJ168" s="371"/>
      <c r="AK168" s="424"/>
      <c r="AL168" s="424">
        <f t="shared" ref="AL168:AL176" si="28">I168</f>
        <v>54</v>
      </c>
      <c r="AM168" s="383">
        <f t="shared" ref="AM168:AM176" si="29">I168</f>
        <v>54</v>
      </c>
      <c r="AN168" s="392"/>
      <c r="AO168" s="392"/>
      <c r="AP168" s="392"/>
      <c r="AQ168" s="387">
        <f t="shared" ref="AQ168:AQ176" si="30">I168</f>
        <v>54</v>
      </c>
      <c r="AR168" s="387"/>
      <c r="AS168" s="296"/>
    </row>
    <row r="169" s="295" customFormat="1" ht="36" customHeight="1" spans="1:46">
      <c r="A169" s="369">
        <v>46154</v>
      </c>
      <c r="B169" s="370" t="s">
        <v>774</v>
      </c>
      <c r="C169" s="370" t="s">
        <v>341</v>
      </c>
      <c r="D169" s="371" t="s">
        <v>804</v>
      </c>
      <c r="E169" s="372" t="s">
        <v>808</v>
      </c>
      <c r="F169" s="373" t="s">
        <v>809</v>
      </c>
      <c r="G169" s="374" t="s">
        <v>169</v>
      </c>
      <c r="H169" s="428" t="s">
        <v>51</v>
      </c>
      <c r="I169" s="376">
        <v>39</v>
      </c>
      <c r="J169" s="377">
        <v>0</v>
      </c>
      <c r="K169" s="377">
        <v>3</v>
      </c>
      <c r="L169" s="378">
        <f t="shared" si="23"/>
        <v>13</v>
      </c>
      <c r="M169" s="379">
        <v>46204</v>
      </c>
      <c r="N169" s="379">
        <v>46213</v>
      </c>
      <c r="O169" s="380"/>
      <c r="P169" s="380" t="s">
        <v>52</v>
      </c>
      <c r="Q169" s="520">
        <v>46216</v>
      </c>
      <c r="R169" s="381" t="s">
        <v>98</v>
      </c>
      <c r="S169" s="433">
        <v>46154</v>
      </c>
      <c r="T169" s="436" t="s">
        <v>66</v>
      </c>
      <c r="U169" s="559" t="s">
        <v>778</v>
      </c>
      <c r="V169" s="568" t="s">
        <v>779</v>
      </c>
      <c r="W169" s="383" t="s">
        <v>807</v>
      </c>
      <c r="X169" s="384" t="s">
        <v>168</v>
      </c>
      <c r="Y169" s="478">
        <v>12.65</v>
      </c>
      <c r="Z169" s="386">
        <f t="shared" si="24"/>
        <v>164.45</v>
      </c>
      <c r="AA169" s="371"/>
      <c r="AB169" s="426" t="s">
        <v>183</v>
      </c>
      <c r="AC169" s="388" t="s">
        <v>56</v>
      </c>
      <c r="AD169" s="377"/>
      <c r="AE169" s="389"/>
      <c r="AF169" s="390"/>
      <c r="AG169" s="391"/>
      <c r="AH169" s="443"/>
      <c r="AI169" s="424"/>
      <c r="AJ169" s="371"/>
      <c r="AK169" s="371"/>
      <c r="AL169" s="371">
        <f t="shared" si="28"/>
        <v>39</v>
      </c>
      <c r="AM169" s="438">
        <f t="shared" si="29"/>
        <v>39</v>
      </c>
      <c r="AN169" s="392"/>
      <c r="AO169" s="392"/>
      <c r="AP169" s="392"/>
      <c r="AQ169" s="426">
        <f t="shared" si="30"/>
        <v>39</v>
      </c>
      <c r="AR169" s="426"/>
      <c r="AS169" s="296"/>
    </row>
    <row r="170" s="295" customFormat="1" ht="36" customHeight="1" spans="1:46">
      <c r="A170" s="369">
        <v>46154</v>
      </c>
      <c r="B170" s="370" t="s">
        <v>774</v>
      </c>
      <c r="C170" s="370" t="s">
        <v>341</v>
      </c>
      <c r="D170" s="371" t="s">
        <v>804</v>
      </c>
      <c r="E170" s="372" t="s">
        <v>810</v>
      </c>
      <c r="F170" s="373" t="s">
        <v>811</v>
      </c>
      <c r="G170" s="374" t="s">
        <v>169</v>
      </c>
      <c r="H170" s="428" t="s">
        <v>51</v>
      </c>
      <c r="I170" s="376">
        <v>24</v>
      </c>
      <c r="J170" s="377">
        <v>0</v>
      </c>
      <c r="K170" s="377">
        <v>3</v>
      </c>
      <c r="L170" s="378">
        <f t="shared" si="23"/>
        <v>8</v>
      </c>
      <c r="M170" s="379">
        <v>46204</v>
      </c>
      <c r="N170" s="379">
        <v>46213</v>
      </c>
      <c r="O170" s="380"/>
      <c r="P170" s="380" t="s">
        <v>52</v>
      </c>
      <c r="Q170" s="520">
        <v>46216</v>
      </c>
      <c r="R170" s="405" t="s">
        <v>98</v>
      </c>
      <c r="S170" s="380">
        <v>46154</v>
      </c>
      <c r="T170" s="436" t="s">
        <v>66</v>
      </c>
      <c r="U170" s="559" t="s">
        <v>778</v>
      </c>
      <c r="V170" s="570" t="s">
        <v>779</v>
      </c>
      <c r="W170" s="383" t="s">
        <v>807</v>
      </c>
      <c r="X170" s="384" t="s">
        <v>168</v>
      </c>
      <c r="Y170" s="478">
        <v>12.65</v>
      </c>
      <c r="Z170" s="386">
        <f t="shared" si="24"/>
        <v>101.2</v>
      </c>
      <c r="AA170" s="371"/>
      <c r="AB170" s="387" t="s">
        <v>183</v>
      </c>
      <c r="AC170" s="388" t="s">
        <v>56</v>
      </c>
      <c r="AD170" s="377"/>
      <c r="AE170" s="389"/>
      <c r="AF170" s="390"/>
      <c r="AG170" s="391"/>
      <c r="AH170" s="391"/>
      <c r="AI170" s="371"/>
      <c r="AJ170" s="371"/>
      <c r="AK170" s="371"/>
      <c r="AL170" s="371">
        <f t="shared" si="28"/>
        <v>24</v>
      </c>
      <c r="AM170" s="383">
        <f t="shared" si="29"/>
        <v>24</v>
      </c>
      <c r="AN170" s="371"/>
      <c r="AO170" s="371"/>
      <c r="AP170" s="371"/>
      <c r="AQ170" s="387">
        <f t="shared" si="30"/>
        <v>24</v>
      </c>
      <c r="AR170" s="387"/>
      <c r="AS170" s="296"/>
    </row>
    <row r="171" s="295" customFormat="1" ht="36" customHeight="1" spans="1:46">
      <c r="A171" s="369">
        <v>46154</v>
      </c>
      <c r="B171" s="370" t="s">
        <v>774</v>
      </c>
      <c r="C171" s="370" t="s">
        <v>341</v>
      </c>
      <c r="D171" s="371" t="s">
        <v>804</v>
      </c>
      <c r="E171" s="372" t="s">
        <v>812</v>
      </c>
      <c r="F171" s="373" t="s">
        <v>813</v>
      </c>
      <c r="G171" s="374" t="s">
        <v>169</v>
      </c>
      <c r="H171" s="428" t="s">
        <v>51</v>
      </c>
      <c r="I171" s="376">
        <v>9</v>
      </c>
      <c r="J171" s="377">
        <v>0</v>
      </c>
      <c r="K171" s="377">
        <v>3</v>
      </c>
      <c r="L171" s="378">
        <f t="shared" si="23"/>
        <v>3</v>
      </c>
      <c r="M171" s="379">
        <v>46204</v>
      </c>
      <c r="N171" s="379">
        <v>46213</v>
      </c>
      <c r="O171" s="380"/>
      <c r="P171" s="380" t="s">
        <v>52</v>
      </c>
      <c r="Q171" s="520">
        <v>46216</v>
      </c>
      <c r="R171" s="405" t="s">
        <v>98</v>
      </c>
      <c r="S171" s="380">
        <v>46154</v>
      </c>
      <c r="T171" s="436" t="s">
        <v>66</v>
      </c>
      <c r="U171" s="559" t="s">
        <v>778</v>
      </c>
      <c r="V171" s="568" t="s">
        <v>779</v>
      </c>
      <c r="W171" s="383" t="s">
        <v>807</v>
      </c>
      <c r="X171" s="384" t="s">
        <v>168</v>
      </c>
      <c r="Y171" s="478">
        <v>12.65</v>
      </c>
      <c r="Z171" s="386">
        <f t="shared" si="24"/>
        <v>37.95</v>
      </c>
      <c r="AA171" s="371"/>
      <c r="AB171" s="387" t="s">
        <v>183</v>
      </c>
      <c r="AC171" s="388" t="s">
        <v>56</v>
      </c>
      <c r="AD171" s="377"/>
      <c r="AE171" s="389"/>
      <c r="AF171" s="390"/>
      <c r="AG171" s="391"/>
      <c r="AH171" s="391"/>
      <c r="AI171" s="371"/>
      <c r="AJ171" s="371"/>
      <c r="AK171" s="371"/>
      <c r="AL171" s="371">
        <f t="shared" si="28"/>
        <v>9</v>
      </c>
      <c r="AM171" s="383">
        <f t="shared" si="29"/>
        <v>9</v>
      </c>
      <c r="AN171" s="392"/>
      <c r="AO171" s="392"/>
      <c r="AP171" s="392"/>
      <c r="AQ171" s="387">
        <f t="shared" si="30"/>
        <v>9</v>
      </c>
      <c r="AR171" s="387"/>
      <c r="AS171" s="296"/>
    </row>
    <row r="172" s="295" customFormat="1" ht="36" customHeight="1" spans="1:46">
      <c r="A172" s="369">
        <v>46154</v>
      </c>
      <c r="B172" s="370" t="s">
        <v>774</v>
      </c>
      <c r="C172" s="370" t="s">
        <v>341</v>
      </c>
      <c r="D172" s="371" t="s">
        <v>804</v>
      </c>
      <c r="E172" s="372" t="s">
        <v>814</v>
      </c>
      <c r="F172" s="373" t="s">
        <v>815</v>
      </c>
      <c r="G172" s="374" t="s">
        <v>169</v>
      </c>
      <c r="H172" s="428" t="s">
        <v>51</v>
      </c>
      <c r="I172" s="376">
        <v>33</v>
      </c>
      <c r="J172" s="377">
        <v>0</v>
      </c>
      <c r="K172" s="377">
        <v>3</v>
      </c>
      <c r="L172" s="378">
        <f t="shared" si="23"/>
        <v>11</v>
      </c>
      <c r="M172" s="379">
        <v>46204</v>
      </c>
      <c r="N172" s="379">
        <v>46213</v>
      </c>
      <c r="O172" s="380"/>
      <c r="P172" s="380" t="s">
        <v>52</v>
      </c>
      <c r="Q172" s="520">
        <v>46216</v>
      </c>
      <c r="R172" s="447" t="s">
        <v>98</v>
      </c>
      <c r="S172" s="380">
        <v>46154</v>
      </c>
      <c r="T172" s="436" t="s">
        <v>66</v>
      </c>
      <c r="U172" s="559" t="s">
        <v>778</v>
      </c>
      <c r="V172" s="570" t="s">
        <v>779</v>
      </c>
      <c r="W172" s="383" t="s">
        <v>807</v>
      </c>
      <c r="X172" s="384" t="s">
        <v>168</v>
      </c>
      <c r="Y172" s="478">
        <v>12.65</v>
      </c>
      <c r="Z172" s="386">
        <f t="shared" si="24"/>
        <v>139.15</v>
      </c>
      <c r="AA172" s="371"/>
      <c r="AB172" s="387" t="s">
        <v>183</v>
      </c>
      <c r="AC172" s="388" t="s">
        <v>56</v>
      </c>
      <c r="AD172" s="377"/>
      <c r="AE172" s="389"/>
      <c r="AF172" s="390"/>
      <c r="AG172" s="391"/>
      <c r="AH172" s="391"/>
      <c r="AI172" s="371"/>
      <c r="AJ172" s="371"/>
      <c r="AK172" s="371"/>
      <c r="AL172" s="371">
        <f t="shared" si="28"/>
        <v>33</v>
      </c>
      <c r="AM172" s="383">
        <f t="shared" si="29"/>
        <v>33</v>
      </c>
      <c r="AN172" s="392"/>
      <c r="AO172" s="392"/>
      <c r="AP172" s="392"/>
      <c r="AQ172" s="387">
        <f t="shared" si="30"/>
        <v>33</v>
      </c>
      <c r="AR172" s="387"/>
      <c r="AS172" s="296"/>
    </row>
    <row r="173" s="295" customFormat="1" ht="36" customHeight="1" spans="1:46">
      <c r="A173" s="369">
        <v>46154</v>
      </c>
      <c r="B173" s="370" t="s">
        <v>774</v>
      </c>
      <c r="C173" s="370" t="s">
        <v>341</v>
      </c>
      <c r="D173" s="371" t="s">
        <v>804</v>
      </c>
      <c r="E173" s="372" t="s">
        <v>816</v>
      </c>
      <c r="F173" s="373" t="s">
        <v>817</v>
      </c>
      <c r="G173" s="374" t="s">
        <v>169</v>
      </c>
      <c r="H173" s="428" t="s">
        <v>51</v>
      </c>
      <c r="I173" s="376">
        <v>39</v>
      </c>
      <c r="J173" s="377">
        <v>0</v>
      </c>
      <c r="K173" s="377">
        <v>3</v>
      </c>
      <c r="L173" s="378">
        <f t="shared" si="23"/>
        <v>13</v>
      </c>
      <c r="M173" s="379">
        <v>46204</v>
      </c>
      <c r="N173" s="379">
        <v>46213</v>
      </c>
      <c r="O173" s="380"/>
      <c r="P173" s="380" t="s">
        <v>52</v>
      </c>
      <c r="Q173" s="520">
        <v>46216</v>
      </c>
      <c r="R173" s="405" t="s">
        <v>98</v>
      </c>
      <c r="S173" s="380">
        <v>46154</v>
      </c>
      <c r="T173" s="382" t="s">
        <v>66</v>
      </c>
      <c r="U173" s="603" t="s">
        <v>778</v>
      </c>
      <c r="V173" s="570" t="s">
        <v>779</v>
      </c>
      <c r="W173" s="383" t="s">
        <v>807</v>
      </c>
      <c r="X173" s="384" t="s">
        <v>168</v>
      </c>
      <c r="Y173" s="478">
        <v>12.65</v>
      </c>
      <c r="Z173" s="386">
        <f t="shared" si="24"/>
        <v>164.45</v>
      </c>
      <c r="AA173" s="371"/>
      <c r="AB173" s="387" t="s">
        <v>183</v>
      </c>
      <c r="AC173" s="388" t="s">
        <v>56</v>
      </c>
      <c r="AD173" s="377"/>
      <c r="AE173" s="389"/>
      <c r="AF173" s="390"/>
      <c r="AG173" s="391"/>
      <c r="AH173" s="391"/>
      <c r="AI173" s="371"/>
      <c r="AJ173" s="371"/>
      <c r="AK173" s="371"/>
      <c r="AL173" s="371">
        <f t="shared" si="28"/>
        <v>39</v>
      </c>
      <c r="AM173" s="383">
        <f t="shared" si="29"/>
        <v>39</v>
      </c>
      <c r="AN173" s="371"/>
      <c r="AO173" s="371"/>
      <c r="AP173" s="371"/>
      <c r="AQ173" s="387">
        <f t="shared" si="30"/>
        <v>39</v>
      </c>
      <c r="AR173" s="387"/>
      <c r="AS173" s="296"/>
    </row>
    <row r="174" s="295" customFormat="1" ht="36" customHeight="1" spans="1:46">
      <c r="A174" s="369">
        <v>46154</v>
      </c>
      <c r="B174" s="370" t="s">
        <v>774</v>
      </c>
      <c r="C174" s="370" t="s">
        <v>341</v>
      </c>
      <c r="D174" s="371" t="s">
        <v>804</v>
      </c>
      <c r="E174" s="372" t="s">
        <v>818</v>
      </c>
      <c r="F174" s="373" t="s">
        <v>819</v>
      </c>
      <c r="G174" s="374" t="s">
        <v>169</v>
      </c>
      <c r="H174" s="428" t="s">
        <v>51</v>
      </c>
      <c r="I174" s="376">
        <v>33</v>
      </c>
      <c r="J174" s="377">
        <v>0</v>
      </c>
      <c r="K174" s="377">
        <v>3</v>
      </c>
      <c r="L174" s="378">
        <f t="shared" si="23"/>
        <v>11</v>
      </c>
      <c r="M174" s="379">
        <v>46204</v>
      </c>
      <c r="N174" s="379">
        <v>46213</v>
      </c>
      <c r="O174" s="380"/>
      <c r="P174" s="380" t="s">
        <v>52</v>
      </c>
      <c r="Q174" s="520">
        <v>46216</v>
      </c>
      <c r="R174" s="381" t="s">
        <v>98</v>
      </c>
      <c r="S174" s="380">
        <v>46154</v>
      </c>
      <c r="T174" s="382" t="s">
        <v>66</v>
      </c>
      <c r="U174" s="588" t="s">
        <v>778</v>
      </c>
      <c r="V174" s="578" t="s">
        <v>779</v>
      </c>
      <c r="W174" s="383" t="s">
        <v>807</v>
      </c>
      <c r="X174" s="384" t="s">
        <v>168</v>
      </c>
      <c r="Y174" s="478">
        <v>12.65</v>
      </c>
      <c r="Z174" s="386">
        <f t="shared" si="24"/>
        <v>139.15</v>
      </c>
      <c r="AA174" s="371"/>
      <c r="AB174" s="387" t="s">
        <v>183</v>
      </c>
      <c r="AC174" s="388" t="s">
        <v>56</v>
      </c>
      <c r="AD174" s="377"/>
      <c r="AE174" s="389"/>
      <c r="AF174" s="390"/>
      <c r="AG174" s="391"/>
      <c r="AH174" s="391"/>
      <c r="AI174" s="371"/>
      <c r="AJ174" s="371"/>
      <c r="AK174" s="424"/>
      <c r="AL174" s="424">
        <f t="shared" si="28"/>
        <v>33</v>
      </c>
      <c r="AM174" s="383">
        <f t="shared" si="29"/>
        <v>33</v>
      </c>
      <c r="AN174" s="392"/>
      <c r="AO174" s="392"/>
      <c r="AP174" s="392"/>
      <c r="AQ174" s="387">
        <f t="shared" si="30"/>
        <v>33</v>
      </c>
      <c r="AR174" s="387"/>
      <c r="AS174" s="296"/>
    </row>
    <row r="175" s="295" customFormat="1" ht="36" customHeight="1" spans="1:46">
      <c r="A175" s="369">
        <v>46154</v>
      </c>
      <c r="B175" s="370" t="s">
        <v>774</v>
      </c>
      <c r="C175" s="370" t="s">
        <v>341</v>
      </c>
      <c r="D175" s="371" t="s">
        <v>804</v>
      </c>
      <c r="E175" s="372" t="s">
        <v>820</v>
      </c>
      <c r="F175" s="373" t="s">
        <v>821</v>
      </c>
      <c r="G175" s="374" t="s">
        <v>169</v>
      </c>
      <c r="H175" s="428" t="s">
        <v>51</v>
      </c>
      <c r="I175" s="376">
        <v>15</v>
      </c>
      <c r="J175" s="377">
        <v>0</v>
      </c>
      <c r="K175" s="377">
        <v>3</v>
      </c>
      <c r="L175" s="431">
        <f t="shared" si="23"/>
        <v>5</v>
      </c>
      <c r="M175" s="379">
        <v>46204</v>
      </c>
      <c r="N175" s="379">
        <v>46213</v>
      </c>
      <c r="O175" s="380"/>
      <c r="P175" s="380" t="s">
        <v>52</v>
      </c>
      <c r="Q175" s="520">
        <v>46216</v>
      </c>
      <c r="R175" s="381" t="s">
        <v>98</v>
      </c>
      <c r="S175" s="558">
        <v>46154</v>
      </c>
      <c r="T175" s="382" t="s">
        <v>66</v>
      </c>
      <c r="U175" s="559" t="s">
        <v>778</v>
      </c>
      <c r="V175" s="568" t="s">
        <v>779</v>
      </c>
      <c r="W175" s="383" t="s">
        <v>807</v>
      </c>
      <c r="X175" s="384" t="s">
        <v>168</v>
      </c>
      <c r="Y175" s="478">
        <v>12.65</v>
      </c>
      <c r="Z175" s="386">
        <f t="shared" si="24"/>
        <v>63.25</v>
      </c>
      <c r="AA175" s="371"/>
      <c r="AB175" s="387" t="s">
        <v>183</v>
      </c>
      <c r="AC175" s="388" t="s">
        <v>56</v>
      </c>
      <c r="AD175" s="377"/>
      <c r="AE175" s="389"/>
      <c r="AF175" s="390"/>
      <c r="AG175" s="391"/>
      <c r="AH175" s="391"/>
      <c r="AI175" s="371"/>
      <c r="AJ175" s="371"/>
      <c r="AK175" s="371"/>
      <c r="AL175" s="371">
        <f t="shared" si="28"/>
        <v>15</v>
      </c>
      <c r="AM175" s="383">
        <f t="shared" si="29"/>
        <v>15</v>
      </c>
      <c r="AN175" s="392"/>
      <c r="AO175" s="392"/>
      <c r="AP175" s="392"/>
      <c r="AQ175" s="387">
        <f t="shared" si="30"/>
        <v>15</v>
      </c>
      <c r="AR175" s="387"/>
      <c r="AS175" s="296"/>
    </row>
    <row r="176" s="295" customFormat="1" ht="36" customHeight="1" spans="1:46">
      <c r="A176" s="369">
        <v>46154</v>
      </c>
      <c r="B176" s="370" t="s">
        <v>774</v>
      </c>
      <c r="C176" s="370" t="s">
        <v>341</v>
      </c>
      <c r="D176" s="371" t="s">
        <v>775</v>
      </c>
      <c r="E176" s="372" t="s">
        <v>822</v>
      </c>
      <c r="F176" s="373" t="s">
        <v>823</v>
      </c>
      <c r="G176" s="374" t="s">
        <v>169</v>
      </c>
      <c r="H176" s="428" t="s">
        <v>51</v>
      </c>
      <c r="I176" s="376">
        <v>6</v>
      </c>
      <c r="J176" s="377">
        <v>0</v>
      </c>
      <c r="K176" s="377">
        <v>3</v>
      </c>
      <c r="L176" s="378">
        <f t="shared" si="23"/>
        <v>2</v>
      </c>
      <c r="M176" s="379">
        <v>46204</v>
      </c>
      <c r="N176" s="432">
        <v>46213</v>
      </c>
      <c r="O176" s="433"/>
      <c r="P176" s="380" t="s">
        <v>52</v>
      </c>
      <c r="Q176" s="520">
        <v>46213</v>
      </c>
      <c r="R176" s="405" t="s">
        <v>98</v>
      </c>
      <c r="S176" s="380">
        <v>46154</v>
      </c>
      <c r="T176" s="436" t="s">
        <v>66</v>
      </c>
      <c r="U176" s="559" t="s">
        <v>778</v>
      </c>
      <c r="V176" s="570" t="s">
        <v>779</v>
      </c>
      <c r="W176" s="383" t="s">
        <v>780</v>
      </c>
      <c r="X176" s="384" t="s">
        <v>168</v>
      </c>
      <c r="Y176" s="478">
        <v>12.65</v>
      </c>
      <c r="Z176" s="386">
        <f t="shared" si="24"/>
        <v>25.3</v>
      </c>
      <c r="AA176" s="371"/>
      <c r="AB176" s="387" t="s">
        <v>183</v>
      </c>
      <c r="AC176" s="388" t="s">
        <v>56</v>
      </c>
      <c r="AD176" s="377"/>
      <c r="AE176" s="389"/>
      <c r="AF176" s="390"/>
      <c r="AG176" s="391"/>
      <c r="AH176" s="391"/>
      <c r="AI176" s="371"/>
      <c r="AJ176" s="371"/>
      <c r="AK176" s="371"/>
      <c r="AL176" s="371">
        <f t="shared" si="28"/>
        <v>6</v>
      </c>
      <c r="AM176" s="383">
        <f t="shared" si="29"/>
        <v>6</v>
      </c>
      <c r="AN176" s="371"/>
      <c r="AO176" s="371"/>
      <c r="AP176" s="371"/>
      <c r="AQ176" s="387">
        <f t="shared" si="30"/>
        <v>6</v>
      </c>
      <c r="AR176" s="387"/>
      <c r="AS176" s="296"/>
    </row>
    <row r="177" s="295" customFormat="1" ht="36" customHeight="1" spans="1:46">
      <c r="A177" s="422">
        <v>46114</v>
      </c>
      <c r="B177" s="423" t="s">
        <v>697</v>
      </c>
      <c r="C177" s="423" t="s">
        <v>341</v>
      </c>
      <c r="D177" s="424" t="s">
        <v>824</v>
      </c>
      <c r="E177" s="532" t="s">
        <v>825</v>
      </c>
      <c r="F177" s="533" t="s">
        <v>826</v>
      </c>
      <c r="G177" s="427" t="s">
        <v>597</v>
      </c>
      <c r="H177" s="428" t="s">
        <v>51</v>
      </c>
      <c r="I177" s="450">
        <v>1944</v>
      </c>
      <c r="J177" s="430">
        <v>0</v>
      </c>
      <c r="K177" s="430">
        <v>54</v>
      </c>
      <c r="L177" s="431">
        <f t="shared" si="23"/>
        <v>36</v>
      </c>
      <c r="M177" s="432">
        <v>46204</v>
      </c>
      <c r="N177" s="576">
        <v>46214</v>
      </c>
      <c r="O177" s="560"/>
      <c r="P177" s="380" t="s">
        <v>52</v>
      </c>
      <c r="Q177" s="535">
        <v>46212</v>
      </c>
      <c r="R177" s="435" t="s">
        <v>65</v>
      </c>
      <c r="S177" s="433">
        <v>46162</v>
      </c>
      <c r="T177" s="436" t="s">
        <v>54</v>
      </c>
      <c r="U177" s="436" t="s">
        <v>54</v>
      </c>
      <c r="V177" s="436" t="s">
        <v>599</v>
      </c>
      <c r="W177" s="438" t="s">
        <v>739</v>
      </c>
      <c r="X177" s="439" t="s">
        <v>601</v>
      </c>
      <c r="Y177" s="481">
        <v>833.19</v>
      </c>
      <c r="Z177" s="441">
        <f t="shared" si="24"/>
        <v>29994.84</v>
      </c>
      <c r="AA177" s="424"/>
      <c r="AB177" s="426" t="s">
        <v>602</v>
      </c>
      <c r="AC177" s="388" t="s">
        <v>56</v>
      </c>
      <c r="AD177" s="430"/>
      <c r="AE177" s="536"/>
      <c r="AF177" s="442"/>
      <c r="AG177" s="443"/>
      <c r="AH177" s="443"/>
      <c r="AI177" s="424"/>
      <c r="AJ177" s="592">
        <f>I177</f>
        <v>1944</v>
      </c>
      <c r="AK177" s="592"/>
      <c r="AL177" s="539"/>
      <c r="AM177" s="539"/>
      <c r="AN177" s="562">
        <f>I177</f>
        <v>1944</v>
      </c>
      <c r="AO177" s="444"/>
      <c r="AP177" s="604">
        <f>I177</f>
        <v>1944</v>
      </c>
      <c r="AQ177" s="539"/>
      <c r="AR177" s="539"/>
      <c r="AS177" s="605">
        <f>I177/3</f>
        <v>648</v>
      </c>
    </row>
    <row r="178" s="295" customFormat="1" ht="36" customHeight="1" spans="1:46">
      <c r="A178" s="369">
        <v>46114</v>
      </c>
      <c r="B178" s="370" t="s">
        <v>697</v>
      </c>
      <c r="C178" s="370" t="s">
        <v>341</v>
      </c>
      <c r="D178" s="371" t="s">
        <v>827</v>
      </c>
      <c r="E178" s="372" t="s">
        <v>828</v>
      </c>
      <c r="F178" s="373" t="s">
        <v>829</v>
      </c>
      <c r="G178" s="374" t="s">
        <v>597</v>
      </c>
      <c r="H178" s="428" t="s">
        <v>51</v>
      </c>
      <c r="I178" s="376">
        <v>1944</v>
      </c>
      <c r="J178" s="377">
        <v>0</v>
      </c>
      <c r="K178" s="377">
        <v>54</v>
      </c>
      <c r="L178" s="378">
        <f t="shared" si="23"/>
        <v>36</v>
      </c>
      <c r="M178" s="379">
        <v>46204</v>
      </c>
      <c r="N178" s="542">
        <v>46219</v>
      </c>
      <c r="O178" s="479"/>
      <c r="P178" s="380" t="s">
        <v>52</v>
      </c>
      <c r="Q178" s="520">
        <v>46219</v>
      </c>
      <c r="R178" s="418" t="s">
        <v>65</v>
      </c>
      <c r="S178" s="380">
        <v>46162</v>
      </c>
      <c r="T178" s="436" t="s">
        <v>54</v>
      </c>
      <c r="U178" s="382" t="s">
        <v>54</v>
      </c>
      <c r="V178" s="406" t="s">
        <v>599</v>
      </c>
      <c r="W178" s="383" t="s">
        <v>739</v>
      </c>
      <c r="X178" s="384" t="s">
        <v>601</v>
      </c>
      <c r="Y178" s="478">
        <v>833.19</v>
      </c>
      <c r="Z178" s="386">
        <f t="shared" si="24"/>
        <v>29994.84</v>
      </c>
      <c r="AA178" s="371"/>
      <c r="AB178" s="387" t="s">
        <v>602</v>
      </c>
      <c r="AC178" s="388" t="s">
        <v>56</v>
      </c>
      <c r="AD178" s="377"/>
      <c r="AE178" s="389"/>
      <c r="AF178" s="390"/>
      <c r="AG178" s="391"/>
      <c r="AH178" s="391"/>
      <c r="AI178" s="371"/>
      <c r="AJ178" s="482">
        <f>I178</f>
        <v>1944</v>
      </c>
      <c r="AK178" s="482"/>
      <c r="AL178" s="296"/>
      <c r="AM178" s="296"/>
      <c r="AN178" s="383">
        <f>I178</f>
        <v>1944</v>
      </c>
      <c r="AO178" s="371"/>
      <c r="AP178" s="387">
        <f>I178</f>
        <v>1944</v>
      </c>
      <c r="AQ178" s="296"/>
      <c r="AR178" s="296"/>
      <c r="AS178" s="587">
        <f>I178/3</f>
        <v>648</v>
      </c>
      <c r="AT178" s="298"/>
    </row>
    <row r="179" s="295" customFormat="1" ht="36" customHeight="1" spans="1:46">
      <c r="A179" s="369">
        <v>46136</v>
      </c>
      <c r="B179" s="370" t="s">
        <v>830</v>
      </c>
      <c r="C179" s="370" t="s">
        <v>175</v>
      </c>
      <c r="D179" s="371" t="s">
        <v>831</v>
      </c>
      <c r="E179" s="372" t="s">
        <v>832</v>
      </c>
      <c r="F179" s="373" t="s">
        <v>833</v>
      </c>
      <c r="G179" s="374" t="s">
        <v>50</v>
      </c>
      <c r="H179" s="428" t="s">
        <v>51</v>
      </c>
      <c r="I179" s="376">
        <v>564</v>
      </c>
      <c r="J179" s="377">
        <v>0</v>
      </c>
      <c r="K179" s="377">
        <v>3</v>
      </c>
      <c r="L179" s="378">
        <f t="shared" si="23"/>
        <v>188</v>
      </c>
      <c r="M179" s="379">
        <v>46205</v>
      </c>
      <c r="N179" s="379">
        <v>46216</v>
      </c>
      <c r="O179" s="479"/>
      <c r="P179" s="380" t="s">
        <v>52</v>
      </c>
      <c r="Q179" s="520">
        <v>46218</v>
      </c>
      <c r="R179" s="381"/>
      <c r="S179" s="380" t="s">
        <v>834</v>
      </c>
      <c r="T179" s="436" t="s">
        <v>66</v>
      </c>
      <c r="U179" s="559" t="s">
        <v>835</v>
      </c>
      <c r="V179" s="382"/>
      <c r="W179" s="383" t="s">
        <v>836</v>
      </c>
      <c r="X179" s="384" t="s">
        <v>837</v>
      </c>
      <c r="Y179" s="478">
        <v>10.2316</v>
      </c>
      <c r="Z179" s="386">
        <f>I179*Y179</f>
        <v>5770.6224</v>
      </c>
      <c r="AA179" s="371"/>
      <c r="AB179" s="374" t="s">
        <v>84</v>
      </c>
      <c r="AC179" s="388" t="s">
        <v>56</v>
      </c>
      <c r="AD179" s="377"/>
      <c r="AE179" s="389"/>
      <c r="AF179" s="390"/>
      <c r="AG179" s="391"/>
      <c r="AH179" s="391"/>
      <c r="AI179" s="371"/>
      <c r="AJ179" s="582"/>
      <c r="AK179" s="582"/>
      <c r="AL179" s="296">
        <f>I179</f>
        <v>564</v>
      </c>
      <c r="AM179" s="296">
        <f t="shared" ref="AM179:AM185" si="31">I179</f>
        <v>564</v>
      </c>
      <c r="AN179" s="438"/>
      <c r="AO179" s="444" t="s">
        <v>101</v>
      </c>
      <c r="AP179" s="426"/>
      <c r="AQ179" s="296">
        <f t="shared" ref="AQ179:AQ185" si="32">I179</f>
        <v>564</v>
      </c>
      <c r="AR179" s="296"/>
      <c r="AS179" s="388"/>
    </row>
    <row r="180" s="295" customFormat="1" ht="36" customHeight="1" spans="1:46">
      <c r="A180" s="369">
        <v>46157</v>
      </c>
      <c r="B180" s="370" t="s">
        <v>838</v>
      </c>
      <c r="C180" s="370" t="s">
        <v>71</v>
      </c>
      <c r="D180" s="371" t="s">
        <v>839</v>
      </c>
      <c r="E180" s="372" t="s">
        <v>840</v>
      </c>
      <c r="F180" s="373" t="s">
        <v>841</v>
      </c>
      <c r="G180" s="374" t="s">
        <v>50</v>
      </c>
      <c r="H180" s="428" t="s">
        <v>51</v>
      </c>
      <c r="I180" s="376">
        <v>387</v>
      </c>
      <c r="J180" s="377">
        <v>0</v>
      </c>
      <c r="K180" s="377">
        <v>3</v>
      </c>
      <c r="L180" s="378">
        <f t="shared" si="23"/>
        <v>129</v>
      </c>
      <c r="M180" s="379">
        <v>46205</v>
      </c>
      <c r="N180" s="379">
        <v>46217</v>
      </c>
      <c r="O180" s="479"/>
      <c r="P180" s="380" t="s">
        <v>52</v>
      </c>
      <c r="Q180" s="520">
        <v>46219</v>
      </c>
      <c r="R180" s="418" t="s">
        <v>65</v>
      </c>
      <c r="S180" s="380">
        <v>46170</v>
      </c>
      <c r="T180" s="436" t="s">
        <v>66</v>
      </c>
      <c r="U180" s="559" t="s">
        <v>842</v>
      </c>
      <c r="V180" s="382"/>
      <c r="W180" s="383" t="s">
        <v>843</v>
      </c>
      <c r="X180" s="384" t="s">
        <v>844</v>
      </c>
      <c r="Y180" s="478">
        <v>6.1211</v>
      </c>
      <c r="Z180" s="386">
        <f>I180*Y180</f>
        <v>2368.8657</v>
      </c>
      <c r="AA180" s="371"/>
      <c r="AB180" s="374" t="s">
        <v>50</v>
      </c>
      <c r="AC180" s="388" t="s">
        <v>56</v>
      </c>
      <c r="AD180" s="377"/>
      <c r="AE180" s="389"/>
      <c r="AF180" s="390"/>
      <c r="AG180" s="391"/>
      <c r="AH180" s="391"/>
      <c r="AI180" s="371">
        <f>I180</f>
        <v>387</v>
      </c>
      <c r="AJ180" s="482"/>
      <c r="AK180" s="482"/>
      <c r="AL180" s="296"/>
      <c r="AM180" s="296">
        <f t="shared" si="31"/>
        <v>387</v>
      </c>
      <c r="AN180" s="383"/>
      <c r="AO180" s="392"/>
      <c r="AP180" s="387"/>
      <c r="AQ180" s="296">
        <f t="shared" si="32"/>
        <v>387</v>
      </c>
      <c r="AR180" s="296"/>
      <c r="AS180" s="388"/>
    </row>
    <row r="181" s="295" customFormat="1" ht="36" customHeight="1" spans="1:46">
      <c r="A181" s="369">
        <v>46136</v>
      </c>
      <c r="B181" s="370" t="s">
        <v>830</v>
      </c>
      <c r="C181" s="370" t="s">
        <v>175</v>
      </c>
      <c r="D181" s="371" t="s">
        <v>845</v>
      </c>
      <c r="E181" s="372" t="s">
        <v>846</v>
      </c>
      <c r="F181" s="373" t="s">
        <v>847</v>
      </c>
      <c r="G181" s="374" t="s">
        <v>50</v>
      </c>
      <c r="H181" s="375" t="s">
        <v>51</v>
      </c>
      <c r="I181" s="376">
        <v>288</v>
      </c>
      <c r="J181" s="377">
        <v>0</v>
      </c>
      <c r="K181" s="377">
        <v>3</v>
      </c>
      <c r="L181" s="378">
        <f t="shared" si="23"/>
        <v>96</v>
      </c>
      <c r="M181" s="379">
        <v>46205</v>
      </c>
      <c r="N181" s="379">
        <v>46220</v>
      </c>
      <c r="O181" s="479"/>
      <c r="P181" s="380" t="s">
        <v>52</v>
      </c>
      <c r="Q181" s="520">
        <v>46220</v>
      </c>
      <c r="R181" s="381"/>
      <c r="S181" s="380" t="s">
        <v>834</v>
      </c>
      <c r="T181" s="382" t="s">
        <v>66</v>
      </c>
      <c r="U181" s="559" t="s">
        <v>835</v>
      </c>
      <c r="V181" s="382"/>
      <c r="W181" s="383" t="s">
        <v>836</v>
      </c>
      <c r="X181" s="384" t="s">
        <v>837</v>
      </c>
      <c r="Y181" s="478">
        <v>10.2316</v>
      </c>
      <c r="Z181" s="386">
        <f>I181*Y181</f>
        <v>2946.7008</v>
      </c>
      <c r="AA181" s="371"/>
      <c r="AB181" s="374" t="s">
        <v>84</v>
      </c>
      <c r="AC181" s="388" t="s">
        <v>56</v>
      </c>
      <c r="AD181" s="377"/>
      <c r="AE181" s="389"/>
      <c r="AF181" s="390"/>
      <c r="AG181" s="391"/>
      <c r="AH181" s="391"/>
      <c r="AI181" s="371"/>
      <c r="AJ181" s="482"/>
      <c r="AK181" s="582"/>
      <c r="AL181" s="298">
        <f>I181</f>
        <v>288</v>
      </c>
      <c r="AM181" s="298">
        <f t="shared" si="31"/>
        <v>288</v>
      </c>
      <c r="AN181" s="383"/>
      <c r="AO181" s="371" t="s">
        <v>101</v>
      </c>
      <c r="AP181" s="387"/>
      <c r="AQ181" s="298">
        <f t="shared" si="32"/>
        <v>288</v>
      </c>
      <c r="AR181" s="298"/>
      <c r="AS181" s="388"/>
    </row>
    <row r="182" s="295" customFormat="1" ht="36" customHeight="1" spans="1:46">
      <c r="A182" s="369">
        <v>46136</v>
      </c>
      <c r="B182" s="370" t="s">
        <v>830</v>
      </c>
      <c r="C182" s="370" t="s">
        <v>175</v>
      </c>
      <c r="D182" s="371" t="s">
        <v>848</v>
      </c>
      <c r="E182" s="372" t="s">
        <v>849</v>
      </c>
      <c r="F182" s="373" t="s">
        <v>850</v>
      </c>
      <c r="G182" s="374" t="s">
        <v>50</v>
      </c>
      <c r="H182" s="428" t="s">
        <v>51</v>
      </c>
      <c r="I182" s="376">
        <v>501</v>
      </c>
      <c r="J182" s="377">
        <v>0</v>
      </c>
      <c r="K182" s="377">
        <v>3</v>
      </c>
      <c r="L182" s="378">
        <f t="shared" si="23"/>
        <v>167</v>
      </c>
      <c r="M182" s="379">
        <v>46205</v>
      </c>
      <c r="N182" s="379">
        <v>46224</v>
      </c>
      <c r="O182" s="479"/>
      <c r="P182" s="380" t="s">
        <v>52</v>
      </c>
      <c r="Q182" s="520">
        <v>46224</v>
      </c>
      <c r="R182" s="381"/>
      <c r="S182" s="380" t="s">
        <v>834</v>
      </c>
      <c r="T182" s="436" t="s">
        <v>66</v>
      </c>
      <c r="U182" s="559" t="s">
        <v>835</v>
      </c>
      <c r="V182" s="382"/>
      <c r="W182" s="383" t="s">
        <v>851</v>
      </c>
      <c r="X182" s="384" t="s">
        <v>837</v>
      </c>
      <c r="Y182" s="478">
        <v>10.2316</v>
      </c>
      <c r="Z182" s="386">
        <f>I182*Y182</f>
        <v>5126.0316</v>
      </c>
      <c r="AA182" s="371"/>
      <c r="AB182" s="374" t="s">
        <v>84</v>
      </c>
      <c r="AC182" s="388" t="s">
        <v>56</v>
      </c>
      <c r="AD182" s="377"/>
      <c r="AE182" s="389"/>
      <c r="AF182" s="390"/>
      <c r="AG182" s="391"/>
      <c r="AH182" s="391"/>
      <c r="AI182" s="371"/>
      <c r="AJ182" s="482"/>
      <c r="AK182" s="482"/>
      <c r="AL182" s="296">
        <f>I182</f>
        <v>501</v>
      </c>
      <c r="AM182" s="296">
        <f t="shared" si="31"/>
        <v>501</v>
      </c>
      <c r="AN182" s="525"/>
      <c r="AO182" s="392" t="s">
        <v>101</v>
      </c>
      <c r="AP182" s="593"/>
      <c r="AQ182" s="296">
        <f t="shared" si="32"/>
        <v>501</v>
      </c>
      <c r="AR182" s="296"/>
      <c r="AS182" s="388"/>
    </row>
    <row r="183" s="295" customFormat="1" ht="36" customHeight="1" spans="1:46">
      <c r="A183" s="369">
        <v>46136</v>
      </c>
      <c r="B183" s="370" t="s">
        <v>830</v>
      </c>
      <c r="C183" s="370" t="s">
        <v>175</v>
      </c>
      <c r="D183" s="371" t="s">
        <v>852</v>
      </c>
      <c r="E183" s="372" t="s">
        <v>853</v>
      </c>
      <c r="F183" s="373" t="s">
        <v>854</v>
      </c>
      <c r="G183" s="374" t="s">
        <v>50</v>
      </c>
      <c r="H183" s="428" t="s">
        <v>51</v>
      </c>
      <c r="I183" s="376">
        <v>345</v>
      </c>
      <c r="J183" s="377">
        <v>0</v>
      </c>
      <c r="K183" s="377">
        <v>3</v>
      </c>
      <c r="L183" s="378">
        <f t="shared" si="23"/>
        <v>115</v>
      </c>
      <c r="M183" s="379">
        <v>46205</v>
      </c>
      <c r="N183" s="379">
        <v>46224</v>
      </c>
      <c r="O183" s="479"/>
      <c r="P183" s="380" t="s">
        <v>52</v>
      </c>
      <c r="Q183" s="381"/>
      <c r="R183" s="405"/>
      <c r="S183" s="380" t="s">
        <v>834</v>
      </c>
      <c r="T183" s="436" t="s">
        <v>66</v>
      </c>
      <c r="U183" s="559" t="s">
        <v>835</v>
      </c>
      <c r="V183" s="406"/>
      <c r="W183" s="383" t="s">
        <v>855</v>
      </c>
      <c r="X183" s="384" t="s">
        <v>837</v>
      </c>
      <c r="Y183" s="478">
        <v>10.2316</v>
      </c>
      <c r="Z183" s="386">
        <f>I183*Y183</f>
        <v>3529.902</v>
      </c>
      <c r="AA183" s="371"/>
      <c r="AB183" s="374" t="s">
        <v>84</v>
      </c>
      <c r="AC183" s="388" t="s">
        <v>56</v>
      </c>
      <c r="AD183" s="377"/>
      <c r="AE183" s="389"/>
      <c r="AF183" s="390"/>
      <c r="AG183" s="391"/>
      <c r="AH183" s="391"/>
      <c r="AI183" s="371"/>
      <c r="AJ183" s="482"/>
      <c r="AK183" s="482"/>
      <c r="AL183" s="296">
        <f>I183</f>
        <v>345</v>
      </c>
      <c r="AM183" s="296">
        <f t="shared" si="31"/>
        <v>345</v>
      </c>
      <c r="AN183" s="383"/>
      <c r="AO183" s="371" t="s">
        <v>101</v>
      </c>
      <c r="AP183" s="387"/>
      <c r="AQ183" s="296">
        <f t="shared" si="32"/>
        <v>345</v>
      </c>
      <c r="AR183" s="296"/>
      <c r="AS183" s="388"/>
      <c r="AT183" s="298"/>
    </row>
    <row r="184" s="295" customFormat="1" ht="36" customHeight="1" spans="1:46">
      <c r="A184" s="369">
        <v>46150</v>
      </c>
      <c r="B184" s="370"/>
      <c r="C184" s="370"/>
      <c r="D184" s="371" t="s">
        <v>856</v>
      </c>
      <c r="E184" s="372" t="s">
        <v>857</v>
      </c>
      <c r="F184" s="373" t="s">
        <v>858</v>
      </c>
      <c r="G184" s="521">
        <v>77858</v>
      </c>
      <c r="H184" s="428"/>
      <c r="I184" s="376">
        <v>24</v>
      </c>
      <c r="J184" s="377">
        <v>0</v>
      </c>
      <c r="K184" s="377">
        <v>3</v>
      </c>
      <c r="L184" s="378">
        <f t="shared" si="23"/>
        <v>8</v>
      </c>
      <c r="M184" s="379">
        <v>46206</v>
      </c>
      <c r="N184" s="379">
        <v>46204</v>
      </c>
      <c r="O184" s="522"/>
      <c r="P184" s="380" t="s">
        <v>52</v>
      </c>
      <c r="Q184" s="381"/>
      <c r="R184" s="381"/>
      <c r="S184" s="380" t="s">
        <v>859</v>
      </c>
      <c r="T184" s="588" t="s">
        <v>54</v>
      </c>
      <c r="U184" s="559" t="s">
        <v>54</v>
      </c>
      <c r="V184" s="382"/>
      <c r="W184" s="606" t="s">
        <v>860</v>
      </c>
      <c r="X184" s="384" t="s">
        <v>861</v>
      </c>
      <c r="Y184" s="478">
        <v>9.7428</v>
      </c>
      <c r="Z184" s="386">
        <f>G184*Y184</f>
        <v>758554.9224</v>
      </c>
      <c r="AA184" s="371"/>
      <c r="AB184" s="387" t="s">
        <v>84</v>
      </c>
      <c r="AC184" s="388" t="s">
        <v>56</v>
      </c>
      <c r="AD184" s="377"/>
      <c r="AE184" s="389"/>
      <c r="AF184" s="390"/>
      <c r="AG184" s="391"/>
      <c r="AH184" s="391"/>
      <c r="AI184" s="371"/>
      <c r="AJ184" s="371"/>
      <c r="AK184" s="371"/>
      <c r="AL184" s="388">
        <f>I184</f>
        <v>24</v>
      </c>
      <c r="AM184" s="388">
        <f t="shared" si="31"/>
        <v>24</v>
      </c>
      <c r="AN184" s="525"/>
      <c r="AO184" s="392" t="s">
        <v>101</v>
      </c>
      <c r="AP184" s="593"/>
      <c r="AQ184" s="388">
        <f t="shared" si="32"/>
        <v>24</v>
      </c>
      <c r="AR184" s="388"/>
      <c r="AS184" s="296"/>
    </row>
    <row r="185" s="295" customFormat="1" ht="36" customHeight="1" spans="1:46">
      <c r="A185" s="369">
        <v>46153</v>
      </c>
      <c r="B185" s="370" t="s">
        <v>862</v>
      </c>
      <c r="C185" s="370" t="s">
        <v>863</v>
      </c>
      <c r="D185" s="371" t="s">
        <v>864</v>
      </c>
      <c r="E185" s="372" t="s">
        <v>865</v>
      </c>
      <c r="F185" s="373" t="s">
        <v>866</v>
      </c>
      <c r="G185" s="374" t="s">
        <v>50</v>
      </c>
      <c r="H185" s="428" t="s">
        <v>51</v>
      </c>
      <c r="I185" s="376">
        <v>15</v>
      </c>
      <c r="J185" s="377">
        <v>0</v>
      </c>
      <c r="K185" s="377">
        <v>3</v>
      </c>
      <c r="L185" s="378">
        <f t="shared" si="23"/>
        <v>5</v>
      </c>
      <c r="M185" s="379">
        <v>46206</v>
      </c>
      <c r="N185" s="379">
        <v>46204</v>
      </c>
      <c r="O185" s="380"/>
      <c r="P185" s="380" t="s">
        <v>52</v>
      </c>
      <c r="Q185" s="381"/>
      <c r="R185" s="381" t="s">
        <v>867</v>
      </c>
      <c r="S185" s="380">
        <v>46177</v>
      </c>
      <c r="T185" s="436" t="s">
        <v>54</v>
      </c>
      <c r="U185" s="559" t="s">
        <v>868</v>
      </c>
      <c r="V185" s="382"/>
      <c r="W185" s="383" t="s">
        <v>869</v>
      </c>
      <c r="X185" s="384" t="s">
        <v>870</v>
      </c>
      <c r="Y185" s="478">
        <v>9.9425</v>
      </c>
      <c r="Z185" s="386">
        <f>I185*Y185</f>
        <v>149.1375</v>
      </c>
      <c r="AA185" s="371"/>
      <c r="AB185" s="374" t="s">
        <v>84</v>
      </c>
      <c r="AC185" s="388" t="s">
        <v>56</v>
      </c>
      <c r="AD185" s="377"/>
      <c r="AE185" s="389"/>
      <c r="AF185" s="390"/>
      <c r="AG185" s="391"/>
      <c r="AH185" s="391"/>
      <c r="AI185" s="371"/>
      <c r="AJ185" s="556"/>
      <c r="AK185" s="556"/>
      <c r="AL185" s="296">
        <f>I185</f>
        <v>15</v>
      </c>
      <c r="AM185" s="545">
        <f t="shared" si="31"/>
        <v>15</v>
      </c>
      <c r="AN185" s="424"/>
      <c r="AO185" s="444"/>
      <c r="AP185" s="424"/>
      <c r="AQ185" s="545">
        <f t="shared" si="32"/>
        <v>15</v>
      </c>
      <c r="AR185" s="545"/>
      <c r="AS185" s="296"/>
    </row>
    <row r="186" s="295" customFormat="1" ht="36" customHeight="1" spans="1:46">
      <c r="A186" s="369">
        <v>46154</v>
      </c>
      <c r="B186" s="370" t="s">
        <v>594</v>
      </c>
      <c r="C186" s="370" t="s">
        <v>71</v>
      </c>
      <c r="D186" s="371" t="s">
        <v>871</v>
      </c>
      <c r="E186" s="383">
        <v>12030601350</v>
      </c>
      <c r="F186" s="373" t="s">
        <v>872</v>
      </c>
      <c r="G186" s="374" t="s">
        <v>597</v>
      </c>
      <c r="H186" s="428" t="s">
        <v>51</v>
      </c>
      <c r="I186" s="376">
        <v>1944</v>
      </c>
      <c r="J186" s="377">
        <v>0</v>
      </c>
      <c r="K186" s="377">
        <v>54</v>
      </c>
      <c r="L186" s="378">
        <f t="shared" si="23"/>
        <v>36</v>
      </c>
      <c r="M186" s="379">
        <v>46206</v>
      </c>
      <c r="N186" s="379">
        <v>46205</v>
      </c>
      <c r="O186" s="479"/>
      <c r="P186" s="380" t="s">
        <v>52</v>
      </c>
      <c r="Q186" s="420">
        <v>46208</v>
      </c>
      <c r="R186" s="494"/>
      <c r="S186" s="380" t="s">
        <v>769</v>
      </c>
      <c r="T186" s="436" t="s">
        <v>54</v>
      </c>
      <c r="U186" s="382" t="s">
        <v>54</v>
      </c>
      <c r="V186" s="406" t="s">
        <v>599</v>
      </c>
      <c r="W186" s="383" t="s">
        <v>770</v>
      </c>
      <c r="X186" s="384" t="s">
        <v>601</v>
      </c>
      <c r="Y186" s="478">
        <v>499.9139</v>
      </c>
      <c r="Z186" s="386">
        <f>Y186*L186</f>
        <v>17996.9004</v>
      </c>
      <c r="AA186" s="371"/>
      <c r="AB186" s="387" t="s">
        <v>602</v>
      </c>
      <c r="AC186" s="388" t="s">
        <v>56</v>
      </c>
      <c r="AD186" s="377"/>
      <c r="AE186" s="389"/>
      <c r="AF186" s="390"/>
      <c r="AG186" s="391"/>
      <c r="AH186" s="391"/>
      <c r="AI186" s="371"/>
      <c r="AJ186" s="482">
        <f>I186</f>
        <v>1944</v>
      </c>
      <c r="AK186" s="482"/>
      <c r="AL186" s="296"/>
      <c r="AM186" s="296"/>
      <c r="AN186" s="383">
        <f>I186</f>
        <v>1944</v>
      </c>
      <c r="AO186" s="371"/>
      <c r="AP186" s="387">
        <f>I186</f>
        <v>1944</v>
      </c>
      <c r="AQ186" s="296"/>
      <c r="AR186" s="296"/>
      <c r="AS186" s="388">
        <f>I186/3</f>
        <v>648</v>
      </c>
    </row>
    <row r="187" s="295" customFormat="1" ht="36" customHeight="1" spans="1:46">
      <c r="A187" s="369">
        <v>46168</v>
      </c>
      <c r="B187" s="370" t="s">
        <v>873</v>
      </c>
      <c r="C187" s="370" t="s">
        <v>71</v>
      </c>
      <c r="D187" s="371" t="s">
        <v>874</v>
      </c>
      <c r="E187" s="383">
        <v>44771138</v>
      </c>
      <c r="F187" s="373" t="s">
        <v>875</v>
      </c>
      <c r="G187" s="374" t="s">
        <v>50</v>
      </c>
      <c r="H187" s="428" t="s">
        <v>51</v>
      </c>
      <c r="I187" s="376">
        <v>522</v>
      </c>
      <c r="J187" s="377">
        <v>0</v>
      </c>
      <c r="K187" s="377">
        <v>3</v>
      </c>
      <c r="L187" s="378">
        <f t="shared" si="23"/>
        <v>174</v>
      </c>
      <c r="M187" s="379">
        <v>46206</v>
      </c>
      <c r="N187" s="379">
        <v>46209</v>
      </c>
      <c r="O187" s="479"/>
      <c r="P187" s="380" t="s">
        <v>52</v>
      </c>
      <c r="Q187" s="520">
        <v>46210</v>
      </c>
      <c r="R187" s="494" t="s">
        <v>65</v>
      </c>
      <c r="S187" s="380">
        <v>46168</v>
      </c>
      <c r="T187" s="382" t="s">
        <v>54</v>
      </c>
      <c r="U187" s="382" t="s">
        <v>54</v>
      </c>
      <c r="V187" s="568"/>
      <c r="W187" s="383" t="s">
        <v>876</v>
      </c>
      <c r="X187" s="384" t="s">
        <v>877</v>
      </c>
      <c r="Y187" s="478">
        <v>6.2991</v>
      </c>
      <c r="Z187" s="386">
        <f>I187*Y187</f>
        <v>3288.1302</v>
      </c>
      <c r="AA187" s="371"/>
      <c r="AB187" s="374" t="s">
        <v>50</v>
      </c>
      <c r="AC187" s="388" t="s">
        <v>56</v>
      </c>
      <c r="AD187" s="377"/>
      <c r="AE187" s="389"/>
      <c r="AF187" s="390"/>
      <c r="AG187" s="391"/>
      <c r="AH187" s="391"/>
      <c r="AI187" s="371">
        <f>I187</f>
        <v>522</v>
      </c>
      <c r="AJ187" s="371"/>
      <c r="AK187" s="371"/>
      <c r="AL187" s="296"/>
      <c r="AM187" s="383">
        <f>I187</f>
        <v>522</v>
      </c>
      <c r="AN187" s="371"/>
      <c r="AO187" s="371"/>
      <c r="AP187" s="371"/>
      <c r="AQ187" s="387">
        <f>I187</f>
        <v>522</v>
      </c>
      <c r="AR187" s="387"/>
      <c r="AS187" s="388"/>
      <c r="AT187" s="299"/>
    </row>
    <row r="188" s="295" customFormat="1" ht="36" customHeight="1" spans="1:46">
      <c r="A188" s="369">
        <v>46107</v>
      </c>
      <c r="B188" s="370" t="s">
        <v>610</v>
      </c>
      <c r="C188" s="370" t="s">
        <v>396</v>
      </c>
      <c r="D188" s="371">
        <v>4500198846</v>
      </c>
      <c r="E188" s="607">
        <v>7950320025</v>
      </c>
      <c r="F188" s="373" t="str">
        <f>D188&amp;-10</f>
        <v>4500198846-10</v>
      </c>
      <c r="G188" s="374" t="s">
        <v>602</v>
      </c>
      <c r="H188" s="428" t="s">
        <v>51</v>
      </c>
      <c r="I188" s="376">
        <v>1944</v>
      </c>
      <c r="J188" s="377">
        <v>0</v>
      </c>
      <c r="K188" s="377">
        <v>54</v>
      </c>
      <c r="L188" s="378">
        <f t="shared" si="23"/>
        <v>36</v>
      </c>
      <c r="M188" s="379">
        <v>46206</v>
      </c>
      <c r="N188" s="542">
        <v>46213</v>
      </c>
      <c r="O188" s="479"/>
      <c r="P188" s="380" t="s">
        <v>52</v>
      </c>
      <c r="Q188" s="520">
        <v>46212</v>
      </c>
      <c r="R188" s="418" t="s">
        <v>65</v>
      </c>
      <c r="S188" s="380">
        <v>46155</v>
      </c>
      <c r="T188" s="436" t="s">
        <v>54</v>
      </c>
      <c r="U188" s="559" t="s">
        <v>612</v>
      </c>
      <c r="V188" s="559" t="s">
        <v>613</v>
      </c>
      <c r="W188" s="491" t="s">
        <v>614</v>
      </c>
      <c r="X188" s="384" t="s">
        <v>615</v>
      </c>
      <c r="Y188" s="590">
        <v>793.6019</v>
      </c>
      <c r="Z188" s="386">
        <f>Y188*L188</f>
        <v>28569.6684</v>
      </c>
      <c r="AA188" s="371"/>
      <c r="AB188" s="591" t="s">
        <v>616</v>
      </c>
      <c r="AC188" s="388" t="s">
        <v>56</v>
      </c>
      <c r="AD188" s="377"/>
      <c r="AE188" s="389"/>
      <c r="AF188" s="390"/>
      <c r="AG188" s="391"/>
      <c r="AH188" s="391"/>
      <c r="AI188" s="371"/>
      <c r="AJ188" s="582">
        <f>I188</f>
        <v>1944</v>
      </c>
      <c r="AK188" s="582"/>
      <c r="AL188" s="296"/>
      <c r="AM188" s="545">
        <f>I188</f>
        <v>1944</v>
      </c>
      <c r="AN188" s="383"/>
      <c r="AO188" s="392"/>
      <c r="AP188" s="387">
        <f>I188</f>
        <v>1944</v>
      </c>
      <c r="AQ188" s="298"/>
      <c r="AR188" s="298"/>
      <c r="AS188" s="587">
        <f>I188/3</f>
        <v>648</v>
      </c>
    </row>
    <row r="189" s="296" customFormat="1" ht="36" customHeight="1" spans="1:46">
      <c r="A189" s="369">
        <v>46154</v>
      </c>
      <c r="B189" s="370" t="s">
        <v>594</v>
      </c>
      <c r="C189" s="370" t="s">
        <v>71</v>
      </c>
      <c r="D189" s="371" t="s">
        <v>878</v>
      </c>
      <c r="E189" s="491">
        <v>13540601265</v>
      </c>
      <c r="F189" s="373" t="s">
        <v>879</v>
      </c>
      <c r="G189" s="374" t="s">
        <v>597</v>
      </c>
      <c r="H189" s="428" t="s">
        <v>51</v>
      </c>
      <c r="I189" s="376">
        <v>1944</v>
      </c>
      <c r="J189" s="377">
        <v>0</v>
      </c>
      <c r="K189" s="377">
        <v>54</v>
      </c>
      <c r="L189" s="378">
        <f t="shared" si="23"/>
        <v>36</v>
      </c>
      <c r="M189" s="379">
        <v>46206</v>
      </c>
      <c r="N189" s="542">
        <v>46214</v>
      </c>
      <c r="O189" s="479"/>
      <c r="P189" s="380" t="s">
        <v>52</v>
      </c>
      <c r="Q189" s="520">
        <v>46211</v>
      </c>
      <c r="R189" s="418"/>
      <c r="S189" s="380" t="s">
        <v>769</v>
      </c>
      <c r="T189" s="382" t="s">
        <v>54</v>
      </c>
      <c r="U189" s="382" t="s">
        <v>54</v>
      </c>
      <c r="V189" s="382" t="s">
        <v>599</v>
      </c>
      <c r="W189" s="383" t="s">
        <v>770</v>
      </c>
      <c r="X189" s="384" t="s">
        <v>601</v>
      </c>
      <c r="Y189" s="478">
        <v>499.9139</v>
      </c>
      <c r="Z189" s="386">
        <f>Y189*L189</f>
        <v>17996.9004</v>
      </c>
      <c r="AA189" s="371"/>
      <c r="AB189" s="387" t="s">
        <v>602</v>
      </c>
      <c r="AC189" s="388" t="s">
        <v>56</v>
      </c>
      <c r="AD189" s="377"/>
      <c r="AE189" s="389"/>
      <c r="AF189" s="390"/>
      <c r="AG189" s="391"/>
      <c r="AH189" s="391"/>
      <c r="AI189" s="371"/>
      <c r="AJ189" s="482">
        <f>I189</f>
        <v>1944</v>
      </c>
      <c r="AK189" s="582"/>
      <c r="AL189" s="298"/>
      <c r="AM189" s="298"/>
      <c r="AN189" s="468">
        <f>I189</f>
        <v>1944</v>
      </c>
      <c r="AO189" s="581"/>
      <c r="AP189" s="462">
        <f>I189</f>
        <v>1944</v>
      </c>
      <c r="AQ189" s="298"/>
      <c r="AR189" s="298"/>
      <c r="AS189" s="388">
        <f>I189/3</f>
        <v>648</v>
      </c>
    </row>
    <row r="190" s="295" customFormat="1" ht="36" customHeight="1" spans="1:46">
      <c r="A190" s="369">
        <v>46160</v>
      </c>
      <c r="B190" s="370" t="s">
        <v>880</v>
      </c>
      <c r="C190" s="370" t="s">
        <v>87</v>
      </c>
      <c r="D190" s="371" t="s">
        <v>881</v>
      </c>
      <c r="E190" s="372" t="s">
        <v>882</v>
      </c>
      <c r="F190" s="373" t="s">
        <v>883</v>
      </c>
      <c r="G190" s="374" t="s">
        <v>169</v>
      </c>
      <c r="H190" s="428" t="s">
        <v>51</v>
      </c>
      <c r="I190" s="376">
        <v>504</v>
      </c>
      <c r="J190" s="377">
        <v>0</v>
      </c>
      <c r="K190" s="377">
        <v>3</v>
      </c>
      <c r="L190" s="378">
        <f t="shared" si="23"/>
        <v>168</v>
      </c>
      <c r="M190" s="379">
        <v>46206</v>
      </c>
      <c r="N190" s="379">
        <v>46221</v>
      </c>
      <c r="O190" s="479"/>
      <c r="P190" s="380" t="s">
        <v>52</v>
      </c>
      <c r="Q190" s="381"/>
      <c r="R190" s="494" t="s">
        <v>65</v>
      </c>
      <c r="S190" s="380">
        <v>46177</v>
      </c>
      <c r="T190" s="382" t="s">
        <v>54</v>
      </c>
      <c r="U190" s="559" t="s">
        <v>884</v>
      </c>
      <c r="V190" s="382" t="s">
        <v>362</v>
      </c>
      <c r="W190" s="383" t="s">
        <v>885</v>
      </c>
      <c r="X190" s="384" t="s">
        <v>886</v>
      </c>
      <c r="Y190" s="478">
        <v>10.8403</v>
      </c>
      <c r="Z190" s="386">
        <f>Y190*L190</f>
        <v>1821.1704</v>
      </c>
      <c r="AA190" s="371"/>
      <c r="AB190" s="387" t="s">
        <v>183</v>
      </c>
      <c r="AC190" s="388" t="s">
        <v>56</v>
      </c>
      <c r="AD190" s="377"/>
      <c r="AE190" s="389"/>
      <c r="AF190" s="390"/>
      <c r="AG190" s="391"/>
      <c r="AH190" s="391"/>
      <c r="AI190" s="371"/>
      <c r="AJ190" s="482"/>
      <c r="AK190" s="482"/>
      <c r="AL190" s="371">
        <f>I190</f>
        <v>504</v>
      </c>
      <c r="AM190" s="383">
        <f>I190</f>
        <v>504</v>
      </c>
      <c r="AN190" s="371"/>
      <c r="AO190" s="371" t="s">
        <v>101</v>
      </c>
      <c r="AP190" s="371"/>
      <c r="AQ190" s="387">
        <f>I190</f>
        <v>504</v>
      </c>
      <c r="AR190" s="387"/>
      <c r="AS190" s="388"/>
    </row>
    <row r="191" s="295" customFormat="1" ht="36" customHeight="1" spans="1:46">
      <c r="A191" s="369">
        <v>46114</v>
      </c>
      <c r="B191" s="370" t="s">
        <v>697</v>
      </c>
      <c r="C191" s="370" t="s">
        <v>341</v>
      </c>
      <c r="D191" s="371" t="s">
        <v>887</v>
      </c>
      <c r="E191" s="608">
        <v>10340331153</v>
      </c>
      <c r="F191" s="373" t="s">
        <v>888</v>
      </c>
      <c r="G191" s="374" t="s">
        <v>597</v>
      </c>
      <c r="H191" s="428" t="s">
        <v>51</v>
      </c>
      <c r="I191" s="376">
        <v>1944</v>
      </c>
      <c r="J191" s="377">
        <v>0</v>
      </c>
      <c r="K191" s="377">
        <v>54</v>
      </c>
      <c r="L191" s="378">
        <f t="shared" si="23"/>
        <v>36</v>
      </c>
      <c r="M191" s="379">
        <v>46207</v>
      </c>
      <c r="N191" s="542">
        <v>46221</v>
      </c>
      <c r="O191" s="479"/>
      <c r="P191" s="380" t="s">
        <v>52</v>
      </c>
      <c r="Q191" s="520">
        <v>46223</v>
      </c>
      <c r="R191" s="494" t="s">
        <v>65</v>
      </c>
      <c r="S191" s="380">
        <v>46162</v>
      </c>
      <c r="T191" s="382" t="s">
        <v>54</v>
      </c>
      <c r="U191" s="382" t="s">
        <v>54</v>
      </c>
      <c r="V191" s="382" t="s">
        <v>599</v>
      </c>
      <c r="W191" s="383" t="s">
        <v>739</v>
      </c>
      <c r="X191" s="384" t="s">
        <v>601</v>
      </c>
      <c r="Y191" s="478">
        <v>833.19</v>
      </c>
      <c r="Z191" s="386">
        <f>Y191*L191</f>
        <v>29994.84</v>
      </c>
      <c r="AA191" s="371"/>
      <c r="AB191" s="387" t="s">
        <v>602</v>
      </c>
      <c r="AC191" s="388" t="s">
        <v>56</v>
      </c>
      <c r="AD191" s="377"/>
      <c r="AE191" s="389"/>
      <c r="AF191" s="390"/>
      <c r="AG191" s="391"/>
      <c r="AH191" s="391"/>
      <c r="AI191" s="371"/>
      <c r="AJ191" s="482">
        <f>I191</f>
        <v>1944</v>
      </c>
      <c r="AK191" s="482"/>
      <c r="AL191" s="296"/>
      <c r="AM191" s="296"/>
      <c r="AN191" s="383">
        <f>I191</f>
        <v>1944</v>
      </c>
      <c r="AO191" s="371"/>
      <c r="AP191" s="387">
        <f>I191</f>
        <v>1944</v>
      </c>
      <c r="AQ191" s="296"/>
      <c r="AR191" s="296"/>
      <c r="AS191" s="587">
        <f>I191/3</f>
        <v>648</v>
      </c>
    </row>
    <row r="192" s="295" customFormat="1" ht="36" customHeight="1" spans="1:46">
      <c r="A192" s="369">
        <v>46114</v>
      </c>
      <c r="B192" s="370" t="s">
        <v>697</v>
      </c>
      <c r="C192" s="370" t="s">
        <v>341</v>
      </c>
      <c r="D192" s="371" t="s">
        <v>889</v>
      </c>
      <c r="E192" s="372" t="s">
        <v>890</v>
      </c>
      <c r="F192" s="373" t="s">
        <v>891</v>
      </c>
      <c r="G192" s="374" t="s">
        <v>597</v>
      </c>
      <c r="H192" s="428" t="s">
        <v>51</v>
      </c>
      <c r="I192" s="376">
        <v>1944</v>
      </c>
      <c r="J192" s="377">
        <v>0</v>
      </c>
      <c r="K192" s="377">
        <v>54</v>
      </c>
      <c r="L192" s="378">
        <f t="shared" si="23"/>
        <v>36</v>
      </c>
      <c r="M192" s="379">
        <v>46207</v>
      </c>
      <c r="N192" s="542">
        <v>46223</v>
      </c>
      <c r="O192" s="479"/>
      <c r="P192" s="380" t="s">
        <v>52</v>
      </c>
      <c r="Q192" s="520">
        <v>46223</v>
      </c>
      <c r="R192" s="494" t="s">
        <v>65</v>
      </c>
      <c r="S192" s="380">
        <v>46162</v>
      </c>
      <c r="T192" s="382" t="s">
        <v>54</v>
      </c>
      <c r="U192" s="382" t="s">
        <v>54</v>
      </c>
      <c r="V192" s="382" t="s">
        <v>599</v>
      </c>
      <c r="W192" s="383" t="s">
        <v>739</v>
      </c>
      <c r="X192" s="384" t="s">
        <v>601</v>
      </c>
      <c r="Y192" s="478">
        <v>833.19</v>
      </c>
      <c r="Z192" s="386">
        <f>Y192*L192</f>
        <v>29994.84</v>
      </c>
      <c r="AA192" s="371"/>
      <c r="AB192" s="387" t="s">
        <v>602</v>
      </c>
      <c r="AC192" s="388" t="s">
        <v>56</v>
      </c>
      <c r="AD192" s="377"/>
      <c r="AE192" s="389"/>
      <c r="AF192" s="390"/>
      <c r="AG192" s="391"/>
      <c r="AH192" s="391"/>
      <c r="AI192" s="371"/>
      <c r="AJ192" s="482">
        <f>I192</f>
        <v>1944</v>
      </c>
      <c r="AK192" s="482"/>
      <c r="AL192" s="296"/>
      <c r="AM192" s="296"/>
      <c r="AN192" s="383">
        <f>I192</f>
        <v>1944</v>
      </c>
      <c r="AO192" s="371"/>
      <c r="AP192" s="387">
        <f>I192</f>
        <v>1944</v>
      </c>
      <c r="AQ192" s="296"/>
      <c r="AR192" s="296"/>
      <c r="AS192" s="587">
        <f>I192/3</f>
        <v>648</v>
      </c>
    </row>
    <row r="193" s="295" customFormat="1" ht="36" customHeight="1" spans="1:46">
      <c r="A193" s="369">
        <v>46136</v>
      </c>
      <c r="B193" s="370" t="s">
        <v>374</v>
      </c>
      <c r="C193" s="370" t="s">
        <v>257</v>
      </c>
      <c r="D193" s="371" t="s">
        <v>892</v>
      </c>
      <c r="E193" s="383">
        <v>2000010096</v>
      </c>
      <c r="F193" s="373" t="s">
        <v>893</v>
      </c>
      <c r="G193" s="374" t="s">
        <v>50</v>
      </c>
      <c r="H193" s="428" t="s">
        <v>51</v>
      </c>
      <c r="I193" s="376">
        <v>1200</v>
      </c>
      <c r="J193" s="377">
        <v>0</v>
      </c>
      <c r="K193" s="377">
        <v>3</v>
      </c>
      <c r="L193" s="378">
        <f t="shared" si="23"/>
        <v>400</v>
      </c>
      <c r="M193" s="379">
        <v>46209</v>
      </c>
      <c r="N193" s="379">
        <v>46211</v>
      </c>
      <c r="O193" s="505">
        <v>46213</v>
      </c>
      <c r="P193" s="418" t="s">
        <v>52</v>
      </c>
      <c r="Q193" s="609">
        <v>46232</v>
      </c>
      <c r="R193" s="494" t="s">
        <v>65</v>
      </c>
      <c r="S193" s="380">
        <v>46169</v>
      </c>
      <c r="T193" s="382" t="s">
        <v>54</v>
      </c>
      <c r="U193" s="382" t="s">
        <v>470</v>
      </c>
      <c r="V193" s="382"/>
      <c r="W193" s="383" t="s">
        <v>894</v>
      </c>
      <c r="X193" s="384" t="s">
        <v>381</v>
      </c>
      <c r="Y193" s="478">
        <v>9.9259</v>
      </c>
      <c r="Z193" s="386">
        <f>I193*Y193</f>
        <v>11911.08</v>
      </c>
      <c r="AA193" s="371"/>
      <c r="AB193" s="387" t="s">
        <v>84</v>
      </c>
      <c r="AC193" s="388" t="s">
        <v>56</v>
      </c>
      <c r="AD193" s="377"/>
      <c r="AE193" s="389"/>
      <c r="AF193" s="390"/>
      <c r="AG193" s="391"/>
      <c r="AH193" s="391"/>
      <c r="AI193" s="371"/>
      <c r="AJ193" s="371"/>
      <c r="AK193" s="371"/>
      <c r="AL193" s="371">
        <f>I193</f>
        <v>1200</v>
      </c>
      <c r="AM193" s="371">
        <f>I193</f>
        <v>1200</v>
      </c>
      <c r="AN193" s="371"/>
      <c r="AO193" s="371"/>
      <c r="AP193" s="371"/>
      <c r="AQ193" s="388">
        <f>I193</f>
        <v>1200</v>
      </c>
      <c r="AR193" s="388"/>
      <c r="AS193" s="296"/>
    </row>
    <row r="194" s="295" customFormat="1" ht="36" customHeight="1" spans="1:46">
      <c r="A194" s="369">
        <v>46154</v>
      </c>
      <c r="B194" s="370" t="s">
        <v>594</v>
      </c>
      <c r="C194" s="370" t="s">
        <v>71</v>
      </c>
      <c r="D194" s="371" t="s">
        <v>895</v>
      </c>
      <c r="E194" s="491">
        <v>9360601290</v>
      </c>
      <c r="F194" s="373" t="s">
        <v>896</v>
      </c>
      <c r="G194" s="374" t="s">
        <v>597</v>
      </c>
      <c r="H194" s="375" t="s">
        <v>51</v>
      </c>
      <c r="I194" s="376">
        <v>1944</v>
      </c>
      <c r="J194" s="377">
        <v>0</v>
      </c>
      <c r="K194" s="377">
        <v>54</v>
      </c>
      <c r="L194" s="378">
        <f t="shared" si="23"/>
        <v>36</v>
      </c>
      <c r="M194" s="379">
        <v>46209</v>
      </c>
      <c r="N194" s="542">
        <v>46212</v>
      </c>
      <c r="O194" s="479"/>
      <c r="P194" s="380" t="s">
        <v>52</v>
      </c>
      <c r="Q194" s="520">
        <v>46212</v>
      </c>
      <c r="R194" s="418"/>
      <c r="S194" s="380" t="s">
        <v>769</v>
      </c>
      <c r="T194" s="382" t="s">
        <v>54</v>
      </c>
      <c r="U194" s="382" t="s">
        <v>54</v>
      </c>
      <c r="V194" s="382" t="s">
        <v>599</v>
      </c>
      <c r="W194" s="383" t="s">
        <v>770</v>
      </c>
      <c r="X194" s="384" t="s">
        <v>601</v>
      </c>
      <c r="Y194" s="478">
        <v>499.9139</v>
      </c>
      <c r="Z194" s="386">
        <f>Y194*L194</f>
        <v>17996.9004</v>
      </c>
      <c r="AA194" s="371"/>
      <c r="AB194" s="387" t="s">
        <v>602</v>
      </c>
      <c r="AC194" s="388" t="s">
        <v>56</v>
      </c>
      <c r="AD194" s="377"/>
      <c r="AE194" s="389"/>
      <c r="AF194" s="390"/>
      <c r="AG194" s="391"/>
      <c r="AH194" s="391"/>
      <c r="AI194" s="371"/>
      <c r="AJ194" s="482">
        <f>I194</f>
        <v>1944</v>
      </c>
      <c r="AK194" s="482"/>
      <c r="AL194" s="298"/>
      <c r="AM194" s="296"/>
      <c r="AN194" s="383">
        <f>I194</f>
        <v>1944</v>
      </c>
      <c r="AO194" s="371"/>
      <c r="AP194" s="387">
        <f>I194</f>
        <v>1944</v>
      </c>
      <c r="AQ194" s="296"/>
      <c r="AR194" s="296"/>
      <c r="AS194" s="388">
        <f>I194/3</f>
        <v>648</v>
      </c>
    </row>
    <row r="195" s="295" customFormat="1" ht="36" customHeight="1" spans="1:46">
      <c r="A195" s="369">
        <v>46154</v>
      </c>
      <c r="B195" s="370" t="s">
        <v>594</v>
      </c>
      <c r="C195" s="370" t="s">
        <v>71</v>
      </c>
      <c r="D195" s="371" t="s">
        <v>897</v>
      </c>
      <c r="E195" s="491">
        <v>1710601489</v>
      </c>
      <c r="F195" s="373" t="s">
        <v>898</v>
      </c>
      <c r="G195" s="374" t="s">
        <v>597</v>
      </c>
      <c r="H195" s="428" t="s">
        <v>51</v>
      </c>
      <c r="I195" s="376">
        <v>1944</v>
      </c>
      <c r="J195" s="377">
        <v>0</v>
      </c>
      <c r="K195" s="377">
        <v>54</v>
      </c>
      <c r="L195" s="378">
        <f t="shared" ref="L195:L258" si="33">I195/K195</f>
        <v>36</v>
      </c>
      <c r="M195" s="379">
        <v>46209</v>
      </c>
      <c r="N195" s="542">
        <v>46217</v>
      </c>
      <c r="O195" s="479"/>
      <c r="P195" s="380" t="s">
        <v>52</v>
      </c>
      <c r="Q195" s="520">
        <v>46217</v>
      </c>
      <c r="R195" s="494"/>
      <c r="S195" s="380" t="s">
        <v>769</v>
      </c>
      <c r="T195" s="382" t="s">
        <v>54</v>
      </c>
      <c r="U195" s="382" t="s">
        <v>54</v>
      </c>
      <c r="V195" s="382" t="s">
        <v>599</v>
      </c>
      <c r="W195" s="383" t="s">
        <v>770</v>
      </c>
      <c r="X195" s="384" t="s">
        <v>601</v>
      </c>
      <c r="Y195" s="478">
        <v>499.9139</v>
      </c>
      <c r="Z195" s="386">
        <f>Y195*L195</f>
        <v>17996.9004</v>
      </c>
      <c r="AA195" s="371"/>
      <c r="AB195" s="387" t="s">
        <v>602</v>
      </c>
      <c r="AC195" s="388" t="s">
        <v>56</v>
      </c>
      <c r="AD195" s="377"/>
      <c r="AE195" s="389"/>
      <c r="AF195" s="390"/>
      <c r="AG195" s="391"/>
      <c r="AH195" s="391"/>
      <c r="AI195" s="371"/>
      <c r="AJ195" s="482">
        <f>I195</f>
        <v>1944</v>
      </c>
      <c r="AK195" s="482"/>
      <c r="AL195" s="296"/>
      <c r="AM195" s="296"/>
      <c r="AN195" s="383">
        <f>I195</f>
        <v>1944</v>
      </c>
      <c r="AO195" s="371"/>
      <c r="AP195" s="387">
        <f>I195</f>
        <v>1944</v>
      </c>
      <c r="AQ195" s="296"/>
      <c r="AR195" s="296"/>
      <c r="AS195" s="388">
        <f>I195/3</f>
        <v>648</v>
      </c>
    </row>
    <row r="196" s="295" customFormat="1" ht="36" customHeight="1" spans="1:46">
      <c r="A196" s="610">
        <v>46169</v>
      </c>
      <c r="B196" s="611" t="s">
        <v>122</v>
      </c>
      <c r="C196" s="611" t="s">
        <v>71</v>
      </c>
      <c r="D196" s="612" t="s">
        <v>899</v>
      </c>
      <c r="E196" s="613">
        <v>983718023</v>
      </c>
      <c r="F196" s="614" t="s">
        <v>900</v>
      </c>
      <c r="G196" s="615" t="s">
        <v>125</v>
      </c>
      <c r="H196" s="616" t="s">
        <v>51</v>
      </c>
      <c r="I196" s="617">
        <v>500</v>
      </c>
      <c r="J196" s="618">
        <v>0</v>
      </c>
      <c r="K196" s="618">
        <v>2</v>
      </c>
      <c r="L196" s="619">
        <f t="shared" si="33"/>
        <v>250</v>
      </c>
      <c r="M196" s="620">
        <v>46210</v>
      </c>
      <c r="N196" s="620">
        <v>46213</v>
      </c>
      <c r="O196" s="621" t="s">
        <v>801</v>
      </c>
      <c r="P196" s="622" t="s">
        <v>52</v>
      </c>
      <c r="Q196" s="623">
        <v>46227</v>
      </c>
      <c r="R196" s="405"/>
      <c r="S196" s="624" t="s">
        <v>691</v>
      </c>
      <c r="T196" s="406" t="s">
        <v>54</v>
      </c>
      <c r="U196" s="559" t="s">
        <v>802</v>
      </c>
      <c r="V196" s="625"/>
      <c r="W196" s="613" t="s">
        <v>901</v>
      </c>
      <c r="X196" s="626" t="s">
        <v>129</v>
      </c>
      <c r="Y196" s="627">
        <v>6.3566</v>
      </c>
      <c r="Z196" s="628">
        <f>Y196*L196</f>
        <v>1589.15</v>
      </c>
      <c r="AA196" s="612"/>
      <c r="AB196" s="374" t="s">
        <v>125</v>
      </c>
      <c r="AC196" s="629" t="s">
        <v>56</v>
      </c>
      <c r="AD196" s="618"/>
      <c r="AE196" s="630"/>
      <c r="AF196" s="631"/>
      <c r="AG196" s="632"/>
      <c r="AH196" s="632"/>
      <c r="AI196" s="612">
        <f>I196</f>
        <v>500</v>
      </c>
      <c r="AJ196" s="612"/>
      <c r="AK196" s="612"/>
      <c r="AL196" s="612"/>
      <c r="AM196" s="554">
        <f>I196</f>
        <v>500</v>
      </c>
      <c r="AN196" s="612"/>
      <c r="AO196" s="612"/>
      <c r="AP196" s="612"/>
      <c r="AQ196" s="388">
        <f>I196</f>
        <v>500</v>
      </c>
      <c r="AR196" s="412"/>
      <c r="AS196" s="312"/>
      <c r="AT196" s="299"/>
    </row>
    <row r="197" s="303" customFormat="1" ht="36" customHeight="1" spans="1:46">
      <c r="A197" s="610">
        <v>46127</v>
      </c>
      <c r="B197" s="611" t="s">
        <v>902</v>
      </c>
      <c r="C197" s="611" t="s">
        <v>87</v>
      </c>
      <c r="D197" s="612">
        <v>4500202230</v>
      </c>
      <c r="E197" s="893" t="s">
        <v>903</v>
      </c>
      <c r="F197" s="614" t="s">
        <v>904</v>
      </c>
      <c r="G197" s="615" t="s">
        <v>50</v>
      </c>
      <c r="H197" s="616" t="s">
        <v>51</v>
      </c>
      <c r="I197" s="617">
        <v>501</v>
      </c>
      <c r="J197" s="618">
        <v>0</v>
      </c>
      <c r="K197" s="618">
        <v>3</v>
      </c>
      <c r="L197" s="619">
        <f t="shared" si="33"/>
        <v>167</v>
      </c>
      <c r="M197" s="620">
        <v>46210</v>
      </c>
      <c r="N197" s="620">
        <v>46217</v>
      </c>
      <c r="O197" s="621"/>
      <c r="P197" s="622" t="s">
        <v>52</v>
      </c>
      <c r="Q197" s="623">
        <v>46219</v>
      </c>
      <c r="R197" s="494" t="s">
        <v>65</v>
      </c>
      <c r="S197" s="622">
        <v>46172</v>
      </c>
      <c r="T197" s="406" t="s">
        <v>54</v>
      </c>
      <c r="U197" s="382" t="s">
        <v>905</v>
      </c>
      <c r="V197" s="633"/>
      <c r="W197" s="613" t="s">
        <v>906</v>
      </c>
      <c r="X197" s="626" t="s">
        <v>907</v>
      </c>
      <c r="Y197" s="627">
        <v>10.2316</v>
      </c>
      <c r="Z197" s="628">
        <f>Y197*L197</f>
        <v>1708.6772</v>
      </c>
      <c r="AA197" s="612"/>
      <c r="AB197" s="374" t="s">
        <v>84</v>
      </c>
      <c r="AC197" s="629" t="s">
        <v>56</v>
      </c>
      <c r="AD197" s="618"/>
      <c r="AE197" s="630"/>
      <c r="AF197" s="631"/>
      <c r="AG197" s="632"/>
      <c r="AH197" s="632"/>
      <c r="AI197" s="612"/>
      <c r="AJ197" s="634"/>
      <c r="AK197" s="634"/>
      <c r="AL197" s="635">
        <f>I197</f>
        <v>501</v>
      </c>
      <c r="AM197" s="636"/>
      <c r="AN197" s="613">
        <f>I197</f>
        <v>501</v>
      </c>
      <c r="AO197" s="612" t="s">
        <v>101</v>
      </c>
      <c r="AP197" s="637">
        <f>I197</f>
        <v>501</v>
      </c>
      <c r="AQ197" s="636"/>
      <c r="AR197" s="636"/>
      <c r="AS197" s="312"/>
      <c r="AT197" s="295"/>
    </row>
    <row r="198" s="295" customFormat="1" ht="36" customHeight="1" spans="1:46">
      <c r="A198" s="610">
        <v>46173</v>
      </c>
      <c r="B198" s="611" t="s">
        <v>908</v>
      </c>
      <c r="C198" s="611" t="s">
        <v>341</v>
      </c>
      <c r="D198" s="612">
        <v>4500210024</v>
      </c>
      <c r="E198" s="638" t="s">
        <v>909</v>
      </c>
      <c r="F198" s="614" t="s">
        <v>910</v>
      </c>
      <c r="G198" s="615" t="s">
        <v>50</v>
      </c>
      <c r="H198" s="616" t="s">
        <v>51</v>
      </c>
      <c r="I198" s="617">
        <v>183</v>
      </c>
      <c r="J198" s="618">
        <v>0</v>
      </c>
      <c r="K198" s="618">
        <v>3</v>
      </c>
      <c r="L198" s="639">
        <f t="shared" si="33"/>
        <v>61</v>
      </c>
      <c r="M198" s="620">
        <v>46211</v>
      </c>
      <c r="N198" s="620">
        <v>46214</v>
      </c>
      <c r="O198" s="621"/>
      <c r="P198" s="622" t="s">
        <v>52</v>
      </c>
      <c r="Q198" s="640">
        <v>46216</v>
      </c>
      <c r="R198" s="641" t="s">
        <v>65</v>
      </c>
      <c r="S198" s="622">
        <v>46184</v>
      </c>
      <c r="T198" s="633" t="s">
        <v>54</v>
      </c>
      <c r="U198" s="642" t="s">
        <v>911</v>
      </c>
      <c r="V198" s="643"/>
      <c r="W198" s="613" t="s">
        <v>912</v>
      </c>
      <c r="X198" s="626" t="s">
        <v>346</v>
      </c>
      <c r="Y198" s="627">
        <v>10.4985</v>
      </c>
      <c r="Z198" s="628">
        <f>I198*Y198</f>
        <v>1921.2255</v>
      </c>
      <c r="AA198" s="612"/>
      <c r="AB198" s="615" t="s">
        <v>84</v>
      </c>
      <c r="AC198" s="629" t="s">
        <v>56</v>
      </c>
      <c r="AD198" s="618"/>
      <c r="AE198" s="630"/>
      <c r="AF198" s="631"/>
      <c r="AG198" s="632"/>
      <c r="AH198" s="632"/>
      <c r="AI198" s="612"/>
      <c r="AJ198" s="612"/>
      <c r="AK198" s="612"/>
      <c r="AL198" s="635">
        <f>I198</f>
        <v>183</v>
      </c>
      <c r="AM198" s="644"/>
      <c r="AN198" s="613">
        <f>I198</f>
        <v>183</v>
      </c>
      <c r="AO198" s="612"/>
      <c r="AP198" s="637">
        <f>I198</f>
        <v>183</v>
      </c>
      <c r="AQ198" s="637"/>
      <c r="AR198" s="637"/>
      <c r="AS198" s="629"/>
      <c r="AT198" s="298"/>
    </row>
    <row r="199" s="295" customFormat="1" ht="36" customHeight="1" spans="1:46">
      <c r="A199" s="369">
        <v>46154</v>
      </c>
      <c r="B199" s="370" t="s">
        <v>594</v>
      </c>
      <c r="C199" s="370" t="s">
        <v>71</v>
      </c>
      <c r="D199" s="371" t="s">
        <v>913</v>
      </c>
      <c r="E199" s="491">
        <v>9600601531</v>
      </c>
      <c r="F199" s="373" t="s">
        <v>914</v>
      </c>
      <c r="G199" s="374" t="s">
        <v>597</v>
      </c>
      <c r="H199" s="375" t="s">
        <v>51</v>
      </c>
      <c r="I199" s="376">
        <v>1944</v>
      </c>
      <c r="J199" s="377">
        <v>0</v>
      </c>
      <c r="K199" s="377">
        <v>54</v>
      </c>
      <c r="L199" s="378">
        <f t="shared" si="33"/>
        <v>36</v>
      </c>
      <c r="M199" s="379">
        <v>46211</v>
      </c>
      <c r="N199" s="542">
        <v>46216</v>
      </c>
      <c r="O199" s="479"/>
      <c r="P199" s="380" t="s">
        <v>52</v>
      </c>
      <c r="Q199" s="520">
        <v>46218</v>
      </c>
      <c r="R199" s="418"/>
      <c r="S199" s="380" t="s">
        <v>769</v>
      </c>
      <c r="T199" s="382" t="s">
        <v>54</v>
      </c>
      <c r="U199" s="382" t="s">
        <v>54</v>
      </c>
      <c r="V199" s="382" t="s">
        <v>599</v>
      </c>
      <c r="W199" s="383" t="s">
        <v>770</v>
      </c>
      <c r="X199" s="384" t="s">
        <v>601</v>
      </c>
      <c r="Y199" s="478">
        <v>499.9139</v>
      </c>
      <c r="Z199" s="386">
        <f>Y199*L199</f>
        <v>17996.9004</v>
      </c>
      <c r="AA199" s="371"/>
      <c r="AB199" s="387" t="s">
        <v>602</v>
      </c>
      <c r="AC199" s="388" t="s">
        <v>56</v>
      </c>
      <c r="AD199" s="377"/>
      <c r="AE199" s="389"/>
      <c r="AF199" s="390"/>
      <c r="AG199" s="391"/>
      <c r="AH199" s="391"/>
      <c r="AI199" s="371"/>
      <c r="AJ199" s="482">
        <f>I199</f>
        <v>1944</v>
      </c>
      <c r="AK199" s="582"/>
      <c r="AL199" s="298"/>
      <c r="AM199" s="298"/>
      <c r="AN199" s="383">
        <f>I199</f>
        <v>1944</v>
      </c>
      <c r="AO199" s="371"/>
      <c r="AP199" s="387">
        <f>I199</f>
        <v>1944</v>
      </c>
      <c r="AQ199" s="298"/>
      <c r="AR199" s="298"/>
      <c r="AS199" s="388">
        <f>I199/3</f>
        <v>648</v>
      </c>
    </row>
    <row r="200" s="295" customFormat="1" ht="36" customHeight="1" spans="1:46">
      <c r="A200" s="369">
        <v>46154</v>
      </c>
      <c r="B200" s="370" t="s">
        <v>594</v>
      </c>
      <c r="C200" s="370" t="s">
        <v>71</v>
      </c>
      <c r="D200" s="371" t="s">
        <v>915</v>
      </c>
      <c r="E200" s="491">
        <v>960601530</v>
      </c>
      <c r="F200" s="373" t="s">
        <v>916</v>
      </c>
      <c r="G200" s="374" t="s">
        <v>597</v>
      </c>
      <c r="H200" s="428" t="s">
        <v>51</v>
      </c>
      <c r="I200" s="376">
        <v>1944</v>
      </c>
      <c r="J200" s="377">
        <v>0</v>
      </c>
      <c r="K200" s="377">
        <v>54</v>
      </c>
      <c r="L200" s="378">
        <f t="shared" si="33"/>
        <v>36</v>
      </c>
      <c r="M200" s="379">
        <v>46211</v>
      </c>
      <c r="N200" s="542">
        <v>46217</v>
      </c>
      <c r="O200" s="479"/>
      <c r="P200" s="380" t="s">
        <v>52</v>
      </c>
      <c r="Q200" s="520">
        <v>46224</v>
      </c>
      <c r="R200" s="418"/>
      <c r="S200" s="380" t="s">
        <v>769</v>
      </c>
      <c r="T200" s="382" t="s">
        <v>54</v>
      </c>
      <c r="U200" s="382" t="s">
        <v>54</v>
      </c>
      <c r="V200" s="529" t="s">
        <v>599</v>
      </c>
      <c r="W200" s="383" t="s">
        <v>770</v>
      </c>
      <c r="X200" s="384" t="s">
        <v>601</v>
      </c>
      <c r="Y200" s="478">
        <v>499.9139</v>
      </c>
      <c r="Z200" s="386">
        <f>Y200*L200</f>
        <v>17996.9004</v>
      </c>
      <c r="AA200" s="371"/>
      <c r="AB200" s="387" t="s">
        <v>602</v>
      </c>
      <c r="AC200" s="388" t="s">
        <v>56</v>
      </c>
      <c r="AD200" s="377"/>
      <c r="AE200" s="389"/>
      <c r="AF200" s="390"/>
      <c r="AG200" s="391"/>
      <c r="AH200" s="391"/>
      <c r="AI200" s="371"/>
      <c r="AJ200" s="482">
        <f>I200</f>
        <v>1944</v>
      </c>
      <c r="AK200" s="482"/>
      <c r="AL200" s="296"/>
      <c r="AM200" s="296"/>
      <c r="AN200" s="525">
        <f>I200</f>
        <v>1944</v>
      </c>
      <c r="AO200" s="392"/>
      <c r="AP200" s="593">
        <f>I200</f>
        <v>1944</v>
      </c>
      <c r="AQ200" s="296"/>
      <c r="AR200" s="296"/>
      <c r="AS200" s="388">
        <f>I200/3</f>
        <v>648</v>
      </c>
    </row>
    <row r="201" s="295" customFormat="1" ht="36" customHeight="1" spans="1:46">
      <c r="A201" s="369">
        <v>46114</v>
      </c>
      <c r="B201" s="370" t="s">
        <v>697</v>
      </c>
      <c r="C201" s="370" t="s">
        <v>341</v>
      </c>
      <c r="D201" s="371" t="s">
        <v>917</v>
      </c>
      <c r="E201" s="372" t="s">
        <v>918</v>
      </c>
      <c r="F201" s="373" t="s">
        <v>919</v>
      </c>
      <c r="G201" s="374" t="s">
        <v>597</v>
      </c>
      <c r="H201" s="428" t="s">
        <v>51</v>
      </c>
      <c r="I201" s="376">
        <v>1944</v>
      </c>
      <c r="J201" s="377">
        <v>0</v>
      </c>
      <c r="K201" s="377">
        <v>54</v>
      </c>
      <c r="L201" s="378">
        <f t="shared" si="33"/>
        <v>36</v>
      </c>
      <c r="M201" s="379">
        <v>46212</v>
      </c>
      <c r="N201" s="542">
        <v>46219</v>
      </c>
      <c r="O201" s="479"/>
      <c r="P201" s="380" t="s">
        <v>52</v>
      </c>
      <c r="Q201" s="520">
        <v>46219</v>
      </c>
      <c r="R201" s="418" t="s">
        <v>65</v>
      </c>
      <c r="S201" s="380">
        <v>46162</v>
      </c>
      <c r="T201" s="436" t="s">
        <v>54</v>
      </c>
      <c r="U201" s="382" t="s">
        <v>54</v>
      </c>
      <c r="V201" s="382" t="s">
        <v>599</v>
      </c>
      <c r="W201" s="383" t="s">
        <v>739</v>
      </c>
      <c r="X201" s="384" t="s">
        <v>601</v>
      </c>
      <c r="Y201" s="478">
        <v>833.19</v>
      </c>
      <c r="Z201" s="386">
        <f>Y201*L201</f>
        <v>29994.84</v>
      </c>
      <c r="AA201" s="371"/>
      <c r="AB201" s="387" t="s">
        <v>602</v>
      </c>
      <c r="AC201" s="388" t="s">
        <v>56</v>
      </c>
      <c r="AD201" s="377"/>
      <c r="AE201" s="389"/>
      <c r="AF201" s="390"/>
      <c r="AG201" s="391"/>
      <c r="AH201" s="391"/>
      <c r="AI201" s="371"/>
      <c r="AJ201" s="482">
        <f>I201</f>
        <v>1944</v>
      </c>
      <c r="AK201" s="482"/>
      <c r="AL201" s="296"/>
      <c r="AM201" s="296"/>
      <c r="AN201" s="525">
        <f>I201</f>
        <v>1944</v>
      </c>
      <c r="AO201" s="392"/>
      <c r="AP201" s="593">
        <f>I201</f>
        <v>1944</v>
      </c>
      <c r="AQ201" s="296"/>
      <c r="AR201" s="296"/>
      <c r="AS201" s="587">
        <f>I201/3</f>
        <v>648</v>
      </c>
    </row>
    <row r="202" s="295" customFormat="1" ht="36" customHeight="1" spans="1:46">
      <c r="A202" s="369">
        <v>46157</v>
      </c>
      <c r="B202" s="370" t="s">
        <v>838</v>
      </c>
      <c r="C202" s="370" t="s">
        <v>71</v>
      </c>
      <c r="D202" s="371" t="s">
        <v>920</v>
      </c>
      <c r="E202" s="372" t="s">
        <v>921</v>
      </c>
      <c r="F202" s="373" t="s">
        <v>922</v>
      </c>
      <c r="G202" s="374" t="s">
        <v>50</v>
      </c>
      <c r="H202" s="375" t="s">
        <v>51</v>
      </c>
      <c r="I202" s="376">
        <v>273</v>
      </c>
      <c r="J202" s="377">
        <v>0</v>
      </c>
      <c r="K202" s="377">
        <v>3</v>
      </c>
      <c r="L202" s="378">
        <f t="shared" si="33"/>
        <v>91</v>
      </c>
      <c r="M202" s="379">
        <v>46212</v>
      </c>
      <c r="N202" s="379">
        <v>46224</v>
      </c>
      <c r="O202" s="479"/>
      <c r="P202" s="380" t="s">
        <v>52</v>
      </c>
      <c r="Q202" s="520">
        <v>46230</v>
      </c>
      <c r="R202" s="418" t="s">
        <v>65</v>
      </c>
      <c r="S202" s="380">
        <v>46181</v>
      </c>
      <c r="T202" s="436" t="s">
        <v>66</v>
      </c>
      <c r="U202" s="588" t="s">
        <v>923</v>
      </c>
      <c r="V202" s="382"/>
      <c r="W202" s="383" t="s">
        <v>843</v>
      </c>
      <c r="X202" s="384" t="s">
        <v>844</v>
      </c>
      <c r="Y202" s="478">
        <v>6.1211</v>
      </c>
      <c r="Z202" s="386">
        <f>I202*Y202</f>
        <v>1671.0603</v>
      </c>
      <c r="AA202" s="371"/>
      <c r="AB202" s="374" t="s">
        <v>50</v>
      </c>
      <c r="AC202" s="388" t="s">
        <v>56</v>
      </c>
      <c r="AD202" s="377"/>
      <c r="AE202" s="389"/>
      <c r="AF202" s="390"/>
      <c r="AG202" s="391"/>
      <c r="AH202" s="391"/>
      <c r="AI202" s="371">
        <f>I202</f>
        <v>273</v>
      </c>
      <c r="AJ202" s="482"/>
      <c r="AK202" s="482"/>
      <c r="AL202" s="296"/>
      <c r="AM202" s="296">
        <f>I202</f>
        <v>273</v>
      </c>
      <c r="AN202" s="525"/>
      <c r="AO202" s="392"/>
      <c r="AP202" s="593"/>
      <c r="AQ202" s="296">
        <f>I202</f>
        <v>273</v>
      </c>
      <c r="AR202" s="296"/>
      <c r="AS202" s="388"/>
      <c r="AT202" s="298"/>
    </row>
    <row r="203" s="295" customFormat="1" ht="36" customHeight="1" spans="1:46">
      <c r="A203" s="369">
        <v>46168</v>
      </c>
      <c r="B203" s="370" t="s">
        <v>862</v>
      </c>
      <c r="C203" s="370" t="s">
        <v>863</v>
      </c>
      <c r="D203" s="371" t="s">
        <v>924</v>
      </c>
      <c r="E203" s="372" t="s">
        <v>312</v>
      </c>
      <c r="F203" s="373" t="s">
        <v>925</v>
      </c>
      <c r="G203" s="374" t="s">
        <v>50</v>
      </c>
      <c r="H203" s="428" t="s">
        <v>51</v>
      </c>
      <c r="I203" s="376">
        <v>627</v>
      </c>
      <c r="J203" s="377">
        <v>0</v>
      </c>
      <c r="K203" s="377">
        <v>3</v>
      </c>
      <c r="L203" s="378">
        <f t="shared" si="33"/>
        <v>209</v>
      </c>
      <c r="M203" s="379">
        <v>46212</v>
      </c>
      <c r="N203" s="379">
        <v>46232</v>
      </c>
      <c r="O203" s="479"/>
      <c r="P203" s="380" t="s">
        <v>52</v>
      </c>
      <c r="Q203" s="381"/>
      <c r="R203" s="418" t="s">
        <v>65</v>
      </c>
      <c r="S203" s="380">
        <v>46178</v>
      </c>
      <c r="T203" s="436" t="s">
        <v>54</v>
      </c>
      <c r="U203" s="559" t="s">
        <v>926</v>
      </c>
      <c r="V203" s="568"/>
      <c r="W203" s="383" t="s">
        <v>927</v>
      </c>
      <c r="X203" s="384" t="s">
        <v>870</v>
      </c>
      <c r="Y203" s="478">
        <v>10.4985</v>
      </c>
      <c r="Z203" s="386">
        <f>I203*Y203</f>
        <v>6582.5595</v>
      </c>
      <c r="AA203" s="371"/>
      <c r="AB203" s="387" t="s">
        <v>84</v>
      </c>
      <c r="AC203" s="388" t="s">
        <v>56</v>
      </c>
      <c r="AD203" s="377"/>
      <c r="AE203" s="389"/>
      <c r="AF203" s="390"/>
      <c r="AG203" s="391"/>
      <c r="AH203" s="391"/>
      <c r="AI203" s="371"/>
      <c r="AJ203" s="371"/>
      <c r="AK203" s="371"/>
      <c r="AL203" s="296">
        <f>I203</f>
        <v>627</v>
      </c>
      <c r="AM203" s="383">
        <f>I203</f>
        <v>627</v>
      </c>
      <c r="AN203" s="392"/>
      <c r="AO203" s="392"/>
      <c r="AP203" s="392"/>
      <c r="AQ203" s="387">
        <f>I203</f>
        <v>627</v>
      </c>
      <c r="AR203" s="387"/>
      <c r="AS203" s="388"/>
      <c r="AT203" s="299"/>
    </row>
    <row r="204" s="295" customFormat="1" ht="36" customHeight="1" spans="1:46">
      <c r="A204" s="369">
        <v>46136</v>
      </c>
      <c r="B204" s="370" t="s">
        <v>830</v>
      </c>
      <c r="C204" s="370" t="s">
        <v>175</v>
      </c>
      <c r="D204" s="371" t="s">
        <v>928</v>
      </c>
      <c r="E204" s="372" t="s">
        <v>929</v>
      </c>
      <c r="F204" s="373" t="s">
        <v>930</v>
      </c>
      <c r="G204" s="374" t="s">
        <v>50</v>
      </c>
      <c r="H204" s="428" t="s">
        <v>51</v>
      </c>
      <c r="I204" s="376">
        <v>270</v>
      </c>
      <c r="J204" s="377">
        <v>0</v>
      </c>
      <c r="K204" s="377">
        <v>3</v>
      </c>
      <c r="L204" s="378">
        <f t="shared" si="33"/>
        <v>90</v>
      </c>
      <c r="M204" s="379">
        <v>46213</v>
      </c>
      <c r="N204" s="379">
        <v>46213</v>
      </c>
      <c r="O204" s="534"/>
      <c r="P204" s="380" t="s">
        <v>52</v>
      </c>
      <c r="Q204" s="520">
        <v>46213</v>
      </c>
      <c r="R204" s="405"/>
      <c r="S204" s="380" t="s">
        <v>834</v>
      </c>
      <c r="T204" s="382" t="s">
        <v>66</v>
      </c>
      <c r="U204" s="559" t="s">
        <v>835</v>
      </c>
      <c r="V204" s="382"/>
      <c r="W204" s="383" t="s">
        <v>931</v>
      </c>
      <c r="X204" s="384" t="s">
        <v>837</v>
      </c>
      <c r="Y204" s="478">
        <v>9.9425</v>
      </c>
      <c r="Z204" s="386">
        <f>I204*Y204</f>
        <v>2684.475</v>
      </c>
      <c r="AA204" s="371"/>
      <c r="AB204" s="387" t="s">
        <v>84</v>
      </c>
      <c r="AC204" s="388" t="s">
        <v>56</v>
      </c>
      <c r="AD204" s="377"/>
      <c r="AE204" s="389"/>
      <c r="AF204" s="390"/>
      <c r="AG204" s="391"/>
      <c r="AH204" s="391"/>
      <c r="AI204" s="371"/>
      <c r="AJ204" s="482"/>
      <c r="AK204" s="482"/>
      <c r="AL204" s="296">
        <f>I204</f>
        <v>270</v>
      </c>
      <c r="AM204" s="296">
        <f>I204</f>
        <v>270</v>
      </c>
      <c r="AN204" s="525"/>
      <c r="AO204" s="392" t="s">
        <v>101</v>
      </c>
      <c r="AP204" s="593"/>
      <c r="AQ204" s="296">
        <f>I204</f>
        <v>270</v>
      </c>
      <c r="AR204" s="296"/>
      <c r="AS204" s="388"/>
    </row>
    <row r="205" s="295" customFormat="1" ht="36" customHeight="1" spans="1:46">
      <c r="A205" s="369">
        <v>46154</v>
      </c>
      <c r="B205" s="370" t="s">
        <v>594</v>
      </c>
      <c r="C205" s="370" t="s">
        <v>71</v>
      </c>
      <c r="D205" s="371" t="s">
        <v>932</v>
      </c>
      <c r="E205" s="491">
        <v>9600601532</v>
      </c>
      <c r="F205" s="373" t="s">
        <v>933</v>
      </c>
      <c r="G205" s="374" t="s">
        <v>597</v>
      </c>
      <c r="H205" s="428" t="s">
        <v>51</v>
      </c>
      <c r="I205" s="376">
        <v>1944</v>
      </c>
      <c r="J205" s="377">
        <v>0</v>
      </c>
      <c r="K205" s="377">
        <v>54</v>
      </c>
      <c r="L205" s="378">
        <f t="shared" si="33"/>
        <v>36</v>
      </c>
      <c r="M205" s="379">
        <v>46213</v>
      </c>
      <c r="N205" s="542">
        <v>46214</v>
      </c>
      <c r="O205" s="479"/>
      <c r="P205" s="380" t="s">
        <v>52</v>
      </c>
      <c r="Q205" s="520">
        <v>46215</v>
      </c>
      <c r="R205" s="418"/>
      <c r="S205" s="380" t="s">
        <v>769</v>
      </c>
      <c r="T205" s="382" t="s">
        <v>54</v>
      </c>
      <c r="U205" s="382" t="s">
        <v>54</v>
      </c>
      <c r="V205" s="529" t="s">
        <v>599</v>
      </c>
      <c r="W205" s="383" t="s">
        <v>770</v>
      </c>
      <c r="X205" s="384" t="s">
        <v>601</v>
      </c>
      <c r="Y205" s="478">
        <v>499.9139</v>
      </c>
      <c r="Z205" s="386">
        <f>Y205*L205</f>
        <v>17996.9004</v>
      </c>
      <c r="AA205" s="371"/>
      <c r="AB205" s="387" t="s">
        <v>602</v>
      </c>
      <c r="AC205" s="388" t="s">
        <v>56</v>
      </c>
      <c r="AD205" s="377"/>
      <c r="AE205" s="389"/>
      <c r="AF205" s="390"/>
      <c r="AG205" s="391"/>
      <c r="AH205" s="391"/>
      <c r="AI205" s="371"/>
      <c r="AJ205" s="482">
        <f>I205</f>
        <v>1944</v>
      </c>
      <c r="AK205" s="482"/>
      <c r="AL205" s="296"/>
      <c r="AM205" s="296"/>
      <c r="AN205" s="383">
        <f>I205</f>
        <v>1944</v>
      </c>
      <c r="AO205" s="371"/>
      <c r="AP205" s="387">
        <f>I205</f>
        <v>1944</v>
      </c>
      <c r="AQ205" s="296"/>
      <c r="AR205" s="296"/>
      <c r="AS205" s="388">
        <f>I205/3</f>
        <v>648</v>
      </c>
    </row>
    <row r="206" s="301" customFormat="1" ht="36" customHeight="1" spans="1:46">
      <c r="A206" s="369">
        <v>46154</v>
      </c>
      <c r="B206" s="370" t="s">
        <v>594</v>
      </c>
      <c r="C206" s="370" t="s">
        <v>71</v>
      </c>
      <c r="D206" s="371" t="s">
        <v>934</v>
      </c>
      <c r="E206" s="491">
        <v>1750601601</v>
      </c>
      <c r="F206" s="373" t="s">
        <v>935</v>
      </c>
      <c r="G206" s="374" t="s">
        <v>597</v>
      </c>
      <c r="H206" s="428" t="s">
        <v>51</v>
      </c>
      <c r="I206" s="376">
        <v>1944</v>
      </c>
      <c r="J206" s="377">
        <v>0</v>
      </c>
      <c r="K206" s="377">
        <v>54</v>
      </c>
      <c r="L206" s="378">
        <f t="shared" si="33"/>
        <v>36</v>
      </c>
      <c r="M206" s="379">
        <v>46213</v>
      </c>
      <c r="N206" s="542">
        <v>46219</v>
      </c>
      <c r="O206" s="479"/>
      <c r="P206" s="380" t="s">
        <v>52</v>
      </c>
      <c r="Q206" s="520">
        <v>46220</v>
      </c>
      <c r="R206" s="418"/>
      <c r="S206" s="380" t="s">
        <v>769</v>
      </c>
      <c r="T206" s="382" t="s">
        <v>54</v>
      </c>
      <c r="U206" s="436" t="s">
        <v>54</v>
      </c>
      <c r="V206" s="529" t="s">
        <v>599</v>
      </c>
      <c r="W206" s="383" t="s">
        <v>770</v>
      </c>
      <c r="X206" s="384" t="s">
        <v>601</v>
      </c>
      <c r="Y206" s="478">
        <v>499.9139</v>
      </c>
      <c r="Z206" s="386">
        <f>Y206*L206</f>
        <v>17996.9004</v>
      </c>
      <c r="AA206" s="371"/>
      <c r="AB206" s="411" t="s">
        <v>602</v>
      </c>
      <c r="AC206" s="388" t="s">
        <v>56</v>
      </c>
      <c r="AD206" s="377"/>
      <c r="AE206" s="389"/>
      <c r="AF206" s="390"/>
      <c r="AG206" s="391"/>
      <c r="AH206" s="391"/>
      <c r="AI206" s="371"/>
      <c r="AJ206" s="482">
        <f>I206</f>
        <v>1944</v>
      </c>
      <c r="AK206" s="592"/>
      <c r="AL206" s="539"/>
      <c r="AM206" s="296"/>
      <c r="AN206" s="525">
        <f>I206</f>
        <v>1944</v>
      </c>
      <c r="AO206" s="392"/>
      <c r="AP206" s="593">
        <f>I206</f>
        <v>1944</v>
      </c>
      <c r="AQ206" s="296"/>
      <c r="AR206" s="296"/>
      <c r="AS206" s="388">
        <f>I206/3</f>
        <v>648</v>
      </c>
      <c r="AT206" s="296"/>
    </row>
    <row r="207" s="295" customFormat="1" ht="36" customHeight="1" spans="1:46">
      <c r="A207" s="369">
        <v>46136</v>
      </c>
      <c r="B207" s="370" t="s">
        <v>936</v>
      </c>
      <c r="C207" s="370" t="s">
        <v>563</v>
      </c>
      <c r="D207" s="371" t="s">
        <v>937</v>
      </c>
      <c r="E207" s="372" t="s">
        <v>312</v>
      </c>
      <c r="F207" s="373" t="s">
        <v>938</v>
      </c>
      <c r="G207" s="374" t="s">
        <v>50</v>
      </c>
      <c r="H207" s="428" t="s">
        <v>51</v>
      </c>
      <c r="I207" s="376">
        <v>120</v>
      </c>
      <c r="J207" s="377">
        <v>0</v>
      </c>
      <c r="K207" s="377">
        <v>3</v>
      </c>
      <c r="L207" s="378">
        <f t="shared" si="33"/>
        <v>40</v>
      </c>
      <c r="M207" s="379">
        <v>46213</v>
      </c>
      <c r="N207" s="379">
        <v>46227</v>
      </c>
      <c r="O207" s="380"/>
      <c r="P207" s="380" t="s">
        <v>52</v>
      </c>
      <c r="Q207" s="520">
        <v>46229</v>
      </c>
      <c r="R207" s="418" t="s">
        <v>65</v>
      </c>
      <c r="S207" s="380">
        <v>46178</v>
      </c>
      <c r="T207" s="436" t="s">
        <v>54</v>
      </c>
      <c r="U207" s="559" t="s">
        <v>939</v>
      </c>
      <c r="V207" s="382"/>
      <c r="W207" s="383" t="s">
        <v>940</v>
      </c>
      <c r="X207" s="384" t="s">
        <v>240</v>
      </c>
      <c r="Y207" s="478">
        <v>10.2316</v>
      </c>
      <c r="Z207" s="386">
        <f>I207*Y207</f>
        <v>1227.792</v>
      </c>
      <c r="AA207" s="371"/>
      <c r="AB207" s="387" t="s">
        <v>84</v>
      </c>
      <c r="AC207" s="388" t="s">
        <v>56</v>
      </c>
      <c r="AD207" s="377"/>
      <c r="AE207" s="389"/>
      <c r="AF207" s="390"/>
      <c r="AG207" s="391"/>
      <c r="AH207" s="391"/>
      <c r="AI207" s="371"/>
      <c r="AJ207" s="371"/>
      <c r="AK207" s="371"/>
      <c r="AL207" s="371">
        <f>I207</f>
        <v>120</v>
      </c>
      <c r="AM207" s="371">
        <f>I207</f>
        <v>120</v>
      </c>
      <c r="AN207" s="392"/>
      <c r="AO207" s="392"/>
      <c r="AP207" s="392"/>
      <c r="AQ207" s="388">
        <f>I207</f>
        <v>120</v>
      </c>
      <c r="AR207" s="388"/>
      <c r="AS207" s="296"/>
      <c r="AT207" s="298"/>
    </row>
    <row r="208" s="296" customFormat="1" ht="36" customHeight="1" spans="1:46">
      <c r="A208" s="369">
        <v>46114</v>
      </c>
      <c r="B208" s="370" t="s">
        <v>697</v>
      </c>
      <c r="C208" s="370" t="s">
        <v>341</v>
      </c>
      <c r="D208" s="371" t="s">
        <v>941</v>
      </c>
      <c r="E208" s="372" t="s">
        <v>942</v>
      </c>
      <c r="F208" s="373" t="s">
        <v>943</v>
      </c>
      <c r="G208" s="374" t="s">
        <v>597</v>
      </c>
      <c r="H208" s="428" t="s">
        <v>51</v>
      </c>
      <c r="I208" s="376">
        <v>1944</v>
      </c>
      <c r="J208" s="377">
        <v>0</v>
      </c>
      <c r="K208" s="377">
        <v>54</v>
      </c>
      <c r="L208" s="378">
        <f t="shared" si="33"/>
        <v>36</v>
      </c>
      <c r="M208" s="379">
        <v>46214</v>
      </c>
      <c r="N208" s="542">
        <v>46223</v>
      </c>
      <c r="O208" s="479"/>
      <c r="P208" s="380" t="s">
        <v>52</v>
      </c>
      <c r="Q208" s="520">
        <v>46223</v>
      </c>
      <c r="R208" s="418" t="s">
        <v>65</v>
      </c>
      <c r="S208" s="380">
        <v>46162</v>
      </c>
      <c r="T208" s="436" t="s">
        <v>54</v>
      </c>
      <c r="U208" s="382" t="s">
        <v>54</v>
      </c>
      <c r="V208" s="382" t="s">
        <v>599</v>
      </c>
      <c r="W208" s="383" t="s">
        <v>739</v>
      </c>
      <c r="X208" s="384" t="s">
        <v>601</v>
      </c>
      <c r="Y208" s="478">
        <v>833.19</v>
      </c>
      <c r="Z208" s="386">
        <f>Y208*L208</f>
        <v>29994.84</v>
      </c>
      <c r="AA208" s="371"/>
      <c r="AB208" s="387" t="s">
        <v>602</v>
      </c>
      <c r="AC208" s="388" t="s">
        <v>56</v>
      </c>
      <c r="AD208" s="377"/>
      <c r="AE208" s="389"/>
      <c r="AF208" s="390"/>
      <c r="AG208" s="391"/>
      <c r="AH208" s="391"/>
      <c r="AI208" s="371"/>
      <c r="AJ208" s="482">
        <f>I208</f>
        <v>1944</v>
      </c>
      <c r="AK208" s="482"/>
      <c r="AL208" s="296"/>
      <c r="AM208" s="296"/>
      <c r="AN208" s="383">
        <f>I208</f>
        <v>1944</v>
      </c>
      <c r="AO208" s="581"/>
      <c r="AP208" s="387">
        <f>I208</f>
        <v>1944</v>
      </c>
      <c r="AS208" s="587">
        <f>I208/3</f>
        <v>648</v>
      </c>
    </row>
    <row r="209" s="301" customFormat="1" ht="36" customHeight="1" spans="1:46">
      <c r="A209" s="369">
        <v>46154</v>
      </c>
      <c r="B209" s="370" t="s">
        <v>594</v>
      </c>
      <c r="C209" s="370" t="s">
        <v>71</v>
      </c>
      <c r="D209" s="371" t="s">
        <v>944</v>
      </c>
      <c r="E209" s="491">
        <v>2670601443</v>
      </c>
      <c r="F209" s="373" t="s">
        <v>945</v>
      </c>
      <c r="G209" s="374" t="s">
        <v>597</v>
      </c>
      <c r="H209" s="428" t="s">
        <v>51</v>
      </c>
      <c r="I209" s="376">
        <v>1944</v>
      </c>
      <c r="J209" s="377">
        <v>0</v>
      </c>
      <c r="K209" s="377">
        <v>54</v>
      </c>
      <c r="L209" s="378">
        <f t="shared" si="33"/>
        <v>36</v>
      </c>
      <c r="M209" s="379">
        <v>46216</v>
      </c>
      <c r="N209" s="542">
        <v>46218</v>
      </c>
      <c r="O209" s="479"/>
      <c r="P209" s="380" t="s">
        <v>52</v>
      </c>
      <c r="Q209" s="520">
        <v>46218</v>
      </c>
      <c r="R209" s="494"/>
      <c r="S209" s="380" t="s">
        <v>769</v>
      </c>
      <c r="T209" s="436" t="s">
        <v>54</v>
      </c>
      <c r="U209" s="382" t="s">
        <v>54</v>
      </c>
      <c r="V209" s="406" t="s">
        <v>599</v>
      </c>
      <c r="W209" s="383" t="s">
        <v>770</v>
      </c>
      <c r="X209" s="384" t="s">
        <v>601</v>
      </c>
      <c r="Y209" s="478">
        <v>499.9139</v>
      </c>
      <c r="Z209" s="386">
        <f>Y209*L209</f>
        <v>17996.9004</v>
      </c>
      <c r="AA209" s="371"/>
      <c r="AB209" s="387" t="s">
        <v>602</v>
      </c>
      <c r="AC209" s="388" t="s">
        <v>56</v>
      </c>
      <c r="AD209" s="377"/>
      <c r="AE209" s="389"/>
      <c r="AF209" s="390"/>
      <c r="AG209" s="391"/>
      <c r="AH209" s="391"/>
      <c r="AI209" s="371"/>
      <c r="AJ209" s="482">
        <f>I209</f>
        <v>1944</v>
      </c>
      <c r="AK209" s="482"/>
      <c r="AL209" s="296"/>
      <c r="AM209" s="296"/>
      <c r="AN209" s="383">
        <f>I209</f>
        <v>1944</v>
      </c>
      <c r="AO209" s="371"/>
      <c r="AP209" s="387">
        <f>I209</f>
        <v>1944</v>
      </c>
      <c r="AQ209" s="296"/>
      <c r="AR209" s="296"/>
      <c r="AS209" s="388">
        <f>I209/3</f>
        <v>648</v>
      </c>
      <c r="AT209" s="296"/>
    </row>
    <row r="210" s="301" customFormat="1" ht="36" customHeight="1" spans="1:46">
      <c r="A210" s="369">
        <v>46154</v>
      </c>
      <c r="B210" s="370" t="s">
        <v>594</v>
      </c>
      <c r="C210" s="370" t="s">
        <v>71</v>
      </c>
      <c r="D210" s="371" t="s">
        <v>946</v>
      </c>
      <c r="E210" s="491">
        <v>1790601478</v>
      </c>
      <c r="F210" s="373" t="s">
        <v>947</v>
      </c>
      <c r="G210" s="374" t="s">
        <v>597</v>
      </c>
      <c r="H210" s="428" t="s">
        <v>51</v>
      </c>
      <c r="I210" s="376">
        <v>1944</v>
      </c>
      <c r="J210" s="377">
        <v>0</v>
      </c>
      <c r="K210" s="377">
        <v>54</v>
      </c>
      <c r="L210" s="378">
        <f t="shared" si="33"/>
        <v>36</v>
      </c>
      <c r="M210" s="379">
        <v>46216</v>
      </c>
      <c r="N210" s="542">
        <v>46218</v>
      </c>
      <c r="O210" s="479"/>
      <c r="P210" s="380" t="s">
        <v>52</v>
      </c>
      <c r="Q210" s="520">
        <v>46218</v>
      </c>
      <c r="R210" s="418"/>
      <c r="S210" s="380" t="s">
        <v>769</v>
      </c>
      <c r="T210" s="382" t="s">
        <v>54</v>
      </c>
      <c r="U210" s="436" t="s">
        <v>54</v>
      </c>
      <c r="V210" s="529" t="s">
        <v>599</v>
      </c>
      <c r="W210" s="383" t="s">
        <v>770</v>
      </c>
      <c r="X210" s="384" t="s">
        <v>601</v>
      </c>
      <c r="Y210" s="478">
        <v>499.9139</v>
      </c>
      <c r="Z210" s="386">
        <f>Y210*L210</f>
        <v>17996.9004</v>
      </c>
      <c r="AA210" s="371"/>
      <c r="AB210" s="387" t="s">
        <v>602</v>
      </c>
      <c r="AC210" s="388" t="s">
        <v>56</v>
      </c>
      <c r="AD210" s="377"/>
      <c r="AE210" s="389"/>
      <c r="AF210" s="390"/>
      <c r="AG210" s="391"/>
      <c r="AH210" s="391"/>
      <c r="AI210" s="371"/>
      <c r="AJ210" s="482">
        <f>I210</f>
        <v>1944</v>
      </c>
      <c r="AK210" s="592"/>
      <c r="AL210" s="539"/>
      <c r="AM210" s="296"/>
      <c r="AN210" s="525">
        <f>I210</f>
        <v>1944</v>
      </c>
      <c r="AO210" s="392"/>
      <c r="AP210" s="593">
        <f>I210</f>
        <v>1944</v>
      </c>
      <c r="AQ210" s="296"/>
      <c r="AR210" s="296"/>
      <c r="AS210" s="388">
        <f>I210/3</f>
        <v>648</v>
      </c>
      <c r="AT210" s="296"/>
    </row>
    <row r="211" s="295" customFormat="1" ht="36" customHeight="1" spans="1:46">
      <c r="A211" s="369">
        <v>46114</v>
      </c>
      <c r="B211" s="370" t="s">
        <v>697</v>
      </c>
      <c r="C211" s="370" t="s">
        <v>341</v>
      </c>
      <c r="D211" s="371" t="s">
        <v>948</v>
      </c>
      <c r="E211" s="372" t="s">
        <v>949</v>
      </c>
      <c r="F211" s="373" t="s">
        <v>950</v>
      </c>
      <c r="G211" s="374" t="s">
        <v>597</v>
      </c>
      <c r="H211" s="375" t="s">
        <v>51</v>
      </c>
      <c r="I211" s="376">
        <v>1944</v>
      </c>
      <c r="J211" s="377">
        <v>0</v>
      </c>
      <c r="K211" s="377">
        <v>54</v>
      </c>
      <c r="L211" s="378">
        <f t="shared" si="33"/>
        <v>36</v>
      </c>
      <c r="M211" s="379">
        <v>46217</v>
      </c>
      <c r="N211" s="542">
        <v>46219</v>
      </c>
      <c r="O211" s="479"/>
      <c r="P211" s="380" t="s">
        <v>52</v>
      </c>
      <c r="Q211" s="520">
        <v>46219</v>
      </c>
      <c r="R211" s="418" t="s">
        <v>65</v>
      </c>
      <c r="S211" s="380">
        <v>46162</v>
      </c>
      <c r="T211" s="382" t="s">
        <v>54</v>
      </c>
      <c r="U211" s="382" t="s">
        <v>54</v>
      </c>
      <c r="V211" s="382" t="s">
        <v>599</v>
      </c>
      <c r="W211" s="383" t="s">
        <v>739</v>
      </c>
      <c r="X211" s="384" t="s">
        <v>601</v>
      </c>
      <c r="Y211" s="478">
        <v>833.19</v>
      </c>
      <c r="Z211" s="386">
        <f>Y211*L211</f>
        <v>29994.84</v>
      </c>
      <c r="AA211" s="371"/>
      <c r="AB211" s="387" t="s">
        <v>602</v>
      </c>
      <c r="AC211" s="388" t="s">
        <v>56</v>
      </c>
      <c r="AD211" s="377"/>
      <c r="AE211" s="389"/>
      <c r="AF211" s="390"/>
      <c r="AG211" s="391"/>
      <c r="AH211" s="391"/>
      <c r="AI211" s="371"/>
      <c r="AJ211" s="482">
        <f>I211</f>
        <v>1944</v>
      </c>
      <c r="AK211" s="482"/>
      <c r="AL211" s="296"/>
      <c r="AM211" s="296"/>
      <c r="AN211" s="383">
        <f>I211</f>
        <v>1944</v>
      </c>
      <c r="AO211" s="371"/>
      <c r="AP211" s="387">
        <f>I211</f>
        <v>1944</v>
      </c>
      <c r="AQ211" s="296"/>
      <c r="AR211" s="296"/>
      <c r="AS211" s="587">
        <f>I211/3</f>
        <v>648</v>
      </c>
    </row>
    <row r="212" s="304" customFormat="1" ht="36" customHeight="1" spans="1:46">
      <c r="A212" s="369">
        <v>46162</v>
      </c>
      <c r="B212" s="370" t="s">
        <v>951</v>
      </c>
      <c r="C212" s="370" t="s">
        <v>952</v>
      </c>
      <c r="D212" s="371" t="s">
        <v>953</v>
      </c>
      <c r="E212" s="372" t="s">
        <v>312</v>
      </c>
      <c r="F212" s="373" t="s">
        <v>954</v>
      </c>
      <c r="G212" s="387" t="s">
        <v>50</v>
      </c>
      <c r="H212" s="428" t="s">
        <v>51</v>
      </c>
      <c r="I212" s="376">
        <v>90</v>
      </c>
      <c r="J212" s="377">
        <v>0</v>
      </c>
      <c r="K212" s="377">
        <v>3</v>
      </c>
      <c r="L212" s="378">
        <f t="shared" si="33"/>
        <v>30</v>
      </c>
      <c r="M212" s="379">
        <v>46217</v>
      </c>
      <c r="N212" s="379">
        <v>46232</v>
      </c>
      <c r="O212" s="479"/>
      <c r="P212" s="380" t="s">
        <v>52</v>
      </c>
      <c r="Q212" s="520">
        <v>46235</v>
      </c>
      <c r="R212" s="418" t="s">
        <v>65</v>
      </c>
      <c r="S212" s="380">
        <v>46189</v>
      </c>
      <c r="T212" s="382" t="s">
        <v>54</v>
      </c>
      <c r="U212" s="559" t="s">
        <v>955</v>
      </c>
      <c r="V212" s="382"/>
      <c r="W212" s="383" t="s">
        <v>956</v>
      </c>
      <c r="X212" s="384" t="s">
        <v>240</v>
      </c>
      <c r="Y212" s="478">
        <v>10.4985</v>
      </c>
      <c r="Z212" s="386">
        <f>I212*Y212</f>
        <v>944.865</v>
      </c>
      <c r="AA212" s="371"/>
      <c r="AB212" s="387" t="s">
        <v>84</v>
      </c>
      <c r="AC212" s="388" t="s">
        <v>56</v>
      </c>
      <c r="AD212" s="377"/>
      <c r="AE212" s="389"/>
      <c r="AF212" s="390"/>
      <c r="AG212" s="391"/>
      <c r="AH212" s="391"/>
      <c r="AI212" s="371"/>
      <c r="AJ212" s="482"/>
      <c r="AK212" s="482"/>
      <c r="AL212" s="388">
        <f>I212</f>
        <v>90</v>
      </c>
      <c r="AM212" s="388">
        <f>I212</f>
        <v>90</v>
      </c>
      <c r="AN212" s="525"/>
      <c r="AO212" s="392"/>
      <c r="AP212" s="593"/>
      <c r="AQ212" s="388">
        <f>I212</f>
        <v>90</v>
      </c>
      <c r="AR212" s="388"/>
      <c r="AS212" s="388"/>
      <c r="AT212" s="545"/>
    </row>
    <row r="213" s="305" customFormat="1" ht="36" customHeight="1" spans="1:46">
      <c r="A213" s="610">
        <v>46112</v>
      </c>
      <c r="B213" s="611" t="s">
        <v>957</v>
      </c>
      <c r="C213" s="611" t="s">
        <v>958</v>
      </c>
      <c r="D213" s="612" t="s">
        <v>959</v>
      </c>
      <c r="E213" s="638" t="s">
        <v>960</v>
      </c>
      <c r="F213" s="614" t="s">
        <v>961</v>
      </c>
      <c r="G213" s="615" t="s">
        <v>50</v>
      </c>
      <c r="H213" s="616" t="s">
        <v>51</v>
      </c>
      <c r="I213" s="617">
        <v>525</v>
      </c>
      <c r="J213" s="618">
        <v>0</v>
      </c>
      <c r="K213" s="618">
        <v>3</v>
      </c>
      <c r="L213" s="619">
        <f t="shared" si="33"/>
        <v>175</v>
      </c>
      <c r="M213" s="620">
        <v>46218</v>
      </c>
      <c r="N213" s="620">
        <v>46216</v>
      </c>
      <c r="O213" s="621"/>
      <c r="P213" s="622" t="s">
        <v>52</v>
      </c>
      <c r="Q213" s="645"/>
      <c r="R213" s="494" t="s">
        <v>65</v>
      </c>
      <c r="S213" s="622">
        <v>46181</v>
      </c>
      <c r="T213" s="406" t="s">
        <v>54</v>
      </c>
      <c r="U213" s="559" t="s">
        <v>962</v>
      </c>
      <c r="V213" s="633"/>
      <c r="W213" s="613" t="s">
        <v>963</v>
      </c>
      <c r="X213" s="626" t="s">
        <v>964</v>
      </c>
      <c r="Y213" s="627">
        <v>9.9425</v>
      </c>
      <c r="Z213" s="628">
        <f t="shared" ref="Z213:Z220" si="34">Y213*L213</f>
        <v>1739.9375</v>
      </c>
      <c r="AA213" s="612"/>
      <c r="AB213" s="387" t="s">
        <v>84</v>
      </c>
      <c r="AC213" s="629" t="s">
        <v>56</v>
      </c>
      <c r="AD213" s="618"/>
      <c r="AE213" s="630"/>
      <c r="AF213" s="631"/>
      <c r="AG213" s="632"/>
      <c r="AH213" s="632"/>
      <c r="AI213" s="612"/>
      <c r="AJ213" s="634"/>
      <c r="AK213" s="634"/>
      <c r="AL213" s="635">
        <f>I213</f>
        <v>525</v>
      </c>
      <c r="AM213" s="528">
        <f>I213</f>
        <v>525</v>
      </c>
      <c r="AN213" s="613"/>
      <c r="AO213" s="612"/>
      <c r="AP213" s="637"/>
      <c r="AQ213" s="528">
        <f>I213</f>
        <v>525</v>
      </c>
      <c r="AR213" s="528"/>
      <c r="AS213" s="312"/>
      <c r="AT213" s="312"/>
    </row>
    <row r="214" s="305" customFormat="1" ht="36" customHeight="1" spans="1:46">
      <c r="A214" s="610">
        <v>46154</v>
      </c>
      <c r="B214" s="611" t="s">
        <v>594</v>
      </c>
      <c r="C214" s="611" t="s">
        <v>71</v>
      </c>
      <c r="D214" s="612" t="s">
        <v>965</v>
      </c>
      <c r="E214" s="646">
        <v>10520601406</v>
      </c>
      <c r="F214" s="614" t="s">
        <v>966</v>
      </c>
      <c r="G214" s="615" t="s">
        <v>597</v>
      </c>
      <c r="H214" s="616" t="s">
        <v>51</v>
      </c>
      <c r="I214" s="617">
        <v>1944</v>
      </c>
      <c r="J214" s="618">
        <v>0</v>
      </c>
      <c r="K214" s="618">
        <v>54</v>
      </c>
      <c r="L214" s="619">
        <f t="shared" si="33"/>
        <v>36</v>
      </c>
      <c r="M214" s="620">
        <v>46218</v>
      </c>
      <c r="N214" s="647">
        <v>46220</v>
      </c>
      <c r="O214" s="621"/>
      <c r="P214" s="622" t="s">
        <v>52</v>
      </c>
      <c r="Q214" s="623">
        <v>46220</v>
      </c>
      <c r="R214" s="494"/>
      <c r="S214" s="622" t="s">
        <v>769</v>
      </c>
      <c r="T214" s="406" t="s">
        <v>54</v>
      </c>
      <c r="U214" s="382" t="s">
        <v>54</v>
      </c>
      <c r="V214" s="633" t="s">
        <v>599</v>
      </c>
      <c r="W214" s="613" t="s">
        <v>770</v>
      </c>
      <c r="X214" s="626" t="s">
        <v>601</v>
      </c>
      <c r="Y214" s="627">
        <v>499.9139</v>
      </c>
      <c r="Z214" s="628">
        <f t="shared" si="34"/>
        <v>17996.9004</v>
      </c>
      <c r="AA214" s="612"/>
      <c r="AB214" s="387" t="s">
        <v>602</v>
      </c>
      <c r="AC214" s="629" t="s">
        <v>56</v>
      </c>
      <c r="AD214" s="618"/>
      <c r="AE214" s="630"/>
      <c r="AF214" s="631"/>
      <c r="AG214" s="632"/>
      <c r="AH214" s="632"/>
      <c r="AI214" s="612"/>
      <c r="AJ214" s="635">
        <f>I214</f>
        <v>1944</v>
      </c>
      <c r="AK214" s="635"/>
      <c r="AL214" s="312"/>
      <c r="AM214" s="528"/>
      <c r="AN214" s="613">
        <f>I214</f>
        <v>1944</v>
      </c>
      <c r="AO214" s="612"/>
      <c r="AP214" s="637">
        <f>I214</f>
        <v>1944</v>
      </c>
      <c r="AQ214" s="528"/>
      <c r="AR214" s="528"/>
      <c r="AS214" s="629">
        <f>I214/3</f>
        <v>648</v>
      </c>
      <c r="AT214" s="312"/>
    </row>
    <row r="215" s="305" customFormat="1" ht="36" customHeight="1" spans="1:46">
      <c r="A215" s="610">
        <v>46154</v>
      </c>
      <c r="B215" s="611" t="s">
        <v>594</v>
      </c>
      <c r="C215" s="611" t="s">
        <v>71</v>
      </c>
      <c r="D215" s="612" t="s">
        <v>967</v>
      </c>
      <c r="E215" s="646">
        <v>5840601280</v>
      </c>
      <c r="F215" s="614" t="s">
        <v>968</v>
      </c>
      <c r="G215" s="615" t="s">
        <v>597</v>
      </c>
      <c r="H215" s="616" t="s">
        <v>51</v>
      </c>
      <c r="I215" s="617">
        <v>1944</v>
      </c>
      <c r="J215" s="618">
        <v>0</v>
      </c>
      <c r="K215" s="618">
        <v>54</v>
      </c>
      <c r="L215" s="619">
        <f t="shared" si="33"/>
        <v>36</v>
      </c>
      <c r="M215" s="620">
        <v>46218</v>
      </c>
      <c r="N215" s="647">
        <v>46220</v>
      </c>
      <c r="O215" s="621"/>
      <c r="P215" s="622" t="s">
        <v>52</v>
      </c>
      <c r="Q215" s="623">
        <v>46223</v>
      </c>
      <c r="R215" s="494"/>
      <c r="S215" s="622" t="s">
        <v>769</v>
      </c>
      <c r="T215" s="406" t="s">
        <v>54</v>
      </c>
      <c r="U215" s="382" t="s">
        <v>54</v>
      </c>
      <c r="V215" s="633" t="s">
        <v>599</v>
      </c>
      <c r="W215" s="613" t="s">
        <v>770</v>
      </c>
      <c r="X215" s="626" t="s">
        <v>601</v>
      </c>
      <c r="Y215" s="627">
        <v>499.9139</v>
      </c>
      <c r="Z215" s="628">
        <f t="shared" si="34"/>
        <v>17996.9004</v>
      </c>
      <c r="AA215" s="612"/>
      <c r="AB215" s="387" t="s">
        <v>602</v>
      </c>
      <c r="AC215" s="629" t="s">
        <v>56</v>
      </c>
      <c r="AD215" s="618"/>
      <c r="AE215" s="630"/>
      <c r="AF215" s="631"/>
      <c r="AG215" s="632"/>
      <c r="AH215" s="632"/>
      <c r="AI215" s="612"/>
      <c r="AJ215" s="635">
        <f>I215</f>
        <v>1944</v>
      </c>
      <c r="AK215" s="635"/>
      <c r="AL215" s="312"/>
      <c r="AM215" s="528"/>
      <c r="AN215" s="613">
        <f>I215</f>
        <v>1944</v>
      </c>
      <c r="AO215" s="612"/>
      <c r="AP215" s="637">
        <f>I215</f>
        <v>1944</v>
      </c>
      <c r="AQ215" s="528"/>
      <c r="AR215" s="528"/>
      <c r="AS215" s="629">
        <f>I215/3</f>
        <v>648</v>
      </c>
      <c r="AT215" s="312"/>
    </row>
    <row r="216" s="305" customFormat="1" ht="36" customHeight="1" spans="1:46">
      <c r="A216" s="610">
        <v>46154</v>
      </c>
      <c r="B216" s="611" t="s">
        <v>969</v>
      </c>
      <c r="C216" s="611" t="s">
        <v>78</v>
      </c>
      <c r="D216" s="612" t="s">
        <v>970</v>
      </c>
      <c r="E216" s="648" t="s">
        <v>971</v>
      </c>
      <c r="F216" s="614" t="s">
        <v>972</v>
      </c>
      <c r="G216" s="615" t="s">
        <v>597</v>
      </c>
      <c r="H216" s="616" t="s">
        <v>51</v>
      </c>
      <c r="I216" s="617">
        <v>1944</v>
      </c>
      <c r="J216" s="618">
        <v>0</v>
      </c>
      <c r="K216" s="618">
        <v>54</v>
      </c>
      <c r="L216" s="619">
        <f t="shared" si="33"/>
        <v>36</v>
      </c>
      <c r="M216" s="620">
        <v>46218</v>
      </c>
      <c r="N216" s="647">
        <v>46220</v>
      </c>
      <c r="O216" s="621">
        <v>46224</v>
      </c>
      <c r="P216" s="622" t="s">
        <v>52</v>
      </c>
      <c r="Q216" s="649">
        <v>46233</v>
      </c>
      <c r="R216" s="494" t="s">
        <v>65</v>
      </c>
      <c r="S216" s="622">
        <v>46175</v>
      </c>
      <c r="T216" s="406" t="s">
        <v>54</v>
      </c>
      <c r="U216" s="382" t="s">
        <v>54</v>
      </c>
      <c r="V216" s="642" t="s">
        <v>973</v>
      </c>
      <c r="W216" s="646" t="s">
        <v>974</v>
      </c>
      <c r="X216" s="626" t="s">
        <v>83</v>
      </c>
      <c r="Y216" s="627">
        <v>833.19</v>
      </c>
      <c r="Z216" s="628">
        <f t="shared" si="34"/>
        <v>29994.84</v>
      </c>
      <c r="AA216" s="612"/>
      <c r="AB216" s="591" t="s">
        <v>975</v>
      </c>
      <c r="AC216" s="629" t="s">
        <v>56</v>
      </c>
      <c r="AD216" s="618"/>
      <c r="AE216" s="630"/>
      <c r="AF216" s="631"/>
      <c r="AG216" s="632"/>
      <c r="AH216" s="632"/>
      <c r="AI216" s="612"/>
      <c r="AJ216" s="635">
        <f>I216</f>
        <v>1944</v>
      </c>
      <c r="AK216" s="635"/>
      <c r="AL216" s="312"/>
      <c r="AM216" s="528"/>
      <c r="AN216" s="613"/>
      <c r="AO216" s="612"/>
      <c r="AP216" s="637">
        <f>I216</f>
        <v>1944</v>
      </c>
      <c r="AQ216" s="528"/>
      <c r="AR216" s="528"/>
      <c r="AS216" s="629">
        <f>I216/3</f>
        <v>648</v>
      </c>
      <c r="AT216" s="312"/>
    </row>
    <row r="217" s="305" customFormat="1" ht="36" customHeight="1" spans="1:46">
      <c r="A217" s="610">
        <v>46112</v>
      </c>
      <c r="B217" s="611" t="s">
        <v>976</v>
      </c>
      <c r="C217" s="611" t="s">
        <v>977</v>
      </c>
      <c r="D217" s="612" t="s">
        <v>978</v>
      </c>
      <c r="E217" s="638" t="s">
        <v>979</v>
      </c>
      <c r="F217" s="614" t="s">
        <v>980</v>
      </c>
      <c r="G217" s="615" t="s">
        <v>50</v>
      </c>
      <c r="H217" s="616" t="s">
        <v>51</v>
      </c>
      <c r="I217" s="617">
        <v>1317</v>
      </c>
      <c r="J217" s="618">
        <v>0</v>
      </c>
      <c r="K217" s="618">
        <v>3</v>
      </c>
      <c r="L217" s="619">
        <f t="shared" si="33"/>
        <v>439</v>
      </c>
      <c r="M217" s="620">
        <v>46218</v>
      </c>
      <c r="N217" s="620">
        <v>46225</v>
      </c>
      <c r="O217" s="621"/>
      <c r="P217" s="622" t="s">
        <v>52</v>
      </c>
      <c r="Q217" s="623">
        <v>46226</v>
      </c>
      <c r="R217" s="494" t="s">
        <v>65</v>
      </c>
      <c r="S217" s="622">
        <v>46181</v>
      </c>
      <c r="T217" s="406" t="s">
        <v>54</v>
      </c>
      <c r="U217" s="559" t="s">
        <v>981</v>
      </c>
      <c r="V217" s="633"/>
      <c r="W217" s="613" t="s">
        <v>982</v>
      </c>
      <c r="X217" s="626" t="s">
        <v>964</v>
      </c>
      <c r="Y217" s="627">
        <v>9.9259</v>
      </c>
      <c r="Z217" s="628">
        <f t="shared" si="34"/>
        <v>4357.4701</v>
      </c>
      <c r="AA217" s="612"/>
      <c r="AB217" s="387" t="s">
        <v>84</v>
      </c>
      <c r="AC217" s="629" t="s">
        <v>56</v>
      </c>
      <c r="AD217" s="618"/>
      <c r="AE217" s="630"/>
      <c r="AF217" s="631"/>
      <c r="AG217" s="632"/>
      <c r="AH217" s="632"/>
      <c r="AI217" s="612"/>
      <c r="AJ217" s="634"/>
      <c r="AK217" s="634"/>
      <c r="AL217" s="635">
        <f>I217</f>
        <v>1317</v>
      </c>
      <c r="AM217" s="528">
        <f>I217</f>
        <v>1317</v>
      </c>
      <c r="AN217" s="613"/>
      <c r="AO217" s="612"/>
      <c r="AP217" s="637"/>
      <c r="AQ217" s="528">
        <f>I217</f>
        <v>1317</v>
      </c>
      <c r="AR217" s="528"/>
      <c r="AS217" s="312"/>
      <c r="AT217" s="312"/>
    </row>
    <row r="218" s="305" customFormat="1" ht="36" customHeight="1" spans="1:46">
      <c r="A218" s="610">
        <v>46140</v>
      </c>
      <c r="B218" s="611" t="s">
        <v>285</v>
      </c>
      <c r="C218" s="611" t="s">
        <v>71</v>
      </c>
      <c r="D218" s="612" t="s">
        <v>983</v>
      </c>
      <c r="E218" s="638" t="s">
        <v>984</v>
      </c>
      <c r="F218" s="614" t="s">
        <v>985</v>
      </c>
      <c r="G218" s="615" t="s">
        <v>169</v>
      </c>
      <c r="H218" s="616" t="s">
        <v>51</v>
      </c>
      <c r="I218" s="617">
        <v>237</v>
      </c>
      <c r="J218" s="618">
        <v>0</v>
      </c>
      <c r="K218" s="618">
        <v>3</v>
      </c>
      <c r="L218" s="619">
        <f t="shared" si="33"/>
        <v>79</v>
      </c>
      <c r="M218" s="647">
        <v>46218</v>
      </c>
      <c r="N218" s="647">
        <v>46225</v>
      </c>
      <c r="O218" s="621"/>
      <c r="P218" s="622" t="s">
        <v>52</v>
      </c>
      <c r="Q218" s="623">
        <v>46227</v>
      </c>
      <c r="R218" s="405" t="s">
        <v>98</v>
      </c>
      <c r="S218" s="622">
        <v>46141</v>
      </c>
      <c r="T218" s="406" t="s">
        <v>66</v>
      </c>
      <c r="U218" s="559" t="s">
        <v>530</v>
      </c>
      <c r="V218" s="633" t="s">
        <v>290</v>
      </c>
      <c r="W218" s="613" t="s">
        <v>986</v>
      </c>
      <c r="X218" s="626" t="s">
        <v>292</v>
      </c>
      <c r="Y218" s="627">
        <v>7.3813</v>
      </c>
      <c r="Z218" s="628">
        <f t="shared" si="34"/>
        <v>583.1227</v>
      </c>
      <c r="AA218" s="612"/>
      <c r="AB218" s="387" t="s">
        <v>169</v>
      </c>
      <c r="AC218" s="629" t="s">
        <v>56</v>
      </c>
      <c r="AD218" s="618"/>
      <c r="AE218" s="630"/>
      <c r="AF218" s="631"/>
      <c r="AG218" s="632"/>
      <c r="AH218" s="632"/>
      <c r="AI218" s="612">
        <f>I218</f>
        <v>237</v>
      </c>
      <c r="AJ218" s="635"/>
      <c r="AK218" s="635"/>
      <c r="AL218" s="634"/>
      <c r="AM218" s="407">
        <f>I218</f>
        <v>237</v>
      </c>
      <c r="AN218" s="613"/>
      <c r="AO218" s="612"/>
      <c r="AP218" s="612"/>
      <c r="AQ218" s="411">
        <f>I218</f>
        <v>237</v>
      </c>
      <c r="AR218" s="411"/>
      <c r="AS218" s="629"/>
      <c r="AT218" s="312"/>
    </row>
    <row r="219" s="305" customFormat="1" ht="36" customHeight="1" spans="1:46">
      <c r="A219" s="610">
        <v>46163</v>
      </c>
      <c r="B219" s="611" t="s">
        <v>987</v>
      </c>
      <c r="C219" s="611" t="s">
        <v>175</v>
      </c>
      <c r="D219" s="612" t="s">
        <v>988</v>
      </c>
      <c r="E219" s="638" t="s">
        <v>989</v>
      </c>
      <c r="F219" s="614" t="s">
        <v>990</v>
      </c>
      <c r="G219" s="615" t="s">
        <v>597</v>
      </c>
      <c r="H219" s="616" t="s">
        <v>51</v>
      </c>
      <c r="I219" s="617">
        <v>864</v>
      </c>
      <c r="J219" s="618">
        <v>0</v>
      </c>
      <c r="K219" s="618">
        <v>54</v>
      </c>
      <c r="L219" s="619">
        <f t="shared" si="33"/>
        <v>16</v>
      </c>
      <c r="M219" s="620">
        <v>46218</v>
      </c>
      <c r="N219" s="647">
        <v>46230</v>
      </c>
      <c r="O219" s="621"/>
      <c r="P219" s="622" t="s">
        <v>52</v>
      </c>
      <c r="Q219" s="623">
        <v>46232</v>
      </c>
      <c r="R219" s="494" t="s">
        <v>65</v>
      </c>
      <c r="S219" s="622">
        <v>46175</v>
      </c>
      <c r="T219" s="406" t="s">
        <v>54</v>
      </c>
      <c r="U219" s="382" t="s">
        <v>54</v>
      </c>
      <c r="V219" s="642" t="s">
        <v>973</v>
      </c>
      <c r="W219" s="646" t="s">
        <v>991</v>
      </c>
      <c r="X219" s="626" t="s">
        <v>992</v>
      </c>
      <c r="Y219" s="627">
        <v>833.19</v>
      </c>
      <c r="Z219" s="628">
        <f t="shared" si="34"/>
        <v>13331.04</v>
      </c>
      <c r="AA219" s="612"/>
      <c r="AB219" s="591" t="s">
        <v>975</v>
      </c>
      <c r="AC219" s="629" t="s">
        <v>56</v>
      </c>
      <c r="AD219" s="618"/>
      <c r="AE219" s="630"/>
      <c r="AF219" s="631"/>
      <c r="AG219" s="632"/>
      <c r="AH219" s="632"/>
      <c r="AI219" s="612"/>
      <c r="AJ219" s="635">
        <f>I219</f>
        <v>864</v>
      </c>
      <c r="AK219" s="635"/>
      <c r="AL219" s="312"/>
      <c r="AM219" s="528"/>
      <c r="AN219" s="613"/>
      <c r="AO219" s="612"/>
      <c r="AP219" s="637">
        <f>I219</f>
        <v>864</v>
      </c>
      <c r="AQ219" s="528"/>
      <c r="AR219" s="528"/>
      <c r="AS219" s="629">
        <f>I219/3</f>
        <v>288</v>
      </c>
      <c r="AT219" s="312"/>
    </row>
    <row r="220" s="305" customFormat="1" ht="36" customHeight="1" spans="1:46">
      <c r="A220" s="610">
        <v>46151</v>
      </c>
      <c r="B220" s="611" t="s">
        <v>993</v>
      </c>
      <c r="C220" s="611" t="s">
        <v>71</v>
      </c>
      <c r="D220" s="612" t="s">
        <v>994</v>
      </c>
      <c r="E220" s="638" t="s">
        <v>995</v>
      </c>
      <c r="F220" s="614" t="s">
        <v>996</v>
      </c>
      <c r="G220" s="615" t="s">
        <v>169</v>
      </c>
      <c r="H220" s="616" t="s">
        <v>51</v>
      </c>
      <c r="I220" s="617">
        <v>72</v>
      </c>
      <c r="J220" s="618">
        <v>0</v>
      </c>
      <c r="K220" s="618">
        <v>3</v>
      </c>
      <c r="L220" s="619">
        <f t="shared" si="33"/>
        <v>24</v>
      </c>
      <c r="M220" s="620">
        <v>46219</v>
      </c>
      <c r="N220" s="620">
        <v>46225</v>
      </c>
      <c r="O220" s="622"/>
      <c r="P220" s="622" t="s">
        <v>52</v>
      </c>
      <c r="Q220" s="623">
        <v>46227</v>
      </c>
      <c r="R220" s="405" t="s">
        <v>98</v>
      </c>
      <c r="S220" s="622">
        <v>46151</v>
      </c>
      <c r="T220" s="406" t="s">
        <v>66</v>
      </c>
      <c r="U220" s="559" t="s">
        <v>997</v>
      </c>
      <c r="V220" s="625" t="s">
        <v>998</v>
      </c>
      <c r="W220" s="613" t="s">
        <v>999</v>
      </c>
      <c r="X220" s="626" t="s">
        <v>1000</v>
      </c>
      <c r="Y220" s="627">
        <v>7.59</v>
      </c>
      <c r="Z220" s="628">
        <f t="shared" si="34"/>
        <v>182.16</v>
      </c>
      <c r="AA220" s="612"/>
      <c r="AB220" s="374" t="s">
        <v>169</v>
      </c>
      <c r="AC220" s="637" t="s">
        <v>56</v>
      </c>
      <c r="AD220" s="618"/>
      <c r="AE220" s="630"/>
      <c r="AF220" s="631"/>
      <c r="AG220" s="632"/>
      <c r="AH220" s="632"/>
      <c r="AI220" s="612">
        <f>I220</f>
        <v>72</v>
      </c>
      <c r="AJ220" s="612"/>
      <c r="AK220" s="612"/>
      <c r="AL220" s="312"/>
      <c r="AM220" s="407">
        <f>I220</f>
        <v>72</v>
      </c>
      <c r="AN220" s="612"/>
      <c r="AO220" s="612"/>
      <c r="AP220" s="612"/>
      <c r="AQ220" s="411">
        <f>I220</f>
        <v>72</v>
      </c>
      <c r="AR220" s="411"/>
      <c r="AS220" s="312"/>
      <c r="AT220" s="312"/>
    </row>
    <row r="221" s="305" customFormat="1" ht="36" customHeight="1" spans="1:46">
      <c r="A221" s="610">
        <v>46161</v>
      </c>
      <c r="B221" s="611" t="s">
        <v>70</v>
      </c>
      <c r="C221" s="611" t="s">
        <v>71</v>
      </c>
      <c r="D221" s="612" t="s">
        <v>1001</v>
      </c>
      <c r="E221" s="638" t="s">
        <v>1002</v>
      </c>
      <c r="F221" s="614" t="s">
        <v>1003</v>
      </c>
      <c r="G221" s="615" t="s">
        <v>50</v>
      </c>
      <c r="H221" s="616" t="s">
        <v>51</v>
      </c>
      <c r="I221" s="617">
        <v>387</v>
      </c>
      <c r="J221" s="618">
        <v>0</v>
      </c>
      <c r="K221" s="618">
        <v>3</v>
      </c>
      <c r="L221" s="619">
        <f t="shared" si="33"/>
        <v>129</v>
      </c>
      <c r="M221" s="620">
        <v>46219</v>
      </c>
      <c r="N221" s="620">
        <v>46231</v>
      </c>
      <c r="O221" s="621"/>
      <c r="P221" s="622" t="s">
        <v>52</v>
      </c>
      <c r="Q221" s="623">
        <v>46232</v>
      </c>
      <c r="R221" s="641" t="s">
        <v>65</v>
      </c>
      <c r="S221" s="622">
        <v>46189</v>
      </c>
      <c r="T221" s="406" t="s">
        <v>66</v>
      </c>
      <c r="U221" s="559" t="s">
        <v>1004</v>
      </c>
      <c r="V221" s="633"/>
      <c r="W221" s="613" t="s">
        <v>1005</v>
      </c>
      <c r="X221" s="626" t="s">
        <v>76</v>
      </c>
      <c r="Y221" s="627">
        <v>6.1211</v>
      </c>
      <c r="Z221" s="628">
        <f>I221*Y221</f>
        <v>2368.8657</v>
      </c>
      <c r="AA221" s="612"/>
      <c r="AB221" s="387" t="s">
        <v>50</v>
      </c>
      <c r="AC221" s="629" t="s">
        <v>56</v>
      </c>
      <c r="AD221" s="618"/>
      <c r="AE221" s="630"/>
      <c r="AF221" s="631"/>
      <c r="AG221" s="632"/>
      <c r="AH221" s="632"/>
      <c r="AI221" s="612">
        <f>I221</f>
        <v>387</v>
      </c>
      <c r="AJ221" s="635"/>
      <c r="AK221" s="635"/>
      <c r="AL221" s="312"/>
      <c r="AM221" s="407">
        <f>I221</f>
        <v>387</v>
      </c>
      <c r="AN221" s="612"/>
      <c r="AO221" s="612"/>
      <c r="AP221" s="612"/>
      <c r="AQ221" s="411">
        <f>I221</f>
        <v>387</v>
      </c>
      <c r="AR221" s="411"/>
      <c r="AS221" s="312"/>
      <c r="AT221" s="634"/>
    </row>
    <row r="222" s="305" customFormat="1" ht="36" customHeight="1" spans="1:46">
      <c r="A222" s="610">
        <v>46167</v>
      </c>
      <c r="B222" s="611" t="s">
        <v>594</v>
      </c>
      <c r="C222" s="611" t="s">
        <v>71</v>
      </c>
      <c r="D222" s="612" t="s">
        <v>1006</v>
      </c>
      <c r="E222" s="646">
        <v>12030601351</v>
      </c>
      <c r="F222" s="614" t="s">
        <v>1007</v>
      </c>
      <c r="G222" s="615" t="s">
        <v>597</v>
      </c>
      <c r="H222" s="616" t="s">
        <v>51</v>
      </c>
      <c r="I222" s="617">
        <v>1944</v>
      </c>
      <c r="J222" s="618">
        <v>0</v>
      </c>
      <c r="K222" s="618">
        <v>54</v>
      </c>
      <c r="L222" s="619">
        <f t="shared" si="33"/>
        <v>36</v>
      </c>
      <c r="M222" s="620">
        <v>46220</v>
      </c>
      <c r="N222" s="647">
        <v>46223</v>
      </c>
      <c r="O222" s="534"/>
      <c r="P222" s="622" t="s">
        <v>52</v>
      </c>
      <c r="Q222" s="623">
        <v>46224</v>
      </c>
      <c r="R222" s="641"/>
      <c r="S222" s="622" t="s">
        <v>769</v>
      </c>
      <c r="T222" s="633" t="s">
        <v>54</v>
      </c>
      <c r="U222" s="633" t="s">
        <v>54</v>
      </c>
      <c r="V222" s="625"/>
      <c r="W222" s="613" t="s">
        <v>770</v>
      </c>
      <c r="X222" s="626" t="s">
        <v>601</v>
      </c>
      <c r="Y222" s="627">
        <v>499.9139</v>
      </c>
      <c r="Z222" s="628">
        <f>Y222*L222</f>
        <v>17996.9004</v>
      </c>
      <c r="AA222" s="612"/>
      <c r="AB222" s="637" t="s">
        <v>602</v>
      </c>
      <c r="AC222" s="388" t="s">
        <v>56</v>
      </c>
      <c r="AD222" s="618"/>
      <c r="AE222" s="630"/>
      <c r="AF222" s="631"/>
      <c r="AG222" s="632"/>
      <c r="AH222" s="632"/>
      <c r="AI222" s="612"/>
      <c r="AJ222" s="635">
        <f>I222</f>
        <v>1944</v>
      </c>
      <c r="AK222" s="635"/>
      <c r="AL222" s="312"/>
      <c r="AM222" s="528"/>
      <c r="AN222" s="613">
        <f>I222</f>
        <v>1944</v>
      </c>
      <c r="AO222" s="612"/>
      <c r="AP222" s="637">
        <f>I222</f>
        <v>1944</v>
      </c>
      <c r="AQ222" s="528"/>
      <c r="AR222" s="528"/>
      <c r="AS222" s="629">
        <f>I222/3</f>
        <v>648</v>
      </c>
    </row>
    <row r="223" s="305" customFormat="1" ht="36" customHeight="1" spans="1:46">
      <c r="A223" s="369">
        <v>46167</v>
      </c>
      <c r="B223" s="370" t="s">
        <v>594</v>
      </c>
      <c r="C223" s="370" t="s">
        <v>71</v>
      </c>
      <c r="D223" s="371" t="s">
        <v>1008</v>
      </c>
      <c r="E223" s="491">
        <v>1710601490</v>
      </c>
      <c r="F223" s="373" t="s">
        <v>1009</v>
      </c>
      <c r="G223" s="374" t="s">
        <v>597</v>
      </c>
      <c r="H223" s="428" t="s">
        <v>51</v>
      </c>
      <c r="I223" s="376">
        <v>1944</v>
      </c>
      <c r="J223" s="377">
        <v>0</v>
      </c>
      <c r="K223" s="377">
        <v>54</v>
      </c>
      <c r="L223" s="378">
        <f t="shared" si="33"/>
        <v>36</v>
      </c>
      <c r="M223" s="379">
        <v>46220</v>
      </c>
      <c r="N223" s="542">
        <v>46226</v>
      </c>
      <c r="O223" s="479"/>
      <c r="P223" s="622" t="s">
        <v>52</v>
      </c>
      <c r="Q223" s="520">
        <v>46227</v>
      </c>
      <c r="R223" s="418"/>
      <c r="S223" s="380" t="s">
        <v>769</v>
      </c>
      <c r="T223" s="436" t="s">
        <v>54</v>
      </c>
      <c r="U223" s="382" t="s">
        <v>54</v>
      </c>
      <c r="V223" s="568"/>
      <c r="W223" s="383" t="s">
        <v>770</v>
      </c>
      <c r="X223" s="384" t="s">
        <v>601</v>
      </c>
      <c r="Y223" s="478">
        <v>499.9139</v>
      </c>
      <c r="Z223" s="386">
        <f>Y223*L223</f>
        <v>17996.9004</v>
      </c>
      <c r="AA223" s="371"/>
      <c r="AB223" s="387" t="s">
        <v>602</v>
      </c>
      <c r="AC223" s="388" t="s">
        <v>56</v>
      </c>
      <c r="AD223" s="377"/>
      <c r="AE223" s="389"/>
      <c r="AF223" s="390"/>
      <c r="AG223" s="391"/>
      <c r="AH223" s="391"/>
      <c r="AI223" s="371"/>
      <c r="AJ223" s="482">
        <f>I223</f>
        <v>1944</v>
      </c>
      <c r="AK223" s="482"/>
      <c r="AL223" s="296"/>
      <c r="AM223" s="296"/>
      <c r="AN223" s="383">
        <f>I223</f>
        <v>1944</v>
      </c>
      <c r="AO223" s="371"/>
      <c r="AP223" s="387">
        <f>I223</f>
        <v>1944</v>
      </c>
      <c r="AQ223" s="296"/>
      <c r="AR223" s="296"/>
      <c r="AS223" s="388">
        <f>I223/3</f>
        <v>648</v>
      </c>
    </row>
    <row r="224" s="305" customFormat="1" ht="36" customHeight="1" spans="1:46">
      <c r="A224" s="393">
        <v>46107</v>
      </c>
      <c r="B224" s="394" t="s">
        <v>610</v>
      </c>
      <c r="C224" s="394" t="s">
        <v>396</v>
      </c>
      <c r="D224" s="395">
        <v>4500198848</v>
      </c>
      <c r="E224" s="407">
        <v>7950320026</v>
      </c>
      <c r="F224" s="397" t="str">
        <f>D224&amp;-10</f>
        <v>4500198848-10</v>
      </c>
      <c r="G224" s="398" t="s">
        <v>602</v>
      </c>
      <c r="H224" s="399" t="s">
        <v>51</v>
      </c>
      <c r="I224" s="400">
        <v>1944</v>
      </c>
      <c r="J224" s="401">
        <v>0</v>
      </c>
      <c r="K224" s="401">
        <v>54</v>
      </c>
      <c r="L224" s="402">
        <f t="shared" si="33"/>
        <v>36</v>
      </c>
      <c r="M224" s="403">
        <v>46220</v>
      </c>
      <c r="N224" s="569">
        <v>46231</v>
      </c>
      <c r="O224" s="530"/>
      <c r="P224" s="622" t="s">
        <v>52</v>
      </c>
      <c r="Q224" s="508">
        <v>46226</v>
      </c>
      <c r="R224" s="494" t="s">
        <v>65</v>
      </c>
      <c r="S224" s="404">
        <v>46155</v>
      </c>
      <c r="T224" s="467" t="s">
        <v>54</v>
      </c>
      <c r="U224" s="603" t="s">
        <v>612</v>
      </c>
      <c r="V224" s="603" t="s">
        <v>613</v>
      </c>
      <c r="W224" s="650" t="s">
        <v>614</v>
      </c>
      <c r="X224" s="408" t="s">
        <v>615</v>
      </c>
      <c r="Y224" s="504">
        <v>793.6019</v>
      </c>
      <c r="Z224" s="410">
        <f>Y224*L224</f>
        <v>28569.6684</v>
      </c>
      <c r="AA224" s="395"/>
      <c r="AB224" s="651" t="s">
        <v>616</v>
      </c>
      <c r="AC224" s="388" t="s">
        <v>56</v>
      </c>
      <c r="AD224" s="401"/>
      <c r="AE224" s="495"/>
      <c r="AF224" s="414"/>
      <c r="AG224" s="415"/>
      <c r="AH224" s="415"/>
      <c r="AI224" s="395"/>
      <c r="AJ224" s="652">
        <f>I224</f>
        <v>1944</v>
      </c>
      <c r="AK224" s="652"/>
      <c r="AL224" s="636"/>
      <c r="AM224" s="388">
        <f>I224</f>
        <v>1944</v>
      </c>
      <c r="AN224" s="525"/>
      <c r="AO224" s="392"/>
      <c r="AP224" s="593">
        <f>I224</f>
        <v>1944</v>
      </c>
      <c r="AQ224" s="583"/>
      <c r="AR224" s="636"/>
      <c r="AS224" s="653">
        <f>I224/3</f>
        <v>648</v>
      </c>
      <c r="AT224" s="312"/>
    </row>
    <row r="225" s="305" customFormat="1" ht="36" customHeight="1" spans="1:46">
      <c r="A225" s="369">
        <v>46107</v>
      </c>
      <c r="B225" s="370" t="s">
        <v>610</v>
      </c>
      <c r="C225" s="370" t="s">
        <v>396</v>
      </c>
      <c r="D225" s="371">
        <v>4500198849</v>
      </c>
      <c r="E225" s="383">
        <v>7950320031</v>
      </c>
      <c r="F225" s="373" t="str">
        <f>D225&amp;-10</f>
        <v>4500198849-10</v>
      </c>
      <c r="G225" s="374" t="s">
        <v>602</v>
      </c>
      <c r="H225" s="428" t="s">
        <v>51</v>
      </c>
      <c r="I225" s="376">
        <v>1944</v>
      </c>
      <c r="J225" s="377">
        <v>0</v>
      </c>
      <c r="K225" s="377">
        <v>54</v>
      </c>
      <c r="L225" s="378">
        <f t="shared" si="33"/>
        <v>36</v>
      </c>
      <c r="M225" s="379">
        <v>46220</v>
      </c>
      <c r="N225" s="542">
        <v>46239</v>
      </c>
      <c r="O225" s="479"/>
      <c r="P225" s="622" t="s">
        <v>52</v>
      </c>
      <c r="Q225" s="520">
        <v>46240</v>
      </c>
      <c r="R225" s="418" t="s">
        <v>65</v>
      </c>
      <c r="S225" s="380">
        <v>46155</v>
      </c>
      <c r="T225" s="436" t="s">
        <v>54</v>
      </c>
      <c r="U225" s="559" t="s">
        <v>612</v>
      </c>
      <c r="V225" s="559" t="s">
        <v>613</v>
      </c>
      <c r="W225" s="491" t="s">
        <v>614</v>
      </c>
      <c r="X225" s="384" t="s">
        <v>615</v>
      </c>
      <c r="Y225" s="654">
        <v>793.6019</v>
      </c>
      <c r="Z225" s="386">
        <f>Y225*L225</f>
        <v>28569.6684</v>
      </c>
      <c r="AA225" s="371"/>
      <c r="AB225" s="591" t="s">
        <v>616</v>
      </c>
      <c r="AC225" s="388" t="s">
        <v>56</v>
      </c>
      <c r="AD225" s="377"/>
      <c r="AE225" s="389"/>
      <c r="AF225" s="390"/>
      <c r="AG225" s="391"/>
      <c r="AH225" s="391"/>
      <c r="AI225" s="371"/>
      <c r="AJ225" s="482">
        <f>I225</f>
        <v>1944</v>
      </c>
      <c r="AK225" s="482"/>
      <c r="AL225" s="296"/>
      <c r="AM225" s="388">
        <f>I225</f>
        <v>1944</v>
      </c>
      <c r="AN225" s="383"/>
      <c r="AO225" s="371"/>
      <c r="AP225" s="387">
        <f>I225</f>
        <v>1944</v>
      </c>
      <c r="AQ225" s="296"/>
      <c r="AR225" s="296"/>
      <c r="AS225" s="587">
        <f>I225/3</f>
        <v>648</v>
      </c>
      <c r="AT225" s="312"/>
    </row>
    <row r="226" s="303" customFormat="1" ht="36" customHeight="1" spans="1:46">
      <c r="A226" s="393">
        <v>46114</v>
      </c>
      <c r="B226" s="394" t="s">
        <v>697</v>
      </c>
      <c r="C226" s="394" t="s">
        <v>341</v>
      </c>
      <c r="D226" s="395" t="s">
        <v>1010</v>
      </c>
      <c r="E226" s="396" t="s">
        <v>1011</v>
      </c>
      <c r="F226" s="397" t="s">
        <v>1012</v>
      </c>
      <c r="G226" s="398" t="s">
        <v>597</v>
      </c>
      <c r="H226" s="507" t="s">
        <v>51</v>
      </c>
      <c r="I226" s="400">
        <v>1944</v>
      </c>
      <c r="J226" s="401">
        <v>0</v>
      </c>
      <c r="K226" s="401">
        <v>54</v>
      </c>
      <c r="L226" s="402">
        <f t="shared" si="33"/>
        <v>36</v>
      </c>
      <c r="M226" s="403">
        <v>46221</v>
      </c>
      <c r="N226" s="542">
        <v>46226</v>
      </c>
      <c r="O226" s="530"/>
      <c r="P226" s="404" t="s">
        <v>52</v>
      </c>
      <c r="Q226" s="508">
        <v>46226</v>
      </c>
      <c r="R226" s="494" t="s">
        <v>65</v>
      </c>
      <c r="S226" s="404">
        <v>46162</v>
      </c>
      <c r="T226" s="406" t="s">
        <v>54</v>
      </c>
      <c r="U226" s="382" t="s">
        <v>54</v>
      </c>
      <c r="V226" s="406" t="s">
        <v>599</v>
      </c>
      <c r="W226" s="407" t="s">
        <v>739</v>
      </c>
      <c r="X226" s="408" t="s">
        <v>601</v>
      </c>
      <c r="Y226" s="504">
        <v>833.19</v>
      </c>
      <c r="Z226" s="410">
        <f>Y226*L226</f>
        <v>29994.84</v>
      </c>
      <c r="AA226" s="395"/>
      <c r="AB226" s="411" t="s">
        <v>602</v>
      </c>
      <c r="AC226" s="412" t="s">
        <v>56</v>
      </c>
      <c r="AD226" s="401"/>
      <c r="AE226" s="495"/>
      <c r="AF226" s="414"/>
      <c r="AG226" s="415"/>
      <c r="AH226" s="415"/>
      <c r="AI226" s="395"/>
      <c r="AJ226" s="652">
        <f>I226</f>
        <v>1944</v>
      </c>
      <c r="AK226" s="652"/>
      <c r="AL226" s="528"/>
      <c r="AM226" s="528"/>
      <c r="AN226" s="655">
        <f>I226</f>
        <v>1944</v>
      </c>
      <c r="AO226" s="416"/>
      <c r="AP226" s="656">
        <f>I226</f>
        <v>1944</v>
      </c>
      <c r="AQ226" s="528"/>
      <c r="AR226" s="528"/>
      <c r="AS226" s="412">
        <f>I226/3</f>
        <v>648</v>
      </c>
      <c r="AT226" s="300"/>
    </row>
    <row r="227" s="301" customFormat="1" ht="36" customHeight="1" spans="1:46">
      <c r="A227" s="369">
        <v>46170</v>
      </c>
      <c r="B227" s="370" t="s">
        <v>1013</v>
      </c>
      <c r="C227" s="370" t="s">
        <v>175</v>
      </c>
      <c r="D227" s="371" t="s">
        <v>1014</v>
      </c>
      <c r="E227" s="372" t="s">
        <v>312</v>
      </c>
      <c r="F227" s="373" t="s">
        <v>1015</v>
      </c>
      <c r="G227" s="374" t="s">
        <v>50</v>
      </c>
      <c r="H227" s="428" t="s">
        <v>51</v>
      </c>
      <c r="I227" s="376">
        <v>189</v>
      </c>
      <c r="J227" s="377">
        <v>0</v>
      </c>
      <c r="K227" s="377">
        <v>3</v>
      </c>
      <c r="L227" s="378">
        <f t="shared" si="33"/>
        <v>63</v>
      </c>
      <c r="M227" s="379">
        <v>46223</v>
      </c>
      <c r="N227" s="379">
        <v>46220</v>
      </c>
      <c r="O227" s="479"/>
      <c r="P227" s="380" t="s">
        <v>52</v>
      </c>
      <c r="Q227" s="572">
        <v>46233</v>
      </c>
      <c r="R227" s="494" t="s">
        <v>65</v>
      </c>
      <c r="S227" s="380">
        <v>46190</v>
      </c>
      <c r="T227" s="436" t="s">
        <v>54</v>
      </c>
      <c r="U227" s="559" t="s">
        <v>1016</v>
      </c>
      <c r="V227" s="570"/>
      <c r="W227" s="383" t="s">
        <v>1017</v>
      </c>
      <c r="X227" s="384" t="s">
        <v>388</v>
      </c>
      <c r="Y227" s="478">
        <v>10.4985</v>
      </c>
      <c r="Z227" s="386">
        <f>I227*Y227</f>
        <v>1984.2165</v>
      </c>
      <c r="AA227" s="371"/>
      <c r="AB227" s="374" t="s">
        <v>84</v>
      </c>
      <c r="AC227" s="388" t="s">
        <v>56</v>
      </c>
      <c r="AD227" s="377"/>
      <c r="AE227" s="389"/>
      <c r="AF227" s="390"/>
      <c r="AG227" s="391"/>
      <c r="AH227" s="391"/>
      <c r="AI227" s="371"/>
      <c r="AJ227" s="371"/>
      <c r="AK227" s="371"/>
      <c r="AL227" s="296">
        <f>I227</f>
        <v>189</v>
      </c>
      <c r="AM227" s="383">
        <f>I227</f>
        <v>189</v>
      </c>
      <c r="AN227" s="371"/>
      <c r="AO227" s="371" t="s">
        <v>101</v>
      </c>
      <c r="AP227" s="371"/>
      <c r="AQ227" s="387">
        <f>I227</f>
        <v>189</v>
      </c>
      <c r="AR227" s="387"/>
      <c r="AS227" s="296"/>
    </row>
    <row r="228" s="303" customFormat="1" ht="36" customHeight="1" spans="1:46">
      <c r="A228" s="369">
        <v>46153</v>
      </c>
      <c r="B228" s="370" t="s">
        <v>1018</v>
      </c>
      <c r="C228" s="370" t="s">
        <v>175</v>
      </c>
      <c r="D228" s="371">
        <v>4500206343</v>
      </c>
      <c r="E228" s="372" t="s">
        <v>312</v>
      </c>
      <c r="F228" s="373" t="s">
        <v>1019</v>
      </c>
      <c r="G228" s="374" t="s">
        <v>50</v>
      </c>
      <c r="H228" s="428" t="s">
        <v>51</v>
      </c>
      <c r="I228" s="376">
        <v>600</v>
      </c>
      <c r="J228" s="377">
        <v>0</v>
      </c>
      <c r="K228" s="377">
        <v>3</v>
      </c>
      <c r="L228" s="378">
        <f t="shared" si="33"/>
        <v>200</v>
      </c>
      <c r="M228" s="379">
        <v>46223</v>
      </c>
      <c r="N228" s="379">
        <v>46224</v>
      </c>
      <c r="O228" s="380"/>
      <c r="P228" s="380" t="s">
        <v>52</v>
      </c>
      <c r="Q228" s="520">
        <v>46226</v>
      </c>
      <c r="R228" s="494" t="s">
        <v>65</v>
      </c>
      <c r="S228" s="380">
        <v>46175</v>
      </c>
      <c r="T228" s="382" t="s">
        <v>54</v>
      </c>
      <c r="U228" s="382" t="s">
        <v>54</v>
      </c>
      <c r="V228" s="406"/>
      <c r="W228" s="383" t="s">
        <v>1020</v>
      </c>
      <c r="X228" s="384" t="s">
        <v>388</v>
      </c>
      <c r="Y228" s="478">
        <v>10.2316</v>
      </c>
      <c r="Z228" s="386">
        <f>I228*Y228</f>
        <v>6138.96</v>
      </c>
      <c r="AA228" s="371"/>
      <c r="AB228" s="374" t="s">
        <v>84</v>
      </c>
      <c r="AC228" s="388" t="s">
        <v>56</v>
      </c>
      <c r="AD228" s="377"/>
      <c r="AE228" s="389"/>
      <c r="AF228" s="390"/>
      <c r="AG228" s="391"/>
      <c r="AH228" s="391"/>
      <c r="AI228" s="371"/>
      <c r="AJ228" s="371"/>
      <c r="AK228" s="371"/>
      <c r="AL228" s="296">
        <f>I228</f>
        <v>600</v>
      </c>
      <c r="AM228" s="383">
        <f>I228</f>
        <v>600</v>
      </c>
      <c r="AN228" s="392"/>
      <c r="AO228" s="392" t="s">
        <v>101</v>
      </c>
      <c r="AP228" s="392"/>
      <c r="AQ228" s="387">
        <f>I228</f>
        <v>600</v>
      </c>
      <c r="AR228" s="387"/>
      <c r="AS228" s="583"/>
      <c r="AT228" s="298"/>
    </row>
    <row r="229" s="299" customFormat="1" ht="36" customHeight="1" spans="1:46">
      <c r="A229" s="369">
        <v>46167</v>
      </c>
      <c r="B229" s="370" t="s">
        <v>594</v>
      </c>
      <c r="C229" s="370" t="s">
        <v>71</v>
      </c>
      <c r="D229" s="371" t="s">
        <v>1021</v>
      </c>
      <c r="E229" s="491">
        <v>1790601490</v>
      </c>
      <c r="F229" s="373" t="s">
        <v>1022</v>
      </c>
      <c r="G229" s="374" t="s">
        <v>597</v>
      </c>
      <c r="H229" s="428" t="s">
        <v>51</v>
      </c>
      <c r="I229" s="376">
        <v>1944</v>
      </c>
      <c r="J229" s="377">
        <v>0</v>
      </c>
      <c r="K229" s="377">
        <v>54</v>
      </c>
      <c r="L229" s="378">
        <f t="shared" si="33"/>
        <v>36</v>
      </c>
      <c r="M229" s="379">
        <v>46223</v>
      </c>
      <c r="N229" s="542">
        <v>46225</v>
      </c>
      <c r="O229" s="479"/>
      <c r="P229" s="380" t="s">
        <v>52</v>
      </c>
      <c r="Q229" s="520">
        <v>46225</v>
      </c>
      <c r="R229" s="418"/>
      <c r="S229" s="380" t="s">
        <v>769</v>
      </c>
      <c r="T229" s="436" t="s">
        <v>54</v>
      </c>
      <c r="U229" s="382" t="s">
        <v>54</v>
      </c>
      <c r="V229" s="568"/>
      <c r="W229" s="383" t="s">
        <v>770</v>
      </c>
      <c r="X229" s="384" t="s">
        <v>601</v>
      </c>
      <c r="Y229" s="478">
        <v>499.9139</v>
      </c>
      <c r="Z229" s="386">
        <f>Y229*L229</f>
        <v>17996.9004</v>
      </c>
      <c r="AA229" s="371"/>
      <c r="AB229" s="387" t="s">
        <v>602</v>
      </c>
      <c r="AC229" s="388" t="s">
        <v>56</v>
      </c>
      <c r="AD229" s="377"/>
      <c r="AE229" s="389"/>
      <c r="AF229" s="390"/>
      <c r="AG229" s="391"/>
      <c r="AH229" s="391"/>
      <c r="AI229" s="371"/>
      <c r="AJ229" s="482">
        <f>I229</f>
        <v>1944</v>
      </c>
      <c r="AK229" s="482"/>
      <c r="AL229" s="296"/>
      <c r="AM229" s="296"/>
      <c r="AN229" s="525">
        <f>I229</f>
        <v>1944</v>
      </c>
      <c r="AO229" s="392"/>
      <c r="AP229" s="593">
        <f>I229</f>
        <v>1944</v>
      </c>
      <c r="AQ229" s="296"/>
      <c r="AR229" s="296"/>
      <c r="AS229" s="388">
        <f>I229/3</f>
        <v>648</v>
      </c>
    </row>
    <row r="230" s="305" customFormat="1" ht="36" customHeight="1" spans="1:46">
      <c r="A230" s="369">
        <v>46167</v>
      </c>
      <c r="B230" s="370" t="s">
        <v>594</v>
      </c>
      <c r="C230" s="370" t="s">
        <v>71</v>
      </c>
      <c r="D230" s="371" t="s">
        <v>1023</v>
      </c>
      <c r="E230" s="491">
        <v>2620601443</v>
      </c>
      <c r="F230" s="373" t="s">
        <v>1024</v>
      </c>
      <c r="G230" s="374" t="s">
        <v>597</v>
      </c>
      <c r="H230" s="375" t="s">
        <v>51</v>
      </c>
      <c r="I230" s="376">
        <v>1944</v>
      </c>
      <c r="J230" s="377">
        <v>0</v>
      </c>
      <c r="K230" s="377">
        <v>54</v>
      </c>
      <c r="L230" s="378">
        <f t="shared" si="33"/>
        <v>36</v>
      </c>
      <c r="M230" s="379">
        <v>46223</v>
      </c>
      <c r="N230" s="542">
        <v>46226</v>
      </c>
      <c r="O230" s="479"/>
      <c r="P230" s="380" t="s">
        <v>52</v>
      </c>
      <c r="Q230" s="520">
        <v>46227</v>
      </c>
      <c r="R230" s="381"/>
      <c r="S230" s="380" t="s">
        <v>769</v>
      </c>
      <c r="T230" s="382" t="s">
        <v>54</v>
      </c>
      <c r="U230" s="382" t="s">
        <v>54</v>
      </c>
      <c r="V230" s="568"/>
      <c r="W230" s="383" t="s">
        <v>770</v>
      </c>
      <c r="X230" s="384" t="s">
        <v>601</v>
      </c>
      <c r="Y230" s="478">
        <v>499.9139</v>
      </c>
      <c r="Z230" s="386">
        <f>Y230*L230</f>
        <v>17996.9004</v>
      </c>
      <c r="AA230" s="371"/>
      <c r="AB230" s="387" t="s">
        <v>602</v>
      </c>
      <c r="AC230" s="388" t="s">
        <v>56</v>
      </c>
      <c r="AD230" s="377"/>
      <c r="AE230" s="389"/>
      <c r="AF230" s="390"/>
      <c r="AG230" s="391"/>
      <c r="AH230" s="391"/>
      <c r="AI230" s="371"/>
      <c r="AJ230" s="482">
        <f>I230</f>
        <v>1944</v>
      </c>
      <c r="AK230" s="482"/>
      <c r="AL230" s="296"/>
      <c r="AM230" s="296"/>
      <c r="AN230" s="383">
        <f>I230</f>
        <v>1944</v>
      </c>
      <c r="AO230" s="371"/>
      <c r="AP230" s="387">
        <f>I230</f>
        <v>1944</v>
      </c>
      <c r="AQ230" s="296"/>
      <c r="AR230" s="296"/>
      <c r="AS230" s="388">
        <f>I230/3</f>
        <v>648</v>
      </c>
      <c r="AT230" s="301"/>
    </row>
    <row r="231" s="295" customFormat="1" ht="36" customHeight="1" spans="1:46">
      <c r="A231" s="610">
        <v>46141</v>
      </c>
      <c r="B231" s="611" t="s">
        <v>1025</v>
      </c>
      <c r="C231" s="611" t="s">
        <v>1026</v>
      </c>
      <c r="D231" s="612" t="s">
        <v>1027</v>
      </c>
      <c r="E231" s="638" t="s">
        <v>1028</v>
      </c>
      <c r="F231" s="614" t="s">
        <v>1029</v>
      </c>
      <c r="G231" s="615" t="s">
        <v>50</v>
      </c>
      <c r="H231" s="616" t="s">
        <v>51</v>
      </c>
      <c r="I231" s="617">
        <v>129</v>
      </c>
      <c r="J231" s="618">
        <v>0</v>
      </c>
      <c r="K231" s="618">
        <v>3</v>
      </c>
      <c r="L231" s="619">
        <f t="shared" si="33"/>
        <v>43</v>
      </c>
      <c r="M231" s="647">
        <v>46223</v>
      </c>
      <c r="N231" s="647">
        <v>46230</v>
      </c>
      <c r="O231" s="622"/>
      <c r="P231" s="622" t="s">
        <v>52</v>
      </c>
      <c r="Q231" s="623">
        <v>46231</v>
      </c>
      <c r="R231" s="494" t="s">
        <v>65</v>
      </c>
      <c r="S231" s="622">
        <v>46141</v>
      </c>
      <c r="T231" s="406" t="s">
        <v>54</v>
      </c>
      <c r="U231" s="559" t="s">
        <v>1030</v>
      </c>
      <c r="V231" s="642" t="s">
        <v>1031</v>
      </c>
      <c r="W231" s="646" t="s">
        <v>1032</v>
      </c>
      <c r="X231" s="626" t="s">
        <v>1033</v>
      </c>
      <c r="Y231" s="627">
        <v>9.9425</v>
      </c>
      <c r="Z231" s="628">
        <f>I231*Y231</f>
        <v>1282.5825</v>
      </c>
      <c r="AA231" s="612"/>
      <c r="AB231" s="374" t="s">
        <v>50</v>
      </c>
      <c r="AC231" s="629" t="s">
        <v>56</v>
      </c>
      <c r="AD231" s="618"/>
      <c r="AE231" s="630"/>
      <c r="AF231" s="631"/>
      <c r="AG231" s="632"/>
      <c r="AH231" s="632"/>
      <c r="AI231" s="612">
        <f>I231</f>
        <v>129</v>
      </c>
      <c r="AJ231" s="612"/>
      <c r="AK231" s="612"/>
      <c r="AL231" s="612"/>
      <c r="AM231" s="495">
        <f>I231</f>
        <v>129</v>
      </c>
      <c r="AN231" s="613"/>
      <c r="AO231" s="612"/>
      <c r="AP231" s="637"/>
      <c r="AQ231" s="411"/>
      <c r="AR231" s="411"/>
      <c r="AS231" s="629"/>
      <c r="AT231" s="298"/>
    </row>
    <row r="232" s="295" customFormat="1" ht="36" customHeight="1" spans="1:46">
      <c r="A232" s="610">
        <v>46141</v>
      </c>
      <c r="B232" s="611" t="s">
        <v>1025</v>
      </c>
      <c r="C232" s="611" t="s">
        <v>1026</v>
      </c>
      <c r="D232" s="612" t="s">
        <v>1027</v>
      </c>
      <c r="E232" s="638" t="s">
        <v>1034</v>
      </c>
      <c r="F232" s="614" t="s">
        <v>1035</v>
      </c>
      <c r="G232" s="615" t="s">
        <v>50</v>
      </c>
      <c r="H232" s="616" t="s">
        <v>51</v>
      </c>
      <c r="I232" s="617">
        <v>471</v>
      </c>
      <c r="J232" s="618">
        <v>0</v>
      </c>
      <c r="K232" s="618">
        <v>3</v>
      </c>
      <c r="L232" s="619">
        <f t="shared" si="33"/>
        <v>157</v>
      </c>
      <c r="M232" s="647">
        <v>46223</v>
      </c>
      <c r="N232" s="647">
        <v>46230</v>
      </c>
      <c r="O232" s="622"/>
      <c r="P232" s="622" t="s">
        <v>52</v>
      </c>
      <c r="Q232" s="623">
        <v>46231</v>
      </c>
      <c r="R232" s="494" t="s">
        <v>65</v>
      </c>
      <c r="S232" s="622">
        <v>46141</v>
      </c>
      <c r="T232" s="406" t="s">
        <v>54</v>
      </c>
      <c r="U232" s="559" t="s">
        <v>1030</v>
      </c>
      <c r="V232" s="642" t="s">
        <v>1031</v>
      </c>
      <c r="W232" s="646" t="s">
        <v>1032</v>
      </c>
      <c r="X232" s="626" t="s">
        <v>1033</v>
      </c>
      <c r="Y232" s="627">
        <v>9.9425</v>
      </c>
      <c r="Z232" s="628">
        <f>I232*Y232</f>
        <v>4682.9175</v>
      </c>
      <c r="AA232" s="612"/>
      <c r="AB232" s="374" t="s">
        <v>50</v>
      </c>
      <c r="AC232" s="629" t="s">
        <v>56</v>
      </c>
      <c r="AD232" s="618"/>
      <c r="AE232" s="630"/>
      <c r="AF232" s="631"/>
      <c r="AG232" s="632"/>
      <c r="AH232" s="632"/>
      <c r="AI232" s="612">
        <f>I232</f>
        <v>471</v>
      </c>
      <c r="AJ232" s="612"/>
      <c r="AK232" s="612"/>
      <c r="AL232" s="612"/>
      <c r="AM232" s="495">
        <f>I232</f>
        <v>471</v>
      </c>
      <c r="AN232" s="613"/>
      <c r="AO232" s="612"/>
      <c r="AP232" s="637"/>
      <c r="AQ232" s="411"/>
      <c r="AR232" s="411"/>
      <c r="AS232" s="629"/>
    </row>
    <row r="233" s="303" customFormat="1" ht="36" customHeight="1" spans="1:46">
      <c r="A233" s="369">
        <v>46154</v>
      </c>
      <c r="B233" s="370" t="s">
        <v>862</v>
      </c>
      <c r="C233" s="370" t="s">
        <v>863</v>
      </c>
      <c r="D233" s="371" t="s">
        <v>1036</v>
      </c>
      <c r="E233" s="372" t="s">
        <v>1037</v>
      </c>
      <c r="F233" s="373" t="s">
        <v>1038</v>
      </c>
      <c r="G233" s="374" t="s">
        <v>50</v>
      </c>
      <c r="H233" s="428" t="s">
        <v>51</v>
      </c>
      <c r="I233" s="376">
        <v>297</v>
      </c>
      <c r="J233" s="377">
        <v>0</v>
      </c>
      <c r="K233" s="377">
        <v>3</v>
      </c>
      <c r="L233" s="378">
        <f t="shared" si="33"/>
        <v>99</v>
      </c>
      <c r="M233" s="379">
        <v>46223</v>
      </c>
      <c r="N233" s="379">
        <v>46242</v>
      </c>
      <c r="O233" s="380"/>
      <c r="P233" s="380" t="s">
        <v>52</v>
      </c>
      <c r="Q233" s="520">
        <v>46244</v>
      </c>
      <c r="R233" s="381" t="s">
        <v>867</v>
      </c>
      <c r="S233" s="558">
        <v>46184</v>
      </c>
      <c r="T233" s="382" t="s">
        <v>54</v>
      </c>
      <c r="U233" s="559" t="s">
        <v>1039</v>
      </c>
      <c r="V233" s="406"/>
      <c r="W233" s="383" t="s">
        <v>1040</v>
      </c>
      <c r="X233" s="384" t="s">
        <v>870</v>
      </c>
      <c r="Y233" s="478">
        <v>10.2316</v>
      </c>
      <c r="Z233" s="386">
        <f>I233*Y233</f>
        <v>3038.7852</v>
      </c>
      <c r="AA233" s="371"/>
      <c r="AB233" s="374" t="s">
        <v>84</v>
      </c>
      <c r="AC233" s="388" t="s">
        <v>56</v>
      </c>
      <c r="AD233" s="377"/>
      <c r="AE233" s="389"/>
      <c r="AF233" s="390"/>
      <c r="AG233" s="391"/>
      <c r="AH233" s="391"/>
      <c r="AI233" s="371"/>
      <c r="AJ233" s="371"/>
      <c r="AK233" s="371"/>
      <c r="AL233" s="296">
        <f>I233</f>
        <v>297</v>
      </c>
      <c r="AM233" s="383">
        <f>I233</f>
        <v>297</v>
      </c>
      <c r="AN233" s="392"/>
      <c r="AO233" s="392"/>
      <c r="AP233" s="392"/>
      <c r="AQ233" s="387">
        <f>I233</f>
        <v>297</v>
      </c>
      <c r="AR233" s="387"/>
      <c r="AS233" s="583"/>
      <c r="AT233" s="298"/>
    </row>
    <row r="234" s="300" customFormat="1" ht="36" customHeight="1" spans="1:46">
      <c r="A234" s="369">
        <v>46189</v>
      </c>
      <c r="B234" s="370" t="s">
        <v>122</v>
      </c>
      <c r="C234" s="370" t="s">
        <v>71</v>
      </c>
      <c r="D234" s="371" t="s">
        <v>1041</v>
      </c>
      <c r="E234" s="894" t="s">
        <v>1042</v>
      </c>
      <c r="F234" s="373" t="s">
        <v>1043</v>
      </c>
      <c r="G234" s="374" t="s">
        <v>125</v>
      </c>
      <c r="H234" s="375" t="s">
        <v>51</v>
      </c>
      <c r="I234" s="376">
        <v>500</v>
      </c>
      <c r="J234" s="377">
        <v>0</v>
      </c>
      <c r="K234" s="377">
        <v>2</v>
      </c>
      <c r="L234" s="378">
        <f t="shared" si="33"/>
        <v>250</v>
      </c>
      <c r="M234" s="379">
        <v>46224</v>
      </c>
      <c r="N234" s="379">
        <v>46227</v>
      </c>
      <c r="O234" s="479" t="s">
        <v>1044</v>
      </c>
      <c r="P234" s="380" t="s">
        <v>52</v>
      </c>
      <c r="Q234" s="520">
        <v>46251</v>
      </c>
      <c r="R234" s="418"/>
      <c r="S234" s="598" t="s">
        <v>691</v>
      </c>
      <c r="T234" s="382" t="s">
        <v>54</v>
      </c>
      <c r="U234" s="559" t="s">
        <v>1045</v>
      </c>
      <c r="V234" s="559"/>
      <c r="W234" s="383" t="s">
        <v>1046</v>
      </c>
      <c r="X234" s="384" t="s">
        <v>129</v>
      </c>
      <c r="Y234" s="478">
        <v>6.3566</v>
      </c>
      <c r="Z234" s="386">
        <f>Y234*L234</f>
        <v>1589.15</v>
      </c>
      <c r="AA234" s="371"/>
      <c r="AB234" s="374" t="s">
        <v>125</v>
      </c>
      <c r="AC234" s="388" t="s">
        <v>56</v>
      </c>
      <c r="AD234" s="377"/>
      <c r="AE234" s="389"/>
      <c r="AF234" s="390"/>
      <c r="AG234" s="391"/>
      <c r="AH234" s="391"/>
      <c r="AI234" s="371">
        <f>I234</f>
        <v>500</v>
      </c>
      <c r="AJ234" s="371"/>
      <c r="AK234" s="371"/>
      <c r="AL234" s="371"/>
      <c r="AM234" s="371">
        <f>I234</f>
        <v>500</v>
      </c>
      <c r="AN234" s="371"/>
      <c r="AO234" s="371"/>
      <c r="AP234" s="371"/>
      <c r="AQ234" s="388">
        <f>I234</f>
        <v>500</v>
      </c>
      <c r="AR234" s="545"/>
      <c r="AS234" s="545"/>
      <c r="AT234" s="298"/>
    </row>
    <row r="235" s="301" customFormat="1" ht="36" customHeight="1" spans="1:46">
      <c r="A235" s="369">
        <v>46168</v>
      </c>
      <c r="B235" s="370" t="s">
        <v>1047</v>
      </c>
      <c r="C235" s="370" t="s">
        <v>71</v>
      </c>
      <c r="D235" s="371" t="s">
        <v>1048</v>
      </c>
      <c r="E235" s="383">
        <v>725922</v>
      </c>
      <c r="F235" s="373" t="s">
        <v>1049</v>
      </c>
      <c r="G235" s="374" t="s">
        <v>50</v>
      </c>
      <c r="H235" s="428" t="s">
        <v>51</v>
      </c>
      <c r="I235" s="541">
        <v>525</v>
      </c>
      <c r="J235" s="377">
        <v>0</v>
      </c>
      <c r="K235" s="377">
        <v>3</v>
      </c>
      <c r="L235" s="378">
        <f t="shared" si="33"/>
        <v>175</v>
      </c>
      <c r="M235" s="542">
        <v>46225</v>
      </c>
      <c r="N235" s="542">
        <v>46223</v>
      </c>
      <c r="O235" s="479"/>
      <c r="P235" s="380" t="s">
        <v>52</v>
      </c>
      <c r="Q235" s="509">
        <v>46226</v>
      </c>
      <c r="R235" s="494" t="s">
        <v>65</v>
      </c>
      <c r="S235" s="380">
        <v>46168</v>
      </c>
      <c r="T235" s="436" t="s">
        <v>66</v>
      </c>
      <c r="U235" s="559" t="s">
        <v>1050</v>
      </c>
      <c r="V235" s="570"/>
      <c r="W235" s="383" t="s">
        <v>1051</v>
      </c>
      <c r="X235" s="384" t="s">
        <v>1052</v>
      </c>
      <c r="Y235" s="478">
        <v>6.1211</v>
      </c>
      <c r="Z235" s="386">
        <f>I235*Y235</f>
        <v>3213.5775</v>
      </c>
      <c r="AA235" s="371"/>
      <c r="AB235" s="398" t="s">
        <v>50</v>
      </c>
      <c r="AC235" s="388" t="s">
        <v>56</v>
      </c>
      <c r="AD235" s="377"/>
      <c r="AE235" s="389"/>
      <c r="AF235" s="390"/>
      <c r="AG235" s="391"/>
      <c r="AH235" s="391"/>
      <c r="AI235" s="371">
        <f>I235</f>
        <v>525</v>
      </c>
      <c r="AJ235" s="371"/>
      <c r="AK235" s="371"/>
      <c r="AL235" s="371"/>
      <c r="AM235" s="371">
        <f>I235</f>
        <v>525</v>
      </c>
      <c r="AN235" s="371"/>
      <c r="AO235" s="371"/>
      <c r="AP235" s="371"/>
      <c r="AQ235" s="388">
        <f>I235</f>
        <v>525</v>
      </c>
      <c r="AR235" s="388"/>
      <c r="AS235" s="388"/>
    </row>
    <row r="236" s="295" customFormat="1" ht="36" customHeight="1" spans="1:46">
      <c r="A236" s="369">
        <v>46114</v>
      </c>
      <c r="B236" s="370" t="s">
        <v>697</v>
      </c>
      <c r="C236" s="370" t="s">
        <v>341</v>
      </c>
      <c r="D236" s="371" t="s">
        <v>1053</v>
      </c>
      <c r="E236" s="372" t="s">
        <v>1054</v>
      </c>
      <c r="F236" s="373" t="s">
        <v>1055</v>
      </c>
      <c r="G236" s="374" t="s">
        <v>597</v>
      </c>
      <c r="H236" s="428" t="s">
        <v>51</v>
      </c>
      <c r="I236" s="376">
        <v>1944</v>
      </c>
      <c r="J236" s="377">
        <v>0</v>
      </c>
      <c r="K236" s="377">
        <v>54</v>
      </c>
      <c r="L236" s="378">
        <f t="shared" si="33"/>
        <v>36</v>
      </c>
      <c r="M236" s="379">
        <v>46225</v>
      </c>
      <c r="N236" s="379">
        <v>46225</v>
      </c>
      <c r="O236" s="479"/>
      <c r="P236" s="380" t="s">
        <v>52</v>
      </c>
      <c r="Q236" s="520">
        <v>46226</v>
      </c>
      <c r="R236" s="418" t="s">
        <v>65</v>
      </c>
      <c r="S236" s="404">
        <v>46162</v>
      </c>
      <c r="T236" s="467" t="s">
        <v>54</v>
      </c>
      <c r="U236" s="382" t="s">
        <v>54</v>
      </c>
      <c r="V236" s="529" t="s">
        <v>599</v>
      </c>
      <c r="W236" s="383" t="s">
        <v>739</v>
      </c>
      <c r="X236" s="384" t="s">
        <v>601</v>
      </c>
      <c r="Y236" s="478">
        <v>833.19</v>
      </c>
      <c r="Z236" s="386">
        <f t="shared" ref="Z236:Z257" si="35">Y236*L236</f>
        <v>29994.84</v>
      </c>
      <c r="AA236" s="371"/>
      <c r="AB236" s="411" t="s">
        <v>602</v>
      </c>
      <c r="AC236" s="388" t="s">
        <v>56</v>
      </c>
      <c r="AD236" s="377"/>
      <c r="AE236" s="389"/>
      <c r="AF236" s="390"/>
      <c r="AG236" s="391"/>
      <c r="AH236" s="415"/>
      <c r="AI236" s="395"/>
      <c r="AJ236" s="652">
        <f>I236</f>
        <v>1944</v>
      </c>
      <c r="AK236" s="652"/>
      <c r="AL236" s="528"/>
      <c r="AM236" s="296"/>
      <c r="AN236" s="525">
        <f>I236</f>
        <v>1944</v>
      </c>
      <c r="AO236" s="392"/>
      <c r="AP236" s="593">
        <f>I236</f>
        <v>1944</v>
      </c>
      <c r="AQ236" s="296"/>
      <c r="AR236" s="296"/>
      <c r="AS236" s="388">
        <f>I236/3</f>
        <v>648</v>
      </c>
      <c r="AT236" s="298"/>
    </row>
    <row r="237" s="300" customFormat="1" ht="36" customHeight="1" spans="1:46">
      <c r="A237" s="369">
        <v>46167</v>
      </c>
      <c r="B237" s="370" t="s">
        <v>594</v>
      </c>
      <c r="C237" s="370" t="s">
        <v>71</v>
      </c>
      <c r="D237" s="371" t="s">
        <v>1056</v>
      </c>
      <c r="E237" s="491">
        <v>2670601444</v>
      </c>
      <c r="F237" s="373" t="s">
        <v>1057</v>
      </c>
      <c r="G237" s="374" t="s">
        <v>597</v>
      </c>
      <c r="H237" s="375" t="s">
        <v>51</v>
      </c>
      <c r="I237" s="376">
        <v>1944</v>
      </c>
      <c r="J237" s="377">
        <v>0</v>
      </c>
      <c r="K237" s="377">
        <v>54</v>
      </c>
      <c r="L237" s="378">
        <f t="shared" si="33"/>
        <v>36</v>
      </c>
      <c r="M237" s="379">
        <v>46225</v>
      </c>
      <c r="N237" s="379">
        <v>46227</v>
      </c>
      <c r="O237" s="479"/>
      <c r="P237" s="380" t="s">
        <v>52</v>
      </c>
      <c r="Q237" s="520">
        <v>46227</v>
      </c>
      <c r="R237" s="381"/>
      <c r="S237" s="380" t="s">
        <v>769</v>
      </c>
      <c r="T237" s="382" t="s">
        <v>54</v>
      </c>
      <c r="U237" s="382" t="s">
        <v>54</v>
      </c>
      <c r="V237" s="568"/>
      <c r="W237" s="383" t="s">
        <v>770</v>
      </c>
      <c r="X237" s="384" t="s">
        <v>601</v>
      </c>
      <c r="Y237" s="478">
        <v>499.9139</v>
      </c>
      <c r="Z237" s="386">
        <f t="shared" si="35"/>
        <v>17996.9004</v>
      </c>
      <c r="AA237" s="371"/>
      <c r="AB237" s="387" t="s">
        <v>602</v>
      </c>
      <c r="AC237" s="388" t="s">
        <v>56</v>
      </c>
      <c r="AD237" s="377"/>
      <c r="AE237" s="389"/>
      <c r="AF237" s="390"/>
      <c r="AG237" s="391"/>
      <c r="AH237" s="391"/>
      <c r="AI237" s="371"/>
      <c r="AJ237" s="482">
        <f>I237</f>
        <v>1944</v>
      </c>
      <c r="AK237" s="582"/>
      <c r="AL237" s="298"/>
      <c r="AM237" s="298"/>
      <c r="AN237" s="383">
        <f>I237</f>
        <v>1944</v>
      </c>
      <c r="AO237" s="371"/>
      <c r="AP237" s="387">
        <f>I237</f>
        <v>1944</v>
      </c>
      <c r="AQ237" s="298"/>
      <c r="AR237" s="298"/>
      <c r="AS237" s="388">
        <f>I237/3</f>
        <v>648</v>
      </c>
      <c r="AT237" s="299"/>
    </row>
    <row r="238" s="301" customFormat="1" ht="36" customHeight="1" spans="1:46">
      <c r="A238" s="422">
        <v>46167</v>
      </c>
      <c r="B238" s="423" t="s">
        <v>594</v>
      </c>
      <c r="C238" s="423" t="s">
        <v>71</v>
      </c>
      <c r="D238" s="424" t="s">
        <v>1058</v>
      </c>
      <c r="E238" s="551">
        <v>2620601444</v>
      </c>
      <c r="F238" s="533" t="s">
        <v>1059</v>
      </c>
      <c r="G238" s="427" t="s">
        <v>597</v>
      </c>
      <c r="H238" s="428" t="s">
        <v>51</v>
      </c>
      <c r="I238" s="450">
        <v>1944</v>
      </c>
      <c r="J238" s="430">
        <v>0</v>
      </c>
      <c r="K238" s="430">
        <v>54</v>
      </c>
      <c r="L238" s="431">
        <f t="shared" si="33"/>
        <v>36</v>
      </c>
      <c r="M238" s="432">
        <v>46225</v>
      </c>
      <c r="N238" s="432">
        <v>46227</v>
      </c>
      <c r="O238" s="621"/>
      <c r="P238" s="433" t="s">
        <v>52</v>
      </c>
      <c r="Q238" s="535">
        <v>46227</v>
      </c>
      <c r="R238" s="447"/>
      <c r="S238" s="433" t="s">
        <v>769</v>
      </c>
      <c r="T238" s="436" t="s">
        <v>54</v>
      </c>
      <c r="U238" s="382" t="s">
        <v>54</v>
      </c>
      <c r="V238" s="567"/>
      <c r="W238" s="383" t="s">
        <v>770</v>
      </c>
      <c r="X238" s="439" t="s">
        <v>601</v>
      </c>
      <c r="Y238" s="481">
        <v>499.9139</v>
      </c>
      <c r="Z238" s="441">
        <f t="shared" si="35"/>
        <v>17996.9004</v>
      </c>
      <c r="AA238" s="424"/>
      <c r="AB238" s="462" t="s">
        <v>602</v>
      </c>
      <c r="AC238" s="518" t="s">
        <v>56</v>
      </c>
      <c r="AD238" s="430"/>
      <c r="AE238" s="536"/>
      <c r="AF238" s="442"/>
      <c r="AG238" s="443"/>
      <c r="AH238" s="443"/>
      <c r="AI238" s="424"/>
      <c r="AJ238" s="592">
        <f>I238</f>
        <v>1944</v>
      </c>
      <c r="AK238" s="592"/>
      <c r="AL238" s="539"/>
      <c r="AM238" s="296"/>
      <c r="AN238" s="562">
        <f>I238</f>
        <v>1944</v>
      </c>
      <c r="AO238" s="444"/>
      <c r="AP238" s="604">
        <f>I238</f>
        <v>1944</v>
      </c>
      <c r="AQ238" s="539"/>
      <c r="AR238" s="539"/>
      <c r="AS238" s="518">
        <f>I238/3</f>
        <v>648</v>
      </c>
    </row>
    <row r="239" s="306" customFormat="1" ht="36" customHeight="1" spans="1:46">
      <c r="A239" s="369">
        <v>46171</v>
      </c>
      <c r="B239" s="370" t="s">
        <v>1060</v>
      </c>
      <c r="C239" s="370" t="s">
        <v>341</v>
      </c>
      <c r="D239" s="371" t="s">
        <v>1061</v>
      </c>
      <c r="E239" s="372" t="s">
        <v>1062</v>
      </c>
      <c r="F239" s="373" t="s">
        <v>1063</v>
      </c>
      <c r="G239" s="374" t="s">
        <v>169</v>
      </c>
      <c r="H239" s="428" t="s">
        <v>51</v>
      </c>
      <c r="I239" s="376">
        <v>6</v>
      </c>
      <c r="J239" s="377">
        <v>0</v>
      </c>
      <c r="K239" s="377">
        <v>3</v>
      </c>
      <c r="L239" s="599">
        <f t="shared" si="33"/>
        <v>2</v>
      </c>
      <c r="M239" s="379">
        <v>46225</v>
      </c>
      <c r="N239" s="379">
        <v>46228</v>
      </c>
      <c r="O239" s="479"/>
      <c r="P239" s="380" t="s">
        <v>52</v>
      </c>
      <c r="Q239" s="520">
        <v>46230</v>
      </c>
      <c r="R239" s="381" t="s">
        <v>98</v>
      </c>
      <c r="S239" s="380">
        <v>46171</v>
      </c>
      <c r="T239" s="436" t="s">
        <v>66</v>
      </c>
      <c r="U239" s="559" t="s">
        <v>1064</v>
      </c>
      <c r="V239" s="600" t="s">
        <v>779</v>
      </c>
      <c r="W239" s="383" t="s">
        <v>1065</v>
      </c>
      <c r="X239" s="384" t="s">
        <v>1066</v>
      </c>
      <c r="Y239" s="478">
        <v>10.8403</v>
      </c>
      <c r="Z239" s="386">
        <f t="shared" si="35"/>
        <v>21.6806</v>
      </c>
      <c r="AA239" s="371"/>
      <c r="AB239" s="387" t="s">
        <v>183</v>
      </c>
      <c r="AC239" s="388" t="s">
        <v>56</v>
      </c>
      <c r="AD239" s="377"/>
      <c r="AE239" s="389"/>
      <c r="AF239" s="390"/>
      <c r="AG239" s="391"/>
      <c r="AH239" s="391"/>
      <c r="AI239" s="371"/>
      <c r="AJ239" s="371"/>
      <c r="AK239" s="371"/>
      <c r="AL239" s="296">
        <f t="shared" ref="AL239:AL257" si="36">I239</f>
        <v>6</v>
      </c>
      <c r="AM239" s="383">
        <f t="shared" ref="AM239:AM264" si="37">I239</f>
        <v>6</v>
      </c>
      <c r="AN239" s="371"/>
      <c r="AO239" s="371"/>
      <c r="AP239" s="371"/>
      <c r="AQ239" s="387">
        <f t="shared" ref="AQ239:AQ264" si="38">I239</f>
        <v>6</v>
      </c>
      <c r="AR239" s="387"/>
      <c r="AS239" s="388"/>
      <c r="AT239" s="301"/>
    </row>
    <row r="240" s="297" customFormat="1" ht="36" customHeight="1" spans="1:46">
      <c r="A240" s="369">
        <v>46171</v>
      </c>
      <c r="B240" s="370" t="s">
        <v>1060</v>
      </c>
      <c r="C240" s="370" t="s">
        <v>341</v>
      </c>
      <c r="D240" s="371" t="s">
        <v>1061</v>
      </c>
      <c r="E240" s="372" t="s">
        <v>1067</v>
      </c>
      <c r="F240" s="373" t="s">
        <v>1068</v>
      </c>
      <c r="G240" s="374" t="s">
        <v>169</v>
      </c>
      <c r="H240" s="428" t="s">
        <v>51</v>
      </c>
      <c r="I240" s="376">
        <v>6</v>
      </c>
      <c r="J240" s="377">
        <v>0</v>
      </c>
      <c r="K240" s="377">
        <v>3</v>
      </c>
      <c r="L240" s="599">
        <f t="shared" si="33"/>
        <v>2</v>
      </c>
      <c r="M240" s="379">
        <v>46225</v>
      </c>
      <c r="N240" s="379">
        <v>46228</v>
      </c>
      <c r="O240" s="479"/>
      <c r="P240" s="380" t="s">
        <v>52</v>
      </c>
      <c r="Q240" s="520">
        <v>46230</v>
      </c>
      <c r="R240" s="381" t="s">
        <v>98</v>
      </c>
      <c r="S240" s="380">
        <v>46171</v>
      </c>
      <c r="T240" s="436" t="s">
        <v>66</v>
      </c>
      <c r="U240" s="559" t="s">
        <v>1064</v>
      </c>
      <c r="V240" s="600" t="s">
        <v>779</v>
      </c>
      <c r="W240" s="383" t="s">
        <v>1065</v>
      </c>
      <c r="X240" s="384" t="s">
        <v>1066</v>
      </c>
      <c r="Y240" s="478">
        <v>10.8403</v>
      </c>
      <c r="Z240" s="386">
        <f t="shared" si="35"/>
        <v>21.6806</v>
      </c>
      <c r="AA240" s="371"/>
      <c r="AB240" s="411" t="s">
        <v>183</v>
      </c>
      <c r="AC240" s="388" t="s">
        <v>56</v>
      </c>
      <c r="AD240" s="377"/>
      <c r="AE240" s="389"/>
      <c r="AF240" s="390"/>
      <c r="AG240" s="391"/>
      <c r="AH240" s="391"/>
      <c r="AI240" s="371"/>
      <c r="AJ240" s="371"/>
      <c r="AK240" s="371"/>
      <c r="AL240" s="296">
        <f t="shared" si="36"/>
        <v>6</v>
      </c>
      <c r="AM240" s="383">
        <f t="shared" si="37"/>
        <v>6</v>
      </c>
      <c r="AN240" s="392"/>
      <c r="AO240" s="392"/>
      <c r="AP240" s="392"/>
      <c r="AQ240" s="387">
        <f t="shared" si="38"/>
        <v>6</v>
      </c>
      <c r="AR240" s="387"/>
      <c r="AS240" s="388"/>
      <c r="AT240" s="299"/>
    </row>
    <row r="241" s="306" customFormat="1" ht="36" customHeight="1" spans="1:46">
      <c r="A241" s="610">
        <v>46171</v>
      </c>
      <c r="B241" s="611" t="s">
        <v>1060</v>
      </c>
      <c r="C241" s="611" t="s">
        <v>341</v>
      </c>
      <c r="D241" s="612" t="s">
        <v>1061</v>
      </c>
      <c r="E241" s="638" t="s">
        <v>1069</v>
      </c>
      <c r="F241" s="614" t="s">
        <v>1070</v>
      </c>
      <c r="G241" s="615" t="s">
        <v>169</v>
      </c>
      <c r="H241" s="616" t="s">
        <v>51</v>
      </c>
      <c r="I241" s="617">
        <v>6</v>
      </c>
      <c r="J241" s="618">
        <v>0</v>
      </c>
      <c r="K241" s="618">
        <v>3</v>
      </c>
      <c r="L241" s="639">
        <f t="shared" si="33"/>
        <v>2</v>
      </c>
      <c r="M241" s="620">
        <v>46225</v>
      </c>
      <c r="N241" s="620">
        <v>46228</v>
      </c>
      <c r="O241" s="621"/>
      <c r="P241" s="622" t="s">
        <v>52</v>
      </c>
      <c r="Q241" s="623">
        <v>46230</v>
      </c>
      <c r="R241" s="405" t="s">
        <v>98</v>
      </c>
      <c r="S241" s="622">
        <v>46171</v>
      </c>
      <c r="T241" s="406" t="s">
        <v>66</v>
      </c>
      <c r="U241" s="559" t="s">
        <v>1064</v>
      </c>
      <c r="V241" s="643" t="s">
        <v>779</v>
      </c>
      <c r="W241" s="613" t="s">
        <v>1065</v>
      </c>
      <c r="X241" s="626" t="s">
        <v>1066</v>
      </c>
      <c r="Y241" s="627">
        <v>10.8403</v>
      </c>
      <c r="Z241" s="628">
        <f t="shared" si="35"/>
        <v>21.6806</v>
      </c>
      <c r="AA241" s="612"/>
      <c r="AB241" s="387" t="s">
        <v>183</v>
      </c>
      <c r="AC241" s="629" t="s">
        <v>56</v>
      </c>
      <c r="AD241" s="618"/>
      <c r="AE241" s="630"/>
      <c r="AF241" s="631"/>
      <c r="AG241" s="632"/>
      <c r="AH241" s="632"/>
      <c r="AI241" s="612"/>
      <c r="AJ241" s="612"/>
      <c r="AK241" s="612"/>
      <c r="AL241" s="312">
        <f t="shared" si="36"/>
        <v>6</v>
      </c>
      <c r="AM241" s="407">
        <f t="shared" si="37"/>
        <v>6</v>
      </c>
      <c r="AN241" s="612"/>
      <c r="AO241" s="612"/>
      <c r="AP241" s="612"/>
      <c r="AQ241" s="411">
        <f t="shared" si="38"/>
        <v>6</v>
      </c>
      <c r="AR241" s="411"/>
      <c r="AS241" s="629"/>
      <c r="AT241" s="301"/>
    </row>
    <row r="242" s="307" customFormat="1" ht="36" customHeight="1" spans="1:46">
      <c r="A242" s="369">
        <v>46171</v>
      </c>
      <c r="B242" s="370" t="s">
        <v>1060</v>
      </c>
      <c r="C242" s="370" t="s">
        <v>341</v>
      </c>
      <c r="D242" s="371" t="s">
        <v>1061</v>
      </c>
      <c r="E242" s="372" t="s">
        <v>1071</v>
      </c>
      <c r="F242" s="373" t="s">
        <v>1072</v>
      </c>
      <c r="G242" s="374" t="s">
        <v>169</v>
      </c>
      <c r="H242" s="428" t="s">
        <v>51</v>
      </c>
      <c r="I242" s="376">
        <v>9</v>
      </c>
      <c r="J242" s="377">
        <v>0</v>
      </c>
      <c r="K242" s="377">
        <v>3</v>
      </c>
      <c r="L242" s="599">
        <f t="shared" si="33"/>
        <v>3</v>
      </c>
      <c r="M242" s="379">
        <v>46225</v>
      </c>
      <c r="N242" s="379">
        <v>46228</v>
      </c>
      <c r="O242" s="479"/>
      <c r="P242" s="380" t="s">
        <v>52</v>
      </c>
      <c r="Q242" s="520">
        <v>46230</v>
      </c>
      <c r="R242" s="381" t="s">
        <v>98</v>
      </c>
      <c r="S242" s="380">
        <v>46171</v>
      </c>
      <c r="T242" s="382" t="s">
        <v>66</v>
      </c>
      <c r="U242" s="588" t="s">
        <v>1064</v>
      </c>
      <c r="V242" s="657" t="s">
        <v>779</v>
      </c>
      <c r="W242" s="383" t="s">
        <v>1065</v>
      </c>
      <c r="X242" s="384" t="s">
        <v>1066</v>
      </c>
      <c r="Y242" s="478">
        <v>10.8403</v>
      </c>
      <c r="Z242" s="386">
        <f t="shared" si="35"/>
        <v>32.5209</v>
      </c>
      <c r="AA242" s="371"/>
      <c r="AB242" s="387" t="s">
        <v>183</v>
      </c>
      <c r="AC242" s="388" t="s">
        <v>56</v>
      </c>
      <c r="AD242" s="377"/>
      <c r="AE242" s="389"/>
      <c r="AF242" s="390"/>
      <c r="AG242" s="391"/>
      <c r="AH242" s="391"/>
      <c r="AI242" s="371"/>
      <c r="AJ242" s="371"/>
      <c r="AK242" s="424"/>
      <c r="AL242" s="539">
        <f t="shared" si="36"/>
        <v>9</v>
      </c>
      <c r="AM242" s="383">
        <f t="shared" si="37"/>
        <v>9</v>
      </c>
      <c r="AN242" s="392"/>
      <c r="AO242" s="392"/>
      <c r="AP242" s="392"/>
      <c r="AQ242" s="387">
        <f t="shared" si="38"/>
        <v>9</v>
      </c>
      <c r="AR242" s="387"/>
      <c r="AS242" s="388"/>
      <c r="AT242" s="299"/>
    </row>
    <row r="243" s="308" customFormat="1" ht="36" customHeight="1" spans="1:46">
      <c r="A243" s="369">
        <v>46171</v>
      </c>
      <c r="B243" s="370" t="s">
        <v>1060</v>
      </c>
      <c r="C243" s="370" t="s">
        <v>341</v>
      </c>
      <c r="D243" s="371" t="s">
        <v>1061</v>
      </c>
      <c r="E243" s="372" t="s">
        <v>1073</v>
      </c>
      <c r="F243" s="373" t="s">
        <v>1074</v>
      </c>
      <c r="G243" s="374" t="s">
        <v>169</v>
      </c>
      <c r="H243" s="428" t="s">
        <v>51</v>
      </c>
      <c r="I243" s="376">
        <v>6</v>
      </c>
      <c r="J243" s="377">
        <v>0</v>
      </c>
      <c r="K243" s="377">
        <v>3</v>
      </c>
      <c r="L243" s="599">
        <f t="shared" si="33"/>
        <v>2</v>
      </c>
      <c r="M243" s="379">
        <v>46225</v>
      </c>
      <c r="N243" s="379">
        <v>46228</v>
      </c>
      <c r="O243" s="479"/>
      <c r="P243" s="380" t="s">
        <v>52</v>
      </c>
      <c r="Q243" s="520">
        <v>46230</v>
      </c>
      <c r="R243" s="405" t="s">
        <v>98</v>
      </c>
      <c r="S243" s="380">
        <v>46171</v>
      </c>
      <c r="T243" s="382" t="s">
        <v>66</v>
      </c>
      <c r="U243" s="559" t="s">
        <v>1064</v>
      </c>
      <c r="V243" s="600" t="s">
        <v>779</v>
      </c>
      <c r="W243" s="383" t="s">
        <v>1065</v>
      </c>
      <c r="X243" s="384" t="s">
        <v>1066</v>
      </c>
      <c r="Y243" s="478">
        <v>10.8403</v>
      </c>
      <c r="Z243" s="386">
        <f t="shared" si="35"/>
        <v>21.6806</v>
      </c>
      <c r="AA243" s="371"/>
      <c r="AB243" s="387" t="s">
        <v>183</v>
      </c>
      <c r="AC243" s="388" t="s">
        <v>56</v>
      </c>
      <c r="AD243" s="377"/>
      <c r="AE243" s="389"/>
      <c r="AF243" s="390"/>
      <c r="AG243" s="391"/>
      <c r="AH243" s="391"/>
      <c r="AI243" s="371"/>
      <c r="AJ243" s="371"/>
      <c r="AK243" s="371"/>
      <c r="AL243" s="296">
        <f t="shared" si="36"/>
        <v>6</v>
      </c>
      <c r="AM243" s="383">
        <f t="shared" si="37"/>
        <v>6</v>
      </c>
      <c r="AN243" s="371"/>
      <c r="AO243" s="371"/>
      <c r="AP243" s="371"/>
      <c r="AQ243" s="387">
        <f t="shared" si="38"/>
        <v>6</v>
      </c>
      <c r="AR243" s="387"/>
      <c r="AS243" s="388"/>
      <c r="AT243" s="305"/>
    </row>
    <row r="244" s="306" customFormat="1" ht="36" customHeight="1" spans="1:46">
      <c r="A244" s="369">
        <v>46171</v>
      </c>
      <c r="B244" s="370" t="s">
        <v>1060</v>
      </c>
      <c r="C244" s="370" t="s">
        <v>341</v>
      </c>
      <c r="D244" s="371" t="s">
        <v>1061</v>
      </c>
      <c r="E244" s="372" t="s">
        <v>1075</v>
      </c>
      <c r="F244" s="373" t="s">
        <v>1076</v>
      </c>
      <c r="G244" s="374" t="s">
        <v>169</v>
      </c>
      <c r="H244" s="428" t="s">
        <v>51</v>
      </c>
      <c r="I244" s="376">
        <v>9</v>
      </c>
      <c r="J244" s="377">
        <v>0</v>
      </c>
      <c r="K244" s="377">
        <v>3</v>
      </c>
      <c r="L244" s="599">
        <f t="shared" si="33"/>
        <v>3</v>
      </c>
      <c r="M244" s="379">
        <v>46225</v>
      </c>
      <c r="N244" s="379">
        <v>46228</v>
      </c>
      <c r="O244" s="479"/>
      <c r="P244" s="380" t="s">
        <v>52</v>
      </c>
      <c r="Q244" s="520">
        <v>46230</v>
      </c>
      <c r="R244" s="405" t="s">
        <v>98</v>
      </c>
      <c r="S244" s="380">
        <v>46171</v>
      </c>
      <c r="T244" s="382" t="s">
        <v>66</v>
      </c>
      <c r="U244" s="559" t="s">
        <v>1064</v>
      </c>
      <c r="V244" s="600" t="s">
        <v>779</v>
      </c>
      <c r="W244" s="383" t="s">
        <v>1065</v>
      </c>
      <c r="X244" s="384" t="s">
        <v>1066</v>
      </c>
      <c r="Y244" s="478">
        <v>10.8403</v>
      </c>
      <c r="Z244" s="386">
        <f t="shared" si="35"/>
        <v>32.5209</v>
      </c>
      <c r="AA244" s="371"/>
      <c r="AB244" s="387" t="s">
        <v>183</v>
      </c>
      <c r="AC244" s="388" t="s">
        <v>56</v>
      </c>
      <c r="AD244" s="377"/>
      <c r="AE244" s="389"/>
      <c r="AF244" s="390"/>
      <c r="AG244" s="391"/>
      <c r="AH244" s="391"/>
      <c r="AI244" s="371"/>
      <c r="AJ244" s="371"/>
      <c r="AK244" s="371"/>
      <c r="AL244" s="296">
        <f t="shared" si="36"/>
        <v>9</v>
      </c>
      <c r="AM244" s="383">
        <f t="shared" si="37"/>
        <v>9</v>
      </c>
      <c r="AN244" s="392"/>
      <c r="AO244" s="392"/>
      <c r="AP244" s="392"/>
      <c r="AQ244" s="387">
        <f t="shared" si="38"/>
        <v>9</v>
      </c>
      <c r="AR244" s="387"/>
      <c r="AS244" s="388"/>
      <c r="AT244" s="301"/>
    </row>
    <row r="245" s="307" customFormat="1" ht="36" customHeight="1" spans="1:46">
      <c r="A245" s="369">
        <v>46171</v>
      </c>
      <c r="B245" s="370" t="s">
        <v>1060</v>
      </c>
      <c r="C245" s="370" t="s">
        <v>341</v>
      </c>
      <c r="D245" s="371" t="s">
        <v>1061</v>
      </c>
      <c r="E245" s="372" t="s">
        <v>1077</v>
      </c>
      <c r="F245" s="373" t="s">
        <v>1078</v>
      </c>
      <c r="G245" s="374" t="s">
        <v>169</v>
      </c>
      <c r="H245" s="375" t="s">
        <v>51</v>
      </c>
      <c r="I245" s="376">
        <v>9</v>
      </c>
      <c r="J245" s="377">
        <v>0</v>
      </c>
      <c r="K245" s="377">
        <v>3</v>
      </c>
      <c r="L245" s="599">
        <f t="shared" si="33"/>
        <v>3</v>
      </c>
      <c r="M245" s="379">
        <v>46225</v>
      </c>
      <c r="N245" s="379">
        <v>46228</v>
      </c>
      <c r="O245" s="479"/>
      <c r="P245" s="380" t="s">
        <v>52</v>
      </c>
      <c r="Q245" s="520">
        <v>46230</v>
      </c>
      <c r="R245" s="381" t="s">
        <v>98</v>
      </c>
      <c r="S245" s="380">
        <v>46171</v>
      </c>
      <c r="T245" s="382" t="s">
        <v>66</v>
      </c>
      <c r="U245" s="559" t="s">
        <v>1064</v>
      </c>
      <c r="V245" s="600" t="s">
        <v>779</v>
      </c>
      <c r="W245" s="383" t="s">
        <v>1065</v>
      </c>
      <c r="X245" s="384" t="s">
        <v>1066</v>
      </c>
      <c r="Y245" s="478">
        <v>10.8403</v>
      </c>
      <c r="Z245" s="386">
        <f t="shared" si="35"/>
        <v>32.5209</v>
      </c>
      <c r="AA245" s="371"/>
      <c r="AB245" s="387" t="s">
        <v>183</v>
      </c>
      <c r="AC245" s="388" t="s">
        <v>56</v>
      </c>
      <c r="AD245" s="377"/>
      <c r="AE245" s="389"/>
      <c r="AF245" s="390"/>
      <c r="AG245" s="391"/>
      <c r="AH245" s="391"/>
      <c r="AI245" s="371"/>
      <c r="AJ245" s="371"/>
      <c r="AK245" s="371"/>
      <c r="AL245" s="296">
        <f t="shared" si="36"/>
        <v>9</v>
      </c>
      <c r="AM245" s="383">
        <f t="shared" si="37"/>
        <v>9</v>
      </c>
      <c r="AN245" s="392"/>
      <c r="AO245" s="392"/>
      <c r="AP245" s="392"/>
      <c r="AQ245" s="387">
        <f t="shared" si="38"/>
        <v>9</v>
      </c>
      <c r="AR245" s="387"/>
      <c r="AS245" s="388"/>
      <c r="AT245" s="299"/>
    </row>
    <row r="246" s="309" customFormat="1" ht="36" customHeight="1" spans="1:46">
      <c r="A246" s="369">
        <v>46171</v>
      </c>
      <c r="B246" s="370" t="s">
        <v>1060</v>
      </c>
      <c r="C246" s="370" t="s">
        <v>341</v>
      </c>
      <c r="D246" s="371" t="s">
        <v>1061</v>
      </c>
      <c r="E246" s="372" t="s">
        <v>1079</v>
      </c>
      <c r="F246" s="373" t="s">
        <v>1080</v>
      </c>
      <c r="G246" s="374" t="s">
        <v>169</v>
      </c>
      <c r="H246" s="428" t="s">
        <v>51</v>
      </c>
      <c r="I246" s="376">
        <v>6</v>
      </c>
      <c r="J246" s="377">
        <v>0</v>
      </c>
      <c r="K246" s="377">
        <v>3</v>
      </c>
      <c r="L246" s="599">
        <f t="shared" si="33"/>
        <v>2</v>
      </c>
      <c r="M246" s="379">
        <v>46225</v>
      </c>
      <c r="N246" s="379">
        <v>46228</v>
      </c>
      <c r="O246" s="479"/>
      <c r="P246" s="380" t="s">
        <v>52</v>
      </c>
      <c r="Q246" s="520">
        <v>46230</v>
      </c>
      <c r="R246" s="381" t="s">
        <v>98</v>
      </c>
      <c r="S246" s="380">
        <v>46171</v>
      </c>
      <c r="T246" s="436" t="s">
        <v>66</v>
      </c>
      <c r="U246" s="559" t="s">
        <v>1064</v>
      </c>
      <c r="V246" s="658" t="s">
        <v>779</v>
      </c>
      <c r="W246" s="383" t="s">
        <v>1065</v>
      </c>
      <c r="X246" s="384" t="s">
        <v>1066</v>
      </c>
      <c r="Y246" s="478">
        <v>10.8403</v>
      </c>
      <c r="Z246" s="386">
        <f t="shared" si="35"/>
        <v>21.6806</v>
      </c>
      <c r="AA246" s="371"/>
      <c r="AB246" s="411" t="s">
        <v>183</v>
      </c>
      <c r="AC246" s="388" t="s">
        <v>56</v>
      </c>
      <c r="AD246" s="377"/>
      <c r="AE246" s="389"/>
      <c r="AF246" s="390"/>
      <c r="AG246" s="391"/>
      <c r="AH246" s="391"/>
      <c r="AI246" s="371"/>
      <c r="AJ246" s="371"/>
      <c r="AK246" s="371"/>
      <c r="AL246" s="296">
        <f t="shared" si="36"/>
        <v>6</v>
      </c>
      <c r="AM246" s="383">
        <f t="shared" si="37"/>
        <v>6</v>
      </c>
      <c r="AN246" s="371"/>
      <c r="AO246" s="371"/>
      <c r="AP246" s="371"/>
      <c r="AQ246" s="387">
        <f t="shared" si="38"/>
        <v>6</v>
      </c>
      <c r="AR246" s="387"/>
      <c r="AS246" s="388"/>
      <c r="AT246" s="299"/>
    </row>
    <row r="247" s="296" customFormat="1" ht="36" customHeight="1" spans="1:46">
      <c r="A247" s="369">
        <v>46171</v>
      </c>
      <c r="B247" s="370" t="s">
        <v>1060</v>
      </c>
      <c r="C247" s="370" t="s">
        <v>341</v>
      </c>
      <c r="D247" s="371" t="s">
        <v>1061</v>
      </c>
      <c r="E247" s="372" t="s">
        <v>1081</v>
      </c>
      <c r="F247" s="373" t="s">
        <v>1082</v>
      </c>
      <c r="G247" s="374" t="s">
        <v>169</v>
      </c>
      <c r="H247" s="428" t="s">
        <v>51</v>
      </c>
      <c r="I247" s="376">
        <v>6</v>
      </c>
      <c r="J247" s="377">
        <v>0</v>
      </c>
      <c r="K247" s="377">
        <v>3</v>
      </c>
      <c r="L247" s="599">
        <f t="shared" si="33"/>
        <v>2</v>
      </c>
      <c r="M247" s="379">
        <v>46225</v>
      </c>
      <c r="N247" s="379">
        <v>46228</v>
      </c>
      <c r="O247" s="479"/>
      <c r="P247" s="380" t="s">
        <v>52</v>
      </c>
      <c r="Q247" s="520">
        <v>46230</v>
      </c>
      <c r="R247" s="405" t="s">
        <v>98</v>
      </c>
      <c r="S247" s="380">
        <v>46171</v>
      </c>
      <c r="T247" s="436" t="s">
        <v>66</v>
      </c>
      <c r="U247" s="559" t="s">
        <v>1064</v>
      </c>
      <c r="V247" s="658" t="s">
        <v>779</v>
      </c>
      <c r="W247" s="383" t="s">
        <v>1065</v>
      </c>
      <c r="X247" s="384" t="s">
        <v>1066</v>
      </c>
      <c r="Y247" s="478">
        <v>10.8403</v>
      </c>
      <c r="Z247" s="386">
        <f t="shared" si="35"/>
        <v>21.6806</v>
      </c>
      <c r="AA247" s="371"/>
      <c r="AB247" s="387" t="s">
        <v>183</v>
      </c>
      <c r="AC247" s="388" t="s">
        <v>56</v>
      </c>
      <c r="AD247" s="377"/>
      <c r="AE247" s="389"/>
      <c r="AF247" s="390"/>
      <c r="AG247" s="391"/>
      <c r="AH247" s="391"/>
      <c r="AI247" s="371"/>
      <c r="AJ247" s="371"/>
      <c r="AK247" s="371"/>
      <c r="AL247" s="296">
        <f t="shared" si="36"/>
        <v>6</v>
      </c>
      <c r="AM247" s="383">
        <f t="shared" si="37"/>
        <v>6</v>
      </c>
      <c r="AN247" s="371"/>
      <c r="AO247" s="371"/>
      <c r="AP247" s="371"/>
      <c r="AQ247" s="387">
        <f t="shared" si="38"/>
        <v>6</v>
      </c>
      <c r="AR247" s="387"/>
      <c r="AS247" s="388"/>
      <c r="AT247" s="301"/>
    </row>
    <row r="248" s="295" customFormat="1" ht="36" customHeight="1" spans="1:46">
      <c r="A248" s="369">
        <v>46171</v>
      </c>
      <c r="B248" s="370" t="s">
        <v>1060</v>
      </c>
      <c r="C248" s="370" t="s">
        <v>341</v>
      </c>
      <c r="D248" s="371" t="s">
        <v>1061</v>
      </c>
      <c r="E248" s="372" t="s">
        <v>1083</v>
      </c>
      <c r="F248" s="373" t="s">
        <v>1084</v>
      </c>
      <c r="G248" s="374" t="s">
        <v>169</v>
      </c>
      <c r="H248" s="428" t="s">
        <v>51</v>
      </c>
      <c r="I248" s="376">
        <v>6</v>
      </c>
      <c r="J248" s="377">
        <v>0</v>
      </c>
      <c r="K248" s="377">
        <v>3</v>
      </c>
      <c r="L248" s="599">
        <f t="shared" si="33"/>
        <v>2</v>
      </c>
      <c r="M248" s="379">
        <v>46225</v>
      </c>
      <c r="N248" s="379">
        <v>46228</v>
      </c>
      <c r="O248" s="479"/>
      <c r="P248" s="380" t="s">
        <v>52</v>
      </c>
      <c r="Q248" s="520">
        <v>46230</v>
      </c>
      <c r="R248" s="405" t="s">
        <v>98</v>
      </c>
      <c r="S248" s="380">
        <v>46171</v>
      </c>
      <c r="T248" s="436" t="s">
        <v>66</v>
      </c>
      <c r="U248" s="559" t="s">
        <v>1064</v>
      </c>
      <c r="V248" s="600" t="s">
        <v>779</v>
      </c>
      <c r="W248" s="383" t="s">
        <v>1065</v>
      </c>
      <c r="X248" s="384" t="s">
        <v>1066</v>
      </c>
      <c r="Y248" s="478">
        <v>10.8403</v>
      </c>
      <c r="Z248" s="386">
        <f t="shared" si="35"/>
        <v>21.6806</v>
      </c>
      <c r="AA248" s="371"/>
      <c r="AB248" s="387" t="s">
        <v>183</v>
      </c>
      <c r="AC248" s="388" t="s">
        <v>56</v>
      </c>
      <c r="AD248" s="377"/>
      <c r="AE248" s="389"/>
      <c r="AF248" s="390"/>
      <c r="AG248" s="391"/>
      <c r="AH248" s="391"/>
      <c r="AI248" s="371"/>
      <c r="AJ248" s="371"/>
      <c r="AK248" s="371"/>
      <c r="AL248" s="296">
        <f t="shared" si="36"/>
        <v>6</v>
      </c>
      <c r="AM248" s="383">
        <f t="shared" si="37"/>
        <v>6</v>
      </c>
      <c r="AN248" s="392"/>
      <c r="AO248" s="392"/>
      <c r="AP248" s="392"/>
      <c r="AQ248" s="387">
        <f t="shared" si="38"/>
        <v>6</v>
      </c>
      <c r="AR248" s="387"/>
      <c r="AS248" s="388"/>
      <c r="AT248" s="299"/>
    </row>
    <row r="249" s="295" customFormat="1" ht="36" customHeight="1" spans="1:46">
      <c r="A249" s="369">
        <v>46171</v>
      </c>
      <c r="B249" s="370" t="s">
        <v>1060</v>
      </c>
      <c r="C249" s="370" t="s">
        <v>341</v>
      </c>
      <c r="D249" s="371" t="s">
        <v>1085</v>
      </c>
      <c r="E249" s="372" t="s">
        <v>1086</v>
      </c>
      <c r="F249" s="373" t="s">
        <v>1087</v>
      </c>
      <c r="G249" s="374" t="s">
        <v>169</v>
      </c>
      <c r="H249" s="375" t="s">
        <v>51</v>
      </c>
      <c r="I249" s="376">
        <v>9</v>
      </c>
      <c r="J249" s="377">
        <v>0</v>
      </c>
      <c r="K249" s="377">
        <v>3</v>
      </c>
      <c r="L249" s="599">
        <f t="shared" si="33"/>
        <v>3</v>
      </c>
      <c r="M249" s="379">
        <v>46225</v>
      </c>
      <c r="N249" s="379">
        <v>46228</v>
      </c>
      <c r="O249" s="479"/>
      <c r="P249" s="380" t="s">
        <v>52</v>
      </c>
      <c r="Q249" s="381"/>
      <c r="R249" s="381" t="s">
        <v>98</v>
      </c>
      <c r="S249" s="380">
        <v>46171</v>
      </c>
      <c r="T249" s="382" t="s">
        <v>66</v>
      </c>
      <c r="U249" s="559" t="s">
        <v>1064</v>
      </c>
      <c r="V249" s="600" t="s">
        <v>779</v>
      </c>
      <c r="W249" s="383" t="s">
        <v>1065</v>
      </c>
      <c r="X249" s="384" t="s">
        <v>1066</v>
      </c>
      <c r="Y249" s="478">
        <v>10.5419</v>
      </c>
      <c r="Z249" s="386">
        <f t="shared" si="35"/>
        <v>31.6257</v>
      </c>
      <c r="AA249" s="371"/>
      <c r="AB249" s="387" t="s">
        <v>183</v>
      </c>
      <c r="AC249" s="388" t="s">
        <v>56</v>
      </c>
      <c r="AD249" s="377"/>
      <c r="AE249" s="389"/>
      <c r="AF249" s="390"/>
      <c r="AG249" s="391"/>
      <c r="AH249" s="391"/>
      <c r="AI249" s="371"/>
      <c r="AJ249" s="371"/>
      <c r="AK249" s="371"/>
      <c r="AL249" s="296">
        <f t="shared" si="36"/>
        <v>9</v>
      </c>
      <c r="AM249" s="383">
        <f t="shared" si="37"/>
        <v>9</v>
      </c>
      <c r="AN249" s="392"/>
      <c r="AO249" s="392"/>
      <c r="AP249" s="392"/>
      <c r="AQ249" s="387">
        <f t="shared" si="38"/>
        <v>9</v>
      </c>
      <c r="AR249" s="387"/>
      <c r="AS249" s="388"/>
      <c r="AT249" s="299"/>
    </row>
    <row r="250" s="301" customFormat="1" ht="36" customHeight="1" spans="1:46">
      <c r="A250" s="369">
        <v>46171</v>
      </c>
      <c r="B250" s="370" t="s">
        <v>1060</v>
      </c>
      <c r="C250" s="370" t="s">
        <v>341</v>
      </c>
      <c r="D250" s="371" t="s">
        <v>1085</v>
      </c>
      <c r="E250" s="372" t="s">
        <v>1088</v>
      </c>
      <c r="F250" s="373" t="s">
        <v>1089</v>
      </c>
      <c r="G250" s="374" t="s">
        <v>169</v>
      </c>
      <c r="H250" s="428" t="s">
        <v>51</v>
      </c>
      <c r="I250" s="376">
        <v>27</v>
      </c>
      <c r="J250" s="377">
        <v>0</v>
      </c>
      <c r="K250" s="377">
        <v>3</v>
      </c>
      <c r="L250" s="599">
        <f t="shared" si="33"/>
        <v>9</v>
      </c>
      <c r="M250" s="379">
        <v>46225</v>
      </c>
      <c r="N250" s="379">
        <v>46228</v>
      </c>
      <c r="O250" s="479"/>
      <c r="P250" s="380" t="s">
        <v>52</v>
      </c>
      <c r="Q250" s="381"/>
      <c r="R250" s="405" t="s">
        <v>98</v>
      </c>
      <c r="S250" s="380">
        <v>46171</v>
      </c>
      <c r="T250" s="436" t="s">
        <v>66</v>
      </c>
      <c r="U250" s="559" t="s">
        <v>1064</v>
      </c>
      <c r="V250" s="658" t="s">
        <v>779</v>
      </c>
      <c r="W250" s="383" t="s">
        <v>1065</v>
      </c>
      <c r="X250" s="384" t="s">
        <v>1066</v>
      </c>
      <c r="Y250" s="478">
        <v>10.8403</v>
      </c>
      <c r="Z250" s="386">
        <f t="shared" si="35"/>
        <v>97.5627</v>
      </c>
      <c r="AA250" s="371"/>
      <c r="AB250" s="387" t="s">
        <v>183</v>
      </c>
      <c r="AC250" s="388" t="s">
        <v>56</v>
      </c>
      <c r="AD250" s="377"/>
      <c r="AE250" s="389"/>
      <c r="AF250" s="390"/>
      <c r="AG250" s="391"/>
      <c r="AH250" s="391"/>
      <c r="AI250" s="371"/>
      <c r="AJ250" s="371"/>
      <c r="AK250" s="371"/>
      <c r="AL250" s="296">
        <f t="shared" si="36"/>
        <v>27</v>
      </c>
      <c r="AM250" s="383">
        <f t="shared" si="37"/>
        <v>27</v>
      </c>
      <c r="AN250" s="371"/>
      <c r="AO250" s="371"/>
      <c r="AP250" s="371"/>
      <c r="AQ250" s="387">
        <f t="shared" si="38"/>
        <v>27</v>
      </c>
      <c r="AR250" s="387"/>
      <c r="AS250" s="388"/>
    </row>
    <row r="251" s="295" customFormat="1" ht="36" customHeight="1" spans="1:46">
      <c r="A251" s="369">
        <v>46171</v>
      </c>
      <c r="B251" s="370" t="s">
        <v>1060</v>
      </c>
      <c r="C251" s="370" t="s">
        <v>341</v>
      </c>
      <c r="D251" s="371" t="s">
        <v>1085</v>
      </c>
      <c r="E251" s="372" t="s">
        <v>1090</v>
      </c>
      <c r="F251" s="373" t="s">
        <v>1091</v>
      </c>
      <c r="G251" s="374" t="s">
        <v>169</v>
      </c>
      <c r="H251" s="428" t="s">
        <v>51</v>
      </c>
      <c r="I251" s="376">
        <v>27</v>
      </c>
      <c r="J251" s="377">
        <v>0</v>
      </c>
      <c r="K251" s="377">
        <v>3</v>
      </c>
      <c r="L251" s="599">
        <f t="shared" si="33"/>
        <v>9</v>
      </c>
      <c r="M251" s="379">
        <v>46225</v>
      </c>
      <c r="N251" s="379">
        <v>46228</v>
      </c>
      <c r="O251" s="479"/>
      <c r="P251" s="380" t="s">
        <v>52</v>
      </c>
      <c r="Q251" s="381"/>
      <c r="R251" s="381" t="s">
        <v>98</v>
      </c>
      <c r="S251" s="380">
        <v>46171</v>
      </c>
      <c r="T251" s="382" t="s">
        <v>66</v>
      </c>
      <c r="U251" s="588" t="s">
        <v>1064</v>
      </c>
      <c r="V251" s="657" t="s">
        <v>779</v>
      </c>
      <c r="W251" s="383" t="s">
        <v>1065</v>
      </c>
      <c r="X251" s="384" t="s">
        <v>1066</v>
      </c>
      <c r="Y251" s="478">
        <v>10.8403</v>
      </c>
      <c r="Z251" s="386">
        <f t="shared" si="35"/>
        <v>97.5627</v>
      </c>
      <c r="AA251" s="371"/>
      <c r="AB251" s="387" t="s">
        <v>183</v>
      </c>
      <c r="AC251" s="388" t="s">
        <v>56</v>
      </c>
      <c r="AD251" s="377"/>
      <c r="AE251" s="389"/>
      <c r="AF251" s="390"/>
      <c r="AG251" s="391"/>
      <c r="AH251" s="391"/>
      <c r="AI251" s="371"/>
      <c r="AJ251" s="371"/>
      <c r="AK251" s="424"/>
      <c r="AL251" s="539">
        <f t="shared" si="36"/>
        <v>27</v>
      </c>
      <c r="AM251" s="383">
        <f t="shared" si="37"/>
        <v>27</v>
      </c>
      <c r="AN251" s="392"/>
      <c r="AO251" s="392"/>
      <c r="AP251" s="392"/>
      <c r="AQ251" s="387">
        <f t="shared" si="38"/>
        <v>27</v>
      </c>
      <c r="AR251" s="387"/>
      <c r="AS251" s="388"/>
      <c r="AT251" s="299"/>
    </row>
    <row r="252" s="296" customFormat="1" ht="36" customHeight="1" spans="1:46">
      <c r="A252" s="369">
        <v>46171</v>
      </c>
      <c r="B252" s="370" t="s">
        <v>1060</v>
      </c>
      <c r="C252" s="370" t="s">
        <v>341</v>
      </c>
      <c r="D252" s="371" t="s">
        <v>1085</v>
      </c>
      <c r="E252" s="372" t="s">
        <v>1092</v>
      </c>
      <c r="F252" s="373" t="s">
        <v>1093</v>
      </c>
      <c r="G252" s="374" t="s">
        <v>169</v>
      </c>
      <c r="H252" s="428" t="s">
        <v>51</v>
      </c>
      <c r="I252" s="376">
        <v>18</v>
      </c>
      <c r="J252" s="377">
        <v>0</v>
      </c>
      <c r="K252" s="377">
        <v>3</v>
      </c>
      <c r="L252" s="599">
        <f t="shared" si="33"/>
        <v>6</v>
      </c>
      <c r="M252" s="379">
        <v>46225</v>
      </c>
      <c r="N252" s="379">
        <v>46228</v>
      </c>
      <c r="O252" s="479"/>
      <c r="P252" s="380" t="s">
        <v>52</v>
      </c>
      <c r="Q252" s="381"/>
      <c r="R252" s="381" t="s">
        <v>98</v>
      </c>
      <c r="S252" s="380">
        <v>46171</v>
      </c>
      <c r="T252" s="382" t="s">
        <v>66</v>
      </c>
      <c r="U252" s="559" t="s">
        <v>1064</v>
      </c>
      <c r="V252" s="657" t="s">
        <v>779</v>
      </c>
      <c r="W252" s="383" t="s">
        <v>1065</v>
      </c>
      <c r="X252" s="384" t="s">
        <v>1066</v>
      </c>
      <c r="Y252" s="478">
        <v>10.8403</v>
      </c>
      <c r="Z252" s="386">
        <f t="shared" si="35"/>
        <v>65.0418</v>
      </c>
      <c r="AA252" s="371"/>
      <c r="AB252" s="387" t="s">
        <v>183</v>
      </c>
      <c r="AC252" s="388" t="s">
        <v>56</v>
      </c>
      <c r="AD252" s="377"/>
      <c r="AE252" s="389"/>
      <c r="AF252" s="390"/>
      <c r="AG252" s="391"/>
      <c r="AH252" s="391"/>
      <c r="AI252" s="371"/>
      <c r="AJ252" s="371"/>
      <c r="AK252" s="371"/>
      <c r="AL252" s="296">
        <f t="shared" si="36"/>
        <v>18</v>
      </c>
      <c r="AM252" s="383">
        <f t="shared" si="37"/>
        <v>18</v>
      </c>
      <c r="AN252" s="371"/>
      <c r="AO252" s="371"/>
      <c r="AP252" s="371"/>
      <c r="AQ252" s="387">
        <f t="shared" si="38"/>
        <v>18</v>
      </c>
      <c r="AR252" s="387"/>
      <c r="AS252" s="388"/>
      <c r="AT252" s="301"/>
    </row>
    <row r="253" s="303" customFormat="1" ht="36" customHeight="1" spans="1:46">
      <c r="A253" s="393">
        <v>46171</v>
      </c>
      <c r="B253" s="394" t="s">
        <v>1060</v>
      </c>
      <c r="C253" s="394" t="s">
        <v>341</v>
      </c>
      <c r="D253" s="395" t="s">
        <v>1085</v>
      </c>
      <c r="E253" s="396" t="s">
        <v>1094</v>
      </c>
      <c r="F253" s="397" t="s">
        <v>1095</v>
      </c>
      <c r="G253" s="398" t="s">
        <v>169</v>
      </c>
      <c r="H253" s="507" t="s">
        <v>51</v>
      </c>
      <c r="I253" s="400">
        <v>24</v>
      </c>
      <c r="J253" s="401">
        <v>0</v>
      </c>
      <c r="K253" s="401">
        <v>3</v>
      </c>
      <c r="L253" s="659">
        <f t="shared" si="33"/>
        <v>8</v>
      </c>
      <c r="M253" s="403">
        <v>46225</v>
      </c>
      <c r="N253" s="403">
        <v>46228</v>
      </c>
      <c r="O253" s="530"/>
      <c r="P253" s="404" t="s">
        <v>52</v>
      </c>
      <c r="Q253" s="405"/>
      <c r="R253" s="405" t="s">
        <v>98</v>
      </c>
      <c r="S253" s="404">
        <v>46171</v>
      </c>
      <c r="T253" s="467" t="s">
        <v>66</v>
      </c>
      <c r="U253" s="603" t="s">
        <v>1064</v>
      </c>
      <c r="V253" s="658" t="s">
        <v>779</v>
      </c>
      <c r="W253" s="407" t="s">
        <v>1065</v>
      </c>
      <c r="X253" s="408" t="s">
        <v>1066</v>
      </c>
      <c r="Y253" s="504">
        <v>10.8403</v>
      </c>
      <c r="Z253" s="410">
        <f t="shared" si="35"/>
        <v>86.7224</v>
      </c>
      <c r="AA253" s="395"/>
      <c r="AB253" s="411" t="s">
        <v>183</v>
      </c>
      <c r="AC253" s="412" t="s">
        <v>56</v>
      </c>
      <c r="AD253" s="401"/>
      <c r="AE253" s="495"/>
      <c r="AF253" s="414"/>
      <c r="AG253" s="415"/>
      <c r="AH253" s="415"/>
      <c r="AI253" s="395"/>
      <c r="AJ253" s="395"/>
      <c r="AK253" s="395"/>
      <c r="AL253" s="528">
        <f t="shared" si="36"/>
        <v>24</v>
      </c>
      <c r="AM253" s="407">
        <f t="shared" si="37"/>
        <v>24</v>
      </c>
      <c r="AN253" s="416"/>
      <c r="AO253" s="416"/>
      <c r="AP253" s="416"/>
      <c r="AQ253" s="411">
        <f t="shared" si="38"/>
        <v>24</v>
      </c>
      <c r="AR253" s="411"/>
      <c r="AS253" s="412"/>
      <c r="AT253" s="299"/>
    </row>
    <row r="254" s="296" customFormat="1" ht="36" customHeight="1" spans="1:46">
      <c r="A254" s="369">
        <v>46171</v>
      </c>
      <c r="B254" s="370" t="s">
        <v>1060</v>
      </c>
      <c r="C254" s="370" t="s">
        <v>341</v>
      </c>
      <c r="D254" s="371" t="s">
        <v>1085</v>
      </c>
      <c r="E254" s="372" t="s">
        <v>1096</v>
      </c>
      <c r="F254" s="373" t="s">
        <v>1097</v>
      </c>
      <c r="G254" s="374" t="s">
        <v>169</v>
      </c>
      <c r="H254" s="375" t="s">
        <v>51</v>
      </c>
      <c r="I254" s="376">
        <v>9</v>
      </c>
      <c r="J254" s="377">
        <v>0</v>
      </c>
      <c r="K254" s="377">
        <v>3</v>
      </c>
      <c r="L254" s="599">
        <f t="shared" si="33"/>
        <v>3</v>
      </c>
      <c r="M254" s="379">
        <v>46225</v>
      </c>
      <c r="N254" s="379">
        <v>46228</v>
      </c>
      <c r="O254" s="479"/>
      <c r="P254" s="380" t="s">
        <v>52</v>
      </c>
      <c r="Q254" s="381"/>
      <c r="R254" s="381" t="s">
        <v>98</v>
      </c>
      <c r="S254" s="380">
        <v>46171</v>
      </c>
      <c r="T254" s="382" t="s">
        <v>66</v>
      </c>
      <c r="U254" s="559" t="s">
        <v>1064</v>
      </c>
      <c r="V254" s="600" t="s">
        <v>779</v>
      </c>
      <c r="W254" s="383" t="s">
        <v>1065</v>
      </c>
      <c r="X254" s="384" t="s">
        <v>1066</v>
      </c>
      <c r="Y254" s="478">
        <v>10.8403</v>
      </c>
      <c r="Z254" s="386">
        <f t="shared" si="35"/>
        <v>32.5209</v>
      </c>
      <c r="AA254" s="371"/>
      <c r="AB254" s="387" t="s">
        <v>183</v>
      </c>
      <c r="AC254" s="388" t="s">
        <v>56</v>
      </c>
      <c r="AD254" s="377"/>
      <c r="AE254" s="389"/>
      <c r="AF254" s="390"/>
      <c r="AG254" s="391"/>
      <c r="AH254" s="391"/>
      <c r="AI254" s="371"/>
      <c r="AJ254" s="371"/>
      <c r="AK254" s="371"/>
      <c r="AL254" s="296">
        <f t="shared" si="36"/>
        <v>9</v>
      </c>
      <c r="AM254" s="383">
        <f t="shared" si="37"/>
        <v>9</v>
      </c>
      <c r="AN254" s="371"/>
      <c r="AO254" s="371"/>
      <c r="AP254" s="371"/>
      <c r="AQ254" s="387">
        <f t="shared" si="38"/>
        <v>9</v>
      </c>
      <c r="AR254" s="547"/>
      <c r="AS254" s="545"/>
      <c r="AT254" s="299"/>
    </row>
    <row r="255" s="295" customFormat="1" ht="36" customHeight="1" spans="1:46">
      <c r="A255" s="369">
        <v>46171</v>
      </c>
      <c r="B255" s="370" t="s">
        <v>1060</v>
      </c>
      <c r="C255" s="370" t="s">
        <v>341</v>
      </c>
      <c r="D255" s="371" t="s">
        <v>1085</v>
      </c>
      <c r="E255" s="372" t="s">
        <v>1098</v>
      </c>
      <c r="F255" s="373" t="s">
        <v>1099</v>
      </c>
      <c r="G255" s="374" t="s">
        <v>169</v>
      </c>
      <c r="H255" s="428" t="s">
        <v>51</v>
      </c>
      <c r="I255" s="376">
        <v>36</v>
      </c>
      <c r="J255" s="377">
        <v>0</v>
      </c>
      <c r="K255" s="377">
        <v>3</v>
      </c>
      <c r="L255" s="599">
        <f t="shared" si="33"/>
        <v>12</v>
      </c>
      <c r="M255" s="379">
        <v>46225</v>
      </c>
      <c r="N255" s="379">
        <v>46228</v>
      </c>
      <c r="O255" s="479"/>
      <c r="P255" s="380" t="s">
        <v>52</v>
      </c>
      <c r="Q255" s="381"/>
      <c r="R255" s="381" t="s">
        <v>98</v>
      </c>
      <c r="S255" s="380">
        <v>46171</v>
      </c>
      <c r="T255" s="382" t="s">
        <v>66</v>
      </c>
      <c r="U255" s="559" t="s">
        <v>1064</v>
      </c>
      <c r="V255" s="657" t="s">
        <v>779</v>
      </c>
      <c r="W255" s="383" t="s">
        <v>1065</v>
      </c>
      <c r="X255" s="384" t="s">
        <v>1066</v>
      </c>
      <c r="Y255" s="478">
        <v>10.8403</v>
      </c>
      <c r="Z255" s="386">
        <f t="shared" si="35"/>
        <v>130.0836</v>
      </c>
      <c r="AA255" s="371"/>
      <c r="AB255" s="387" t="s">
        <v>183</v>
      </c>
      <c r="AC255" s="388" t="s">
        <v>56</v>
      </c>
      <c r="AD255" s="377"/>
      <c r="AE255" s="389"/>
      <c r="AF255" s="390"/>
      <c r="AG255" s="391"/>
      <c r="AH255" s="391"/>
      <c r="AI255" s="371"/>
      <c r="AJ255" s="371"/>
      <c r="AK255" s="371"/>
      <c r="AL255" s="296">
        <f t="shared" si="36"/>
        <v>36</v>
      </c>
      <c r="AM255" s="383">
        <f t="shared" si="37"/>
        <v>36</v>
      </c>
      <c r="AN255" s="392"/>
      <c r="AO255" s="392"/>
      <c r="AP255" s="392"/>
      <c r="AQ255" s="387">
        <f t="shared" si="38"/>
        <v>36</v>
      </c>
      <c r="AR255" s="387"/>
      <c r="AS255" s="388"/>
      <c r="AT255" s="299"/>
    </row>
    <row r="256" s="296" customFormat="1" ht="36" customHeight="1" spans="1:46">
      <c r="A256" s="369">
        <v>46171</v>
      </c>
      <c r="B256" s="370" t="s">
        <v>1060</v>
      </c>
      <c r="C256" s="370" t="s">
        <v>341</v>
      </c>
      <c r="D256" s="371" t="s">
        <v>1085</v>
      </c>
      <c r="E256" s="372" t="s">
        <v>1100</v>
      </c>
      <c r="F256" s="373" t="s">
        <v>1101</v>
      </c>
      <c r="G256" s="374" t="s">
        <v>169</v>
      </c>
      <c r="H256" s="428" t="s">
        <v>51</v>
      </c>
      <c r="I256" s="376">
        <v>15</v>
      </c>
      <c r="J256" s="377">
        <v>0</v>
      </c>
      <c r="K256" s="377">
        <v>3</v>
      </c>
      <c r="L256" s="599">
        <f t="shared" si="33"/>
        <v>5</v>
      </c>
      <c r="M256" s="379">
        <v>46225</v>
      </c>
      <c r="N256" s="379">
        <v>46228</v>
      </c>
      <c r="O256" s="479"/>
      <c r="P256" s="380" t="s">
        <v>52</v>
      </c>
      <c r="Q256" s="381"/>
      <c r="R256" s="405" t="s">
        <v>98</v>
      </c>
      <c r="S256" s="380">
        <v>46171</v>
      </c>
      <c r="T256" s="382" t="s">
        <v>66</v>
      </c>
      <c r="U256" s="559" t="s">
        <v>1064</v>
      </c>
      <c r="V256" s="600" t="s">
        <v>779</v>
      </c>
      <c r="W256" s="383" t="s">
        <v>1065</v>
      </c>
      <c r="X256" s="384" t="s">
        <v>1066</v>
      </c>
      <c r="Y256" s="478">
        <v>10.8403</v>
      </c>
      <c r="Z256" s="386">
        <f t="shared" si="35"/>
        <v>54.2015</v>
      </c>
      <c r="AA256" s="371"/>
      <c r="AB256" s="387" t="s">
        <v>183</v>
      </c>
      <c r="AC256" s="388" t="s">
        <v>56</v>
      </c>
      <c r="AD256" s="377"/>
      <c r="AE256" s="389"/>
      <c r="AF256" s="390"/>
      <c r="AG256" s="391"/>
      <c r="AH256" s="391"/>
      <c r="AI256" s="371"/>
      <c r="AJ256" s="371"/>
      <c r="AK256" s="371"/>
      <c r="AL256" s="296">
        <f t="shared" si="36"/>
        <v>15</v>
      </c>
      <c r="AM256" s="383">
        <f t="shared" si="37"/>
        <v>15</v>
      </c>
      <c r="AN256" s="371"/>
      <c r="AO256" s="371"/>
      <c r="AP256" s="371"/>
      <c r="AQ256" s="387">
        <f t="shared" si="38"/>
        <v>15</v>
      </c>
      <c r="AR256" s="387"/>
      <c r="AS256" s="388"/>
      <c r="AT256" s="301"/>
    </row>
    <row r="257" s="310" customFormat="1" ht="36" customHeight="1" spans="1:46">
      <c r="A257" s="610">
        <v>46171</v>
      </c>
      <c r="B257" s="611" t="s">
        <v>1102</v>
      </c>
      <c r="C257" s="611" t="s">
        <v>78</v>
      </c>
      <c r="D257" s="612" t="s">
        <v>1103</v>
      </c>
      <c r="E257" s="638" t="s">
        <v>1104</v>
      </c>
      <c r="F257" s="614" t="s">
        <v>1105</v>
      </c>
      <c r="G257" s="615" t="s">
        <v>169</v>
      </c>
      <c r="H257" s="616" t="s">
        <v>51</v>
      </c>
      <c r="I257" s="617">
        <v>501</v>
      </c>
      <c r="J257" s="618">
        <v>0</v>
      </c>
      <c r="K257" s="618">
        <v>3</v>
      </c>
      <c r="L257" s="639">
        <f t="shared" si="33"/>
        <v>167</v>
      </c>
      <c r="M257" s="620">
        <v>46225</v>
      </c>
      <c r="N257" s="620">
        <v>46230</v>
      </c>
      <c r="O257" s="621"/>
      <c r="P257" s="380" t="s">
        <v>52</v>
      </c>
      <c r="Q257" s="640">
        <v>46232</v>
      </c>
      <c r="R257" s="405"/>
      <c r="S257" s="622" t="s">
        <v>178</v>
      </c>
      <c r="T257" s="633" t="s">
        <v>66</v>
      </c>
      <c r="U257" s="642" t="s">
        <v>1106</v>
      </c>
      <c r="V257" s="643" t="s">
        <v>1107</v>
      </c>
      <c r="W257" s="613" t="s">
        <v>1108</v>
      </c>
      <c r="X257" s="626" t="s">
        <v>1109</v>
      </c>
      <c r="Y257" s="627">
        <v>10.5419</v>
      </c>
      <c r="Z257" s="628">
        <f t="shared" si="35"/>
        <v>1760.4973</v>
      </c>
      <c r="AA257" s="612"/>
      <c r="AB257" s="637" t="s">
        <v>183</v>
      </c>
      <c r="AC257" s="629" t="s">
        <v>56</v>
      </c>
      <c r="AD257" s="618"/>
      <c r="AE257" s="630"/>
      <c r="AF257" s="631"/>
      <c r="AG257" s="632"/>
      <c r="AH257" s="632"/>
      <c r="AI257" s="612"/>
      <c r="AJ257" s="612"/>
      <c r="AK257" s="612"/>
      <c r="AL257" s="312">
        <f t="shared" si="36"/>
        <v>501</v>
      </c>
      <c r="AM257" s="613">
        <f t="shared" si="37"/>
        <v>501</v>
      </c>
      <c r="AN257" s="612"/>
      <c r="AO257" s="612" t="s">
        <v>101</v>
      </c>
      <c r="AP257" s="612"/>
      <c r="AQ257" s="637">
        <f t="shared" si="38"/>
        <v>501</v>
      </c>
      <c r="AR257" s="637"/>
      <c r="AS257" s="629"/>
      <c r="AT257" s="594"/>
    </row>
    <row r="258" s="296" customFormat="1" ht="36" customHeight="1" spans="1:46">
      <c r="A258" s="369">
        <v>46183</v>
      </c>
      <c r="B258" s="370" t="s">
        <v>1110</v>
      </c>
      <c r="C258" s="370" t="s">
        <v>718</v>
      </c>
      <c r="D258" s="371">
        <v>4500211508</v>
      </c>
      <c r="E258" s="372"/>
      <c r="F258" s="373" t="s">
        <v>1111</v>
      </c>
      <c r="G258" s="374" t="s">
        <v>50</v>
      </c>
      <c r="H258" s="428" t="s">
        <v>51</v>
      </c>
      <c r="I258" s="376">
        <v>300</v>
      </c>
      <c r="J258" s="377">
        <v>0</v>
      </c>
      <c r="K258" s="377">
        <v>3</v>
      </c>
      <c r="L258" s="378">
        <f t="shared" si="33"/>
        <v>100</v>
      </c>
      <c r="M258" s="379">
        <v>46226</v>
      </c>
      <c r="N258" s="379">
        <v>46224</v>
      </c>
      <c r="O258" s="479"/>
      <c r="P258" s="380" t="s">
        <v>52</v>
      </c>
      <c r="Q258" s="596">
        <v>46252</v>
      </c>
      <c r="R258" s="494"/>
      <c r="S258" s="380">
        <v>46199</v>
      </c>
      <c r="T258" s="559" t="s">
        <v>54</v>
      </c>
      <c r="U258" s="559" t="s">
        <v>1112</v>
      </c>
      <c r="V258" s="406"/>
      <c r="W258" s="383" t="s">
        <v>1113</v>
      </c>
      <c r="X258" s="384" t="s">
        <v>1114</v>
      </c>
      <c r="Y258" s="478">
        <v>10.2018</v>
      </c>
      <c r="Z258" s="386">
        <f>I258*Y258</f>
        <v>3060.54</v>
      </c>
      <c r="AA258" s="371"/>
      <c r="AB258" s="387" t="s">
        <v>50</v>
      </c>
      <c r="AC258" s="388" t="s">
        <v>56</v>
      </c>
      <c r="AD258" s="377"/>
      <c r="AE258" s="389"/>
      <c r="AF258" s="390"/>
      <c r="AG258" s="391"/>
      <c r="AH258" s="391"/>
      <c r="AI258" s="371">
        <f>I258</f>
        <v>300</v>
      </c>
      <c r="AJ258" s="371"/>
      <c r="AK258" s="371"/>
      <c r="AL258" s="296"/>
      <c r="AM258" s="607">
        <f t="shared" si="37"/>
        <v>300</v>
      </c>
      <c r="AN258" s="371"/>
      <c r="AO258" s="371"/>
      <c r="AP258" s="371"/>
      <c r="AQ258" s="547">
        <f t="shared" si="38"/>
        <v>300</v>
      </c>
      <c r="AR258" s="547"/>
    </row>
    <row r="259" s="299" customFormat="1" ht="36" customHeight="1" spans="1:46">
      <c r="A259" s="422">
        <v>46171</v>
      </c>
      <c r="B259" s="423" t="s">
        <v>1115</v>
      </c>
      <c r="C259" s="423" t="s">
        <v>396</v>
      </c>
      <c r="D259" s="424" t="s">
        <v>1116</v>
      </c>
      <c r="E259" s="532"/>
      <c r="F259" s="533" t="s">
        <v>1117</v>
      </c>
      <c r="G259" s="427" t="s">
        <v>50</v>
      </c>
      <c r="H259" s="428" t="s">
        <v>51</v>
      </c>
      <c r="I259" s="450">
        <v>501</v>
      </c>
      <c r="J259" s="430">
        <v>0</v>
      </c>
      <c r="K259" s="430">
        <v>3</v>
      </c>
      <c r="L259" s="660">
        <f t="shared" ref="L259:L322" si="39">I259/K259</f>
        <v>167</v>
      </c>
      <c r="M259" s="432">
        <v>46226</v>
      </c>
      <c r="N259" s="432">
        <v>46224</v>
      </c>
      <c r="O259" s="661" t="s">
        <v>1118</v>
      </c>
      <c r="P259" s="433" t="s">
        <v>52</v>
      </c>
      <c r="Q259" s="662">
        <v>46241</v>
      </c>
      <c r="R259" s="435" t="s">
        <v>65</v>
      </c>
      <c r="S259" s="433">
        <v>46178</v>
      </c>
      <c r="T259" s="588" t="s">
        <v>54</v>
      </c>
      <c r="U259" s="588" t="s">
        <v>1119</v>
      </c>
      <c r="V259" s="663" t="s">
        <v>1120</v>
      </c>
      <c r="W259" s="438" t="s">
        <v>1121</v>
      </c>
      <c r="X259" s="439" t="s">
        <v>1122</v>
      </c>
      <c r="Y259" s="481">
        <v>10.4985</v>
      </c>
      <c r="Z259" s="441">
        <f>I259*Y259</f>
        <v>5259.7485</v>
      </c>
      <c r="AA259" s="424"/>
      <c r="AB259" s="427" t="s">
        <v>84</v>
      </c>
      <c r="AC259" s="518" t="s">
        <v>56</v>
      </c>
      <c r="AD259" s="430"/>
      <c r="AE259" s="536"/>
      <c r="AF259" s="442"/>
      <c r="AG259" s="443"/>
      <c r="AH259" s="443"/>
      <c r="AI259" s="424"/>
      <c r="AJ259" s="424"/>
      <c r="AK259" s="424"/>
      <c r="AL259" s="539">
        <f>I259</f>
        <v>501</v>
      </c>
      <c r="AM259" s="438">
        <f t="shared" si="37"/>
        <v>501</v>
      </c>
      <c r="AN259" s="424"/>
      <c r="AO259" s="424"/>
      <c r="AP259" s="424"/>
      <c r="AQ259" s="426">
        <f t="shared" si="38"/>
        <v>501</v>
      </c>
      <c r="AR259" s="547"/>
      <c r="AS259" s="545"/>
    </row>
    <row r="260" s="295" customFormat="1" ht="36" customHeight="1" spans="1:46">
      <c r="A260" s="369">
        <v>46162</v>
      </c>
      <c r="B260" s="370" t="s">
        <v>1123</v>
      </c>
      <c r="C260" s="370" t="s">
        <v>396</v>
      </c>
      <c r="D260" s="371" t="s">
        <v>1124</v>
      </c>
      <c r="E260" s="491">
        <v>17410859</v>
      </c>
      <c r="F260" s="373" t="s">
        <v>1125</v>
      </c>
      <c r="G260" s="374" t="s">
        <v>50</v>
      </c>
      <c r="H260" s="375" t="s">
        <v>51</v>
      </c>
      <c r="I260" s="376">
        <v>702</v>
      </c>
      <c r="J260" s="377">
        <v>0</v>
      </c>
      <c r="K260" s="377">
        <v>3</v>
      </c>
      <c r="L260" s="378">
        <f t="shared" si="39"/>
        <v>234</v>
      </c>
      <c r="M260" s="542">
        <v>46226</v>
      </c>
      <c r="N260" s="542">
        <v>46232</v>
      </c>
      <c r="O260" s="664" t="s">
        <v>1126</v>
      </c>
      <c r="P260" s="380" t="s">
        <v>52</v>
      </c>
      <c r="Q260" s="520">
        <v>46242</v>
      </c>
      <c r="R260" s="665" t="s">
        <v>65</v>
      </c>
      <c r="S260" s="380">
        <v>46184</v>
      </c>
      <c r="T260" s="382" t="s">
        <v>54</v>
      </c>
      <c r="U260" s="559" t="s">
        <v>1127</v>
      </c>
      <c r="V260" s="382"/>
      <c r="W260" s="383" t="s">
        <v>1128</v>
      </c>
      <c r="X260" s="384" t="s">
        <v>748</v>
      </c>
      <c r="Y260" s="478">
        <v>10.2018</v>
      </c>
      <c r="Z260" s="386">
        <f>I260*Y260</f>
        <v>7161.6636</v>
      </c>
      <c r="AA260" s="371"/>
      <c r="AB260" s="387" t="s">
        <v>84</v>
      </c>
      <c r="AC260" s="388" t="s">
        <v>56</v>
      </c>
      <c r="AD260" s="377"/>
      <c r="AE260" s="389"/>
      <c r="AF260" s="390"/>
      <c r="AG260" s="391"/>
      <c r="AH260" s="391"/>
      <c r="AI260" s="371"/>
      <c r="AJ260" s="482"/>
      <c r="AK260" s="582"/>
      <c r="AL260" s="298">
        <f>I260</f>
        <v>702</v>
      </c>
      <c r="AM260" s="607">
        <f t="shared" si="37"/>
        <v>702</v>
      </c>
      <c r="AN260" s="371"/>
      <c r="AO260" s="371"/>
      <c r="AP260" s="371"/>
      <c r="AQ260" s="547">
        <f t="shared" si="38"/>
        <v>702</v>
      </c>
      <c r="AR260" s="547"/>
      <c r="AS260" s="388"/>
      <c r="AT260" s="298"/>
    </row>
    <row r="261" s="301" customFormat="1" ht="36" customHeight="1" spans="1:46">
      <c r="A261" s="610">
        <v>46161</v>
      </c>
      <c r="B261" s="611" t="s">
        <v>1129</v>
      </c>
      <c r="C261" s="611" t="s">
        <v>396</v>
      </c>
      <c r="D261" s="612" t="s">
        <v>1130</v>
      </c>
      <c r="E261" s="613">
        <v>6040006</v>
      </c>
      <c r="F261" s="614" t="s">
        <v>1131</v>
      </c>
      <c r="G261" s="615" t="s">
        <v>50</v>
      </c>
      <c r="H261" s="616" t="s">
        <v>51</v>
      </c>
      <c r="I261" s="617">
        <v>999</v>
      </c>
      <c r="J261" s="618">
        <v>0</v>
      </c>
      <c r="K261" s="618">
        <v>3</v>
      </c>
      <c r="L261" s="619">
        <f t="shared" si="39"/>
        <v>333</v>
      </c>
      <c r="M261" s="647">
        <v>46226</v>
      </c>
      <c r="N261" s="647">
        <v>46232</v>
      </c>
      <c r="O261" s="666" t="s">
        <v>1126</v>
      </c>
      <c r="P261" s="622" t="s">
        <v>52</v>
      </c>
      <c r="Q261" s="623">
        <v>46234</v>
      </c>
      <c r="R261" s="641" t="s">
        <v>65</v>
      </c>
      <c r="S261" s="622">
        <v>46184</v>
      </c>
      <c r="T261" s="633" t="s">
        <v>54</v>
      </c>
      <c r="U261" s="642" t="s">
        <v>1132</v>
      </c>
      <c r="V261" s="633"/>
      <c r="W261" s="646" t="s">
        <v>1133</v>
      </c>
      <c r="X261" s="626" t="s">
        <v>748</v>
      </c>
      <c r="Y261" s="627">
        <v>10.4985</v>
      </c>
      <c r="Z261" s="628">
        <f>I261*Y261</f>
        <v>10488.0015</v>
      </c>
      <c r="AA261" s="612"/>
      <c r="AB261" s="637" t="s">
        <v>84</v>
      </c>
      <c r="AC261" s="629" t="s">
        <v>56</v>
      </c>
      <c r="AD261" s="618"/>
      <c r="AE261" s="630"/>
      <c r="AF261" s="631"/>
      <c r="AG261" s="632"/>
      <c r="AH261" s="632"/>
      <c r="AI261" s="612"/>
      <c r="AJ261" s="635"/>
      <c r="AK261" s="635"/>
      <c r="AL261" s="312">
        <f>I261</f>
        <v>999</v>
      </c>
      <c r="AM261" s="613">
        <f t="shared" si="37"/>
        <v>999</v>
      </c>
      <c r="AN261" s="612"/>
      <c r="AO261" s="612"/>
      <c r="AP261" s="612"/>
      <c r="AQ261" s="637">
        <f t="shared" si="38"/>
        <v>999</v>
      </c>
      <c r="AR261" s="637"/>
      <c r="AS261" s="312"/>
      <c r="AT261" s="583"/>
    </row>
    <row r="262" s="301" customFormat="1" ht="36" customHeight="1" spans="1:46">
      <c r="A262" s="610">
        <v>46151</v>
      </c>
      <c r="B262" s="611" t="s">
        <v>993</v>
      </c>
      <c r="C262" s="611" t="s">
        <v>71</v>
      </c>
      <c r="D262" s="612" t="s">
        <v>1134</v>
      </c>
      <c r="E262" s="638" t="s">
        <v>1135</v>
      </c>
      <c r="F262" s="614" t="s">
        <v>1136</v>
      </c>
      <c r="G262" s="615" t="s">
        <v>169</v>
      </c>
      <c r="H262" s="616" t="s">
        <v>51</v>
      </c>
      <c r="I262" s="617">
        <v>159</v>
      </c>
      <c r="J262" s="618">
        <v>0</v>
      </c>
      <c r="K262" s="618">
        <v>3</v>
      </c>
      <c r="L262" s="619">
        <f t="shared" si="39"/>
        <v>53</v>
      </c>
      <c r="M262" s="620">
        <v>46226</v>
      </c>
      <c r="N262" s="620">
        <v>46232</v>
      </c>
      <c r="O262" s="622"/>
      <c r="P262" s="622" t="s">
        <v>52</v>
      </c>
      <c r="Q262" s="623">
        <v>46239</v>
      </c>
      <c r="R262" s="645" t="s">
        <v>98</v>
      </c>
      <c r="S262" s="622">
        <v>46151</v>
      </c>
      <c r="T262" s="633" t="s">
        <v>66</v>
      </c>
      <c r="U262" s="642" t="s">
        <v>1137</v>
      </c>
      <c r="V262" s="625" t="s">
        <v>290</v>
      </c>
      <c r="W262" s="613" t="s">
        <v>999</v>
      </c>
      <c r="X262" s="626" t="s">
        <v>1000</v>
      </c>
      <c r="Y262" s="627">
        <v>7.59</v>
      </c>
      <c r="Z262" s="628">
        <f>Y262*L262</f>
        <v>402.27</v>
      </c>
      <c r="AA262" s="612"/>
      <c r="AB262" s="615" t="s">
        <v>169</v>
      </c>
      <c r="AC262" s="637" t="s">
        <v>56</v>
      </c>
      <c r="AD262" s="618"/>
      <c r="AE262" s="630"/>
      <c r="AF262" s="631"/>
      <c r="AG262" s="632"/>
      <c r="AH262" s="632"/>
      <c r="AI262" s="612">
        <f>I262</f>
        <v>159</v>
      </c>
      <c r="AJ262" s="612"/>
      <c r="AK262" s="612"/>
      <c r="AL262" s="312"/>
      <c r="AM262" s="613">
        <f t="shared" si="37"/>
        <v>159</v>
      </c>
      <c r="AN262" s="612"/>
      <c r="AO262" s="612"/>
      <c r="AP262" s="612"/>
      <c r="AQ262" s="637">
        <f t="shared" si="38"/>
        <v>159</v>
      </c>
      <c r="AR262" s="637"/>
      <c r="AS262" s="312"/>
      <c r="AT262" s="583"/>
    </row>
    <row r="263" s="296" customFormat="1" ht="36" customHeight="1" spans="1:46">
      <c r="A263" s="369">
        <v>46151</v>
      </c>
      <c r="B263" s="370" t="s">
        <v>993</v>
      </c>
      <c r="C263" s="370" t="s">
        <v>71</v>
      </c>
      <c r="D263" s="371" t="s">
        <v>1134</v>
      </c>
      <c r="E263" s="372" t="s">
        <v>1138</v>
      </c>
      <c r="F263" s="373" t="s">
        <v>1139</v>
      </c>
      <c r="G263" s="374" t="s">
        <v>169</v>
      </c>
      <c r="H263" s="375" t="s">
        <v>51</v>
      </c>
      <c r="I263" s="376">
        <v>171</v>
      </c>
      <c r="J263" s="377">
        <v>0</v>
      </c>
      <c r="K263" s="377">
        <v>3</v>
      </c>
      <c r="L263" s="378">
        <f t="shared" si="39"/>
        <v>57</v>
      </c>
      <c r="M263" s="379">
        <v>46226</v>
      </c>
      <c r="N263" s="379">
        <v>46232</v>
      </c>
      <c r="O263" s="380"/>
      <c r="P263" s="380" t="s">
        <v>52</v>
      </c>
      <c r="Q263" s="520">
        <v>46239</v>
      </c>
      <c r="R263" s="381" t="s">
        <v>98</v>
      </c>
      <c r="S263" s="380">
        <v>46151</v>
      </c>
      <c r="T263" s="382" t="s">
        <v>66</v>
      </c>
      <c r="U263" s="559" t="s">
        <v>1137</v>
      </c>
      <c r="V263" s="568" t="s">
        <v>290</v>
      </c>
      <c r="W263" s="383" t="s">
        <v>999</v>
      </c>
      <c r="X263" s="384" t="s">
        <v>1000</v>
      </c>
      <c r="Y263" s="478">
        <v>7.59</v>
      </c>
      <c r="Z263" s="386">
        <f>Y263*L263</f>
        <v>432.63</v>
      </c>
      <c r="AA263" s="371"/>
      <c r="AB263" s="374" t="s">
        <v>169</v>
      </c>
      <c r="AC263" s="387" t="s">
        <v>56</v>
      </c>
      <c r="AD263" s="377"/>
      <c r="AE263" s="389"/>
      <c r="AF263" s="390"/>
      <c r="AG263" s="391"/>
      <c r="AH263" s="391"/>
      <c r="AI263" s="371">
        <f>I263</f>
        <v>171</v>
      </c>
      <c r="AJ263" s="371"/>
      <c r="AK263" s="371"/>
      <c r="AL263" s="296"/>
      <c r="AM263" s="383">
        <f t="shared" si="37"/>
        <v>171</v>
      </c>
      <c r="AN263" s="371"/>
      <c r="AO263" s="371"/>
      <c r="AP263" s="371"/>
      <c r="AQ263" s="387">
        <f t="shared" si="38"/>
        <v>171</v>
      </c>
      <c r="AR263" s="387"/>
    </row>
    <row r="264" s="307" customFormat="1" ht="36" customHeight="1" spans="1:46">
      <c r="A264" s="369">
        <v>46161</v>
      </c>
      <c r="B264" s="370" t="s">
        <v>70</v>
      </c>
      <c r="C264" s="370" t="s">
        <v>71</v>
      </c>
      <c r="D264" s="371" t="s">
        <v>1140</v>
      </c>
      <c r="E264" s="372" t="s">
        <v>1141</v>
      </c>
      <c r="F264" s="373" t="s">
        <v>1142</v>
      </c>
      <c r="G264" s="374" t="s">
        <v>50</v>
      </c>
      <c r="H264" s="428" t="s">
        <v>51</v>
      </c>
      <c r="I264" s="376">
        <v>273</v>
      </c>
      <c r="J264" s="377">
        <v>0</v>
      </c>
      <c r="K264" s="377">
        <v>3</v>
      </c>
      <c r="L264" s="378">
        <f t="shared" si="39"/>
        <v>91</v>
      </c>
      <c r="M264" s="379">
        <v>46226</v>
      </c>
      <c r="N264" s="379">
        <v>46224</v>
      </c>
      <c r="O264" s="479"/>
      <c r="P264" s="380" t="s">
        <v>52</v>
      </c>
      <c r="Q264" s="520">
        <v>46244</v>
      </c>
      <c r="R264" s="494" t="s">
        <v>65</v>
      </c>
      <c r="S264" s="380">
        <v>46191</v>
      </c>
      <c r="T264" s="467" t="s">
        <v>66</v>
      </c>
      <c r="U264" s="559" t="s">
        <v>1143</v>
      </c>
      <c r="V264" s="406"/>
      <c r="W264" s="491" t="s">
        <v>1144</v>
      </c>
      <c r="X264" s="384" t="s">
        <v>76</v>
      </c>
      <c r="Y264" s="478">
        <v>6.1211</v>
      </c>
      <c r="Z264" s="386">
        <f>I264*Y264</f>
        <v>1671.0603</v>
      </c>
      <c r="AA264" s="371"/>
      <c r="AB264" s="411" t="s">
        <v>50</v>
      </c>
      <c r="AC264" s="388" t="s">
        <v>56</v>
      </c>
      <c r="AD264" s="377"/>
      <c r="AE264" s="389"/>
      <c r="AF264" s="390"/>
      <c r="AG264" s="391"/>
      <c r="AH264" s="391"/>
      <c r="AI264" s="371">
        <f>I264</f>
        <v>273</v>
      </c>
      <c r="AJ264" s="395"/>
      <c r="AK264" s="395"/>
      <c r="AL264" s="296"/>
      <c r="AM264" s="383">
        <f t="shared" si="37"/>
        <v>273</v>
      </c>
      <c r="AN264" s="395"/>
      <c r="AO264" s="371"/>
      <c r="AP264" s="395"/>
      <c r="AQ264" s="387">
        <f t="shared" si="38"/>
        <v>273</v>
      </c>
      <c r="AR264" s="411"/>
      <c r="AS264" s="636"/>
      <c r="AT264" s="298"/>
    </row>
    <row r="265" s="298" customFormat="1" ht="36" customHeight="1" spans="1:46">
      <c r="A265" s="369">
        <v>46167</v>
      </c>
      <c r="B265" s="370" t="s">
        <v>594</v>
      </c>
      <c r="C265" s="370" t="s">
        <v>71</v>
      </c>
      <c r="D265" s="371" t="s">
        <v>1145</v>
      </c>
      <c r="E265" s="491">
        <v>9600601533</v>
      </c>
      <c r="F265" s="373" t="s">
        <v>1146</v>
      </c>
      <c r="G265" s="374" t="s">
        <v>597</v>
      </c>
      <c r="H265" s="428" t="s">
        <v>51</v>
      </c>
      <c r="I265" s="376">
        <v>1944</v>
      </c>
      <c r="J265" s="377">
        <v>0</v>
      </c>
      <c r="K265" s="377">
        <v>54</v>
      </c>
      <c r="L265" s="378">
        <f t="shared" si="39"/>
        <v>36</v>
      </c>
      <c r="M265" s="379">
        <v>46227</v>
      </c>
      <c r="N265" s="379">
        <v>46230</v>
      </c>
      <c r="O265" s="479"/>
      <c r="P265" s="380" t="s">
        <v>52</v>
      </c>
      <c r="Q265" s="509">
        <v>46230</v>
      </c>
      <c r="R265" s="405"/>
      <c r="S265" s="380" t="s">
        <v>769</v>
      </c>
      <c r="T265" s="382" t="s">
        <v>54</v>
      </c>
      <c r="U265" s="382" t="s">
        <v>54</v>
      </c>
      <c r="V265" s="568"/>
      <c r="W265" s="383" t="s">
        <v>770</v>
      </c>
      <c r="X265" s="384" t="s">
        <v>601</v>
      </c>
      <c r="Y265" s="478">
        <v>499.9139</v>
      </c>
      <c r="Z265" s="386">
        <f>Y265*L265</f>
        <v>17996.9004</v>
      </c>
      <c r="AA265" s="371"/>
      <c r="AB265" s="387" t="s">
        <v>602</v>
      </c>
      <c r="AC265" s="388" t="s">
        <v>56</v>
      </c>
      <c r="AD265" s="377"/>
      <c r="AE265" s="389"/>
      <c r="AF265" s="390"/>
      <c r="AG265" s="391"/>
      <c r="AH265" s="391"/>
      <c r="AI265" s="371"/>
      <c r="AJ265" s="482">
        <f>I265</f>
        <v>1944</v>
      </c>
      <c r="AK265" s="482"/>
      <c r="AL265" s="296"/>
      <c r="AM265" s="296"/>
      <c r="AN265" s="383">
        <f>I265</f>
        <v>1944</v>
      </c>
      <c r="AO265" s="371"/>
      <c r="AP265" s="387">
        <f>I265</f>
        <v>1944</v>
      </c>
      <c r="AQ265" s="296"/>
      <c r="AR265" s="296"/>
      <c r="AS265" s="388">
        <f>I265/3</f>
        <v>648</v>
      </c>
      <c r="AT265" s="299"/>
    </row>
    <row r="266" s="295" customFormat="1" ht="36" customHeight="1" spans="1:46">
      <c r="A266" s="369">
        <v>46167</v>
      </c>
      <c r="B266" s="370" t="s">
        <v>594</v>
      </c>
      <c r="C266" s="370" t="s">
        <v>71</v>
      </c>
      <c r="D266" s="371" t="s">
        <v>1147</v>
      </c>
      <c r="E266" s="491">
        <v>13540601266</v>
      </c>
      <c r="F266" s="373" t="s">
        <v>1148</v>
      </c>
      <c r="G266" s="374" t="s">
        <v>597</v>
      </c>
      <c r="H266" s="428" t="s">
        <v>51</v>
      </c>
      <c r="I266" s="376">
        <v>1944</v>
      </c>
      <c r="J266" s="377">
        <v>0</v>
      </c>
      <c r="K266" s="377">
        <v>54</v>
      </c>
      <c r="L266" s="378">
        <f t="shared" si="39"/>
        <v>36</v>
      </c>
      <c r="M266" s="379">
        <v>46227</v>
      </c>
      <c r="N266" s="379">
        <v>46239</v>
      </c>
      <c r="O266" s="479"/>
      <c r="P266" s="380" t="s">
        <v>52</v>
      </c>
      <c r="Q266" s="520">
        <v>46240</v>
      </c>
      <c r="R266" s="405"/>
      <c r="S266" s="380" t="s">
        <v>769</v>
      </c>
      <c r="T266" s="436" t="s">
        <v>54</v>
      </c>
      <c r="U266" s="382" t="s">
        <v>54</v>
      </c>
      <c r="V266" s="570"/>
      <c r="W266" s="383" t="s">
        <v>1149</v>
      </c>
      <c r="X266" s="384" t="s">
        <v>601</v>
      </c>
      <c r="Y266" s="478">
        <v>499.9139</v>
      </c>
      <c r="Z266" s="386">
        <f>Y266*L266</f>
        <v>17996.9004</v>
      </c>
      <c r="AA266" s="371"/>
      <c r="AB266" s="387" t="s">
        <v>602</v>
      </c>
      <c r="AC266" s="388" t="s">
        <v>56</v>
      </c>
      <c r="AD266" s="377"/>
      <c r="AE266" s="389"/>
      <c r="AF266" s="390"/>
      <c r="AG266" s="391"/>
      <c r="AH266" s="391"/>
      <c r="AI266" s="371"/>
      <c r="AJ266" s="482">
        <f>I266</f>
        <v>1944</v>
      </c>
      <c r="AK266" s="482"/>
      <c r="AL266" s="296"/>
      <c r="AM266" s="296"/>
      <c r="AN266" s="383">
        <f>I266</f>
        <v>1944</v>
      </c>
      <c r="AO266" s="371"/>
      <c r="AP266" s="387">
        <f>I266</f>
        <v>1944</v>
      </c>
      <c r="AQ266" s="296"/>
      <c r="AR266" s="296"/>
      <c r="AS266" s="388">
        <f>I266/3</f>
        <v>648</v>
      </c>
      <c r="AT266" s="300"/>
    </row>
    <row r="267" s="307" customFormat="1" ht="36" customHeight="1" spans="1:46">
      <c r="A267" s="369">
        <v>46167</v>
      </c>
      <c r="B267" s="370" t="s">
        <v>594</v>
      </c>
      <c r="C267" s="370" t="s">
        <v>71</v>
      </c>
      <c r="D267" s="371" t="s">
        <v>1150</v>
      </c>
      <c r="E267" s="491">
        <v>1710601491</v>
      </c>
      <c r="F267" s="373" t="s">
        <v>1151</v>
      </c>
      <c r="G267" s="374" t="s">
        <v>597</v>
      </c>
      <c r="H267" s="428" t="s">
        <v>51</v>
      </c>
      <c r="I267" s="376">
        <v>1944</v>
      </c>
      <c r="J267" s="377">
        <v>0</v>
      </c>
      <c r="K267" s="377">
        <v>54</v>
      </c>
      <c r="L267" s="599">
        <f t="shared" si="39"/>
        <v>36</v>
      </c>
      <c r="M267" s="379">
        <v>46230</v>
      </c>
      <c r="N267" s="379">
        <v>46235</v>
      </c>
      <c r="O267" s="479"/>
      <c r="P267" s="380" t="s">
        <v>52</v>
      </c>
      <c r="Q267" s="520">
        <v>46240</v>
      </c>
      <c r="R267" s="405"/>
      <c r="S267" s="380" t="s">
        <v>769</v>
      </c>
      <c r="T267" s="382" t="s">
        <v>54</v>
      </c>
      <c r="U267" s="382" t="s">
        <v>54</v>
      </c>
      <c r="V267" s="568"/>
      <c r="W267" s="383" t="s">
        <v>770</v>
      </c>
      <c r="X267" s="384" t="s">
        <v>601</v>
      </c>
      <c r="Y267" s="478">
        <v>499.9139</v>
      </c>
      <c r="Z267" s="386">
        <f>Y267*L267</f>
        <v>17996.9004</v>
      </c>
      <c r="AA267" s="371"/>
      <c r="AB267" s="387" t="s">
        <v>602</v>
      </c>
      <c r="AC267" s="388" t="s">
        <v>56</v>
      </c>
      <c r="AD267" s="377"/>
      <c r="AE267" s="389"/>
      <c r="AF267" s="390"/>
      <c r="AG267" s="391"/>
      <c r="AH267" s="391"/>
      <c r="AI267" s="371"/>
      <c r="AJ267" s="482">
        <f>I267</f>
        <v>1944</v>
      </c>
      <c r="AK267" s="482"/>
      <c r="AL267" s="296"/>
      <c r="AM267" s="296"/>
      <c r="AN267" s="525">
        <f>I267</f>
        <v>1944</v>
      </c>
      <c r="AO267" s="392"/>
      <c r="AP267" s="593">
        <f>I267</f>
        <v>1944</v>
      </c>
      <c r="AQ267" s="296"/>
      <c r="AR267" s="296"/>
      <c r="AS267" s="388">
        <f>I267/3</f>
        <v>648</v>
      </c>
      <c r="AT267" s="299"/>
    </row>
    <row r="268" s="311" customFormat="1" ht="36" customHeight="1" spans="1:46">
      <c r="A268" s="369">
        <v>46167</v>
      </c>
      <c r="B268" s="370" t="s">
        <v>594</v>
      </c>
      <c r="C268" s="370" t="s">
        <v>71</v>
      </c>
      <c r="D268" s="371" t="s">
        <v>1152</v>
      </c>
      <c r="E268" s="491">
        <v>1710601492</v>
      </c>
      <c r="F268" s="373" t="s">
        <v>1153</v>
      </c>
      <c r="G268" s="374" t="s">
        <v>597</v>
      </c>
      <c r="H268" s="428" t="s">
        <v>51</v>
      </c>
      <c r="I268" s="376">
        <v>1944</v>
      </c>
      <c r="J268" s="377">
        <v>0</v>
      </c>
      <c r="K268" s="377">
        <v>54</v>
      </c>
      <c r="L268" s="599">
        <f t="shared" si="39"/>
        <v>36</v>
      </c>
      <c r="M268" s="379">
        <v>46230</v>
      </c>
      <c r="N268" s="379">
        <v>46235</v>
      </c>
      <c r="O268" s="534"/>
      <c r="P268" s="380" t="s">
        <v>52</v>
      </c>
      <c r="Q268" s="520">
        <v>46240</v>
      </c>
      <c r="R268" s="405"/>
      <c r="S268" s="380" t="s">
        <v>769</v>
      </c>
      <c r="T268" s="382" t="s">
        <v>54</v>
      </c>
      <c r="U268" s="382" t="s">
        <v>54</v>
      </c>
      <c r="V268" s="568"/>
      <c r="W268" s="383" t="s">
        <v>770</v>
      </c>
      <c r="X268" s="384" t="s">
        <v>601</v>
      </c>
      <c r="Y268" s="478">
        <v>499.9139</v>
      </c>
      <c r="Z268" s="386">
        <f>Y268*L268</f>
        <v>17996.9004</v>
      </c>
      <c r="AA268" s="371"/>
      <c r="AB268" s="387" t="s">
        <v>602</v>
      </c>
      <c r="AC268" s="388" t="s">
        <v>56</v>
      </c>
      <c r="AD268" s="377"/>
      <c r="AE268" s="389"/>
      <c r="AF268" s="390"/>
      <c r="AG268" s="391"/>
      <c r="AH268" s="391"/>
      <c r="AI268" s="371"/>
      <c r="AJ268" s="482">
        <f>I268</f>
        <v>1944</v>
      </c>
      <c r="AK268" s="482"/>
      <c r="AL268" s="296"/>
      <c r="AM268" s="296"/>
      <c r="AN268" s="525">
        <f>I268</f>
        <v>1944</v>
      </c>
      <c r="AO268" s="392"/>
      <c r="AP268" s="593">
        <f>I268</f>
        <v>1944</v>
      </c>
      <c r="AQ268" s="296"/>
      <c r="AR268" s="296"/>
      <c r="AS268" s="388">
        <f>I268/3</f>
        <v>648</v>
      </c>
      <c r="AT268" s="305"/>
    </row>
    <row r="269" s="307" customFormat="1" ht="36" customHeight="1" spans="1:46">
      <c r="A269" s="369">
        <v>46169</v>
      </c>
      <c r="B269" s="370" t="s">
        <v>668</v>
      </c>
      <c r="C269" s="370" t="s">
        <v>669</v>
      </c>
      <c r="D269" s="371" t="s">
        <v>1154</v>
      </c>
      <c r="E269" s="383">
        <v>4045728997</v>
      </c>
      <c r="F269" s="373" t="s">
        <v>1155</v>
      </c>
      <c r="G269" s="374" t="s">
        <v>50</v>
      </c>
      <c r="H269" s="428" t="s">
        <v>51</v>
      </c>
      <c r="I269" s="376">
        <v>2001</v>
      </c>
      <c r="J269" s="377">
        <v>0</v>
      </c>
      <c r="K269" s="377">
        <v>3</v>
      </c>
      <c r="L269" s="378">
        <f t="shared" si="39"/>
        <v>667</v>
      </c>
      <c r="M269" s="379">
        <v>46230</v>
      </c>
      <c r="N269" s="379">
        <v>46237</v>
      </c>
      <c r="O269" s="479"/>
      <c r="P269" s="380" t="s">
        <v>52</v>
      </c>
      <c r="Q269" s="520">
        <v>46238</v>
      </c>
      <c r="R269" s="494" t="s">
        <v>65</v>
      </c>
      <c r="S269" s="380">
        <v>46184</v>
      </c>
      <c r="T269" s="382" t="s">
        <v>54</v>
      </c>
      <c r="U269" s="382" t="s">
        <v>54</v>
      </c>
      <c r="V269" s="568"/>
      <c r="W269" s="383" t="s">
        <v>1156</v>
      </c>
      <c r="X269" s="384" t="s">
        <v>421</v>
      </c>
      <c r="Y269" s="478">
        <v>10.452</v>
      </c>
      <c r="Z269" s="386">
        <f>I269*Y269</f>
        <v>20914.452</v>
      </c>
      <c r="AA269" s="371"/>
      <c r="AB269" s="387" t="s">
        <v>84</v>
      </c>
      <c r="AC269" s="388" t="s">
        <v>56</v>
      </c>
      <c r="AD269" s="377"/>
      <c r="AE269" s="389"/>
      <c r="AF269" s="390"/>
      <c r="AG269" s="391"/>
      <c r="AH269" s="391"/>
      <c r="AI269" s="371"/>
      <c r="AJ269" s="371"/>
      <c r="AK269" s="371"/>
      <c r="AL269" s="296">
        <f>I269</f>
        <v>2001</v>
      </c>
      <c r="AM269" s="383">
        <f>I269</f>
        <v>2001</v>
      </c>
      <c r="AN269" s="371"/>
      <c r="AO269" s="371" t="s">
        <v>101</v>
      </c>
      <c r="AP269" s="371"/>
      <c r="AQ269" s="387">
        <f>I269</f>
        <v>2001</v>
      </c>
      <c r="AR269" s="387"/>
      <c r="AS269" s="388"/>
      <c r="AT269" s="299"/>
    </row>
    <row r="270" s="312" customFormat="1" ht="36" customHeight="1" spans="1:46">
      <c r="A270" s="610">
        <v>46114</v>
      </c>
      <c r="B270" s="611" t="s">
        <v>697</v>
      </c>
      <c r="C270" s="611" t="s">
        <v>341</v>
      </c>
      <c r="D270" s="612" t="s">
        <v>1157</v>
      </c>
      <c r="E270" s="638" t="s">
        <v>1158</v>
      </c>
      <c r="F270" s="614" t="s">
        <v>1159</v>
      </c>
      <c r="G270" s="615" t="s">
        <v>597</v>
      </c>
      <c r="H270" s="616" t="s">
        <v>51</v>
      </c>
      <c r="I270" s="617">
        <v>1944</v>
      </c>
      <c r="J270" s="618">
        <v>0</v>
      </c>
      <c r="K270" s="618">
        <v>54</v>
      </c>
      <c r="L270" s="639">
        <f t="shared" si="39"/>
        <v>36</v>
      </c>
      <c r="M270" s="620">
        <v>46231</v>
      </c>
      <c r="N270" s="620">
        <v>46231</v>
      </c>
      <c r="O270" s="621"/>
      <c r="P270" s="622" t="s">
        <v>52</v>
      </c>
      <c r="Q270" s="508">
        <v>46233</v>
      </c>
      <c r="R270" s="494" t="s">
        <v>65</v>
      </c>
      <c r="S270" s="622">
        <v>46162</v>
      </c>
      <c r="T270" s="633" t="s">
        <v>54</v>
      </c>
      <c r="U270" s="633" t="s">
        <v>54</v>
      </c>
      <c r="V270" s="633" t="s">
        <v>599</v>
      </c>
      <c r="W270" s="613" t="s">
        <v>739</v>
      </c>
      <c r="X270" s="626" t="s">
        <v>601</v>
      </c>
      <c r="Y270" s="627">
        <v>833.19</v>
      </c>
      <c r="Z270" s="628">
        <f t="shared" ref="Z270:Z276" si="40">Y270*L270</f>
        <v>29994.84</v>
      </c>
      <c r="AA270" s="612"/>
      <c r="AB270" s="637" t="s">
        <v>602</v>
      </c>
      <c r="AC270" s="629" t="s">
        <v>56</v>
      </c>
      <c r="AD270" s="618"/>
      <c r="AE270" s="630"/>
      <c r="AF270" s="631"/>
      <c r="AG270" s="632"/>
      <c r="AH270" s="632"/>
      <c r="AI270" s="612"/>
      <c r="AJ270" s="635">
        <f t="shared" ref="AJ270:AJ276" si="41">I270</f>
        <v>1944</v>
      </c>
      <c r="AK270" s="635"/>
      <c r="AL270" s="312"/>
      <c r="AM270" s="312"/>
      <c r="AN270" s="613">
        <f>I270</f>
        <v>1944</v>
      </c>
      <c r="AO270" s="612"/>
      <c r="AP270" s="637">
        <f t="shared" ref="AP270:AP276" si="42">I270</f>
        <v>1944</v>
      </c>
      <c r="AS270" s="629">
        <f t="shared" ref="AS270:AS276" si="43">I270/3</f>
        <v>648</v>
      </c>
      <c r="AT270" s="634"/>
    </row>
    <row r="271" s="305" customFormat="1" ht="36" customHeight="1" spans="1:46">
      <c r="A271" s="610">
        <v>46154</v>
      </c>
      <c r="B271" s="611" t="s">
        <v>969</v>
      </c>
      <c r="C271" s="611" t="s">
        <v>78</v>
      </c>
      <c r="D271" s="612" t="s">
        <v>970</v>
      </c>
      <c r="E271" s="648" t="s">
        <v>1160</v>
      </c>
      <c r="F271" s="614" t="s">
        <v>1161</v>
      </c>
      <c r="G271" s="615" t="s">
        <v>597</v>
      </c>
      <c r="H271" s="616" t="s">
        <v>51</v>
      </c>
      <c r="I271" s="617">
        <v>1944</v>
      </c>
      <c r="J271" s="618">
        <v>0</v>
      </c>
      <c r="K271" s="618">
        <v>54</v>
      </c>
      <c r="L271" s="639">
        <f t="shared" si="39"/>
        <v>36</v>
      </c>
      <c r="M271" s="620">
        <v>46231</v>
      </c>
      <c r="N271" s="620">
        <v>46230</v>
      </c>
      <c r="O271" s="621"/>
      <c r="P271" s="622" t="s">
        <v>52</v>
      </c>
      <c r="Q271" s="623">
        <v>46242</v>
      </c>
      <c r="R271" s="494" t="s">
        <v>65</v>
      </c>
      <c r="S271" s="622">
        <v>46175</v>
      </c>
      <c r="T271" s="406" t="s">
        <v>54</v>
      </c>
      <c r="U271" s="382" t="s">
        <v>54</v>
      </c>
      <c r="V271" s="642" t="s">
        <v>973</v>
      </c>
      <c r="W271" s="646" t="s">
        <v>974</v>
      </c>
      <c r="X271" s="626" t="s">
        <v>83</v>
      </c>
      <c r="Y271" s="627">
        <v>833.19</v>
      </c>
      <c r="Z271" s="628">
        <f t="shared" si="40"/>
        <v>29994.84</v>
      </c>
      <c r="AA271" s="612"/>
      <c r="AB271" s="591" t="s">
        <v>975</v>
      </c>
      <c r="AC271" s="629" t="s">
        <v>56</v>
      </c>
      <c r="AD271" s="618"/>
      <c r="AE271" s="630"/>
      <c r="AF271" s="631"/>
      <c r="AG271" s="632"/>
      <c r="AH271" s="632"/>
      <c r="AI271" s="612"/>
      <c r="AJ271" s="635">
        <f t="shared" si="41"/>
        <v>1944</v>
      </c>
      <c r="AK271" s="635"/>
      <c r="AL271" s="634"/>
      <c r="AM271" s="636"/>
      <c r="AN271" s="613"/>
      <c r="AO271" s="612"/>
      <c r="AP271" s="637">
        <f t="shared" si="42"/>
        <v>1944</v>
      </c>
      <c r="AQ271" s="636"/>
      <c r="AR271" s="636"/>
      <c r="AS271" s="629">
        <f t="shared" si="43"/>
        <v>648</v>
      </c>
      <c r="AT271" s="312"/>
    </row>
    <row r="272" s="312" customFormat="1" ht="36" customHeight="1" spans="1:46">
      <c r="A272" s="369">
        <v>46167</v>
      </c>
      <c r="B272" s="370" t="s">
        <v>594</v>
      </c>
      <c r="C272" s="370" t="s">
        <v>71</v>
      </c>
      <c r="D272" s="371" t="s">
        <v>1162</v>
      </c>
      <c r="E272" s="491">
        <v>1790601480</v>
      </c>
      <c r="F272" s="373" t="s">
        <v>1163</v>
      </c>
      <c r="G272" s="374" t="s">
        <v>597</v>
      </c>
      <c r="H272" s="428" t="s">
        <v>51</v>
      </c>
      <c r="I272" s="376">
        <v>1944</v>
      </c>
      <c r="J272" s="377">
        <v>0</v>
      </c>
      <c r="K272" s="377">
        <v>54</v>
      </c>
      <c r="L272" s="378">
        <f t="shared" si="39"/>
        <v>36</v>
      </c>
      <c r="M272" s="379">
        <v>46232</v>
      </c>
      <c r="N272" s="379">
        <v>46230</v>
      </c>
      <c r="O272" s="479"/>
      <c r="P272" s="380" t="s">
        <v>52</v>
      </c>
      <c r="Q272" s="520">
        <v>46233</v>
      </c>
      <c r="R272" s="405"/>
      <c r="S272" s="380" t="s">
        <v>769</v>
      </c>
      <c r="T272" s="382" t="s">
        <v>54</v>
      </c>
      <c r="U272" s="382" t="s">
        <v>54</v>
      </c>
      <c r="V272" s="570"/>
      <c r="W272" s="383" t="s">
        <v>770</v>
      </c>
      <c r="X272" s="384" t="s">
        <v>601</v>
      </c>
      <c r="Y272" s="478">
        <v>499.9139</v>
      </c>
      <c r="Z272" s="386">
        <f t="shared" si="40"/>
        <v>17996.9004</v>
      </c>
      <c r="AA272" s="371"/>
      <c r="AB272" s="387" t="s">
        <v>602</v>
      </c>
      <c r="AC272" s="388" t="s">
        <v>56</v>
      </c>
      <c r="AD272" s="377"/>
      <c r="AE272" s="389"/>
      <c r="AF272" s="390"/>
      <c r="AG272" s="391"/>
      <c r="AH272" s="391"/>
      <c r="AI272" s="371"/>
      <c r="AJ272" s="482">
        <f t="shared" si="41"/>
        <v>1944</v>
      </c>
      <c r="AK272" s="482"/>
      <c r="AL272" s="296"/>
      <c r="AM272" s="296"/>
      <c r="AN272" s="383">
        <f>I272</f>
        <v>1944</v>
      </c>
      <c r="AO272" s="371"/>
      <c r="AP272" s="387">
        <f t="shared" si="42"/>
        <v>1944</v>
      </c>
      <c r="AQ272" s="296"/>
      <c r="AR272" s="296"/>
      <c r="AS272" s="388">
        <f t="shared" si="43"/>
        <v>648</v>
      </c>
      <c r="AT272" s="305"/>
    </row>
    <row r="273" s="295" customFormat="1" ht="36" customHeight="1" spans="1:46">
      <c r="A273" s="369">
        <v>46167</v>
      </c>
      <c r="B273" s="370" t="s">
        <v>594</v>
      </c>
      <c r="C273" s="370" t="s">
        <v>71</v>
      </c>
      <c r="D273" s="371" t="s">
        <v>1164</v>
      </c>
      <c r="E273" s="491">
        <v>2880601244</v>
      </c>
      <c r="F273" s="373" t="s">
        <v>1165</v>
      </c>
      <c r="G273" s="374" t="s">
        <v>597</v>
      </c>
      <c r="H273" s="375" t="s">
        <v>51</v>
      </c>
      <c r="I273" s="376">
        <v>1944</v>
      </c>
      <c r="J273" s="377">
        <v>0</v>
      </c>
      <c r="K273" s="377">
        <v>54</v>
      </c>
      <c r="L273" s="378">
        <f t="shared" si="39"/>
        <v>36</v>
      </c>
      <c r="M273" s="379">
        <v>46232</v>
      </c>
      <c r="N273" s="379">
        <v>46230</v>
      </c>
      <c r="O273" s="479"/>
      <c r="P273" s="380" t="s">
        <v>52</v>
      </c>
      <c r="Q273" s="520">
        <v>46233</v>
      </c>
      <c r="R273" s="381"/>
      <c r="S273" s="380" t="s">
        <v>769</v>
      </c>
      <c r="T273" s="382" t="s">
        <v>54</v>
      </c>
      <c r="U273" s="382" t="s">
        <v>54</v>
      </c>
      <c r="V273" s="568"/>
      <c r="W273" s="383" t="s">
        <v>770</v>
      </c>
      <c r="X273" s="384" t="s">
        <v>601</v>
      </c>
      <c r="Y273" s="478">
        <v>499.9139</v>
      </c>
      <c r="Z273" s="386">
        <f t="shared" si="40"/>
        <v>17996.9004</v>
      </c>
      <c r="AA273" s="371"/>
      <c r="AB273" s="387" t="s">
        <v>602</v>
      </c>
      <c r="AC273" s="388" t="s">
        <v>56</v>
      </c>
      <c r="AD273" s="377"/>
      <c r="AE273" s="389"/>
      <c r="AF273" s="390"/>
      <c r="AG273" s="391"/>
      <c r="AH273" s="391"/>
      <c r="AI273" s="371"/>
      <c r="AJ273" s="482">
        <f t="shared" si="41"/>
        <v>1944</v>
      </c>
      <c r="AK273" s="482"/>
      <c r="AL273" s="296"/>
      <c r="AM273" s="296"/>
      <c r="AN273" s="383">
        <f>I273</f>
        <v>1944</v>
      </c>
      <c r="AO273" s="371"/>
      <c r="AP273" s="387">
        <f t="shared" si="42"/>
        <v>1944</v>
      </c>
      <c r="AQ273" s="296"/>
      <c r="AR273" s="296"/>
      <c r="AS273" s="388">
        <f t="shared" si="43"/>
        <v>648</v>
      </c>
      <c r="AT273" s="299"/>
    </row>
    <row r="274" s="295" customFormat="1" ht="36" customHeight="1" spans="1:46">
      <c r="A274" s="369">
        <v>46114</v>
      </c>
      <c r="B274" s="370" t="s">
        <v>697</v>
      </c>
      <c r="C274" s="370" t="s">
        <v>341</v>
      </c>
      <c r="D274" s="371" t="s">
        <v>1166</v>
      </c>
      <c r="E274" s="372" t="s">
        <v>1167</v>
      </c>
      <c r="F274" s="373" t="s">
        <v>1168</v>
      </c>
      <c r="G274" s="374" t="s">
        <v>597</v>
      </c>
      <c r="H274" s="428" t="s">
        <v>51</v>
      </c>
      <c r="I274" s="376">
        <v>1944</v>
      </c>
      <c r="J274" s="377">
        <v>0</v>
      </c>
      <c r="K274" s="377">
        <v>54</v>
      </c>
      <c r="L274" s="378">
        <f t="shared" si="39"/>
        <v>36</v>
      </c>
      <c r="M274" s="379">
        <v>46232</v>
      </c>
      <c r="N274" s="379">
        <v>46245</v>
      </c>
      <c r="O274" s="479"/>
      <c r="P274" s="380" t="s">
        <v>52</v>
      </c>
      <c r="Q274" s="520">
        <v>46247</v>
      </c>
      <c r="R274" s="494" t="s">
        <v>65</v>
      </c>
      <c r="S274" s="380">
        <v>46162</v>
      </c>
      <c r="T274" s="382" t="s">
        <v>54</v>
      </c>
      <c r="U274" s="382" t="s">
        <v>54</v>
      </c>
      <c r="V274" s="382" t="s">
        <v>599</v>
      </c>
      <c r="W274" s="383" t="s">
        <v>739</v>
      </c>
      <c r="X274" s="384" t="s">
        <v>601</v>
      </c>
      <c r="Y274" s="478">
        <v>833.19</v>
      </c>
      <c r="Z274" s="386">
        <f t="shared" si="40"/>
        <v>29994.84</v>
      </c>
      <c r="AA274" s="371"/>
      <c r="AB274" s="387" t="s">
        <v>602</v>
      </c>
      <c r="AC274" s="388" t="s">
        <v>56</v>
      </c>
      <c r="AD274" s="377"/>
      <c r="AE274" s="389"/>
      <c r="AF274" s="390"/>
      <c r="AG274" s="391"/>
      <c r="AH274" s="391"/>
      <c r="AI274" s="371"/>
      <c r="AJ274" s="482">
        <f t="shared" si="41"/>
        <v>1944</v>
      </c>
      <c r="AK274" s="482"/>
      <c r="AL274" s="583"/>
      <c r="AM274" s="583"/>
      <c r="AN274" s="383">
        <f>I274</f>
        <v>1944</v>
      </c>
      <c r="AO274" s="371"/>
      <c r="AP274" s="387">
        <f t="shared" si="42"/>
        <v>1944</v>
      </c>
      <c r="AQ274" s="583"/>
      <c r="AR274" s="583"/>
      <c r="AS274" s="388">
        <f t="shared" si="43"/>
        <v>648</v>
      </c>
      <c r="AT274" s="298"/>
    </row>
    <row r="275" s="305" customFormat="1" ht="36" customHeight="1" spans="1:46">
      <c r="A275" s="610">
        <v>46167</v>
      </c>
      <c r="B275" s="611" t="s">
        <v>594</v>
      </c>
      <c r="C275" s="611" t="s">
        <v>71</v>
      </c>
      <c r="D275" s="612" t="s">
        <v>1169</v>
      </c>
      <c r="E275" s="646">
        <v>9360601291</v>
      </c>
      <c r="F275" s="614" t="s">
        <v>1170</v>
      </c>
      <c r="G275" s="615" t="s">
        <v>597</v>
      </c>
      <c r="H275" s="616" t="s">
        <v>51</v>
      </c>
      <c r="I275" s="617">
        <v>1944</v>
      </c>
      <c r="J275" s="618">
        <v>0</v>
      </c>
      <c r="K275" s="618">
        <v>54</v>
      </c>
      <c r="L275" s="619">
        <f t="shared" si="39"/>
        <v>36</v>
      </c>
      <c r="M275" s="620">
        <v>46233</v>
      </c>
      <c r="N275" s="620">
        <v>46238</v>
      </c>
      <c r="O275" s="621"/>
      <c r="P275" s="622" t="s">
        <v>52</v>
      </c>
      <c r="Q275" s="623">
        <v>46240</v>
      </c>
      <c r="R275" s="405"/>
      <c r="S275" s="622" t="s">
        <v>769</v>
      </c>
      <c r="T275" s="406" t="s">
        <v>54</v>
      </c>
      <c r="U275" s="382" t="s">
        <v>54</v>
      </c>
      <c r="V275" s="625"/>
      <c r="W275" s="613" t="s">
        <v>770</v>
      </c>
      <c r="X275" s="626" t="s">
        <v>601</v>
      </c>
      <c r="Y275" s="627">
        <v>499.9139</v>
      </c>
      <c r="Z275" s="628">
        <f t="shared" si="40"/>
        <v>17996.9004</v>
      </c>
      <c r="AA275" s="612"/>
      <c r="AB275" s="387" t="s">
        <v>602</v>
      </c>
      <c r="AC275" s="629" t="s">
        <v>56</v>
      </c>
      <c r="AD275" s="618"/>
      <c r="AE275" s="630"/>
      <c r="AF275" s="631"/>
      <c r="AG275" s="632"/>
      <c r="AH275" s="632"/>
      <c r="AI275" s="612"/>
      <c r="AJ275" s="635">
        <f t="shared" si="41"/>
        <v>1944</v>
      </c>
      <c r="AK275" s="635"/>
      <c r="AL275" s="312"/>
      <c r="AM275" s="528"/>
      <c r="AN275" s="613">
        <f>I275</f>
        <v>1944</v>
      </c>
      <c r="AO275" s="612"/>
      <c r="AP275" s="637">
        <f t="shared" si="42"/>
        <v>1944</v>
      </c>
      <c r="AQ275" s="528"/>
      <c r="AR275" s="528"/>
      <c r="AS275" s="629">
        <f t="shared" si="43"/>
        <v>648</v>
      </c>
    </row>
    <row r="276" s="296" customFormat="1" ht="36" customHeight="1" spans="1:46">
      <c r="A276" s="369">
        <v>46167</v>
      </c>
      <c r="B276" s="370" t="s">
        <v>594</v>
      </c>
      <c r="C276" s="370" t="s">
        <v>71</v>
      </c>
      <c r="D276" s="371" t="s">
        <v>1171</v>
      </c>
      <c r="E276" s="491">
        <v>9600601534</v>
      </c>
      <c r="F276" s="373" t="s">
        <v>1172</v>
      </c>
      <c r="G276" s="374" t="s">
        <v>597</v>
      </c>
      <c r="H276" s="428" t="s">
        <v>51</v>
      </c>
      <c r="I276" s="376">
        <v>1944</v>
      </c>
      <c r="J276" s="377">
        <v>0</v>
      </c>
      <c r="K276" s="377">
        <v>54</v>
      </c>
      <c r="L276" s="378">
        <f t="shared" si="39"/>
        <v>36</v>
      </c>
      <c r="M276" s="379">
        <v>46233</v>
      </c>
      <c r="N276" s="379">
        <v>46238</v>
      </c>
      <c r="O276" s="479"/>
      <c r="P276" s="404" t="s">
        <v>52</v>
      </c>
      <c r="Q276" s="520">
        <v>46240</v>
      </c>
      <c r="R276" s="381"/>
      <c r="S276" s="380" t="s">
        <v>769</v>
      </c>
      <c r="T276" s="382" t="s">
        <v>54</v>
      </c>
      <c r="U276" s="436" t="s">
        <v>54</v>
      </c>
      <c r="V276" s="578"/>
      <c r="W276" s="383" t="s">
        <v>770</v>
      </c>
      <c r="X276" s="384" t="s">
        <v>601</v>
      </c>
      <c r="Y276" s="478">
        <v>499.9139</v>
      </c>
      <c r="Z276" s="386">
        <f t="shared" si="40"/>
        <v>17996.9004</v>
      </c>
      <c r="AA276" s="371"/>
      <c r="AB276" s="387" t="s">
        <v>602</v>
      </c>
      <c r="AC276" s="388" t="s">
        <v>56</v>
      </c>
      <c r="AD276" s="377"/>
      <c r="AE276" s="389"/>
      <c r="AF276" s="390"/>
      <c r="AG276" s="391"/>
      <c r="AH276" s="391"/>
      <c r="AI276" s="371"/>
      <c r="AJ276" s="482">
        <f t="shared" si="41"/>
        <v>1944</v>
      </c>
      <c r="AK276" s="592"/>
      <c r="AL276" s="539"/>
      <c r="AM276" s="296"/>
      <c r="AN276" s="525">
        <f>I276</f>
        <v>1944</v>
      </c>
      <c r="AO276" s="392"/>
      <c r="AP276" s="593">
        <f t="shared" si="42"/>
        <v>1944</v>
      </c>
      <c r="AS276" s="388">
        <f t="shared" si="43"/>
        <v>648</v>
      </c>
      <c r="AT276" s="299"/>
    </row>
    <row r="277" s="301" customFormat="1" ht="36" customHeight="1" spans="1:46">
      <c r="A277" s="369">
        <v>46185</v>
      </c>
      <c r="B277" s="370" t="s">
        <v>1173</v>
      </c>
      <c r="C277" s="370" t="s">
        <v>1174</v>
      </c>
      <c r="D277" s="371" t="s">
        <v>1175</v>
      </c>
      <c r="E277" s="372" t="s">
        <v>1176</v>
      </c>
      <c r="F277" s="373" t="s">
        <v>1177</v>
      </c>
      <c r="G277" s="374" t="s">
        <v>50</v>
      </c>
      <c r="H277" s="375" t="s">
        <v>51</v>
      </c>
      <c r="I277" s="376">
        <v>1305</v>
      </c>
      <c r="J277" s="377">
        <v>0</v>
      </c>
      <c r="K277" s="377">
        <v>3</v>
      </c>
      <c r="L277" s="378">
        <f t="shared" si="39"/>
        <v>435</v>
      </c>
      <c r="M277" s="379">
        <v>46234</v>
      </c>
      <c r="N277" s="379">
        <v>46232</v>
      </c>
      <c r="O277" s="479"/>
      <c r="P277" s="380" t="s">
        <v>52</v>
      </c>
      <c r="Q277" s="520">
        <v>46241</v>
      </c>
      <c r="R277" s="418" t="s">
        <v>65</v>
      </c>
      <c r="S277" s="380">
        <v>46185</v>
      </c>
      <c r="T277" s="382" t="s">
        <v>54</v>
      </c>
      <c r="U277" s="559" t="s">
        <v>1178</v>
      </c>
      <c r="V277" s="382"/>
      <c r="W277" s="383" t="s">
        <v>1179</v>
      </c>
      <c r="X277" s="384" t="s">
        <v>209</v>
      </c>
      <c r="Y277" s="478">
        <v>10.1848</v>
      </c>
      <c r="Z277" s="386">
        <f>I277*Y277</f>
        <v>13291.164</v>
      </c>
      <c r="AA277" s="371"/>
      <c r="AB277" s="387" t="s">
        <v>50</v>
      </c>
      <c r="AC277" s="388" t="s">
        <v>56</v>
      </c>
      <c r="AD277" s="377"/>
      <c r="AE277" s="389"/>
      <c r="AF277" s="390"/>
      <c r="AG277" s="391"/>
      <c r="AH277" s="391"/>
      <c r="AI277" s="371">
        <f>I277</f>
        <v>1305</v>
      </c>
      <c r="AJ277" s="371"/>
      <c r="AK277" s="371"/>
      <c r="AL277" s="296"/>
      <c r="AM277" s="371">
        <f>I277</f>
        <v>1305</v>
      </c>
      <c r="AN277" s="371"/>
      <c r="AO277" s="371"/>
      <c r="AP277" s="371"/>
      <c r="AQ277" s="388">
        <f>I277</f>
        <v>1305</v>
      </c>
      <c r="AR277" s="388"/>
      <c r="AS277" s="667"/>
      <c r="AT277" s="296"/>
    </row>
    <row r="278" s="313" customFormat="1" ht="36" customHeight="1" spans="1:46">
      <c r="A278" s="393">
        <v>46184</v>
      </c>
      <c r="B278" s="394" t="s">
        <v>1173</v>
      </c>
      <c r="C278" s="394" t="s">
        <v>1174</v>
      </c>
      <c r="D278" s="395">
        <v>4500211803</v>
      </c>
      <c r="E278" s="396" t="s">
        <v>1180</v>
      </c>
      <c r="F278" s="397" t="s">
        <v>1181</v>
      </c>
      <c r="G278" s="398" t="s">
        <v>50</v>
      </c>
      <c r="H278" s="507" t="s">
        <v>51</v>
      </c>
      <c r="I278" s="400">
        <v>360</v>
      </c>
      <c r="J278" s="401">
        <v>0</v>
      </c>
      <c r="K278" s="401">
        <v>3</v>
      </c>
      <c r="L278" s="402">
        <f t="shared" si="39"/>
        <v>120</v>
      </c>
      <c r="M278" s="403">
        <v>46234</v>
      </c>
      <c r="N278" s="403">
        <v>46232</v>
      </c>
      <c r="O278" s="530"/>
      <c r="P278" s="404" t="s">
        <v>52</v>
      </c>
      <c r="Q278" s="508">
        <v>46241</v>
      </c>
      <c r="R278" s="494" t="s">
        <v>65</v>
      </c>
      <c r="S278" s="404">
        <v>46184</v>
      </c>
      <c r="T278" s="467" t="s">
        <v>54</v>
      </c>
      <c r="U278" s="603" t="s">
        <v>1182</v>
      </c>
      <c r="V278" s="406"/>
      <c r="W278" s="407" t="s">
        <v>1183</v>
      </c>
      <c r="X278" s="408" t="s">
        <v>209</v>
      </c>
      <c r="Y278" s="504">
        <v>11.1284</v>
      </c>
      <c r="Z278" s="410">
        <f>I278*Y278</f>
        <v>4006.224</v>
      </c>
      <c r="AA278" s="395"/>
      <c r="AB278" s="411" t="s">
        <v>50</v>
      </c>
      <c r="AC278" s="412" t="s">
        <v>56</v>
      </c>
      <c r="AD278" s="401"/>
      <c r="AE278" s="495"/>
      <c r="AF278" s="414"/>
      <c r="AG278" s="415"/>
      <c r="AH278" s="415"/>
      <c r="AI278" s="395">
        <f>I278</f>
        <v>360</v>
      </c>
      <c r="AJ278" s="395"/>
      <c r="AK278" s="395"/>
      <c r="AL278" s="528"/>
      <c r="AM278" s="395">
        <f>I278</f>
        <v>360</v>
      </c>
      <c r="AN278" s="395"/>
      <c r="AO278" s="395"/>
      <c r="AP278" s="395"/>
      <c r="AQ278" s="412">
        <f>I278</f>
        <v>360</v>
      </c>
      <c r="AR278" s="412"/>
      <c r="AS278" s="668"/>
      <c r="AT278" s="312"/>
    </row>
    <row r="279" s="295" customFormat="1" ht="36" customHeight="1" spans="1:46">
      <c r="A279" s="369">
        <v>46163</v>
      </c>
      <c r="B279" s="370" t="s">
        <v>987</v>
      </c>
      <c r="C279" s="370" t="s">
        <v>175</v>
      </c>
      <c r="D279" s="371" t="s">
        <v>988</v>
      </c>
      <c r="E279" s="372" t="s">
        <v>1184</v>
      </c>
      <c r="F279" s="373" t="s">
        <v>1185</v>
      </c>
      <c r="G279" s="374" t="s">
        <v>597</v>
      </c>
      <c r="H279" s="428" t="s">
        <v>51</v>
      </c>
      <c r="I279" s="376">
        <v>864</v>
      </c>
      <c r="J279" s="377">
        <v>0</v>
      </c>
      <c r="K279" s="377">
        <v>54</v>
      </c>
      <c r="L279" s="378">
        <f t="shared" si="39"/>
        <v>16</v>
      </c>
      <c r="M279" s="379">
        <v>46237</v>
      </c>
      <c r="N279" s="379">
        <v>46238</v>
      </c>
      <c r="O279" s="479"/>
      <c r="P279" s="380" t="s">
        <v>52</v>
      </c>
      <c r="Q279" s="596">
        <v>46246</v>
      </c>
      <c r="R279" s="494" t="s">
        <v>65</v>
      </c>
      <c r="S279" s="380">
        <v>46175</v>
      </c>
      <c r="T279" s="436" t="s">
        <v>54</v>
      </c>
      <c r="U279" s="382" t="s">
        <v>54</v>
      </c>
      <c r="V279" s="603" t="s">
        <v>973</v>
      </c>
      <c r="W279" s="491" t="s">
        <v>991</v>
      </c>
      <c r="X279" s="384" t="s">
        <v>992</v>
      </c>
      <c r="Y279" s="478">
        <v>833.19</v>
      </c>
      <c r="Z279" s="386">
        <f>Y279*L279</f>
        <v>13331.04</v>
      </c>
      <c r="AA279" s="371"/>
      <c r="AB279" s="591" t="s">
        <v>975</v>
      </c>
      <c r="AC279" s="388" t="s">
        <v>56</v>
      </c>
      <c r="AD279" s="377"/>
      <c r="AE279" s="389"/>
      <c r="AF279" s="390"/>
      <c r="AG279" s="391"/>
      <c r="AH279" s="391"/>
      <c r="AI279" s="371"/>
      <c r="AJ279" s="482">
        <f>I279</f>
        <v>864</v>
      </c>
      <c r="AK279" s="482"/>
      <c r="AL279" s="296"/>
      <c r="AM279" s="296"/>
      <c r="AN279" s="383"/>
      <c r="AO279" s="371"/>
      <c r="AP279" s="387">
        <f>I279</f>
        <v>864</v>
      </c>
      <c r="AQ279" s="296"/>
      <c r="AR279" s="296"/>
      <c r="AS279" s="388">
        <f>I279/3</f>
        <v>288</v>
      </c>
      <c r="AT279" s="298"/>
    </row>
    <row r="280" s="305" customFormat="1" ht="36" customHeight="1" spans="1:46">
      <c r="A280" s="610">
        <v>46183</v>
      </c>
      <c r="B280" s="611" t="s">
        <v>138</v>
      </c>
      <c r="C280" s="611" t="s">
        <v>71</v>
      </c>
      <c r="D280" s="612" t="s">
        <v>1186</v>
      </c>
      <c r="E280" s="638" t="s">
        <v>1187</v>
      </c>
      <c r="F280" s="614" t="s">
        <v>1188</v>
      </c>
      <c r="G280" s="615" t="s">
        <v>50</v>
      </c>
      <c r="H280" s="616" t="s">
        <v>51</v>
      </c>
      <c r="I280" s="617">
        <v>780</v>
      </c>
      <c r="J280" s="618">
        <v>0</v>
      </c>
      <c r="K280" s="618">
        <v>3</v>
      </c>
      <c r="L280" s="639">
        <f t="shared" si="39"/>
        <v>260</v>
      </c>
      <c r="M280" s="620">
        <v>46238</v>
      </c>
      <c r="N280" s="620">
        <v>46237</v>
      </c>
      <c r="O280" s="621"/>
      <c r="P280" s="622" t="s">
        <v>52</v>
      </c>
      <c r="Q280" s="640">
        <v>46238</v>
      </c>
      <c r="R280" s="494" t="s">
        <v>65</v>
      </c>
      <c r="S280" s="622">
        <v>46183</v>
      </c>
      <c r="T280" s="406" t="s">
        <v>54</v>
      </c>
      <c r="U280" s="382" t="s">
        <v>54</v>
      </c>
      <c r="V280" s="625"/>
      <c r="W280" s="613" t="s">
        <v>1189</v>
      </c>
      <c r="X280" s="626" t="s">
        <v>142</v>
      </c>
      <c r="Y280" s="627">
        <v>6.1211</v>
      </c>
      <c r="Z280" s="628">
        <f>I280*Y280</f>
        <v>4774.458</v>
      </c>
      <c r="AA280" s="612"/>
      <c r="AB280" s="387" t="s">
        <v>50</v>
      </c>
      <c r="AC280" s="629" t="s">
        <v>56</v>
      </c>
      <c r="AD280" s="618"/>
      <c r="AE280" s="630"/>
      <c r="AF280" s="631"/>
      <c r="AG280" s="632"/>
      <c r="AH280" s="632"/>
      <c r="AI280" s="612">
        <f>I280</f>
        <v>780</v>
      </c>
      <c r="AJ280" s="612"/>
      <c r="AK280" s="612"/>
      <c r="AL280" s="312"/>
      <c r="AM280" s="407">
        <f>I280</f>
        <v>780</v>
      </c>
      <c r="AN280" s="612"/>
      <c r="AO280" s="612"/>
      <c r="AP280" s="612"/>
      <c r="AQ280" s="411">
        <f>I280</f>
        <v>780</v>
      </c>
      <c r="AR280" s="411"/>
      <c r="AS280" s="629"/>
      <c r="AT280" s="312"/>
    </row>
    <row r="281" s="300" customFormat="1" ht="36" customHeight="1" spans="1:46">
      <c r="A281" s="369">
        <v>46183</v>
      </c>
      <c r="B281" s="370" t="s">
        <v>138</v>
      </c>
      <c r="C281" s="370" t="s">
        <v>71</v>
      </c>
      <c r="D281" s="371" t="s">
        <v>1186</v>
      </c>
      <c r="E281" s="372" t="s">
        <v>1190</v>
      </c>
      <c r="F281" s="373" t="s">
        <v>1191</v>
      </c>
      <c r="G281" s="374" t="s">
        <v>50</v>
      </c>
      <c r="H281" s="375" t="s">
        <v>51</v>
      </c>
      <c r="I281" s="376">
        <v>420</v>
      </c>
      <c r="J281" s="377">
        <v>0</v>
      </c>
      <c r="K281" s="377">
        <v>3</v>
      </c>
      <c r="L281" s="599">
        <f t="shared" si="39"/>
        <v>140</v>
      </c>
      <c r="M281" s="379">
        <v>46238</v>
      </c>
      <c r="N281" s="379">
        <v>46237</v>
      </c>
      <c r="O281" s="479"/>
      <c r="P281" s="380" t="s">
        <v>52</v>
      </c>
      <c r="Q281" s="509">
        <v>46238</v>
      </c>
      <c r="R281" s="418" t="s">
        <v>65</v>
      </c>
      <c r="S281" s="380">
        <v>46183</v>
      </c>
      <c r="T281" s="382" t="s">
        <v>54</v>
      </c>
      <c r="U281" s="382" t="s">
        <v>54</v>
      </c>
      <c r="V281" s="568"/>
      <c r="W281" s="383" t="s">
        <v>1189</v>
      </c>
      <c r="X281" s="384" t="s">
        <v>142</v>
      </c>
      <c r="Y281" s="478">
        <v>6.2991</v>
      </c>
      <c r="Z281" s="386">
        <f>I281*Y281</f>
        <v>2645.622</v>
      </c>
      <c r="AA281" s="371"/>
      <c r="AB281" s="387" t="s">
        <v>50</v>
      </c>
      <c r="AC281" s="388" t="s">
        <v>56</v>
      </c>
      <c r="AD281" s="377"/>
      <c r="AE281" s="389"/>
      <c r="AF281" s="390"/>
      <c r="AG281" s="391"/>
      <c r="AH281" s="391"/>
      <c r="AI281" s="371">
        <f>I281</f>
        <v>420</v>
      </c>
      <c r="AJ281" s="371"/>
      <c r="AK281" s="371"/>
      <c r="AL281" s="296"/>
      <c r="AM281" s="383">
        <f>I281</f>
        <v>420</v>
      </c>
      <c r="AN281" s="371"/>
      <c r="AO281" s="371"/>
      <c r="AP281" s="371"/>
      <c r="AQ281" s="387">
        <f>I281</f>
        <v>420</v>
      </c>
      <c r="AR281" s="547"/>
      <c r="AS281" s="545"/>
      <c r="AT281" s="298"/>
    </row>
    <row r="282" s="307" customFormat="1" ht="36" customHeight="1" spans="1:46">
      <c r="A282" s="369">
        <v>46139</v>
      </c>
      <c r="B282" s="370" t="s">
        <v>352</v>
      </c>
      <c r="C282" s="370" t="s">
        <v>257</v>
      </c>
      <c r="D282" s="371" t="s">
        <v>1192</v>
      </c>
      <c r="E282" s="383">
        <v>26000057</v>
      </c>
      <c r="F282" s="373" t="s">
        <v>1193</v>
      </c>
      <c r="G282" s="374" t="s">
        <v>50</v>
      </c>
      <c r="H282" s="428" t="s">
        <v>51</v>
      </c>
      <c r="I282" s="376">
        <v>600</v>
      </c>
      <c r="J282" s="377">
        <v>0</v>
      </c>
      <c r="K282" s="377">
        <v>3</v>
      </c>
      <c r="L282" s="378">
        <f t="shared" si="39"/>
        <v>200</v>
      </c>
      <c r="M282" s="542">
        <v>46240</v>
      </c>
      <c r="N282" s="542">
        <v>46242</v>
      </c>
      <c r="O282" s="479"/>
      <c r="P282" s="380" t="s">
        <v>52</v>
      </c>
      <c r="Q282" s="602">
        <v>46244</v>
      </c>
      <c r="R282" s="381"/>
      <c r="S282" s="380" t="s">
        <v>1194</v>
      </c>
      <c r="T282" s="382" t="s">
        <v>54</v>
      </c>
      <c r="U282" s="382" t="s">
        <v>355</v>
      </c>
      <c r="V282" s="529" t="s">
        <v>356</v>
      </c>
      <c r="W282" s="383" t="s">
        <v>1195</v>
      </c>
      <c r="X282" s="384" t="s">
        <v>358</v>
      </c>
      <c r="Y282" s="478">
        <v>9.9425</v>
      </c>
      <c r="Z282" s="386">
        <f>I282*Y282</f>
        <v>5965.5</v>
      </c>
      <c r="AA282" s="371"/>
      <c r="AB282" s="411" t="s">
        <v>84</v>
      </c>
      <c r="AC282" s="388" t="s">
        <v>56</v>
      </c>
      <c r="AD282" s="377"/>
      <c r="AE282" s="389"/>
      <c r="AF282" s="390"/>
      <c r="AG282" s="391"/>
      <c r="AH282" s="391"/>
      <c r="AI282" s="371"/>
      <c r="AJ282" s="482"/>
      <c r="AK282" s="482"/>
      <c r="AL282" s="296">
        <f>I282</f>
        <v>600</v>
      </c>
      <c r="AM282" s="296">
        <f>I282</f>
        <v>600</v>
      </c>
      <c r="AN282" s="383"/>
      <c r="AO282" s="371"/>
      <c r="AP282" s="387"/>
      <c r="AQ282" s="296">
        <f>I282</f>
        <v>600</v>
      </c>
      <c r="AR282" s="296"/>
      <c r="AS282" s="388"/>
      <c r="AT282" s="298"/>
    </row>
    <row r="283" s="307" customFormat="1" ht="36" customHeight="1" spans="1:46">
      <c r="A283" s="369">
        <v>46181</v>
      </c>
      <c r="B283" s="370" t="s">
        <v>1196</v>
      </c>
      <c r="C283" s="370" t="s">
        <v>71</v>
      </c>
      <c r="D283" s="371" t="s">
        <v>1197</v>
      </c>
      <c r="E283" s="372" t="s">
        <v>1198</v>
      </c>
      <c r="F283" s="373" t="s">
        <v>1199</v>
      </c>
      <c r="G283" s="374" t="s">
        <v>50</v>
      </c>
      <c r="H283" s="375" t="s">
        <v>51</v>
      </c>
      <c r="I283" s="376">
        <v>162</v>
      </c>
      <c r="J283" s="377">
        <v>0</v>
      </c>
      <c r="K283" s="377">
        <v>3</v>
      </c>
      <c r="L283" s="599">
        <f t="shared" si="39"/>
        <v>54</v>
      </c>
      <c r="M283" s="379">
        <v>46245</v>
      </c>
      <c r="N283" s="379">
        <v>46244</v>
      </c>
      <c r="O283" s="479"/>
      <c r="P283" s="380" t="s">
        <v>52</v>
      </c>
      <c r="Q283" s="520">
        <v>46245</v>
      </c>
      <c r="R283" s="418" t="s">
        <v>65</v>
      </c>
      <c r="S283" s="380">
        <v>46202</v>
      </c>
      <c r="T283" s="382" t="s">
        <v>54</v>
      </c>
      <c r="U283" s="382" t="s">
        <v>54</v>
      </c>
      <c r="V283" s="600"/>
      <c r="W283" s="383" t="s">
        <v>1200</v>
      </c>
      <c r="X283" s="384" t="s">
        <v>1201</v>
      </c>
      <c r="Y283" s="478">
        <v>6.2991</v>
      </c>
      <c r="Z283" s="386">
        <f>I283*Y283</f>
        <v>1020.4542</v>
      </c>
      <c r="AA283" s="371"/>
      <c r="AB283" s="411" t="s">
        <v>50</v>
      </c>
      <c r="AC283" s="388" t="s">
        <v>56</v>
      </c>
      <c r="AD283" s="377"/>
      <c r="AE283" s="389"/>
      <c r="AF283" s="390"/>
      <c r="AG283" s="391"/>
      <c r="AH283" s="391"/>
      <c r="AI283" s="371">
        <f>I283</f>
        <v>162</v>
      </c>
      <c r="AJ283" s="371"/>
      <c r="AK283" s="371"/>
      <c r="AL283" s="296"/>
      <c r="AM283" s="371">
        <f>I283</f>
        <v>162</v>
      </c>
      <c r="AN283" s="371"/>
      <c r="AO283" s="371"/>
      <c r="AP283" s="371"/>
      <c r="AQ283" s="388">
        <f>I283</f>
        <v>162</v>
      </c>
      <c r="AR283" s="388"/>
      <c r="AS283" s="388"/>
      <c r="AT283" s="298"/>
    </row>
    <row r="284" s="314" customFormat="1" ht="36" customHeight="1" spans="1:46">
      <c r="A284" s="610">
        <v>46154</v>
      </c>
      <c r="B284" s="611" t="s">
        <v>969</v>
      </c>
      <c r="C284" s="611" t="s">
        <v>78</v>
      </c>
      <c r="D284" s="612" t="s">
        <v>970</v>
      </c>
      <c r="E284" s="638" t="s">
        <v>1202</v>
      </c>
      <c r="F284" s="614" t="s">
        <v>1203</v>
      </c>
      <c r="G284" s="615" t="s">
        <v>597</v>
      </c>
      <c r="H284" s="616" t="s">
        <v>51</v>
      </c>
      <c r="I284" s="617">
        <v>1944</v>
      </c>
      <c r="J284" s="618">
        <v>0</v>
      </c>
      <c r="K284" s="618">
        <v>54</v>
      </c>
      <c r="L284" s="619">
        <f t="shared" si="39"/>
        <v>36</v>
      </c>
      <c r="M284" s="620">
        <v>46245</v>
      </c>
      <c r="N284" s="620">
        <v>46244</v>
      </c>
      <c r="O284" s="621"/>
      <c r="P284" s="622" t="s">
        <v>52</v>
      </c>
      <c r="Q284" s="669">
        <v>46240</v>
      </c>
      <c r="R284" s="641" t="s">
        <v>65</v>
      </c>
      <c r="S284" s="404">
        <v>46175</v>
      </c>
      <c r="T284" s="436" t="s">
        <v>54</v>
      </c>
      <c r="U284" s="406" t="s">
        <v>54</v>
      </c>
      <c r="V284" s="642" t="s">
        <v>973</v>
      </c>
      <c r="W284" s="646" t="s">
        <v>974</v>
      </c>
      <c r="X284" s="626" t="s">
        <v>83</v>
      </c>
      <c r="Y284" s="627">
        <v>833.19</v>
      </c>
      <c r="Z284" s="628">
        <f>Y284*L284</f>
        <v>29994.84</v>
      </c>
      <c r="AA284" s="612"/>
      <c r="AB284" s="591" t="s">
        <v>975</v>
      </c>
      <c r="AC284" s="388" t="s">
        <v>56</v>
      </c>
      <c r="AD284" s="618"/>
      <c r="AE284" s="630"/>
      <c r="AF284" s="631"/>
      <c r="AG284" s="632"/>
      <c r="AH284" s="391"/>
      <c r="AI284" s="371"/>
      <c r="AJ284" s="635">
        <f>I284</f>
        <v>1944</v>
      </c>
      <c r="AK284" s="635"/>
      <c r="AL284" s="312"/>
      <c r="AM284" s="312"/>
      <c r="AN284" s="613"/>
      <c r="AO284" s="612"/>
      <c r="AP284" s="637">
        <f>I284</f>
        <v>1944</v>
      </c>
      <c r="AQ284" s="312"/>
      <c r="AR284" s="312"/>
      <c r="AS284" s="629">
        <f>I284/3</f>
        <v>648</v>
      </c>
      <c r="AT284" s="296"/>
    </row>
    <row r="285" s="305" customFormat="1" ht="36" customHeight="1" spans="1:46">
      <c r="A285" s="610">
        <v>46170</v>
      </c>
      <c r="B285" s="611" t="s">
        <v>1204</v>
      </c>
      <c r="C285" s="611" t="s">
        <v>1205</v>
      </c>
      <c r="D285" s="612" t="s">
        <v>1206</v>
      </c>
      <c r="E285" s="638" t="s">
        <v>312</v>
      </c>
      <c r="F285" s="614" t="s">
        <v>1207</v>
      </c>
      <c r="G285" s="615" t="s">
        <v>50</v>
      </c>
      <c r="H285" s="616" t="s">
        <v>51</v>
      </c>
      <c r="I285" s="617">
        <v>201</v>
      </c>
      <c r="J285" s="618">
        <v>0</v>
      </c>
      <c r="K285" s="618">
        <v>3</v>
      </c>
      <c r="L285" s="619">
        <f t="shared" si="39"/>
        <v>67</v>
      </c>
      <c r="M285" s="620">
        <v>46239</v>
      </c>
      <c r="N285" s="620">
        <v>46237</v>
      </c>
      <c r="O285" s="621"/>
      <c r="P285" s="622" t="s">
        <v>52</v>
      </c>
      <c r="Q285" s="623">
        <v>46242</v>
      </c>
      <c r="R285" s="494" t="s">
        <v>65</v>
      </c>
      <c r="S285" s="622">
        <v>46185</v>
      </c>
      <c r="T285" s="406" t="s">
        <v>54</v>
      </c>
      <c r="U285" s="559" t="s">
        <v>1208</v>
      </c>
      <c r="V285" s="625"/>
      <c r="W285" s="646" t="s">
        <v>1209</v>
      </c>
      <c r="X285" s="626" t="s">
        <v>264</v>
      </c>
      <c r="Y285" s="627">
        <v>10.2018</v>
      </c>
      <c r="Z285" s="628">
        <f>I285*Y285</f>
        <v>2050.5618</v>
      </c>
      <c r="AA285" s="612"/>
      <c r="AB285" s="387" t="s">
        <v>84</v>
      </c>
      <c r="AC285" s="629" t="s">
        <v>56</v>
      </c>
      <c r="AD285" s="618"/>
      <c r="AE285" s="630"/>
      <c r="AF285" s="631"/>
      <c r="AG285" s="632"/>
      <c r="AH285" s="632"/>
      <c r="AI285" s="612"/>
      <c r="AJ285" s="612"/>
      <c r="AK285" s="612"/>
      <c r="AL285" s="312">
        <f>I285</f>
        <v>201</v>
      </c>
      <c r="AM285" s="407">
        <f t="shared" ref="AM285:AM307" si="44">I285</f>
        <v>201</v>
      </c>
      <c r="AN285" s="612"/>
      <c r="AO285" s="612" t="s">
        <v>101</v>
      </c>
      <c r="AP285" s="612"/>
      <c r="AQ285" s="411">
        <f>I285</f>
        <v>201</v>
      </c>
      <c r="AR285" s="411"/>
      <c r="AS285" s="629"/>
    </row>
    <row r="286" s="295" customFormat="1" ht="36" customHeight="1" spans="1:46">
      <c r="A286" s="369">
        <v>46174</v>
      </c>
      <c r="B286" s="370" t="s">
        <v>707</v>
      </c>
      <c r="C286" s="370" t="s">
        <v>175</v>
      </c>
      <c r="D286" s="371">
        <v>4500210043</v>
      </c>
      <c r="E286" s="573" t="s">
        <v>1210</v>
      </c>
      <c r="F286" s="373" t="s">
        <v>1211</v>
      </c>
      <c r="G286" s="374" t="s">
        <v>50</v>
      </c>
      <c r="H286" s="375" t="s">
        <v>51</v>
      </c>
      <c r="I286" s="376">
        <v>300</v>
      </c>
      <c r="J286" s="377">
        <v>0</v>
      </c>
      <c r="K286" s="377">
        <v>3</v>
      </c>
      <c r="L286" s="599">
        <f t="shared" si="39"/>
        <v>100</v>
      </c>
      <c r="M286" s="379">
        <v>46239</v>
      </c>
      <c r="N286" s="379">
        <v>46237</v>
      </c>
      <c r="O286" s="479"/>
      <c r="P286" s="380" t="s">
        <v>52</v>
      </c>
      <c r="Q286" s="596">
        <v>46253</v>
      </c>
      <c r="R286" s="418" t="s">
        <v>65</v>
      </c>
      <c r="S286" s="380">
        <v>46174</v>
      </c>
      <c r="T286" s="382" t="s">
        <v>54</v>
      </c>
      <c r="U286" s="559" t="s">
        <v>1212</v>
      </c>
      <c r="V286" s="600"/>
      <c r="W286" s="491" t="s">
        <v>1213</v>
      </c>
      <c r="X286" s="384" t="s">
        <v>381</v>
      </c>
      <c r="Y286" s="478">
        <v>10.2018</v>
      </c>
      <c r="Z286" s="386">
        <f>I286*Y286</f>
        <v>3060.54</v>
      </c>
      <c r="AA286" s="371"/>
      <c r="AB286" s="411" t="s">
        <v>84</v>
      </c>
      <c r="AC286" s="388" t="s">
        <v>56</v>
      </c>
      <c r="AD286" s="377"/>
      <c r="AE286" s="389"/>
      <c r="AF286" s="390"/>
      <c r="AG286" s="391"/>
      <c r="AH286" s="391"/>
      <c r="AI286" s="371"/>
      <c r="AJ286" s="371"/>
      <c r="AK286" s="371"/>
      <c r="AL286" s="296">
        <f>I286</f>
        <v>300</v>
      </c>
      <c r="AM286" s="383">
        <f t="shared" si="44"/>
        <v>300</v>
      </c>
      <c r="AN286" s="371"/>
      <c r="AO286" s="371" t="s">
        <v>101</v>
      </c>
      <c r="AP286" s="371"/>
      <c r="AQ286" s="387">
        <f>I286</f>
        <v>300</v>
      </c>
      <c r="AR286" s="387"/>
      <c r="AS286" s="388"/>
      <c r="AT286" s="298"/>
    </row>
    <row r="287" s="312" customFormat="1" ht="36" customHeight="1" spans="1:46">
      <c r="A287" s="369">
        <v>46178</v>
      </c>
      <c r="B287" s="370" t="s">
        <v>1214</v>
      </c>
      <c r="C287" s="370" t="s">
        <v>1205</v>
      </c>
      <c r="D287" s="371" t="s">
        <v>1215</v>
      </c>
      <c r="E287" s="372" t="s">
        <v>1216</v>
      </c>
      <c r="F287" s="373" t="s">
        <v>1217</v>
      </c>
      <c r="G287" s="374" t="s">
        <v>50</v>
      </c>
      <c r="H287" s="375" t="s">
        <v>51</v>
      </c>
      <c r="I287" s="376">
        <v>432</v>
      </c>
      <c r="J287" s="377">
        <v>0</v>
      </c>
      <c r="K287" s="377">
        <v>3</v>
      </c>
      <c r="L287" s="599">
        <f t="shared" si="39"/>
        <v>144</v>
      </c>
      <c r="M287" s="670">
        <v>46245</v>
      </c>
      <c r="N287" s="670">
        <v>46244</v>
      </c>
      <c r="O287" s="479"/>
      <c r="P287" s="380" t="s">
        <v>52</v>
      </c>
      <c r="Q287" s="381"/>
      <c r="R287" s="418" t="s">
        <v>65</v>
      </c>
      <c r="S287" s="380">
        <v>46203</v>
      </c>
      <c r="T287" s="382" t="s">
        <v>54</v>
      </c>
      <c r="U287" s="603" t="s">
        <v>1218</v>
      </c>
      <c r="V287" s="578"/>
      <c r="W287" s="383" t="s">
        <v>1219</v>
      </c>
      <c r="X287" s="384" t="s">
        <v>1220</v>
      </c>
      <c r="Y287" s="478">
        <v>10.4985</v>
      </c>
      <c r="Z287" s="386">
        <f>I287*Y287</f>
        <v>4535.352</v>
      </c>
      <c r="AA287" s="371"/>
      <c r="AB287" s="374" t="s">
        <v>50</v>
      </c>
      <c r="AC287" s="388" t="s">
        <v>56</v>
      </c>
      <c r="AD287" s="377"/>
      <c r="AE287" s="389"/>
      <c r="AF287" s="390"/>
      <c r="AG287" s="391"/>
      <c r="AH287" s="391"/>
      <c r="AI287" s="371">
        <f>I287</f>
        <v>432</v>
      </c>
      <c r="AJ287" s="371"/>
      <c r="AK287" s="371"/>
      <c r="AL287" s="296"/>
      <c r="AM287" s="383">
        <f t="shared" si="44"/>
        <v>432</v>
      </c>
      <c r="AN287" s="371"/>
      <c r="AO287" s="371"/>
      <c r="AP287" s="371"/>
      <c r="AQ287" s="387">
        <f>I287</f>
        <v>432</v>
      </c>
      <c r="AR287" s="387"/>
      <c r="AS287" s="388"/>
    </row>
    <row r="288" s="296" customFormat="1" ht="36" customHeight="1" spans="1:46">
      <c r="A288" s="369">
        <v>46154</v>
      </c>
      <c r="B288" s="370" t="s">
        <v>862</v>
      </c>
      <c r="C288" s="370" t="s">
        <v>863</v>
      </c>
      <c r="D288" s="371">
        <v>4500203215</v>
      </c>
      <c r="E288" s="372" t="s">
        <v>1221</v>
      </c>
      <c r="F288" s="373" t="s">
        <v>1222</v>
      </c>
      <c r="G288" s="374" t="s">
        <v>50</v>
      </c>
      <c r="H288" s="375" t="s">
        <v>51</v>
      </c>
      <c r="I288" s="376">
        <v>132</v>
      </c>
      <c r="J288" s="377">
        <v>0</v>
      </c>
      <c r="K288" s="377">
        <v>3</v>
      </c>
      <c r="L288" s="378">
        <f t="shared" si="39"/>
        <v>44</v>
      </c>
      <c r="M288" s="379">
        <v>46220</v>
      </c>
      <c r="N288" s="379">
        <v>46218</v>
      </c>
      <c r="O288" s="380"/>
      <c r="P288" s="380" t="s">
        <v>52</v>
      </c>
      <c r="Q288" s="520">
        <v>46247</v>
      </c>
      <c r="R288" s="418" t="s">
        <v>65</v>
      </c>
      <c r="S288" s="380">
        <v>46184</v>
      </c>
      <c r="T288" s="382" t="s">
        <v>54</v>
      </c>
      <c r="U288" s="559" t="s">
        <v>1223</v>
      </c>
      <c r="V288" s="382"/>
      <c r="W288" s="383" t="s">
        <v>1224</v>
      </c>
      <c r="X288" s="384" t="s">
        <v>870</v>
      </c>
      <c r="Y288" s="478">
        <v>10.2316</v>
      </c>
      <c r="Z288" s="386">
        <f>I288*Y288</f>
        <v>1350.5712</v>
      </c>
      <c r="AA288" s="371"/>
      <c r="AB288" s="374" t="s">
        <v>84</v>
      </c>
      <c r="AC288" s="388" t="s">
        <v>56</v>
      </c>
      <c r="AD288" s="377"/>
      <c r="AE288" s="389"/>
      <c r="AF288" s="390"/>
      <c r="AG288" s="391"/>
      <c r="AH288" s="391"/>
      <c r="AI288" s="371"/>
      <c r="AJ288" s="371"/>
      <c r="AK288" s="371"/>
      <c r="AL288" s="296">
        <f>I288</f>
        <v>132</v>
      </c>
      <c r="AM288" s="383">
        <f t="shared" si="44"/>
        <v>132</v>
      </c>
      <c r="AN288" s="392"/>
      <c r="AO288" s="392"/>
      <c r="AP288" s="392"/>
      <c r="AQ288" s="387">
        <f>I288</f>
        <v>132</v>
      </c>
      <c r="AR288" s="387"/>
      <c r="AS288" s="296"/>
      <c r="AT288" s="583"/>
    </row>
    <row r="289" s="296" customFormat="1" ht="36" customHeight="1" spans="1:46">
      <c r="A289" s="369">
        <v>46169</v>
      </c>
      <c r="B289" s="370" t="s">
        <v>1225</v>
      </c>
      <c r="C289" s="370" t="s">
        <v>1226</v>
      </c>
      <c r="D289" s="371" t="s">
        <v>1227</v>
      </c>
      <c r="E289" s="372" t="s">
        <v>1228</v>
      </c>
      <c r="F289" s="373" t="s">
        <v>1229</v>
      </c>
      <c r="G289" s="374" t="s">
        <v>50</v>
      </c>
      <c r="H289" s="375" t="s">
        <v>51</v>
      </c>
      <c r="I289" s="376">
        <v>3000</v>
      </c>
      <c r="J289" s="377">
        <v>0</v>
      </c>
      <c r="K289" s="377">
        <v>3</v>
      </c>
      <c r="L289" s="378">
        <f t="shared" si="39"/>
        <v>1000</v>
      </c>
      <c r="M289" s="379">
        <v>46246</v>
      </c>
      <c r="N289" s="379">
        <v>46244</v>
      </c>
      <c r="O289" s="479"/>
      <c r="P289" s="380" t="s">
        <v>52</v>
      </c>
      <c r="Q289" s="520">
        <v>46252</v>
      </c>
      <c r="R289" s="418" t="s">
        <v>65</v>
      </c>
      <c r="S289" s="380">
        <v>46183</v>
      </c>
      <c r="T289" s="382" t="s">
        <v>54</v>
      </c>
      <c r="U289" s="559" t="s">
        <v>1230</v>
      </c>
      <c r="V289" s="568"/>
      <c r="W289" s="383" t="s">
        <v>1231</v>
      </c>
      <c r="X289" s="384" t="s">
        <v>870</v>
      </c>
      <c r="Y289" s="478">
        <v>10.1553</v>
      </c>
      <c r="Z289" s="386">
        <f>I289*Y289</f>
        <v>30465.9</v>
      </c>
      <c r="AA289" s="371"/>
      <c r="AB289" s="387" t="s">
        <v>84</v>
      </c>
      <c r="AC289" s="388" t="s">
        <v>56</v>
      </c>
      <c r="AD289" s="377"/>
      <c r="AE289" s="389"/>
      <c r="AF289" s="390"/>
      <c r="AG289" s="391"/>
      <c r="AH289" s="391"/>
      <c r="AI289" s="371"/>
      <c r="AJ289" s="371"/>
      <c r="AK289" s="371"/>
      <c r="AL289" s="296">
        <f>I289</f>
        <v>3000</v>
      </c>
      <c r="AM289" s="613">
        <f t="shared" si="44"/>
        <v>3000</v>
      </c>
      <c r="AN289" s="612"/>
      <c r="AO289" s="612"/>
      <c r="AP289" s="612"/>
      <c r="AR289" s="387">
        <f>I289</f>
        <v>3000</v>
      </c>
      <c r="AS289" s="388"/>
      <c r="AT289" s="299"/>
    </row>
    <row r="290" s="296" customFormat="1" ht="36" customHeight="1" spans="1:46">
      <c r="A290" s="369">
        <v>46162</v>
      </c>
      <c r="B290" s="370" t="s">
        <v>285</v>
      </c>
      <c r="C290" s="370" t="s">
        <v>71</v>
      </c>
      <c r="D290" s="371" t="s">
        <v>1232</v>
      </c>
      <c r="E290" s="372" t="s">
        <v>1233</v>
      </c>
      <c r="F290" s="373" t="s">
        <v>1234</v>
      </c>
      <c r="G290" s="374" t="s">
        <v>169</v>
      </c>
      <c r="H290" s="375" t="s">
        <v>51</v>
      </c>
      <c r="I290" s="376">
        <v>69</v>
      </c>
      <c r="J290" s="377">
        <v>0</v>
      </c>
      <c r="K290" s="377">
        <v>3</v>
      </c>
      <c r="L290" s="599">
        <f t="shared" si="39"/>
        <v>23</v>
      </c>
      <c r="M290" s="379">
        <v>46247</v>
      </c>
      <c r="N290" s="379">
        <v>46244</v>
      </c>
      <c r="O290" s="479"/>
      <c r="P290" s="380" t="s">
        <v>52</v>
      </c>
      <c r="Q290" s="381"/>
      <c r="R290" s="381" t="s">
        <v>98</v>
      </c>
      <c r="S290" s="380">
        <v>46162</v>
      </c>
      <c r="T290" s="382" t="s">
        <v>66</v>
      </c>
      <c r="U290" s="559" t="s">
        <v>1235</v>
      </c>
      <c r="V290" s="568" t="s">
        <v>1236</v>
      </c>
      <c r="W290" s="491" t="s">
        <v>1237</v>
      </c>
      <c r="X290" s="384" t="s">
        <v>292</v>
      </c>
      <c r="Y290" s="478">
        <v>6.5042</v>
      </c>
      <c r="Z290" s="386">
        <f>Y290*L290</f>
        <v>149.5966</v>
      </c>
      <c r="AA290" s="371"/>
      <c r="AB290" s="387" t="s">
        <v>169</v>
      </c>
      <c r="AC290" s="388" t="s">
        <v>56</v>
      </c>
      <c r="AD290" s="377"/>
      <c r="AE290" s="389"/>
      <c r="AF290" s="390"/>
      <c r="AG290" s="391"/>
      <c r="AH290" s="391"/>
      <c r="AI290" s="371">
        <f>I290</f>
        <v>69</v>
      </c>
      <c r="AJ290" s="371"/>
      <c r="AK290" s="371"/>
      <c r="AL290" s="296"/>
      <c r="AM290" s="383">
        <f t="shared" si="44"/>
        <v>69</v>
      </c>
      <c r="AN290" s="371"/>
      <c r="AO290" s="371"/>
      <c r="AP290" s="371"/>
      <c r="AR290" s="387">
        <f>I290</f>
        <v>69</v>
      </c>
      <c r="AS290" s="388"/>
    </row>
    <row r="291" s="296" customFormat="1" ht="36" customHeight="1" spans="1:46">
      <c r="A291" s="369">
        <v>46162</v>
      </c>
      <c r="B291" s="370" t="s">
        <v>285</v>
      </c>
      <c r="C291" s="370" t="s">
        <v>71</v>
      </c>
      <c r="D291" s="371" t="s">
        <v>1232</v>
      </c>
      <c r="E291" s="372" t="s">
        <v>1238</v>
      </c>
      <c r="F291" s="373" t="s">
        <v>1239</v>
      </c>
      <c r="G291" s="374" t="s">
        <v>169</v>
      </c>
      <c r="H291" s="375" t="s">
        <v>51</v>
      </c>
      <c r="I291" s="376">
        <v>240</v>
      </c>
      <c r="J291" s="377">
        <v>0</v>
      </c>
      <c r="K291" s="377">
        <v>3</v>
      </c>
      <c r="L291" s="599">
        <f t="shared" si="39"/>
        <v>80</v>
      </c>
      <c r="M291" s="379">
        <v>46247</v>
      </c>
      <c r="N291" s="379">
        <v>46244</v>
      </c>
      <c r="O291" s="479"/>
      <c r="P291" s="380" t="s">
        <v>52</v>
      </c>
      <c r="Q291" s="381"/>
      <c r="R291" s="381" t="s">
        <v>98</v>
      </c>
      <c r="S291" s="380">
        <v>46162</v>
      </c>
      <c r="T291" s="382" t="s">
        <v>66</v>
      </c>
      <c r="U291" s="559" t="s">
        <v>1235</v>
      </c>
      <c r="V291" s="568" t="s">
        <v>1236</v>
      </c>
      <c r="W291" s="491" t="s">
        <v>1237</v>
      </c>
      <c r="X291" s="384" t="s">
        <v>292</v>
      </c>
      <c r="Y291" s="478">
        <v>6.5042</v>
      </c>
      <c r="Z291" s="386">
        <f>Y291*L291</f>
        <v>520.336</v>
      </c>
      <c r="AA291" s="371"/>
      <c r="AB291" s="387" t="s">
        <v>169</v>
      </c>
      <c r="AC291" s="388" t="s">
        <v>56</v>
      </c>
      <c r="AD291" s="377"/>
      <c r="AE291" s="389"/>
      <c r="AF291" s="390"/>
      <c r="AG291" s="391"/>
      <c r="AH291" s="391"/>
      <c r="AI291" s="371">
        <f>I291</f>
        <v>240</v>
      </c>
      <c r="AJ291" s="371"/>
      <c r="AK291" s="371"/>
      <c r="AL291" s="296"/>
      <c r="AM291" s="383">
        <f t="shared" si="44"/>
        <v>240</v>
      </c>
      <c r="AN291" s="371"/>
      <c r="AO291" s="371"/>
      <c r="AP291" s="371"/>
      <c r="AR291" s="387">
        <f>I291</f>
        <v>240</v>
      </c>
      <c r="AS291" s="388"/>
    </row>
    <row r="292" s="295" customFormat="1" ht="36" customHeight="1" spans="1:46">
      <c r="A292" s="369">
        <v>46153</v>
      </c>
      <c r="B292" s="370" t="s">
        <v>1240</v>
      </c>
      <c r="C292" s="370" t="s">
        <v>396</v>
      </c>
      <c r="D292" s="371" t="s">
        <v>1241</v>
      </c>
      <c r="E292" s="383">
        <v>3301470663</v>
      </c>
      <c r="F292" s="373" t="s">
        <v>1242</v>
      </c>
      <c r="G292" s="374" t="s">
        <v>50</v>
      </c>
      <c r="H292" s="428" t="s">
        <v>51</v>
      </c>
      <c r="I292" s="376">
        <v>900</v>
      </c>
      <c r="J292" s="377">
        <v>0</v>
      </c>
      <c r="K292" s="377">
        <v>3</v>
      </c>
      <c r="L292" s="378">
        <f t="shared" si="39"/>
        <v>300</v>
      </c>
      <c r="M292" s="379">
        <v>46196</v>
      </c>
      <c r="N292" s="379">
        <v>46245</v>
      </c>
      <c r="O292" s="380"/>
      <c r="P292" s="380" t="s">
        <v>52</v>
      </c>
      <c r="Q292" s="520">
        <v>46250</v>
      </c>
      <c r="R292" s="494" t="s">
        <v>65</v>
      </c>
      <c r="S292" s="380">
        <v>46167</v>
      </c>
      <c r="T292" s="436" t="s">
        <v>54</v>
      </c>
      <c r="U292" s="559" t="s">
        <v>1243</v>
      </c>
      <c r="V292" s="603" t="s">
        <v>1244</v>
      </c>
      <c r="W292" s="383" t="s">
        <v>1245</v>
      </c>
      <c r="X292" s="384" t="s">
        <v>748</v>
      </c>
      <c r="Y292" s="478">
        <v>10.2316</v>
      </c>
      <c r="Z292" s="386">
        <f t="shared" ref="Z292:Z300" si="45">I292*Y292</f>
        <v>9208.44</v>
      </c>
      <c r="AA292" s="371"/>
      <c r="AB292" s="374" t="s">
        <v>84</v>
      </c>
      <c r="AC292" s="388" t="s">
        <v>56</v>
      </c>
      <c r="AD292" s="377"/>
      <c r="AE292" s="389"/>
      <c r="AF292" s="390"/>
      <c r="AG292" s="391"/>
      <c r="AH292" s="391"/>
      <c r="AI292" s="371"/>
      <c r="AJ292" s="371"/>
      <c r="AK292" s="371"/>
      <c r="AL292" s="296">
        <f>I292</f>
        <v>900</v>
      </c>
      <c r="AM292" s="296">
        <f t="shared" si="44"/>
        <v>900</v>
      </c>
      <c r="AN292" s="371"/>
      <c r="AO292" s="371"/>
      <c r="AP292" s="371"/>
      <c r="AR292" s="296">
        <f>I292</f>
        <v>900</v>
      </c>
      <c r="AS292" s="296"/>
      <c r="AT292" s="298"/>
    </row>
    <row r="293" s="312" customFormat="1" ht="36" customHeight="1" spans="1:46">
      <c r="A293" s="369">
        <v>46161</v>
      </c>
      <c r="B293" s="370" t="s">
        <v>70</v>
      </c>
      <c r="C293" s="370" t="s">
        <v>71</v>
      </c>
      <c r="D293" s="371" t="s">
        <v>1246</v>
      </c>
      <c r="E293" s="372" t="s">
        <v>1247</v>
      </c>
      <c r="F293" s="373" t="s">
        <v>1248</v>
      </c>
      <c r="G293" s="374" t="s">
        <v>50</v>
      </c>
      <c r="H293" s="375" t="s">
        <v>51</v>
      </c>
      <c r="I293" s="376">
        <v>387</v>
      </c>
      <c r="J293" s="377">
        <v>0</v>
      </c>
      <c r="K293" s="377">
        <v>3</v>
      </c>
      <c r="L293" s="378">
        <f t="shared" si="39"/>
        <v>129</v>
      </c>
      <c r="M293" s="379">
        <v>46233</v>
      </c>
      <c r="N293" s="379">
        <v>46245</v>
      </c>
      <c r="O293" s="479"/>
      <c r="P293" s="380" t="s">
        <v>52</v>
      </c>
      <c r="Q293" s="520">
        <v>46247</v>
      </c>
      <c r="R293" s="418" t="s">
        <v>65</v>
      </c>
      <c r="S293" s="380">
        <v>46203</v>
      </c>
      <c r="T293" s="382" t="s">
        <v>66</v>
      </c>
      <c r="U293" s="559" t="s">
        <v>1249</v>
      </c>
      <c r="V293" s="382"/>
      <c r="W293" s="383" t="s">
        <v>1250</v>
      </c>
      <c r="X293" s="384" t="s">
        <v>76</v>
      </c>
      <c r="Y293" s="478">
        <v>6.1211</v>
      </c>
      <c r="Z293" s="386">
        <f t="shared" si="45"/>
        <v>2368.8657</v>
      </c>
      <c r="AA293" s="371"/>
      <c r="AB293" s="411" t="s">
        <v>50</v>
      </c>
      <c r="AC293" s="388" t="s">
        <v>56</v>
      </c>
      <c r="AD293" s="377"/>
      <c r="AE293" s="389"/>
      <c r="AF293" s="390"/>
      <c r="AG293" s="391"/>
      <c r="AH293" s="391"/>
      <c r="AI293" s="371">
        <f>I293</f>
        <v>387</v>
      </c>
      <c r="AJ293" s="482"/>
      <c r="AK293" s="482"/>
      <c r="AL293" s="296"/>
      <c r="AM293" s="296">
        <f t="shared" si="44"/>
        <v>387</v>
      </c>
      <c r="AN293" s="383"/>
      <c r="AO293" s="371"/>
      <c r="AP293" s="387"/>
      <c r="AQ293" s="371"/>
      <c r="AR293" s="296">
        <f>I293</f>
        <v>387</v>
      </c>
      <c r="AS293" s="388"/>
    </row>
    <row r="294" s="312" customFormat="1" ht="36" customHeight="1" spans="1:46">
      <c r="A294" s="393">
        <v>46197</v>
      </c>
      <c r="B294" s="394" t="s">
        <v>838</v>
      </c>
      <c r="C294" s="394" t="s">
        <v>71</v>
      </c>
      <c r="D294" s="395" t="s">
        <v>1251</v>
      </c>
      <c r="E294" s="396" t="s">
        <v>1252</v>
      </c>
      <c r="F294" s="397" t="s">
        <v>1253</v>
      </c>
      <c r="G294" s="398" t="s">
        <v>50</v>
      </c>
      <c r="H294" s="507" t="s">
        <v>51</v>
      </c>
      <c r="I294" s="400">
        <v>273</v>
      </c>
      <c r="J294" s="401">
        <v>0</v>
      </c>
      <c r="K294" s="401">
        <v>3</v>
      </c>
      <c r="L294" s="659">
        <f t="shared" si="39"/>
        <v>91</v>
      </c>
      <c r="M294" s="403">
        <v>46240</v>
      </c>
      <c r="N294" s="403">
        <v>46238</v>
      </c>
      <c r="O294" s="530"/>
      <c r="P294" s="404" t="s">
        <v>52</v>
      </c>
      <c r="Q294" s="508">
        <v>46253</v>
      </c>
      <c r="R294" s="494" t="s">
        <v>65</v>
      </c>
      <c r="S294" s="404">
        <v>46206</v>
      </c>
      <c r="T294" s="603" t="s">
        <v>66</v>
      </c>
      <c r="U294" s="603" t="s">
        <v>1254</v>
      </c>
      <c r="V294" s="658"/>
      <c r="W294" s="407" t="s">
        <v>1255</v>
      </c>
      <c r="X294" s="408" t="s">
        <v>844</v>
      </c>
      <c r="Y294" s="504">
        <v>6.1211</v>
      </c>
      <c r="Z294" s="410">
        <f t="shared" si="45"/>
        <v>1671.0603</v>
      </c>
      <c r="AA294" s="395"/>
      <c r="AB294" s="398" t="s">
        <v>50</v>
      </c>
      <c r="AC294" s="412" t="s">
        <v>56</v>
      </c>
      <c r="AD294" s="401"/>
      <c r="AE294" s="495"/>
      <c r="AF294" s="414"/>
      <c r="AG294" s="415"/>
      <c r="AH294" s="415"/>
      <c r="AI294" s="395">
        <f>I294</f>
        <v>273</v>
      </c>
      <c r="AJ294" s="395"/>
      <c r="AK294" s="395"/>
      <c r="AL294" s="528"/>
      <c r="AM294" s="407">
        <f t="shared" si="44"/>
        <v>273</v>
      </c>
      <c r="AN294" s="416"/>
      <c r="AO294" s="416"/>
      <c r="AP294" s="416"/>
      <c r="AR294" s="411">
        <f t="shared" ref="AR294:AR307" si="46">I294</f>
        <v>273</v>
      </c>
      <c r="AS294" s="412"/>
    </row>
    <row r="295" s="295" customFormat="1" ht="36" customHeight="1" spans="1:46">
      <c r="A295" s="393">
        <v>46204</v>
      </c>
      <c r="B295" s="394" t="s">
        <v>838</v>
      </c>
      <c r="C295" s="394" t="s">
        <v>71</v>
      </c>
      <c r="D295" s="395" t="s">
        <v>1256</v>
      </c>
      <c r="E295" s="396" t="s">
        <v>1257</v>
      </c>
      <c r="F295" s="397" t="s">
        <v>1258</v>
      </c>
      <c r="G295" s="398" t="s">
        <v>50</v>
      </c>
      <c r="H295" s="399" t="s">
        <v>51</v>
      </c>
      <c r="I295" s="400">
        <v>387</v>
      </c>
      <c r="J295" s="401">
        <v>0</v>
      </c>
      <c r="K295" s="401">
        <v>3</v>
      </c>
      <c r="L295" s="402">
        <f t="shared" si="39"/>
        <v>129</v>
      </c>
      <c r="M295" s="403">
        <v>46247</v>
      </c>
      <c r="N295" s="403">
        <v>46245</v>
      </c>
      <c r="O295" s="530"/>
      <c r="P295" s="404" t="s">
        <v>52</v>
      </c>
      <c r="Q295" s="405"/>
      <c r="R295" s="494" t="s">
        <v>65</v>
      </c>
      <c r="S295" s="404">
        <v>46216</v>
      </c>
      <c r="T295" s="603" t="s">
        <v>66</v>
      </c>
      <c r="U295" s="603" t="s">
        <v>1259</v>
      </c>
      <c r="V295" s="603"/>
      <c r="W295" s="407" t="s">
        <v>1260</v>
      </c>
      <c r="X295" s="408" t="s">
        <v>844</v>
      </c>
      <c r="Y295" s="504">
        <v>6.1211</v>
      </c>
      <c r="Z295" s="410">
        <f t="shared" si="45"/>
        <v>2368.8657</v>
      </c>
      <c r="AA295" s="395"/>
      <c r="AB295" s="387" t="s">
        <v>50</v>
      </c>
      <c r="AC295" s="412" t="s">
        <v>56</v>
      </c>
      <c r="AD295" s="401"/>
      <c r="AE295" s="495"/>
      <c r="AF295" s="414"/>
      <c r="AG295" s="415"/>
      <c r="AH295" s="415"/>
      <c r="AI295" s="395">
        <f>I295</f>
        <v>387</v>
      </c>
      <c r="AJ295" s="395"/>
      <c r="AK295" s="395"/>
      <c r="AL295" s="528"/>
      <c r="AM295" s="407">
        <f t="shared" si="44"/>
        <v>387</v>
      </c>
      <c r="AN295" s="395"/>
      <c r="AO295" s="395"/>
      <c r="AP295" s="395"/>
      <c r="AR295" s="411">
        <f t="shared" si="46"/>
        <v>387</v>
      </c>
      <c r="AS295" s="412"/>
      <c r="AT295" s="298"/>
    </row>
    <row r="296" s="296" customFormat="1" ht="36" customHeight="1" spans="1:46">
      <c r="A296" s="422">
        <v>46210</v>
      </c>
      <c r="B296" s="423" t="s">
        <v>1261</v>
      </c>
      <c r="C296" s="423" t="s">
        <v>87</v>
      </c>
      <c r="D296" s="424" t="s">
        <v>1262</v>
      </c>
      <c r="E296" s="532" t="s">
        <v>1263</v>
      </c>
      <c r="F296" s="533" t="s">
        <v>1264</v>
      </c>
      <c r="G296" s="427" t="s">
        <v>50</v>
      </c>
      <c r="H296" s="428" t="s">
        <v>51</v>
      </c>
      <c r="I296" s="450">
        <v>801</v>
      </c>
      <c r="J296" s="430">
        <v>0</v>
      </c>
      <c r="K296" s="430">
        <v>3</v>
      </c>
      <c r="L296" s="660">
        <f t="shared" si="39"/>
        <v>267</v>
      </c>
      <c r="M296" s="432">
        <v>46251</v>
      </c>
      <c r="N296" s="432">
        <v>46248</v>
      </c>
      <c r="O296" s="560"/>
      <c r="P296" s="404" t="s">
        <v>52</v>
      </c>
      <c r="Q296" s="447"/>
      <c r="R296" s="515" t="s">
        <v>65</v>
      </c>
      <c r="S296" s="433">
        <v>46210</v>
      </c>
      <c r="T296" s="588" t="s">
        <v>54</v>
      </c>
      <c r="U296" s="588" t="s">
        <v>1265</v>
      </c>
      <c r="V296" s="663" t="s">
        <v>91</v>
      </c>
      <c r="W296" s="438" t="s">
        <v>1266</v>
      </c>
      <c r="X296" s="439" t="s">
        <v>1267</v>
      </c>
      <c r="Y296" s="481">
        <v>10.4985</v>
      </c>
      <c r="Z296" s="441">
        <f t="shared" si="45"/>
        <v>8409.2985</v>
      </c>
      <c r="AA296" s="424"/>
      <c r="AB296" s="426" t="s">
        <v>84</v>
      </c>
      <c r="AC296" s="518" t="s">
        <v>56</v>
      </c>
      <c r="AD296" s="430"/>
      <c r="AE296" s="536"/>
      <c r="AF296" s="442"/>
      <c r="AG296" s="443"/>
      <c r="AH296" s="443"/>
      <c r="AI296" s="424"/>
      <c r="AJ296" s="424"/>
      <c r="AK296" s="424"/>
      <c r="AL296" s="539">
        <f>I296</f>
        <v>801</v>
      </c>
      <c r="AM296" s="438">
        <f t="shared" si="44"/>
        <v>801</v>
      </c>
      <c r="AN296" s="424"/>
      <c r="AO296" s="424" t="s">
        <v>101</v>
      </c>
      <c r="AP296" s="424"/>
      <c r="AQ296" s="528"/>
      <c r="AR296" s="426">
        <f t="shared" si="46"/>
        <v>801</v>
      </c>
      <c r="AS296" s="518"/>
      <c r="AT296" s="667"/>
    </row>
    <row r="297" s="300" customFormat="1" ht="36" customHeight="1" spans="1:46">
      <c r="A297" s="369">
        <v>46205</v>
      </c>
      <c r="B297" s="370" t="s">
        <v>70</v>
      </c>
      <c r="C297" s="370" t="s">
        <v>71</v>
      </c>
      <c r="D297" s="371" t="s">
        <v>1268</v>
      </c>
      <c r="E297" s="372" t="s">
        <v>1269</v>
      </c>
      <c r="F297" s="373" t="s">
        <v>1270</v>
      </c>
      <c r="G297" s="374" t="s">
        <v>50</v>
      </c>
      <c r="H297" s="428" t="s">
        <v>51</v>
      </c>
      <c r="I297" s="376">
        <v>2067</v>
      </c>
      <c r="J297" s="377">
        <v>0</v>
      </c>
      <c r="K297" s="377">
        <v>3</v>
      </c>
      <c r="L297" s="378">
        <f t="shared" si="39"/>
        <v>689</v>
      </c>
      <c r="M297" s="379">
        <v>46248</v>
      </c>
      <c r="N297" s="379">
        <v>46246</v>
      </c>
      <c r="O297" s="479"/>
      <c r="P297" s="404" t="s">
        <v>52</v>
      </c>
      <c r="Q297" s="381"/>
      <c r="R297" s="418" t="s">
        <v>65</v>
      </c>
      <c r="S297" s="380">
        <v>46216</v>
      </c>
      <c r="T297" s="588" t="s">
        <v>66</v>
      </c>
      <c r="U297" s="559" t="s">
        <v>1259</v>
      </c>
      <c r="V297" s="559"/>
      <c r="W297" s="383" t="s">
        <v>1271</v>
      </c>
      <c r="X297" s="384" t="s">
        <v>76</v>
      </c>
      <c r="Y297" s="478">
        <v>6.0932</v>
      </c>
      <c r="Z297" s="386">
        <f t="shared" si="45"/>
        <v>12594.6444</v>
      </c>
      <c r="AA297" s="371"/>
      <c r="AB297" s="387" t="s">
        <v>50</v>
      </c>
      <c r="AC297" s="388" t="s">
        <v>56</v>
      </c>
      <c r="AD297" s="377"/>
      <c r="AE297" s="389"/>
      <c r="AF297" s="390"/>
      <c r="AG297" s="391"/>
      <c r="AH297" s="391"/>
      <c r="AI297" s="371">
        <f>I297</f>
        <v>2067</v>
      </c>
      <c r="AJ297" s="556"/>
      <c r="AK297" s="556"/>
      <c r="AL297" s="296"/>
      <c r="AM297" s="607">
        <f t="shared" si="44"/>
        <v>2067</v>
      </c>
      <c r="AN297" s="395"/>
      <c r="AO297" s="416"/>
      <c r="AP297" s="416"/>
      <c r="AQ297" s="671"/>
      <c r="AR297" s="547">
        <f t="shared" si="46"/>
        <v>2067</v>
      </c>
      <c r="AS297" s="388"/>
      <c r="AT297" s="298"/>
    </row>
    <row r="298" s="299" customFormat="1" ht="36" customHeight="1" spans="1:46">
      <c r="A298" s="369">
        <v>46174</v>
      </c>
      <c r="B298" s="370" t="s">
        <v>1272</v>
      </c>
      <c r="C298" s="370" t="s">
        <v>396</v>
      </c>
      <c r="D298" s="371">
        <v>4500210225</v>
      </c>
      <c r="E298" s="372"/>
      <c r="F298" s="373" t="s">
        <v>1273</v>
      </c>
      <c r="G298" s="374" t="s">
        <v>50</v>
      </c>
      <c r="H298" s="375" t="s">
        <v>51</v>
      </c>
      <c r="I298" s="376">
        <v>399</v>
      </c>
      <c r="J298" s="377">
        <v>0</v>
      </c>
      <c r="K298" s="377">
        <v>3</v>
      </c>
      <c r="L298" s="599">
        <f t="shared" si="39"/>
        <v>133</v>
      </c>
      <c r="M298" s="379">
        <v>46251</v>
      </c>
      <c r="N298" s="379">
        <v>46248</v>
      </c>
      <c r="O298" s="479"/>
      <c r="P298" s="404" t="s">
        <v>52</v>
      </c>
      <c r="Q298" s="381"/>
      <c r="R298" s="418" t="s">
        <v>65</v>
      </c>
      <c r="S298" s="380">
        <v>46220</v>
      </c>
      <c r="T298" s="382" t="s">
        <v>54</v>
      </c>
      <c r="U298" s="559" t="s">
        <v>1274</v>
      </c>
      <c r="V298" s="600" t="s">
        <v>1275</v>
      </c>
      <c r="W298" s="383" t="s">
        <v>1276</v>
      </c>
      <c r="X298" s="384" t="s">
        <v>748</v>
      </c>
      <c r="Y298" s="478">
        <v>10.4985</v>
      </c>
      <c r="Z298" s="386">
        <f t="shared" si="45"/>
        <v>4188.9015</v>
      </c>
      <c r="AA298" s="371"/>
      <c r="AB298" s="591" t="s">
        <v>84</v>
      </c>
      <c r="AC298" s="388" t="s">
        <v>56</v>
      </c>
      <c r="AD298" s="377"/>
      <c r="AE298" s="389"/>
      <c r="AF298" s="390"/>
      <c r="AG298" s="391"/>
      <c r="AH298" s="391"/>
      <c r="AI298" s="371"/>
      <c r="AJ298" s="371"/>
      <c r="AK298" s="371"/>
      <c r="AL298" s="296">
        <f t="shared" ref="AL298:AL304" si="47">I298</f>
        <v>399</v>
      </c>
      <c r="AM298" s="383">
        <f t="shared" si="44"/>
        <v>399</v>
      </c>
      <c r="AN298" s="371"/>
      <c r="AO298" s="371"/>
      <c r="AP298" s="392"/>
      <c r="AQ298" s="312"/>
      <c r="AR298" s="672">
        <f t="shared" si="46"/>
        <v>399</v>
      </c>
      <c r="AS298" s="388"/>
      <c r="AT298" s="298"/>
    </row>
    <row r="299" s="310" customFormat="1" ht="36" customHeight="1" spans="1:46">
      <c r="A299" s="610">
        <v>46174</v>
      </c>
      <c r="B299" s="611" t="s">
        <v>1272</v>
      </c>
      <c r="C299" s="611" t="s">
        <v>396</v>
      </c>
      <c r="D299" s="612">
        <v>4500210228</v>
      </c>
      <c r="E299" s="638"/>
      <c r="F299" s="614" t="s">
        <v>1277</v>
      </c>
      <c r="G299" s="615" t="s">
        <v>50</v>
      </c>
      <c r="H299" s="616" t="s">
        <v>51</v>
      </c>
      <c r="I299" s="617">
        <v>492</v>
      </c>
      <c r="J299" s="618">
        <v>0</v>
      </c>
      <c r="K299" s="618">
        <v>3</v>
      </c>
      <c r="L299" s="639">
        <f t="shared" si="39"/>
        <v>164</v>
      </c>
      <c r="M299" s="620">
        <v>46251</v>
      </c>
      <c r="N299" s="620">
        <v>46248</v>
      </c>
      <c r="O299" s="621"/>
      <c r="P299" s="404" t="s">
        <v>52</v>
      </c>
      <c r="Q299" s="645"/>
      <c r="R299" s="641" t="s">
        <v>65</v>
      </c>
      <c r="S299" s="622">
        <v>46220</v>
      </c>
      <c r="T299" s="633" t="s">
        <v>54</v>
      </c>
      <c r="U299" s="642" t="s">
        <v>1274</v>
      </c>
      <c r="V299" s="643" t="s">
        <v>1275</v>
      </c>
      <c r="W299" s="646" t="s">
        <v>1278</v>
      </c>
      <c r="X299" s="626" t="s">
        <v>748</v>
      </c>
      <c r="Y299" s="627">
        <v>10.4985</v>
      </c>
      <c r="Z299" s="628">
        <f t="shared" si="45"/>
        <v>5165.262</v>
      </c>
      <c r="AA299" s="612"/>
      <c r="AB299" s="673" t="s">
        <v>84</v>
      </c>
      <c r="AC299" s="629" t="s">
        <v>56</v>
      </c>
      <c r="AD299" s="618"/>
      <c r="AE299" s="630"/>
      <c r="AF299" s="631"/>
      <c r="AG299" s="632"/>
      <c r="AH299" s="632"/>
      <c r="AI299" s="612"/>
      <c r="AJ299" s="612"/>
      <c r="AK299" s="612"/>
      <c r="AL299" s="312">
        <f t="shared" si="47"/>
        <v>492</v>
      </c>
      <c r="AM299" s="613">
        <f t="shared" si="44"/>
        <v>492</v>
      </c>
      <c r="AN299" s="612"/>
      <c r="AO299" s="612"/>
      <c r="AP299" s="674"/>
      <c r="AQ299" s="312"/>
      <c r="AR299" s="672">
        <f t="shared" si="46"/>
        <v>492</v>
      </c>
      <c r="AS299" s="629"/>
      <c r="AT299" s="539"/>
    </row>
    <row r="300" s="295" customFormat="1" ht="36" customHeight="1" spans="1:46">
      <c r="A300" s="422">
        <v>46174</v>
      </c>
      <c r="B300" s="423" t="s">
        <v>1272</v>
      </c>
      <c r="C300" s="423" t="s">
        <v>396</v>
      </c>
      <c r="D300" s="424">
        <v>4500210229</v>
      </c>
      <c r="E300" s="532"/>
      <c r="F300" s="533" t="s">
        <v>1279</v>
      </c>
      <c r="G300" s="427" t="s">
        <v>50</v>
      </c>
      <c r="H300" s="428" t="s">
        <v>51</v>
      </c>
      <c r="I300" s="450">
        <v>600</v>
      </c>
      <c r="J300" s="430">
        <v>0</v>
      </c>
      <c r="K300" s="430">
        <v>3</v>
      </c>
      <c r="L300" s="660">
        <f t="shared" si="39"/>
        <v>200</v>
      </c>
      <c r="M300" s="432">
        <v>46251</v>
      </c>
      <c r="N300" s="432">
        <v>46248</v>
      </c>
      <c r="O300" s="560"/>
      <c r="P300" s="404" t="s">
        <v>52</v>
      </c>
      <c r="Q300" s="447"/>
      <c r="R300" s="641" t="s">
        <v>65</v>
      </c>
      <c r="S300" s="433">
        <v>46220</v>
      </c>
      <c r="T300" s="436" t="s">
        <v>54</v>
      </c>
      <c r="U300" s="642" t="s">
        <v>1280</v>
      </c>
      <c r="V300" s="663" t="s">
        <v>1281</v>
      </c>
      <c r="W300" s="551" t="s">
        <v>1282</v>
      </c>
      <c r="X300" s="439" t="s">
        <v>748</v>
      </c>
      <c r="Y300" s="481">
        <v>10.4985</v>
      </c>
      <c r="Z300" s="441">
        <f t="shared" si="45"/>
        <v>6299.1</v>
      </c>
      <c r="AA300" s="424"/>
      <c r="AB300" s="675" t="s">
        <v>84</v>
      </c>
      <c r="AC300" s="518" t="s">
        <v>56</v>
      </c>
      <c r="AD300" s="430"/>
      <c r="AE300" s="536"/>
      <c r="AF300" s="442"/>
      <c r="AG300" s="443"/>
      <c r="AH300" s="443"/>
      <c r="AI300" s="424"/>
      <c r="AJ300" s="424"/>
      <c r="AK300" s="424"/>
      <c r="AL300" s="539">
        <f t="shared" si="47"/>
        <v>600</v>
      </c>
      <c r="AM300" s="438">
        <f t="shared" si="44"/>
        <v>600</v>
      </c>
      <c r="AN300" s="424"/>
      <c r="AO300" s="424"/>
      <c r="AP300" s="444"/>
      <c r="AQ300" s="312"/>
      <c r="AR300" s="672">
        <f t="shared" si="46"/>
        <v>600</v>
      </c>
      <c r="AS300" s="518"/>
      <c r="AT300" s="676"/>
    </row>
    <row r="301" s="305" customFormat="1" ht="36" customHeight="1" spans="1:46">
      <c r="A301" s="677">
        <v>46112</v>
      </c>
      <c r="B301" s="678" t="s">
        <v>1283</v>
      </c>
      <c r="C301" s="678" t="s">
        <v>741</v>
      </c>
      <c r="D301" s="679" t="s">
        <v>1284</v>
      </c>
      <c r="E301" s="680" t="s">
        <v>1285</v>
      </c>
      <c r="F301" s="681" t="s">
        <v>1286</v>
      </c>
      <c r="G301" s="682" t="s">
        <v>50</v>
      </c>
      <c r="H301" s="683" t="s">
        <v>51</v>
      </c>
      <c r="I301" s="684">
        <v>189</v>
      </c>
      <c r="J301" s="685">
        <v>0</v>
      </c>
      <c r="K301" s="685">
        <v>3</v>
      </c>
      <c r="L301" s="686">
        <f t="shared" si="39"/>
        <v>63</v>
      </c>
      <c r="M301" s="687">
        <v>46218</v>
      </c>
      <c r="N301" s="687">
        <v>46216</v>
      </c>
      <c r="O301" s="688"/>
      <c r="P301" s="622" t="s">
        <v>1287</v>
      </c>
      <c r="Q301" s="689"/>
      <c r="R301" s="690" t="s">
        <v>65</v>
      </c>
      <c r="S301" s="691">
        <v>46181</v>
      </c>
      <c r="T301" s="692" t="s">
        <v>54</v>
      </c>
      <c r="U301" s="693" t="s">
        <v>962</v>
      </c>
      <c r="V301" s="694"/>
      <c r="W301" s="695" t="s">
        <v>1288</v>
      </c>
      <c r="X301" s="696" t="s">
        <v>964</v>
      </c>
      <c r="Y301" s="697">
        <v>10.2316</v>
      </c>
      <c r="Z301" s="698">
        <f>Y301*L301</f>
        <v>644.5908</v>
      </c>
      <c r="AA301" s="679"/>
      <c r="AB301" s="699" t="s">
        <v>84</v>
      </c>
      <c r="AC301" s="700" t="s">
        <v>56</v>
      </c>
      <c r="AD301" s="685"/>
      <c r="AE301" s="701"/>
      <c r="AF301" s="702"/>
      <c r="AG301" s="703"/>
      <c r="AH301" s="703"/>
      <c r="AI301" s="679"/>
      <c r="AJ301" s="644"/>
      <c r="AK301" s="644"/>
      <c r="AL301" s="704">
        <f t="shared" si="47"/>
        <v>189</v>
      </c>
      <c r="AM301" s="705">
        <f t="shared" si="44"/>
        <v>189</v>
      </c>
      <c r="AN301" s="695"/>
      <c r="AO301" s="679"/>
      <c r="AP301" s="706"/>
      <c r="AQ301" s="312"/>
      <c r="AR301" s="707">
        <f t="shared" si="46"/>
        <v>189</v>
      </c>
      <c r="AS301" s="313"/>
      <c r="AT301" s="313"/>
    </row>
    <row r="302" s="295" customFormat="1" ht="36" customHeight="1" spans="1:46">
      <c r="A302" s="708">
        <v>46160</v>
      </c>
      <c r="B302" s="709" t="s">
        <v>862</v>
      </c>
      <c r="C302" s="709" t="s">
        <v>863</v>
      </c>
      <c r="D302" s="710" t="s">
        <v>1289</v>
      </c>
      <c r="E302" s="711" t="s">
        <v>1290</v>
      </c>
      <c r="F302" s="712" t="s">
        <v>1291</v>
      </c>
      <c r="G302" s="713" t="s">
        <v>50</v>
      </c>
      <c r="H302" s="714" t="s">
        <v>51</v>
      </c>
      <c r="I302" s="715">
        <v>60</v>
      </c>
      <c r="J302" s="716">
        <v>0</v>
      </c>
      <c r="K302" s="716">
        <v>3</v>
      </c>
      <c r="L302" s="717">
        <f t="shared" si="39"/>
        <v>20</v>
      </c>
      <c r="M302" s="718">
        <v>46227</v>
      </c>
      <c r="N302" s="718">
        <v>46225</v>
      </c>
      <c r="O302" s="719"/>
      <c r="P302" s="380" t="s">
        <v>1287</v>
      </c>
      <c r="Q302" s="720"/>
      <c r="R302" s="721" t="s">
        <v>65</v>
      </c>
      <c r="S302" s="722">
        <v>46189</v>
      </c>
      <c r="T302" s="723" t="s">
        <v>54</v>
      </c>
      <c r="U302" s="693" t="s">
        <v>1292</v>
      </c>
      <c r="V302" s="724"/>
      <c r="W302" s="725" t="s">
        <v>1293</v>
      </c>
      <c r="X302" s="726" t="s">
        <v>870</v>
      </c>
      <c r="Y302" s="727">
        <v>10.4985</v>
      </c>
      <c r="Z302" s="728">
        <f>I302*Y302</f>
        <v>629.91</v>
      </c>
      <c r="AA302" s="710"/>
      <c r="AB302" s="699" t="s">
        <v>84</v>
      </c>
      <c r="AC302" s="729" t="s">
        <v>56</v>
      </c>
      <c r="AD302" s="716"/>
      <c r="AE302" s="730"/>
      <c r="AF302" s="731"/>
      <c r="AG302" s="732"/>
      <c r="AH302" s="732"/>
      <c r="AI302" s="710"/>
      <c r="AJ302" s="733"/>
      <c r="AK302" s="733"/>
      <c r="AL302" s="306">
        <f t="shared" si="47"/>
        <v>60</v>
      </c>
      <c r="AM302" s="725">
        <f t="shared" si="44"/>
        <v>60</v>
      </c>
      <c r="AN302" s="734"/>
      <c r="AO302" s="734"/>
      <c r="AP302" s="734"/>
      <c r="AQ302" s="312"/>
      <c r="AR302" s="735">
        <f t="shared" si="46"/>
        <v>60</v>
      </c>
      <c r="AS302" s="524"/>
      <c r="AT302" s="297"/>
    </row>
    <row r="303" s="301" customFormat="1" ht="36" customHeight="1" spans="1:46">
      <c r="A303" s="708">
        <v>46185</v>
      </c>
      <c r="B303" s="709" t="s">
        <v>1294</v>
      </c>
      <c r="C303" s="709" t="s">
        <v>952</v>
      </c>
      <c r="D303" s="710" t="s">
        <v>1295</v>
      </c>
      <c r="E303" s="711"/>
      <c r="F303" s="712" t="s">
        <v>1296</v>
      </c>
      <c r="G303" s="713" t="s">
        <v>50</v>
      </c>
      <c r="H303" s="736" t="s">
        <v>51</v>
      </c>
      <c r="I303" s="715">
        <v>36</v>
      </c>
      <c r="J303" s="716">
        <v>0</v>
      </c>
      <c r="K303" s="716">
        <v>3</v>
      </c>
      <c r="L303" s="737">
        <f t="shared" si="39"/>
        <v>12</v>
      </c>
      <c r="M303" s="718">
        <v>46233</v>
      </c>
      <c r="N303" s="718">
        <f>M303-3</f>
        <v>46230</v>
      </c>
      <c r="O303" s="719"/>
      <c r="P303" s="404" t="s">
        <v>1287</v>
      </c>
      <c r="Q303" s="720"/>
      <c r="R303" s="738" t="s">
        <v>65</v>
      </c>
      <c r="S303" s="722">
        <v>46198</v>
      </c>
      <c r="T303" s="724" t="s">
        <v>54</v>
      </c>
      <c r="U303" s="693" t="s">
        <v>1297</v>
      </c>
      <c r="V303" s="739"/>
      <c r="W303" s="740" t="s">
        <v>1298</v>
      </c>
      <c r="X303" s="726" t="s">
        <v>1299</v>
      </c>
      <c r="Y303" s="727">
        <v>10.4985</v>
      </c>
      <c r="Z303" s="728">
        <f>I303*Y303</f>
        <v>377.946</v>
      </c>
      <c r="AA303" s="710"/>
      <c r="AB303" s="699" t="s">
        <v>84</v>
      </c>
      <c r="AC303" s="741" t="s">
        <v>56</v>
      </c>
      <c r="AD303" s="716"/>
      <c r="AE303" s="730"/>
      <c r="AF303" s="731"/>
      <c r="AG303" s="732"/>
      <c r="AH303" s="732"/>
      <c r="AI303" s="710"/>
      <c r="AJ303" s="710"/>
      <c r="AK303" s="710"/>
      <c r="AL303" s="306">
        <f t="shared" si="47"/>
        <v>36</v>
      </c>
      <c r="AM303" s="710">
        <f t="shared" si="44"/>
        <v>36</v>
      </c>
      <c r="AN303" s="734"/>
      <c r="AO303" s="734"/>
      <c r="AP303" s="734"/>
      <c r="AQ303" s="312"/>
      <c r="AR303" s="742">
        <f t="shared" si="46"/>
        <v>36</v>
      </c>
      <c r="AS303" s="729"/>
      <c r="AT303" s="306"/>
    </row>
    <row r="304" s="307" customFormat="1" ht="36" customHeight="1" spans="1:46">
      <c r="A304" s="743">
        <v>46182</v>
      </c>
      <c r="B304" s="744" t="s">
        <v>1300</v>
      </c>
      <c r="C304" s="744" t="s">
        <v>175</v>
      </c>
      <c r="D304" s="745" t="s">
        <v>1301</v>
      </c>
      <c r="E304" s="746" t="s">
        <v>1302</v>
      </c>
      <c r="F304" s="747" t="s">
        <v>1303</v>
      </c>
      <c r="G304" s="748" t="s">
        <v>50</v>
      </c>
      <c r="H304" s="749" t="s">
        <v>51</v>
      </c>
      <c r="I304" s="750">
        <v>2811</v>
      </c>
      <c r="J304" s="751">
        <v>0</v>
      </c>
      <c r="K304" s="751">
        <v>3</v>
      </c>
      <c r="L304" s="752">
        <f t="shared" si="39"/>
        <v>937</v>
      </c>
      <c r="M304" s="753">
        <v>46244</v>
      </c>
      <c r="N304" s="753">
        <v>46245</v>
      </c>
      <c r="O304" s="754"/>
      <c r="P304" s="404" t="s">
        <v>1287</v>
      </c>
      <c r="Q304" s="493">
        <v>46246</v>
      </c>
      <c r="R304" s="690" t="s">
        <v>65</v>
      </c>
      <c r="S304" s="755">
        <v>46205</v>
      </c>
      <c r="T304" s="723" t="s">
        <v>54</v>
      </c>
      <c r="U304" s="692" t="s">
        <v>54</v>
      </c>
      <c r="V304" s="756"/>
      <c r="W304" s="757" t="s">
        <v>1304</v>
      </c>
      <c r="X304" s="758" t="s">
        <v>388</v>
      </c>
      <c r="Y304" s="759">
        <v>10.452</v>
      </c>
      <c r="Z304" s="760">
        <f>I304*Y304</f>
        <v>29380.572</v>
      </c>
      <c r="AA304" s="745"/>
      <c r="AB304" s="761" t="s">
        <v>84</v>
      </c>
      <c r="AC304" s="762" t="s">
        <v>56</v>
      </c>
      <c r="AD304" s="751"/>
      <c r="AE304" s="763"/>
      <c r="AF304" s="764"/>
      <c r="AG304" s="765"/>
      <c r="AH304" s="765"/>
      <c r="AI304" s="745"/>
      <c r="AJ304" s="745"/>
      <c r="AK304" s="745"/>
      <c r="AL304" s="705">
        <f t="shared" si="47"/>
        <v>2811</v>
      </c>
      <c r="AM304" s="766">
        <f t="shared" si="44"/>
        <v>2811</v>
      </c>
      <c r="AN304" s="767"/>
      <c r="AO304" s="767" t="s">
        <v>101</v>
      </c>
      <c r="AP304" s="768"/>
      <c r="AQ304" s="679"/>
      <c r="AR304" s="769">
        <f t="shared" si="46"/>
        <v>2811</v>
      </c>
      <c r="AS304" s="770"/>
    </row>
    <row r="305" s="314" customFormat="1" ht="36" customHeight="1" spans="1:46">
      <c r="A305" s="708">
        <v>46151</v>
      </c>
      <c r="B305" s="709" t="s">
        <v>993</v>
      </c>
      <c r="C305" s="709" t="s">
        <v>71</v>
      </c>
      <c r="D305" s="710" t="s">
        <v>1305</v>
      </c>
      <c r="E305" s="711" t="s">
        <v>1306</v>
      </c>
      <c r="F305" s="712" t="s">
        <v>1307</v>
      </c>
      <c r="G305" s="713" t="s">
        <v>169</v>
      </c>
      <c r="H305" s="736" t="s">
        <v>51</v>
      </c>
      <c r="I305" s="715">
        <v>552</v>
      </c>
      <c r="J305" s="716">
        <v>0</v>
      </c>
      <c r="K305" s="716">
        <v>3</v>
      </c>
      <c r="L305" s="717">
        <f t="shared" si="39"/>
        <v>184</v>
      </c>
      <c r="M305" s="771">
        <v>46253</v>
      </c>
      <c r="N305" s="771">
        <v>46251</v>
      </c>
      <c r="O305" s="722"/>
      <c r="P305" s="404" t="s">
        <v>1287</v>
      </c>
      <c r="Q305" s="720"/>
      <c r="R305" s="720" t="s">
        <v>98</v>
      </c>
      <c r="S305" s="722">
        <v>46151</v>
      </c>
      <c r="T305" s="724" t="s">
        <v>66</v>
      </c>
      <c r="U305" s="693" t="s">
        <v>1235</v>
      </c>
      <c r="V305" s="739" t="s">
        <v>290</v>
      </c>
      <c r="W305" s="725" t="s">
        <v>1308</v>
      </c>
      <c r="X305" s="726" t="s">
        <v>1000</v>
      </c>
      <c r="Y305" s="727">
        <v>7.59</v>
      </c>
      <c r="Z305" s="728">
        <f>Y305*L305</f>
        <v>1396.56</v>
      </c>
      <c r="AA305" s="710"/>
      <c r="AB305" s="772" t="s">
        <v>169</v>
      </c>
      <c r="AC305" s="699" t="s">
        <v>56</v>
      </c>
      <c r="AD305" s="716"/>
      <c r="AE305" s="730"/>
      <c r="AF305" s="731"/>
      <c r="AG305" s="732"/>
      <c r="AH305" s="732"/>
      <c r="AI305" s="710">
        <f>I305</f>
        <v>552</v>
      </c>
      <c r="AJ305" s="710"/>
      <c r="AK305" s="710"/>
      <c r="AL305" s="306"/>
      <c r="AM305" s="725">
        <f t="shared" si="44"/>
        <v>552</v>
      </c>
      <c r="AN305" s="710"/>
      <c r="AO305" s="710"/>
      <c r="AP305" s="734"/>
      <c r="AQ305" s="679"/>
      <c r="AR305" s="735">
        <f t="shared" si="46"/>
        <v>552</v>
      </c>
      <c r="AS305" s="306"/>
      <c r="AT305" s="306"/>
    </row>
    <row r="306" s="311" customFormat="1" ht="36" customHeight="1" spans="1:46">
      <c r="A306" s="773">
        <v>46199</v>
      </c>
      <c r="B306" s="774" t="s">
        <v>256</v>
      </c>
      <c r="C306" s="774" t="s">
        <v>257</v>
      </c>
      <c r="D306" s="775" t="s">
        <v>1309</v>
      </c>
      <c r="E306" s="776" t="s">
        <v>1310</v>
      </c>
      <c r="F306" s="777" t="s">
        <v>1311</v>
      </c>
      <c r="G306" s="778" t="s">
        <v>50</v>
      </c>
      <c r="H306" s="779" t="s">
        <v>51</v>
      </c>
      <c r="I306" s="780">
        <v>1500</v>
      </c>
      <c r="J306" s="781">
        <v>0</v>
      </c>
      <c r="K306" s="781">
        <v>3</v>
      </c>
      <c r="L306" s="782">
        <f t="shared" si="39"/>
        <v>500</v>
      </c>
      <c r="M306" s="783">
        <v>46254</v>
      </c>
      <c r="N306" s="783">
        <v>46251</v>
      </c>
      <c r="O306" s="784"/>
      <c r="P306" s="622" t="s">
        <v>1287</v>
      </c>
      <c r="Q306" s="785"/>
      <c r="R306" s="786" t="s">
        <v>65</v>
      </c>
      <c r="S306" s="787">
        <v>46199</v>
      </c>
      <c r="T306" s="694" t="s">
        <v>54</v>
      </c>
      <c r="U306" s="788" t="s">
        <v>355</v>
      </c>
      <c r="V306" s="788" t="s">
        <v>1312</v>
      </c>
      <c r="W306" s="789" t="s">
        <v>1313</v>
      </c>
      <c r="X306" s="790" t="s">
        <v>1314</v>
      </c>
      <c r="Y306" s="791">
        <v>10.1848</v>
      </c>
      <c r="Z306" s="792">
        <f>I306*Y306</f>
        <v>15277.2</v>
      </c>
      <c r="AA306" s="775"/>
      <c r="AB306" s="772" t="s">
        <v>84</v>
      </c>
      <c r="AC306" s="793" t="s">
        <v>56</v>
      </c>
      <c r="AD306" s="781"/>
      <c r="AE306" s="794"/>
      <c r="AF306" s="795"/>
      <c r="AG306" s="796"/>
      <c r="AH306" s="796"/>
      <c r="AI306" s="775"/>
      <c r="AJ306" s="775"/>
      <c r="AK306" s="775"/>
      <c r="AL306" s="311">
        <f>I306</f>
        <v>1500</v>
      </c>
      <c r="AM306" s="695">
        <f t="shared" si="44"/>
        <v>1500</v>
      </c>
      <c r="AN306" s="679"/>
      <c r="AO306" s="679"/>
      <c r="AP306" s="679"/>
      <c r="AR306" s="797">
        <f t="shared" si="46"/>
        <v>1500</v>
      </c>
      <c r="AS306" s="793"/>
    </row>
    <row r="307" s="311" customFormat="1" ht="36" customHeight="1" spans="1:46">
      <c r="A307" s="773">
        <v>46213</v>
      </c>
      <c r="B307" s="774" t="s">
        <v>1315</v>
      </c>
      <c r="C307" s="774" t="s">
        <v>175</v>
      </c>
      <c r="D307" s="775" t="s">
        <v>1316</v>
      </c>
      <c r="E307" s="776"/>
      <c r="F307" s="777" t="s">
        <v>1317</v>
      </c>
      <c r="G307" s="778" t="s">
        <v>50</v>
      </c>
      <c r="H307" s="779" t="s">
        <v>51</v>
      </c>
      <c r="I307" s="780">
        <v>240</v>
      </c>
      <c r="J307" s="781">
        <v>0</v>
      </c>
      <c r="K307" s="781">
        <v>3</v>
      </c>
      <c r="L307" s="782">
        <f t="shared" si="39"/>
        <v>80</v>
      </c>
      <c r="M307" s="783">
        <v>46254</v>
      </c>
      <c r="N307" s="783">
        <v>46251</v>
      </c>
      <c r="O307" s="787"/>
      <c r="P307" s="622" t="s">
        <v>1287</v>
      </c>
      <c r="Q307" s="785"/>
      <c r="R307" s="786" t="s">
        <v>65</v>
      </c>
      <c r="S307" s="787">
        <v>46223</v>
      </c>
      <c r="T307" s="694" t="s">
        <v>54</v>
      </c>
      <c r="U307" s="788" t="s">
        <v>1318</v>
      </c>
      <c r="V307" s="798"/>
      <c r="W307" s="789" t="s">
        <v>1319</v>
      </c>
      <c r="X307" s="790" t="s">
        <v>1320</v>
      </c>
      <c r="Y307" s="791">
        <v>10.4985</v>
      </c>
      <c r="Z307" s="792">
        <f>I307*Y307</f>
        <v>2519.64</v>
      </c>
      <c r="AA307" s="775"/>
      <c r="AB307" s="699" t="s">
        <v>84</v>
      </c>
      <c r="AC307" s="793" t="s">
        <v>56</v>
      </c>
      <c r="AD307" s="781"/>
      <c r="AE307" s="794"/>
      <c r="AF307" s="795"/>
      <c r="AG307" s="796"/>
      <c r="AH307" s="796"/>
      <c r="AI307" s="775"/>
      <c r="AJ307" s="775"/>
      <c r="AK307" s="775"/>
      <c r="AL307" s="311">
        <f>I307</f>
        <v>240</v>
      </c>
      <c r="AM307" s="695">
        <f t="shared" si="44"/>
        <v>240</v>
      </c>
      <c r="AN307" s="679"/>
      <c r="AO307" s="775" t="s">
        <v>101</v>
      </c>
      <c r="AP307" s="679"/>
      <c r="AR307" s="797">
        <f t="shared" si="46"/>
        <v>240</v>
      </c>
      <c r="AT307" s="799"/>
    </row>
    <row r="308" s="295" customFormat="1" ht="36" customHeight="1" spans="1:46">
      <c r="A308" s="708">
        <v>46107</v>
      </c>
      <c r="B308" s="709" t="s">
        <v>610</v>
      </c>
      <c r="C308" s="709" t="s">
        <v>396</v>
      </c>
      <c r="D308" s="710">
        <v>4500198850</v>
      </c>
      <c r="E308" s="725">
        <v>7950320027</v>
      </c>
      <c r="F308" s="712" t="str">
        <f>D308&amp;-10</f>
        <v>4500198850-10</v>
      </c>
      <c r="G308" s="713" t="s">
        <v>602</v>
      </c>
      <c r="H308" s="714" t="s">
        <v>51</v>
      </c>
      <c r="I308" s="715">
        <v>1944</v>
      </c>
      <c r="J308" s="716">
        <v>0</v>
      </c>
      <c r="K308" s="716">
        <v>54</v>
      </c>
      <c r="L308" s="717">
        <f t="shared" si="39"/>
        <v>36</v>
      </c>
      <c r="M308" s="718">
        <v>46234</v>
      </c>
      <c r="N308" s="718">
        <v>46253</v>
      </c>
      <c r="O308" s="800"/>
      <c r="P308" s="380" t="s">
        <v>1287</v>
      </c>
      <c r="Q308" s="506">
        <v>46254</v>
      </c>
      <c r="R308" s="721" t="s">
        <v>65</v>
      </c>
      <c r="S308" s="722">
        <v>46155</v>
      </c>
      <c r="T308" s="724" t="s">
        <v>54</v>
      </c>
      <c r="U308" s="801" t="s">
        <v>612</v>
      </c>
      <c r="V308" s="802" t="s">
        <v>613</v>
      </c>
      <c r="W308" s="803" t="s">
        <v>1321</v>
      </c>
      <c r="X308" s="726" t="s">
        <v>615</v>
      </c>
      <c r="Y308" s="804">
        <v>793.6019</v>
      </c>
      <c r="Z308" s="728">
        <f>Y308*L308</f>
        <v>28569.6684</v>
      </c>
      <c r="AA308" s="710"/>
      <c r="AB308" s="805" t="s">
        <v>616</v>
      </c>
      <c r="AC308" s="729" t="s">
        <v>56</v>
      </c>
      <c r="AD308" s="716"/>
      <c r="AE308" s="730"/>
      <c r="AF308" s="731"/>
      <c r="AG308" s="732"/>
      <c r="AH308" s="732"/>
      <c r="AI308" s="710"/>
      <c r="AJ308" s="733">
        <f>I308</f>
        <v>1944</v>
      </c>
      <c r="AK308" s="806"/>
      <c r="AL308" s="807"/>
      <c r="AN308" s="729">
        <f t="shared" ref="AN308:AN315" si="48">I308</f>
        <v>1944</v>
      </c>
      <c r="AO308" s="734"/>
      <c r="AP308" s="797">
        <f>I308</f>
        <v>1944</v>
      </c>
      <c r="AQ308" s="710"/>
      <c r="AR308" s="306"/>
      <c r="AS308" s="808">
        <f>I308/3</f>
        <v>648</v>
      </c>
      <c r="AT308" s="309"/>
    </row>
    <row r="309" s="315" customFormat="1" ht="36" customHeight="1" spans="1:46">
      <c r="A309" s="773">
        <v>46204</v>
      </c>
      <c r="B309" s="774" t="s">
        <v>838</v>
      </c>
      <c r="C309" s="774" t="s">
        <v>71</v>
      </c>
      <c r="D309" s="775" t="s">
        <v>1322</v>
      </c>
      <c r="E309" s="776" t="s">
        <v>1323</v>
      </c>
      <c r="F309" s="777" t="s">
        <v>1324</v>
      </c>
      <c r="G309" s="778" t="s">
        <v>50</v>
      </c>
      <c r="H309" s="779" t="s">
        <v>51</v>
      </c>
      <c r="I309" s="780">
        <v>273</v>
      </c>
      <c r="J309" s="781">
        <v>0</v>
      </c>
      <c r="K309" s="781">
        <v>3</v>
      </c>
      <c r="L309" s="782">
        <f t="shared" si="39"/>
        <v>91</v>
      </c>
      <c r="M309" s="783">
        <v>46254</v>
      </c>
      <c r="N309" s="783">
        <v>46252</v>
      </c>
      <c r="O309" s="784"/>
      <c r="P309" s="622" t="s">
        <v>1287</v>
      </c>
      <c r="Q309" s="785"/>
      <c r="R309" s="786" t="s">
        <v>65</v>
      </c>
      <c r="S309" s="722">
        <v>46223</v>
      </c>
      <c r="T309" s="788" t="s">
        <v>66</v>
      </c>
      <c r="U309" s="788" t="s">
        <v>1325</v>
      </c>
      <c r="V309" s="788"/>
      <c r="W309" s="789" t="s">
        <v>1326</v>
      </c>
      <c r="X309" s="790" t="s">
        <v>844</v>
      </c>
      <c r="Y309" s="791">
        <v>6.1211</v>
      </c>
      <c r="Z309" s="792">
        <f>I309*Y309</f>
        <v>1671.0603</v>
      </c>
      <c r="AA309" s="775"/>
      <c r="AB309" s="699" t="s">
        <v>50</v>
      </c>
      <c r="AC309" s="741" t="s">
        <v>56</v>
      </c>
      <c r="AD309" s="781"/>
      <c r="AE309" s="794">
        <v>273</v>
      </c>
      <c r="AF309" s="795">
        <f>AE309-I309</f>
        <v>0</v>
      </c>
      <c r="AG309" s="796" t="s">
        <v>1327</v>
      </c>
      <c r="AH309" s="809" t="s">
        <v>1328</v>
      </c>
      <c r="AI309" s="775">
        <f>I309</f>
        <v>273</v>
      </c>
      <c r="AJ309" s="775"/>
      <c r="AK309" s="775"/>
      <c r="AL309" s="311"/>
      <c r="AN309" s="695">
        <f t="shared" si="48"/>
        <v>273</v>
      </c>
      <c r="AO309" s="679"/>
      <c r="AP309" s="679"/>
      <c r="AQ309" s="734"/>
      <c r="AR309" s="761">
        <f t="shared" ref="AR309:AR315" si="49">I309</f>
        <v>273</v>
      </c>
      <c r="AS309" s="793"/>
      <c r="AT309" s="314"/>
    </row>
    <row r="310" s="315" customFormat="1" ht="36" customHeight="1" spans="1:46">
      <c r="A310" s="708">
        <v>46162</v>
      </c>
      <c r="B310" s="709" t="s">
        <v>285</v>
      </c>
      <c r="C310" s="709" t="s">
        <v>71</v>
      </c>
      <c r="D310" s="710" t="s">
        <v>1329</v>
      </c>
      <c r="E310" s="711" t="s">
        <v>1330</v>
      </c>
      <c r="F310" s="712" t="s">
        <v>1331</v>
      </c>
      <c r="G310" s="713" t="s">
        <v>169</v>
      </c>
      <c r="H310" s="736" t="s">
        <v>51</v>
      </c>
      <c r="I310" s="715">
        <v>12</v>
      </c>
      <c r="J310" s="716">
        <v>0</v>
      </c>
      <c r="K310" s="716">
        <v>3</v>
      </c>
      <c r="L310" s="737">
        <f t="shared" si="39"/>
        <v>4</v>
      </c>
      <c r="M310" s="718">
        <v>46254</v>
      </c>
      <c r="N310" s="718">
        <v>46252</v>
      </c>
      <c r="O310" s="719"/>
      <c r="P310" s="380" t="s">
        <v>1287</v>
      </c>
      <c r="Q310" s="720"/>
      <c r="R310" s="720" t="s">
        <v>98</v>
      </c>
      <c r="S310" s="722">
        <v>46162</v>
      </c>
      <c r="T310" s="724" t="s">
        <v>66</v>
      </c>
      <c r="U310" s="788" t="s">
        <v>1332</v>
      </c>
      <c r="V310" s="739" t="s">
        <v>290</v>
      </c>
      <c r="W310" s="725" t="s">
        <v>531</v>
      </c>
      <c r="X310" s="726" t="s">
        <v>292</v>
      </c>
      <c r="Y310" s="727">
        <v>6.5042</v>
      </c>
      <c r="Z310" s="728">
        <f>Y310*L310</f>
        <v>26.0168</v>
      </c>
      <c r="AA310" s="710"/>
      <c r="AB310" s="772" t="s">
        <v>169</v>
      </c>
      <c r="AC310" s="729" t="s">
        <v>56</v>
      </c>
      <c r="AD310" s="716"/>
      <c r="AE310" s="730"/>
      <c r="AF310" s="731"/>
      <c r="AG310" s="732"/>
      <c r="AH310" s="732"/>
      <c r="AI310" s="679">
        <f>I310</f>
        <v>12</v>
      </c>
      <c r="AJ310" s="679"/>
      <c r="AK310" s="679"/>
      <c r="AL310" s="313"/>
      <c r="AN310" s="695">
        <f t="shared" si="48"/>
        <v>12</v>
      </c>
      <c r="AO310" s="679"/>
      <c r="AP310" s="679"/>
      <c r="AQ310" s="734"/>
      <c r="AR310" s="761">
        <f t="shared" si="49"/>
        <v>12</v>
      </c>
      <c r="AS310" s="700"/>
      <c r="AT310" s="524"/>
    </row>
    <row r="311" s="315" customFormat="1" ht="36" customHeight="1" spans="1:46">
      <c r="A311" s="677">
        <v>46162</v>
      </c>
      <c r="B311" s="678" t="s">
        <v>285</v>
      </c>
      <c r="C311" s="678" t="s">
        <v>71</v>
      </c>
      <c r="D311" s="679" t="s">
        <v>1329</v>
      </c>
      <c r="E311" s="680" t="s">
        <v>1333</v>
      </c>
      <c r="F311" s="681" t="s">
        <v>1334</v>
      </c>
      <c r="G311" s="682" t="s">
        <v>169</v>
      </c>
      <c r="H311" s="683" t="s">
        <v>51</v>
      </c>
      <c r="I311" s="684">
        <v>612</v>
      </c>
      <c r="J311" s="685">
        <v>0</v>
      </c>
      <c r="K311" s="685">
        <v>3</v>
      </c>
      <c r="L311" s="810">
        <f t="shared" si="39"/>
        <v>204</v>
      </c>
      <c r="M311" s="687">
        <v>46254</v>
      </c>
      <c r="N311" s="687">
        <v>46252</v>
      </c>
      <c r="O311" s="811"/>
      <c r="P311" s="380" t="s">
        <v>1287</v>
      </c>
      <c r="Q311" s="689"/>
      <c r="R311" s="689" t="s">
        <v>98</v>
      </c>
      <c r="S311" s="691">
        <v>46162</v>
      </c>
      <c r="T311" s="694" t="s">
        <v>66</v>
      </c>
      <c r="U311" s="788" t="s">
        <v>1332</v>
      </c>
      <c r="V311" s="812" t="s">
        <v>290</v>
      </c>
      <c r="W311" s="695" t="s">
        <v>986</v>
      </c>
      <c r="X311" s="696" t="s">
        <v>292</v>
      </c>
      <c r="Y311" s="697">
        <v>6.5042</v>
      </c>
      <c r="Z311" s="698">
        <f>Y311*L311</f>
        <v>1326.8568</v>
      </c>
      <c r="AA311" s="679"/>
      <c r="AB311" s="772" t="s">
        <v>169</v>
      </c>
      <c r="AC311" s="700" t="s">
        <v>56</v>
      </c>
      <c r="AD311" s="685"/>
      <c r="AE311" s="701"/>
      <c r="AF311" s="702"/>
      <c r="AG311" s="703"/>
      <c r="AH311" s="703"/>
      <c r="AI311" s="679">
        <f>I311</f>
        <v>612</v>
      </c>
      <c r="AJ311" s="679"/>
      <c r="AK311" s="679"/>
      <c r="AL311" s="313"/>
      <c r="AN311" s="695">
        <f t="shared" si="48"/>
        <v>612</v>
      </c>
      <c r="AO311" s="679"/>
      <c r="AP311" s="679"/>
      <c r="AQ311" s="734"/>
      <c r="AR311" s="761">
        <f t="shared" si="49"/>
        <v>612</v>
      </c>
      <c r="AS311" s="700"/>
      <c r="AT311" s="306"/>
    </row>
    <row r="312" s="311" customFormat="1" ht="36" customHeight="1" spans="1:46">
      <c r="A312" s="773">
        <v>46209</v>
      </c>
      <c r="B312" s="774" t="s">
        <v>1335</v>
      </c>
      <c r="C312" s="774" t="s">
        <v>71</v>
      </c>
      <c r="D312" s="775" t="s">
        <v>1336</v>
      </c>
      <c r="E312" s="776" t="s">
        <v>1337</v>
      </c>
      <c r="F312" s="777" t="s">
        <v>1338</v>
      </c>
      <c r="G312" s="778" t="s">
        <v>50</v>
      </c>
      <c r="H312" s="779" t="s">
        <v>51</v>
      </c>
      <c r="I312" s="780">
        <v>2934</v>
      </c>
      <c r="J312" s="781">
        <v>0</v>
      </c>
      <c r="K312" s="781">
        <v>3</v>
      </c>
      <c r="L312" s="782">
        <f t="shared" si="39"/>
        <v>978</v>
      </c>
      <c r="M312" s="783">
        <v>46255</v>
      </c>
      <c r="N312" s="783">
        <v>46253</v>
      </c>
      <c r="O312" s="784"/>
      <c r="P312" s="622" t="s">
        <v>1287</v>
      </c>
      <c r="Q312" s="785"/>
      <c r="R312" s="721" t="s">
        <v>65</v>
      </c>
      <c r="S312" s="722">
        <v>46223</v>
      </c>
      <c r="T312" s="788" t="s">
        <v>66</v>
      </c>
      <c r="U312" s="788" t="s">
        <v>1325</v>
      </c>
      <c r="V312" s="798"/>
      <c r="W312" s="789" t="s">
        <v>1339</v>
      </c>
      <c r="X312" s="790" t="s">
        <v>1340</v>
      </c>
      <c r="Y312" s="791">
        <v>6.0932</v>
      </c>
      <c r="Z312" s="792">
        <f>I312*Y312</f>
        <v>17877.4488</v>
      </c>
      <c r="AA312" s="775"/>
      <c r="AB312" s="699" t="s">
        <v>50</v>
      </c>
      <c r="AC312" s="793" t="s">
        <v>56</v>
      </c>
      <c r="AD312" s="781"/>
      <c r="AE312" s="794">
        <f>882+882+630+540</f>
        <v>2934</v>
      </c>
      <c r="AF312" s="795">
        <f>AE312-I312</f>
        <v>0</v>
      </c>
      <c r="AG312" s="796" t="s">
        <v>1327</v>
      </c>
      <c r="AH312" s="809" t="s">
        <v>1328</v>
      </c>
      <c r="AI312" s="679">
        <f>I312</f>
        <v>2934</v>
      </c>
      <c r="AJ312" s="775"/>
      <c r="AK312" s="775"/>
      <c r="AL312" s="311"/>
      <c r="AN312" s="789">
        <f t="shared" si="48"/>
        <v>2934</v>
      </c>
      <c r="AO312" s="775"/>
      <c r="AP312" s="775"/>
      <c r="AQ312" s="734"/>
      <c r="AR312" s="813">
        <f t="shared" si="49"/>
        <v>2934</v>
      </c>
      <c r="AS312" s="793"/>
    </row>
    <row r="313" s="311" customFormat="1" ht="36" customHeight="1" spans="1:46">
      <c r="A313" s="773">
        <v>46203</v>
      </c>
      <c r="B313" s="774" t="s">
        <v>1341</v>
      </c>
      <c r="C313" s="774" t="s">
        <v>175</v>
      </c>
      <c r="D313" s="775" t="s">
        <v>1342</v>
      </c>
      <c r="E313" s="776" t="s">
        <v>312</v>
      </c>
      <c r="F313" s="777" t="s">
        <v>1343</v>
      </c>
      <c r="G313" s="778" t="s">
        <v>50</v>
      </c>
      <c r="H313" s="779" t="s">
        <v>51</v>
      </c>
      <c r="I313" s="780">
        <v>360</v>
      </c>
      <c r="J313" s="781">
        <v>0</v>
      </c>
      <c r="K313" s="781">
        <v>3</v>
      </c>
      <c r="L313" s="782">
        <f t="shared" si="39"/>
        <v>120</v>
      </c>
      <c r="M313" s="783">
        <v>46255</v>
      </c>
      <c r="N313" s="783">
        <v>46253</v>
      </c>
      <c r="O313" s="784"/>
      <c r="P313" s="622" t="s">
        <v>1287</v>
      </c>
      <c r="Q313" s="785"/>
      <c r="R313" s="786" t="s">
        <v>65</v>
      </c>
      <c r="S313" s="691">
        <v>46217</v>
      </c>
      <c r="T313" s="788" t="s">
        <v>54</v>
      </c>
      <c r="U313" s="788" t="s">
        <v>1344</v>
      </c>
      <c r="V313" s="788"/>
      <c r="W313" s="789" t="s">
        <v>1345</v>
      </c>
      <c r="X313" s="790" t="s">
        <v>1346</v>
      </c>
      <c r="Y313" s="791">
        <v>10.4985</v>
      </c>
      <c r="Z313" s="792">
        <f>I313*Y313</f>
        <v>3779.46</v>
      </c>
      <c r="AA313" s="775"/>
      <c r="AB313" s="699" t="s">
        <v>84</v>
      </c>
      <c r="AC313" s="793" t="s">
        <v>56</v>
      </c>
      <c r="AD313" s="781"/>
      <c r="AE313" s="794"/>
      <c r="AF313" s="795">
        <f>AE313-I313</f>
        <v>-360</v>
      </c>
      <c r="AG313" s="796" t="s">
        <v>52</v>
      </c>
      <c r="AH313" s="809" t="s">
        <v>1328</v>
      </c>
      <c r="AI313" s="775"/>
      <c r="AJ313" s="775"/>
      <c r="AK313" s="775"/>
      <c r="AL313" s="311">
        <f>I313</f>
        <v>360</v>
      </c>
      <c r="AN313" s="695">
        <f t="shared" si="48"/>
        <v>360</v>
      </c>
      <c r="AO313" s="775" t="s">
        <v>101</v>
      </c>
      <c r="AP313" s="679"/>
      <c r="AQ313" s="734"/>
      <c r="AR313" s="761">
        <f t="shared" si="49"/>
        <v>360</v>
      </c>
      <c r="AS313" s="793"/>
    </row>
    <row r="314" s="311" customFormat="1" ht="36" customHeight="1" spans="1:46">
      <c r="A314" s="814">
        <v>46206</v>
      </c>
      <c r="B314" s="815" t="s">
        <v>1347</v>
      </c>
      <c r="C314" s="815" t="s">
        <v>71</v>
      </c>
      <c r="D314" s="816" t="s">
        <v>1348</v>
      </c>
      <c r="E314" s="817" t="s">
        <v>1349</v>
      </c>
      <c r="F314" s="818" t="s">
        <v>1350</v>
      </c>
      <c r="G314" s="819" t="s">
        <v>165</v>
      </c>
      <c r="H314" s="820" t="s">
        <v>51</v>
      </c>
      <c r="I314" s="821">
        <v>3000</v>
      </c>
      <c r="J314" s="822">
        <v>0</v>
      </c>
      <c r="K314" s="822">
        <v>3</v>
      </c>
      <c r="L314" s="823">
        <f t="shared" si="39"/>
        <v>1000</v>
      </c>
      <c r="M314" s="824">
        <v>46262</v>
      </c>
      <c r="N314" s="824">
        <v>46260</v>
      </c>
      <c r="O314" s="825"/>
      <c r="P314" s="380" t="s">
        <v>1287</v>
      </c>
      <c r="Q314" s="826"/>
      <c r="R314" s="721" t="s">
        <v>65</v>
      </c>
      <c r="S314" s="827">
        <v>46223</v>
      </c>
      <c r="T314" s="693" t="s">
        <v>54</v>
      </c>
      <c r="U314" s="693" t="s">
        <v>54</v>
      </c>
      <c r="V314" s="693" t="s">
        <v>290</v>
      </c>
      <c r="W314" s="740" t="s">
        <v>1351</v>
      </c>
      <c r="X314" s="828" t="s">
        <v>1352</v>
      </c>
      <c r="Y314" s="829">
        <v>6.4763</v>
      </c>
      <c r="Z314" s="830">
        <f>Y314*L314</f>
        <v>6476.3</v>
      </c>
      <c r="AA314" s="816"/>
      <c r="AB314" s="699" t="s">
        <v>169</v>
      </c>
      <c r="AC314" s="741" t="s">
        <v>56</v>
      </c>
      <c r="AD314" s="822"/>
      <c r="AE314" s="831"/>
      <c r="AF314" s="832"/>
      <c r="AG314" s="833"/>
      <c r="AH314" s="833"/>
      <c r="AI314" s="816">
        <f t="shared" ref="AI314:AI320" si="50">I314</f>
        <v>3000</v>
      </c>
      <c r="AJ314" s="816"/>
      <c r="AK314" s="816"/>
      <c r="AL314" s="834"/>
      <c r="AN314" s="835">
        <f t="shared" si="48"/>
        <v>3000</v>
      </c>
      <c r="AO314" s="816"/>
      <c r="AP314" s="816"/>
      <c r="AR314" s="741">
        <f t="shared" si="49"/>
        <v>3000</v>
      </c>
      <c r="AS314" s="741"/>
      <c r="AT314" s="524"/>
    </row>
    <row r="315" s="316" customFormat="1" ht="36" customHeight="1" spans="1:46">
      <c r="A315" s="814">
        <v>46232</v>
      </c>
      <c r="B315" s="815"/>
      <c r="C315" s="815" t="s">
        <v>1353</v>
      </c>
      <c r="D315" s="816" t="s">
        <v>1354</v>
      </c>
      <c r="E315" s="817"/>
      <c r="F315" s="818" t="s">
        <v>1355</v>
      </c>
      <c r="G315" s="819" t="s">
        <v>50</v>
      </c>
      <c r="H315" s="820" t="s">
        <v>51</v>
      </c>
      <c r="I315" s="821">
        <v>102</v>
      </c>
      <c r="J315" s="822">
        <v>0</v>
      </c>
      <c r="K315" s="822">
        <v>3</v>
      </c>
      <c r="L315" s="823">
        <f t="shared" si="39"/>
        <v>34</v>
      </c>
      <c r="M315" s="824">
        <v>46254</v>
      </c>
      <c r="N315" s="824">
        <v>46252</v>
      </c>
      <c r="O315" s="827"/>
      <c r="P315" s="827"/>
      <c r="Q315" s="826"/>
      <c r="R315" s="721"/>
      <c r="S315" s="827">
        <v>46232</v>
      </c>
      <c r="T315" s="694"/>
      <c r="U315" s="788"/>
      <c r="V315" s="836"/>
      <c r="W315" s="740" t="s">
        <v>1356</v>
      </c>
      <c r="X315" s="828" t="s">
        <v>1357</v>
      </c>
      <c r="Y315" s="829"/>
      <c r="Z315" s="830"/>
      <c r="AA315" s="816"/>
      <c r="AB315" s="837" t="s">
        <v>50</v>
      </c>
      <c r="AC315" s="741" t="s">
        <v>1358</v>
      </c>
      <c r="AD315" s="822"/>
      <c r="AE315" s="831"/>
      <c r="AF315" s="832"/>
      <c r="AG315" s="833"/>
      <c r="AH315" s="833"/>
      <c r="AI315" s="816">
        <f t="shared" si="50"/>
        <v>102</v>
      </c>
      <c r="AJ315" s="816"/>
      <c r="AK315" s="816"/>
      <c r="AL315" s="311"/>
      <c r="AN315" s="695">
        <f t="shared" si="48"/>
        <v>102</v>
      </c>
      <c r="AO315" s="775"/>
      <c r="AP315" s="679"/>
      <c r="AQ315" s="734"/>
      <c r="AR315" s="761">
        <f t="shared" si="49"/>
        <v>102</v>
      </c>
      <c r="AS315" s="314"/>
      <c r="AT315" s="838"/>
    </row>
    <row r="316" s="308" customFormat="1" ht="36" customHeight="1" spans="1:46">
      <c r="A316" s="677">
        <v>46171</v>
      </c>
      <c r="B316" s="678" t="s">
        <v>1359</v>
      </c>
      <c r="C316" s="678" t="s">
        <v>47</v>
      </c>
      <c r="D316" s="679" t="s">
        <v>1360</v>
      </c>
      <c r="E316" s="680" t="s">
        <v>1361</v>
      </c>
      <c r="F316" s="681" t="s">
        <v>1362</v>
      </c>
      <c r="G316" s="682" t="s">
        <v>1363</v>
      </c>
      <c r="H316" s="683" t="s">
        <v>51</v>
      </c>
      <c r="I316" s="684">
        <v>6000</v>
      </c>
      <c r="J316" s="685">
        <v>0</v>
      </c>
      <c r="K316" s="685">
        <v>3</v>
      </c>
      <c r="L316" s="810">
        <f t="shared" si="39"/>
        <v>2000</v>
      </c>
      <c r="M316" s="839">
        <v>46255</v>
      </c>
      <c r="N316" s="839">
        <v>46251</v>
      </c>
      <c r="O316" s="811"/>
      <c r="P316" s="691"/>
      <c r="Q316" s="689"/>
      <c r="R316" s="786" t="s">
        <v>65</v>
      </c>
      <c r="S316" s="691">
        <v>46206</v>
      </c>
      <c r="T316" s="694" t="s">
        <v>54</v>
      </c>
      <c r="U316" s="788" t="s">
        <v>1364</v>
      </c>
      <c r="V316" s="787" t="s">
        <v>1365</v>
      </c>
      <c r="W316" s="695" t="s">
        <v>1366</v>
      </c>
      <c r="X316" s="696" t="s">
        <v>1367</v>
      </c>
      <c r="Y316" s="697">
        <v>10.0386</v>
      </c>
      <c r="Z316" s="698">
        <f>Y316*L316</f>
        <v>20077.2</v>
      </c>
      <c r="AA316" s="679"/>
      <c r="AB316" s="713" t="s">
        <v>1363</v>
      </c>
      <c r="AC316" s="793" t="s">
        <v>56</v>
      </c>
      <c r="AD316" s="685"/>
      <c r="AE316" s="701"/>
      <c r="AF316" s="702"/>
      <c r="AG316" s="703"/>
      <c r="AH316" s="703"/>
      <c r="AI316" s="679">
        <f t="shared" si="50"/>
        <v>6000</v>
      </c>
      <c r="AJ316" s="679"/>
      <c r="AK316" s="679"/>
      <c r="AL316" s="313"/>
      <c r="AN316" s="695"/>
      <c r="AO316" s="679"/>
      <c r="AP316" s="679"/>
      <c r="AQ316" s="734"/>
      <c r="AR316" s="761"/>
      <c r="AS316" s="700"/>
    </row>
    <row r="317" s="313" customFormat="1" ht="36" customHeight="1" spans="1:46">
      <c r="A317" s="708">
        <v>46171</v>
      </c>
      <c r="B317" s="709" t="s">
        <v>1359</v>
      </c>
      <c r="C317" s="709" t="s">
        <v>47</v>
      </c>
      <c r="D317" s="710" t="s">
        <v>1360</v>
      </c>
      <c r="E317" s="711" t="s">
        <v>1361</v>
      </c>
      <c r="F317" s="712" t="s">
        <v>1368</v>
      </c>
      <c r="G317" s="713" t="s">
        <v>1363</v>
      </c>
      <c r="H317" s="714" t="s">
        <v>51</v>
      </c>
      <c r="I317" s="715">
        <v>600</v>
      </c>
      <c r="J317" s="716">
        <v>0</v>
      </c>
      <c r="K317" s="716">
        <v>3</v>
      </c>
      <c r="L317" s="737">
        <f t="shared" si="39"/>
        <v>200</v>
      </c>
      <c r="M317" s="840">
        <v>46255</v>
      </c>
      <c r="N317" s="840">
        <v>46251</v>
      </c>
      <c r="O317" s="719"/>
      <c r="P317" s="722"/>
      <c r="Q317" s="720"/>
      <c r="R317" s="721" t="s">
        <v>65</v>
      </c>
      <c r="S317" s="722">
        <v>46206</v>
      </c>
      <c r="T317" s="724" t="s">
        <v>54</v>
      </c>
      <c r="U317" s="693" t="s">
        <v>1364</v>
      </c>
      <c r="V317" s="827" t="s">
        <v>1365</v>
      </c>
      <c r="W317" s="725" t="s">
        <v>1366</v>
      </c>
      <c r="X317" s="726" t="s">
        <v>1367</v>
      </c>
      <c r="Y317" s="727">
        <v>10.0386</v>
      </c>
      <c r="Z317" s="728">
        <f>Y317*L317</f>
        <v>2007.72</v>
      </c>
      <c r="AA317" s="710"/>
      <c r="AB317" s="713" t="s">
        <v>1363</v>
      </c>
      <c r="AC317" s="741" t="s">
        <v>56</v>
      </c>
      <c r="AD317" s="716"/>
      <c r="AE317" s="730"/>
      <c r="AF317" s="731"/>
      <c r="AG317" s="732"/>
      <c r="AH317" s="732"/>
      <c r="AI317" s="710">
        <f t="shared" si="50"/>
        <v>600</v>
      </c>
      <c r="AJ317" s="710"/>
      <c r="AK317" s="710"/>
      <c r="AL317" s="306"/>
      <c r="AN317" s="725"/>
      <c r="AO317" s="734"/>
      <c r="AP317" s="734"/>
      <c r="AQ317" s="734"/>
      <c r="AR317" s="699"/>
      <c r="AS317" s="729"/>
      <c r="AT317" s="644"/>
    </row>
    <row r="318" s="311" customFormat="1" ht="36" customHeight="1" spans="1:46">
      <c r="A318" s="708">
        <v>46171</v>
      </c>
      <c r="B318" s="709" t="s">
        <v>1359</v>
      </c>
      <c r="C318" s="709" t="s">
        <v>47</v>
      </c>
      <c r="D318" s="710" t="s">
        <v>1360</v>
      </c>
      <c r="E318" s="711" t="s">
        <v>1361</v>
      </c>
      <c r="F318" s="712" t="s">
        <v>1369</v>
      </c>
      <c r="G318" s="713" t="s">
        <v>1363</v>
      </c>
      <c r="H318" s="714" t="s">
        <v>51</v>
      </c>
      <c r="I318" s="715">
        <v>8949</v>
      </c>
      <c r="J318" s="716">
        <v>0</v>
      </c>
      <c r="K318" s="716">
        <v>3</v>
      </c>
      <c r="L318" s="737">
        <f t="shared" si="39"/>
        <v>2983</v>
      </c>
      <c r="M318" s="840">
        <v>46255</v>
      </c>
      <c r="N318" s="840">
        <v>46251</v>
      </c>
      <c r="O318" s="719"/>
      <c r="P318" s="722"/>
      <c r="Q318" s="720"/>
      <c r="R318" s="721" t="s">
        <v>65</v>
      </c>
      <c r="S318" s="722">
        <v>46206</v>
      </c>
      <c r="T318" s="724" t="s">
        <v>54</v>
      </c>
      <c r="U318" s="693" t="s">
        <v>1364</v>
      </c>
      <c r="V318" s="841" t="s">
        <v>1365</v>
      </c>
      <c r="W318" s="725" t="s">
        <v>1366</v>
      </c>
      <c r="X318" s="726" t="s">
        <v>1367</v>
      </c>
      <c r="Y318" s="727">
        <v>10.0386</v>
      </c>
      <c r="Z318" s="728">
        <f>Y318*L318</f>
        <v>29945.1438</v>
      </c>
      <c r="AA318" s="710"/>
      <c r="AB318" s="713" t="s">
        <v>1363</v>
      </c>
      <c r="AC318" s="741" t="s">
        <v>56</v>
      </c>
      <c r="AD318" s="716"/>
      <c r="AE318" s="730"/>
      <c r="AF318" s="731"/>
      <c r="AG318" s="732"/>
      <c r="AH318" s="732"/>
      <c r="AI318" s="710">
        <f t="shared" si="50"/>
        <v>8949</v>
      </c>
      <c r="AJ318" s="710"/>
      <c r="AK318" s="710"/>
      <c r="AL318" s="306"/>
      <c r="AN318" s="725"/>
      <c r="AO318" s="734"/>
      <c r="AP318" s="734"/>
      <c r="AQ318" s="734"/>
      <c r="AR318" s="699"/>
      <c r="AS318" s="729"/>
      <c r="AT318" s="308"/>
    </row>
    <row r="319" s="313" customFormat="1" ht="36" customHeight="1" spans="1:46">
      <c r="A319" s="708">
        <v>46171</v>
      </c>
      <c r="B319" s="709" t="s">
        <v>1359</v>
      </c>
      <c r="C319" s="709" t="s">
        <v>47</v>
      </c>
      <c r="D319" s="710" t="s">
        <v>1360</v>
      </c>
      <c r="E319" s="711" t="s">
        <v>1361</v>
      </c>
      <c r="F319" s="712" t="s">
        <v>1370</v>
      </c>
      <c r="G319" s="713" t="s">
        <v>1363</v>
      </c>
      <c r="H319" s="736" t="s">
        <v>51</v>
      </c>
      <c r="I319" s="715">
        <v>3000</v>
      </c>
      <c r="J319" s="716">
        <v>0</v>
      </c>
      <c r="K319" s="716">
        <v>3</v>
      </c>
      <c r="L319" s="737">
        <f t="shared" si="39"/>
        <v>1000</v>
      </c>
      <c r="M319" s="840">
        <v>46255</v>
      </c>
      <c r="N319" s="840">
        <v>46251</v>
      </c>
      <c r="O319" s="719"/>
      <c r="P319" s="722"/>
      <c r="Q319" s="720"/>
      <c r="R319" s="721" t="s">
        <v>65</v>
      </c>
      <c r="S319" s="722">
        <v>46206</v>
      </c>
      <c r="T319" s="724" t="s">
        <v>54</v>
      </c>
      <c r="U319" s="693" t="s">
        <v>1364</v>
      </c>
      <c r="V319" s="841" t="s">
        <v>1365</v>
      </c>
      <c r="W319" s="725" t="s">
        <v>1366</v>
      </c>
      <c r="X319" s="726" t="s">
        <v>1367</v>
      </c>
      <c r="Y319" s="727">
        <v>10.0386</v>
      </c>
      <c r="Z319" s="728">
        <f>Y319*L319</f>
        <v>10038.6</v>
      </c>
      <c r="AA319" s="710"/>
      <c r="AB319" s="699" t="s">
        <v>1363</v>
      </c>
      <c r="AC319" s="741" t="s">
        <v>56</v>
      </c>
      <c r="AD319" s="716"/>
      <c r="AE319" s="730"/>
      <c r="AF319" s="731"/>
      <c r="AG319" s="732"/>
      <c r="AH319" s="732"/>
      <c r="AI319" s="710">
        <f t="shared" si="50"/>
        <v>3000</v>
      </c>
      <c r="AJ319" s="710"/>
      <c r="AK319" s="710"/>
      <c r="AL319" s="306"/>
      <c r="AN319" s="725"/>
      <c r="AO319" s="710"/>
      <c r="AP319" s="710"/>
      <c r="AQ319" s="734"/>
      <c r="AR319" s="699"/>
      <c r="AS319" s="729"/>
      <c r="AT319" s="842"/>
    </row>
    <row r="320" s="313" customFormat="1" ht="36" customHeight="1" spans="1:46">
      <c r="A320" s="677">
        <v>46191</v>
      </c>
      <c r="B320" s="678" t="s">
        <v>1371</v>
      </c>
      <c r="C320" s="678" t="s">
        <v>47</v>
      </c>
      <c r="D320" s="679">
        <v>4500209724</v>
      </c>
      <c r="E320" s="680" t="s">
        <v>1361</v>
      </c>
      <c r="F320" s="681" t="s">
        <v>1372</v>
      </c>
      <c r="G320" s="682" t="s">
        <v>1363</v>
      </c>
      <c r="H320" s="683" t="s">
        <v>51</v>
      </c>
      <c r="I320" s="684">
        <v>1800</v>
      </c>
      <c r="J320" s="685">
        <v>0</v>
      </c>
      <c r="K320" s="685">
        <v>3</v>
      </c>
      <c r="L320" s="810">
        <f t="shared" si="39"/>
        <v>600</v>
      </c>
      <c r="M320" s="140">
        <v>46255</v>
      </c>
      <c r="N320" s="140">
        <v>46251</v>
      </c>
      <c r="O320" s="811"/>
      <c r="P320" s="691"/>
      <c r="Q320" s="689"/>
      <c r="R320" s="721" t="s">
        <v>65</v>
      </c>
      <c r="S320" s="722">
        <v>46206</v>
      </c>
      <c r="T320" s="723" t="s">
        <v>54</v>
      </c>
      <c r="U320" s="843" t="s">
        <v>1364</v>
      </c>
      <c r="V320" s="787" t="s">
        <v>1365</v>
      </c>
      <c r="W320" s="695" t="s">
        <v>1373</v>
      </c>
      <c r="X320" s="696" t="s">
        <v>1374</v>
      </c>
      <c r="Y320" s="697">
        <v>9.9964</v>
      </c>
      <c r="Z320" s="698">
        <f>Y320*L320</f>
        <v>5997.84</v>
      </c>
      <c r="AA320" s="679"/>
      <c r="AB320" s="699" t="s">
        <v>1363</v>
      </c>
      <c r="AC320" s="793" t="s">
        <v>56</v>
      </c>
      <c r="AD320" s="685"/>
      <c r="AE320" s="701"/>
      <c r="AF320" s="702"/>
      <c r="AG320" s="703"/>
      <c r="AH320" s="703"/>
      <c r="AI320" s="679">
        <f t="shared" si="50"/>
        <v>1800</v>
      </c>
      <c r="AJ320" s="679"/>
      <c r="AK320" s="679"/>
      <c r="AL320" s="313"/>
      <c r="AN320" s="695"/>
      <c r="AO320" s="679"/>
      <c r="AP320" s="679"/>
      <c r="AQ320" s="734"/>
      <c r="AR320" s="761"/>
      <c r="AS320" s="700"/>
    </row>
    <row r="321" s="311" customFormat="1" ht="36" customHeight="1" spans="1:46">
      <c r="A321" s="773">
        <v>46198</v>
      </c>
      <c r="B321" s="774" t="s">
        <v>1375</v>
      </c>
      <c r="C321" s="774" t="s">
        <v>371</v>
      </c>
      <c r="D321" s="775" t="s">
        <v>1376</v>
      </c>
      <c r="E321" s="776" t="s">
        <v>312</v>
      </c>
      <c r="F321" s="777" t="s">
        <v>1377</v>
      </c>
      <c r="G321" s="778" t="s">
        <v>50</v>
      </c>
      <c r="H321" s="779" t="s">
        <v>51</v>
      </c>
      <c r="I321" s="780">
        <v>504</v>
      </c>
      <c r="J321" s="781">
        <v>0</v>
      </c>
      <c r="K321" s="781">
        <v>3</v>
      </c>
      <c r="L321" s="782">
        <f t="shared" si="39"/>
        <v>168</v>
      </c>
      <c r="M321" s="783">
        <v>46255</v>
      </c>
      <c r="N321" s="783">
        <v>46253</v>
      </c>
      <c r="O321" s="784"/>
      <c r="P321" s="787"/>
      <c r="Q321" s="785"/>
      <c r="R321" s="786" t="s">
        <v>65</v>
      </c>
      <c r="S321" s="691">
        <v>46223</v>
      </c>
      <c r="T321" s="788" t="s">
        <v>54</v>
      </c>
      <c r="U321" s="788" t="s">
        <v>1378</v>
      </c>
      <c r="V321" s="798"/>
      <c r="W321" s="844" t="s">
        <v>1379</v>
      </c>
      <c r="X321" s="790" t="s">
        <v>580</v>
      </c>
      <c r="Y321" s="791">
        <v>10.4985</v>
      </c>
      <c r="Z321" s="792">
        <f>I321*Y321</f>
        <v>5291.244</v>
      </c>
      <c r="AA321" s="775"/>
      <c r="AB321" s="772" t="s">
        <v>84</v>
      </c>
      <c r="AC321" s="793" t="s">
        <v>56</v>
      </c>
      <c r="AD321" s="781"/>
      <c r="AE321" s="794"/>
      <c r="AF321" s="795">
        <f>AE321-I321</f>
        <v>-504</v>
      </c>
      <c r="AG321" s="796" t="s">
        <v>1327</v>
      </c>
      <c r="AH321" s="809" t="s">
        <v>1328</v>
      </c>
      <c r="AI321" s="775"/>
      <c r="AJ321" s="775"/>
      <c r="AK321" s="775"/>
      <c r="AL321" s="311">
        <f>I321</f>
        <v>504</v>
      </c>
      <c r="AN321" s="789">
        <f>I321</f>
        <v>504</v>
      </c>
      <c r="AO321" s="775"/>
      <c r="AP321" s="775"/>
      <c r="AQ321" s="734"/>
      <c r="AR321" s="813">
        <f t="shared" ref="AR321:AR333" si="51">I321</f>
        <v>504</v>
      </c>
      <c r="AS321" s="793"/>
    </row>
    <row r="322" s="311" customFormat="1" ht="36" customHeight="1" spans="1:46">
      <c r="A322" s="773">
        <v>46232</v>
      </c>
      <c r="B322" s="774" t="s">
        <v>1380</v>
      </c>
      <c r="C322" s="774" t="s">
        <v>1353</v>
      </c>
      <c r="D322" s="775" t="s">
        <v>1381</v>
      </c>
      <c r="E322" s="789" t="s">
        <v>1382</v>
      </c>
      <c r="F322" s="777" t="s">
        <v>1383</v>
      </c>
      <c r="G322" s="778" t="s">
        <v>125</v>
      </c>
      <c r="H322" s="779" t="s">
        <v>51</v>
      </c>
      <c r="I322" s="780">
        <v>3374</v>
      </c>
      <c r="J322" s="781">
        <v>0</v>
      </c>
      <c r="K322" s="781">
        <v>2</v>
      </c>
      <c r="L322" s="782">
        <f t="shared" si="39"/>
        <v>1687</v>
      </c>
      <c r="M322" s="114">
        <v>46258</v>
      </c>
      <c r="N322" s="114">
        <v>46255</v>
      </c>
      <c r="O322" s="784"/>
      <c r="P322" s="787"/>
      <c r="Q322" s="845"/>
      <c r="R322" s="846" t="s">
        <v>1384</v>
      </c>
      <c r="S322" s="847" t="s">
        <v>456</v>
      </c>
      <c r="T322" s="788" t="s">
        <v>54</v>
      </c>
      <c r="U322" s="848" t="s">
        <v>1385</v>
      </c>
      <c r="V322" s="788"/>
      <c r="W322" s="789" t="s">
        <v>1386</v>
      </c>
      <c r="X322" s="790" t="s">
        <v>1382</v>
      </c>
      <c r="Y322" s="791"/>
      <c r="Z322" s="792"/>
      <c r="AA322" s="775"/>
      <c r="AB322" s="837" t="s">
        <v>125</v>
      </c>
      <c r="AC322" s="793" t="s">
        <v>1358</v>
      </c>
      <c r="AD322" s="781"/>
      <c r="AE322" s="794"/>
      <c r="AF322" s="795"/>
      <c r="AG322" s="796"/>
      <c r="AH322" s="796"/>
      <c r="AI322" s="775">
        <f>I322</f>
        <v>3374</v>
      </c>
      <c r="AJ322" s="775"/>
      <c r="AK322" s="775"/>
      <c r="AL322" s="775"/>
      <c r="AN322" s="849">
        <f t="shared" ref="AN322:AN337" si="52">I322</f>
        <v>3374</v>
      </c>
      <c r="AO322" s="775"/>
      <c r="AP322" s="775"/>
      <c r="AQ322" s="734"/>
      <c r="AR322" s="850">
        <f t="shared" si="51"/>
        <v>3374</v>
      </c>
      <c r="AS322" s="629"/>
    </row>
    <row r="323" s="316" customFormat="1" ht="36" customHeight="1" spans="1:46">
      <c r="A323" s="814">
        <v>46212</v>
      </c>
      <c r="B323" s="815" t="s">
        <v>95</v>
      </c>
      <c r="C323" s="815" t="s">
        <v>78</v>
      </c>
      <c r="D323" s="816">
        <v>4500215285</v>
      </c>
      <c r="E323" s="817" t="s">
        <v>1387</v>
      </c>
      <c r="F323" s="818" t="s">
        <v>1388</v>
      </c>
      <c r="G323" s="819" t="s">
        <v>50</v>
      </c>
      <c r="H323" s="820" t="s">
        <v>51</v>
      </c>
      <c r="I323" s="821">
        <v>504</v>
      </c>
      <c r="J323" s="822">
        <v>0</v>
      </c>
      <c r="K323" s="822">
        <v>3</v>
      </c>
      <c r="L323" s="823">
        <f>I323/K323</f>
        <v>168</v>
      </c>
      <c r="M323" s="824">
        <v>46259</v>
      </c>
      <c r="N323" s="824">
        <v>46253</v>
      </c>
      <c r="O323" s="827"/>
      <c r="P323" s="827"/>
      <c r="Q323" s="826"/>
      <c r="R323" s="786" t="s">
        <v>65</v>
      </c>
      <c r="S323" s="787">
        <v>46213</v>
      </c>
      <c r="T323" s="788" t="s">
        <v>54</v>
      </c>
      <c r="U323" s="693" t="s">
        <v>54</v>
      </c>
      <c r="V323" s="851"/>
      <c r="W323" s="740" t="s">
        <v>1389</v>
      </c>
      <c r="X323" s="828" t="s">
        <v>1390</v>
      </c>
      <c r="Y323" s="829">
        <v>10.4985</v>
      </c>
      <c r="Z323" s="830">
        <f t="shared" ref="Z323:Z336" si="53">I323*Y323</f>
        <v>5291.244</v>
      </c>
      <c r="AA323" s="816"/>
      <c r="AB323" s="699" t="s">
        <v>50</v>
      </c>
      <c r="AC323" s="741" t="s">
        <v>56</v>
      </c>
      <c r="AD323" s="822"/>
      <c r="AE323" s="831"/>
      <c r="AF323" s="795">
        <f t="shared" ref="AF323:AF333" si="54">AE323-I323</f>
        <v>-504</v>
      </c>
      <c r="AG323" s="833" t="s">
        <v>54</v>
      </c>
      <c r="AH323" s="852" t="s">
        <v>1328</v>
      </c>
      <c r="AI323" s="710">
        <f>I323</f>
        <v>504</v>
      </c>
      <c r="AJ323" s="816"/>
      <c r="AK323" s="816"/>
      <c r="AL323" s="311"/>
      <c r="AN323" s="789">
        <f t="shared" si="52"/>
        <v>504</v>
      </c>
      <c r="AO323" s="775" t="s">
        <v>101</v>
      </c>
      <c r="AP323" s="775"/>
      <c r="AQ323" s="734"/>
      <c r="AR323" s="813">
        <f t="shared" si="51"/>
        <v>504</v>
      </c>
      <c r="AS323" s="793"/>
      <c r="AT323" s="838"/>
    </row>
    <row r="324" s="311" customFormat="1" ht="36" customHeight="1" spans="1:46">
      <c r="A324" s="773">
        <v>46205</v>
      </c>
      <c r="B324" s="774" t="s">
        <v>1391</v>
      </c>
      <c r="C324" s="774" t="s">
        <v>1174</v>
      </c>
      <c r="D324" s="775" t="s">
        <v>1392</v>
      </c>
      <c r="E324" s="776" t="s">
        <v>1393</v>
      </c>
      <c r="F324" s="777" t="s">
        <v>1394</v>
      </c>
      <c r="G324" s="778" t="s">
        <v>50</v>
      </c>
      <c r="H324" s="779" t="s">
        <v>51</v>
      </c>
      <c r="I324" s="780">
        <v>801</v>
      </c>
      <c r="J324" s="781">
        <v>0</v>
      </c>
      <c r="K324" s="781">
        <v>3</v>
      </c>
      <c r="L324" s="782">
        <f>I324/K324</f>
        <v>267</v>
      </c>
      <c r="M324" s="783">
        <v>46259</v>
      </c>
      <c r="N324" s="783">
        <v>46255</v>
      </c>
      <c r="O324" s="784"/>
      <c r="P324" s="787"/>
      <c r="Q324" s="853">
        <v>46260</v>
      </c>
      <c r="R324" s="786" t="s">
        <v>65</v>
      </c>
      <c r="S324" s="787">
        <v>46205</v>
      </c>
      <c r="T324" s="788" t="s">
        <v>54</v>
      </c>
      <c r="U324" s="788" t="s">
        <v>1395</v>
      </c>
      <c r="V324" s="788"/>
      <c r="W324" s="789" t="s">
        <v>1396</v>
      </c>
      <c r="X324" s="790" t="s">
        <v>1397</v>
      </c>
      <c r="Y324" s="791">
        <v>10.4985</v>
      </c>
      <c r="Z324" s="792">
        <f t="shared" si="53"/>
        <v>8409.2985</v>
      </c>
      <c r="AA324" s="775"/>
      <c r="AB324" s="699" t="s">
        <v>50</v>
      </c>
      <c r="AC324" s="741" t="s">
        <v>56</v>
      </c>
      <c r="AD324" s="781"/>
      <c r="AE324" s="794"/>
      <c r="AF324" s="795">
        <f t="shared" si="54"/>
        <v>-801</v>
      </c>
      <c r="AG324" s="796" t="s">
        <v>1327</v>
      </c>
      <c r="AH324" s="809" t="s">
        <v>1328</v>
      </c>
      <c r="AI324" s="679">
        <f>I324</f>
        <v>801</v>
      </c>
      <c r="AJ324" s="775"/>
      <c r="AK324" s="775"/>
      <c r="AL324" s="311"/>
      <c r="AN324" s="695">
        <f t="shared" si="52"/>
        <v>801</v>
      </c>
      <c r="AO324" s="679"/>
      <c r="AP324" s="679"/>
      <c r="AQ324" s="734"/>
      <c r="AR324" s="761">
        <f t="shared" si="51"/>
        <v>801</v>
      </c>
      <c r="AS324" s="793"/>
    </row>
    <row r="325" s="311" customFormat="1" ht="36" customHeight="1" spans="1:46">
      <c r="A325" s="773">
        <v>46203</v>
      </c>
      <c r="B325" s="774" t="s">
        <v>1398</v>
      </c>
      <c r="C325" s="774" t="s">
        <v>1205</v>
      </c>
      <c r="D325" s="775" t="s">
        <v>1399</v>
      </c>
      <c r="E325" s="776" t="s">
        <v>312</v>
      </c>
      <c r="F325" s="777" t="s">
        <v>1400</v>
      </c>
      <c r="G325" s="778" t="s">
        <v>50</v>
      </c>
      <c r="H325" s="779" t="s">
        <v>51</v>
      </c>
      <c r="I325" s="780">
        <v>300</v>
      </c>
      <c r="J325" s="781">
        <v>0</v>
      </c>
      <c r="K325" s="781">
        <v>3</v>
      </c>
      <c r="L325" s="782">
        <f t="shared" ref="L325:L334" si="55">I325/K325</f>
        <v>100</v>
      </c>
      <c r="M325" s="783">
        <v>46259</v>
      </c>
      <c r="N325" s="783">
        <v>46255</v>
      </c>
      <c r="O325" s="784"/>
      <c r="P325" s="787"/>
      <c r="Q325" s="785"/>
      <c r="R325" s="786" t="s">
        <v>65</v>
      </c>
      <c r="S325" s="787">
        <v>46203</v>
      </c>
      <c r="T325" s="788" t="s">
        <v>54</v>
      </c>
      <c r="U325" s="788" t="s">
        <v>1401</v>
      </c>
      <c r="V325" s="788"/>
      <c r="W325" s="844" t="s">
        <v>1402</v>
      </c>
      <c r="X325" s="790" t="s">
        <v>358</v>
      </c>
      <c r="Y325" s="791">
        <v>10.2018</v>
      </c>
      <c r="Z325" s="792">
        <f t="shared" si="53"/>
        <v>3060.54</v>
      </c>
      <c r="AA325" s="775"/>
      <c r="AB325" s="699" t="s">
        <v>84</v>
      </c>
      <c r="AC325" s="793" t="s">
        <v>56</v>
      </c>
      <c r="AD325" s="781"/>
      <c r="AE325" s="794"/>
      <c r="AF325" s="795">
        <f t="shared" si="54"/>
        <v>-300</v>
      </c>
      <c r="AG325" s="796" t="s">
        <v>1327</v>
      </c>
      <c r="AH325" s="809" t="s">
        <v>1328</v>
      </c>
      <c r="AI325" s="775"/>
      <c r="AJ325" s="775"/>
      <c r="AK325" s="775"/>
      <c r="AL325" s="311">
        <f>I325</f>
        <v>300</v>
      </c>
      <c r="AN325" s="695">
        <f t="shared" si="52"/>
        <v>300</v>
      </c>
      <c r="AO325" s="775" t="s">
        <v>101</v>
      </c>
      <c r="AP325" s="679"/>
      <c r="AQ325" s="734"/>
      <c r="AR325" s="761">
        <f t="shared" si="51"/>
        <v>300</v>
      </c>
      <c r="AS325" s="793"/>
    </row>
    <row r="326" s="311" customFormat="1" ht="36" customHeight="1" spans="1:46">
      <c r="A326" s="773">
        <v>46184</v>
      </c>
      <c r="B326" s="774" t="s">
        <v>1403</v>
      </c>
      <c r="C326" s="774" t="s">
        <v>175</v>
      </c>
      <c r="D326" s="775">
        <v>4500211485</v>
      </c>
      <c r="E326" s="776"/>
      <c r="F326" s="777" t="s">
        <v>1404</v>
      </c>
      <c r="G326" s="778" t="s">
        <v>50</v>
      </c>
      <c r="H326" s="779" t="s">
        <v>51</v>
      </c>
      <c r="I326" s="780">
        <v>300</v>
      </c>
      <c r="J326" s="781">
        <v>0</v>
      </c>
      <c r="K326" s="781">
        <v>3</v>
      </c>
      <c r="L326" s="782">
        <f t="shared" si="55"/>
        <v>100</v>
      </c>
      <c r="M326" s="783">
        <v>46259</v>
      </c>
      <c r="N326" s="783">
        <v>46255</v>
      </c>
      <c r="O326" s="784"/>
      <c r="P326" s="787"/>
      <c r="Q326" s="785"/>
      <c r="R326" s="786" t="s">
        <v>65</v>
      </c>
      <c r="S326" s="787">
        <v>46191</v>
      </c>
      <c r="T326" s="788" t="s">
        <v>54</v>
      </c>
      <c r="U326" s="788" t="s">
        <v>54</v>
      </c>
      <c r="V326" s="798"/>
      <c r="W326" s="789" t="s">
        <v>1405</v>
      </c>
      <c r="X326" s="790" t="s">
        <v>388</v>
      </c>
      <c r="Y326" s="791">
        <v>10.2018</v>
      </c>
      <c r="Z326" s="792">
        <f t="shared" si="53"/>
        <v>3060.54</v>
      </c>
      <c r="AA326" s="775"/>
      <c r="AB326" s="772" t="s">
        <v>84</v>
      </c>
      <c r="AC326" s="793" t="s">
        <v>56</v>
      </c>
      <c r="AD326" s="781"/>
      <c r="AE326" s="794"/>
      <c r="AF326" s="795">
        <f t="shared" si="54"/>
        <v>-300</v>
      </c>
      <c r="AG326" s="788" t="s">
        <v>54</v>
      </c>
      <c r="AH326" s="809" t="s">
        <v>1328</v>
      </c>
      <c r="AI326" s="775"/>
      <c r="AJ326" s="775"/>
      <c r="AK326" s="775"/>
      <c r="AL326" s="311">
        <f>I326</f>
        <v>300</v>
      </c>
      <c r="AN326" s="695">
        <f t="shared" si="52"/>
        <v>300</v>
      </c>
      <c r="AO326" s="775" t="s">
        <v>101</v>
      </c>
      <c r="AP326" s="679"/>
      <c r="AQ326" s="679"/>
      <c r="AR326" s="761">
        <f t="shared" si="51"/>
        <v>300</v>
      </c>
      <c r="AS326" s="700"/>
    </row>
    <row r="327" s="311" customFormat="1" ht="36" customHeight="1" spans="1:46">
      <c r="A327" s="773">
        <v>46209</v>
      </c>
      <c r="B327" s="774" t="s">
        <v>1335</v>
      </c>
      <c r="C327" s="774" t="s">
        <v>71</v>
      </c>
      <c r="D327" s="775" t="s">
        <v>1406</v>
      </c>
      <c r="E327" s="776" t="s">
        <v>1407</v>
      </c>
      <c r="F327" s="777" t="s">
        <v>1408</v>
      </c>
      <c r="G327" s="778" t="s">
        <v>50</v>
      </c>
      <c r="H327" s="779" t="s">
        <v>51</v>
      </c>
      <c r="I327" s="780">
        <v>387</v>
      </c>
      <c r="J327" s="781">
        <v>0</v>
      </c>
      <c r="K327" s="781">
        <v>3</v>
      </c>
      <c r="L327" s="782">
        <f t="shared" si="55"/>
        <v>129</v>
      </c>
      <c r="M327" s="783">
        <v>46261</v>
      </c>
      <c r="N327" s="783">
        <v>46259</v>
      </c>
      <c r="O327" s="784"/>
      <c r="P327" s="787"/>
      <c r="Q327" s="785"/>
      <c r="R327" s="786" t="s">
        <v>65</v>
      </c>
      <c r="S327" s="722">
        <v>46230</v>
      </c>
      <c r="T327" s="788" t="s">
        <v>66</v>
      </c>
      <c r="U327" s="788" t="s">
        <v>1409</v>
      </c>
      <c r="V327" s="798"/>
      <c r="W327" s="789" t="s">
        <v>1339</v>
      </c>
      <c r="X327" s="790" t="s">
        <v>1410</v>
      </c>
      <c r="Y327" s="791">
        <v>6.1211</v>
      </c>
      <c r="Z327" s="792">
        <f t="shared" si="53"/>
        <v>2368.8657</v>
      </c>
      <c r="AA327" s="775"/>
      <c r="AB327" s="699" t="s">
        <v>50</v>
      </c>
      <c r="AC327" s="741" t="s">
        <v>56</v>
      </c>
      <c r="AD327" s="781"/>
      <c r="AE327" s="794"/>
      <c r="AF327" s="795">
        <f t="shared" si="54"/>
        <v>-387</v>
      </c>
      <c r="AG327" s="796" t="s">
        <v>1327</v>
      </c>
      <c r="AH327" s="809" t="s">
        <v>1328</v>
      </c>
      <c r="AI327" s="775">
        <f>I327</f>
        <v>387</v>
      </c>
      <c r="AJ327" s="775"/>
      <c r="AK327" s="775"/>
      <c r="AL327" s="311"/>
      <c r="AN327" s="695">
        <f t="shared" si="52"/>
        <v>387</v>
      </c>
      <c r="AO327" s="775"/>
      <c r="AP327" s="679"/>
      <c r="AR327" s="761">
        <f t="shared" si="51"/>
        <v>387</v>
      </c>
      <c r="AS327" s="793"/>
      <c r="AT327" s="644"/>
    </row>
    <row r="328" s="311" customFormat="1" ht="36" customHeight="1" spans="1:46">
      <c r="A328" s="773">
        <v>46209</v>
      </c>
      <c r="B328" s="774" t="s">
        <v>1411</v>
      </c>
      <c r="C328" s="774" t="s">
        <v>175</v>
      </c>
      <c r="D328" s="775" t="s">
        <v>1412</v>
      </c>
      <c r="E328" s="776" t="s">
        <v>1413</v>
      </c>
      <c r="F328" s="777" t="s">
        <v>1414</v>
      </c>
      <c r="G328" s="778" t="s">
        <v>50</v>
      </c>
      <c r="H328" s="779" t="s">
        <v>51</v>
      </c>
      <c r="I328" s="780">
        <v>900</v>
      </c>
      <c r="J328" s="781">
        <v>0</v>
      </c>
      <c r="K328" s="781">
        <v>3</v>
      </c>
      <c r="L328" s="782">
        <f t="shared" si="55"/>
        <v>300</v>
      </c>
      <c r="M328" s="114">
        <v>46262</v>
      </c>
      <c r="N328" s="114">
        <v>46258</v>
      </c>
      <c r="O328" s="784"/>
      <c r="P328" s="787"/>
      <c r="Q328" s="785"/>
      <c r="R328" s="786" t="s">
        <v>65</v>
      </c>
      <c r="S328" s="722">
        <v>46223</v>
      </c>
      <c r="T328" s="788" t="s">
        <v>66</v>
      </c>
      <c r="U328" s="788" t="s">
        <v>1415</v>
      </c>
      <c r="V328" s="798"/>
      <c r="W328" s="789" t="s">
        <v>1416</v>
      </c>
      <c r="X328" s="790" t="s">
        <v>1417</v>
      </c>
      <c r="Y328" s="791">
        <v>10.4815</v>
      </c>
      <c r="Z328" s="792">
        <f t="shared" si="53"/>
        <v>9433.35</v>
      </c>
      <c r="AA328" s="775"/>
      <c r="AB328" s="699" t="s">
        <v>84</v>
      </c>
      <c r="AC328" s="741" t="s">
        <v>56</v>
      </c>
      <c r="AD328" s="781"/>
      <c r="AE328" s="794"/>
      <c r="AF328" s="795">
        <f t="shared" si="54"/>
        <v>-900</v>
      </c>
      <c r="AG328" s="854" t="s">
        <v>1418</v>
      </c>
      <c r="AH328" s="809" t="s">
        <v>1328</v>
      </c>
      <c r="AI328" s="775"/>
      <c r="AJ328" s="775"/>
      <c r="AK328" s="775"/>
      <c r="AL328" s="311">
        <f>I328</f>
        <v>900</v>
      </c>
      <c r="AN328" s="695">
        <f t="shared" si="52"/>
        <v>900</v>
      </c>
      <c r="AO328" s="775" t="s">
        <v>101</v>
      </c>
      <c r="AP328" s="775"/>
      <c r="AR328" s="761">
        <f t="shared" si="51"/>
        <v>900</v>
      </c>
      <c r="AS328" s="793"/>
    </row>
    <row r="329" s="307" customFormat="1" ht="36" customHeight="1" spans="1:46">
      <c r="A329" s="773">
        <v>46209</v>
      </c>
      <c r="B329" s="774" t="s">
        <v>1411</v>
      </c>
      <c r="C329" s="774" t="s">
        <v>175</v>
      </c>
      <c r="D329" s="775" t="s">
        <v>1412</v>
      </c>
      <c r="E329" s="776" t="s">
        <v>1419</v>
      </c>
      <c r="F329" s="777" t="s">
        <v>1420</v>
      </c>
      <c r="G329" s="778" t="s">
        <v>50</v>
      </c>
      <c r="H329" s="779" t="s">
        <v>51</v>
      </c>
      <c r="I329" s="780">
        <v>300</v>
      </c>
      <c r="J329" s="781">
        <v>0</v>
      </c>
      <c r="K329" s="781">
        <v>3</v>
      </c>
      <c r="L329" s="782">
        <f t="shared" si="55"/>
        <v>100</v>
      </c>
      <c r="M329" s="114">
        <v>46262</v>
      </c>
      <c r="N329" s="114">
        <v>46258</v>
      </c>
      <c r="O329" s="784"/>
      <c r="P329" s="787"/>
      <c r="Q329" s="785"/>
      <c r="R329" s="786" t="s">
        <v>65</v>
      </c>
      <c r="S329" s="722">
        <v>46223</v>
      </c>
      <c r="T329" s="788" t="s">
        <v>66</v>
      </c>
      <c r="U329" s="788" t="s">
        <v>1415</v>
      </c>
      <c r="V329" s="798"/>
      <c r="W329" s="789" t="s">
        <v>1416</v>
      </c>
      <c r="X329" s="790" t="s">
        <v>1417</v>
      </c>
      <c r="Y329" s="791">
        <v>10.4815</v>
      </c>
      <c r="Z329" s="792">
        <f t="shared" si="53"/>
        <v>3144.45</v>
      </c>
      <c r="AA329" s="775"/>
      <c r="AB329" s="699" t="s">
        <v>84</v>
      </c>
      <c r="AC329" s="741" t="s">
        <v>56</v>
      </c>
      <c r="AD329" s="781"/>
      <c r="AE329" s="794"/>
      <c r="AF329" s="795">
        <f t="shared" si="54"/>
        <v>-300</v>
      </c>
      <c r="AG329" s="854" t="s">
        <v>1418</v>
      </c>
      <c r="AH329" s="809" t="s">
        <v>1328</v>
      </c>
      <c r="AI329" s="775"/>
      <c r="AJ329" s="775"/>
      <c r="AK329" s="775"/>
      <c r="AL329" s="311">
        <f>I329</f>
        <v>300</v>
      </c>
      <c r="AN329" s="695">
        <f t="shared" si="52"/>
        <v>300</v>
      </c>
      <c r="AO329" s="775" t="s">
        <v>101</v>
      </c>
      <c r="AP329" s="775"/>
      <c r="AQ329" s="855"/>
      <c r="AR329" s="761">
        <f t="shared" si="51"/>
        <v>300</v>
      </c>
      <c r="AS329" s="793"/>
      <c r="AT329" s="855"/>
    </row>
    <row r="330" s="307" customFormat="1" ht="36" customHeight="1" spans="1:46">
      <c r="A330" s="708">
        <v>46218</v>
      </c>
      <c r="B330" s="709" t="s">
        <v>1421</v>
      </c>
      <c r="C330" s="709" t="s">
        <v>1422</v>
      </c>
      <c r="D330" s="710">
        <v>4500216094</v>
      </c>
      <c r="E330" s="711"/>
      <c r="F330" s="712" t="s">
        <v>1423</v>
      </c>
      <c r="G330" s="713" t="s">
        <v>50</v>
      </c>
      <c r="H330" s="736" t="s">
        <v>51</v>
      </c>
      <c r="I330" s="715">
        <v>180</v>
      </c>
      <c r="J330" s="716">
        <v>0</v>
      </c>
      <c r="K330" s="716">
        <v>3</v>
      </c>
      <c r="L330" s="717">
        <f t="shared" si="55"/>
        <v>60</v>
      </c>
      <c r="M330" s="718">
        <v>46262</v>
      </c>
      <c r="N330" s="718">
        <v>46258</v>
      </c>
      <c r="O330" s="722"/>
      <c r="P330" s="722"/>
      <c r="Q330" s="720"/>
      <c r="R330" s="721" t="s">
        <v>65</v>
      </c>
      <c r="S330" s="722">
        <v>46218</v>
      </c>
      <c r="T330" s="693" t="s">
        <v>54</v>
      </c>
      <c r="U330" s="693" t="s">
        <v>1424</v>
      </c>
      <c r="V330" s="724"/>
      <c r="W330" s="725" t="s">
        <v>1425</v>
      </c>
      <c r="X330" s="726" t="s">
        <v>441</v>
      </c>
      <c r="Y330" s="727">
        <v>10.2018</v>
      </c>
      <c r="Z330" s="728">
        <f t="shared" si="53"/>
        <v>1836.324</v>
      </c>
      <c r="AA330" s="710"/>
      <c r="AB330" s="699" t="s">
        <v>50</v>
      </c>
      <c r="AC330" s="741" t="s">
        <v>56</v>
      </c>
      <c r="AD330" s="716"/>
      <c r="AE330" s="730"/>
      <c r="AF330" s="795">
        <f t="shared" si="54"/>
        <v>-180</v>
      </c>
      <c r="AG330" s="833" t="s">
        <v>1327</v>
      </c>
      <c r="AH330" s="852" t="s">
        <v>1328</v>
      </c>
      <c r="AI330" s="710">
        <f>I330</f>
        <v>180</v>
      </c>
      <c r="AJ330" s="710"/>
      <c r="AK330" s="710"/>
      <c r="AL330" s="311"/>
      <c r="AN330" s="695">
        <f t="shared" si="52"/>
        <v>180</v>
      </c>
      <c r="AO330" s="775"/>
      <c r="AP330" s="775"/>
      <c r="AQ330" s="855"/>
      <c r="AR330" s="761">
        <f t="shared" si="51"/>
        <v>180</v>
      </c>
      <c r="AS330" s="306"/>
      <c r="AT330" s="856"/>
    </row>
    <row r="331" s="307" customFormat="1" ht="36" customHeight="1" spans="1:46">
      <c r="A331" s="677">
        <v>46218</v>
      </c>
      <c r="B331" s="678" t="s">
        <v>862</v>
      </c>
      <c r="C331" s="678" t="s">
        <v>863</v>
      </c>
      <c r="D331" s="679">
        <v>4500216583</v>
      </c>
      <c r="E331" s="680" t="s">
        <v>1426</v>
      </c>
      <c r="F331" s="681" t="s">
        <v>1427</v>
      </c>
      <c r="G331" s="682" t="s">
        <v>50</v>
      </c>
      <c r="H331" s="683" t="s">
        <v>51</v>
      </c>
      <c r="I331" s="684">
        <v>504</v>
      </c>
      <c r="J331" s="685">
        <v>0</v>
      </c>
      <c r="K331" s="685">
        <v>3</v>
      </c>
      <c r="L331" s="686">
        <f t="shared" si="55"/>
        <v>168</v>
      </c>
      <c r="M331" s="687">
        <v>46262</v>
      </c>
      <c r="N331" s="687">
        <v>46258</v>
      </c>
      <c r="O331" s="691"/>
      <c r="P331" s="691"/>
      <c r="Q331" s="689"/>
      <c r="R331" s="721" t="s">
        <v>65</v>
      </c>
      <c r="S331" s="691">
        <v>46231</v>
      </c>
      <c r="T331" s="788" t="s">
        <v>54</v>
      </c>
      <c r="U331" s="788" t="s">
        <v>1428</v>
      </c>
      <c r="V331" s="694"/>
      <c r="W331" s="695" t="s">
        <v>1429</v>
      </c>
      <c r="X331" s="696" t="s">
        <v>870</v>
      </c>
      <c r="Y331" s="697">
        <v>10.2018</v>
      </c>
      <c r="Z331" s="698">
        <f t="shared" si="53"/>
        <v>5141.7072</v>
      </c>
      <c r="AA331" s="679"/>
      <c r="AB331" s="699" t="s">
        <v>84</v>
      </c>
      <c r="AC331" s="793" t="s">
        <v>56</v>
      </c>
      <c r="AD331" s="685"/>
      <c r="AE331" s="701"/>
      <c r="AF331" s="795">
        <f t="shared" si="54"/>
        <v>-504</v>
      </c>
      <c r="AG331" s="833" t="s">
        <v>52</v>
      </c>
      <c r="AH331" s="852" t="s">
        <v>1328</v>
      </c>
      <c r="AI331" s="710"/>
      <c r="AJ331" s="710"/>
      <c r="AK331" s="710"/>
      <c r="AL331" s="314">
        <f>I331</f>
        <v>504</v>
      </c>
      <c r="AN331" s="857">
        <f t="shared" si="52"/>
        <v>504</v>
      </c>
      <c r="AO331" s="816"/>
      <c r="AP331" s="816"/>
      <c r="AR331" s="699">
        <f t="shared" si="51"/>
        <v>504</v>
      </c>
      <c r="AS331" s="313"/>
      <c r="AT331" s="858"/>
    </row>
    <row r="332" s="307" customFormat="1" ht="36" customHeight="1" spans="1:46">
      <c r="A332" s="708">
        <v>46218</v>
      </c>
      <c r="B332" s="709" t="s">
        <v>107</v>
      </c>
      <c r="C332" s="709" t="s">
        <v>257</v>
      </c>
      <c r="D332" s="710">
        <v>4500216548</v>
      </c>
      <c r="E332" s="711" t="s">
        <v>1430</v>
      </c>
      <c r="F332" s="712" t="s">
        <v>1431</v>
      </c>
      <c r="G332" s="713" t="s">
        <v>50</v>
      </c>
      <c r="H332" s="736" t="s">
        <v>51</v>
      </c>
      <c r="I332" s="715">
        <v>420</v>
      </c>
      <c r="J332" s="716">
        <v>0</v>
      </c>
      <c r="K332" s="716">
        <v>3</v>
      </c>
      <c r="L332" s="717">
        <f t="shared" si="55"/>
        <v>140</v>
      </c>
      <c r="M332" s="718">
        <v>46262</v>
      </c>
      <c r="N332" s="718">
        <v>46258</v>
      </c>
      <c r="O332" s="722"/>
      <c r="P332" s="722"/>
      <c r="Q332" s="720"/>
      <c r="R332" s="721" t="s">
        <v>65</v>
      </c>
      <c r="S332" s="722">
        <v>46218</v>
      </c>
      <c r="T332" s="694" t="s">
        <v>54</v>
      </c>
      <c r="U332" s="694" t="s">
        <v>54</v>
      </c>
      <c r="V332" s="724"/>
      <c r="W332" s="725" t="s">
        <v>1432</v>
      </c>
      <c r="X332" s="726" t="s">
        <v>1433</v>
      </c>
      <c r="Y332" s="727">
        <v>10.4985</v>
      </c>
      <c r="Z332" s="728">
        <f t="shared" si="53"/>
        <v>4409.37</v>
      </c>
      <c r="AA332" s="710"/>
      <c r="AB332" s="699" t="s">
        <v>84</v>
      </c>
      <c r="AC332" s="741" t="s">
        <v>56</v>
      </c>
      <c r="AD332" s="716"/>
      <c r="AE332" s="730"/>
      <c r="AF332" s="795">
        <f t="shared" si="54"/>
        <v>-420</v>
      </c>
      <c r="AG332" s="833" t="s">
        <v>54</v>
      </c>
      <c r="AH332" s="852" t="s">
        <v>1328</v>
      </c>
      <c r="AI332" s="710"/>
      <c r="AJ332" s="710"/>
      <c r="AK332" s="710"/>
      <c r="AL332" s="306">
        <f>I332</f>
        <v>420</v>
      </c>
      <c r="AN332" s="835">
        <f t="shared" si="52"/>
        <v>420</v>
      </c>
      <c r="AO332" s="816" t="s">
        <v>101</v>
      </c>
      <c r="AP332" s="816"/>
      <c r="AR332" s="741">
        <f t="shared" si="51"/>
        <v>420</v>
      </c>
      <c r="AS332" s="306"/>
      <c r="AT332" s="856"/>
    </row>
    <row r="333" s="311" customFormat="1" ht="36" customHeight="1" spans="1:46">
      <c r="A333" s="708">
        <v>46218</v>
      </c>
      <c r="B333" s="709" t="s">
        <v>107</v>
      </c>
      <c r="C333" s="709" t="s">
        <v>257</v>
      </c>
      <c r="D333" s="710">
        <v>4500216548</v>
      </c>
      <c r="E333" s="711" t="s">
        <v>1434</v>
      </c>
      <c r="F333" s="712" t="s">
        <v>1435</v>
      </c>
      <c r="G333" s="713" t="s">
        <v>50</v>
      </c>
      <c r="H333" s="736" t="s">
        <v>51</v>
      </c>
      <c r="I333" s="715">
        <v>180</v>
      </c>
      <c r="J333" s="716">
        <v>0</v>
      </c>
      <c r="K333" s="716">
        <v>3</v>
      </c>
      <c r="L333" s="717">
        <f t="shared" si="55"/>
        <v>60</v>
      </c>
      <c r="M333" s="718">
        <v>46262</v>
      </c>
      <c r="N333" s="718">
        <v>46258</v>
      </c>
      <c r="O333" s="722"/>
      <c r="P333" s="722"/>
      <c r="Q333" s="720"/>
      <c r="R333" s="721" t="s">
        <v>65</v>
      </c>
      <c r="S333" s="722">
        <v>46218</v>
      </c>
      <c r="T333" s="724" t="s">
        <v>54</v>
      </c>
      <c r="U333" s="724" t="s">
        <v>54</v>
      </c>
      <c r="V333" s="724"/>
      <c r="W333" s="725" t="s">
        <v>1432</v>
      </c>
      <c r="X333" s="726" t="s">
        <v>1433</v>
      </c>
      <c r="Y333" s="727">
        <v>10.4985</v>
      </c>
      <c r="Z333" s="728">
        <f t="shared" si="53"/>
        <v>1889.73</v>
      </c>
      <c r="AA333" s="710"/>
      <c r="AB333" s="699" t="s">
        <v>84</v>
      </c>
      <c r="AC333" s="741" t="s">
        <v>56</v>
      </c>
      <c r="AD333" s="716"/>
      <c r="AE333" s="730"/>
      <c r="AF333" s="795">
        <f t="shared" si="54"/>
        <v>-180</v>
      </c>
      <c r="AG333" s="796" t="s">
        <v>54</v>
      </c>
      <c r="AH333" s="852" t="s">
        <v>1328</v>
      </c>
      <c r="AI333" s="710"/>
      <c r="AJ333" s="710"/>
      <c r="AK333" s="710"/>
      <c r="AL333" s="306">
        <f>I333</f>
        <v>180</v>
      </c>
      <c r="AN333" s="859">
        <f t="shared" si="52"/>
        <v>180</v>
      </c>
      <c r="AO333" s="816" t="s">
        <v>101</v>
      </c>
      <c r="AP333" s="816"/>
      <c r="AQ333" s="313"/>
      <c r="AR333" s="741">
        <f t="shared" si="51"/>
        <v>180</v>
      </c>
      <c r="AS333" s="306"/>
      <c r="AT333" s="856"/>
    </row>
    <row r="334" s="295" customFormat="1" ht="36" customHeight="1" spans="1:46">
      <c r="A334" s="814">
        <v>46175</v>
      </c>
      <c r="B334" s="815" t="s">
        <v>1436</v>
      </c>
      <c r="C334" s="815" t="s">
        <v>175</v>
      </c>
      <c r="D334" s="816" t="s">
        <v>1437</v>
      </c>
      <c r="E334" s="817"/>
      <c r="F334" s="818" t="s">
        <v>1438</v>
      </c>
      <c r="G334" s="819" t="s">
        <v>50</v>
      </c>
      <c r="H334" s="820" t="s">
        <v>51</v>
      </c>
      <c r="I334" s="821">
        <v>300</v>
      </c>
      <c r="J334" s="822">
        <v>0</v>
      </c>
      <c r="K334" s="822">
        <v>3</v>
      </c>
      <c r="L334" s="860">
        <f t="shared" si="55"/>
        <v>100</v>
      </c>
      <c r="M334" s="140">
        <v>46232</v>
      </c>
      <c r="N334" s="140">
        <v>46259</v>
      </c>
      <c r="O334" s="71" t="s">
        <v>1439</v>
      </c>
      <c r="P334" s="827"/>
      <c r="Q334" s="826"/>
      <c r="R334" s="721" t="s">
        <v>65</v>
      </c>
      <c r="S334" s="827">
        <v>46195</v>
      </c>
      <c r="T334" s="724" t="s">
        <v>54</v>
      </c>
      <c r="U334" s="693" t="s">
        <v>1440</v>
      </c>
      <c r="V334" s="861"/>
      <c r="W334" s="740" t="s">
        <v>1441</v>
      </c>
      <c r="X334" s="828" t="s">
        <v>1442</v>
      </c>
      <c r="Y334" s="829">
        <v>10.4985</v>
      </c>
      <c r="Z334" s="830">
        <f t="shared" si="53"/>
        <v>3149.55</v>
      </c>
      <c r="AA334" s="816"/>
      <c r="AB334" s="862" t="s">
        <v>84</v>
      </c>
      <c r="AC334" s="741" t="s">
        <v>56</v>
      </c>
      <c r="AD334" s="822"/>
      <c r="AE334" s="831"/>
      <c r="AF334" s="832"/>
      <c r="AG334" s="833"/>
      <c r="AH334" s="833"/>
      <c r="AI334" s="816"/>
      <c r="AJ334" s="816"/>
      <c r="AK334" s="816"/>
      <c r="AL334" s="314">
        <f>I334</f>
        <v>300</v>
      </c>
      <c r="AN334" s="740">
        <f t="shared" si="52"/>
        <v>300</v>
      </c>
      <c r="AO334" s="710" t="s">
        <v>101</v>
      </c>
      <c r="AP334" s="816"/>
      <c r="AQ334" s="306"/>
      <c r="AR334" s="837">
        <f t="shared" ref="AR318:AR349" si="56">I334</f>
        <v>300</v>
      </c>
      <c r="AS334" s="741"/>
      <c r="AT334" s="855"/>
    </row>
    <row r="335" s="316" customFormat="1" ht="36" customHeight="1" spans="1:46">
      <c r="A335" s="814">
        <v>46212</v>
      </c>
      <c r="B335" s="815" t="s">
        <v>330</v>
      </c>
      <c r="C335" s="815" t="s">
        <v>331</v>
      </c>
      <c r="D335" s="816">
        <v>4500215773</v>
      </c>
      <c r="E335" s="817"/>
      <c r="F335" s="818" t="s">
        <v>1443</v>
      </c>
      <c r="G335" s="819" t="s">
        <v>50</v>
      </c>
      <c r="H335" s="820" t="s">
        <v>51</v>
      </c>
      <c r="I335" s="821">
        <v>1500</v>
      </c>
      <c r="J335" s="822">
        <v>0</v>
      </c>
      <c r="K335" s="822">
        <v>3</v>
      </c>
      <c r="L335" s="823">
        <f t="shared" ref="L326:L374" si="57">I335/K335</f>
        <v>500</v>
      </c>
      <c r="M335" s="140">
        <v>46262</v>
      </c>
      <c r="N335" s="140">
        <v>46260</v>
      </c>
      <c r="O335" s="800" t="s">
        <v>1444</v>
      </c>
      <c r="P335" s="827"/>
      <c r="Q335" s="826"/>
      <c r="R335" s="721" t="s">
        <v>65</v>
      </c>
      <c r="S335" s="827">
        <v>46212</v>
      </c>
      <c r="T335" s="693" t="s">
        <v>54</v>
      </c>
      <c r="U335" s="693" t="s">
        <v>54</v>
      </c>
      <c r="V335" s="836"/>
      <c r="W335" s="740" t="s">
        <v>1445</v>
      </c>
      <c r="X335" s="828" t="s">
        <v>209</v>
      </c>
      <c r="Y335" s="829">
        <v>10.1848</v>
      </c>
      <c r="Z335" s="830">
        <f t="shared" si="53"/>
        <v>15277.2</v>
      </c>
      <c r="AA335" s="816"/>
      <c r="AB335" s="699" t="s">
        <v>50</v>
      </c>
      <c r="AC335" s="741" t="s">
        <v>56</v>
      </c>
      <c r="AD335" s="822"/>
      <c r="AE335" s="831"/>
      <c r="AF335" s="795">
        <f>AE335-I335</f>
        <v>-1500</v>
      </c>
      <c r="AG335" s="693" t="s">
        <v>54</v>
      </c>
      <c r="AH335" s="852" t="s">
        <v>1328</v>
      </c>
      <c r="AI335" s="816">
        <f>I335</f>
        <v>1500</v>
      </c>
      <c r="AJ335" s="816"/>
      <c r="AK335" s="816"/>
      <c r="AL335" s="834"/>
      <c r="AN335" s="835">
        <f t="shared" si="52"/>
        <v>1500</v>
      </c>
      <c r="AO335" s="816"/>
      <c r="AP335" s="816"/>
      <c r="AR335" s="741">
        <f t="shared" si="56"/>
        <v>1500</v>
      </c>
      <c r="AS335" s="314"/>
      <c r="AT335" s="838"/>
    </row>
    <row r="336" s="307" customFormat="1" ht="36" customHeight="1" spans="1:46">
      <c r="A336" s="708">
        <v>46217</v>
      </c>
      <c r="B336" s="709" t="s">
        <v>86</v>
      </c>
      <c r="C336" s="709" t="s">
        <v>87</v>
      </c>
      <c r="D336" s="710" t="s">
        <v>1446</v>
      </c>
      <c r="E336" s="711" t="s">
        <v>1447</v>
      </c>
      <c r="F336" s="712" t="s">
        <v>1448</v>
      </c>
      <c r="G336" s="713" t="s">
        <v>50</v>
      </c>
      <c r="H336" s="736" t="s">
        <v>51</v>
      </c>
      <c r="I336" s="715">
        <v>1002</v>
      </c>
      <c r="J336" s="716">
        <v>0</v>
      </c>
      <c r="K336" s="716">
        <v>3</v>
      </c>
      <c r="L336" s="717">
        <f t="shared" si="57"/>
        <v>334</v>
      </c>
      <c r="M336" s="718">
        <v>46265</v>
      </c>
      <c r="N336" s="718">
        <v>46262</v>
      </c>
      <c r="O336" s="722"/>
      <c r="P336" s="722"/>
      <c r="Q336" s="720"/>
      <c r="R336" s="721" t="s">
        <v>65</v>
      </c>
      <c r="S336" s="722">
        <v>46217</v>
      </c>
      <c r="T336" s="788" t="s">
        <v>54</v>
      </c>
      <c r="U336" s="693" t="s">
        <v>1265</v>
      </c>
      <c r="V336" s="861" t="s">
        <v>91</v>
      </c>
      <c r="W336" s="725" t="s">
        <v>1449</v>
      </c>
      <c r="X336" s="726" t="s">
        <v>1433</v>
      </c>
      <c r="Y336" s="727">
        <v>10.4815</v>
      </c>
      <c r="Z336" s="728">
        <f t="shared" si="53"/>
        <v>10502.463</v>
      </c>
      <c r="AA336" s="710"/>
      <c r="AB336" s="699" t="s">
        <v>84</v>
      </c>
      <c r="AC336" s="741" t="s">
        <v>56</v>
      </c>
      <c r="AD336" s="716"/>
      <c r="AE336" s="730"/>
      <c r="AF336" s="795">
        <f>AE336-I336</f>
        <v>-1002</v>
      </c>
      <c r="AG336" s="833" t="s">
        <v>1327</v>
      </c>
      <c r="AH336" s="852" t="s">
        <v>1328</v>
      </c>
      <c r="AI336" s="710"/>
      <c r="AJ336" s="710"/>
      <c r="AK336" s="710"/>
      <c r="AL336" s="314">
        <f>I336</f>
        <v>1002</v>
      </c>
      <c r="AN336" s="695">
        <f t="shared" si="52"/>
        <v>1002</v>
      </c>
      <c r="AO336" s="775" t="s">
        <v>101</v>
      </c>
      <c r="AP336" s="679"/>
      <c r="AR336" s="761">
        <f t="shared" si="56"/>
        <v>1002</v>
      </c>
      <c r="AS336" s="306"/>
      <c r="AT336" s="856"/>
    </row>
    <row r="337" s="311" customFormat="1" ht="36" customHeight="1" spans="1:46">
      <c r="A337" s="773">
        <v>46188</v>
      </c>
      <c r="B337" s="774" t="s">
        <v>1450</v>
      </c>
      <c r="C337" s="774" t="s">
        <v>189</v>
      </c>
      <c r="D337" s="775">
        <v>4500212220</v>
      </c>
      <c r="E337" s="776" t="s">
        <v>1451</v>
      </c>
      <c r="F337" s="777" t="s">
        <v>1452</v>
      </c>
      <c r="G337" s="778" t="s">
        <v>597</v>
      </c>
      <c r="H337" s="779" t="s">
        <v>51</v>
      </c>
      <c r="I337" s="780">
        <v>1944</v>
      </c>
      <c r="J337" s="781">
        <v>0</v>
      </c>
      <c r="K337" s="781">
        <v>54</v>
      </c>
      <c r="L337" s="782">
        <f t="shared" si="57"/>
        <v>36</v>
      </c>
      <c r="M337" s="783">
        <v>46266</v>
      </c>
      <c r="N337" s="783">
        <v>46262</v>
      </c>
      <c r="O337" s="784"/>
      <c r="P337" s="787"/>
      <c r="Q337" s="785"/>
      <c r="R337" s="786" t="s">
        <v>65</v>
      </c>
      <c r="S337" s="787">
        <v>46188</v>
      </c>
      <c r="T337" s="788" t="s">
        <v>54</v>
      </c>
      <c r="U337" s="788" t="s">
        <v>54</v>
      </c>
      <c r="V337" s="788" t="s">
        <v>1453</v>
      </c>
      <c r="W337" s="789" t="s">
        <v>1454</v>
      </c>
      <c r="X337" s="790" t="s">
        <v>69</v>
      </c>
      <c r="Y337" s="791">
        <v>793.6019</v>
      </c>
      <c r="Z337" s="792">
        <f>Y337*L337</f>
        <v>28569.6684</v>
      </c>
      <c r="AA337" s="775"/>
      <c r="AB337" s="813" t="s">
        <v>597</v>
      </c>
      <c r="AC337" s="793" t="s">
        <v>56</v>
      </c>
      <c r="AD337" s="781"/>
      <c r="AE337" s="794"/>
      <c r="AF337" s="795"/>
      <c r="AG337" s="796"/>
      <c r="AH337" s="796"/>
      <c r="AI337" s="775"/>
      <c r="AJ337" s="863"/>
      <c r="AK337" s="863">
        <f>I337</f>
        <v>1944</v>
      </c>
      <c r="AN337" s="695">
        <f t="shared" si="52"/>
        <v>1944</v>
      </c>
      <c r="AO337" s="679"/>
      <c r="AP337" s="761">
        <f>I337</f>
        <v>1944</v>
      </c>
      <c r="AS337" s="793">
        <f>I337/3</f>
        <v>648</v>
      </c>
    </row>
    <row r="338" s="316" customFormat="1" ht="36" customHeight="1" spans="1:46">
      <c r="A338" s="814">
        <v>46213</v>
      </c>
      <c r="B338" s="815" t="s">
        <v>1455</v>
      </c>
      <c r="C338" s="815" t="s">
        <v>341</v>
      </c>
      <c r="D338" s="816" t="s">
        <v>1456</v>
      </c>
      <c r="E338" s="895" t="s">
        <v>1457</v>
      </c>
      <c r="F338" s="818" t="s">
        <v>1458</v>
      </c>
      <c r="G338" s="819" t="s">
        <v>50</v>
      </c>
      <c r="H338" s="820" t="s">
        <v>51</v>
      </c>
      <c r="I338" s="821">
        <v>1110</v>
      </c>
      <c r="J338" s="822">
        <v>0</v>
      </c>
      <c r="K338" s="822">
        <v>3</v>
      </c>
      <c r="L338" s="823">
        <f t="shared" si="57"/>
        <v>370</v>
      </c>
      <c r="M338" s="824">
        <v>46266</v>
      </c>
      <c r="N338" s="824">
        <v>46265</v>
      </c>
      <c r="O338" s="827"/>
      <c r="P338" s="827"/>
      <c r="Q338" s="506">
        <v>46268</v>
      </c>
      <c r="R338" s="721" t="s">
        <v>65</v>
      </c>
      <c r="S338" s="827">
        <v>46216</v>
      </c>
      <c r="T338" s="788" t="s">
        <v>54</v>
      </c>
      <c r="U338" s="693" t="s">
        <v>1459</v>
      </c>
      <c r="V338" s="836"/>
      <c r="W338" s="740" t="s">
        <v>1460</v>
      </c>
      <c r="X338" s="828" t="s">
        <v>1461</v>
      </c>
      <c r="Y338" s="829">
        <v>10.4815</v>
      </c>
      <c r="Z338" s="830">
        <f t="shared" ref="Z338:Z345" si="58">I338*Y338</f>
        <v>11634.465</v>
      </c>
      <c r="AA338" s="816"/>
      <c r="AB338" s="699" t="s">
        <v>84</v>
      </c>
      <c r="AC338" s="741" t="s">
        <v>56</v>
      </c>
      <c r="AD338" s="822"/>
      <c r="AE338" s="831"/>
      <c r="AF338" s="795">
        <f t="shared" ref="AF338:AF345" si="59">AE338-I338</f>
        <v>-1110</v>
      </c>
      <c r="AG338" s="833" t="s">
        <v>1327</v>
      </c>
      <c r="AH338" s="852" t="s">
        <v>1328</v>
      </c>
      <c r="AI338" s="816"/>
      <c r="AJ338" s="816"/>
      <c r="AK338" s="816"/>
      <c r="AL338" s="314">
        <f>I338</f>
        <v>1110</v>
      </c>
      <c r="AM338" s="695">
        <f t="shared" ref="AM338:AM345" si="60">I338</f>
        <v>1110</v>
      </c>
      <c r="AN338" s="679"/>
      <c r="AO338" s="679"/>
      <c r="AP338" s="679"/>
      <c r="AR338" s="761">
        <f t="shared" si="56"/>
        <v>1110</v>
      </c>
      <c r="AS338" s="314"/>
      <c r="AT338" s="838"/>
    </row>
    <row r="339" s="314" customFormat="1" ht="36" customHeight="1" spans="1:46">
      <c r="A339" s="814">
        <v>46220</v>
      </c>
      <c r="B339" s="815" t="s">
        <v>70</v>
      </c>
      <c r="C339" s="815" t="s">
        <v>71</v>
      </c>
      <c r="D339" s="864">
        <v>4500216861</v>
      </c>
      <c r="E339" s="817" t="s">
        <v>1462</v>
      </c>
      <c r="F339" s="818" t="s">
        <v>1463</v>
      </c>
      <c r="G339" s="819" t="s">
        <v>50</v>
      </c>
      <c r="H339" s="820" t="s">
        <v>51</v>
      </c>
      <c r="I339" s="821">
        <v>273</v>
      </c>
      <c r="J339" s="822">
        <v>0</v>
      </c>
      <c r="K339" s="822">
        <v>3</v>
      </c>
      <c r="L339" s="823">
        <f t="shared" si="57"/>
        <v>91</v>
      </c>
      <c r="M339" s="824">
        <v>46268</v>
      </c>
      <c r="N339" s="824">
        <v>46266</v>
      </c>
      <c r="O339" s="827"/>
      <c r="P339" s="827"/>
      <c r="Q339" s="826"/>
      <c r="R339" s="721" t="s">
        <v>65</v>
      </c>
      <c r="S339" s="827">
        <v>46237</v>
      </c>
      <c r="T339" s="788" t="s">
        <v>66</v>
      </c>
      <c r="U339" s="693" t="s">
        <v>1464</v>
      </c>
      <c r="V339" s="836"/>
      <c r="W339" s="740" t="s">
        <v>1465</v>
      </c>
      <c r="X339" s="828" t="s">
        <v>76</v>
      </c>
      <c r="Y339" s="829">
        <v>6.1211</v>
      </c>
      <c r="Z339" s="830">
        <f t="shared" si="58"/>
        <v>1671.0603</v>
      </c>
      <c r="AA339" s="816"/>
      <c r="AB339" s="837" t="s">
        <v>50</v>
      </c>
      <c r="AC339" s="741" t="s">
        <v>56</v>
      </c>
      <c r="AD339" s="822"/>
      <c r="AE339" s="831"/>
      <c r="AF339" s="795">
        <f t="shared" si="59"/>
        <v>-273</v>
      </c>
      <c r="AG339" s="865" t="s">
        <v>1418</v>
      </c>
      <c r="AH339" s="852" t="s">
        <v>1328</v>
      </c>
      <c r="AI339" s="816">
        <f>I339</f>
        <v>273</v>
      </c>
      <c r="AJ339" s="816"/>
      <c r="AK339" s="816"/>
      <c r="AL339" s="314"/>
      <c r="AM339" s="789">
        <f t="shared" si="60"/>
        <v>273</v>
      </c>
      <c r="AN339" s="775"/>
      <c r="AO339" s="775"/>
      <c r="AP339" s="775"/>
      <c r="AR339" s="761">
        <f t="shared" si="56"/>
        <v>273</v>
      </c>
      <c r="AT339" s="838"/>
    </row>
    <row r="340" s="316" customFormat="1" ht="36" customHeight="1" spans="1:46">
      <c r="A340" s="773">
        <v>46211</v>
      </c>
      <c r="B340" s="774" t="s">
        <v>1466</v>
      </c>
      <c r="C340" s="774" t="s">
        <v>396</v>
      </c>
      <c r="D340" s="866" t="s">
        <v>1467</v>
      </c>
      <c r="E340" s="776"/>
      <c r="F340" s="777" t="s">
        <v>1468</v>
      </c>
      <c r="G340" s="778" t="s">
        <v>50</v>
      </c>
      <c r="H340" s="779" t="s">
        <v>51</v>
      </c>
      <c r="I340" s="780">
        <v>900</v>
      </c>
      <c r="J340" s="781">
        <v>0</v>
      </c>
      <c r="K340" s="781">
        <v>3</v>
      </c>
      <c r="L340" s="867">
        <f t="shared" si="57"/>
        <v>300</v>
      </c>
      <c r="M340" s="783">
        <v>46269</v>
      </c>
      <c r="N340" s="783">
        <v>46265</v>
      </c>
      <c r="O340" s="784"/>
      <c r="P340" s="787"/>
      <c r="Q340" s="785"/>
      <c r="R340" s="721" t="s">
        <v>65</v>
      </c>
      <c r="S340" s="722">
        <v>46220</v>
      </c>
      <c r="T340" s="694" t="s">
        <v>54</v>
      </c>
      <c r="U340" s="788" t="s">
        <v>1280</v>
      </c>
      <c r="V340" s="868" t="s">
        <v>1281</v>
      </c>
      <c r="W340" s="844" t="s">
        <v>1469</v>
      </c>
      <c r="X340" s="790" t="s">
        <v>1470</v>
      </c>
      <c r="Y340" s="791">
        <v>10.4815</v>
      </c>
      <c r="Z340" s="792">
        <f t="shared" si="58"/>
        <v>9433.35</v>
      </c>
      <c r="AA340" s="775"/>
      <c r="AB340" s="699" t="s">
        <v>84</v>
      </c>
      <c r="AC340" s="741" t="s">
        <v>56</v>
      </c>
      <c r="AD340" s="781"/>
      <c r="AE340" s="794"/>
      <c r="AF340" s="795">
        <f t="shared" si="59"/>
        <v>-900</v>
      </c>
      <c r="AG340" s="869" t="s">
        <v>1327</v>
      </c>
      <c r="AH340" s="809" t="s">
        <v>1328</v>
      </c>
      <c r="AI340" s="775"/>
      <c r="AJ340" s="775"/>
      <c r="AK340" s="775"/>
      <c r="AL340" s="311">
        <f>I340</f>
        <v>900</v>
      </c>
      <c r="AM340" s="789">
        <f t="shared" si="60"/>
        <v>900</v>
      </c>
      <c r="AN340" s="775"/>
      <c r="AO340" s="775"/>
      <c r="AP340" s="775"/>
      <c r="AQ340" s="855"/>
      <c r="AR340" s="813">
        <f t="shared" si="56"/>
        <v>900</v>
      </c>
      <c r="AS340" s="793"/>
      <c r="AT340" s="870"/>
    </row>
    <row r="341" s="314" customFormat="1" ht="36" customHeight="1" spans="1:46">
      <c r="A341" s="773">
        <v>46211</v>
      </c>
      <c r="B341" s="774" t="s">
        <v>1466</v>
      </c>
      <c r="C341" s="774" t="s">
        <v>396</v>
      </c>
      <c r="D341" s="866" t="s">
        <v>1471</v>
      </c>
      <c r="E341" s="776"/>
      <c r="F341" s="777" t="s">
        <v>1472</v>
      </c>
      <c r="G341" s="778" t="s">
        <v>50</v>
      </c>
      <c r="H341" s="779" t="s">
        <v>51</v>
      </c>
      <c r="I341" s="780">
        <v>1002</v>
      </c>
      <c r="J341" s="781">
        <v>0</v>
      </c>
      <c r="K341" s="781">
        <v>3</v>
      </c>
      <c r="L341" s="867">
        <f t="shared" si="57"/>
        <v>334</v>
      </c>
      <c r="M341" s="783">
        <v>46269</v>
      </c>
      <c r="N341" s="783">
        <v>46267</v>
      </c>
      <c r="O341" s="784"/>
      <c r="P341" s="787"/>
      <c r="Q341" s="785"/>
      <c r="R341" s="786" t="s">
        <v>65</v>
      </c>
      <c r="S341" s="827">
        <v>46220</v>
      </c>
      <c r="T341" s="693" t="s">
        <v>54</v>
      </c>
      <c r="U341" s="693" t="s">
        <v>1280</v>
      </c>
      <c r="V341" s="861" t="s">
        <v>1281</v>
      </c>
      <c r="W341" s="844" t="s">
        <v>1473</v>
      </c>
      <c r="X341" s="790" t="s">
        <v>1470</v>
      </c>
      <c r="Y341" s="791">
        <v>10.4815</v>
      </c>
      <c r="Z341" s="792">
        <f t="shared" si="58"/>
        <v>10502.463</v>
      </c>
      <c r="AA341" s="775"/>
      <c r="AB341" s="699" t="s">
        <v>84</v>
      </c>
      <c r="AC341" s="741" t="s">
        <v>56</v>
      </c>
      <c r="AD341" s="781"/>
      <c r="AE341" s="794"/>
      <c r="AF341" s="795">
        <f t="shared" si="59"/>
        <v>-1002</v>
      </c>
      <c r="AG341" s="871" t="s">
        <v>1327</v>
      </c>
      <c r="AH341" s="809" t="s">
        <v>1328</v>
      </c>
      <c r="AI341" s="775"/>
      <c r="AJ341" s="775"/>
      <c r="AK341" s="775"/>
      <c r="AL341" s="314">
        <f>I341</f>
        <v>1002</v>
      </c>
      <c r="AM341" s="725">
        <f t="shared" si="60"/>
        <v>1002</v>
      </c>
      <c r="AN341" s="710"/>
      <c r="AO341" s="710"/>
      <c r="AP341" s="710"/>
      <c r="AR341" s="699">
        <f t="shared" si="56"/>
        <v>1002</v>
      </c>
      <c r="AS341" s="793"/>
      <c r="AT341" s="870"/>
    </row>
    <row r="342" s="316" customFormat="1" ht="36" customHeight="1" spans="1:46">
      <c r="A342" s="814">
        <v>46212</v>
      </c>
      <c r="B342" s="815" t="s">
        <v>1173</v>
      </c>
      <c r="C342" s="815" t="s">
        <v>1174</v>
      </c>
      <c r="D342" s="816">
        <v>4500215819</v>
      </c>
      <c r="E342" s="817" t="s">
        <v>1474</v>
      </c>
      <c r="F342" s="818" t="s">
        <v>1475</v>
      </c>
      <c r="G342" s="819" t="s">
        <v>50</v>
      </c>
      <c r="H342" s="820" t="s">
        <v>51</v>
      </c>
      <c r="I342" s="821">
        <v>1845</v>
      </c>
      <c r="J342" s="822">
        <v>0</v>
      </c>
      <c r="K342" s="822">
        <v>3</v>
      </c>
      <c r="L342" s="823">
        <f t="shared" si="57"/>
        <v>615</v>
      </c>
      <c r="M342" s="824">
        <v>46269</v>
      </c>
      <c r="N342" s="824">
        <v>46267</v>
      </c>
      <c r="O342" s="827"/>
      <c r="P342" s="827"/>
      <c r="Q342" s="506">
        <v>46273</v>
      </c>
      <c r="R342" s="721" t="s">
        <v>65</v>
      </c>
      <c r="S342" s="827">
        <v>46212</v>
      </c>
      <c r="T342" s="724" t="s">
        <v>54</v>
      </c>
      <c r="U342" s="693" t="s">
        <v>1476</v>
      </c>
      <c r="V342" s="836"/>
      <c r="W342" s="740" t="s">
        <v>1477</v>
      </c>
      <c r="X342" s="828" t="s">
        <v>209</v>
      </c>
      <c r="Y342" s="829">
        <v>10.1848</v>
      </c>
      <c r="Z342" s="830">
        <f t="shared" si="58"/>
        <v>18790.956</v>
      </c>
      <c r="AA342" s="816"/>
      <c r="AB342" s="819" t="s">
        <v>50</v>
      </c>
      <c r="AC342" s="741" t="s">
        <v>56</v>
      </c>
      <c r="AD342" s="822"/>
      <c r="AE342" s="831"/>
      <c r="AF342" s="795">
        <f t="shared" si="59"/>
        <v>-1845</v>
      </c>
      <c r="AG342" s="872" t="s">
        <v>1418</v>
      </c>
      <c r="AH342" s="852" t="s">
        <v>1328</v>
      </c>
      <c r="AI342" s="816">
        <f t="shared" ref="AI342:AI349" si="61">I342</f>
        <v>1845</v>
      </c>
      <c r="AJ342" s="816"/>
      <c r="AK342" s="816"/>
      <c r="AL342" s="314"/>
      <c r="AM342" s="740">
        <f t="shared" si="60"/>
        <v>1845</v>
      </c>
      <c r="AN342" s="816"/>
      <c r="AO342" s="816"/>
      <c r="AP342" s="816"/>
      <c r="AR342" s="837">
        <f t="shared" si="56"/>
        <v>1845</v>
      </c>
      <c r="AS342" s="793"/>
      <c r="AT342" s="838"/>
    </row>
    <row r="343" s="307" customFormat="1" ht="36" customHeight="1" spans="1:46">
      <c r="A343" s="708">
        <v>46218</v>
      </c>
      <c r="B343" s="709" t="s">
        <v>315</v>
      </c>
      <c r="C343" s="709" t="s">
        <v>71</v>
      </c>
      <c r="D343" s="710">
        <v>4500216577</v>
      </c>
      <c r="E343" s="711" t="s">
        <v>1478</v>
      </c>
      <c r="F343" s="712" t="s">
        <v>1479</v>
      </c>
      <c r="G343" s="713" t="s">
        <v>50</v>
      </c>
      <c r="H343" s="736" t="s">
        <v>51</v>
      </c>
      <c r="I343" s="715">
        <v>240</v>
      </c>
      <c r="J343" s="716">
        <v>0</v>
      </c>
      <c r="K343" s="716">
        <v>3</v>
      </c>
      <c r="L343" s="717">
        <f t="shared" si="57"/>
        <v>80</v>
      </c>
      <c r="M343" s="718">
        <v>46269</v>
      </c>
      <c r="N343" s="718">
        <v>46267</v>
      </c>
      <c r="O343" s="722"/>
      <c r="P343" s="722"/>
      <c r="Q343" s="720"/>
      <c r="R343" s="721" t="s">
        <v>65</v>
      </c>
      <c r="S343" s="827" t="s">
        <v>1480</v>
      </c>
      <c r="T343" s="724" t="s">
        <v>54</v>
      </c>
      <c r="U343" s="724" t="s">
        <v>54</v>
      </c>
      <c r="V343" s="724"/>
      <c r="W343" s="725" t="s">
        <v>1481</v>
      </c>
      <c r="X343" s="726" t="s">
        <v>318</v>
      </c>
      <c r="Y343" s="727">
        <v>6.2991</v>
      </c>
      <c r="Z343" s="728">
        <f t="shared" si="58"/>
        <v>1511.784</v>
      </c>
      <c r="AA343" s="710"/>
      <c r="AB343" s="837" t="s">
        <v>50</v>
      </c>
      <c r="AC343" s="741" t="s">
        <v>56</v>
      </c>
      <c r="AD343" s="716"/>
      <c r="AE343" s="730"/>
      <c r="AF343" s="795">
        <f t="shared" si="59"/>
        <v>-240</v>
      </c>
      <c r="AG343" s="833" t="s">
        <v>54</v>
      </c>
      <c r="AH343" s="852" t="s">
        <v>1328</v>
      </c>
      <c r="AI343" s="816">
        <f t="shared" si="61"/>
        <v>240</v>
      </c>
      <c r="AJ343" s="816"/>
      <c r="AK343" s="816"/>
      <c r="AL343" s="311"/>
      <c r="AM343" s="789">
        <f t="shared" si="60"/>
        <v>240</v>
      </c>
      <c r="AN343" s="775"/>
      <c r="AO343" s="775"/>
      <c r="AP343" s="775"/>
      <c r="AR343" s="813">
        <f t="shared" si="56"/>
        <v>240</v>
      </c>
      <c r="AS343" s="306"/>
      <c r="AT343" s="856"/>
    </row>
    <row r="344" s="307" customFormat="1" ht="36" customHeight="1" spans="1:46">
      <c r="A344" s="708">
        <v>46230</v>
      </c>
      <c r="B344" s="709" t="s">
        <v>1482</v>
      </c>
      <c r="C344" s="709" t="s">
        <v>189</v>
      </c>
      <c r="D344" s="710">
        <v>4500211288</v>
      </c>
      <c r="E344" s="711" t="s">
        <v>1483</v>
      </c>
      <c r="F344" s="712" t="s">
        <v>1484</v>
      </c>
      <c r="G344" s="713" t="s">
        <v>50</v>
      </c>
      <c r="H344" s="736" t="s">
        <v>51</v>
      </c>
      <c r="I344" s="715">
        <v>1665</v>
      </c>
      <c r="J344" s="716">
        <v>0</v>
      </c>
      <c r="K344" s="716">
        <v>3</v>
      </c>
      <c r="L344" s="717">
        <f t="shared" si="57"/>
        <v>555</v>
      </c>
      <c r="M344" s="718">
        <v>46272</v>
      </c>
      <c r="N344" s="718">
        <v>46269</v>
      </c>
      <c r="O344" s="722"/>
      <c r="P344" s="722"/>
      <c r="Q344" s="720"/>
      <c r="R344" s="721" t="s">
        <v>867</v>
      </c>
      <c r="S344" s="827">
        <v>46237</v>
      </c>
      <c r="T344" s="693" t="s">
        <v>66</v>
      </c>
      <c r="U344" s="693" t="s">
        <v>1485</v>
      </c>
      <c r="V344" s="724"/>
      <c r="W344" s="725" t="s">
        <v>1486</v>
      </c>
      <c r="X344" s="726" t="s">
        <v>1487</v>
      </c>
      <c r="Y344" s="727">
        <v>11.1114</v>
      </c>
      <c r="Z344" s="728">
        <f t="shared" si="58"/>
        <v>18500.481</v>
      </c>
      <c r="AA344" s="710"/>
      <c r="AB344" s="837" t="s">
        <v>50</v>
      </c>
      <c r="AC344" s="741" t="s">
        <v>56</v>
      </c>
      <c r="AD344" s="716"/>
      <c r="AE344" s="730"/>
      <c r="AF344" s="795">
        <f t="shared" si="59"/>
        <v>-1665</v>
      </c>
      <c r="AG344" s="872" t="s">
        <v>1418</v>
      </c>
      <c r="AH344" s="852" t="s">
        <v>1328</v>
      </c>
      <c r="AI344" s="816">
        <f t="shared" si="61"/>
        <v>1665</v>
      </c>
      <c r="AJ344" s="816"/>
      <c r="AK344" s="816"/>
      <c r="AL344" s="311"/>
      <c r="AM344" s="789">
        <f t="shared" si="60"/>
        <v>1665</v>
      </c>
      <c r="AN344" s="775"/>
      <c r="AO344" s="775"/>
      <c r="AP344" s="775"/>
      <c r="AR344" s="813">
        <f t="shared" si="56"/>
        <v>1665</v>
      </c>
      <c r="AS344" s="306"/>
      <c r="AT344" s="856"/>
    </row>
    <row r="345" s="307" customFormat="1" ht="36" customHeight="1" spans="1:46">
      <c r="A345" s="708">
        <v>46230</v>
      </c>
      <c r="B345" s="709" t="s">
        <v>1488</v>
      </c>
      <c r="C345" s="709" t="s">
        <v>61</v>
      </c>
      <c r="D345" s="710">
        <v>4500211292</v>
      </c>
      <c r="E345" s="711" t="s">
        <v>1489</v>
      </c>
      <c r="F345" s="712" t="s">
        <v>1490</v>
      </c>
      <c r="G345" s="713" t="s">
        <v>50</v>
      </c>
      <c r="H345" s="736" t="s">
        <v>51</v>
      </c>
      <c r="I345" s="715">
        <v>135</v>
      </c>
      <c r="J345" s="716">
        <v>0</v>
      </c>
      <c r="K345" s="716">
        <v>3</v>
      </c>
      <c r="L345" s="717">
        <f t="shared" si="57"/>
        <v>45</v>
      </c>
      <c r="M345" s="718">
        <v>46272</v>
      </c>
      <c r="N345" s="718">
        <v>46269</v>
      </c>
      <c r="O345" s="722"/>
      <c r="P345" s="722"/>
      <c r="Q345" s="720"/>
      <c r="R345" s="721" t="s">
        <v>867</v>
      </c>
      <c r="S345" s="827">
        <v>46237</v>
      </c>
      <c r="T345" s="693" t="s">
        <v>66</v>
      </c>
      <c r="U345" s="693" t="s">
        <v>1491</v>
      </c>
      <c r="V345" s="724"/>
      <c r="W345" s="725" t="s">
        <v>1492</v>
      </c>
      <c r="X345" s="726" t="s">
        <v>1487</v>
      </c>
      <c r="Y345" s="727">
        <v>11.1284</v>
      </c>
      <c r="Z345" s="728">
        <f t="shared" si="58"/>
        <v>1502.334</v>
      </c>
      <c r="AA345" s="710"/>
      <c r="AB345" s="837" t="s">
        <v>50</v>
      </c>
      <c r="AC345" s="741" t="s">
        <v>56</v>
      </c>
      <c r="AD345" s="716"/>
      <c r="AE345" s="730"/>
      <c r="AF345" s="795">
        <f t="shared" si="59"/>
        <v>-135</v>
      </c>
      <c r="AG345" s="865" t="s">
        <v>1418</v>
      </c>
      <c r="AH345" s="852" t="s">
        <v>1328</v>
      </c>
      <c r="AI345" s="816">
        <f t="shared" si="61"/>
        <v>135</v>
      </c>
      <c r="AJ345" s="816"/>
      <c r="AK345" s="816"/>
      <c r="AL345" s="311"/>
      <c r="AM345" s="789">
        <f t="shared" si="60"/>
        <v>135</v>
      </c>
      <c r="AN345" s="775"/>
      <c r="AO345" s="775"/>
      <c r="AP345" s="775"/>
      <c r="AR345" s="813">
        <f t="shared" si="56"/>
        <v>135</v>
      </c>
      <c r="AS345" s="306"/>
      <c r="AT345" s="856"/>
    </row>
    <row r="346" s="316" customFormat="1" ht="36" customHeight="1" spans="1:46">
      <c r="A346" s="814">
        <v>46212</v>
      </c>
      <c r="B346" s="815" t="s">
        <v>285</v>
      </c>
      <c r="C346" s="815" t="s">
        <v>71</v>
      </c>
      <c r="D346" s="816">
        <v>4500215925</v>
      </c>
      <c r="E346" s="817" t="s">
        <v>1493</v>
      </c>
      <c r="F346" s="818" t="s">
        <v>1494</v>
      </c>
      <c r="G346" s="819" t="s">
        <v>169</v>
      </c>
      <c r="H346" s="820" t="s">
        <v>51</v>
      </c>
      <c r="I346" s="821">
        <v>1929</v>
      </c>
      <c r="J346" s="822">
        <v>0</v>
      </c>
      <c r="K346" s="822">
        <v>3</v>
      </c>
      <c r="L346" s="823">
        <f t="shared" si="57"/>
        <v>643</v>
      </c>
      <c r="M346" s="824">
        <v>46272</v>
      </c>
      <c r="N346" s="824">
        <v>46269</v>
      </c>
      <c r="O346" s="827"/>
      <c r="P346" s="827"/>
      <c r="Q346" s="826"/>
      <c r="R346" s="721" t="s">
        <v>98</v>
      </c>
      <c r="S346" s="827">
        <v>46212</v>
      </c>
      <c r="T346" s="693" t="s">
        <v>66</v>
      </c>
      <c r="U346" s="693" t="s">
        <v>1495</v>
      </c>
      <c r="V346" s="693" t="s">
        <v>290</v>
      </c>
      <c r="W346" s="740" t="s">
        <v>1496</v>
      </c>
      <c r="X346" s="828" t="s">
        <v>168</v>
      </c>
      <c r="Y346" s="829">
        <v>6.494</v>
      </c>
      <c r="Z346" s="830">
        <f>Y346*L346</f>
        <v>4175.642</v>
      </c>
      <c r="AA346" s="816"/>
      <c r="AB346" s="699" t="s">
        <v>169</v>
      </c>
      <c r="AC346" s="741" t="s">
        <v>56</v>
      </c>
      <c r="AD346" s="822"/>
      <c r="AE346" s="831"/>
      <c r="AF346" s="832"/>
      <c r="AG346" s="833"/>
      <c r="AH346" s="833"/>
      <c r="AI346" s="816">
        <f t="shared" si="61"/>
        <v>1929</v>
      </c>
      <c r="AJ346" s="816"/>
      <c r="AK346" s="816"/>
      <c r="AL346" s="834"/>
      <c r="AM346" s="835">
        <f t="shared" ref="AM346:AM361" si="62">I346</f>
        <v>1929</v>
      </c>
      <c r="AN346" s="740"/>
      <c r="AO346" s="816"/>
      <c r="AP346" s="816"/>
      <c r="AR346" s="741">
        <f t="shared" si="56"/>
        <v>1929</v>
      </c>
      <c r="AS346" s="314"/>
      <c r="AT346" s="838"/>
    </row>
    <row r="347" s="316" customFormat="1" ht="36" customHeight="1" spans="1:46">
      <c r="A347" s="814">
        <v>46219</v>
      </c>
      <c r="B347" s="815" t="s">
        <v>188</v>
      </c>
      <c r="C347" s="815" t="s">
        <v>189</v>
      </c>
      <c r="D347" s="816" t="s">
        <v>1497</v>
      </c>
      <c r="E347" s="817" t="s">
        <v>1498</v>
      </c>
      <c r="F347" s="818" t="s">
        <v>1499</v>
      </c>
      <c r="G347" s="819" t="s">
        <v>50</v>
      </c>
      <c r="H347" s="820" t="s">
        <v>51</v>
      </c>
      <c r="I347" s="821">
        <v>1500</v>
      </c>
      <c r="J347" s="822">
        <v>0</v>
      </c>
      <c r="K347" s="822">
        <v>3</v>
      </c>
      <c r="L347" s="823">
        <f t="shared" si="57"/>
        <v>500</v>
      </c>
      <c r="M347" s="824">
        <v>46272</v>
      </c>
      <c r="N347" s="824">
        <v>46269</v>
      </c>
      <c r="O347" s="827"/>
      <c r="P347" s="827"/>
      <c r="Q347" s="826"/>
      <c r="R347" s="721" t="s">
        <v>65</v>
      </c>
      <c r="S347" s="827">
        <v>46219</v>
      </c>
      <c r="T347" s="693" t="s">
        <v>66</v>
      </c>
      <c r="U347" s="693" t="s">
        <v>1495</v>
      </c>
      <c r="V347" s="836"/>
      <c r="W347" s="740" t="s">
        <v>1500</v>
      </c>
      <c r="X347" s="828" t="s">
        <v>194</v>
      </c>
      <c r="Y347" s="829">
        <v>11.1114</v>
      </c>
      <c r="Z347" s="830">
        <f t="shared" ref="Z347:Z353" si="63">I347*Y347</f>
        <v>16667.1</v>
      </c>
      <c r="AA347" s="816"/>
      <c r="AB347" s="837" t="s">
        <v>50</v>
      </c>
      <c r="AC347" s="741" t="s">
        <v>56</v>
      </c>
      <c r="AD347" s="822"/>
      <c r="AE347" s="831"/>
      <c r="AF347" s="795">
        <f>AE347-I347</f>
        <v>-1500</v>
      </c>
      <c r="AG347" s="872" t="s">
        <v>1418</v>
      </c>
      <c r="AH347" s="852" t="s">
        <v>1328</v>
      </c>
      <c r="AI347" s="816">
        <f t="shared" si="61"/>
        <v>1500</v>
      </c>
      <c r="AJ347" s="816"/>
      <c r="AK347" s="816"/>
      <c r="AL347" s="834"/>
      <c r="AM347" s="835">
        <f t="shared" si="62"/>
        <v>1500</v>
      </c>
      <c r="AN347" s="740"/>
      <c r="AO347" s="816"/>
      <c r="AP347" s="816"/>
      <c r="AR347" s="741">
        <f t="shared" si="56"/>
        <v>1500</v>
      </c>
      <c r="AS347" s="793"/>
      <c r="AT347" s="838"/>
    </row>
    <row r="348" s="316" customFormat="1" ht="36" customHeight="1" spans="1:46">
      <c r="A348" s="814">
        <v>46225</v>
      </c>
      <c r="B348" s="815" t="s">
        <v>203</v>
      </c>
      <c r="C348" s="815" t="s">
        <v>204</v>
      </c>
      <c r="D348" s="816" t="s">
        <v>1501</v>
      </c>
      <c r="E348" s="817" t="s">
        <v>1502</v>
      </c>
      <c r="F348" s="818" t="s">
        <v>1503</v>
      </c>
      <c r="G348" s="819" t="s">
        <v>50</v>
      </c>
      <c r="H348" s="820" t="s">
        <v>51</v>
      </c>
      <c r="I348" s="821">
        <v>360</v>
      </c>
      <c r="J348" s="822">
        <v>0</v>
      </c>
      <c r="K348" s="822">
        <v>3</v>
      </c>
      <c r="L348" s="823">
        <f t="shared" si="57"/>
        <v>120</v>
      </c>
      <c r="M348" s="824">
        <v>46273</v>
      </c>
      <c r="N348" s="824">
        <v>46272</v>
      </c>
      <c r="O348" s="827"/>
      <c r="P348" s="827"/>
      <c r="Q348" s="826"/>
      <c r="R348" s="721" t="s">
        <v>65</v>
      </c>
      <c r="S348" s="827">
        <v>46225</v>
      </c>
      <c r="T348" s="693" t="s">
        <v>54</v>
      </c>
      <c r="U348" s="693" t="s">
        <v>1504</v>
      </c>
      <c r="V348" s="693" t="s">
        <v>1505</v>
      </c>
      <c r="W348" s="740" t="s">
        <v>1506</v>
      </c>
      <c r="X348" s="828" t="s">
        <v>1507</v>
      </c>
      <c r="Y348" s="829">
        <v>10.2018</v>
      </c>
      <c r="Z348" s="830">
        <f t="shared" si="63"/>
        <v>3672.648</v>
      </c>
      <c r="AA348" s="816"/>
      <c r="AB348" s="837" t="s">
        <v>50</v>
      </c>
      <c r="AC348" s="741" t="s">
        <v>56</v>
      </c>
      <c r="AD348" s="822"/>
      <c r="AE348" s="831"/>
      <c r="AF348" s="795">
        <f>AE348-I348</f>
        <v>-360</v>
      </c>
      <c r="AG348" s="833" t="s">
        <v>52</v>
      </c>
      <c r="AH348" s="852" t="s">
        <v>1328</v>
      </c>
      <c r="AI348" s="816">
        <f t="shared" si="61"/>
        <v>360</v>
      </c>
      <c r="AJ348" s="816"/>
      <c r="AK348" s="816"/>
      <c r="AL348" s="834"/>
      <c r="AM348" s="835">
        <f t="shared" si="62"/>
        <v>360</v>
      </c>
      <c r="AN348" s="740"/>
      <c r="AO348" s="816"/>
      <c r="AP348" s="816"/>
      <c r="AR348" s="741">
        <f t="shared" si="56"/>
        <v>360</v>
      </c>
      <c r="AS348" s="793"/>
      <c r="AT348" s="838"/>
    </row>
    <row r="349" s="311" customFormat="1" ht="36" customHeight="1" spans="1:46">
      <c r="A349" s="773">
        <v>46199</v>
      </c>
      <c r="B349" s="774" t="s">
        <v>1508</v>
      </c>
      <c r="C349" s="774" t="s">
        <v>1509</v>
      </c>
      <c r="D349" s="775" t="s">
        <v>1510</v>
      </c>
      <c r="E349" s="776" t="s">
        <v>1511</v>
      </c>
      <c r="F349" s="777" t="s">
        <v>1512</v>
      </c>
      <c r="G349" s="778" t="s">
        <v>50</v>
      </c>
      <c r="H349" s="779" t="s">
        <v>51</v>
      </c>
      <c r="I349" s="780">
        <v>2004</v>
      </c>
      <c r="J349" s="781">
        <v>0</v>
      </c>
      <c r="K349" s="781">
        <v>3</v>
      </c>
      <c r="L349" s="782">
        <f t="shared" si="57"/>
        <v>668</v>
      </c>
      <c r="M349" s="783">
        <v>46275</v>
      </c>
      <c r="N349" s="783">
        <v>46273</v>
      </c>
      <c r="O349" s="784"/>
      <c r="P349" s="787"/>
      <c r="Q349" s="785"/>
      <c r="R349" s="786" t="s">
        <v>65</v>
      </c>
      <c r="S349" s="787">
        <v>46241</v>
      </c>
      <c r="T349" s="788" t="s">
        <v>54</v>
      </c>
      <c r="U349" s="788" t="s">
        <v>1513</v>
      </c>
      <c r="V349" s="798"/>
      <c r="W349" s="789" t="s">
        <v>1514</v>
      </c>
      <c r="X349" s="790" t="s">
        <v>240</v>
      </c>
      <c r="Y349" s="791">
        <v>10.452</v>
      </c>
      <c r="Z349" s="792">
        <f t="shared" si="63"/>
        <v>20945.808</v>
      </c>
      <c r="AA349" s="775"/>
      <c r="AB349" s="778" t="s">
        <v>50</v>
      </c>
      <c r="AC349" s="793" t="s">
        <v>56</v>
      </c>
      <c r="AD349" s="781"/>
      <c r="AE349" s="794"/>
      <c r="AF349" s="795"/>
      <c r="AG349" s="796"/>
      <c r="AH349" s="796"/>
      <c r="AI349" s="775">
        <f t="shared" si="61"/>
        <v>2004</v>
      </c>
      <c r="AJ349" s="775"/>
      <c r="AK349" s="775"/>
      <c r="AL349" s="311"/>
      <c r="AM349" s="695">
        <f t="shared" si="62"/>
        <v>2004</v>
      </c>
      <c r="AN349" s="679"/>
      <c r="AO349" s="679"/>
      <c r="AP349" s="679"/>
      <c r="AR349" s="761">
        <f t="shared" si="56"/>
        <v>2004</v>
      </c>
      <c r="AS349" s="793"/>
    </row>
    <row r="350" s="311" customFormat="1" ht="36" customHeight="1" spans="1:46">
      <c r="A350" s="773">
        <v>46196</v>
      </c>
      <c r="B350" s="774" t="s">
        <v>1515</v>
      </c>
      <c r="C350" s="774" t="s">
        <v>396</v>
      </c>
      <c r="D350" s="775">
        <v>4500213393</v>
      </c>
      <c r="E350" s="776" t="s">
        <v>1516</v>
      </c>
      <c r="F350" s="777" t="s">
        <v>1517</v>
      </c>
      <c r="G350" s="778" t="s">
        <v>50</v>
      </c>
      <c r="H350" s="779" t="s">
        <v>51</v>
      </c>
      <c r="I350" s="780">
        <v>540</v>
      </c>
      <c r="J350" s="781">
        <v>0</v>
      </c>
      <c r="K350" s="781">
        <v>3</v>
      </c>
      <c r="L350" s="782">
        <f t="shared" si="57"/>
        <v>180</v>
      </c>
      <c r="M350" s="783">
        <v>46275</v>
      </c>
      <c r="N350" s="783">
        <v>46273</v>
      </c>
      <c r="O350" s="784"/>
      <c r="P350" s="787"/>
      <c r="Q350" s="785"/>
      <c r="R350" s="786" t="s">
        <v>65</v>
      </c>
      <c r="S350" s="787">
        <v>46213</v>
      </c>
      <c r="T350" s="788" t="s">
        <v>54</v>
      </c>
      <c r="U350" s="788" t="s">
        <v>1518</v>
      </c>
      <c r="V350" s="788" t="s">
        <v>1519</v>
      </c>
      <c r="W350" s="789" t="s">
        <v>1520</v>
      </c>
      <c r="X350" s="790" t="s">
        <v>870</v>
      </c>
      <c r="Y350" s="791">
        <v>10.4985</v>
      </c>
      <c r="Z350" s="792">
        <f t="shared" si="63"/>
        <v>5669.19</v>
      </c>
      <c r="AA350" s="775"/>
      <c r="AB350" s="778" t="s">
        <v>84</v>
      </c>
      <c r="AC350" s="793" t="s">
        <v>56</v>
      </c>
      <c r="AD350" s="781"/>
      <c r="AE350" s="794"/>
      <c r="AF350" s="795"/>
      <c r="AG350" s="796"/>
      <c r="AH350" s="796"/>
      <c r="AI350" s="775"/>
      <c r="AJ350" s="775"/>
      <c r="AK350" s="775"/>
      <c r="AL350" s="311">
        <f>I350</f>
        <v>540</v>
      </c>
      <c r="AM350" s="695">
        <f t="shared" si="62"/>
        <v>540</v>
      </c>
      <c r="AN350" s="679"/>
      <c r="AO350" s="679"/>
      <c r="AP350" s="873"/>
      <c r="AR350" s="874"/>
      <c r="AS350" s="700"/>
      <c r="AT350" s="297"/>
    </row>
    <row r="351" s="311" customFormat="1" ht="36" customHeight="1" spans="1:46">
      <c r="A351" s="773">
        <v>46227</v>
      </c>
      <c r="B351" s="774" t="s">
        <v>70</v>
      </c>
      <c r="C351" s="774" t="s">
        <v>71</v>
      </c>
      <c r="D351" s="775" t="s">
        <v>1521</v>
      </c>
      <c r="E351" s="776" t="s">
        <v>1522</v>
      </c>
      <c r="F351" s="777" t="s">
        <v>1523</v>
      </c>
      <c r="G351" s="778" t="s">
        <v>50</v>
      </c>
      <c r="H351" s="779" t="s">
        <v>51</v>
      </c>
      <c r="I351" s="780">
        <v>387</v>
      </c>
      <c r="J351" s="781">
        <v>0</v>
      </c>
      <c r="K351" s="781">
        <v>3</v>
      </c>
      <c r="L351" s="782">
        <f t="shared" si="57"/>
        <v>129</v>
      </c>
      <c r="M351" s="783">
        <v>46275</v>
      </c>
      <c r="N351" s="783">
        <v>46273</v>
      </c>
      <c r="O351" s="784"/>
      <c r="P351" s="787"/>
      <c r="Q351" s="785"/>
      <c r="R351" s="786" t="s">
        <v>65</v>
      </c>
      <c r="S351" s="787">
        <v>46244</v>
      </c>
      <c r="T351" s="788" t="s">
        <v>66</v>
      </c>
      <c r="U351" s="693" t="s">
        <v>1524</v>
      </c>
      <c r="V351" s="788"/>
      <c r="W351" s="789" t="s">
        <v>1525</v>
      </c>
      <c r="X351" s="790" t="s">
        <v>76</v>
      </c>
      <c r="Y351" s="791">
        <v>6.1211</v>
      </c>
      <c r="Z351" s="792">
        <f t="shared" si="63"/>
        <v>2368.8657</v>
      </c>
      <c r="AA351" s="775"/>
      <c r="AB351" s="813" t="s">
        <v>50</v>
      </c>
      <c r="AC351" s="741" t="s">
        <v>56</v>
      </c>
      <c r="AD351" s="781"/>
      <c r="AE351" s="794"/>
      <c r="AF351" s="795"/>
      <c r="AG351" s="796"/>
      <c r="AH351" s="796"/>
      <c r="AI351" s="775">
        <f>I351</f>
        <v>387</v>
      </c>
      <c r="AJ351" s="775"/>
      <c r="AK351" s="775"/>
      <c r="AL351" s="311"/>
      <c r="AM351" s="695">
        <f t="shared" si="62"/>
        <v>387</v>
      </c>
      <c r="AN351" s="679"/>
      <c r="AO351" s="679"/>
      <c r="AP351" s="873"/>
      <c r="AR351" s="874">
        <f t="shared" ref="AR350:AR361" si="64">I351</f>
        <v>387</v>
      </c>
      <c r="AS351" s="700"/>
      <c r="AT351" s="858"/>
    </row>
    <row r="352" s="311" customFormat="1" ht="36" customHeight="1" spans="1:46">
      <c r="A352" s="773">
        <v>46233</v>
      </c>
      <c r="B352" s="774" t="s">
        <v>1526</v>
      </c>
      <c r="C352" s="774" t="s">
        <v>71</v>
      </c>
      <c r="D352" s="775">
        <v>4500218266</v>
      </c>
      <c r="E352" s="776" t="s">
        <v>1527</v>
      </c>
      <c r="F352" s="777" t="s">
        <v>1528</v>
      </c>
      <c r="G352" s="778" t="s">
        <v>50</v>
      </c>
      <c r="H352" s="779" t="s">
        <v>51</v>
      </c>
      <c r="I352" s="780">
        <v>8001</v>
      </c>
      <c r="J352" s="781">
        <v>0</v>
      </c>
      <c r="K352" s="781">
        <v>3</v>
      </c>
      <c r="L352" s="782">
        <f t="shared" si="57"/>
        <v>2667</v>
      </c>
      <c r="M352" s="783">
        <v>46276</v>
      </c>
      <c r="N352" s="783">
        <v>46274</v>
      </c>
      <c r="O352" s="787"/>
      <c r="P352" s="787"/>
      <c r="Q352" s="785"/>
      <c r="R352" s="786" t="s">
        <v>65</v>
      </c>
      <c r="S352" s="787">
        <v>46239</v>
      </c>
      <c r="T352" s="788" t="s">
        <v>66</v>
      </c>
      <c r="U352" s="788" t="s">
        <v>1529</v>
      </c>
      <c r="V352" s="798"/>
      <c r="W352" s="875" t="s">
        <v>1530</v>
      </c>
      <c r="X352" s="790" t="s">
        <v>1531</v>
      </c>
      <c r="Y352" s="791">
        <v>6.2264</v>
      </c>
      <c r="Z352" s="792">
        <f t="shared" si="63"/>
        <v>49817.4264</v>
      </c>
      <c r="AA352" s="775"/>
      <c r="AB352" s="813" t="s">
        <v>50</v>
      </c>
      <c r="AC352" s="741" t="s">
        <v>56</v>
      </c>
      <c r="AD352" s="781"/>
      <c r="AE352" s="794"/>
      <c r="AF352" s="795"/>
      <c r="AG352" s="796"/>
      <c r="AH352" s="796"/>
      <c r="AI352" s="775">
        <f>I352</f>
        <v>8001</v>
      </c>
      <c r="AJ352" s="775"/>
      <c r="AK352" s="775"/>
      <c r="AL352" s="311"/>
      <c r="AM352" s="695">
        <f t="shared" si="62"/>
        <v>8001</v>
      </c>
      <c r="AN352" s="679"/>
      <c r="AO352" s="679"/>
      <c r="AP352" s="873"/>
      <c r="AR352" s="874">
        <f t="shared" si="64"/>
        <v>8001</v>
      </c>
      <c r="AT352" s="799"/>
    </row>
    <row r="353" s="314" customFormat="1" ht="36" customHeight="1" spans="1:46">
      <c r="A353" s="773">
        <v>46210</v>
      </c>
      <c r="B353" s="774" t="s">
        <v>1532</v>
      </c>
      <c r="C353" s="774" t="s">
        <v>175</v>
      </c>
      <c r="D353" s="775" t="s">
        <v>1533</v>
      </c>
      <c r="E353" s="776"/>
      <c r="F353" s="777" t="s">
        <v>1534</v>
      </c>
      <c r="G353" s="778" t="s">
        <v>50</v>
      </c>
      <c r="H353" s="779" t="s">
        <v>51</v>
      </c>
      <c r="I353" s="780">
        <v>480</v>
      </c>
      <c r="J353" s="781">
        <v>0</v>
      </c>
      <c r="K353" s="781">
        <v>3</v>
      </c>
      <c r="L353" s="867">
        <f t="shared" si="57"/>
        <v>160</v>
      </c>
      <c r="M353" s="783">
        <v>46279</v>
      </c>
      <c r="N353" s="783">
        <v>46276</v>
      </c>
      <c r="O353" s="784"/>
      <c r="P353" s="787"/>
      <c r="Q353" s="785"/>
      <c r="R353" s="786" t="s">
        <v>65</v>
      </c>
      <c r="S353" s="787">
        <v>46210</v>
      </c>
      <c r="T353" s="788" t="s">
        <v>54</v>
      </c>
      <c r="U353" s="788" t="s">
        <v>1535</v>
      </c>
      <c r="V353" s="868"/>
      <c r="W353" s="789" t="s">
        <v>1536</v>
      </c>
      <c r="X353" s="790" t="s">
        <v>1537</v>
      </c>
      <c r="Y353" s="791">
        <v>10.4985</v>
      </c>
      <c r="Z353" s="792">
        <f t="shared" si="63"/>
        <v>5039.28</v>
      </c>
      <c r="AA353" s="775"/>
      <c r="AB353" s="778" t="s">
        <v>84</v>
      </c>
      <c r="AC353" s="741" t="s">
        <v>56</v>
      </c>
      <c r="AD353" s="781"/>
      <c r="AE353" s="794"/>
      <c r="AF353" s="795"/>
      <c r="AG353" s="796"/>
      <c r="AH353" s="796"/>
      <c r="AI353" s="775"/>
      <c r="AJ353" s="775"/>
      <c r="AK353" s="775"/>
      <c r="AL353" s="311">
        <f>I353</f>
        <v>480</v>
      </c>
      <c r="AM353" s="695">
        <f t="shared" si="62"/>
        <v>480</v>
      </c>
      <c r="AN353" s="679"/>
      <c r="AO353" s="775" t="s">
        <v>101</v>
      </c>
      <c r="AP353" s="873"/>
      <c r="AQ353" s="311"/>
      <c r="AR353" s="874">
        <f t="shared" si="64"/>
        <v>480</v>
      </c>
      <c r="AS353" s="700"/>
      <c r="AT353" s="870"/>
    </row>
    <row r="354" s="316" customFormat="1" ht="36" customHeight="1" spans="1:46">
      <c r="A354" s="814">
        <v>46212</v>
      </c>
      <c r="B354" s="815" t="s">
        <v>285</v>
      </c>
      <c r="C354" s="815" t="s">
        <v>71</v>
      </c>
      <c r="D354" s="816">
        <v>4500215926</v>
      </c>
      <c r="E354" s="817" t="s">
        <v>1538</v>
      </c>
      <c r="F354" s="818" t="s">
        <v>1539</v>
      </c>
      <c r="G354" s="819" t="s">
        <v>169</v>
      </c>
      <c r="H354" s="820" t="s">
        <v>51</v>
      </c>
      <c r="I354" s="821">
        <v>1473</v>
      </c>
      <c r="J354" s="822">
        <v>0</v>
      </c>
      <c r="K354" s="822">
        <v>3</v>
      </c>
      <c r="L354" s="823">
        <f t="shared" si="57"/>
        <v>491</v>
      </c>
      <c r="M354" s="824">
        <v>46279</v>
      </c>
      <c r="N354" s="824">
        <v>46276</v>
      </c>
      <c r="O354" s="827"/>
      <c r="P354" s="827"/>
      <c r="Q354" s="826"/>
      <c r="R354" s="721" t="s">
        <v>98</v>
      </c>
      <c r="S354" s="827">
        <v>46212</v>
      </c>
      <c r="T354" s="693" t="s">
        <v>66</v>
      </c>
      <c r="U354" s="693" t="s">
        <v>1495</v>
      </c>
      <c r="V354" s="693" t="s">
        <v>290</v>
      </c>
      <c r="W354" s="740" t="s">
        <v>1496</v>
      </c>
      <c r="X354" s="828" t="s">
        <v>168</v>
      </c>
      <c r="Y354" s="829">
        <v>6.494</v>
      </c>
      <c r="Z354" s="830">
        <f>Y354*L354</f>
        <v>3188.554</v>
      </c>
      <c r="AA354" s="816"/>
      <c r="AB354" s="699" t="s">
        <v>169</v>
      </c>
      <c r="AC354" s="741" t="s">
        <v>56</v>
      </c>
      <c r="AD354" s="822"/>
      <c r="AE354" s="831"/>
      <c r="AF354" s="832"/>
      <c r="AG354" s="833"/>
      <c r="AH354" s="833"/>
      <c r="AI354" s="816">
        <f>I354</f>
        <v>1473</v>
      </c>
      <c r="AJ354" s="816"/>
      <c r="AK354" s="816"/>
      <c r="AL354" s="834"/>
      <c r="AM354" s="835">
        <f t="shared" si="62"/>
        <v>1473</v>
      </c>
      <c r="AN354" s="740"/>
      <c r="AO354" s="816"/>
      <c r="AP354" s="876"/>
      <c r="AQ354" s="311"/>
      <c r="AR354" s="877">
        <f t="shared" si="64"/>
        <v>1473</v>
      </c>
      <c r="AS354" s="314"/>
      <c r="AT354" s="838"/>
    </row>
    <row r="355" s="307" customFormat="1" ht="36" customHeight="1" spans="1:46">
      <c r="A355" s="708">
        <v>46239</v>
      </c>
      <c r="B355" s="709" t="s">
        <v>1540</v>
      </c>
      <c r="C355" s="709" t="s">
        <v>1541</v>
      </c>
      <c r="D355" s="710">
        <v>4500218933</v>
      </c>
      <c r="E355" s="711" t="s">
        <v>1542</v>
      </c>
      <c r="F355" s="712" t="s">
        <v>1543</v>
      </c>
      <c r="G355" s="713" t="s">
        <v>50</v>
      </c>
      <c r="H355" s="736" t="s">
        <v>51</v>
      </c>
      <c r="I355" s="715">
        <v>501</v>
      </c>
      <c r="J355" s="716">
        <v>0</v>
      </c>
      <c r="K355" s="716">
        <v>3</v>
      </c>
      <c r="L355" s="717">
        <f t="shared" si="57"/>
        <v>167</v>
      </c>
      <c r="M355" s="718">
        <v>46279</v>
      </c>
      <c r="N355" s="718">
        <v>46276</v>
      </c>
      <c r="O355" s="722"/>
      <c r="P355" s="722"/>
      <c r="Q355" s="720"/>
      <c r="R355" s="721" t="s">
        <v>65</v>
      </c>
      <c r="S355" s="827">
        <v>46239</v>
      </c>
      <c r="T355" s="693" t="s">
        <v>54</v>
      </c>
      <c r="U355" s="693" t="s">
        <v>1544</v>
      </c>
      <c r="V355" s="724"/>
      <c r="W355" s="725" t="s">
        <v>1545</v>
      </c>
      <c r="X355" s="726" t="s">
        <v>1546</v>
      </c>
      <c r="Y355" s="727">
        <v>10.4985</v>
      </c>
      <c r="Z355" s="728">
        <f>I355*Y355</f>
        <v>5259.7485</v>
      </c>
      <c r="AA355" s="710"/>
      <c r="AB355" s="699" t="s">
        <v>50</v>
      </c>
      <c r="AC355" s="741" t="s">
        <v>56</v>
      </c>
      <c r="AD355" s="716"/>
      <c r="AE355" s="730"/>
      <c r="AF355" s="731"/>
      <c r="AG355" s="732"/>
      <c r="AH355" s="732"/>
      <c r="AI355" s="816">
        <f>I355</f>
        <v>501</v>
      </c>
      <c r="AJ355" s="816"/>
      <c r="AK355" s="816"/>
      <c r="AL355" s="834"/>
      <c r="AM355" s="835">
        <f t="shared" si="62"/>
        <v>501</v>
      </c>
      <c r="AN355" s="740"/>
      <c r="AO355" s="816"/>
      <c r="AP355" s="876"/>
      <c r="AQ355" s="313"/>
      <c r="AR355" s="877">
        <f t="shared" si="64"/>
        <v>501</v>
      </c>
      <c r="AS355" s="306"/>
      <c r="AT355" s="856"/>
    </row>
    <row r="356" s="307" customFormat="1" ht="36" customHeight="1" spans="1:46">
      <c r="A356" s="708">
        <v>46239</v>
      </c>
      <c r="B356" s="709" t="s">
        <v>1547</v>
      </c>
      <c r="C356" s="709" t="s">
        <v>341</v>
      </c>
      <c r="D356" s="710" t="s">
        <v>1548</v>
      </c>
      <c r="E356" s="878">
        <v>4371654155</v>
      </c>
      <c r="F356" s="712" t="s">
        <v>1549</v>
      </c>
      <c r="G356" s="713" t="s">
        <v>50</v>
      </c>
      <c r="H356" s="736" t="s">
        <v>51</v>
      </c>
      <c r="I356" s="879">
        <v>180</v>
      </c>
      <c r="J356" s="716">
        <v>0</v>
      </c>
      <c r="K356" s="716">
        <v>3</v>
      </c>
      <c r="L356" s="880">
        <f t="shared" si="57"/>
        <v>60</v>
      </c>
      <c r="M356" s="718">
        <v>46280</v>
      </c>
      <c r="N356" s="718">
        <v>46279</v>
      </c>
      <c r="O356" s="795" t="s">
        <v>1550</v>
      </c>
      <c r="P356" s="722"/>
      <c r="Q356" s="720"/>
      <c r="R356" s="721"/>
      <c r="S356" s="827" t="s">
        <v>1418</v>
      </c>
      <c r="T356" s="693" t="s">
        <v>54</v>
      </c>
      <c r="U356" s="693" t="s">
        <v>54</v>
      </c>
      <c r="V356" s="724"/>
      <c r="W356" s="725" t="s">
        <v>1551</v>
      </c>
      <c r="X356" s="726" t="s">
        <v>1552</v>
      </c>
      <c r="Y356" s="727">
        <v>10.4985</v>
      </c>
      <c r="Z356" s="728">
        <f>I356*Y356</f>
        <v>1889.73</v>
      </c>
      <c r="AA356" s="710"/>
      <c r="AB356" s="778" t="s">
        <v>84</v>
      </c>
      <c r="AC356" s="741" t="s">
        <v>56</v>
      </c>
      <c r="AD356" s="716"/>
      <c r="AE356" s="730"/>
      <c r="AF356" s="731"/>
      <c r="AG356" s="732"/>
      <c r="AH356" s="732"/>
      <c r="AI356" s="816"/>
      <c r="AJ356" s="816"/>
      <c r="AK356" s="816"/>
      <c r="AL356" s="834">
        <f>I356</f>
        <v>180</v>
      </c>
      <c r="AM356" s="835">
        <f t="shared" si="62"/>
        <v>180</v>
      </c>
      <c r="AN356" s="740"/>
      <c r="AO356" s="816"/>
      <c r="AP356" s="876"/>
      <c r="AQ356" s="313"/>
      <c r="AR356" s="877">
        <f t="shared" si="64"/>
        <v>180</v>
      </c>
      <c r="AS356" s="306"/>
      <c r="AT356" s="856"/>
    </row>
    <row r="357" s="307" customFormat="1" ht="36" customHeight="1" spans="1:46">
      <c r="A357" s="708">
        <v>46248</v>
      </c>
      <c r="B357" s="709" t="s">
        <v>1553</v>
      </c>
      <c r="C357" s="709" t="s">
        <v>341</v>
      </c>
      <c r="D357" s="710">
        <v>4500219955</v>
      </c>
      <c r="E357" s="711" t="s">
        <v>1554</v>
      </c>
      <c r="F357" s="712" t="s">
        <v>1555</v>
      </c>
      <c r="G357" s="713" t="s">
        <v>50</v>
      </c>
      <c r="H357" s="736" t="s">
        <v>51</v>
      </c>
      <c r="I357" s="715">
        <v>240</v>
      </c>
      <c r="J357" s="716">
        <v>0</v>
      </c>
      <c r="K357" s="716">
        <v>3</v>
      </c>
      <c r="L357" s="717">
        <f t="shared" si="57"/>
        <v>80</v>
      </c>
      <c r="M357" s="718">
        <v>46280</v>
      </c>
      <c r="N357" s="718">
        <v>46276</v>
      </c>
      <c r="O357" s="722"/>
      <c r="P357" s="722"/>
      <c r="Q357" s="720"/>
      <c r="R357" s="721"/>
      <c r="S357" s="827" t="s">
        <v>1418</v>
      </c>
      <c r="T357" s="693" t="s">
        <v>54</v>
      </c>
      <c r="U357" s="693" t="s">
        <v>54</v>
      </c>
      <c r="V357" s="724"/>
      <c r="W357" s="725" t="s">
        <v>1556</v>
      </c>
      <c r="X357" s="726" t="s">
        <v>1552</v>
      </c>
      <c r="Y357" s="727">
        <v>10.4985</v>
      </c>
      <c r="Z357" s="728">
        <f>I357*Y357</f>
        <v>2519.64</v>
      </c>
      <c r="AA357" s="710"/>
      <c r="AB357" s="813" t="s">
        <v>84</v>
      </c>
      <c r="AC357" s="741" t="s">
        <v>56</v>
      </c>
      <c r="AD357" s="716"/>
      <c r="AE357" s="730"/>
      <c r="AF357" s="731"/>
      <c r="AG357" s="732"/>
      <c r="AH357" s="732"/>
      <c r="AI357" s="816"/>
      <c r="AJ357" s="816"/>
      <c r="AK357" s="816"/>
      <c r="AL357" s="834">
        <f>I357</f>
        <v>240</v>
      </c>
      <c r="AM357" s="835">
        <f t="shared" si="62"/>
        <v>240</v>
      </c>
      <c r="AN357" s="740"/>
      <c r="AO357" s="816"/>
      <c r="AP357" s="876"/>
      <c r="AQ357" s="313"/>
      <c r="AR357" s="877">
        <f t="shared" si="64"/>
        <v>240</v>
      </c>
      <c r="AS357" s="306"/>
      <c r="AT357" s="856"/>
    </row>
    <row r="358" s="313" customFormat="1" ht="36" customHeight="1" spans="1:46">
      <c r="A358" s="708">
        <v>46162</v>
      </c>
      <c r="B358" s="709" t="s">
        <v>285</v>
      </c>
      <c r="C358" s="709" t="s">
        <v>71</v>
      </c>
      <c r="D358" s="710" t="s">
        <v>1557</v>
      </c>
      <c r="E358" s="711" t="s">
        <v>1558</v>
      </c>
      <c r="F358" s="712" t="s">
        <v>1559</v>
      </c>
      <c r="G358" s="713" t="s">
        <v>169</v>
      </c>
      <c r="H358" s="736" t="s">
        <v>51</v>
      </c>
      <c r="I358" s="715">
        <v>111</v>
      </c>
      <c r="J358" s="716">
        <v>0</v>
      </c>
      <c r="K358" s="716">
        <v>3</v>
      </c>
      <c r="L358" s="737">
        <f t="shared" si="57"/>
        <v>37</v>
      </c>
      <c r="M358" s="881">
        <v>46281</v>
      </c>
      <c r="N358" s="881">
        <v>46279</v>
      </c>
      <c r="O358" s="719"/>
      <c r="P358" s="380" t="s">
        <v>1287</v>
      </c>
      <c r="Q358" s="720"/>
      <c r="R358" s="720" t="s">
        <v>98</v>
      </c>
      <c r="S358" s="722">
        <v>46162</v>
      </c>
      <c r="T358" s="724" t="s">
        <v>66</v>
      </c>
      <c r="U358" s="724" t="s">
        <v>1495</v>
      </c>
      <c r="V358" s="739" t="s">
        <v>290</v>
      </c>
      <c r="W358" s="725" t="s">
        <v>986</v>
      </c>
      <c r="X358" s="726" t="s">
        <v>292</v>
      </c>
      <c r="Y358" s="727">
        <v>6.5041</v>
      </c>
      <c r="Z358" s="698">
        <f>Y358*L358</f>
        <v>240.6517</v>
      </c>
      <c r="AA358" s="710"/>
      <c r="AB358" s="699" t="s">
        <v>169</v>
      </c>
      <c r="AC358" s="729" t="s">
        <v>56</v>
      </c>
      <c r="AD358" s="716"/>
      <c r="AE358" s="730"/>
      <c r="AF358" s="731"/>
      <c r="AG358" s="732"/>
      <c r="AH358" s="732"/>
      <c r="AI358" s="816">
        <f>I358</f>
        <v>111</v>
      </c>
      <c r="AJ358" s="816"/>
      <c r="AK358" s="816"/>
      <c r="AL358" s="834"/>
      <c r="AM358" s="835">
        <f t="shared" ref="AM358:AM363" si="65">I358</f>
        <v>111</v>
      </c>
      <c r="AN358" s="740"/>
      <c r="AO358" s="816"/>
      <c r="AP358" s="876"/>
      <c r="AR358" s="877">
        <f t="shared" ref="AR358:AR363" si="66">I358</f>
        <v>111</v>
      </c>
      <c r="AS358" s="729"/>
    </row>
    <row r="359" s="307" customFormat="1" ht="36" customHeight="1" spans="1:46">
      <c r="A359" s="708">
        <v>46237</v>
      </c>
      <c r="B359" s="709" t="s">
        <v>315</v>
      </c>
      <c r="C359" s="709" t="s">
        <v>71</v>
      </c>
      <c r="D359" s="710">
        <v>4500218444</v>
      </c>
      <c r="E359" s="711" t="s">
        <v>1560</v>
      </c>
      <c r="F359" s="712" t="s">
        <v>1561</v>
      </c>
      <c r="G359" s="713" t="s">
        <v>50</v>
      </c>
      <c r="H359" s="736" t="s">
        <v>51</v>
      </c>
      <c r="I359" s="715">
        <v>480</v>
      </c>
      <c r="J359" s="716">
        <v>0</v>
      </c>
      <c r="K359" s="716">
        <v>3</v>
      </c>
      <c r="L359" s="717">
        <f t="shared" si="57"/>
        <v>160</v>
      </c>
      <c r="M359" s="718">
        <v>46281</v>
      </c>
      <c r="N359" s="718">
        <v>46279</v>
      </c>
      <c r="O359" s="722"/>
      <c r="P359" s="722"/>
      <c r="Q359" s="720"/>
      <c r="R359" s="721" t="s">
        <v>65</v>
      </c>
      <c r="S359" s="827" t="s">
        <v>1562</v>
      </c>
      <c r="T359" s="693" t="s">
        <v>54</v>
      </c>
      <c r="U359" s="693" t="s">
        <v>54</v>
      </c>
      <c r="V359" s="724"/>
      <c r="W359" s="725" t="s">
        <v>1563</v>
      </c>
      <c r="X359" s="726" t="s">
        <v>318</v>
      </c>
      <c r="Y359" s="727">
        <v>6.2991</v>
      </c>
      <c r="Z359" s="728">
        <f>I359*Y359</f>
        <v>3023.568</v>
      </c>
      <c r="AA359" s="710"/>
      <c r="AB359" s="699" t="s">
        <v>50</v>
      </c>
      <c r="AC359" s="741" t="s">
        <v>56</v>
      </c>
      <c r="AD359" s="716"/>
      <c r="AE359" s="730"/>
      <c r="AF359" s="731"/>
      <c r="AG359" s="732"/>
      <c r="AH359" s="732"/>
      <c r="AI359" s="816">
        <f>I359</f>
        <v>480</v>
      </c>
      <c r="AJ359" s="816"/>
      <c r="AK359" s="816"/>
      <c r="AL359" s="834"/>
      <c r="AM359" s="835">
        <f t="shared" si="65"/>
        <v>480</v>
      </c>
      <c r="AN359" s="740"/>
      <c r="AO359" s="816"/>
      <c r="AP359" s="876"/>
      <c r="AQ359" s="313"/>
      <c r="AR359" s="877">
        <f t="shared" si="66"/>
        <v>480</v>
      </c>
      <c r="AS359" s="306"/>
      <c r="AT359" s="856"/>
    </row>
    <row r="360" s="311" customFormat="1" ht="36" customHeight="1" spans="1:46">
      <c r="A360" s="773">
        <v>46232</v>
      </c>
      <c r="B360" s="774" t="s">
        <v>70</v>
      </c>
      <c r="C360" s="774" t="s">
        <v>71</v>
      </c>
      <c r="D360" s="775">
        <v>4500218110</v>
      </c>
      <c r="E360" s="776" t="s">
        <v>1564</v>
      </c>
      <c r="F360" s="777" t="s">
        <v>1565</v>
      </c>
      <c r="G360" s="778" t="s">
        <v>50</v>
      </c>
      <c r="H360" s="779" t="s">
        <v>51</v>
      </c>
      <c r="I360" s="780">
        <v>1035</v>
      </c>
      <c r="J360" s="781">
        <v>0</v>
      </c>
      <c r="K360" s="781">
        <v>3</v>
      </c>
      <c r="L360" s="782">
        <f t="shared" si="57"/>
        <v>345</v>
      </c>
      <c r="M360" s="783">
        <v>46282</v>
      </c>
      <c r="N360" s="783">
        <v>46280</v>
      </c>
      <c r="O360" s="787"/>
      <c r="P360" s="787"/>
      <c r="Q360" s="785"/>
      <c r="R360" s="786" t="s">
        <v>65</v>
      </c>
      <c r="S360" s="787">
        <v>46248</v>
      </c>
      <c r="T360" s="724" t="s">
        <v>66</v>
      </c>
      <c r="U360" s="788" t="s">
        <v>1566</v>
      </c>
      <c r="V360" s="798"/>
      <c r="W360" s="875" t="s">
        <v>1567</v>
      </c>
      <c r="X360" s="790" t="s">
        <v>76</v>
      </c>
      <c r="Y360" s="791">
        <v>6.1109</v>
      </c>
      <c r="Z360" s="792">
        <f>I360*Y360</f>
        <v>6324.7815</v>
      </c>
      <c r="AA360" s="775"/>
      <c r="AB360" s="813" t="s">
        <v>50</v>
      </c>
      <c r="AC360" s="741" t="s">
        <v>56</v>
      </c>
      <c r="AD360" s="781"/>
      <c r="AE360" s="794"/>
      <c r="AF360" s="795"/>
      <c r="AG360" s="796"/>
      <c r="AH360" s="833"/>
      <c r="AI360" s="816">
        <f>I360</f>
        <v>1035</v>
      </c>
      <c r="AJ360" s="816"/>
      <c r="AK360" s="816"/>
      <c r="AL360" s="834"/>
      <c r="AM360" s="835">
        <f t="shared" si="65"/>
        <v>1035</v>
      </c>
      <c r="AN360" s="740"/>
      <c r="AO360" s="816"/>
      <c r="AP360" s="876"/>
      <c r="AR360" s="877">
        <f t="shared" si="66"/>
        <v>1035</v>
      </c>
      <c r="AT360" s="799"/>
    </row>
    <row r="361" s="311" customFormat="1" ht="36" customHeight="1" spans="1:46">
      <c r="A361" s="773">
        <v>46246</v>
      </c>
      <c r="B361" s="774" t="s">
        <v>220</v>
      </c>
      <c r="C361" s="774" t="s">
        <v>61</v>
      </c>
      <c r="D361" s="775">
        <v>4500219625</v>
      </c>
      <c r="E361" s="776" t="s">
        <v>1568</v>
      </c>
      <c r="F361" s="777" t="s">
        <v>1569</v>
      </c>
      <c r="G361" s="778" t="s">
        <v>50</v>
      </c>
      <c r="H361" s="779" t="s">
        <v>51</v>
      </c>
      <c r="I361" s="780">
        <v>180</v>
      </c>
      <c r="J361" s="781">
        <v>0</v>
      </c>
      <c r="K361" s="781">
        <v>3</v>
      </c>
      <c r="L361" s="782">
        <f t="shared" si="57"/>
        <v>60</v>
      </c>
      <c r="M361" s="783">
        <v>46282</v>
      </c>
      <c r="N361" s="783">
        <v>46280</v>
      </c>
      <c r="O361" s="787"/>
      <c r="P361" s="787"/>
      <c r="Q361" s="785"/>
      <c r="R361" s="786" t="s">
        <v>65</v>
      </c>
      <c r="S361" s="787">
        <v>46246</v>
      </c>
      <c r="T361" s="693" t="s">
        <v>54</v>
      </c>
      <c r="U361" s="788" t="s">
        <v>54</v>
      </c>
      <c r="V361" s="798"/>
      <c r="W361" s="875" t="s">
        <v>1570</v>
      </c>
      <c r="X361" s="790" t="s">
        <v>1571</v>
      </c>
      <c r="Y361" s="791">
        <v>11.1284</v>
      </c>
      <c r="Z361" s="792">
        <f>I361*Y361</f>
        <v>2003.112</v>
      </c>
      <c r="AA361" s="775"/>
      <c r="AB361" s="813" t="s">
        <v>50</v>
      </c>
      <c r="AC361" s="741" t="s">
        <v>56</v>
      </c>
      <c r="AD361" s="781"/>
      <c r="AE361" s="794"/>
      <c r="AF361" s="795"/>
      <c r="AG361" s="796"/>
      <c r="AH361" s="833"/>
      <c r="AI361" s="816">
        <f>I361</f>
        <v>180</v>
      </c>
      <c r="AJ361" s="816"/>
      <c r="AK361" s="816"/>
      <c r="AL361" s="834"/>
      <c r="AM361" s="835">
        <f t="shared" si="65"/>
        <v>180</v>
      </c>
      <c r="AN361" s="740"/>
      <c r="AO361" s="816"/>
      <c r="AP361" s="876"/>
      <c r="AQ361" s="311"/>
      <c r="AR361" s="877">
        <f t="shared" si="66"/>
        <v>180</v>
      </c>
      <c r="AT361" s="799"/>
    </row>
    <row r="362" s="307" customFormat="1" ht="36" customHeight="1" spans="1:46">
      <c r="A362" s="708">
        <v>46241</v>
      </c>
      <c r="B362" s="709" t="s">
        <v>70</v>
      </c>
      <c r="C362" s="709" t="s">
        <v>71</v>
      </c>
      <c r="D362" s="710">
        <v>4500219221</v>
      </c>
      <c r="E362" s="882" t="s">
        <v>1572</v>
      </c>
      <c r="F362" s="883" t="s">
        <v>1573</v>
      </c>
      <c r="G362" s="713" t="s">
        <v>50</v>
      </c>
      <c r="H362" s="736" t="s">
        <v>51</v>
      </c>
      <c r="I362" s="715">
        <v>8202</v>
      </c>
      <c r="J362" s="716">
        <v>0</v>
      </c>
      <c r="K362" s="716">
        <v>3</v>
      </c>
      <c r="L362" s="717">
        <f t="shared" si="57"/>
        <v>2734</v>
      </c>
      <c r="M362" s="718">
        <v>46283</v>
      </c>
      <c r="N362" s="718">
        <v>46281</v>
      </c>
      <c r="O362" s="722"/>
      <c r="P362" s="722"/>
      <c r="Q362" s="720"/>
      <c r="R362" s="721"/>
      <c r="S362" s="787">
        <v>46251</v>
      </c>
      <c r="T362" s="724" t="s">
        <v>66</v>
      </c>
      <c r="U362" s="788" t="s">
        <v>1566</v>
      </c>
      <c r="V362" s="724"/>
      <c r="W362" s="725" t="s">
        <v>1574</v>
      </c>
      <c r="X362" s="726" t="s">
        <v>76</v>
      </c>
      <c r="Y362" s="727">
        <v>6.0484</v>
      </c>
      <c r="Z362" s="728">
        <f>I362*Y362</f>
        <v>49608.9768</v>
      </c>
      <c r="AA362" s="710"/>
      <c r="AB362" s="699" t="s">
        <v>50</v>
      </c>
      <c r="AC362" s="741" t="s">
        <v>56</v>
      </c>
      <c r="AD362" s="716"/>
      <c r="AE362" s="730"/>
      <c r="AF362" s="731"/>
      <c r="AG362" s="732"/>
      <c r="AH362" s="732"/>
      <c r="AI362" s="816">
        <f t="shared" ref="AI362:AI372" si="67">I362</f>
        <v>8202</v>
      </c>
      <c r="AJ362" s="816"/>
      <c r="AK362" s="816"/>
      <c r="AL362" s="834"/>
      <c r="AM362" s="835">
        <f t="shared" si="65"/>
        <v>8202</v>
      </c>
      <c r="AN362" s="740"/>
      <c r="AO362" s="816"/>
      <c r="AP362" s="876"/>
      <c r="AQ362" s="313"/>
      <c r="AR362" s="877">
        <f t="shared" si="66"/>
        <v>8202</v>
      </c>
      <c r="AS362" s="306"/>
      <c r="AT362" s="856"/>
    </row>
    <row r="363" s="316" customFormat="1" ht="36" customHeight="1" spans="1:46">
      <c r="A363" s="814">
        <v>46212</v>
      </c>
      <c r="B363" s="815" t="s">
        <v>285</v>
      </c>
      <c r="C363" s="815" t="s">
        <v>71</v>
      </c>
      <c r="D363" s="816">
        <v>4500215927</v>
      </c>
      <c r="E363" s="817" t="s">
        <v>1575</v>
      </c>
      <c r="F363" s="818" t="s">
        <v>1576</v>
      </c>
      <c r="G363" s="819" t="s">
        <v>169</v>
      </c>
      <c r="H363" s="820" t="s">
        <v>51</v>
      </c>
      <c r="I363" s="821">
        <v>1431</v>
      </c>
      <c r="J363" s="822">
        <v>0</v>
      </c>
      <c r="K363" s="822">
        <v>3</v>
      </c>
      <c r="L363" s="823">
        <f t="shared" si="57"/>
        <v>477</v>
      </c>
      <c r="M363" s="824">
        <v>46286</v>
      </c>
      <c r="N363" s="824">
        <v>46283</v>
      </c>
      <c r="O363" s="827"/>
      <c r="P363" s="827"/>
      <c r="Q363" s="826"/>
      <c r="R363" s="721" t="s">
        <v>98</v>
      </c>
      <c r="S363" s="827">
        <v>46212</v>
      </c>
      <c r="T363" s="693" t="s">
        <v>66</v>
      </c>
      <c r="U363" s="693" t="s">
        <v>1495</v>
      </c>
      <c r="V363" s="693" t="s">
        <v>290</v>
      </c>
      <c r="W363" s="740" t="s">
        <v>1496</v>
      </c>
      <c r="X363" s="828" t="s">
        <v>168</v>
      </c>
      <c r="Y363" s="829">
        <v>6.494</v>
      </c>
      <c r="Z363" s="792">
        <f>I363*Y363</f>
        <v>9292.914</v>
      </c>
      <c r="AA363" s="816"/>
      <c r="AB363" s="699" t="s">
        <v>169</v>
      </c>
      <c r="AC363" s="741" t="s">
        <v>56</v>
      </c>
      <c r="AD363" s="822"/>
      <c r="AE363" s="831"/>
      <c r="AF363" s="832"/>
      <c r="AG363" s="833"/>
      <c r="AH363" s="833"/>
      <c r="AI363" s="816">
        <f t="shared" si="67"/>
        <v>1431</v>
      </c>
      <c r="AJ363" s="816"/>
      <c r="AK363" s="816"/>
      <c r="AL363" s="834"/>
      <c r="AM363" s="835">
        <f t="shared" si="65"/>
        <v>1431</v>
      </c>
      <c r="AN363" s="740"/>
      <c r="AO363" s="816"/>
      <c r="AP363" s="876"/>
      <c r="AQ363" s="311"/>
      <c r="AR363" s="877">
        <f t="shared" si="66"/>
        <v>1431</v>
      </c>
      <c r="AS363" s="314"/>
      <c r="AT363" s="838"/>
    </row>
    <row r="364" s="313" customFormat="1" ht="36" customHeight="1" spans="1:46">
      <c r="A364" s="677">
        <v>46224</v>
      </c>
      <c r="B364" s="678" t="s">
        <v>1371</v>
      </c>
      <c r="C364" s="678" t="s">
        <v>47</v>
      </c>
      <c r="D364" s="679" t="s">
        <v>1360</v>
      </c>
      <c r="E364" s="680" t="s">
        <v>1361</v>
      </c>
      <c r="F364" s="681" t="s">
        <v>1577</v>
      </c>
      <c r="G364" s="682" t="s">
        <v>1363</v>
      </c>
      <c r="H364" s="683" t="s">
        <v>51</v>
      </c>
      <c r="I364" s="684">
        <v>7032</v>
      </c>
      <c r="J364" s="685">
        <v>0</v>
      </c>
      <c r="K364" s="685">
        <v>3</v>
      </c>
      <c r="L364" s="810">
        <f t="shared" si="57"/>
        <v>2344</v>
      </c>
      <c r="M364" s="687">
        <v>46288</v>
      </c>
      <c r="N364" s="687">
        <v>46286</v>
      </c>
      <c r="O364" s="811"/>
      <c r="P364" s="691"/>
      <c r="Q364" s="689"/>
      <c r="R364" s="721" t="s">
        <v>65</v>
      </c>
      <c r="S364" s="722">
        <v>46206</v>
      </c>
      <c r="T364" s="694" t="s">
        <v>54</v>
      </c>
      <c r="U364" s="788" t="s">
        <v>1364</v>
      </c>
      <c r="V364" s="787" t="s">
        <v>1365</v>
      </c>
      <c r="W364" s="695" t="s">
        <v>1578</v>
      </c>
      <c r="X364" s="696" t="s">
        <v>1374</v>
      </c>
      <c r="Y364" s="697">
        <v>9.9964</v>
      </c>
      <c r="Z364" s="698">
        <f>Y364*L364</f>
        <v>23431.5616</v>
      </c>
      <c r="AA364" s="679"/>
      <c r="AB364" s="699" t="s">
        <v>1363</v>
      </c>
      <c r="AC364" s="793" t="s">
        <v>56</v>
      </c>
      <c r="AD364" s="685"/>
      <c r="AE364" s="701"/>
      <c r="AF364" s="702"/>
      <c r="AG364" s="703"/>
      <c r="AH364" s="703"/>
      <c r="AI364" s="679">
        <f t="shared" si="67"/>
        <v>7032</v>
      </c>
      <c r="AJ364" s="679"/>
      <c r="AK364" s="679"/>
      <c r="AL364" s="313"/>
      <c r="AM364" s="695"/>
      <c r="AN364" s="679"/>
      <c r="AO364" s="679"/>
      <c r="AP364" s="679"/>
      <c r="AR364" s="761"/>
      <c r="AS364" s="700"/>
    </row>
    <row r="365" s="316" customFormat="1" ht="36" customHeight="1" spans="1:46">
      <c r="A365" s="814">
        <v>46223</v>
      </c>
      <c r="B365" s="815" t="s">
        <v>330</v>
      </c>
      <c r="C365" s="815" t="s">
        <v>331</v>
      </c>
      <c r="D365" s="816">
        <v>4500217034</v>
      </c>
      <c r="E365" s="817"/>
      <c r="F365" s="818" t="s">
        <v>1579</v>
      </c>
      <c r="G365" s="819" t="s">
        <v>50</v>
      </c>
      <c r="H365" s="820" t="s">
        <v>51</v>
      </c>
      <c r="I365" s="821">
        <v>3000</v>
      </c>
      <c r="J365" s="822">
        <v>0</v>
      </c>
      <c r="K365" s="822">
        <v>3</v>
      </c>
      <c r="L365" s="823">
        <f t="shared" si="57"/>
        <v>1000</v>
      </c>
      <c r="M365" s="824">
        <v>46288</v>
      </c>
      <c r="N365" s="824">
        <v>46286</v>
      </c>
      <c r="O365" s="827"/>
      <c r="P365" s="827"/>
      <c r="Q365" s="826"/>
      <c r="R365" s="721" t="s">
        <v>65</v>
      </c>
      <c r="S365" s="827">
        <v>46223</v>
      </c>
      <c r="T365" s="694" t="s">
        <v>54</v>
      </c>
      <c r="U365" s="694" t="s">
        <v>54</v>
      </c>
      <c r="V365" s="836"/>
      <c r="W365" s="740" t="s">
        <v>1580</v>
      </c>
      <c r="X365" s="828" t="s">
        <v>1581</v>
      </c>
      <c r="Y365" s="829">
        <v>10.452</v>
      </c>
      <c r="Z365" s="830">
        <f>I365*Y365</f>
        <v>31356</v>
      </c>
      <c r="AA365" s="816"/>
      <c r="AB365" s="837" t="s">
        <v>50</v>
      </c>
      <c r="AC365" s="741" t="s">
        <v>56</v>
      </c>
      <c r="AD365" s="822"/>
      <c r="AE365" s="831"/>
      <c r="AF365" s="832"/>
      <c r="AG365" s="833"/>
      <c r="AH365" s="833"/>
      <c r="AI365" s="679">
        <f t="shared" si="67"/>
        <v>3000</v>
      </c>
      <c r="AJ365" s="816"/>
      <c r="AK365" s="816"/>
      <c r="AL365" s="314"/>
      <c r="AM365" s="740">
        <f t="shared" ref="AM365:AM374" si="68">I365</f>
        <v>3000</v>
      </c>
      <c r="AN365" s="816"/>
      <c r="AO365" s="816"/>
      <c r="AP365" s="876"/>
      <c r="AQ365" s="311"/>
      <c r="AR365" s="884">
        <f t="shared" ref="AR365:AR374" si="69">I365</f>
        <v>3000</v>
      </c>
      <c r="AS365" s="793"/>
      <c r="AT365" s="838"/>
    </row>
    <row r="366" s="316" customFormat="1" ht="36" customHeight="1" spans="1:46">
      <c r="A366" s="814">
        <v>46212</v>
      </c>
      <c r="B366" s="815" t="s">
        <v>285</v>
      </c>
      <c r="C366" s="815" t="s">
        <v>71</v>
      </c>
      <c r="D366" s="816">
        <v>4500215928</v>
      </c>
      <c r="E366" s="817" t="s">
        <v>1582</v>
      </c>
      <c r="F366" s="818" t="s">
        <v>1583</v>
      </c>
      <c r="G366" s="819" t="s">
        <v>169</v>
      </c>
      <c r="H366" s="820" t="s">
        <v>51</v>
      </c>
      <c r="I366" s="821">
        <v>1287</v>
      </c>
      <c r="J366" s="822">
        <v>0</v>
      </c>
      <c r="K366" s="822">
        <v>3</v>
      </c>
      <c r="L366" s="823">
        <f t="shared" si="57"/>
        <v>429</v>
      </c>
      <c r="M366" s="824">
        <v>46289</v>
      </c>
      <c r="N366" s="824">
        <v>46287</v>
      </c>
      <c r="O366" s="827"/>
      <c r="P366" s="827"/>
      <c r="Q366" s="826"/>
      <c r="R366" s="721" t="s">
        <v>98</v>
      </c>
      <c r="S366" s="827">
        <v>46212</v>
      </c>
      <c r="T366" s="693" t="s">
        <v>66</v>
      </c>
      <c r="U366" s="693" t="s">
        <v>1495</v>
      </c>
      <c r="V366" s="693" t="s">
        <v>290</v>
      </c>
      <c r="W366" s="740" t="s">
        <v>1496</v>
      </c>
      <c r="X366" s="828" t="s">
        <v>168</v>
      </c>
      <c r="Y366" s="829">
        <v>6.2972</v>
      </c>
      <c r="Z366" s="830">
        <f>Y366*L366</f>
        <v>2701.4988</v>
      </c>
      <c r="AA366" s="816"/>
      <c r="AB366" s="699" t="s">
        <v>169</v>
      </c>
      <c r="AC366" s="741" t="s">
        <v>56</v>
      </c>
      <c r="AD366" s="822"/>
      <c r="AE366" s="831"/>
      <c r="AF366" s="832"/>
      <c r="AG366" s="833"/>
      <c r="AH366" s="833"/>
      <c r="AI366" s="816">
        <f t="shared" si="67"/>
        <v>1287</v>
      </c>
      <c r="AJ366" s="816"/>
      <c r="AK366" s="816"/>
      <c r="AL366" s="834"/>
      <c r="AM366" s="835">
        <f t="shared" si="68"/>
        <v>1287</v>
      </c>
      <c r="AN366" s="740"/>
      <c r="AO366" s="816"/>
      <c r="AP366" s="876"/>
      <c r="AQ366" s="311"/>
      <c r="AR366" s="877">
        <f t="shared" si="69"/>
        <v>1287</v>
      </c>
      <c r="AS366" s="314"/>
      <c r="AT366" s="838"/>
    </row>
    <row r="367" s="307" customFormat="1" ht="36" customHeight="1" spans="1:46">
      <c r="A367" s="708">
        <v>46241</v>
      </c>
      <c r="B367" s="709" t="s">
        <v>70</v>
      </c>
      <c r="C367" s="709" t="s">
        <v>71</v>
      </c>
      <c r="D367" s="710">
        <v>4500218113</v>
      </c>
      <c r="E367" s="711" t="s">
        <v>1584</v>
      </c>
      <c r="F367" s="712" t="s">
        <v>1585</v>
      </c>
      <c r="G367" s="713" t="s">
        <v>50</v>
      </c>
      <c r="H367" s="736" t="s">
        <v>51</v>
      </c>
      <c r="I367" s="715">
        <v>1467</v>
      </c>
      <c r="J367" s="716">
        <v>0</v>
      </c>
      <c r="K367" s="716">
        <v>3</v>
      </c>
      <c r="L367" s="717">
        <f t="shared" si="57"/>
        <v>489</v>
      </c>
      <c r="M367" s="718">
        <v>46289</v>
      </c>
      <c r="N367" s="718">
        <v>46287</v>
      </c>
      <c r="O367" s="722"/>
      <c r="P367" s="722"/>
      <c r="Q367" s="720"/>
      <c r="R367" s="721"/>
      <c r="S367" s="827" t="s">
        <v>1418</v>
      </c>
      <c r="T367" s="693" t="s">
        <v>66</v>
      </c>
      <c r="U367" s="693" t="s">
        <v>1495</v>
      </c>
      <c r="V367" s="724"/>
      <c r="W367" s="725" t="s">
        <v>1586</v>
      </c>
      <c r="X367" s="726" t="s">
        <v>76</v>
      </c>
      <c r="Y367" s="727">
        <v>6.1109</v>
      </c>
      <c r="Z367" s="728">
        <f>I367*Y367</f>
        <v>8964.6903</v>
      </c>
      <c r="AA367" s="710"/>
      <c r="AB367" s="699" t="s">
        <v>50</v>
      </c>
      <c r="AC367" s="741" t="s">
        <v>56</v>
      </c>
      <c r="AD367" s="716"/>
      <c r="AE367" s="730"/>
      <c r="AF367" s="731"/>
      <c r="AG367" s="732"/>
      <c r="AH367" s="732"/>
      <c r="AI367" s="816">
        <f t="shared" si="67"/>
        <v>1467</v>
      </c>
      <c r="AJ367" s="816"/>
      <c r="AK367" s="816"/>
      <c r="AL367" s="834"/>
      <c r="AM367" s="835">
        <f t="shared" si="68"/>
        <v>1467</v>
      </c>
      <c r="AN367" s="740"/>
      <c r="AO367" s="816"/>
      <c r="AP367" s="876"/>
      <c r="AQ367" s="313"/>
      <c r="AR367" s="877">
        <f t="shared" si="69"/>
        <v>1467</v>
      </c>
      <c r="AS367" s="306"/>
      <c r="AT367" s="856"/>
    </row>
    <row r="368" s="316" customFormat="1" ht="36" customHeight="1" spans="1:46">
      <c r="A368" s="814">
        <v>46212</v>
      </c>
      <c r="B368" s="815" t="s">
        <v>285</v>
      </c>
      <c r="C368" s="815" t="s">
        <v>71</v>
      </c>
      <c r="D368" s="816">
        <v>4500215928</v>
      </c>
      <c r="E368" s="817" t="s">
        <v>1587</v>
      </c>
      <c r="F368" s="818" t="s">
        <v>1588</v>
      </c>
      <c r="G368" s="819" t="s">
        <v>169</v>
      </c>
      <c r="H368" s="820" t="s">
        <v>51</v>
      </c>
      <c r="I368" s="821">
        <v>1605</v>
      </c>
      <c r="J368" s="822">
        <v>0</v>
      </c>
      <c r="K368" s="822">
        <v>3</v>
      </c>
      <c r="L368" s="823">
        <f t="shared" si="57"/>
        <v>535</v>
      </c>
      <c r="M368" s="824">
        <v>46293</v>
      </c>
      <c r="N368" s="824">
        <v>46290</v>
      </c>
      <c r="O368" s="827"/>
      <c r="P368" s="827"/>
      <c r="Q368" s="826"/>
      <c r="R368" s="721" t="s">
        <v>98</v>
      </c>
      <c r="S368" s="827">
        <v>46212</v>
      </c>
      <c r="T368" s="693" t="s">
        <v>66</v>
      </c>
      <c r="U368" s="693" t="s">
        <v>1495</v>
      </c>
      <c r="V368" s="693" t="s">
        <v>290</v>
      </c>
      <c r="W368" s="740" t="s">
        <v>1496</v>
      </c>
      <c r="X368" s="828" t="s">
        <v>168</v>
      </c>
      <c r="Y368" s="829">
        <v>6.4763</v>
      </c>
      <c r="Z368" s="830">
        <f>Y368*L368</f>
        <v>3464.8205</v>
      </c>
      <c r="AA368" s="816"/>
      <c r="AB368" s="699" t="s">
        <v>169</v>
      </c>
      <c r="AC368" s="741" t="s">
        <v>56</v>
      </c>
      <c r="AD368" s="822"/>
      <c r="AE368" s="831"/>
      <c r="AF368" s="832"/>
      <c r="AG368" s="833"/>
      <c r="AH368" s="833"/>
      <c r="AI368" s="816">
        <f t="shared" si="67"/>
        <v>1605</v>
      </c>
      <c r="AJ368" s="816"/>
      <c r="AK368" s="816"/>
      <c r="AL368" s="834"/>
      <c r="AM368" s="835">
        <f t="shared" si="68"/>
        <v>1605</v>
      </c>
      <c r="AN368" s="740"/>
      <c r="AO368" s="816"/>
      <c r="AP368" s="876"/>
      <c r="AQ368" s="311"/>
      <c r="AR368" s="877">
        <f t="shared" si="69"/>
        <v>1605</v>
      </c>
      <c r="AS368" s="314"/>
      <c r="AT368" s="838"/>
    </row>
    <row r="369" s="307" customFormat="1" ht="36" customHeight="1" spans="1:46">
      <c r="A369" s="708">
        <v>46237</v>
      </c>
      <c r="B369" s="709" t="s">
        <v>188</v>
      </c>
      <c r="C369" s="709" t="s">
        <v>189</v>
      </c>
      <c r="D369" s="710">
        <v>4500218366</v>
      </c>
      <c r="E369" s="711" t="s">
        <v>1589</v>
      </c>
      <c r="F369" s="712" t="s">
        <v>1590</v>
      </c>
      <c r="G369" s="713" t="s">
        <v>50</v>
      </c>
      <c r="H369" s="736" t="s">
        <v>51</v>
      </c>
      <c r="I369" s="715">
        <v>1800</v>
      </c>
      <c r="J369" s="716">
        <v>0</v>
      </c>
      <c r="K369" s="716">
        <v>3</v>
      </c>
      <c r="L369" s="717">
        <f t="shared" si="57"/>
        <v>600</v>
      </c>
      <c r="M369" s="718">
        <v>46293</v>
      </c>
      <c r="N369" s="718">
        <v>46290</v>
      </c>
      <c r="O369" s="722"/>
      <c r="P369" s="722"/>
      <c r="Q369" s="720"/>
      <c r="R369" s="721"/>
      <c r="S369" s="722">
        <v>46237</v>
      </c>
      <c r="T369" s="693" t="s">
        <v>66</v>
      </c>
      <c r="U369" s="693" t="s">
        <v>1495</v>
      </c>
      <c r="V369" s="724"/>
      <c r="W369" s="725" t="s">
        <v>1591</v>
      </c>
      <c r="X369" s="726" t="s">
        <v>1592</v>
      </c>
      <c r="Y369" s="727">
        <v>11.1114</v>
      </c>
      <c r="Z369" s="728">
        <f t="shared" ref="Z369:Z374" si="70">I369*Y369</f>
        <v>20000.52</v>
      </c>
      <c r="AA369" s="710"/>
      <c r="AB369" s="699" t="s">
        <v>50</v>
      </c>
      <c r="AC369" s="741" t="s">
        <v>56</v>
      </c>
      <c r="AD369" s="716"/>
      <c r="AE369" s="730"/>
      <c r="AF369" s="731"/>
      <c r="AG369" s="732"/>
      <c r="AH369" s="732"/>
      <c r="AI369" s="816">
        <f t="shared" si="67"/>
        <v>1800</v>
      </c>
      <c r="AJ369" s="816"/>
      <c r="AK369" s="816"/>
      <c r="AL369" s="834"/>
      <c r="AM369" s="835">
        <f t="shared" si="68"/>
        <v>1800</v>
      </c>
      <c r="AN369" s="740"/>
      <c r="AO369" s="816"/>
      <c r="AP369" s="876"/>
      <c r="AQ369" s="313"/>
      <c r="AR369" s="877">
        <f t="shared" si="69"/>
        <v>1800</v>
      </c>
      <c r="AS369" s="306"/>
      <c r="AT369" s="856"/>
    </row>
    <row r="370" s="307" customFormat="1" ht="36" customHeight="1" spans="1:46">
      <c r="A370" s="708">
        <v>46241</v>
      </c>
      <c r="B370" s="709" t="s">
        <v>70</v>
      </c>
      <c r="C370" s="709" t="s">
        <v>71</v>
      </c>
      <c r="D370" s="710">
        <v>4500219154</v>
      </c>
      <c r="E370" s="711" t="s">
        <v>1593</v>
      </c>
      <c r="F370" s="712" t="s">
        <v>1594</v>
      </c>
      <c r="G370" s="713" t="s">
        <v>50</v>
      </c>
      <c r="H370" s="736" t="s">
        <v>51</v>
      </c>
      <c r="I370" s="715">
        <v>1035</v>
      </c>
      <c r="J370" s="716">
        <v>0</v>
      </c>
      <c r="K370" s="716">
        <v>3</v>
      </c>
      <c r="L370" s="717">
        <f t="shared" si="57"/>
        <v>345</v>
      </c>
      <c r="M370" s="718">
        <v>46295</v>
      </c>
      <c r="N370" s="718">
        <v>46293</v>
      </c>
      <c r="O370" s="722"/>
      <c r="P370" s="722"/>
      <c r="Q370" s="720"/>
      <c r="R370" s="721"/>
      <c r="S370" s="885" t="s">
        <v>1418</v>
      </c>
      <c r="T370" s="693" t="s">
        <v>66</v>
      </c>
      <c r="U370" s="693" t="s">
        <v>1495</v>
      </c>
      <c r="V370" s="724"/>
      <c r="W370" s="725" t="s">
        <v>1586</v>
      </c>
      <c r="X370" s="726" t="s">
        <v>76</v>
      </c>
      <c r="Y370" s="727">
        <v>6.1109</v>
      </c>
      <c r="Z370" s="728">
        <f t="shared" si="70"/>
        <v>6324.7815</v>
      </c>
      <c r="AA370" s="710"/>
      <c r="AB370" s="699" t="s">
        <v>50</v>
      </c>
      <c r="AC370" s="741" t="s">
        <v>56</v>
      </c>
      <c r="AD370" s="716"/>
      <c r="AE370" s="730"/>
      <c r="AF370" s="731"/>
      <c r="AG370" s="732"/>
      <c r="AH370" s="732"/>
      <c r="AI370" s="816">
        <f t="shared" si="67"/>
        <v>1035</v>
      </c>
      <c r="AJ370" s="816"/>
      <c r="AK370" s="816"/>
      <c r="AL370" s="834"/>
      <c r="AM370" s="835">
        <f t="shared" si="68"/>
        <v>1035</v>
      </c>
      <c r="AN370" s="740"/>
      <c r="AO370" s="816"/>
      <c r="AP370" s="876"/>
      <c r="AQ370" s="313"/>
      <c r="AR370" s="877">
        <f t="shared" si="69"/>
        <v>1035</v>
      </c>
      <c r="AS370" s="306"/>
      <c r="AT370" s="856"/>
    </row>
    <row r="371" s="307" customFormat="1" ht="36" customHeight="1" spans="1:46">
      <c r="A371" s="708">
        <v>46245</v>
      </c>
      <c r="B371" s="709" t="s">
        <v>838</v>
      </c>
      <c r="C371" s="709" t="s">
        <v>71</v>
      </c>
      <c r="D371" s="710">
        <v>4500219223</v>
      </c>
      <c r="E371" s="711" t="s">
        <v>1595</v>
      </c>
      <c r="F371" s="712" t="s">
        <v>1596</v>
      </c>
      <c r="G371" s="713" t="s">
        <v>50</v>
      </c>
      <c r="H371" s="736" t="s">
        <v>51</v>
      </c>
      <c r="I371" s="715">
        <v>16401</v>
      </c>
      <c r="J371" s="716">
        <v>0</v>
      </c>
      <c r="K371" s="716">
        <v>3</v>
      </c>
      <c r="L371" s="717">
        <f t="shared" si="57"/>
        <v>5467</v>
      </c>
      <c r="M371" s="718">
        <v>46295</v>
      </c>
      <c r="N371" s="718">
        <v>46293</v>
      </c>
      <c r="O371" s="722"/>
      <c r="P371" s="722"/>
      <c r="Q371" s="720"/>
      <c r="R371" s="721"/>
      <c r="S371" s="827" t="s">
        <v>1418</v>
      </c>
      <c r="T371" s="693" t="s">
        <v>66</v>
      </c>
      <c r="U371" s="693" t="s">
        <v>1495</v>
      </c>
      <c r="V371" s="724"/>
      <c r="W371" s="725" t="s">
        <v>1597</v>
      </c>
      <c r="X371" s="726" t="s">
        <v>1598</v>
      </c>
      <c r="Y371" s="727">
        <v>6.0232</v>
      </c>
      <c r="Z371" s="728">
        <f t="shared" si="70"/>
        <v>98786.5032</v>
      </c>
      <c r="AA371" s="710"/>
      <c r="AB371" s="699" t="s">
        <v>50</v>
      </c>
      <c r="AC371" s="741" t="s">
        <v>56</v>
      </c>
      <c r="AD371" s="716"/>
      <c r="AE371" s="730"/>
      <c r="AF371" s="731"/>
      <c r="AG371" s="732"/>
      <c r="AH371" s="732"/>
      <c r="AI371" s="816">
        <f t="shared" si="67"/>
        <v>16401</v>
      </c>
      <c r="AJ371" s="816"/>
      <c r="AK371" s="816"/>
      <c r="AL371" s="834"/>
      <c r="AM371" s="835">
        <f t="shared" si="68"/>
        <v>16401</v>
      </c>
      <c r="AN371" s="740"/>
      <c r="AO371" s="816"/>
      <c r="AP371" s="876"/>
      <c r="AQ371" s="313"/>
      <c r="AR371" s="877">
        <f t="shared" si="69"/>
        <v>16401</v>
      </c>
      <c r="AS371" s="306"/>
      <c r="AT371" s="856"/>
    </row>
    <row r="372" s="307" customFormat="1" ht="36" customHeight="1" spans="1:46">
      <c r="A372" s="708">
        <v>46241</v>
      </c>
      <c r="B372" s="709" t="s">
        <v>70</v>
      </c>
      <c r="C372" s="709" t="s">
        <v>71</v>
      </c>
      <c r="D372" s="710">
        <v>4500219162</v>
      </c>
      <c r="E372" s="711" t="s">
        <v>1599</v>
      </c>
      <c r="F372" s="712" t="s">
        <v>1600</v>
      </c>
      <c r="G372" s="713" t="s">
        <v>50</v>
      </c>
      <c r="H372" s="736" t="s">
        <v>51</v>
      </c>
      <c r="I372" s="715">
        <v>1467</v>
      </c>
      <c r="J372" s="716">
        <v>0</v>
      </c>
      <c r="K372" s="716">
        <v>3</v>
      </c>
      <c r="L372" s="717">
        <f t="shared" si="57"/>
        <v>489</v>
      </c>
      <c r="M372" s="718">
        <v>46303</v>
      </c>
      <c r="N372" s="718">
        <v>46300</v>
      </c>
      <c r="O372" s="722"/>
      <c r="P372" s="722"/>
      <c r="Q372" s="720"/>
      <c r="R372" s="721"/>
      <c r="S372" s="827">
        <v>46248</v>
      </c>
      <c r="T372" s="693" t="s">
        <v>66</v>
      </c>
      <c r="U372" s="693" t="s">
        <v>1495</v>
      </c>
      <c r="V372" s="724"/>
      <c r="W372" s="725" t="s">
        <v>1586</v>
      </c>
      <c r="X372" s="726" t="s">
        <v>76</v>
      </c>
      <c r="Y372" s="727">
        <v>6.1109</v>
      </c>
      <c r="Z372" s="728">
        <f t="shared" si="70"/>
        <v>8964.6903</v>
      </c>
      <c r="AA372" s="710"/>
      <c r="AB372" s="699" t="s">
        <v>50</v>
      </c>
      <c r="AC372" s="741" t="s">
        <v>56</v>
      </c>
      <c r="AD372" s="716"/>
      <c r="AE372" s="730"/>
      <c r="AF372" s="731"/>
      <c r="AG372" s="732"/>
      <c r="AH372" s="732"/>
      <c r="AI372" s="816">
        <f t="shared" si="67"/>
        <v>1467</v>
      </c>
      <c r="AJ372" s="816"/>
      <c r="AK372" s="816"/>
      <c r="AL372" s="834"/>
      <c r="AM372" s="835">
        <f t="shared" si="68"/>
        <v>1467</v>
      </c>
      <c r="AN372" s="740"/>
      <c r="AO372" s="816"/>
      <c r="AP372" s="876"/>
      <c r="AQ372" s="313"/>
      <c r="AR372" s="877">
        <f t="shared" si="69"/>
        <v>1467</v>
      </c>
      <c r="AS372" s="306"/>
      <c r="AT372" s="856"/>
    </row>
    <row r="373" s="316" customFormat="1" ht="36" customHeight="1" spans="1:46">
      <c r="A373" s="814">
        <v>46212</v>
      </c>
      <c r="B373" s="815" t="s">
        <v>1601</v>
      </c>
      <c r="C373" s="815" t="s">
        <v>396</v>
      </c>
      <c r="D373" s="816">
        <v>4500215828</v>
      </c>
      <c r="E373" s="817"/>
      <c r="F373" s="818" t="s">
        <v>1602</v>
      </c>
      <c r="G373" s="819" t="s">
        <v>50</v>
      </c>
      <c r="H373" s="820" t="s">
        <v>51</v>
      </c>
      <c r="I373" s="821">
        <v>501</v>
      </c>
      <c r="J373" s="822">
        <v>0</v>
      </c>
      <c r="K373" s="822">
        <v>3</v>
      </c>
      <c r="L373" s="823">
        <f t="shared" si="57"/>
        <v>167</v>
      </c>
      <c r="M373" s="824">
        <v>46303</v>
      </c>
      <c r="N373" s="824">
        <v>46301</v>
      </c>
      <c r="O373" s="827"/>
      <c r="P373" s="827"/>
      <c r="Q373" s="826"/>
      <c r="R373" s="721"/>
      <c r="S373" s="885" t="s">
        <v>1418</v>
      </c>
      <c r="T373" s="693" t="s">
        <v>54</v>
      </c>
      <c r="U373" s="693" t="s">
        <v>1603</v>
      </c>
      <c r="V373" s="836"/>
      <c r="W373" s="740" t="s">
        <v>1604</v>
      </c>
      <c r="X373" s="828" t="s">
        <v>870</v>
      </c>
      <c r="Y373" s="829">
        <v>10.2018</v>
      </c>
      <c r="Z373" s="830">
        <f t="shared" si="70"/>
        <v>5111.1018</v>
      </c>
      <c r="AA373" s="816"/>
      <c r="AB373" s="699" t="s">
        <v>84</v>
      </c>
      <c r="AC373" s="741" t="s">
        <v>56</v>
      </c>
      <c r="AD373" s="822"/>
      <c r="AE373" s="831"/>
      <c r="AF373" s="832"/>
      <c r="AG373" s="833"/>
      <c r="AH373" s="833"/>
      <c r="AI373" s="816"/>
      <c r="AJ373" s="816"/>
      <c r="AK373" s="816"/>
      <c r="AL373" s="314">
        <f>I373</f>
        <v>501</v>
      </c>
      <c r="AM373" s="835">
        <f t="shared" si="68"/>
        <v>501</v>
      </c>
      <c r="AN373" s="740"/>
      <c r="AO373" s="816"/>
      <c r="AP373" s="876"/>
      <c r="AQ373" s="311"/>
      <c r="AR373" s="877">
        <f t="shared" si="69"/>
        <v>501</v>
      </c>
      <c r="AS373" s="314"/>
      <c r="AT373" s="838"/>
    </row>
    <row r="374" s="307" customFormat="1" ht="36" customHeight="1" spans="1:46">
      <c r="A374" s="708">
        <v>46108</v>
      </c>
      <c r="B374" s="709" t="s">
        <v>1605</v>
      </c>
      <c r="C374" s="709" t="s">
        <v>1606</v>
      </c>
      <c r="D374" s="710">
        <v>4500198914</v>
      </c>
      <c r="E374" s="711"/>
      <c r="F374" s="712" t="s">
        <v>1607</v>
      </c>
      <c r="G374" s="713" t="s">
        <v>50</v>
      </c>
      <c r="H374" s="736" t="s">
        <v>51</v>
      </c>
      <c r="I374" s="879">
        <v>1002</v>
      </c>
      <c r="J374" s="716">
        <v>0</v>
      </c>
      <c r="K374" s="716">
        <v>3</v>
      </c>
      <c r="L374" s="717">
        <f t="shared" si="57"/>
        <v>334</v>
      </c>
      <c r="M374" s="771">
        <v>46310</v>
      </c>
      <c r="N374" s="771">
        <v>46308</v>
      </c>
      <c r="O374" s="722"/>
      <c r="P374" s="722"/>
      <c r="Q374" s="720"/>
      <c r="R374" s="721" t="s">
        <v>65</v>
      </c>
      <c r="S374" s="722">
        <v>46108</v>
      </c>
      <c r="T374" s="724" t="s">
        <v>54</v>
      </c>
      <c r="U374" s="693" t="s">
        <v>1608</v>
      </c>
      <c r="V374" s="724"/>
      <c r="W374" s="725" t="s">
        <v>1609</v>
      </c>
      <c r="X374" s="726" t="s">
        <v>1610</v>
      </c>
      <c r="Y374" s="727">
        <v>10.2316</v>
      </c>
      <c r="Z374" s="728">
        <f t="shared" si="70"/>
        <v>10252.0632</v>
      </c>
      <c r="AA374" s="710"/>
      <c r="AB374" s="699" t="s">
        <v>84</v>
      </c>
      <c r="AC374" s="729" t="s">
        <v>56</v>
      </c>
      <c r="AD374" s="716"/>
      <c r="AE374" s="730"/>
      <c r="AF374" s="731"/>
      <c r="AG374" s="732"/>
      <c r="AH374" s="732"/>
      <c r="AI374" s="710"/>
      <c r="AJ374" s="710"/>
      <c r="AK374" s="710"/>
      <c r="AL374" s="315">
        <f>I374</f>
        <v>1002</v>
      </c>
      <c r="AM374" s="710">
        <f t="shared" si="68"/>
        <v>1002</v>
      </c>
      <c r="AN374" s="710"/>
      <c r="AO374" s="710"/>
      <c r="AP374" s="734"/>
      <c r="AQ374" s="313"/>
      <c r="AR374" s="742">
        <f t="shared" si="69"/>
        <v>1002</v>
      </c>
      <c r="AS374" s="306"/>
      <c r="AT374" s="524"/>
    </row>
    <row r="375" s="307" customFormat="1" ht="36" customHeight="1" spans="1:46">
      <c r="A375" s="708"/>
      <c r="B375" s="709"/>
      <c r="C375" s="709"/>
      <c r="D375" s="710"/>
      <c r="E375" s="711"/>
      <c r="F375" s="712"/>
      <c r="G375" s="713"/>
      <c r="H375" s="736"/>
      <c r="I375" s="713"/>
      <c r="J375" s="713"/>
      <c r="K375" s="713"/>
      <c r="L375" s="713"/>
      <c r="M375" s="713"/>
      <c r="N375" s="713"/>
      <c r="O375" s="722"/>
      <c r="P375" s="722"/>
      <c r="Q375" s="720"/>
      <c r="R375" s="721"/>
      <c r="S375" s="722"/>
      <c r="T375" s="724"/>
      <c r="U375" s="693"/>
      <c r="V375" s="724"/>
      <c r="W375" s="725"/>
      <c r="X375" s="726"/>
      <c r="Y375" s="727"/>
      <c r="Z375" s="728"/>
      <c r="AA375" s="710"/>
      <c r="AB375" s="699"/>
      <c r="AC375" s="729"/>
      <c r="AD375" s="716"/>
      <c r="AE375" s="730"/>
      <c r="AF375" s="731"/>
      <c r="AG375" s="732"/>
      <c r="AH375" s="732"/>
      <c r="AI375" s="710"/>
      <c r="AJ375" s="710"/>
      <c r="AK375" s="710"/>
      <c r="AL375" s="315"/>
      <c r="AM375" s="710"/>
      <c r="AN375" s="734"/>
      <c r="AO375" s="734"/>
      <c r="AP375" s="734"/>
      <c r="AQ375" s="770"/>
      <c r="AR375" s="729"/>
      <c r="AS375" s="306"/>
      <c r="AT375"/>
    </row>
    <row r="376" s="307" customFormat="1" ht="36" customHeight="1" spans="1:46">
      <c r="A376" s="708"/>
      <c r="B376" s="709"/>
      <c r="C376" s="709"/>
      <c r="D376" s="710"/>
      <c r="E376" s="886"/>
      <c r="F376" s="712"/>
      <c r="G376" s="713"/>
      <c r="H376" s="736"/>
      <c r="I376" s="715"/>
      <c r="J376" s="716"/>
      <c r="K376" s="716"/>
      <c r="L376" s="887"/>
      <c r="M376" s="718"/>
      <c r="N376" s="718"/>
      <c r="O376" s="722"/>
      <c r="P376" s="722"/>
      <c r="Q376" s="720"/>
      <c r="R376" s="720"/>
      <c r="S376" s="722"/>
      <c r="T376" s="724"/>
      <c r="U376" s="724"/>
      <c r="V376" s="724"/>
      <c r="W376" s="725"/>
      <c r="X376" s="726"/>
      <c r="Y376" s="888"/>
      <c r="Z376" s="728"/>
      <c r="AA376" s="710"/>
      <c r="AB376" s="729"/>
      <c r="AC376" s="733"/>
      <c r="AD376" s="716"/>
      <c r="AE376" s="730"/>
      <c r="AF376" s="731"/>
      <c r="AG376" s="732"/>
      <c r="AH376" s="732"/>
      <c r="AI376" s="710"/>
      <c r="AJ376" s="710"/>
      <c r="AK376" s="710"/>
      <c r="AL376" s="710"/>
      <c r="AM376" s="710"/>
      <c r="AN376" s="734"/>
      <c r="AO376" s="734"/>
      <c r="AP376" s="734"/>
      <c r="AQ376" s="306"/>
      <c r="AR376" s="306"/>
      <c r="AS376" s="306"/>
    </row>
    <row r="377" s="307" customFormat="1" ht="36" customHeight="1" spans="1:46">
      <c r="A377" s="708"/>
      <c r="B377" s="709"/>
      <c r="C377" s="709"/>
      <c r="D377" s="710"/>
      <c r="E377" s="886"/>
      <c r="F377" s="712"/>
      <c r="G377" s="713"/>
      <c r="H377" s="736"/>
      <c r="I377" s="715"/>
      <c r="J377" s="716"/>
      <c r="K377" s="716"/>
      <c r="L377" s="887"/>
      <c r="M377" s="718"/>
      <c r="N377" s="718"/>
      <c r="O377" s="722"/>
      <c r="P377" s="722"/>
      <c r="Q377" s="720"/>
      <c r="R377" s="720"/>
      <c r="S377" s="722"/>
      <c r="T377" s="724"/>
      <c r="U377" s="724"/>
      <c r="V377" s="724"/>
      <c r="W377" s="725"/>
      <c r="X377" s="726"/>
      <c r="Y377" s="888"/>
      <c r="Z377" s="728"/>
      <c r="AA377" s="710"/>
      <c r="AB377" s="729"/>
      <c r="AC377" s="733"/>
      <c r="AD377" s="716"/>
      <c r="AE377" s="730"/>
      <c r="AF377" s="731"/>
      <c r="AG377" s="732"/>
      <c r="AH377" s="732"/>
      <c r="AI377" s="710"/>
      <c r="AJ377" s="710"/>
      <c r="AK377" s="710"/>
      <c r="AL377" s="710"/>
      <c r="AO377" s="734"/>
      <c r="AP377" s="734"/>
      <c r="AQ377" s="306"/>
      <c r="AR377" s="306"/>
      <c r="AS377" s="306"/>
    </row>
    <row r="378" customFormat="1" spans="1:46">
      <c r="E378" s="889"/>
      <c r="F378" s="890"/>
      <c r="W378" s="891"/>
      <c r="AB378" s="890"/>
      <c r="AC378" s="890"/>
      <c r="AI378" s="524">
        <f t="shared" ref="AI378:AN378" si="71">SUM(AI4:AI377)</f>
        <v>174112</v>
      </c>
      <c r="AJ378" s="856">
        <f t="shared" si="71"/>
        <v>118368</v>
      </c>
      <c r="AK378" s="856">
        <f t="shared" si="71"/>
        <v>1944</v>
      </c>
      <c r="AL378" s="887">
        <f t="shared" si="71"/>
        <v>82584</v>
      </c>
      <c r="AM378" s="710">
        <f t="shared" si="71"/>
        <v>219353</v>
      </c>
      <c r="AN378" s="710">
        <f t="shared" si="71"/>
        <v>122465</v>
      </c>
      <c r="AO378" s="887"/>
      <c r="AP378" s="887">
        <f>SUM(AP4:AP377)</f>
        <v>120996</v>
      </c>
      <c r="AQ378" s="892">
        <f>SUM(AQ4:AQ377)</f>
        <v>128510</v>
      </c>
      <c r="AR378" s="892">
        <f>SUM(AR4:AR377)</f>
        <v>98981</v>
      </c>
      <c r="AS378" s="887">
        <f>SUM(AS4:AS377)</f>
        <v>40104</v>
      </c>
    </row>
    <row r="379" s="156" customFormat="1" ht="13.5" spans="1:46">
      <c r="E379" s="317"/>
      <c r="F379" s="319"/>
      <c r="G379" s="156"/>
      <c r="H379" s="156"/>
      <c r="I379" s="156">
        <f>SUM(I4:I378)</f>
        <v>377830</v>
      </c>
      <c r="W379" s="318"/>
      <c r="AB379" s="319"/>
      <c r="AC379" s="319"/>
      <c r="AL379" s="319"/>
      <c r="AM379" s="319"/>
      <c r="AN379" s="319"/>
      <c r="AO379" s="319"/>
      <c r="AP379" s="319"/>
      <c r="AQ379" s="890"/>
      <c r="AR379" s="890"/>
      <c r="AS379" s="890"/>
    </row>
    <row r="380" s="156" customFormat="1" ht="13.5" spans="1:46">
      <c r="E380" s="317"/>
      <c r="F380" s="319"/>
      <c r="G380" s="156"/>
      <c r="H380" s="156"/>
      <c r="I380" s="156"/>
      <c r="J380" s="156"/>
      <c r="K380" s="156"/>
      <c r="L380" s="156"/>
      <c r="M380" s="156"/>
      <c r="N380" s="156"/>
      <c r="O380" s="156"/>
      <c r="P380" s="156"/>
      <c r="Q380" s="156"/>
      <c r="R380" s="156"/>
      <c r="S380" s="156"/>
      <c r="T380" s="156"/>
      <c r="U380" s="156"/>
      <c r="V380" s="156"/>
      <c r="W380" s="318"/>
      <c r="X380" s="156"/>
      <c r="Y380" s="156"/>
      <c r="Z380" s="156"/>
      <c r="AA380" s="156"/>
      <c r="AB380" s="319"/>
      <c r="AC380" s="319"/>
      <c r="AQ380"/>
      <c r="AR380"/>
      <c r="AS380"/>
    </row>
    <row r="381" s="156" customFormat="1" ht="13.5" spans="1:46">
      <c r="E381" s="317"/>
      <c r="F381" s="319"/>
      <c r="G381" s="156"/>
      <c r="H381" s="156"/>
      <c r="I381" s="156"/>
      <c r="J381" s="156"/>
      <c r="K381" s="156"/>
      <c r="L381" s="156"/>
      <c r="M381" s="156"/>
      <c r="N381" s="156"/>
      <c r="O381" s="156"/>
      <c r="P381" s="156"/>
      <c r="Q381" s="156"/>
      <c r="R381" s="156"/>
      <c r="S381" s="156"/>
      <c r="T381" s="156"/>
      <c r="U381" s="156"/>
      <c r="V381" s="156" t="s">
        <v>1611</v>
      </c>
      <c r="W381" s="318"/>
      <c r="X381" s="156"/>
      <c r="Y381" s="156"/>
      <c r="Z381" s="156"/>
      <c r="AA381" s="156"/>
      <c r="AB381" s="319"/>
      <c r="AC381" s="319"/>
    </row>
    <row r="382" s="156" customFormat="1" ht="13.5" spans="1:46">
      <c r="E382" s="317"/>
      <c r="F382" s="319"/>
      <c r="G382" s="156"/>
      <c r="H382" s="156"/>
      <c r="I382" s="156"/>
      <c r="J382" s="156"/>
      <c r="K382" s="156"/>
      <c r="L382" s="156"/>
      <c r="M382" s="156"/>
      <c r="N382" s="156"/>
      <c r="O382" s="156"/>
      <c r="P382" s="156"/>
      <c r="Q382" s="156"/>
      <c r="R382" s="156"/>
      <c r="S382" s="156"/>
      <c r="T382" s="156"/>
      <c r="U382" s="156"/>
      <c r="V382" s="156"/>
      <c r="W382" s="318"/>
      <c r="X382" s="156"/>
      <c r="Y382" s="156"/>
      <c r="Z382" s="156"/>
      <c r="AA382" s="156"/>
      <c r="AB382" s="319"/>
      <c r="AC382" s="319"/>
    </row>
    <row r="383" s="156" customFormat="1" ht="13.5" spans="1:46">
      <c r="E383" s="317"/>
      <c r="F383" s="319"/>
      <c r="G383" s="156"/>
      <c r="H383" s="156"/>
      <c r="I383" s="156"/>
      <c r="J383" s="156"/>
      <c r="K383" s="156"/>
      <c r="L383" s="156"/>
      <c r="M383" s="156"/>
      <c r="N383" s="156"/>
      <c r="O383" s="156"/>
      <c r="P383" s="156"/>
      <c r="Q383" s="156"/>
      <c r="R383" s="156"/>
      <c r="S383" s="156"/>
      <c r="T383" s="156"/>
      <c r="U383" s="156"/>
      <c r="V383" s="156"/>
      <c r="W383" s="318"/>
      <c r="X383" s="156"/>
      <c r="Y383" s="156"/>
      <c r="Z383" s="156"/>
      <c r="AA383" s="156"/>
      <c r="AB383" s="319"/>
      <c r="AC383" s="319"/>
    </row>
    <row r="384" s="156" customFormat="1" ht="13.5" spans="1:46">
      <c r="E384" s="317"/>
      <c r="F384" s="319"/>
      <c r="G384" s="156"/>
      <c r="H384" s="156"/>
      <c r="I384" s="156"/>
      <c r="J384" s="156"/>
      <c r="K384" s="156"/>
      <c r="L384" s="156"/>
      <c r="M384" s="156"/>
      <c r="N384" s="156"/>
      <c r="O384" s="156"/>
      <c r="P384" s="156"/>
      <c r="Q384" s="156"/>
      <c r="R384" s="156"/>
      <c r="S384" s="156"/>
      <c r="T384" s="156"/>
      <c r="U384" s="156"/>
      <c r="V384" s="156"/>
      <c r="W384" s="318"/>
      <c r="X384" s="156"/>
      <c r="Y384" s="156"/>
      <c r="Z384" s="156"/>
      <c r="AA384" s="156"/>
      <c r="AB384" s="319"/>
      <c r="AC384" s="319"/>
    </row>
    <row r="385" s="156" customFormat="1" ht="13.5" spans="5:29">
      <c r="E385" s="317"/>
      <c r="F385" s="319"/>
      <c r="G385" s="156"/>
      <c r="H385" s="156"/>
      <c r="I385" s="156"/>
      <c r="J385" s="156"/>
      <c r="K385" s="156"/>
      <c r="L385" s="156"/>
      <c r="M385" s="156"/>
      <c r="N385" s="156"/>
      <c r="O385" s="156"/>
      <c r="P385" s="156"/>
      <c r="Q385" s="156"/>
      <c r="R385" s="156"/>
      <c r="S385" s="156"/>
      <c r="T385" s="156"/>
      <c r="U385" s="156"/>
      <c r="V385" s="156"/>
      <c r="W385" s="318"/>
      <c r="X385" s="156"/>
      <c r="Y385" s="156"/>
      <c r="Z385" s="156"/>
      <c r="AA385" s="156"/>
      <c r="AB385" s="319"/>
      <c r="AC385" s="319"/>
    </row>
    <row r="386" s="156" customFormat="1" ht="13.5" spans="5:29">
      <c r="E386" s="317"/>
      <c r="F386" s="156"/>
      <c r="G386" s="156"/>
      <c r="H386" s="156"/>
      <c r="I386" s="156"/>
      <c r="J386" s="156"/>
      <c r="K386" s="156"/>
      <c r="L386" s="156"/>
      <c r="M386" s="156"/>
      <c r="N386" s="156"/>
      <c r="O386" s="156"/>
      <c r="P386" s="156"/>
      <c r="Q386" s="156"/>
      <c r="R386" s="156"/>
      <c r="S386" s="156"/>
      <c r="T386" s="156"/>
      <c r="U386" s="156"/>
      <c r="V386" s="156"/>
      <c r="W386" s="318"/>
      <c r="X386" s="156"/>
      <c r="Y386" s="156"/>
      <c r="Z386" s="156"/>
      <c r="AA386" s="156"/>
      <c r="AB386" s="319"/>
      <c r="AC386" s="319"/>
    </row>
    <row r="387" s="156" customFormat="1" ht="13.5" spans="5:29">
      <c r="E387" s="317"/>
      <c r="F387" s="156"/>
      <c r="G387" s="156"/>
      <c r="H387" s="156"/>
      <c r="I387" s="156"/>
      <c r="J387" s="156"/>
      <c r="K387" s="156"/>
      <c r="L387" s="156"/>
      <c r="M387" s="156"/>
      <c r="N387" s="156"/>
      <c r="O387" s="156"/>
      <c r="P387" s="156"/>
      <c r="Q387" s="156"/>
      <c r="R387" s="156"/>
      <c r="S387" s="156"/>
      <c r="T387" s="156"/>
      <c r="U387" s="156"/>
      <c r="V387" s="156"/>
      <c r="W387" s="318"/>
      <c r="X387" s="156"/>
      <c r="Y387" s="156"/>
      <c r="Z387" s="156"/>
      <c r="AA387" s="156"/>
      <c r="AB387" s="319"/>
      <c r="AC387" s="319"/>
    </row>
    <row r="388" s="156" customFormat="1" ht="13.5" spans="5:29">
      <c r="E388" s="317"/>
      <c r="F388" s="156"/>
      <c r="G388" s="156"/>
      <c r="H388" s="156"/>
      <c r="I388" s="156"/>
      <c r="J388" s="156"/>
      <c r="K388" s="156"/>
      <c r="L388" s="156"/>
      <c r="M388" s="156"/>
      <c r="N388" s="156"/>
      <c r="O388" s="156"/>
      <c r="P388" s="156"/>
      <c r="Q388" s="156"/>
      <c r="R388" s="156"/>
      <c r="S388" s="156"/>
      <c r="T388" s="156"/>
      <c r="U388" s="156"/>
      <c r="V388" s="156"/>
      <c r="W388" s="318"/>
      <c r="X388" s="156"/>
      <c r="Y388" s="156"/>
      <c r="Z388" s="156"/>
      <c r="AA388" s="156"/>
      <c r="AB388" s="319"/>
      <c r="AC388" s="319"/>
    </row>
    <row r="389" customFormat="1" ht="13.5" spans="5:29">
      <c r="W389" s="891"/>
      <c r="AB389" s="890"/>
      <c r="AC389" s="890"/>
    </row>
    <row r="390" customFormat="1" ht="13.5" spans="5:29">
      <c r="W390" s="891"/>
      <c r="AB390" s="890"/>
      <c r="AC390" s="890"/>
    </row>
    <row r="391" customFormat="1" ht="13.5" spans="5:29">
      <c r="K391" s="890"/>
      <c r="W391" s="891"/>
      <c r="AB391" s="890"/>
      <c r="AC391" s="890"/>
    </row>
    <row r="392" customFormat="1" ht="13.5" spans="5:29">
      <c r="W392" s="891"/>
      <c r="AB392" s="890"/>
      <c r="AC392" s="890"/>
    </row>
    <row r="393" customFormat="1" ht="13.5" spans="5:29">
      <c r="W393" s="891"/>
      <c r="AB393" s="890"/>
      <c r="AC393" s="890"/>
    </row>
    <row r="394" customFormat="1" ht="13.5" spans="5:29">
      <c r="W394" s="891"/>
      <c r="AB394" s="890"/>
      <c r="AC394" s="890"/>
    </row>
    <row r="395" customFormat="1" ht="13.5" spans="5:29">
      <c r="W395" s="891"/>
      <c r="AB395" s="890"/>
      <c r="AC395" s="890"/>
    </row>
  </sheetData>
  <sheetProtection formatCells="0" formatColumns="0" formatRows="0" insertRows="0" insertColumns="0" insertHyperlinks="0" deleteColumns="0" deleteRows="0" sort="0" autoFilter="0" pivotTables="0"/>
  <protectedRanges>
    <protectedRange sqref="AE$1:AG$1048576" name="Range1"/>
    <protectedRange sqref="$A1:$XFD1048576" name="Range2"/>
  </protectedRanges>
  <autoFilter xmlns:etc="http://www.wps.cn/officeDocument/2017/etCustomData" ref="A3:AT395" etc:filterBottomFollowUsedRange="1">
    <extLst/>
  </autoFilter>
  <mergeCells count="2">
    <mergeCell ref="A2:B2"/>
    <mergeCell ref="G2:H2"/>
  </mergeCells>
  <conditionalFormatting sqref="W2">
    <cfRule type="cellIs" dxfId="0" priority="1898" operator="equal">
      <formula>"欠"</formula>
    </cfRule>
  </conditionalFormatting>
  <conditionalFormatting sqref="S7">
    <cfRule type="containsText" dxfId="0" priority="1824" operator="between" text="欠">
      <formula>NOT(ISERROR(SEARCH("欠",S7)))</formula>
    </cfRule>
    <cfRule type="cellIs" dxfId="0" priority="1825" operator="equal">
      <formula>"欠"</formula>
    </cfRule>
  </conditionalFormatting>
  <conditionalFormatting sqref="U7:V7">
    <cfRule type="containsText" dxfId="0" priority="1822" operator="between" text="欠">
      <formula>NOT(ISERROR(SEARCH("欠",U7)))</formula>
    </cfRule>
    <cfRule type="cellIs" dxfId="0" priority="1823" operator="equal">
      <formula>"欠"</formula>
    </cfRule>
  </conditionalFormatting>
  <conditionalFormatting sqref="V20">
    <cfRule type="cellIs" dxfId="0" priority="1814" operator="equal">
      <formula>"欠"</formula>
    </cfRule>
    <cfRule type="containsText" dxfId="0" priority="1815" operator="between" text="欠">
      <formula>NOT(ISERROR(SEARCH("欠",V20)))</formula>
    </cfRule>
  </conditionalFormatting>
  <conditionalFormatting sqref="S28">
    <cfRule type="containsText" dxfId="0" priority="1746" operator="between" text="欠">
      <formula>NOT(ISERROR(SEARCH("欠",S28)))</formula>
    </cfRule>
    <cfRule type="cellIs" dxfId="0" priority="1747" operator="equal">
      <formula>"欠"</formula>
    </cfRule>
  </conditionalFormatting>
  <conditionalFormatting sqref="U28:V28">
    <cfRule type="cellIs" dxfId="0" priority="1744" operator="equal">
      <formula>"欠"</formula>
    </cfRule>
    <cfRule type="containsText" dxfId="0" priority="1745" operator="between" text="欠">
      <formula>NOT(ISERROR(SEARCH("欠",U28)))</formula>
    </cfRule>
  </conditionalFormatting>
  <conditionalFormatting sqref="S29">
    <cfRule type="containsText" dxfId="0" priority="1219" operator="between" text="欠">
      <formula>NOT(ISERROR(SEARCH("欠",S29)))</formula>
    </cfRule>
    <cfRule type="cellIs" dxfId="0" priority="1220" operator="equal">
      <formula>"欠"</formula>
    </cfRule>
  </conditionalFormatting>
  <conditionalFormatting sqref="T29">
    <cfRule type="cellIs" dxfId="0" priority="1634" operator="equal">
      <formula>"欠"</formula>
    </cfRule>
    <cfRule type="containsText" dxfId="0" priority="1635" operator="between" text="欠">
      <formula>NOT(ISERROR(SEARCH("欠",T29)))</formula>
    </cfRule>
  </conditionalFormatting>
  <conditionalFormatting sqref="U29:V29">
    <cfRule type="cellIs" dxfId="0" priority="1630" operator="equal">
      <formula>"欠"</formula>
    </cfRule>
    <cfRule type="containsText" dxfId="0" priority="1631" operator="between" text="欠">
      <formula>NOT(ISERROR(SEARCH("欠",U29)))</formula>
    </cfRule>
  </conditionalFormatting>
  <conditionalFormatting sqref="S30">
    <cfRule type="containsText" dxfId="0" priority="1536" operator="between" text="欠">
      <formula>NOT(ISERROR(SEARCH("欠",S30)))</formula>
    </cfRule>
    <cfRule type="cellIs" dxfId="0" priority="1541" operator="equal">
      <formula>"欠"</formula>
    </cfRule>
  </conditionalFormatting>
  <conditionalFormatting sqref="T30">
    <cfRule type="cellIs" dxfId="0" priority="1546" operator="equal">
      <formula>"欠"</formula>
    </cfRule>
    <cfRule type="containsText" dxfId="0" priority="1551" operator="between" text="欠">
      <formula>NOT(ISERROR(SEARCH("欠",T30)))</formula>
    </cfRule>
  </conditionalFormatting>
  <conditionalFormatting sqref="U30:V30">
    <cfRule type="cellIs" dxfId="0" priority="1526" operator="equal">
      <formula>"欠"</formula>
    </cfRule>
    <cfRule type="containsText" dxfId="0" priority="1531" operator="between" text="欠">
      <formula>NOT(ISERROR(SEARCH("欠",U30)))</formula>
    </cfRule>
  </conditionalFormatting>
  <conditionalFormatting sqref="V33">
    <cfRule type="cellIs" dxfId="0" priority="1498" operator="equal">
      <formula>"欠"</formula>
    </cfRule>
    <cfRule type="containsText" dxfId="0" priority="1500" operator="between" text="欠">
      <formula>NOT(ISERROR(SEARCH("欠",V33)))</formula>
    </cfRule>
  </conditionalFormatting>
  <conditionalFormatting sqref="S34">
    <cfRule type="containsText" dxfId="0" priority="1734" operator="between" text="欠">
      <formula>NOT(ISERROR(SEARCH("欠",S34)))</formula>
    </cfRule>
    <cfRule type="cellIs" dxfId="0" priority="1735" operator="equal">
      <formula>"欠"</formula>
    </cfRule>
  </conditionalFormatting>
  <conditionalFormatting sqref="T34">
    <cfRule type="cellIs" dxfId="0" priority="1736" operator="equal">
      <formula>"欠"</formula>
    </cfRule>
    <cfRule type="containsText" dxfId="0" priority="1737" operator="between" text="欠">
      <formula>NOT(ISERROR(SEARCH("欠",T34)))</formula>
    </cfRule>
  </conditionalFormatting>
  <conditionalFormatting sqref="U34:V34">
    <cfRule type="cellIs" dxfId="0" priority="1732" operator="equal">
      <formula>"欠"</formula>
    </cfRule>
    <cfRule type="containsText" dxfId="0" priority="1733" operator="between" text="欠">
      <formula>NOT(ISERROR(SEARCH("欠",U34)))</formula>
    </cfRule>
  </conditionalFormatting>
  <conditionalFormatting sqref="V35">
    <cfRule type="cellIs" dxfId="0" priority="1588" operator="equal">
      <formula>"欠"</formula>
    </cfRule>
    <cfRule type="containsText" dxfId="0" priority="1589" operator="between" text="欠">
      <formula>NOT(ISERROR(SEARCH("欠",V35)))</formula>
    </cfRule>
  </conditionalFormatting>
  <conditionalFormatting sqref="S38">
    <cfRule type="containsText" dxfId="0" priority="1582" operator="between" text="欠">
      <formula>NOT(ISERROR(SEARCH("欠",S38)))</formula>
    </cfRule>
    <cfRule type="cellIs" dxfId="0" priority="1583" operator="equal">
      <formula>"欠"</formula>
    </cfRule>
  </conditionalFormatting>
  <conditionalFormatting sqref="U38">
    <cfRule type="cellIs" dxfId="0" priority="1418" operator="equal">
      <formula>"欠"</formula>
    </cfRule>
    <cfRule type="containsText" dxfId="0" priority="1419" operator="between" text="欠">
      <formula>NOT(ISERROR(SEARCH("欠",U38)))</formula>
    </cfRule>
  </conditionalFormatting>
  <conditionalFormatting sqref="S40">
    <cfRule type="containsText" dxfId="0" priority="1644" operator="between" text="欠">
      <formula>NOT(ISERROR(SEARCH("欠",S40)))</formula>
    </cfRule>
    <cfRule type="cellIs" dxfId="0" priority="1645" operator="equal">
      <formula>"欠"</formula>
    </cfRule>
  </conditionalFormatting>
  <conditionalFormatting sqref="U40:V40">
    <cfRule type="cellIs" dxfId="0" priority="1642" operator="equal">
      <formula>"欠"</formula>
    </cfRule>
    <cfRule type="containsText" dxfId="0" priority="1643" operator="between" text="欠">
      <formula>NOT(ISERROR(SEARCH("欠",U40)))</formula>
    </cfRule>
  </conditionalFormatting>
  <conditionalFormatting sqref="S41">
    <cfRule type="containsText" dxfId="0" priority="1716" operator="between" text="欠">
      <formula>NOT(ISERROR(SEARCH("欠",S41)))</formula>
    </cfRule>
    <cfRule type="cellIs" dxfId="0" priority="1717" operator="equal">
      <formula>"欠"</formula>
    </cfRule>
  </conditionalFormatting>
  <conditionalFormatting sqref="U41:V41">
    <cfRule type="cellIs" dxfId="0" priority="1714" operator="equal">
      <formula>"欠"</formula>
    </cfRule>
    <cfRule type="containsText" dxfId="0" priority="1715" operator="between" text="欠">
      <formula>NOT(ISERROR(SEARCH("欠",U41)))</formula>
    </cfRule>
  </conditionalFormatting>
  <conditionalFormatting sqref="S42">
    <cfRule type="containsText" dxfId="0" priority="1512" operator="between" text="欠">
      <formula>NOT(ISERROR(SEARCH("欠",S42)))</formula>
    </cfRule>
    <cfRule type="cellIs" dxfId="0" priority="1513" operator="equal">
      <formula>"欠"</formula>
    </cfRule>
  </conditionalFormatting>
  <conditionalFormatting sqref="U42:V42">
    <cfRule type="cellIs" dxfId="0" priority="1510" operator="equal">
      <formula>"欠"</formula>
    </cfRule>
    <cfRule type="containsText" dxfId="0" priority="1511" operator="between" text="欠">
      <formula>NOT(ISERROR(SEARCH("欠",U42)))</formula>
    </cfRule>
  </conditionalFormatting>
  <conditionalFormatting sqref="S45">
    <cfRule type="containsText" dxfId="0" priority="1776" operator="between" text="欠">
      <formula>NOT(ISERROR(SEARCH("欠",S45)))</formula>
    </cfRule>
    <cfRule type="cellIs" dxfId="0" priority="1777" operator="equal">
      <formula>"欠"</formula>
    </cfRule>
  </conditionalFormatting>
  <conditionalFormatting sqref="U45:V45">
    <cfRule type="cellIs" dxfId="0" priority="1774" operator="equal">
      <formula>"欠"</formula>
    </cfRule>
    <cfRule type="containsText" dxfId="0" priority="1775" operator="between" text="欠">
      <formula>NOT(ISERROR(SEARCH("欠",U45)))</formula>
    </cfRule>
  </conditionalFormatting>
  <conditionalFormatting sqref="S46">
    <cfRule type="containsText" dxfId="0" priority="1217" operator="between" text="欠">
      <formula>NOT(ISERROR(SEARCH("欠",S46)))</formula>
    </cfRule>
    <cfRule type="cellIs" dxfId="0" priority="1218" operator="equal">
      <formula>"欠"</formula>
    </cfRule>
  </conditionalFormatting>
  <conditionalFormatting sqref="S52">
    <cfRule type="containsText" dxfId="0" priority="1722" operator="between" text="欠">
      <formula>NOT(ISERROR(SEARCH("欠",S52)))</formula>
    </cfRule>
    <cfRule type="cellIs" dxfId="0" priority="1723" operator="equal">
      <formula>"欠"</formula>
    </cfRule>
  </conditionalFormatting>
  <conditionalFormatting sqref="T52">
    <cfRule type="cellIs" dxfId="0" priority="1724" operator="equal">
      <formula>"欠"</formula>
    </cfRule>
    <cfRule type="containsText" dxfId="0" priority="1725" operator="between" text="欠">
      <formula>NOT(ISERROR(SEARCH("欠",T52)))</formula>
    </cfRule>
  </conditionalFormatting>
  <conditionalFormatting sqref="U52:V52">
    <cfRule type="cellIs" dxfId="0" priority="1720" operator="equal">
      <formula>"欠"</formula>
    </cfRule>
    <cfRule type="containsText" dxfId="0" priority="1721" operator="between" text="欠">
      <formula>NOT(ISERROR(SEARCH("欠",U52)))</formula>
    </cfRule>
  </conditionalFormatting>
  <conditionalFormatting sqref="S54">
    <cfRule type="containsText" dxfId="0" priority="1376" operator="between" text="欠">
      <formula>NOT(ISERROR(SEARCH("欠",S54)))</formula>
    </cfRule>
    <cfRule type="cellIs" dxfId="0" priority="1377" operator="equal">
      <formula>"欠"</formula>
    </cfRule>
  </conditionalFormatting>
  <conditionalFormatting sqref="T54">
    <cfRule type="cellIs" dxfId="0" priority="1378" operator="equal">
      <formula>"欠"</formula>
    </cfRule>
    <cfRule type="containsText" dxfId="0" priority="1379" operator="between" text="欠">
      <formula>NOT(ISERROR(SEARCH("欠",T54)))</formula>
    </cfRule>
  </conditionalFormatting>
  <conditionalFormatting sqref="U54:V54">
    <cfRule type="cellIs" dxfId="0" priority="1374" operator="equal">
      <formula>"欠"</formula>
    </cfRule>
    <cfRule type="containsText" dxfId="0" priority="1375" operator="between" text="欠">
      <formula>NOT(ISERROR(SEARCH("欠",U54)))</formula>
    </cfRule>
  </conditionalFormatting>
  <conditionalFormatting sqref="S55">
    <cfRule type="containsText" dxfId="0" priority="1146" operator="between" text="欠">
      <formula>NOT(ISERROR(SEARCH("欠",S55)))</formula>
    </cfRule>
    <cfRule type="cellIs" dxfId="0" priority="1148" operator="equal">
      <formula>"欠"</formula>
    </cfRule>
  </conditionalFormatting>
  <conditionalFormatting sqref="T55">
    <cfRule type="cellIs" dxfId="0" priority="1150" operator="equal">
      <formula>"欠"</formula>
    </cfRule>
    <cfRule type="containsText" dxfId="0" priority="1152" operator="between" text="欠">
      <formula>NOT(ISERROR(SEARCH("欠",T55)))</formula>
    </cfRule>
  </conditionalFormatting>
  <conditionalFormatting sqref="U55:V55">
    <cfRule type="cellIs" dxfId="0" priority="1142" operator="equal">
      <formula>"欠"</formula>
    </cfRule>
    <cfRule type="containsText" dxfId="0" priority="1144" operator="between" text="欠">
      <formula>NOT(ISERROR(SEARCH("欠",U55)))</formula>
    </cfRule>
  </conditionalFormatting>
  <conditionalFormatting sqref="U59:V59">
    <cfRule type="cellIs" dxfId="0" priority="1241" operator="equal">
      <formula>"欠"</formula>
    </cfRule>
    <cfRule type="containsText" dxfId="0" priority="1244" operator="between" text="欠">
      <formula>NOT(ISERROR(SEARCH("欠",U59)))</formula>
    </cfRule>
  </conditionalFormatting>
  <conditionalFormatting sqref="S60">
    <cfRule type="containsText" dxfId="0" priority="1284" operator="between" text="欠">
      <formula>NOT(ISERROR(SEARCH("欠",S60)))</formula>
    </cfRule>
    <cfRule type="cellIs" dxfId="0" priority="1285" operator="equal">
      <formula>"欠"</formula>
    </cfRule>
  </conditionalFormatting>
  <conditionalFormatting sqref="T60">
    <cfRule type="cellIs" dxfId="0" priority="1286" operator="equal">
      <formula>"欠"</formula>
    </cfRule>
    <cfRule type="containsText" dxfId="0" priority="1287" operator="between" text="欠">
      <formula>NOT(ISERROR(SEARCH("欠",T60)))</formula>
    </cfRule>
  </conditionalFormatting>
  <conditionalFormatting sqref="U60:V60">
    <cfRule type="cellIs" dxfId="0" priority="1282" operator="equal">
      <formula>"欠"</formula>
    </cfRule>
    <cfRule type="containsText" dxfId="0" priority="1283" operator="between" text="欠">
      <formula>NOT(ISERROR(SEARCH("欠",U60)))</formula>
    </cfRule>
  </conditionalFormatting>
  <conditionalFormatting sqref="S62">
    <cfRule type="containsText" dxfId="0" priority="1223" operator="between" text="欠">
      <formula>NOT(ISERROR(SEARCH("欠",S62)))</formula>
    </cfRule>
    <cfRule type="cellIs" dxfId="0" priority="1224" operator="equal">
      <formula>"欠"</formula>
    </cfRule>
  </conditionalFormatting>
  <conditionalFormatting sqref="T62">
    <cfRule type="cellIs" dxfId="0" priority="1225" operator="equal">
      <formula>"欠"</formula>
    </cfRule>
    <cfRule type="containsText" dxfId="0" priority="1226" operator="between" text="欠">
      <formula>NOT(ISERROR(SEARCH("欠",T62)))</formula>
    </cfRule>
  </conditionalFormatting>
  <conditionalFormatting sqref="U62:V62">
    <cfRule type="cellIs" dxfId="0" priority="1221" operator="equal">
      <formula>"欠"</formula>
    </cfRule>
    <cfRule type="containsText" dxfId="0" priority="1222" operator="between" text="欠">
      <formula>NOT(ISERROR(SEARCH("欠",U62)))</formula>
    </cfRule>
  </conditionalFormatting>
  <conditionalFormatting sqref="U67:V67">
    <cfRule type="cellIs" dxfId="0" priority="1522" operator="equal">
      <formula>"欠"</formula>
    </cfRule>
    <cfRule type="containsText" dxfId="0" priority="1527" operator="between" text="欠">
      <formula>NOT(ISERROR(SEARCH("欠",U67)))</formula>
    </cfRule>
  </conditionalFormatting>
  <conditionalFormatting sqref="S69">
    <cfRule type="containsText" dxfId="0" priority="1246" operator="between" text="欠">
      <formula>NOT(ISERROR(SEARCH("欠",S69)))</formula>
    </cfRule>
    <cfRule type="cellIs" dxfId="0" priority="1249" operator="equal">
      <formula>"欠"</formula>
    </cfRule>
  </conditionalFormatting>
  <conditionalFormatting sqref="U69:V69">
    <cfRule type="cellIs" dxfId="0" priority="1240" operator="equal">
      <formula>"欠"</formula>
    </cfRule>
    <cfRule type="containsText" dxfId="0" priority="1243" operator="between" text="欠">
      <formula>NOT(ISERROR(SEARCH("欠",U69)))</formula>
    </cfRule>
  </conditionalFormatting>
  <conditionalFormatting sqref="S70">
    <cfRule type="containsText" dxfId="0" priority="1133" operator="between" text="欠">
      <formula>NOT(ISERROR(SEARCH("欠",S70)))</formula>
    </cfRule>
    <cfRule type="cellIs" dxfId="0" priority="1135" operator="equal">
      <formula>"欠"</formula>
    </cfRule>
  </conditionalFormatting>
  <conditionalFormatting sqref="T70">
    <cfRule type="cellIs" dxfId="0" priority="1137" operator="equal">
      <formula>"欠"</formula>
    </cfRule>
    <cfRule type="containsText" dxfId="0" priority="1139" operator="between" text="欠">
      <formula>NOT(ISERROR(SEARCH("欠",T70)))</formula>
    </cfRule>
  </conditionalFormatting>
  <conditionalFormatting sqref="U70:V70">
    <cfRule type="cellIs" dxfId="0" priority="1129" operator="equal">
      <formula>"欠"</formula>
    </cfRule>
    <cfRule type="containsText" dxfId="0" priority="1131" operator="between" text="欠">
      <formula>NOT(ISERROR(SEARCH("欠",U70)))</formula>
    </cfRule>
  </conditionalFormatting>
  <conditionalFormatting sqref="S71">
    <cfRule type="containsText" dxfId="0" priority="1165" operator="between" text="欠">
      <formula>NOT(ISERROR(SEARCH("欠",S71)))</formula>
    </cfRule>
    <cfRule type="cellIs" dxfId="0" priority="1170" operator="equal">
      <formula>"欠"</formula>
    </cfRule>
  </conditionalFormatting>
  <conditionalFormatting sqref="T71">
    <cfRule type="cellIs" dxfId="0" priority="1175" operator="equal">
      <formula>"欠"</formula>
    </cfRule>
    <cfRule type="containsText" dxfId="0" priority="1180" operator="between" text="欠">
      <formula>NOT(ISERROR(SEARCH("欠",T71)))</formula>
    </cfRule>
  </conditionalFormatting>
  <conditionalFormatting sqref="U71:V71">
    <cfRule type="cellIs" dxfId="0" priority="1155" operator="equal">
      <formula>"欠"</formula>
    </cfRule>
    <cfRule type="containsText" dxfId="0" priority="1160" operator="between" text="欠">
      <formula>NOT(ISERROR(SEARCH("欠",U71)))</formula>
    </cfRule>
  </conditionalFormatting>
  <conditionalFormatting sqref="S72">
    <cfRule type="containsText" dxfId="0" priority="1316" operator="between" text="欠">
      <formula>NOT(ISERROR(SEARCH("欠",S72)))</formula>
    </cfRule>
    <cfRule type="cellIs" dxfId="0" priority="1320" operator="equal">
      <formula>"欠"</formula>
    </cfRule>
  </conditionalFormatting>
  <conditionalFormatting sqref="T72">
    <cfRule type="cellIs" dxfId="0" priority="1324" operator="equal">
      <formula>"欠"</formula>
    </cfRule>
    <cfRule type="containsText" dxfId="0" priority="1328" operator="between" text="欠">
      <formula>NOT(ISERROR(SEARCH("欠",T72)))</formula>
    </cfRule>
  </conditionalFormatting>
  <conditionalFormatting sqref="U72:V72">
    <cfRule type="cellIs" dxfId="0" priority="1308" operator="equal">
      <formula>"欠"</formula>
    </cfRule>
    <cfRule type="containsText" dxfId="0" priority="1312" operator="between" text="欠">
      <formula>NOT(ISERROR(SEARCH("欠",U72)))</formula>
    </cfRule>
  </conditionalFormatting>
  <conditionalFormatting sqref="S74">
    <cfRule type="containsText" dxfId="0" priority="1382" operator="between" text="欠">
      <formula>NOT(ISERROR(SEARCH("欠",S74)))</formula>
    </cfRule>
    <cfRule type="cellIs" dxfId="0" priority="1383" operator="equal">
      <formula>"欠"</formula>
    </cfRule>
  </conditionalFormatting>
  <conditionalFormatting sqref="T74">
    <cfRule type="cellIs" dxfId="0" priority="1384" operator="equal">
      <formula>"欠"</formula>
    </cfRule>
    <cfRule type="containsText" dxfId="0" priority="1385" operator="between" text="欠">
      <formula>NOT(ISERROR(SEARCH("欠",T74)))</formula>
    </cfRule>
  </conditionalFormatting>
  <conditionalFormatting sqref="U74:V74">
    <cfRule type="cellIs" dxfId="0" priority="1380" operator="equal">
      <formula>"欠"</formula>
    </cfRule>
    <cfRule type="containsText" dxfId="0" priority="1381" operator="between" text="欠">
      <formula>NOT(ISERROR(SEARCH("欠",U74)))</formula>
    </cfRule>
  </conditionalFormatting>
  <conditionalFormatting sqref="S75">
    <cfRule type="containsText" dxfId="0" priority="1193" operator="between" text="欠">
      <formula>NOT(ISERROR(SEARCH("欠",S75)))</formula>
    </cfRule>
    <cfRule type="cellIs" dxfId="0" priority="1198" operator="equal">
      <formula>"欠"</formula>
    </cfRule>
  </conditionalFormatting>
  <conditionalFormatting sqref="T75">
    <cfRule type="cellIs" dxfId="0" priority="1203" operator="equal">
      <formula>"欠"</formula>
    </cfRule>
    <cfRule type="containsText" dxfId="0" priority="1208" operator="between" text="欠">
      <formula>NOT(ISERROR(SEARCH("欠",T75)))</formula>
    </cfRule>
  </conditionalFormatting>
  <conditionalFormatting sqref="U75:V75">
    <cfRule type="cellIs" dxfId="0" priority="1183" operator="equal">
      <formula>"欠"</formula>
    </cfRule>
    <cfRule type="containsText" dxfId="0" priority="1188" operator="between" text="欠">
      <formula>NOT(ISERROR(SEARCH("欠",U75)))</formula>
    </cfRule>
  </conditionalFormatting>
  <conditionalFormatting sqref="V76">
    <cfRule type="cellIs" dxfId="0" priority="1594" operator="equal">
      <formula>"欠"</formula>
    </cfRule>
    <cfRule type="containsText" dxfId="0" priority="1595" operator="between" text="欠">
      <formula>NOT(ISERROR(SEARCH("欠",V76)))</formula>
    </cfRule>
  </conditionalFormatting>
  <conditionalFormatting sqref="V77">
    <cfRule type="cellIs" dxfId="0" priority="1080" operator="equal">
      <formula>"欠"</formula>
    </cfRule>
    <cfRule type="containsText" dxfId="0" priority="1088" operator="between" text="欠">
      <formula>NOT(ISERROR(SEARCH("欠",V77)))</formula>
    </cfRule>
  </conditionalFormatting>
  <conditionalFormatting sqref="V78">
    <cfRule type="cellIs" dxfId="0" priority="1077" operator="equal">
      <formula>"欠"</formula>
    </cfRule>
    <cfRule type="containsText" dxfId="0" priority="1085" operator="between" text="欠">
      <formula>NOT(ISERROR(SEARCH("欠",V78)))</formula>
    </cfRule>
  </conditionalFormatting>
  <conditionalFormatting sqref="S80">
    <cfRule type="containsText" dxfId="0" priority="919" operator="between" text="欠">
      <formula>NOT(ISERROR(SEARCH("欠",S80)))</formula>
    </cfRule>
    <cfRule type="cellIs" dxfId="0" priority="920" operator="equal">
      <formula>"欠"</formula>
    </cfRule>
  </conditionalFormatting>
  <conditionalFormatting sqref="U80">
    <cfRule type="cellIs" dxfId="0" priority="917" operator="equal">
      <formula>"欠"</formula>
    </cfRule>
    <cfRule type="containsText" dxfId="0" priority="918" operator="between" text="欠">
      <formula>NOT(ISERROR(SEARCH("欠",U80)))</formula>
    </cfRule>
  </conditionalFormatting>
  <conditionalFormatting sqref="V80">
    <cfRule type="cellIs" dxfId="0" priority="935" operator="equal">
      <formula>"欠"</formula>
    </cfRule>
    <cfRule type="containsText" dxfId="0" priority="937" operator="between" text="欠">
      <formula>NOT(ISERROR(SEARCH("欠",V80)))</formula>
    </cfRule>
  </conditionalFormatting>
  <conditionalFormatting sqref="V82">
    <cfRule type="cellIs" dxfId="0" priority="870" operator="equal">
      <formula>"欠"</formula>
    </cfRule>
    <cfRule type="containsText" dxfId="0" priority="879" operator="between" text="欠">
      <formula>NOT(ISERROR(SEARCH("欠",V82)))</formula>
    </cfRule>
  </conditionalFormatting>
  <conditionalFormatting sqref="S85">
    <cfRule type="containsText" dxfId="0" priority="1196" operator="between" text="欠">
      <formula>NOT(ISERROR(SEARCH("欠",S85)))</formula>
    </cfRule>
    <cfRule type="cellIs" dxfId="0" priority="1201" operator="equal">
      <formula>"欠"</formula>
    </cfRule>
  </conditionalFormatting>
  <conditionalFormatting sqref="T85">
    <cfRule type="cellIs" dxfId="0" priority="1206" operator="equal">
      <formula>"欠"</formula>
    </cfRule>
    <cfRule type="containsText" dxfId="0" priority="1211" operator="between" text="欠">
      <formula>NOT(ISERROR(SEARCH("欠",T85)))</formula>
    </cfRule>
  </conditionalFormatting>
  <conditionalFormatting sqref="U85:V85">
    <cfRule type="cellIs" dxfId="0" priority="1186" operator="equal">
      <formula>"欠"</formula>
    </cfRule>
    <cfRule type="containsText" dxfId="0" priority="1191" operator="between" text="欠">
      <formula>NOT(ISERROR(SEARCH("欠",U85)))</formula>
    </cfRule>
  </conditionalFormatting>
  <conditionalFormatting sqref="S86">
    <cfRule type="containsText" dxfId="0" priority="1125" operator="between" text="欠">
      <formula>NOT(ISERROR(SEARCH("欠",S86)))</formula>
    </cfRule>
    <cfRule type="cellIs" dxfId="0" priority="1126" operator="equal">
      <formula>"欠"</formula>
    </cfRule>
  </conditionalFormatting>
  <conditionalFormatting sqref="T86">
    <cfRule type="cellIs" dxfId="0" priority="1127" operator="equal">
      <formula>"欠"</formula>
    </cfRule>
    <cfRule type="containsText" dxfId="0" priority="1128" operator="between" text="欠">
      <formula>NOT(ISERROR(SEARCH("欠",T86)))</formula>
    </cfRule>
  </conditionalFormatting>
  <conditionalFormatting sqref="U86:V86">
    <cfRule type="cellIs" dxfId="0" priority="1123" operator="equal">
      <formula>"欠"</formula>
    </cfRule>
    <cfRule type="containsText" dxfId="0" priority="1124" operator="between" text="欠">
      <formula>NOT(ISERROR(SEARCH("欠",U86)))</formula>
    </cfRule>
  </conditionalFormatting>
  <conditionalFormatting sqref="V87">
    <cfRule type="cellIs" dxfId="0" priority="869" operator="equal">
      <formula>"欠"</formula>
    </cfRule>
    <cfRule type="containsText" dxfId="0" priority="878" operator="between" text="欠">
      <formula>NOT(ISERROR(SEARCH("欠",V87)))</formula>
    </cfRule>
  </conditionalFormatting>
  <conditionalFormatting sqref="S89">
    <cfRule type="containsText" dxfId="0" priority="881" operator="between" text="欠">
      <formula>NOT(ISERROR(SEARCH("欠",S89)))</formula>
    </cfRule>
    <cfRule type="cellIs" dxfId="0" priority="890" operator="equal">
      <formula>"欠"</formula>
    </cfRule>
  </conditionalFormatting>
  <conditionalFormatting sqref="U89">
    <cfRule type="cellIs" dxfId="0" priority="863" operator="equal">
      <formula>"欠"</formula>
    </cfRule>
    <cfRule type="containsText" dxfId="0" priority="872" operator="between" text="欠">
      <formula>NOT(ISERROR(SEARCH("欠",U89)))</formula>
    </cfRule>
  </conditionalFormatting>
  <conditionalFormatting sqref="T91">
    <cfRule type="cellIs" dxfId="0" priority="1207" operator="equal">
      <formula>"欠"</formula>
    </cfRule>
    <cfRule type="containsText" dxfId="0" priority="1212" operator="between" text="欠">
      <formula>NOT(ISERROR(SEARCH("欠",T91)))</formula>
    </cfRule>
  </conditionalFormatting>
  <conditionalFormatting sqref="U91:V91">
    <cfRule type="cellIs" dxfId="0" priority="1187" operator="equal">
      <formula>"欠"</formula>
    </cfRule>
    <cfRule type="containsText" dxfId="0" priority="1192" operator="between" text="欠">
      <formula>NOT(ISERROR(SEARCH("欠",U91)))</formula>
    </cfRule>
  </conditionalFormatting>
  <conditionalFormatting sqref="S93">
    <cfRule type="containsText" dxfId="0" priority="1134" operator="between" text="欠">
      <formula>NOT(ISERROR(SEARCH("欠",S93)))</formula>
    </cfRule>
    <cfRule type="cellIs" dxfId="0" priority="1136" operator="equal">
      <formula>"欠"</formula>
    </cfRule>
  </conditionalFormatting>
  <conditionalFormatting sqref="T93">
    <cfRule type="cellIs" dxfId="0" priority="1138" operator="equal">
      <formula>"欠"</formula>
    </cfRule>
    <cfRule type="containsText" dxfId="0" priority="1140" operator="between" text="欠">
      <formula>NOT(ISERROR(SEARCH("欠",T93)))</formula>
    </cfRule>
  </conditionalFormatting>
  <conditionalFormatting sqref="U93">
    <cfRule type="cellIs" dxfId="0" priority="1130" operator="equal">
      <formula>"欠"</formula>
    </cfRule>
    <cfRule type="containsText" dxfId="0" priority="1132" operator="between" text="欠">
      <formula>NOT(ISERROR(SEARCH("欠",U93)))</formula>
    </cfRule>
  </conditionalFormatting>
  <conditionalFormatting sqref="U94">
    <cfRule type="cellIs" dxfId="0" priority="405" operator="equal">
      <formula>"欠"</formula>
    </cfRule>
    <cfRule type="containsText" dxfId="0" priority="406" operator="between" text="欠">
      <formula>NOT(ISERROR(SEARCH("欠",U94)))</formula>
    </cfRule>
  </conditionalFormatting>
  <conditionalFormatting sqref="V94">
    <cfRule type="cellIs" dxfId="0" priority="812" operator="equal">
      <formula>"欠"</formula>
    </cfRule>
    <cfRule type="containsText" dxfId="0" priority="821" operator="between" text="欠">
      <formula>NOT(ISERROR(SEARCH("欠",V94)))</formula>
    </cfRule>
  </conditionalFormatting>
  <conditionalFormatting sqref="T95">
    <cfRule type="cellIs" dxfId="0" priority="427" operator="equal">
      <formula>"欠"</formula>
    </cfRule>
    <cfRule type="containsText" dxfId="0" priority="428" operator="between" text="欠">
      <formula>NOT(ISERROR(SEARCH("欠",T95)))</formula>
    </cfRule>
  </conditionalFormatting>
  <conditionalFormatting sqref="V95">
    <cfRule type="cellIs" dxfId="0" priority="533" operator="equal">
      <formula>"欠"</formula>
    </cfRule>
    <cfRule type="containsText" dxfId="0" priority="534" operator="between" text="欠">
      <formula>NOT(ISERROR(SEARCH("欠",V95)))</formula>
    </cfRule>
  </conditionalFormatting>
  <conditionalFormatting sqref="V96">
    <cfRule type="cellIs" dxfId="0" priority="1079" operator="equal">
      <formula>"欠"</formula>
    </cfRule>
    <cfRule type="containsText" dxfId="0" priority="1087" operator="between" text="欠">
      <formula>NOT(ISERROR(SEARCH("欠",V96)))</formula>
    </cfRule>
  </conditionalFormatting>
  <conditionalFormatting sqref="S99">
    <cfRule type="containsText" dxfId="0" priority="1304" operator="between" text="欠">
      <formula>NOT(ISERROR(SEARCH("欠",S99)))</formula>
    </cfRule>
    <cfRule type="cellIs" dxfId="0" priority="1305" operator="equal">
      <formula>"欠"</formula>
    </cfRule>
  </conditionalFormatting>
  <conditionalFormatting sqref="T99">
    <cfRule type="cellIs" dxfId="0" priority="1302" operator="equal">
      <formula>"欠"</formula>
    </cfRule>
    <cfRule type="containsText" dxfId="0" priority="1303" operator="between" text="欠">
      <formula>NOT(ISERROR(SEARCH("欠",T99)))</formula>
    </cfRule>
  </conditionalFormatting>
  <conditionalFormatting sqref="U99">
    <cfRule type="cellIs" dxfId="0" priority="1300" operator="equal">
      <formula>"欠"</formula>
    </cfRule>
    <cfRule type="containsText" dxfId="0" priority="1301" operator="between" text="欠">
      <formula>NOT(ISERROR(SEARCH("欠",U99)))</formula>
    </cfRule>
  </conditionalFormatting>
  <conditionalFormatting sqref="V99">
    <cfRule type="cellIs" dxfId="0" priority="1334" operator="equal">
      <formula>"欠"</formula>
    </cfRule>
    <cfRule type="containsText" dxfId="0" priority="1337" operator="between" text="欠">
      <formula>NOT(ISERROR(SEARCH("欠",V99)))</formula>
    </cfRule>
  </conditionalFormatting>
  <conditionalFormatting sqref="S100">
    <cfRule type="containsText" dxfId="0" priority="1195" operator="between" text="欠">
      <formula>NOT(ISERROR(SEARCH("欠",S100)))</formula>
    </cfRule>
    <cfRule type="cellIs" dxfId="0" priority="1200" operator="equal">
      <formula>"欠"</formula>
    </cfRule>
  </conditionalFormatting>
  <conditionalFormatting sqref="T100">
    <cfRule type="cellIs" dxfId="0" priority="1204" operator="equal">
      <formula>"欠"</formula>
    </cfRule>
    <cfRule type="containsText" dxfId="0" priority="1209" operator="between" text="欠">
      <formula>NOT(ISERROR(SEARCH("欠",T100)))</formula>
    </cfRule>
  </conditionalFormatting>
  <conditionalFormatting sqref="U100:V100">
    <cfRule type="cellIs" dxfId="0" priority="1184" operator="equal">
      <formula>"欠"</formula>
    </cfRule>
    <cfRule type="containsText" dxfId="0" priority="1189" operator="between" text="欠">
      <formula>NOT(ISERROR(SEARCH("欠",U100)))</formula>
    </cfRule>
  </conditionalFormatting>
  <conditionalFormatting sqref="U101">
    <cfRule type="cellIs" dxfId="0" priority="379" operator="equal">
      <formula>"欠"</formula>
    </cfRule>
    <cfRule type="containsText" dxfId="0" priority="380" operator="between" text="欠">
      <formula>NOT(ISERROR(SEARCH("欠",U101)))</formula>
    </cfRule>
  </conditionalFormatting>
  <conditionalFormatting sqref="U102:V102">
    <cfRule type="cellIs" dxfId="0" priority="1392" operator="equal">
      <formula>"欠"</formula>
    </cfRule>
    <cfRule type="containsText" dxfId="0" priority="1393" operator="between" text="欠">
      <formula>NOT(ISERROR(SEARCH("欠",U102)))</formula>
    </cfRule>
  </conditionalFormatting>
  <conditionalFormatting sqref="V103">
    <cfRule type="cellIs" dxfId="0" priority="969" operator="equal">
      <formula>"欠"</formula>
    </cfRule>
    <cfRule type="containsText" dxfId="0" priority="972" operator="between" text="欠">
      <formula>NOT(ISERROR(SEARCH("欠",V103)))</formula>
    </cfRule>
  </conditionalFormatting>
  <conditionalFormatting sqref="U105:V105">
    <cfRule type="cellIs" dxfId="0" priority="811" operator="equal">
      <formula>"欠"</formula>
    </cfRule>
    <cfRule type="containsText" dxfId="0" priority="820" operator="between" text="欠">
      <formula>NOT(ISERROR(SEARCH("欠",U105)))</formula>
    </cfRule>
  </conditionalFormatting>
  <conditionalFormatting sqref="S106">
    <cfRule type="containsText" dxfId="0" priority="519" operator="between" text="欠">
      <formula>NOT(ISERROR(SEARCH("欠",S106)))</formula>
    </cfRule>
    <cfRule type="cellIs" dxfId="0" priority="520" operator="equal">
      <formula>"欠"</formula>
    </cfRule>
  </conditionalFormatting>
  <conditionalFormatting sqref="U106">
    <cfRule type="cellIs" dxfId="0" priority="355" operator="equal">
      <formula>"欠"</formula>
    </cfRule>
    <cfRule type="containsText" dxfId="0" priority="357" operator="between" text="欠">
      <formula>NOT(ISERROR(SEARCH("欠",U106)))</formula>
    </cfRule>
  </conditionalFormatting>
  <conditionalFormatting sqref="V106">
    <cfRule type="cellIs" dxfId="0" priority="367" operator="equal">
      <formula>"欠"</formula>
    </cfRule>
    <cfRule type="containsText" dxfId="0" priority="369" operator="between" text="欠">
      <formula>NOT(ISERROR(SEARCH("欠",V106)))</formula>
    </cfRule>
  </conditionalFormatting>
  <conditionalFormatting sqref="V107">
    <cfRule type="cellIs" dxfId="0" priority="1081" operator="equal">
      <formula>"欠"</formula>
    </cfRule>
    <cfRule type="containsText" dxfId="0" priority="1089" operator="between" text="欠">
      <formula>NOT(ISERROR(SEARCH("欠",V107)))</formula>
    </cfRule>
  </conditionalFormatting>
  <conditionalFormatting sqref="T109">
    <cfRule type="cellIs" dxfId="0" priority="431" operator="equal">
      <formula>"欠"</formula>
    </cfRule>
    <cfRule type="containsText" dxfId="0" priority="432" operator="between" text="欠">
      <formula>NOT(ISERROR(SEARCH("欠",T109)))</formula>
    </cfRule>
  </conditionalFormatting>
  <conditionalFormatting sqref="U110:V110">
    <cfRule type="cellIs" dxfId="0" priority="1242" operator="equal">
      <formula>"欠"</formula>
    </cfRule>
    <cfRule type="containsText" dxfId="0" priority="1245" operator="between" text="欠">
      <formula>NOT(ISERROR(SEARCH("欠",U110)))</formula>
    </cfRule>
  </conditionalFormatting>
  <conditionalFormatting sqref="S120">
    <cfRule type="containsText" dxfId="0" priority="395" operator="between" text="欠">
      <formula>NOT(ISERROR(SEARCH("欠",S120)))</formula>
    </cfRule>
    <cfRule type="cellIs" dxfId="0" priority="398" operator="equal">
      <formula>"欠"</formula>
    </cfRule>
  </conditionalFormatting>
  <conditionalFormatting sqref="V120">
    <cfRule type="cellIs" dxfId="0" priority="401" operator="equal">
      <formula>"欠"</formula>
    </cfRule>
    <cfRule type="containsText" dxfId="0" priority="404" operator="between" text="欠">
      <formula>NOT(ISERROR(SEARCH("欠",V120)))</formula>
    </cfRule>
  </conditionalFormatting>
  <conditionalFormatting sqref="T121">
    <cfRule type="cellIs" dxfId="0" priority="789" operator="equal">
      <formula>"欠"</formula>
    </cfRule>
    <cfRule type="containsText" dxfId="0" priority="790" operator="between" text="欠">
      <formula>NOT(ISERROR(SEARCH("欠",T121)))</formula>
    </cfRule>
  </conditionalFormatting>
  <conditionalFormatting sqref="V121">
    <cfRule type="cellIs" dxfId="0" priority="785" operator="equal">
      <formula>"欠"</formula>
    </cfRule>
    <cfRule type="containsText" dxfId="0" priority="786" operator="between" text="欠">
      <formula>NOT(ISERROR(SEARCH("欠",V121)))</formula>
    </cfRule>
  </conditionalFormatting>
  <conditionalFormatting sqref="T122">
    <cfRule type="cellIs" dxfId="0" priority="851" operator="equal">
      <formula>"欠"</formula>
    </cfRule>
    <cfRule type="containsText" dxfId="0" priority="860" operator="between" text="欠">
      <formula>NOT(ISERROR(SEARCH("欠",T122)))</formula>
    </cfRule>
  </conditionalFormatting>
  <conditionalFormatting sqref="U122">
    <cfRule type="cellIs" dxfId="0" priority="407" operator="equal">
      <formula>"欠"</formula>
    </cfRule>
    <cfRule type="containsText" dxfId="0" priority="408" operator="between" text="欠">
      <formula>NOT(ISERROR(SEARCH("欠",U122)))</formula>
    </cfRule>
  </conditionalFormatting>
  <conditionalFormatting sqref="V122">
    <cfRule type="cellIs" dxfId="0" priority="815" operator="equal">
      <formula>"欠"</formula>
    </cfRule>
    <cfRule type="containsText" dxfId="0" priority="824" operator="between" text="欠">
      <formula>NOT(ISERROR(SEARCH("欠",V122)))</formula>
    </cfRule>
  </conditionalFormatting>
  <conditionalFormatting sqref="T123">
    <cfRule type="cellIs" dxfId="0" priority="417" operator="equal">
      <formula>"欠"</formula>
    </cfRule>
    <cfRule type="containsText" dxfId="0" priority="418" operator="between" text="欠">
      <formula>NOT(ISERROR(SEARCH("欠",T123)))</formula>
    </cfRule>
  </conditionalFormatting>
  <conditionalFormatting sqref="U123">
    <cfRule type="cellIs" dxfId="0" priority="415" operator="equal">
      <formula>"欠"</formula>
    </cfRule>
    <cfRule type="containsText" dxfId="0" priority="416" operator="between" text="欠">
      <formula>NOT(ISERROR(SEARCH("欠",U123)))</formula>
    </cfRule>
  </conditionalFormatting>
  <conditionalFormatting sqref="V123">
    <cfRule type="cellIs" dxfId="0" priority="814" operator="equal">
      <formula>"欠"</formula>
    </cfRule>
    <cfRule type="containsText" dxfId="0" priority="823" operator="between" text="欠">
      <formula>NOT(ISERROR(SEARCH("欠",V123)))</formula>
    </cfRule>
  </conditionalFormatting>
  <conditionalFormatting sqref="S127">
    <cfRule type="containsText" dxfId="0" priority="128" operator="between" text="欠">
      <formula>NOT(ISERROR(SEARCH("欠",S127)))</formula>
    </cfRule>
    <cfRule type="cellIs" dxfId="0" priority="133" operator="equal">
      <formula>"欠"</formula>
    </cfRule>
  </conditionalFormatting>
  <conditionalFormatting sqref="T127">
    <cfRule type="cellIs" dxfId="0" priority="148" operator="equal">
      <formula>"欠"</formula>
    </cfRule>
    <cfRule type="containsText" dxfId="0" priority="153" operator="between" text="欠">
      <formula>NOT(ISERROR(SEARCH("欠",T127)))</formula>
    </cfRule>
  </conditionalFormatting>
  <conditionalFormatting sqref="U127">
    <cfRule type="cellIs" dxfId="0" priority="138" operator="equal">
      <formula>"欠"</formula>
    </cfRule>
    <cfRule type="containsText" dxfId="0" priority="143" operator="between" text="欠">
      <formula>NOT(ISERROR(SEARCH("欠",U127)))</formula>
    </cfRule>
  </conditionalFormatting>
  <conditionalFormatting sqref="T128">
    <cfRule type="cellIs" dxfId="0" priority="1205" operator="equal">
      <formula>"欠"</formula>
    </cfRule>
    <cfRule type="containsText" dxfId="0" priority="1210" operator="between" text="欠">
      <formula>NOT(ISERROR(SEARCH("欠",T128)))</formula>
    </cfRule>
  </conditionalFormatting>
  <conditionalFormatting sqref="U128:V128">
    <cfRule type="cellIs" dxfId="0" priority="1185" operator="equal">
      <formula>"欠"</formula>
    </cfRule>
    <cfRule type="containsText" dxfId="0" priority="1190" operator="between" text="欠">
      <formula>NOT(ISERROR(SEARCH("欠",U128)))</formula>
    </cfRule>
  </conditionalFormatting>
  <conditionalFormatting sqref="S129">
    <cfRule type="containsText" dxfId="0" priority="1166" operator="between" text="欠">
      <formula>NOT(ISERROR(SEARCH("欠",S129)))</formula>
    </cfRule>
    <cfRule type="cellIs" dxfId="0" priority="1171" operator="equal">
      <formula>"欠"</formula>
    </cfRule>
  </conditionalFormatting>
  <conditionalFormatting sqref="T129">
    <cfRule type="cellIs" dxfId="0" priority="1176" operator="equal">
      <formula>"欠"</formula>
    </cfRule>
    <cfRule type="containsText" dxfId="0" priority="1181" operator="between" text="欠">
      <formula>NOT(ISERROR(SEARCH("欠",T129)))</formula>
    </cfRule>
  </conditionalFormatting>
  <conditionalFormatting sqref="U129:V129">
    <cfRule type="cellIs" dxfId="0" priority="1156" operator="equal">
      <formula>"欠"</formula>
    </cfRule>
    <cfRule type="containsText" dxfId="0" priority="1161" operator="between" text="欠">
      <formula>NOT(ISERROR(SEARCH("欠",U129)))</formula>
    </cfRule>
  </conditionalFormatting>
  <conditionalFormatting sqref="S130">
    <cfRule type="containsText" dxfId="0" priority="126" operator="between" text="欠">
      <formula>NOT(ISERROR(SEARCH("欠",S130)))</formula>
    </cfRule>
    <cfRule type="cellIs" dxfId="0" priority="131" operator="equal">
      <formula>"欠"</formula>
    </cfRule>
  </conditionalFormatting>
  <conditionalFormatting sqref="U131:V131">
    <cfRule type="cellIs" dxfId="0" priority="791" operator="equal">
      <formula>"欠"</formula>
    </cfRule>
    <cfRule type="containsText" dxfId="0" priority="792" operator="between" text="欠">
      <formula>NOT(ISERROR(SEARCH("欠",U131)))</formula>
    </cfRule>
  </conditionalFormatting>
  <conditionalFormatting sqref="T133">
    <cfRule type="cellIs" dxfId="0" priority="413" operator="equal">
      <formula>"欠"</formula>
    </cfRule>
    <cfRule type="containsText" dxfId="0" priority="414" operator="between" text="欠">
      <formula>NOT(ISERROR(SEARCH("欠",T133)))</formula>
    </cfRule>
  </conditionalFormatting>
  <conditionalFormatting sqref="U133">
    <cfRule type="cellIs" dxfId="0" priority="411" operator="equal">
      <formula>"欠"</formula>
    </cfRule>
    <cfRule type="containsText" dxfId="0" priority="412" operator="between" text="欠">
      <formula>NOT(ISERROR(SEARCH("欠",U133)))</formula>
    </cfRule>
  </conditionalFormatting>
  <conditionalFormatting sqref="V133">
    <cfRule type="cellIs" dxfId="0" priority="813" operator="equal">
      <formula>"欠"</formula>
    </cfRule>
    <cfRule type="containsText" dxfId="0" priority="822" operator="between" text="欠">
      <formula>NOT(ISERROR(SEARCH("欠",V133)))</formula>
    </cfRule>
  </conditionalFormatting>
  <conditionalFormatting sqref="V136">
    <cfRule type="cellIs" dxfId="0" priority="997" operator="equal">
      <formula>"欠"</formula>
    </cfRule>
    <cfRule type="containsText" dxfId="0" priority="1007" operator="between" text="欠">
      <formula>NOT(ISERROR(SEARCH("欠",V136)))</formula>
    </cfRule>
  </conditionalFormatting>
  <conditionalFormatting sqref="V139">
    <cfRule type="cellIs" dxfId="0" priority="996" operator="equal">
      <formula>"欠"</formula>
    </cfRule>
    <cfRule type="containsText" dxfId="0" priority="1006" operator="between" text="欠">
      <formula>NOT(ISERROR(SEARCH("欠",V139)))</formula>
    </cfRule>
  </conditionalFormatting>
  <conditionalFormatting sqref="V140">
    <cfRule type="cellIs" dxfId="0" priority="993" operator="equal">
      <formula>"欠"</formula>
    </cfRule>
    <cfRule type="containsText" dxfId="0" priority="1003" operator="between" text="欠">
      <formula>NOT(ISERROR(SEARCH("欠",V140)))</formula>
    </cfRule>
  </conditionalFormatting>
  <conditionalFormatting sqref="S141">
    <cfRule type="containsText" dxfId="0" priority="129" operator="between" text="欠">
      <formula>NOT(ISERROR(SEARCH("欠",S141)))</formula>
    </cfRule>
    <cfRule type="cellIs" dxfId="0" priority="134" operator="equal">
      <formula>"欠"</formula>
    </cfRule>
  </conditionalFormatting>
  <conditionalFormatting sqref="U141">
    <cfRule type="cellIs" dxfId="0" priority="139" operator="equal">
      <formula>"欠"</formula>
    </cfRule>
    <cfRule type="containsText" dxfId="0" priority="144" operator="between" text="欠">
      <formula>NOT(ISERROR(SEARCH("欠",U141)))</formula>
    </cfRule>
  </conditionalFormatting>
  <conditionalFormatting sqref="V143">
    <cfRule type="cellIs" dxfId="0" priority="868" operator="equal">
      <formula>"欠"</formula>
    </cfRule>
    <cfRule type="containsText" dxfId="0" priority="877" operator="between" text="欠">
      <formula>NOT(ISERROR(SEARCH("欠",V143)))</formula>
    </cfRule>
  </conditionalFormatting>
  <conditionalFormatting sqref="V145">
    <cfRule type="cellIs" dxfId="0" priority="1228" operator="equal">
      <formula>"欠"</formula>
    </cfRule>
    <cfRule type="containsText" dxfId="0" priority="1230" operator="between" text="欠">
      <formula>NOT(ISERROR(SEARCH("欠",V145)))</formula>
    </cfRule>
  </conditionalFormatting>
  <conditionalFormatting sqref="S152">
    <cfRule type="containsText" dxfId="0" priority="511" operator="between" text="欠">
      <formula>NOT(ISERROR(SEARCH("欠",S152)))</formula>
    </cfRule>
    <cfRule type="cellIs" dxfId="0" priority="512" operator="equal">
      <formula>"欠"</formula>
    </cfRule>
  </conditionalFormatting>
  <conditionalFormatting sqref="U152">
    <cfRule type="cellIs" dxfId="0" priority="382" operator="equal">
      <formula>"欠"</formula>
    </cfRule>
    <cfRule type="containsText" dxfId="0" priority="385" operator="between" text="欠">
      <formula>NOT(ISERROR(SEARCH("欠",U152)))</formula>
    </cfRule>
  </conditionalFormatting>
  <conditionalFormatting sqref="V152">
    <cfRule type="cellIs" dxfId="0" priority="400" operator="equal">
      <formula>"欠"</formula>
    </cfRule>
    <cfRule type="containsText" dxfId="0" priority="403" operator="between" text="欠">
      <formula>NOT(ISERROR(SEARCH("欠",V152)))</formula>
    </cfRule>
  </conditionalFormatting>
  <conditionalFormatting sqref="V153">
    <cfRule type="cellIs" dxfId="0" priority="545" operator="equal">
      <formula>"欠"</formula>
    </cfRule>
    <cfRule type="containsText" dxfId="0" priority="546" operator="between" text="欠">
      <formula>NOT(ISERROR(SEARCH("欠",V153)))</formula>
    </cfRule>
  </conditionalFormatting>
  <conditionalFormatting sqref="S159">
    <cfRule type="containsText" dxfId="0" priority="1874" operator="between" text="欠">
      <formula>NOT(ISERROR(SEARCH("欠",S159)))</formula>
    </cfRule>
    <cfRule type="cellIs" dxfId="0" priority="1875" operator="equal">
      <formula>"欠"</formula>
    </cfRule>
  </conditionalFormatting>
  <conditionalFormatting sqref="T160">
    <cfRule type="cellIs" dxfId="0" priority="852" operator="equal">
      <formula>"欠"</formula>
    </cfRule>
    <cfRule type="containsText" dxfId="0" priority="861" operator="between" text="欠">
      <formula>NOT(ISERROR(SEARCH("欠",T160)))</formula>
    </cfRule>
  </conditionalFormatting>
  <conditionalFormatting sqref="U160:V160">
    <cfRule type="cellIs" dxfId="0" priority="816" operator="equal">
      <formula>"欠"</formula>
    </cfRule>
    <cfRule type="containsText" dxfId="0" priority="825" operator="between" text="欠">
      <formula>NOT(ISERROR(SEARCH("欠",U160)))</formula>
    </cfRule>
  </conditionalFormatting>
  <conditionalFormatting sqref="S162">
    <cfRule type="containsText" dxfId="0" priority="927" operator="between" text="欠">
      <formula>NOT(ISERROR(SEARCH("欠",S162)))</formula>
    </cfRule>
    <cfRule type="cellIs" dxfId="0" priority="928" operator="equal">
      <formula>"欠"</formula>
    </cfRule>
  </conditionalFormatting>
  <conditionalFormatting sqref="T162">
    <cfRule type="cellIs" dxfId="0" priority="929" operator="equal">
      <formula>"欠"</formula>
    </cfRule>
    <cfRule type="containsText" dxfId="0" priority="930" operator="between" text="欠">
      <formula>NOT(ISERROR(SEARCH("欠",T162)))</formula>
    </cfRule>
  </conditionalFormatting>
  <conditionalFormatting sqref="U162:V162">
    <cfRule type="cellIs" dxfId="0" priority="925" operator="equal">
      <formula>"欠"</formula>
    </cfRule>
    <cfRule type="containsText" dxfId="0" priority="926" operator="between" text="欠">
      <formula>NOT(ISERROR(SEARCH("欠",U162)))</formula>
    </cfRule>
  </conditionalFormatting>
  <conditionalFormatting sqref="U164:V164">
    <cfRule type="cellIs" dxfId="0" priority="1386" operator="equal">
      <formula>"欠"</formula>
    </cfRule>
    <cfRule type="containsText" dxfId="0" priority="1387" operator="between" text="欠">
      <formula>NOT(ISERROR(SEARCH("欠",U164)))</formula>
    </cfRule>
  </conditionalFormatting>
  <conditionalFormatting sqref="U165">
    <cfRule type="cellIs" dxfId="0" priority="921" operator="equal">
      <formula>"欠"</formula>
    </cfRule>
    <cfRule type="containsText" dxfId="0" priority="922" operator="between" text="欠">
      <formula>NOT(ISERROR(SEARCH("欠",U165)))</formula>
    </cfRule>
  </conditionalFormatting>
  <conditionalFormatting sqref="V165">
    <cfRule type="cellIs" dxfId="0" priority="945" operator="equal">
      <formula>"欠"</formula>
    </cfRule>
    <cfRule type="containsText" dxfId="0" priority="946" operator="between" text="欠">
      <formula>NOT(ISERROR(SEARCH("欠",V165)))</formula>
    </cfRule>
  </conditionalFormatting>
  <conditionalFormatting sqref="S166">
    <cfRule type="containsText" dxfId="0" priority="1233" operator="between" text="欠">
      <formula>NOT(ISERROR(SEARCH("欠",S166)))</formula>
    </cfRule>
    <cfRule type="cellIs" dxfId="0" priority="1235" operator="equal">
      <formula>"欠"</formula>
    </cfRule>
  </conditionalFormatting>
  <conditionalFormatting sqref="U166:V166">
    <cfRule type="cellIs" dxfId="0" priority="1229" operator="equal">
      <formula>"欠"</formula>
    </cfRule>
    <cfRule type="containsText" dxfId="0" priority="1231" operator="between" text="欠">
      <formula>NOT(ISERROR(SEARCH("欠",U166)))</formula>
    </cfRule>
  </conditionalFormatting>
  <conditionalFormatting sqref="S167">
    <cfRule type="containsText" dxfId="0" priority="125" operator="between" text="欠">
      <formula>NOT(ISERROR(SEARCH("欠",S167)))</formula>
    </cfRule>
    <cfRule type="cellIs" dxfId="0" priority="130" operator="equal">
      <formula>"欠"</formula>
    </cfRule>
  </conditionalFormatting>
  <conditionalFormatting sqref="T167">
    <cfRule type="cellIs" dxfId="0" priority="145" operator="equal">
      <formula>"欠"</formula>
    </cfRule>
    <cfRule type="containsText" dxfId="0" priority="150" operator="between" text="欠">
      <formula>NOT(ISERROR(SEARCH("欠",T167)))</formula>
    </cfRule>
  </conditionalFormatting>
  <conditionalFormatting sqref="U167">
    <cfRule type="cellIs" dxfId="0" priority="99" operator="equal">
      <formula>"欠"</formula>
    </cfRule>
    <cfRule type="containsText" dxfId="0" priority="100" operator="between" text="欠">
      <formula>NOT(ISERROR(SEARCH("欠",U167)))</formula>
    </cfRule>
  </conditionalFormatting>
  <conditionalFormatting sqref="U168:V168">
    <cfRule type="cellIs" dxfId="0" priority="1398" operator="equal">
      <formula>"欠"</formula>
    </cfRule>
    <cfRule type="containsText" dxfId="0" priority="1399" operator="between" text="欠">
      <formula>NOT(ISERROR(SEARCH("欠",U168)))</formula>
    </cfRule>
  </conditionalFormatting>
  <conditionalFormatting sqref="U169:V169">
    <cfRule type="cellIs" dxfId="0" priority="1063" operator="equal">
      <formula>"欠"</formula>
    </cfRule>
    <cfRule type="containsText" dxfId="0" priority="1064" operator="between" text="欠">
      <formula>NOT(ISERROR(SEARCH("欠",U169)))</formula>
    </cfRule>
  </conditionalFormatting>
  <conditionalFormatting sqref="V171">
    <cfRule type="cellIs" dxfId="0" priority="773" operator="equal">
      <formula>"欠"</formula>
    </cfRule>
    <cfRule type="containsText" dxfId="0" priority="774" operator="between" text="欠">
      <formula>NOT(ISERROR(SEARCH("欠",V171)))</formula>
    </cfRule>
  </conditionalFormatting>
  <conditionalFormatting sqref="S172">
    <cfRule type="containsText" dxfId="0" priority="1167" operator="between" text="欠">
      <formula>NOT(ISERROR(SEARCH("欠",S172)))</formula>
    </cfRule>
    <cfRule type="cellIs" dxfId="0" priority="1172" operator="equal">
      <formula>"欠"</formula>
    </cfRule>
  </conditionalFormatting>
  <conditionalFormatting sqref="T172">
    <cfRule type="cellIs" dxfId="0" priority="1177" operator="equal">
      <formula>"欠"</formula>
    </cfRule>
    <cfRule type="containsText" dxfId="0" priority="1182" operator="between" text="欠">
      <formula>NOT(ISERROR(SEARCH("欠",T172)))</formula>
    </cfRule>
  </conditionalFormatting>
  <conditionalFormatting sqref="V175">
    <cfRule type="cellIs" dxfId="0" priority="1078" operator="equal">
      <formula>"欠"</formula>
    </cfRule>
    <cfRule type="containsText" dxfId="0" priority="1086" operator="between" text="欠">
      <formula>NOT(ISERROR(SEARCH("欠",V175)))</formula>
    </cfRule>
  </conditionalFormatting>
  <conditionalFormatting sqref="U177:V177">
    <cfRule type="cellIs" dxfId="0" priority="1153" operator="equal">
      <formula>"欠"</formula>
    </cfRule>
    <cfRule type="containsText" dxfId="0" priority="1158" operator="between" text="欠">
      <formula>NOT(ISERROR(SEARCH("欠",U177)))</formula>
    </cfRule>
  </conditionalFormatting>
  <conditionalFormatting sqref="V178">
    <cfRule type="cellIs" dxfId="0" priority="968" operator="equal">
      <formula>"欠"</formula>
    </cfRule>
    <cfRule type="containsText" dxfId="0" priority="971" operator="between" text="欠">
      <formula>NOT(ISERROR(SEARCH("欠",V178)))</formula>
    </cfRule>
  </conditionalFormatting>
  <conditionalFormatting sqref="U179:V179">
    <cfRule type="cellIs" dxfId="0" priority="1309" operator="equal">
      <formula>"欠"</formula>
    </cfRule>
    <cfRule type="containsText" dxfId="0" priority="1313" operator="between" text="欠">
      <formula>NOT(ISERROR(SEARCH("欠",U179)))</formula>
    </cfRule>
  </conditionalFormatting>
  <conditionalFormatting sqref="V180">
    <cfRule type="cellIs" dxfId="0" priority="998" operator="equal">
      <formula>"欠"</formula>
    </cfRule>
    <cfRule type="containsText" dxfId="0" priority="1008" operator="between" text="欠">
      <formula>NOT(ISERROR(SEARCH("欠",V180)))</formula>
    </cfRule>
  </conditionalFormatting>
  <conditionalFormatting sqref="S181">
    <cfRule type="containsText" dxfId="0" priority="1164" operator="between" text="欠">
      <formula>NOT(ISERROR(SEARCH("欠",S181)))</formula>
    </cfRule>
    <cfRule type="cellIs" dxfId="0" priority="1169" operator="equal">
      <formula>"欠"</formula>
    </cfRule>
  </conditionalFormatting>
  <conditionalFormatting sqref="T181">
    <cfRule type="cellIs" dxfId="0" priority="1174" operator="equal">
      <formula>"欠"</formula>
    </cfRule>
    <cfRule type="containsText" dxfId="0" priority="1179" operator="between" text="欠">
      <formula>NOT(ISERROR(SEARCH("欠",T181)))</formula>
    </cfRule>
  </conditionalFormatting>
  <conditionalFormatting sqref="U181:V181">
    <cfRule type="cellIs" dxfId="0" priority="1154" operator="equal">
      <formula>"欠"</formula>
    </cfRule>
    <cfRule type="containsText" dxfId="0" priority="1159" operator="between" text="欠">
      <formula>NOT(ISERROR(SEARCH("欠",U181)))</formula>
    </cfRule>
  </conditionalFormatting>
  <conditionalFormatting sqref="S182">
    <cfRule type="containsText" dxfId="0" priority="377" operator="between" text="欠">
      <formula>NOT(ISERROR(SEARCH("欠",S182)))</formula>
    </cfRule>
    <cfRule type="cellIs" dxfId="0" priority="378" operator="equal">
      <formula>"欠"</formula>
    </cfRule>
  </conditionalFormatting>
  <conditionalFormatting sqref="S184">
    <cfRule type="containsText" dxfId="0" priority="1071" operator="between" text="欠">
      <formula>NOT(ISERROR(SEARCH("欠",S184)))</formula>
    </cfRule>
    <cfRule type="cellIs" dxfId="0" priority="1072" operator="equal">
      <formula>"欠"</formula>
    </cfRule>
  </conditionalFormatting>
  <conditionalFormatting sqref="U184:V184">
    <cfRule type="cellIs" dxfId="0" priority="1069" operator="equal">
      <formula>"欠"</formula>
    </cfRule>
    <cfRule type="containsText" dxfId="0" priority="1070" operator="between" text="欠">
      <formula>NOT(ISERROR(SEARCH("欠",U184)))</formula>
    </cfRule>
  </conditionalFormatting>
  <conditionalFormatting sqref="V188">
    <cfRule type="cellIs" dxfId="0" priority="1524" operator="equal">
      <formula>"欠"</formula>
    </cfRule>
    <cfRule type="containsText" dxfId="0" priority="1529" operator="between" text="欠">
      <formula>NOT(ISERROR(SEARCH("欠",V188)))</formula>
    </cfRule>
  </conditionalFormatting>
  <conditionalFormatting sqref="T189">
    <cfRule type="cellIs" dxfId="0" priority="1296" operator="equal">
      <formula>"欠"</formula>
    </cfRule>
    <cfRule type="containsText" dxfId="0" priority="1297" operator="between" text="欠">
      <formula>NOT(ISERROR(SEARCH("欠",T189)))</formula>
    </cfRule>
  </conditionalFormatting>
  <conditionalFormatting sqref="V189">
    <cfRule type="cellIs" dxfId="0" priority="1332" operator="equal">
      <formula>"欠"</formula>
    </cfRule>
    <cfRule type="containsText" dxfId="0" priority="1335" operator="between" text="欠">
      <formula>NOT(ISERROR(SEARCH("欠",V189)))</formula>
    </cfRule>
  </conditionalFormatting>
  <conditionalFormatting sqref="U191">
    <cfRule type="cellIs" dxfId="0" priority="489" operator="equal">
      <formula>"欠"</formula>
    </cfRule>
    <cfRule type="containsText" dxfId="0" priority="490" operator="between" text="欠">
      <formula>NOT(ISERROR(SEARCH("欠",U191)))</formula>
    </cfRule>
  </conditionalFormatting>
  <conditionalFormatting sqref="V191">
    <cfRule type="cellIs" dxfId="0" priority="493" operator="equal">
      <formula>"欠"</formula>
    </cfRule>
    <cfRule type="containsText" dxfId="0" priority="494" operator="between" text="欠">
      <formula>NOT(ISERROR(SEARCH("欠",V191)))</formula>
    </cfRule>
  </conditionalFormatting>
  <conditionalFormatting sqref="S192">
    <cfRule type="containsText" dxfId="0" priority="495" operator="between" text="欠">
      <formula>NOT(ISERROR(SEARCH("欠",S192)))</formula>
    </cfRule>
    <cfRule type="cellIs" dxfId="0" priority="496" operator="equal">
      <formula>"欠"</formula>
    </cfRule>
  </conditionalFormatting>
  <conditionalFormatting sqref="U192">
    <cfRule type="cellIs" dxfId="0" priority="267" operator="equal">
      <formula>"欠"</formula>
    </cfRule>
    <cfRule type="containsText" dxfId="0" priority="274" operator="between" text="欠">
      <formula>NOT(ISERROR(SEARCH("欠",U192)))</formula>
    </cfRule>
  </conditionalFormatting>
  <conditionalFormatting sqref="V192">
    <cfRule type="cellIs" dxfId="0" priority="309" operator="equal">
      <formula>"欠"</formula>
    </cfRule>
    <cfRule type="containsText" dxfId="0" priority="316" operator="between" text="欠">
      <formula>NOT(ISERROR(SEARCH("欠",V192)))</formula>
    </cfRule>
  </conditionalFormatting>
  <conditionalFormatting sqref="T193">
    <cfRule type="cellIs" dxfId="0" priority="483" operator="equal">
      <formula>"欠"</formula>
    </cfRule>
    <cfRule type="containsText" dxfId="0" priority="484" operator="between" text="欠">
      <formula>NOT(ISERROR(SEARCH("欠",T193)))</formula>
    </cfRule>
  </conditionalFormatting>
  <conditionalFormatting sqref="U193">
    <cfRule type="cellIs" dxfId="0" priority="481" operator="equal">
      <formula>"欠"</formula>
    </cfRule>
    <cfRule type="containsText" dxfId="0" priority="482" operator="between" text="欠">
      <formula>NOT(ISERROR(SEARCH("欠",U193)))</formula>
    </cfRule>
  </conditionalFormatting>
  <conditionalFormatting sqref="V193">
    <cfRule type="cellIs" dxfId="0" priority="485" operator="equal">
      <formula>"欠"</formula>
    </cfRule>
    <cfRule type="containsText" dxfId="0" priority="486" operator="between" text="欠">
      <formula>NOT(ISERROR(SEARCH("欠",V193)))</formula>
    </cfRule>
  </conditionalFormatting>
  <conditionalFormatting sqref="S194">
    <cfRule type="containsText" dxfId="0" priority="1145" operator="between" text="欠">
      <formula>NOT(ISERROR(SEARCH("欠",S194)))</formula>
    </cfRule>
    <cfRule type="cellIs" dxfId="0" priority="1147" operator="equal">
      <formula>"欠"</formula>
    </cfRule>
  </conditionalFormatting>
  <conditionalFormatting sqref="V195">
    <cfRule type="cellIs" dxfId="0" priority="469" operator="equal">
      <formula>"欠"</formula>
    </cfRule>
    <cfRule type="containsText" dxfId="0" priority="470" operator="between" text="欠">
      <formula>NOT(ISERROR(SEARCH("欠",V195)))</formula>
    </cfRule>
  </conditionalFormatting>
  <conditionalFormatting sqref="S202">
    <cfRule type="containsText" dxfId="0" priority="127" operator="between" text="欠">
      <formula>NOT(ISERROR(SEARCH("欠",S202)))</formula>
    </cfRule>
    <cfRule type="cellIs" dxfId="0" priority="132" operator="equal">
      <formula>"欠"</formula>
    </cfRule>
  </conditionalFormatting>
  <conditionalFormatting sqref="U203">
    <cfRule type="cellIs" dxfId="0" priority="923" operator="equal">
      <formula>"欠"</formula>
    </cfRule>
    <cfRule type="containsText" dxfId="0" priority="924" operator="between" text="欠">
      <formula>NOT(ISERROR(SEARCH("欠",U203)))</formula>
    </cfRule>
  </conditionalFormatting>
  <conditionalFormatting sqref="V203">
    <cfRule type="cellIs" dxfId="0" priority="936" operator="equal">
      <formula>"欠"</formula>
    </cfRule>
    <cfRule type="containsText" dxfId="0" priority="938" operator="between" text="欠">
      <formula>NOT(ISERROR(SEARCH("欠",V203)))</formula>
    </cfRule>
  </conditionalFormatting>
  <conditionalFormatting sqref="U204">
    <cfRule type="cellIs" dxfId="0" priority="270" operator="equal">
      <formula>"欠"</formula>
    </cfRule>
    <cfRule type="containsText" dxfId="0" priority="277" operator="between" text="欠">
      <formula>NOT(ISERROR(SEARCH("欠",U204)))</formula>
    </cfRule>
  </conditionalFormatting>
  <conditionalFormatting sqref="V204">
    <cfRule type="cellIs" dxfId="0" priority="312" operator="equal">
      <formula>"欠"</formula>
    </cfRule>
    <cfRule type="containsText" dxfId="0" priority="319" operator="between" text="欠">
      <formula>NOT(ISERROR(SEARCH("欠",V204)))</formula>
    </cfRule>
  </conditionalFormatting>
  <conditionalFormatting sqref="U207">
    <cfRule type="cellIs" dxfId="0" priority="371" operator="equal">
      <formula>"欠"</formula>
    </cfRule>
    <cfRule type="containsText" dxfId="0" priority="372" operator="between" text="欠">
      <formula>NOT(ISERROR(SEARCH("欠",U207)))</formula>
    </cfRule>
  </conditionalFormatting>
  <conditionalFormatting sqref="V207">
    <cfRule type="cellIs" dxfId="0" priority="797" operator="equal">
      <formula>"欠"</formula>
    </cfRule>
    <cfRule type="containsText" dxfId="0" priority="798" operator="between" text="欠">
      <formula>NOT(ISERROR(SEARCH("欠",V207)))</formula>
    </cfRule>
  </conditionalFormatting>
  <conditionalFormatting sqref="S208">
    <cfRule type="containsText" dxfId="0" priority="987" operator="between" text="欠">
      <formula>NOT(ISERROR(SEARCH("欠",S208)))</formula>
    </cfRule>
    <cfRule type="cellIs" dxfId="0" priority="988" operator="equal">
      <formula>"欠"</formula>
    </cfRule>
  </conditionalFormatting>
  <conditionalFormatting sqref="T208">
    <cfRule type="cellIs" dxfId="0" priority="989" operator="equal">
      <formula>"欠"</formula>
    </cfRule>
    <cfRule type="containsText" dxfId="0" priority="990" operator="between" text="欠">
      <formula>NOT(ISERROR(SEARCH("欠",T208)))</formula>
    </cfRule>
  </conditionalFormatting>
  <conditionalFormatting sqref="U208">
    <cfRule type="cellIs" dxfId="0" priority="985" operator="equal">
      <formula>"欠"</formula>
    </cfRule>
    <cfRule type="containsText" dxfId="0" priority="986" operator="between" text="欠">
      <formula>NOT(ISERROR(SEARCH("欠",U208)))</formula>
    </cfRule>
  </conditionalFormatting>
  <conditionalFormatting sqref="V208">
    <cfRule type="cellIs" dxfId="0" priority="1000" operator="equal">
      <formula>"欠"</formula>
    </cfRule>
    <cfRule type="containsText" dxfId="0" priority="1010" operator="between" text="欠">
      <formula>NOT(ISERROR(SEARCH("欠",V208)))</formula>
    </cfRule>
  </conditionalFormatting>
  <conditionalFormatting sqref="T212">
    <cfRule type="cellIs" dxfId="0" priority="1345" operator="equal">
      <formula>"欠"</formula>
    </cfRule>
    <cfRule type="containsText" dxfId="0" priority="1348" operator="between" text="欠">
      <formula>NOT(ISERROR(SEARCH("欠",T212)))</formula>
    </cfRule>
  </conditionalFormatting>
  <conditionalFormatting sqref="U212:V212">
    <cfRule type="cellIs" dxfId="0" priority="1333" operator="equal">
      <formula>"欠"</formula>
    </cfRule>
    <cfRule type="containsText" dxfId="0" priority="1336" operator="between" text="欠">
      <formula>NOT(ISERROR(SEARCH("欠",U212)))</formula>
    </cfRule>
  </conditionalFormatting>
  <conditionalFormatting sqref="S228">
    <cfRule type="containsText" dxfId="0" priority="43" operator="between" text="欠">
      <formula>NOT(ISERROR(SEARCH("欠",S228)))</formula>
    </cfRule>
    <cfRule type="cellIs" dxfId="0" priority="44" operator="equal">
      <formula>"欠"</formula>
    </cfRule>
  </conditionalFormatting>
  <conditionalFormatting sqref="T228">
    <cfRule type="cellIs" dxfId="0" priority="41" operator="equal">
      <formula>"欠"</formula>
    </cfRule>
    <cfRule type="containsText" dxfId="0" priority="42" operator="between" text="欠">
      <formula>NOT(ISERROR(SEARCH("欠",T228)))</formula>
    </cfRule>
  </conditionalFormatting>
  <conditionalFormatting sqref="S230">
    <cfRule type="containsText" dxfId="0" priority="168" operator="between" text="欠">
      <formula>NOT(ISERROR(SEARCH("欠",S230)))</formula>
    </cfRule>
    <cfRule type="cellIs" dxfId="0" priority="182" operator="equal">
      <formula>"欠"</formula>
    </cfRule>
  </conditionalFormatting>
  <conditionalFormatting sqref="T230">
    <cfRule type="cellIs" dxfId="0" priority="224" operator="equal">
      <formula>"欠"</formula>
    </cfRule>
    <cfRule type="containsText" dxfId="0" priority="238" operator="between" text="欠">
      <formula>NOT(ISERROR(SEARCH("欠",T230)))</formula>
    </cfRule>
  </conditionalFormatting>
  <conditionalFormatting sqref="U230">
    <cfRule type="cellIs" dxfId="0" priority="196" operator="equal">
      <formula>"欠"</formula>
    </cfRule>
    <cfRule type="containsText" dxfId="0" priority="210" operator="between" text="欠">
      <formula>NOT(ISERROR(SEARCH("欠",U230)))</formula>
    </cfRule>
  </conditionalFormatting>
  <conditionalFormatting sqref="S234">
    <cfRule type="containsText" dxfId="0" priority="161" operator="between" text="欠">
      <formula>NOT(ISERROR(SEARCH("欠",S234)))</formula>
    </cfRule>
    <cfRule type="cellIs" dxfId="0" priority="175" operator="equal">
      <formula>"欠"</formula>
    </cfRule>
  </conditionalFormatting>
  <conditionalFormatting sqref="U234">
    <cfRule type="cellIs" dxfId="0" priority="189" operator="equal">
      <formula>"欠"</formula>
    </cfRule>
    <cfRule type="containsText" dxfId="0" priority="203" operator="between" text="欠">
      <formula>NOT(ISERROR(SEARCH("欠",U234)))</formula>
    </cfRule>
  </conditionalFormatting>
  <conditionalFormatting sqref="S237">
    <cfRule type="containsText" dxfId="0" priority="167" operator="between" text="欠">
      <formula>NOT(ISERROR(SEARCH("欠",S237)))</formula>
    </cfRule>
    <cfRule type="cellIs" dxfId="0" priority="181" operator="equal">
      <formula>"欠"</formula>
    </cfRule>
  </conditionalFormatting>
  <conditionalFormatting sqref="T237">
    <cfRule type="cellIs" dxfId="0" priority="223" operator="equal">
      <formula>"欠"</formula>
    </cfRule>
    <cfRule type="containsText" dxfId="0" priority="237" operator="between" text="欠">
      <formula>NOT(ISERROR(SEARCH("欠",T237)))</formula>
    </cfRule>
  </conditionalFormatting>
  <conditionalFormatting sqref="U237">
    <cfRule type="cellIs" dxfId="0" priority="195" operator="equal">
      <formula>"欠"</formula>
    </cfRule>
    <cfRule type="containsText" dxfId="0" priority="209" operator="between" text="欠">
      <formula>NOT(ISERROR(SEARCH("欠",U237)))</formula>
    </cfRule>
  </conditionalFormatting>
  <conditionalFormatting sqref="S238">
    <cfRule type="containsText" dxfId="0" priority="955" operator="between" text="欠">
      <formula>NOT(ISERROR(SEARCH("欠",S238)))</formula>
    </cfRule>
    <cfRule type="cellIs" dxfId="0" priority="958" operator="equal">
      <formula>"欠"</formula>
    </cfRule>
  </conditionalFormatting>
  <conditionalFormatting sqref="V240">
    <cfRule type="cellIs" dxfId="0" priority="1310" operator="equal">
      <formula>"欠"</formula>
    </cfRule>
    <cfRule type="containsText" dxfId="0" priority="1314" operator="between" text="欠">
      <formula>NOT(ISERROR(SEARCH("欠",V240)))</formula>
    </cfRule>
  </conditionalFormatting>
  <conditionalFormatting sqref="V244">
    <cfRule type="cellIs" dxfId="0" priority="349" operator="equal">
      <formula>"欠"</formula>
    </cfRule>
    <cfRule type="containsText" dxfId="0" priority="352" operator="between" text="欠">
      <formula>NOT(ISERROR(SEARCH("欠",V244)))</formula>
    </cfRule>
  </conditionalFormatting>
  <conditionalFormatting sqref="T245">
    <cfRule type="cellIs" dxfId="0" priority="47" operator="equal">
      <formula>"欠"</formula>
    </cfRule>
    <cfRule type="containsText" dxfId="0" priority="48" operator="between" text="欠">
      <formula>NOT(ISERROR(SEARCH("欠",T245)))</formula>
    </cfRule>
  </conditionalFormatting>
  <conditionalFormatting sqref="U245">
    <cfRule type="cellIs" dxfId="0" priority="45" operator="equal">
      <formula>"欠"</formula>
    </cfRule>
    <cfRule type="containsText" dxfId="0" priority="46" operator="between" text="欠">
      <formula>NOT(ISERROR(SEARCH("欠",U245)))</formula>
    </cfRule>
  </conditionalFormatting>
  <conditionalFormatting sqref="U246:V246">
    <cfRule type="cellIs" dxfId="0" priority="967" operator="equal">
      <formula>"欠"</formula>
    </cfRule>
    <cfRule type="containsText" dxfId="0" priority="970" operator="between" text="欠">
      <formula>NOT(ISERROR(SEARCH("欠",U246)))</formula>
    </cfRule>
  </conditionalFormatting>
  <conditionalFormatting sqref="T254">
    <cfRule type="cellIs" dxfId="0" priority="220" operator="equal">
      <formula>"欠"</formula>
    </cfRule>
    <cfRule type="containsText" dxfId="0" priority="234" operator="between" text="欠">
      <formula>NOT(ISERROR(SEARCH("欠",T254)))</formula>
    </cfRule>
  </conditionalFormatting>
  <conditionalFormatting sqref="T255">
    <cfRule type="cellIs" dxfId="0" priority="35" operator="equal">
      <formula>"欠"</formula>
    </cfRule>
    <cfRule type="containsText" dxfId="0" priority="36" operator="between" text="欠">
      <formula>NOT(ISERROR(SEARCH("欠",T255)))</formula>
    </cfRule>
  </conditionalFormatting>
  <conditionalFormatting sqref="T259">
    <cfRule type="cellIs" dxfId="0" priority="218" operator="equal">
      <formula>"欠"</formula>
    </cfRule>
    <cfRule type="containsText" dxfId="0" priority="232" operator="between" text="欠">
      <formula>NOT(ISERROR(SEARCH("欠",T259)))</formula>
    </cfRule>
  </conditionalFormatting>
  <conditionalFormatting sqref="U259">
    <cfRule type="cellIs" dxfId="0" priority="190" operator="equal">
      <formula>"欠"</formula>
    </cfRule>
    <cfRule type="containsText" dxfId="0" priority="204" operator="between" text="欠">
      <formula>NOT(ISERROR(SEARCH("欠",U259)))</formula>
    </cfRule>
  </conditionalFormatting>
  <conditionalFormatting sqref="T260">
    <cfRule type="cellIs" dxfId="0" priority="213" operator="equal">
      <formula>"欠"</formula>
    </cfRule>
    <cfRule type="containsText" dxfId="0" priority="227" operator="between" text="欠">
      <formula>NOT(ISERROR(SEARCH("欠",T260)))</formula>
    </cfRule>
  </conditionalFormatting>
  <conditionalFormatting sqref="U260">
    <cfRule type="cellIs" dxfId="0" priority="185" operator="equal">
      <formula>"欠"</formula>
    </cfRule>
    <cfRule type="containsText" dxfId="0" priority="199" operator="between" text="欠">
      <formula>NOT(ISERROR(SEARCH("欠",U260)))</formula>
    </cfRule>
  </conditionalFormatting>
  <conditionalFormatting sqref="S263">
    <cfRule type="containsText" dxfId="0" priority="19" operator="between" text="欠">
      <formula>NOT(ISERROR(SEARCH("欠",S263)))</formula>
    </cfRule>
    <cfRule type="cellIs" dxfId="0" priority="20" operator="equal">
      <formula>"欠"</formula>
    </cfRule>
  </conditionalFormatting>
  <conditionalFormatting sqref="V264">
    <cfRule type="cellIs" dxfId="0" priority="562" operator="equal">
      <formula>"欠"</formula>
    </cfRule>
    <cfRule type="containsText" dxfId="0" priority="579" operator="between" text="欠">
      <formula>NOT(ISERROR(SEARCH("欠",V264)))</formula>
    </cfRule>
  </conditionalFormatting>
  <conditionalFormatting sqref="V267">
    <cfRule type="cellIs" dxfId="0" priority="368" operator="equal">
      <formula>"欠"</formula>
    </cfRule>
    <cfRule type="containsText" dxfId="0" priority="370" operator="between" text="欠">
      <formula>NOT(ISERROR(SEARCH("欠",V267)))</formula>
    </cfRule>
  </conditionalFormatting>
  <conditionalFormatting sqref="U268">
    <cfRule type="cellIs" dxfId="0" priority="323" operator="equal">
      <formula>"欠"</formula>
    </cfRule>
    <cfRule type="containsText" dxfId="0" priority="324" operator="between" text="欠">
      <formula>NOT(ISERROR(SEARCH("欠",U268)))</formula>
    </cfRule>
  </conditionalFormatting>
  <conditionalFormatting sqref="V268">
    <cfRule type="cellIs" dxfId="0" priority="329" operator="equal">
      <formula>"欠"</formula>
    </cfRule>
    <cfRule type="containsText" dxfId="0" priority="330" operator="between" text="欠">
      <formula>NOT(ISERROR(SEARCH("欠",V268)))</formula>
    </cfRule>
  </conditionalFormatting>
  <conditionalFormatting sqref="S269">
    <cfRule type="containsText" dxfId="0" priority="25" operator="between" text="欠">
      <formula>NOT(ISERROR(SEARCH("欠",S269)))</formula>
    </cfRule>
    <cfRule type="cellIs" dxfId="0" priority="26" operator="equal">
      <formula>"欠"</formula>
    </cfRule>
  </conditionalFormatting>
  <conditionalFormatting sqref="V269">
    <cfRule type="cellIs" dxfId="0" priority="447" operator="equal">
      <formula>"欠"</formula>
    </cfRule>
    <cfRule type="containsText" dxfId="0" priority="448" operator="between" text="欠">
      <formula>NOT(ISERROR(SEARCH("欠",V269)))</formula>
    </cfRule>
  </conditionalFormatting>
  <conditionalFormatting sqref="U274">
    <cfRule type="cellIs" dxfId="0" priority="239" operator="equal">
      <formula>"欠"</formula>
    </cfRule>
    <cfRule type="containsText" dxfId="0" priority="240" operator="between" text="欠">
      <formula>NOT(ISERROR(SEARCH("欠",U274)))</formula>
    </cfRule>
  </conditionalFormatting>
  <conditionalFormatting sqref="V274">
    <cfRule type="cellIs" dxfId="0" priority="350" operator="equal">
      <formula>"欠"</formula>
    </cfRule>
    <cfRule type="containsText" dxfId="0" priority="353" operator="between" text="欠">
      <formula>NOT(ISERROR(SEARCH("欠",V274)))</formula>
    </cfRule>
  </conditionalFormatting>
  <conditionalFormatting sqref="U277">
    <cfRule type="cellIs" dxfId="0" priority="13" operator="equal">
      <formula>"欠"</formula>
    </cfRule>
    <cfRule type="containsText" dxfId="0" priority="14" operator="between" text="欠">
      <formula>NOT(ISERROR(SEARCH("欠",U277)))</formula>
    </cfRule>
  </conditionalFormatting>
  <conditionalFormatting sqref="S283">
    <cfRule type="containsText" dxfId="0" priority="437" operator="between" text="欠">
      <formula>NOT(ISERROR(SEARCH("欠",S283)))</formula>
    </cfRule>
    <cfRule type="cellIs" dxfId="0" priority="438" operator="equal">
      <formula>"欠"</formula>
    </cfRule>
  </conditionalFormatting>
  <conditionalFormatting sqref="U283">
    <cfRule type="cellIs" dxfId="0" priority="109" operator="equal">
      <formula>"欠"</formula>
    </cfRule>
    <cfRule type="containsText" dxfId="0" priority="110" operator="between" text="欠">
      <formula>NOT(ISERROR(SEARCH("欠",U283)))</formula>
    </cfRule>
  </conditionalFormatting>
  <conditionalFormatting sqref="S288">
    <cfRule type="containsText" dxfId="0" priority="55" operator="between" text="欠">
      <formula>NOT(ISERROR(SEARCH("欠",S288)))</formula>
    </cfRule>
    <cfRule type="cellIs" dxfId="0" priority="56" operator="equal">
      <formula>"欠"</formula>
    </cfRule>
  </conditionalFormatting>
  <conditionalFormatting sqref="T288">
    <cfRule type="cellIs" dxfId="0" priority="53" operator="equal">
      <formula>"欠"</formula>
    </cfRule>
    <cfRule type="containsText" dxfId="0" priority="54" operator="between" text="欠">
      <formula>NOT(ISERROR(SEARCH("欠",T288)))</formula>
    </cfRule>
  </conditionalFormatting>
  <conditionalFormatting sqref="U288">
    <cfRule type="cellIs" dxfId="0" priority="51" operator="equal">
      <formula>"欠"</formula>
    </cfRule>
    <cfRule type="containsText" dxfId="0" priority="52" operator="between" text="欠">
      <formula>NOT(ISERROR(SEARCH("欠",U288)))</formula>
    </cfRule>
  </conditionalFormatting>
  <conditionalFormatting sqref="S294">
    <cfRule type="containsText" dxfId="0" priority="1638" operator="between" text="欠">
      <formula>NOT(ISERROR(SEARCH("欠",S294)))</formula>
    </cfRule>
    <cfRule type="cellIs" dxfId="0" priority="1639" operator="equal">
      <formula>"欠"</formula>
    </cfRule>
  </conditionalFormatting>
  <conditionalFormatting sqref="V297">
    <cfRule type="cellIs" dxfId="0" priority="1523" operator="equal">
      <formula>"欠"</formula>
    </cfRule>
    <cfRule type="containsText" dxfId="0" priority="1528" operator="between" text="欠">
      <formula>NOT(ISERROR(SEARCH("欠",V297)))</formula>
    </cfRule>
  </conditionalFormatting>
  <conditionalFormatting sqref="S302">
    <cfRule type="containsText" dxfId="0" priority="1053" operator="between" text="欠">
      <formula>NOT(ISERROR(SEARCH("欠",S302)))</formula>
    </cfRule>
    <cfRule type="cellIs" dxfId="0" priority="1054" operator="equal">
      <formula>"欠"</formula>
    </cfRule>
  </conditionalFormatting>
  <conditionalFormatting sqref="U302:V302">
    <cfRule type="cellIs" dxfId="0" priority="1075" operator="equal">
      <formula>"欠"</formula>
    </cfRule>
    <cfRule type="containsText" dxfId="0" priority="1083" operator="between" text="欠">
      <formula>NOT(ISERROR(SEARCH("欠",U302)))</formula>
    </cfRule>
  </conditionalFormatting>
  <conditionalFormatting sqref="V309">
    <cfRule type="cellIs" dxfId="0" priority="351" operator="equal">
      <formula>"欠"</formula>
    </cfRule>
    <cfRule type="containsText" dxfId="0" priority="354" operator="between" text="欠">
      <formula>NOT(ISERROR(SEARCH("欠",V309)))</formula>
    </cfRule>
  </conditionalFormatting>
  <conditionalFormatting sqref="S376">
    <cfRule type="containsText" dxfId="0" priority="1887" operator="between" text="欠">
      <formula>NOT(ISERROR(SEARCH("欠",S376)))</formula>
    </cfRule>
    <cfRule type="cellIs" dxfId="0" priority="1890" operator="equal">
      <formula>"欠"</formula>
    </cfRule>
  </conditionalFormatting>
  <conditionalFormatting sqref="T376">
    <cfRule type="cellIs" dxfId="0" priority="1893" operator="equal">
      <formula>"欠"</formula>
    </cfRule>
    <cfRule type="containsText" dxfId="0" priority="1896" operator="between" text="欠">
      <formula>NOT(ISERROR(SEARCH("欠",T376)))</formula>
    </cfRule>
  </conditionalFormatting>
  <conditionalFormatting sqref="U376:V376">
    <cfRule type="cellIs" dxfId="0" priority="1881" operator="equal">
      <formula>"欠"</formula>
    </cfRule>
    <cfRule type="containsText" dxfId="0" priority="1884" operator="between" text="欠">
      <formula>NOT(ISERROR(SEARCH("欠",U376)))</formula>
    </cfRule>
  </conditionalFormatting>
  <conditionalFormatting sqref="S377">
    <cfRule type="containsText" dxfId="0" priority="1886" operator="between" text="欠">
      <formula>NOT(ISERROR(SEARCH("欠",S377)))</formula>
    </cfRule>
    <cfRule type="cellIs" dxfId="0" priority="1889" operator="equal">
      <formula>"欠"</formula>
    </cfRule>
  </conditionalFormatting>
  <conditionalFormatting sqref="T377">
    <cfRule type="cellIs" dxfId="0" priority="1892" operator="equal">
      <formula>"欠"</formula>
    </cfRule>
    <cfRule type="containsText" dxfId="0" priority="1895" operator="between" text="欠">
      <formula>NOT(ISERROR(SEARCH("欠",T377)))</formula>
    </cfRule>
  </conditionalFormatting>
  <conditionalFormatting sqref="U377:V377">
    <cfRule type="cellIs" dxfId="0" priority="1880" operator="equal">
      <formula>"欠"</formula>
    </cfRule>
    <cfRule type="containsText" dxfId="0" priority="1883" operator="between" text="欠">
      <formula>NOT(ISERROR(SEARCH("欠",U377)))</formula>
    </cfRule>
  </conditionalFormatting>
  <conditionalFormatting sqref="S4:S6">
    <cfRule type="containsText" dxfId="0" priority="1901" operator="between" text="欠">
      <formula>NOT(ISERROR(SEARCH("欠",S4)))</formula>
    </cfRule>
    <cfRule type="cellIs" dxfId="0" priority="1902" operator="equal">
      <formula>"欠"</formula>
    </cfRule>
  </conditionalFormatting>
  <conditionalFormatting sqref="S13:S14">
    <cfRule type="containsText" dxfId="0" priority="1853" operator="between" text="欠">
      <formula>NOT(ISERROR(SEARCH("欠",S13)))</formula>
    </cfRule>
    <cfRule type="cellIs" dxfId="0" priority="1855" operator="equal">
      <formula>"欠"</formula>
    </cfRule>
  </conditionalFormatting>
  <conditionalFormatting sqref="S31:S32">
    <cfRule type="containsText" dxfId="0" priority="1752" operator="between" text="欠">
      <formula>NOT(ISERROR(SEARCH("欠",S31)))</formula>
    </cfRule>
    <cfRule type="cellIs" dxfId="0" priority="1753" operator="equal">
      <formula>"欠"</formula>
    </cfRule>
  </conditionalFormatting>
  <conditionalFormatting sqref="S63:S66">
    <cfRule type="containsText" dxfId="0" priority="1269" operator="between" text="欠">
      <formula>NOT(ISERROR(SEARCH("欠",S63)))</formula>
    </cfRule>
    <cfRule type="cellIs" dxfId="0" priority="1273" operator="equal">
      <formula>"欠"</formula>
    </cfRule>
  </conditionalFormatting>
  <conditionalFormatting sqref="S94:S96">
    <cfRule type="containsText" dxfId="0" priority="1022" operator="between" text="欠">
      <formula>NOT(ISERROR(SEARCH("欠",S94)))</formula>
    </cfRule>
    <cfRule type="cellIs" dxfId="0" priority="1032" operator="equal">
      <formula>"欠"</formula>
    </cfRule>
  </conditionalFormatting>
  <conditionalFormatting sqref="S103:S104">
    <cfRule type="containsText" dxfId="0" priority="975" operator="between" text="欠">
      <formula>NOT(ISERROR(SEARCH("欠",S103)))</formula>
    </cfRule>
    <cfRule type="cellIs" dxfId="0" priority="978" operator="equal">
      <formula>"欠"</formula>
    </cfRule>
  </conditionalFormatting>
  <conditionalFormatting sqref="S117:S122">
    <cfRule type="containsText" dxfId="0" priority="423" operator="between" text="欠">
      <formula>NOT(ISERROR(SEARCH("欠",S117)))</formula>
    </cfRule>
    <cfRule type="cellIs" dxfId="0" priority="424" operator="equal">
      <formula>"欠"</formula>
    </cfRule>
  </conditionalFormatting>
  <conditionalFormatting sqref="S132:S133">
    <cfRule type="containsText" dxfId="0" priority="1163" operator="between" text="欠">
      <formula>NOT(ISERROR(SEARCH("欠",S132)))</formula>
    </cfRule>
    <cfRule type="cellIs" dxfId="0" priority="1168" operator="equal">
      <formula>"欠"</formula>
    </cfRule>
  </conditionalFormatting>
  <conditionalFormatting sqref="S134:S136">
    <cfRule type="containsText" dxfId="0" priority="793" operator="between" text="欠">
      <formula>NOT(ISERROR(SEARCH("欠",S134)))</formula>
    </cfRule>
    <cfRule type="cellIs" dxfId="0" priority="794" operator="equal">
      <formula>"欠"</formula>
    </cfRule>
  </conditionalFormatting>
  <conditionalFormatting sqref="S160:S178">
    <cfRule type="containsText" dxfId="0" priority="727" operator="between" text="欠">
      <formula>NOT(ISERROR(SEARCH("欠",S160)))</formula>
    </cfRule>
    <cfRule type="cellIs" dxfId="0" priority="742" operator="equal">
      <formula>"欠"</formula>
    </cfRule>
  </conditionalFormatting>
  <conditionalFormatting sqref="S167:S168">
    <cfRule type="containsText" dxfId="0" priority="429" operator="between" text="欠">
      <formula>NOT(ISERROR(SEARCH("欠",S167)))</formula>
    </cfRule>
    <cfRule type="cellIs" dxfId="0" priority="430" operator="equal">
      <formula>"欠"</formula>
    </cfRule>
  </conditionalFormatting>
  <conditionalFormatting sqref="S176:S177">
    <cfRule type="containsText" dxfId="0" priority="1298" operator="between" text="欠">
      <formula>NOT(ISERROR(SEARCH("欠",S176)))</formula>
    </cfRule>
    <cfRule type="cellIs" dxfId="0" priority="1299" operator="equal">
      <formula>"欠"</formula>
    </cfRule>
  </conditionalFormatting>
  <conditionalFormatting sqref="S197:S198">
    <cfRule type="containsText" dxfId="0" priority="805" operator="between" text="欠">
      <formula>NOT(ISERROR(SEARCH("欠",S197)))</formula>
    </cfRule>
    <cfRule type="cellIs" dxfId="0" priority="806" operator="equal">
      <formula>"欠"</formula>
    </cfRule>
  </conditionalFormatting>
  <conditionalFormatting sqref="S204:S205">
    <cfRule type="containsText" dxfId="0" priority="243" operator="between" text="欠">
      <formula>NOT(ISERROR(SEARCH("欠",S204)))</formula>
    </cfRule>
    <cfRule type="cellIs" dxfId="0" priority="244" operator="equal">
      <formula>"欠"</formula>
    </cfRule>
  </conditionalFormatting>
  <conditionalFormatting sqref="S207:S208">
    <cfRule type="containsText" dxfId="0" priority="375" operator="between" text="欠">
      <formula>NOT(ISERROR(SEARCH("欠",S207)))</formula>
    </cfRule>
    <cfRule type="cellIs" dxfId="0" priority="376" operator="equal">
      <formula>"欠"</formula>
    </cfRule>
  </conditionalFormatting>
  <conditionalFormatting sqref="S265:S266">
    <cfRule type="containsText" dxfId="0" priority="163" operator="between" text="欠">
      <formula>NOT(ISERROR(SEARCH("欠",S265)))</formula>
    </cfRule>
    <cfRule type="cellIs" dxfId="0" priority="177" operator="equal">
      <formula>"欠"</formula>
    </cfRule>
  </conditionalFormatting>
  <conditionalFormatting sqref="S267:S268">
    <cfRule type="containsText" dxfId="0" priority="31" operator="between" text="欠">
      <formula>NOT(ISERROR(SEARCH("欠",S267)))</formula>
    </cfRule>
    <cfRule type="cellIs" dxfId="0" priority="32" operator="equal">
      <formula>"欠"</formula>
    </cfRule>
    <cfRule type="containsText" dxfId="0" priority="973" operator="between" text="欠">
      <formula>NOT(ISERROR(SEARCH("欠",S267)))</formula>
    </cfRule>
    <cfRule type="cellIs" dxfId="0" priority="976" operator="equal">
      <formula>"欠"</formula>
    </cfRule>
  </conditionalFormatting>
  <conditionalFormatting sqref="S297:S298">
    <cfRule type="containsText" dxfId="0" priority="249" operator="between" text="欠">
      <formula>NOT(ISERROR(SEARCH("欠",S297)))</formula>
    </cfRule>
    <cfRule type="cellIs" dxfId="0" priority="250" operator="equal">
      <formula>"欠"</formula>
    </cfRule>
  </conditionalFormatting>
  <conditionalFormatting sqref="T4:T7">
    <cfRule type="cellIs" dxfId="0" priority="1903" operator="equal">
      <formula>"欠"</formula>
    </cfRule>
    <cfRule type="containsText" dxfId="0" priority="1904" operator="between" text="欠">
      <formula>NOT(ISERROR(SEARCH("欠",T4)))</formula>
    </cfRule>
  </conditionalFormatting>
  <conditionalFormatting sqref="T63:T66">
    <cfRule type="cellIs" dxfId="0" priority="1277" operator="equal">
      <formula>"欠"</formula>
    </cfRule>
    <cfRule type="containsText" dxfId="0" priority="1281" operator="between" text="欠">
      <formula>NOT(ISERROR(SEARCH("欠",T63)))</formula>
    </cfRule>
  </conditionalFormatting>
  <conditionalFormatting sqref="T94:T96">
    <cfRule type="cellIs" dxfId="0" priority="1042" operator="equal">
      <formula>"欠"</formula>
    </cfRule>
    <cfRule type="containsText" dxfId="0" priority="1052" operator="between" text="欠">
      <formula>NOT(ISERROR(SEARCH("欠",T94)))</formula>
    </cfRule>
  </conditionalFormatting>
  <conditionalFormatting sqref="T103:T104">
    <cfRule type="cellIs" dxfId="0" priority="409" operator="equal">
      <formula>"欠"</formula>
    </cfRule>
    <cfRule type="containsText" dxfId="0" priority="410" operator="between" text="欠">
      <formula>NOT(ISERROR(SEARCH("欠",T103)))</formula>
    </cfRule>
  </conditionalFormatting>
  <conditionalFormatting sqref="T119:T120">
    <cfRule type="cellIs" dxfId="0" priority="523" operator="equal">
      <formula>"欠"</formula>
    </cfRule>
    <cfRule type="containsText" dxfId="0" priority="524" operator="between" text="欠">
      <formula>NOT(ISERROR(SEARCH("欠",T119)))</formula>
    </cfRule>
  </conditionalFormatting>
  <conditionalFormatting sqref="T132:T133">
    <cfRule type="cellIs" dxfId="0" priority="1173" operator="equal">
      <formula>"欠"</formula>
    </cfRule>
    <cfRule type="containsText" dxfId="0" priority="1178" operator="between" text="欠">
      <formula>NOT(ISERROR(SEARCH("欠",T132)))</formula>
    </cfRule>
  </conditionalFormatting>
  <conditionalFormatting sqref="T163:T165">
    <cfRule type="cellIs" dxfId="0" priority="515" operator="equal">
      <formula>"欠"</formula>
    </cfRule>
    <cfRule type="containsText" dxfId="0" priority="516" operator="between" text="欠">
      <formula>NOT(ISERROR(SEARCH("欠",T163)))</formula>
    </cfRule>
  </conditionalFormatting>
  <conditionalFormatting sqref="T174:T175">
    <cfRule type="cellIs" dxfId="0" priority="491" operator="equal">
      <formula>"欠"</formula>
    </cfRule>
    <cfRule type="containsText" dxfId="0" priority="492" operator="between" text="欠">
      <formula>NOT(ISERROR(SEARCH("欠",T174)))</formula>
    </cfRule>
  </conditionalFormatting>
  <conditionalFormatting sqref="T189:T190">
    <cfRule type="cellIs" dxfId="0" priority="499" operator="equal">
      <formula>"欠"</formula>
    </cfRule>
    <cfRule type="containsText" dxfId="0" priority="500" operator="between" text="欠">
      <formula>NOT(ISERROR(SEARCH("欠",T189)))</formula>
    </cfRule>
  </conditionalFormatting>
  <conditionalFormatting sqref="T194:T198">
    <cfRule type="cellIs" dxfId="0" priority="1039" operator="equal">
      <formula>"欠"</formula>
    </cfRule>
    <cfRule type="containsText" dxfId="0" priority="1049" operator="between" text="欠">
      <formula>NOT(ISERROR(SEARCH("欠",T194)))</formula>
    </cfRule>
  </conditionalFormatting>
  <conditionalFormatting sqref="T205:T206">
    <cfRule type="cellIs" dxfId="0" priority="59" operator="equal">
      <formula>"欠"</formula>
    </cfRule>
    <cfRule type="containsText" dxfId="0" priority="60" operator="between" text="欠">
      <formula>NOT(ISERROR(SEARCH("欠",T205)))</formula>
    </cfRule>
  </conditionalFormatting>
  <conditionalFormatting sqref="T234:T235">
    <cfRule type="cellIs" dxfId="0" priority="217" operator="equal">
      <formula>"欠"</formula>
    </cfRule>
    <cfRule type="containsText" dxfId="0" priority="231" operator="between" text="欠">
      <formula>NOT(ISERROR(SEARCH("欠",T234)))</formula>
    </cfRule>
  </conditionalFormatting>
  <conditionalFormatting sqref="T241:T243">
    <cfRule type="cellIs" dxfId="0" priority="467" operator="equal">
      <formula>"欠"</formula>
    </cfRule>
    <cfRule type="containsText" dxfId="0" priority="468" operator="between" text="欠">
      <formula>NOT(ISERROR(SEARCH("欠",T241)))</formula>
    </cfRule>
  </conditionalFormatting>
  <conditionalFormatting sqref="T258:T259">
    <cfRule type="cellIs" dxfId="0" priority="325" operator="equal">
      <formula>"欠"</formula>
    </cfRule>
    <cfRule type="containsText" dxfId="0" priority="326" operator="between" text="欠">
      <formula>NOT(ISERROR(SEARCH("欠",T258)))</formula>
    </cfRule>
  </conditionalFormatting>
  <conditionalFormatting sqref="T261:T262">
    <cfRule type="cellIs" dxfId="0" priority="338" operator="equal">
      <formula>"欠"</formula>
    </cfRule>
    <cfRule type="containsText" dxfId="0" priority="341" operator="between" text="欠">
      <formula>NOT(ISERROR(SEARCH("欠",T261)))</formula>
    </cfRule>
  </conditionalFormatting>
  <conditionalFormatting sqref="T265:T266">
    <cfRule type="cellIs" dxfId="0" priority="219" operator="equal">
      <formula>"欠"</formula>
    </cfRule>
    <cfRule type="containsText" dxfId="0" priority="233" operator="between" text="欠">
      <formula>NOT(ISERROR(SEARCH("欠",T265)))</formula>
    </cfRule>
  </conditionalFormatting>
  <conditionalFormatting sqref="T267:T268">
    <cfRule type="cellIs" dxfId="0" priority="17" operator="equal">
      <formula>"欠"</formula>
    </cfRule>
    <cfRule type="containsText" dxfId="0" priority="18" operator="between" text="欠">
      <formula>NOT(ISERROR(SEARCH("欠",T267)))</formula>
    </cfRule>
    <cfRule type="cellIs" dxfId="0" priority="214" operator="equal">
      <formula>"欠"</formula>
    </cfRule>
    <cfRule type="containsText" dxfId="0" priority="228" operator="between" text="欠">
      <formula>NOT(ISERROR(SEARCH("欠",T267)))</formula>
    </cfRule>
  </conditionalFormatting>
  <conditionalFormatting sqref="T278:T306">
    <cfRule type="cellIs" dxfId="0" priority="9" operator="equal">
      <formula>"欠"</formula>
    </cfRule>
    <cfRule type="containsText" dxfId="0" priority="10" operator="between" text="欠">
      <formula>NOT(ISERROR(SEARCH("欠",T278)))</formula>
    </cfRule>
  </conditionalFormatting>
  <conditionalFormatting sqref="T288:T289">
    <cfRule type="cellIs" dxfId="0" priority="23" operator="equal">
      <formula>"欠"</formula>
    </cfRule>
    <cfRule type="containsText" dxfId="0" priority="24" operator="between" text="欠">
      <formula>NOT(ISERROR(SEARCH("欠",T288)))</formula>
    </cfRule>
  </conditionalFormatting>
  <conditionalFormatting sqref="T294:T298">
    <cfRule type="cellIs" dxfId="0" priority="247" operator="equal">
      <formula>"欠"</formula>
    </cfRule>
    <cfRule type="containsText" dxfId="0" priority="248" operator="between" text="欠">
      <formula>NOT(ISERROR(SEARCH("欠",T294)))</formula>
    </cfRule>
  </conditionalFormatting>
  <conditionalFormatting sqref="T295:T296">
    <cfRule type="cellIs" dxfId="0" priority="435" operator="equal">
      <formula>"欠"</formula>
    </cfRule>
    <cfRule type="containsText" dxfId="0" priority="436" operator="between" text="欠">
      <formula>NOT(ISERROR(SEARCH("欠",T295)))</formula>
    </cfRule>
  </conditionalFormatting>
  <conditionalFormatting sqref="U18:U19">
    <cfRule type="containsText" dxfId="0" priority="1840" operator="between" text="欠">
      <formula>NOT(ISERROR(SEARCH("欠",U18)))</formula>
    </cfRule>
    <cfRule type="cellIs" dxfId="0" priority="1841" operator="equal">
      <formula>"欠"</formula>
    </cfRule>
  </conditionalFormatting>
  <conditionalFormatting sqref="U20:U23">
    <cfRule type="cellIs" dxfId="0" priority="1804" operator="equal">
      <formula>"欠"</formula>
    </cfRule>
    <cfRule type="containsText" dxfId="0" priority="1805" operator="between" text="欠">
      <formula>NOT(ISERROR(SEARCH("欠",U20)))</formula>
    </cfRule>
  </conditionalFormatting>
  <conditionalFormatting sqref="U94:U96">
    <cfRule type="cellIs" dxfId="0" priority="991" operator="equal">
      <formula>"欠"</formula>
    </cfRule>
    <cfRule type="containsText" dxfId="0" priority="992" operator="between" text="欠">
      <formula>NOT(ISERROR(SEARCH("欠",U94)))</formula>
    </cfRule>
  </conditionalFormatting>
  <conditionalFormatting sqref="U119:U120">
    <cfRule type="cellIs" dxfId="0" priority="521" operator="equal">
      <formula>"欠"</formula>
    </cfRule>
    <cfRule type="containsText" dxfId="0" priority="522" operator="between" text="欠">
      <formula>NOT(ISERROR(SEARCH("欠",U119)))</formula>
    </cfRule>
  </conditionalFormatting>
  <conditionalFormatting sqref="U142:U143">
    <cfRule type="cellIs" dxfId="0" priority="513" operator="equal">
      <formula>"欠"</formula>
    </cfRule>
    <cfRule type="containsText" dxfId="0" priority="514" operator="between" text="欠">
      <formula>NOT(ISERROR(SEARCH("欠",U142)))</formula>
    </cfRule>
  </conditionalFormatting>
  <conditionalFormatting sqref="U160:U178">
    <cfRule type="cellIs" dxfId="0" priority="61" operator="equal">
      <formula>"欠"</formula>
    </cfRule>
    <cfRule type="containsText" dxfId="0" priority="62" operator="between" text="欠">
      <formula>NOT(ISERROR(SEARCH("欠",U160)))</formula>
    </cfRule>
  </conditionalFormatting>
  <conditionalFormatting sqref="U176:U177">
    <cfRule type="cellIs" dxfId="0" priority="1294" operator="equal">
      <formula>"欠"</formula>
    </cfRule>
    <cfRule type="containsText" dxfId="0" priority="1295" operator="between" text="欠">
      <formula>NOT(ISERROR(SEARCH("欠",U176)))</formula>
    </cfRule>
  </conditionalFormatting>
  <conditionalFormatting sqref="U189:U190">
    <cfRule type="cellIs" dxfId="0" priority="497" operator="equal">
      <formula>"欠"</formula>
    </cfRule>
    <cfRule type="containsText" dxfId="0" priority="498" operator="between" text="欠">
      <formula>NOT(ISERROR(SEARCH("欠",U189)))</formula>
    </cfRule>
  </conditionalFormatting>
  <conditionalFormatting sqref="U195:U198">
    <cfRule type="cellIs" dxfId="0" priority="505" operator="equal">
      <formula>"欠"</formula>
    </cfRule>
    <cfRule type="containsText" dxfId="0" priority="506" operator="between" text="欠">
      <formula>NOT(ISERROR(SEARCH("欠",U195)))</formula>
    </cfRule>
  </conditionalFormatting>
  <conditionalFormatting sqref="U205:U206">
    <cfRule type="cellIs" dxfId="0" priority="57" operator="equal">
      <formula>"欠"</formula>
    </cfRule>
    <cfRule type="containsText" dxfId="0" priority="58" operator="between" text="欠">
      <formula>NOT(ISERROR(SEARCH("欠",U205)))</formula>
    </cfRule>
  </conditionalFormatting>
  <conditionalFormatting sqref="U226:U243">
    <cfRule type="cellIs" dxfId="0" priority="192" operator="equal">
      <formula>"欠"</formula>
    </cfRule>
    <cfRule type="containsText" dxfId="0" priority="206" operator="between" text="欠">
      <formula>NOT(ISERROR(SEARCH("欠",U226)))</formula>
    </cfRule>
  </conditionalFormatting>
  <conditionalFormatting sqref="U242:U243">
    <cfRule type="cellIs" dxfId="0" priority="465" operator="equal">
      <formula>"欠"</formula>
    </cfRule>
    <cfRule type="containsText" dxfId="0" priority="466" operator="between" text="欠">
      <formula>NOT(ISERROR(SEARCH("欠",U242)))</formula>
    </cfRule>
  </conditionalFormatting>
  <conditionalFormatting sqref="U267:U268">
    <cfRule type="cellIs" dxfId="0" priority="15" operator="equal">
      <formula>"欠"</formula>
    </cfRule>
    <cfRule type="containsText" dxfId="0" priority="16" operator="between" text="欠">
      <formula>NOT(ISERROR(SEARCH("欠",U267)))</formula>
    </cfRule>
    <cfRule type="cellIs" dxfId="0" priority="186" operator="equal">
      <formula>"欠"</formula>
    </cfRule>
    <cfRule type="containsText" dxfId="0" priority="200" operator="between" text="欠">
      <formula>NOT(ISERROR(SEARCH("欠",U267)))</formula>
    </cfRule>
  </conditionalFormatting>
  <conditionalFormatting sqref="U288:U289">
    <cfRule type="cellIs" dxfId="0" priority="21" operator="equal">
      <formula>"欠"</formula>
    </cfRule>
    <cfRule type="containsText" dxfId="0" priority="22" operator="between" text="欠">
      <formula>NOT(ISERROR(SEARCH("欠",U288)))</formula>
    </cfRule>
  </conditionalFormatting>
  <conditionalFormatting sqref="U298:U300">
    <cfRule type="cellIs" dxfId="0" priority="1636" operator="equal">
      <formula>"欠"</formula>
    </cfRule>
    <cfRule type="containsText" dxfId="0" priority="1637" operator="between" text="欠">
      <formula>NOT(ISERROR(SEARCH("欠",U298)))</formula>
    </cfRule>
  </conditionalFormatting>
  <conditionalFormatting sqref="U300:U302">
    <cfRule type="cellIs" dxfId="0" priority="245" operator="equal">
      <formula>"欠"</formula>
    </cfRule>
    <cfRule type="containsText" dxfId="0" priority="246" operator="between" text="欠">
      <formula>NOT(ISERROR(SEARCH("欠",U300)))</formula>
    </cfRule>
  </conditionalFormatting>
  <conditionalFormatting sqref="V94:V96">
    <cfRule type="cellIs" dxfId="0" priority="1002" operator="equal">
      <formula>"欠"</formula>
    </cfRule>
    <cfRule type="containsText" dxfId="0" priority="1012" operator="between" text="欠">
      <formula>NOT(ISERROR(SEARCH("欠",V94)))</formula>
    </cfRule>
  </conditionalFormatting>
  <conditionalFormatting sqref="V142:V143">
    <cfRule type="cellIs" dxfId="0" priority="517" operator="equal">
      <formula>"欠"</formula>
    </cfRule>
    <cfRule type="containsText" dxfId="0" priority="518" operator="between" text="欠">
      <formula>NOT(ISERROR(SEARCH("欠",V142)))</formula>
    </cfRule>
  </conditionalFormatting>
  <conditionalFormatting sqref="V167:V168">
    <cfRule type="cellIs" dxfId="0" priority="1057" operator="equal">
      <formula>"欠"</formula>
    </cfRule>
    <cfRule type="containsText" dxfId="0" priority="1058" operator="between" text="欠">
      <formula>NOT(ISERROR(SEARCH("欠",V167)))</formula>
    </cfRule>
  </conditionalFormatting>
  <conditionalFormatting sqref="V189:V190">
    <cfRule type="cellIs" dxfId="0" priority="501" operator="equal">
      <formula>"欠"</formula>
    </cfRule>
    <cfRule type="containsText" dxfId="0" priority="502" operator="between" text="欠">
      <formula>NOT(ISERROR(SEARCH("欠",V189)))</formula>
    </cfRule>
  </conditionalFormatting>
  <conditionalFormatting sqref="V195:V198">
    <cfRule type="cellIs" dxfId="0" priority="509" operator="equal">
      <formula>"欠"</formula>
    </cfRule>
    <cfRule type="containsText" dxfId="0" priority="510" operator="between" text="欠">
      <formula>NOT(ISERROR(SEARCH("欠",V195)))</formula>
    </cfRule>
  </conditionalFormatting>
  <conditionalFormatting sqref="S1:V3">
    <cfRule type="cellIs" dxfId="0" priority="1905" operator="equal">
      <formula>"欠"</formula>
    </cfRule>
  </conditionalFormatting>
  <conditionalFormatting sqref="U4:V6">
    <cfRule type="cellIs" dxfId="0" priority="1878" operator="equal">
      <formula>"欠"</formula>
    </cfRule>
    <cfRule type="containsText" dxfId="0" priority="1879" operator="between" text="欠">
      <formula>NOT(ISERROR(SEARCH("欠",U4)))</formula>
    </cfRule>
  </conditionalFormatting>
  <conditionalFormatting sqref="S8:S12 S15">
    <cfRule type="containsText" dxfId="0" priority="1852" operator="between" text="欠">
      <formula>NOT(ISERROR(SEARCH("欠",S8)))</formula>
    </cfRule>
    <cfRule type="cellIs" dxfId="0" priority="1854" operator="equal">
      <formula>"欠"</formula>
    </cfRule>
  </conditionalFormatting>
  <conditionalFormatting sqref="T8:T27 T35 T59 T67 T73:T75 T79:T80 T84 T86 T102 T105:T107 T113:T122 T164:T175 T182:T184 T190:T191 T196:T200 T202:T205 T209:T213 T220:T221 T245 T248:T249 T267:T268 T285 T288:T290">
    <cfRule type="cellIs" dxfId="0" priority="1857" operator="equal">
      <formula>"欠"</formula>
    </cfRule>
    <cfRule type="containsText" dxfId="0" priority="1859" operator="between" text="欠">
      <formula>NOT(ISERROR(SEARCH("欠",T8)))</formula>
    </cfRule>
  </conditionalFormatting>
  <conditionalFormatting sqref="U8:V8 U12:V14">
    <cfRule type="containsText" dxfId="0" priority="1846" operator="between" text="欠">
      <formula>NOT(ISERROR(SEARCH("欠",U8)))</formula>
    </cfRule>
    <cfRule type="cellIs" dxfId="0" priority="1847" operator="equal">
      <formula>"欠"</formula>
    </cfRule>
  </conditionalFormatting>
  <conditionalFormatting sqref="U15:V15 U9:V11">
    <cfRule type="containsText" dxfId="0" priority="1829" operator="between" text="欠">
      <formula>NOT(ISERROR(SEARCH("欠",U9)))</formula>
    </cfRule>
    <cfRule type="cellIs" dxfId="0" priority="1831" operator="equal">
      <formula>"欠"</formula>
    </cfRule>
  </conditionalFormatting>
  <conditionalFormatting sqref="S24 S16:S19 S26:S27">
    <cfRule type="containsText" dxfId="0" priority="1820" operator="between" text="欠">
      <formula>NOT(ISERROR(SEARCH("欠",S16)))</formula>
    </cfRule>
    <cfRule type="cellIs" dxfId="0" priority="1821" operator="equal">
      <formula>"欠"</formula>
    </cfRule>
  </conditionalFormatting>
  <conditionalFormatting sqref="U24 U16:U17 U26:U27">
    <cfRule type="containsText" dxfId="0" priority="1818" operator="between" text="欠">
      <formula>NOT(ISERROR(SEARCH("欠",U16)))</formula>
    </cfRule>
    <cfRule type="cellIs" dxfId="0" priority="1819" operator="equal">
      <formula>"欠"</formula>
    </cfRule>
  </conditionalFormatting>
  <conditionalFormatting sqref="S20:S23 S25 S35">
    <cfRule type="containsText" dxfId="0" priority="1816" operator="between" text="欠">
      <formula>NOT(ISERROR(SEARCH("欠",S20)))</formula>
    </cfRule>
    <cfRule type="cellIs" dxfId="0" priority="1817" operator="equal">
      <formula>"欠"</formula>
    </cfRule>
  </conditionalFormatting>
  <conditionalFormatting sqref="V21:V23 U159:V159">
    <cfRule type="cellIs" dxfId="0" priority="1872" operator="equal">
      <formula>"欠"</formula>
    </cfRule>
    <cfRule type="containsText" dxfId="0" priority="1873" operator="between" text="欠">
      <formula>NOT(ISERROR(SEARCH("欠",U21)))</formula>
    </cfRule>
  </conditionalFormatting>
  <conditionalFormatting sqref="V24 U25:V25 V26:V27 U35">
    <cfRule type="cellIs" dxfId="0" priority="1708" operator="equal">
      <formula>"欠"</formula>
    </cfRule>
    <cfRule type="containsText" dxfId="0" priority="1709" operator="between" text="欠">
      <formula>NOT(ISERROR(SEARCH("欠",U24)))</formula>
    </cfRule>
  </conditionalFormatting>
  <conditionalFormatting sqref="T28 T31:T32">
    <cfRule type="cellIs" dxfId="0" priority="1754" operator="equal">
      <formula>"欠"</formula>
    </cfRule>
    <cfRule type="containsText" dxfId="0" priority="1755" operator="between" text="欠">
      <formula>NOT(ISERROR(SEARCH("欠",T28)))</formula>
    </cfRule>
  </conditionalFormatting>
  <conditionalFormatting sqref="U31:U32 U37 U39 U51 U58 U79">
    <cfRule type="cellIs" dxfId="0" priority="1750" operator="equal">
      <formula>"欠"</formula>
    </cfRule>
    <cfRule type="containsText" dxfId="0" priority="1751" operator="between" text="欠">
      <formula>NOT(ISERROR(SEARCH("欠",U31)))</formula>
    </cfRule>
  </conditionalFormatting>
  <conditionalFormatting sqref="S36 S33">
    <cfRule type="containsText" dxfId="0" priority="1503" operator="between" text="欠">
      <formula>NOT(ISERROR(SEARCH("欠",S33)))</formula>
    </cfRule>
    <cfRule type="cellIs" dxfId="0" priority="1505" operator="equal">
      <formula>"欠"</formula>
    </cfRule>
  </conditionalFormatting>
  <conditionalFormatting sqref="T36 T33">
    <cfRule type="cellIs" dxfId="0" priority="1507" operator="equal">
      <formula>"欠"</formula>
    </cfRule>
    <cfRule type="containsText" dxfId="0" priority="1509" operator="between" text="欠">
      <formula>NOT(ISERROR(SEARCH("欠",T33)))</formula>
    </cfRule>
  </conditionalFormatting>
  <conditionalFormatting sqref="U36:V36 U33">
    <cfRule type="cellIs" dxfId="0" priority="1499" operator="equal">
      <formula>"欠"</formula>
    </cfRule>
    <cfRule type="containsText" dxfId="0" priority="1501" operator="between" text="欠">
      <formula>NOT(ISERROR(SEARCH("欠",U33)))</formula>
    </cfRule>
  </conditionalFormatting>
  <conditionalFormatting sqref="S37 S39 S51 S58 S79">
    <cfRule type="containsText" dxfId="0" priority="1728" operator="between" text="欠">
      <formula>NOT(ISERROR(SEARCH("欠",S37)))</formula>
    </cfRule>
    <cfRule type="cellIs" dxfId="0" priority="1729" operator="equal">
      <formula>"欠"</formula>
    </cfRule>
  </conditionalFormatting>
  <conditionalFormatting sqref="T37:T39 T51 T58 T79">
    <cfRule type="cellIs" dxfId="0" priority="1730" operator="equal">
      <formula>"欠"</formula>
    </cfRule>
    <cfRule type="containsText" dxfId="0" priority="1731" operator="between" text="欠">
      <formula>NOT(ISERROR(SEARCH("欠",T37)))</formula>
    </cfRule>
  </conditionalFormatting>
  <conditionalFormatting sqref="T40:T42 T45 T298:T299">
    <cfRule type="cellIs" dxfId="0" priority="1646" operator="equal">
      <formula>"欠"</formula>
    </cfRule>
    <cfRule type="containsText" dxfId="0" priority="1647" operator="between" text="欠">
      <formula>NOT(ISERROR(SEARCH("欠",T40)))</formula>
    </cfRule>
  </conditionalFormatting>
  <conditionalFormatting sqref="S43 S47">
    <cfRule type="containsText" dxfId="0" priority="1215" operator="between" text="欠">
      <formula>NOT(ISERROR(SEARCH("欠",S43)))</formula>
    </cfRule>
    <cfRule type="cellIs" dxfId="0" priority="1216" operator="equal">
      <formula>"欠"</formula>
    </cfRule>
  </conditionalFormatting>
  <conditionalFormatting sqref="T43 T46:T47">
    <cfRule type="cellIs" dxfId="0" priority="1628" operator="equal">
      <formula>"欠"</formula>
    </cfRule>
    <cfRule type="containsText" dxfId="0" priority="1629" operator="between" text="欠">
      <formula>NOT(ISERROR(SEARCH("欠",T43)))</formula>
    </cfRule>
  </conditionalFormatting>
  <conditionalFormatting sqref="U43:V43 U46:V47">
    <cfRule type="cellIs" dxfId="0" priority="1624" operator="equal">
      <formula>"欠"</formula>
    </cfRule>
    <cfRule type="containsText" dxfId="0" priority="1625" operator="between" text="欠">
      <formula>NOT(ISERROR(SEARCH("欠",U43)))</formula>
    </cfRule>
  </conditionalFormatting>
  <conditionalFormatting sqref="S48:S50 S44">
    <cfRule type="containsText" dxfId="0" priority="1361" operator="between" text="欠">
      <formula>NOT(ISERROR(SEARCH("欠",S44)))</formula>
    </cfRule>
    <cfRule type="cellIs" dxfId="0" priority="1365" operator="equal">
      <formula>"欠"</formula>
    </cfRule>
  </conditionalFormatting>
  <conditionalFormatting sqref="T48:T50 T44">
    <cfRule type="cellIs" dxfId="0" priority="1369" operator="equal">
      <formula>"欠"</formula>
    </cfRule>
    <cfRule type="containsText" dxfId="0" priority="1373" operator="between" text="欠">
      <formula>NOT(ISERROR(SEARCH("欠",T44)))</formula>
    </cfRule>
  </conditionalFormatting>
  <conditionalFormatting sqref="U48:U50 U44">
    <cfRule type="cellIs" dxfId="0" priority="1306" operator="equal">
      <formula>"欠"</formula>
    </cfRule>
    <cfRule type="containsText" dxfId="0" priority="1307" operator="between" text="欠">
      <formula>NOT(ISERROR(SEARCH("欠",U44)))</formula>
    </cfRule>
  </conditionalFormatting>
  <conditionalFormatting sqref="V48:V50 V44">
    <cfRule type="cellIs" dxfId="0" priority="1353" operator="equal">
      <formula>"欠"</formula>
    </cfRule>
    <cfRule type="containsText" dxfId="0" priority="1357" operator="between" text="欠">
      <formula>NOT(ISERROR(SEARCH("欠",V44)))</formula>
    </cfRule>
  </conditionalFormatting>
  <conditionalFormatting sqref="S53 S57 S68:S69">
    <cfRule type="containsText" dxfId="0" priority="1213" operator="between" text="欠">
      <formula>NOT(ISERROR(SEARCH("欠",S53)))</formula>
    </cfRule>
    <cfRule type="cellIs" dxfId="0" priority="1214" operator="equal">
      <formula>"欠"</formula>
    </cfRule>
  </conditionalFormatting>
  <conditionalFormatting sqref="T53 T57 T68:T69">
    <cfRule type="cellIs" dxfId="0" priority="1622" operator="equal">
      <formula>"欠"</formula>
    </cfRule>
    <cfRule type="containsText" dxfId="0" priority="1623" operator="between" text="欠">
      <formula>NOT(ISERROR(SEARCH("欠",T53)))</formula>
    </cfRule>
  </conditionalFormatting>
  <conditionalFormatting sqref="U53:V53 U57:V57 U68:V69">
    <cfRule type="cellIs" dxfId="0" priority="1618" operator="equal">
      <formula>"欠"</formula>
    </cfRule>
    <cfRule type="containsText" dxfId="0" priority="1619" operator="between" text="欠">
      <formula>NOT(ISERROR(SEARCH("欠",U53)))</formula>
    </cfRule>
  </conditionalFormatting>
  <conditionalFormatting sqref="S56 S61 S76">
    <cfRule type="containsText" dxfId="0" priority="1740" operator="between" text="欠">
      <formula>NOT(ISERROR(SEARCH("欠",S56)))</formula>
    </cfRule>
    <cfRule type="cellIs" dxfId="0" priority="1741" operator="equal">
      <formula>"欠"</formula>
    </cfRule>
  </conditionalFormatting>
  <conditionalFormatting sqref="T56 T61 T76">
    <cfRule type="cellIs" dxfId="0" priority="1742" operator="equal">
      <formula>"欠"</formula>
    </cfRule>
    <cfRule type="containsText" dxfId="0" priority="1743" operator="between" text="欠">
      <formula>NOT(ISERROR(SEARCH("欠",T56)))</formula>
    </cfRule>
  </conditionalFormatting>
  <conditionalFormatting sqref="U56:V56 U61 U76">
    <cfRule type="cellIs" dxfId="0" priority="1738" operator="equal">
      <formula>"欠"</formula>
    </cfRule>
    <cfRule type="containsText" dxfId="0" priority="1739" operator="between" text="欠">
      <formula>NOT(ISERROR(SEARCH("欠",U56)))</formula>
    </cfRule>
  </conditionalFormatting>
  <conditionalFormatting sqref="S59 S67 S144">
    <cfRule type="containsText" dxfId="0" priority="1532" operator="between" text="欠">
      <formula>NOT(ISERROR(SEARCH("欠",S59)))</formula>
    </cfRule>
    <cfRule type="cellIs" dxfId="0" priority="1537" operator="equal">
      <formula>"欠"</formula>
    </cfRule>
  </conditionalFormatting>
  <conditionalFormatting sqref="V61 U79:V79 U110:V110 U115:V115 U122:V122 U125:V128 U168:V170 U171:U173 U182:V184 U191:V191 U197:V201 V227 U235:V235 V266 V272">
    <cfRule type="cellIs" dxfId="0" priority="1420" operator="equal">
      <formula>"欠"</formula>
    </cfRule>
    <cfRule type="containsText" dxfId="0" priority="1433" operator="between" text="欠">
      <formula>NOT(ISERROR(SEARCH("欠",U61)))</formula>
    </cfRule>
  </conditionalFormatting>
  <conditionalFormatting sqref="U63:V66">
    <cfRule type="cellIs" dxfId="0" priority="1261" operator="equal">
      <formula>"欠"</formula>
    </cfRule>
    <cfRule type="containsText" dxfId="0" priority="1265" operator="between" text="欠">
      <formula>NOT(ISERROR(SEARCH("欠",U63)))</formula>
    </cfRule>
  </conditionalFormatting>
  <conditionalFormatting sqref="U73:V73 U97:V98 U163:V163 U237:V238 U261:U263">
    <cfRule type="cellIs" dxfId="0" priority="1792" operator="equal">
      <formula>"欠"</formula>
    </cfRule>
    <cfRule type="containsText" dxfId="0" priority="1793" operator="between" text="欠">
      <formula>NOT(ISERROR(SEARCH("欠",U73)))</formula>
    </cfRule>
  </conditionalFormatting>
  <conditionalFormatting sqref="S80:S83 S88:S91 S95 S101 S122 S130:S139 S149 S152 S181:S182 S191:S195 S203:S205 S216:S219 S221:S222 S237:S238 S267 S279">
    <cfRule type="containsText" dxfId="0" priority="1794" operator="between" text="欠">
      <formula>NOT(ISERROR(SEARCH("欠",S80)))</formula>
    </cfRule>
    <cfRule type="cellIs" dxfId="0" priority="1795" operator="equal">
      <formula>"欠"</formula>
    </cfRule>
  </conditionalFormatting>
  <conditionalFormatting sqref="U84:V84 U240:U241">
    <cfRule type="cellIs" dxfId="0" priority="1311" operator="equal">
      <formula>"欠"</formula>
    </cfRule>
    <cfRule type="containsText" dxfId="0" priority="1315" operator="between" text="欠">
      <formula>NOT(ISERROR(SEARCH("欠",U84)))</formula>
    </cfRule>
  </conditionalFormatting>
  <conditionalFormatting sqref="U84:V84 U116:U117 U162:U166 U182 U206:U207 U238">
    <cfRule type="cellIs" dxfId="0" priority="1082" operator="equal">
      <formula>"欠"</formula>
    </cfRule>
    <cfRule type="containsText" dxfId="0" priority="1090" operator="between" text="欠">
      <formula>NOT(ISERROR(SEARCH("欠",U84)))</formula>
    </cfRule>
  </conditionalFormatting>
  <conditionalFormatting sqref="T89 T264">
    <cfRule type="cellIs" dxfId="0" priority="531" operator="equal">
      <formula>"欠"</formula>
    </cfRule>
    <cfRule type="containsText" dxfId="0" priority="532" operator="between" text="欠">
      <formula>NOT(ISERROR(SEARCH("欠",T89)))</formula>
    </cfRule>
  </conditionalFormatting>
  <conditionalFormatting sqref="V93 U194:V194">
    <cfRule type="cellIs" dxfId="0" priority="1141" operator="equal">
      <formula>"欠"</formula>
    </cfRule>
    <cfRule type="containsText" dxfId="0" priority="1143" operator="between" text="欠">
      <formula>NOT(ISERROR(SEARCH("欠",U93)))</formula>
    </cfRule>
  </conditionalFormatting>
  <conditionalFormatting sqref="U95 U109:V109">
    <cfRule type="cellIs" dxfId="0" priority="539" operator="equal">
      <formula>"欠"</formula>
    </cfRule>
    <cfRule type="containsText" dxfId="0" priority="540" operator="between" text="欠">
      <formula>NOT(ISERROR(SEARCH("欠",U95)))</formula>
    </cfRule>
  </conditionalFormatting>
  <conditionalFormatting sqref="U96:V96 U119:U122 U189">
    <cfRule type="cellIs" dxfId="0" priority="871" operator="equal">
      <formula>"欠"</formula>
    </cfRule>
    <cfRule type="containsText" dxfId="0" priority="880" operator="between" text="欠">
      <formula>NOT(ISERROR(SEARCH("欠",U96)))</formula>
    </cfRule>
  </conditionalFormatting>
  <conditionalFormatting sqref="T101 T104:T113 T164:T166 T194">
    <cfRule type="cellIs" dxfId="0" priority="1149" operator="equal">
      <formula>"欠"</formula>
    </cfRule>
    <cfRule type="containsText" dxfId="0" priority="1151" operator="between" text="欠">
      <formula>NOT(ISERROR(SEARCH("欠",T101)))</formula>
    </cfRule>
  </conditionalFormatting>
  <conditionalFormatting sqref="T111 T118:T121">
    <cfRule type="cellIs" dxfId="0" priority="1055" operator="equal">
      <formula>"欠"</formula>
    </cfRule>
    <cfRule type="containsText" dxfId="0" priority="1056" operator="between" text="欠">
      <formula>NOT(ISERROR(SEARCH("欠",T111)))</formula>
    </cfRule>
  </conditionalFormatting>
  <conditionalFormatting sqref="U111:V111 U140">
    <cfRule type="cellIs" dxfId="0" priority="994" operator="equal">
      <formula>"欠"</formula>
    </cfRule>
    <cfRule type="containsText" dxfId="0" priority="1004" operator="between" text="欠">
      <formula>NOT(ISERROR(SEARCH("欠",U111)))</formula>
    </cfRule>
  </conditionalFormatting>
  <conditionalFormatting sqref="V119:V120 V278 V294">
    <cfRule type="cellIs" dxfId="0" priority="525" operator="equal">
      <formula>"欠"</formula>
    </cfRule>
    <cfRule type="containsText" dxfId="0" priority="526" operator="between" text="欠">
      <formula>NOT(ISERROR(SEARCH("欠",V119)))</formula>
    </cfRule>
  </conditionalFormatting>
  <conditionalFormatting sqref="S123 S195:S197">
    <cfRule type="containsText" dxfId="0" priority="1019" operator="between" text="欠">
      <formula>NOT(ISERROR(SEARCH("欠",S123)))</formula>
    </cfRule>
    <cfRule type="cellIs" dxfId="0" priority="1029" operator="equal">
      <formula>"欠"</formula>
    </cfRule>
  </conditionalFormatting>
  <conditionalFormatting sqref="S136:S137 S139 S148:S149 S182:S184 S187 S197:S198 S206:S208 S244:S248 S257:S259 S264:S266 S300:S301">
    <cfRule type="containsText" dxfId="0" priority="527" operator="between" text="欠">
      <formula>NOT(ISERROR(SEARCH("欠",S136)))</formula>
    </cfRule>
    <cfRule type="cellIs" dxfId="0" priority="528" operator="equal">
      <formula>"欠"</formula>
    </cfRule>
  </conditionalFormatting>
  <conditionalFormatting sqref="T145:T146 T197:T200">
    <cfRule type="cellIs" dxfId="0" priority="507" operator="equal">
      <formula>"欠"</formula>
    </cfRule>
    <cfRule type="containsText" dxfId="0" priority="508" operator="between" text="欠">
      <formula>NOT(ISERROR(SEARCH("欠",T145)))</formula>
    </cfRule>
  </conditionalFormatting>
  <conditionalFormatting sqref="S151 S224 S236 S258">
    <cfRule type="containsText" dxfId="0" priority="393" operator="between" text="欠">
      <formula>NOT(ISERROR(SEARCH("欠",S151)))</formula>
    </cfRule>
    <cfRule type="cellIs" dxfId="0" priority="396" operator="equal">
      <formula>"欠"</formula>
    </cfRule>
  </conditionalFormatting>
  <conditionalFormatting sqref="V154 U182:U183">
    <cfRule type="cellIs" dxfId="0" priority="999" operator="equal">
      <formula>"欠"</formula>
    </cfRule>
    <cfRule type="containsText" dxfId="0" priority="1009" operator="between" text="欠">
      <formula>NOT(ISERROR(SEARCH("欠",U154)))</formula>
    </cfRule>
  </conditionalFormatting>
  <conditionalFormatting sqref="T160:T178 T255 T296:T301 T314:T341 T343:T372">
    <cfRule type="cellIs" dxfId="0" priority="757" operator="equal">
      <formula>"欠"</formula>
    </cfRule>
    <cfRule type="containsText" dxfId="0" priority="772" operator="between" text="欠">
      <formula>NOT(ISERROR(SEARCH("欠",T160)))</formula>
    </cfRule>
  </conditionalFormatting>
  <conditionalFormatting sqref="U161:U164 U296:U301 U313:U321 U325:U341 U343:U363 U365:U372">
    <cfRule type="cellIs" dxfId="0" priority="697" operator="equal">
      <formula>"欠"</formula>
    </cfRule>
    <cfRule type="containsText" dxfId="0" priority="712" operator="between" text="欠">
      <formula>NOT(ISERROR(SEARCH("欠",U161)))</formula>
    </cfRule>
  </conditionalFormatting>
  <conditionalFormatting sqref="V167:V168 V190 V206:V207 V238">
    <cfRule type="cellIs" dxfId="0" priority="1076" operator="equal">
      <formula>"欠"</formula>
    </cfRule>
    <cfRule type="containsText" dxfId="0" priority="1084" operator="between" text="欠">
      <formula>NOT(ISERROR(SEARCH("欠",V167)))</formula>
    </cfRule>
  </conditionalFormatting>
  <conditionalFormatting sqref="U171 U248:V248">
    <cfRule type="cellIs" dxfId="0" priority="779" operator="equal">
      <formula>"欠"</formula>
    </cfRule>
    <cfRule type="containsText" dxfId="0" priority="780" operator="between" text="欠">
      <formula>NOT(ISERROR(SEARCH("欠",U171)))</formula>
    </cfRule>
  </conditionalFormatting>
  <conditionalFormatting sqref="U194:U197 U221">
    <cfRule type="cellIs" dxfId="0" priority="121" operator="equal">
      <formula>"欠"</formula>
    </cfRule>
    <cfRule type="containsText" dxfId="0" priority="122" operator="between" text="欠">
      <formula>NOT(ISERROR(SEARCH("欠",U194)))</formula>
    </cfRule>
  </conditionalFormatting>
  <conditionalFormatting sqref="S199 S243 S296 S300">
    <cfRule type="containsText" dxfId="0" priority="471" operator="between" text="欠">
      <formula>NOT(ISERROR(SEARCH("欠",S199)))</formula>
    </cfRule>
    <cfRule type="cellIs" dxfId="0" priority="472" operator="equal">
      <formula>"欠"</formula>
    </cfRule>
  </conditionalFormatting>
  <conditionalFormatting sqref="V199 V243">
    <cfRule type="cellIs" dxfId="0" priority="477" operator="equal">
      <formula>"欠"</formula>
    </cfRule>
    <cfRule type="containsText" dxfId="0" priority="478" operator="between" text="欠">
      <formula>NOT(ISERROR(SEARCH("欠",V199)))</formula>
    </cfRule>
  </conditionalFormatting>
  <conditionalFormatting sqref="S205:S206 S231">
    <cfRule type="containsText" dxfId="0" priority="885" operator="between" text="欠">
      <formula>NOT(ISERROR(SEARCH("欠",S205)))</formula>
    </cfRule>
    <cfRule type="cellIs" dxfId="0" priority="894" operator="equal">
      <formula>"欠"</formula>
    </cfRule>
  </conditionalFormatting>
  <conditionalFormatting sqref="U211:V211 U217:U219">
    <cfRule type="cellIs" dxfId="0" priority="1525" operator="equal">
      <formula>"欠"</formula>
    </cfRule>
    <cfRule type="containsText" dxfId="0" priority="1530" operator="between" text="欠">
      <formula>NOT(ISERROR(SEARCH("欠",U211)))</formula>
    </cfRule>
  </conditionalFormatting>
  <conditionalFormatting sqref="V256 V296 V300">
    <cfRule type="cellIs" dxfId="0" priority="264" operator="equal">
      <formula>"欠"</formula>
    </cfRule>
    <cfRule type="containsText" dxfId="0" priority="266" operator="between" text="欠">
      <formula>NOT(ISERROR(SEARCH("欠",V256)))</formula>
    </cfRule>
  </conditionalFormatting>
  <conditionalFormatting sqref="U269:U272 U282:U303 U316:U319">
    <cfRule type="cellIs" dxfId="0" priority="1" operator="equal">
      <formula>"欠"</formula>
    </cfRule>
    <cfRule type="containsText" dxfId="0" priority="2" operator="between" text="欠">
      <formula>NOT(ISERROR(SEARCH("欠",U269)))</formula>
    </cfRule>
  </conditionalFormatting>
  <conditionalFormatting sqref="T279 T289:T291">
    <cfRule type="cellIs" dxfId="0" priority="29" operator="equal">
      <formula>"欠"</formula>
    </cfRule>
    <cfRule type="containsText" dxfId="0" priority="30" operator="between" text="欠">
      <formula>NOT(ISERROR(SEARCH("欠",T279)))</formula>
    </cfRule>
  </conditionalFormatting>
  <conditionalFormatting sqref="U279:V282">
    <cfRule type="cellIs" dxfId="0" priority="803" operator="equal">
      <formula>"欠"</formula>
    </cfRule>
    <cfRule type="containsText" dxfId="0" priority="804" operator="between" text="欠">
      <formula>NOT(ISERROR(SEARCH("欠",U279)))</formula>
    </cfRule>
  </conditionalFormatting>
  <conditionalFormatting sqref="U279 U289:U291">
    <cfRule type="cellIs" dxfId="0" priority="27" operator="equal">
      <formula>"欠"</formula>
    </cfRule>
    <cfRule type="containsText" dxfId="0" priority="28" operator="between" text="欠">
      <formula>NOT(ISERROR(SEARCH("欠",U279)))</formula>
    </cfRule>
  </conditionalFormatting>
  <conditionalFormatting sqref="S280:S294 S297:S305 S313:S319 S340:S341 S364">
    <cfRule type="containsText" dxfId="0" priority="5" operator="between" text="欠">
      <formula>NOT(ISERROR(SEARCH("欠",S280)))</formula>
    </cfRule>
    <cfRule type="cellIs" dxfId="0" priority="6" operator="equal">
      <formula>"欠"</formula>
    </cfRule>
  </conditionalFormatting>
  <conditionalFormatting sqref="V283:V294 V296:V299 V301:V320 V338 V340:V342 V364">
    <cfRule type="containsText" dxfId="0" priority="3" operator="between" text="欠">
      <formula>NOT(ISERROR(SEARCH("欠",V283)))</formula>
    </cfRule>
    <cfRule type="cellIs" dxfId="0" priority="4" operator="equal">
      <formula>"欠"</formula>
    </cfRule>
  </conditionalFormatting>
  <conditionalFormatting sqref="S298:S301 S313:S316 S319:S340 S342:S367">
    <cfRule type="containsText" dxfId="0" priority="301" operator="between" text="欠">
      <formula>NOT(ISERROR(SEARCH("欠",S298)))</formula>
    </cfRule>
    <cfRule type="cellIs" dxfId="0" priority="308" operator="equal">
      <formula>"欠"</formula>
    </cfRule>
  </conditionalFormatting>
  <conditionalFormatting sqref="S299:S305 S312:S318 S340:S341 S364">
    <cfRule type="containsText" dxfId="0" priority="66" operator="between" text="欠">
      <formula>NOT(ISERROR(SEARCH("欠",S299)))</formula>
    </cfRule>
    <cfRule type="cellIs" dxfId="0" priority="70" operator="equal">
      <formula>"欠"</formula>
    </cfRule>
  </conditionalFormatting>
  <conditionalFormatting sqref="T300:T314 T320 T341">
    <cfRule type="cellIs" dxfId="0" priority="82" operator="equal">
      <formula>"欠"</formula>
    </cfRule>
    <cfRule type="containsText" dxfId="0" priority="86" operator="between" text="欠">
      <formula>NOT(ISERROR(SEARCH("欠",T300)))</formula>
    </cfRule>
  </conditionalFormatting>
  <conditionalFormatting sqref="U300:U314 U320 U341 U364">
    <cfRule type="cellIs" dxfId="0" priority="74" operator="equal">
      <formula>"欠"</formula>
    </cfRule>
    <cfRule type="containsText" dxfId="0" priority="78" operator="between" text="欠">
      <formula>NOT(ISERROR(SEARCH("欠",U300)))</formula>
    </cfRule>
  </conditionalFormatting>
  <conditionalFormatting sqref="V301:V314 V320 V337 V341">
    <cfRule type="containsText" dxfId="0" priority="11" operator="between" text="欠">
      <formula>NOT(ISERROR(SEARCH("欠",V301)))</formula>
    </cfRule>
    <cfRule type="cellIs" dxfId="0" priority="12" operator="equal">
      <formula>"欠"</formula>
    </cfRule>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N6" sqref="N6"/>
    </sheetView>
  </sheetViews>
  <sheetFormatPr defaultColWidth="9" defaultRowHeight="13.5" outlineLevelRow="3"/>
  <cols>
    <col min="4" max="5" width="9.775"/>
  </cols>
  <sheetData>
    <row r="1" ht="25.5" spans="1:12">
      <c r="A1" s="282" t="s">
        <v>1612</v>
      </c>
      <c r="B1" s="283"/>
      <c r="C1" s="283"/>
      <c r="D1" s="284" t="s">
        <v>1613</v>
      </c>
      <c r="E1" s="284" t="s">
        <v>1614</v>
      </c>
      <c r="F1" s="284" t="s">
        <v>1615</v>
      </c>
      <c r="G1" s="284" t="s">
        <v>1616</v>
      </c>
      <c r="H1" s="284" t="s">
        <v>1617</v>
      </c>
      <c r="I1" s="284" t="s">
        <v>1617</v>
      </c>
      <c r="J1" s="285" t="s">
        <v>1618</v>
      </c>
      <c r="K1" s="286" t="s">
        <v>1619</v>
      </c>
      <c r="L1" s="286" t="s">
        <v>1620</v>
      </c>
    </row>
    <row r="2" spans="1:12">
      <c r="A2" s="282" t="s">
        <v>1621</v>
      </c>
      <c r="B2" s="283"/>
      <c r="C2" s="283"/>
      <c r="D2" s="287">
        <v>46041</v>
      </c>
      <c r="E2" s="287">
        <v>46113</v>
      </c>
      <c r="F2" s="287">
        <v>46203</v>
      </c>
      <c r="G2" s="287">
        <v>46246</v>
      </c>
      <c r="H2" s="287"/>
      <c r="I2" s="287"/>
      <c r="J2" s="287"/>
      <c r="K2" s="287"/>
      <c r="L2" s="287"/>
    </row>
    <row r="3" spans="1:12">
      <c r="A3" s="282" t="s">
        <v>1622</v>
      </c>
      <c r="B3" s="283"/>
      <c r="C3" s="283"/>
      <c r="D3" s="287">
        <v>46101</v>
      </c>
      <c r="E3" s="287">
        <v>46155</v>
      </c>
      <c r="F3" s="287">
        <v>46241</v>
      </c>
      <c r="G3" s="287">
        <v>46288</v>
      </c>
      <c r="H3" s="287"/>
      <c r="I3" s="287"/>
      <c r="J3" s="287"/>
      <c r="K3" s="287"/>
      <c r="L3" s="287"/>
    </row>
    <row r="4" spans="1:12">
      <c r="A4" s="288" t="s">
        <v>1623</v>
      </c>
      <c r="B4" s="289"/>
      <c r="C4" s="289"/>
      <c r="D4" s="290">
        <v>78000</v>
      </c>
      <c r="E4" s="290">
        <v>242000</v>
      </c>
      <c r="F4" s="290">
        <v>160000</v>
      </c>
      <c r="G4" s="290">
        <v>40000</v>
      </c>
      <c r="H4" s="290"/>
      <c r="I4" s="290"/>
      <c r="J4" s="291">
        <f>SUM(D4:I4)</f>
        <v>520000</v>
      </c>
      <c r="K4" s="290">
        <f>'77858厨房套装'!I379</f>
        <v>377830</v>
      </c>
      <c r="L4" s="290">
        <f>J4-K4</f>
        <v>142170</v>
      </c>
    </row>
  </sheetData>
  <sheetProtection formatCells="0" formatColumns="0" formatRows="0" insertRows="0" insertColumns="0" insertHyperlinks="0" deleteColumns="0" deleteRows="0" sort="0" autoFilter="0" pivotTables="0"/>
  <mergeCells count="4">
    <mergeCell ref="A1:B1"/>
    <mergeCell ref="A2:B2"/>
    <mergeCell ref="A3:B3"/>
    <mergeCell ref="A4:B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5"/>
  <sheetViews>
    <sheetView topLeftCell="B1" workbookViewId="0">
      <selection activeCell="Q6" sqref="Q6:Q8"/>
    </sheetView>
  </sheetViews>
  <sheetFormatPr defaultColWidth="8.35833333333333" defaultRowHeight="12.75"/>
  <cols>
    <col min="1" max="1" width="26.9416666666667" style="210" customWidth="1"/>
    <col min="2" max="2" width="21.3833333333333" style="210" customWidth="1"/>
    <col min="3" max="3" width="12.2" style="210" customWidth="1"/>
    <col min="4" max="4" width="6.76666666666667" style="210" customWidth="1"/>
    <col min="5" max="5" width="5.575" style="210" customWidth="1"/>
    <col min="6" max="7" width="8.5" style="210" customWidth="1"/>
    <col min="8" max="8" width="12.2" style="210" customWidth="1"/>
    <col min="9" max="9" width="13.8083333333333" style="210" customWidth="1"/>
    <col min="10" max="10" width="17.325" style="210" customWidth="1"/>
    <col min="11" max="11" width="13.15" style="210" customWidth="1"/>
    <col min="12" max="12" width="14.3333333333333" style="210" customWidth="1"/>
    <col min="13" max="13" width="16.475" style="210" customWidth="1"/>
    <col min="14" max="15" width="14.6666666666667" style="210" customWidth="1"/>
    <col min="16" max="19" width="11.9416666666667" style="210" customWidth="1"/>
    <col min="20" max="20" width="13.45" style="210" customWidth="1"/>
    <col min="21" max="16384" width="8.5" style="210"/>
  </cols>
  <sheetData>
    <row r="1" s="205" customFormat="1" ht="38.25" spans="1:19">
      <c r="A1" s="211" t="s">
        <v>1624</v>
      </c>
      <c r="B1" s="211" t="s">
        <v>1625</v>
      </c>
      <c r="C1" s="211" t="s">
        <v>1626</v>
      </c>
      <c r="D1" s="211" t="s">
        <v>1627</v>
      </c>
      <c r="E1" s="211" t="s">
        <v>1628</v>
      </c>
      <c r="F1" s="211" t="s">
        <v>1629</v>
      </c>
      <c r="G1" s="211" t="s">
        <v>1630</v>
      </c>
      <c r="H1" s="211" t="s">
        <v>1631</v>
      </c>
      <c r="I1" s="212" t="s">
        <v>1632</v>
      </c>
      <c r="J1" s="212" t="s">
        <v>1633</v>
      </c>
      <c r="K1" s="212" t="s">
        <v>1634</v>
      </c>
      <c r="L1" s="212" t="s">
        <v>1635</v>
      </c>
      <c r="M1" s="212" t="s">
        <v>1636</v>
      </c>
      <c r="N1" s="212" t="s">
        <v>1637</v>
      </c>
      <c r="O1" s="212" t="s">
        <v>1638</v>
      </c>
      <c r="P1" s="212" t="s">
        <v>1639</v>
      </c>
      <c r="Q1" s="212" t="s">
        <v>1640</v>
      </c>
      <c r="R1" s="211" t="s">
        <v>1641</v>
      </c>
      <c r="S1" s="213"/>
    </row>
    <row r="2" s="205" customFormat="1" ht="15" customHeight="1" spans="1:19">
      <c r="A2" s="214" t="s">
        <v>1642</v>
      </c>
      <c r="B2" s="214"/>
      <c r="C2" s="214"/>
      <c r="D2" s="214"/>
      <c r="E2" s="214"/>
      <c r="F2" s="215"/>
      <c r="G2" s="215"/>
      <c r="H2" s="215"/>
      <c r="I2" s="215">
        <v>45989</v>
      </c>
      <c r="J2" s="215">
        <v>46016</v>
      </c>
      <c r="K2" s="215">
        <v>46031</v>
      </c>
      <c r="L2" s="215">
        <v>46056</v>
      </c>
      <c r="M2" s="215">
        <v>46090</v>
      </c>
      <c r="N2" s="215">
        <v>46113</v>
      </c>
      <c r="O2" s="215">
        <v>46190</v>
      </c>
      <c r="P2" s="215">
        <v>46204</v>
      </c>
      <c r="Q2" s="215">
        <v>46231</v>
      </c>
      <c r="R2" s="215"/>
      <c r="S2" s="216"/>
    </row>
    <row r="3" s="205" customFormat="1" ht="15" customHeight="1" spans="1:19">
      <c r="A3" s="214" t="s">
        <v>1643</v>
      </c>
      <c r="B3" s="214"/>
      <c r="C3" s="214"/>
      <c r="D3" s="214"/>
      <c r="E3" s="214"/>
      <c r="F3" s="215"/>
      <c r="G3" s="215"/>
      <c r="H3" s="215"/>
      <c r="I3" s="215">
        <v>46041</v>
      </c>
      <c r="J3" s="215">
        <f>J2+25</f>
        <v>46041</v>
      </c>
      <c r="K3" s="215">
        <f>K2+25</f>
        <v>46056</v>
      </c>
      <c r="L3" s="215">
        <v>46084</v>
      </c>
      <c r="M3" s="215">
        <v>46135</v>
      </c>
      <c r="N3" s="215">
        <v>46158</v>
      </c>
      <c r="O3" s="215">
        <v>46235</v>
      </c>
      <c r="P3" s="215">
        <v>46249</v>
      </c>
      <c r="Q3" s="215"/>
      <c r="R3" s="215"/>
      <c r="S3" s="216"/>
    </row>
    <row r="4" s="206" customFormat="1" ht="15" customHeight="1" spans="1:19">
      <c r="A4" s="217" t="s">
        <v>1644</v>
      </c>
      <c r="B4" s="218"/>
      <c r="C4" s="218"/>
      <c r="D4" s="218"/>
      <c r="E4" s="218"/>
      <c r="F4" s="219"/>
      <c r="G4" s="219"/>
      <c r="H4" s="219"/>
      <c r="I4" s="219"/>
      <c r="J4" s="219"/>
      <c r="K4" s="219"/>
      <c r="L4" s="219"/>
      <c r="M4" s="219"/>
      <c r="N4" s="219"/>
      <c r="O4" s="219"/>
      <c r="P4" s="219"/>
      <c r="Q4" s="219"/>
      <c r="R4" s="219"/>
      <c r="S4" s="220"/>
    </row>
    <row r="5" s="206" customFormat="1" ht="15" customHeight="1" spans="1:19">
      <c r="A5" s="217"/>
      <c r="B5" s="218"/>
      <c r="C5" s="218"/>
      <c r="D5" s="218"/>
      <c r="E5" s="218"/>
      <c r="F5" s="219"/>
      <c r="G5" s="219"/>
      <c r="H5" s="219"/>
      <c r="I5" s="221"/>
      <c r="J5" s="221"/>
      <c r="K5" s="221"/>
      <c r="L5" s="221"/>
      <c r="M5" s="221"/>
      <c r="N5" s="221"/>
      <c r="O5" s="221"/>
      <c r="P5" s="219"/>
      <c r="Q5" s="219"/>
      <c r="R5" s="219"/>
      <c r="S5" s="220"/>
    </row>
    <row r="6" s="205" customFormat="1" ht="27" customHeight="1" spans="1:19">
      <c r="A6" s="222" t="s">
        <v>1645</v>
      </c>
      <c r="B6" s="223" t="s">
        <v>1646</v>
      </c>
      <c r="C6" s="224" t="s">
        <v>1647</v>
      </c>
      <c r="D6" s="224"/>
      <c r="E6" s="225">
        <v>15</v>
      </c>
      <c r="F6" s="226">
        <v>4000</v>
      </c>
      <c r="G6" s="221">
        <v>0.46</v>
      </c>
      <c r="H6" s="226"/>
      <c r="I6" s="227">
        <v>80000</v>
      </c>
      <c r="J6" s="227"/>
      <c r="K6" s="227">
        <v>64000</v>
      </c>
      <c r="L6" s="227">
        <v>24000</v>
      </c>
      <c r="M6" s="227">
        <v>140000</v>
      </c>
      <c r="N6" s="227">
        <v>100000</v>
      </c>
      <c r="O6" s="227">
        <v>72000</v>
      </c>
      <c r="P6" s="227">
        <v>120000</v>
      </c>
      <c r="Q6" s="227">
        <v>124000</v>
      </c>
      <c r="R6" s="228">
        <f>SUM(I6:Q6)</f>
        <v>724000</v>
      </c>
      <c r="S6" s="229"/>
    </row>
    <row r="7" s="205" customFormat="1" ht="37" customHeight="1" spans="1:19">
      <c r="A7" s="222" t="s">
        <v>1645</v>
      </c>
      <c r="B7" s="230" t="s">
        <v>1648</v>
      </c>
      <c r="C7" s="231" t="s">
        <v>1649</v>
      </c>
      <c r="D7" s="224"/>
      <c r="E7" s="225">
        <v>25</v>
      </c>
      <c r="F7" s="226">
        <v>1000</v>
      </c>
      <c r="G7" s="221">
        <v>2.49</v>
      </c>
      <c r="H7" s="226"/>
      <c r="I7" s="227">
        <v>0</v>
      </c>
      <c r="J7" s="227">
        <v>80000</v>
      </c>
      <c r="K7" s="227">
        <v>64000</v>
      </c>
      <c r="L7" s="227">
        <v>24000</v>
      </c>
      <c r="M7" s="227">
        <v>140000</v>
      </c>
      <c r="N7" s="227">
        <v>100000</v>
      </c>
      <c r="O7" s="227">
        <v>72000</v>
      </c>
      <c r="P7" s="227">
        <v>120000</v>
      </c>
      <c r="Q7" s="227">
        <v>0</v>
      </c>
      <c r="R7" s="228">
        <f>SUM(I7:Q7)</f>
        <v>600000</v>
      </c>
      <c r="S7" s="229"/>
    </row>
    <row r="8" s="207" customFormat="1" ht="15" customHeight="1" spans="1:19">
      <c r="A8" s="232"/>
      <c r="B8" s="232" t="s">
        <v>1650</v>
      </c>
      <c r="C8" s="232"/>
      <c r="D8" s="232"/>
      <c r="E8" s="232"/>
      <c r="F8" s="232"/>
      <c r="G8" s="232"/>
      <c r="H8" s="232"/>
      <c r="I8" s="233">
        <f t="shared" ref="I8:R8" si="0">SUM(I6:I7)</f>
        <v>80000</v>
      </c>
      <c r="J8" s="233">
        <f t="shared" si="0"/>
        <v>80000</v>
      </c>
      <c r="K8" s="233">
        <f t="shared" si="0"/>
        <v>128000</v>
      </c>
      <c r="L8" s="233">
        <f t="shared" si="0"/>
        <v>48000</v>
      </c>
      <c r="M8" s="233">
        <f t="shared" si="0"/>
        <v>280000</v>
      </c>
      <c r="N8" s="233">
        <f t="shared" si="0"/>
        <v>200000</v>
      </c>
      <c r="O8" s="233">
        <f t="shared" si="0"/>
        <v>144000</v>
      </c>
      <c r="P8" s="233">
        <f t="shared" si="0"/>
        <v>240000</v>
      </c>
      <c r="Q8" s="233">
        <f t="shared" si="0"/>
        <v>124000</v>
      </c>
      <c r="R8" s="234">
        <f t="shared" si="0"/>
        <v>1324000</v>
      </c>
      <c r="S8" s="235"/>
    </row>
    <row r="9" s="205" customFormat="1" ht="14.25" spans="1:19">
      <c r="A9" s="210"/>
      <c r="B9" s="210"/>
      <c r="C9" s="210"/>
      <c r="D9" s="210"/>
      <c r="E9" s="210"/>
      <c r="F9" s="210"/>
      <c r="G9" s="210"/>
      <c r="H9" s="210"/>
      <c r="I9" s="210"/>
      <c r="J9" s="210"/>
    </row>
    <row r="10" s="205" customFormat="1" ht="14.25" spans="1:19">
      <c r="A10" s="210"/>
      <c r="B10" s="210"/>
      <c r="C10" s="210"/>
      <c r="D10" s="210"/>
      <c r="E10" s="210"/>
      <c r="F10" s="210"/>
      <c r="G10" s="210"/>
      <c r="H10" s="210"/>
      <c r="I10" s="210"/>
      <c r="J10" s="210"/>
    </row>
    <row r="11" s="205" customFormat="1" ht="14.25" spans="1:19">
      <c r="A11" s="210"/>
      <c r="B11" s="210"/>
      <c r="C11" s="210"/>
      <c r="D11" s="210"/>
      <c r="E11" s="210"/>
      <c r="F11" s="210"/>
      <c r="G11" s="210"/>
      <c r="H11" s="236"/>
      <c r="I11" s="210"/>
      <c r="J11" s="210"/>
    </row>
    <row r="12" s="205" customFormat="1" ht="14.25" spans="1:19">
      <c r="A12" s="210"/>
      <c r="B12" s="210"/>
      <c r="C12" s="210"/>
      <c r="D12" s="210"/>
      <c r="E12" s="210"/>
      <c r="F12" s="210"/>
      <c r="G12" s="210"/>
      <c r="H12" s="210"/>
      <c r="I12" s="210"/>
      <c r="J12" s="210"/>
    </row>
    <row r="13" s="205" customFormat="1" ht="15" spans="1:19">
      <c r="A13" s="237"/>
      <c r="B13" s="210"/>
      <c r="C13" s="210"/>
      <c r="D13" s="210"/>
      <c r="E13" s="210"/>
      <c r="F13" s="210"/>
      <c r="G13" s="210"/>
      <c r="H13" s="210"/>
      <c r="I13" s="210"/>
      <c r="J13" s="210"/>
    </row>
    <row r="14" s="205" customFormat="1" ht="14.25" spans="1:19">
      <c r="A14" s="210"/>
      <c r="B14" s="210"/>
      <c r="C14" s="210"/>
      <c r="D14" s="210"/>
      <c r="E14" s="210"/>
      <c r="F14" s="210"/>
      <c r="G14" s="210"/>
      <c r="H14" s="210"/>
      <c r="I14" s="210"/>
      <c r="J14" s="210"/>
    </row>
    <row r="15" s="205" customFormat="1" ht="14.25" spans="1:19">
      <c r="A15" s="210"/>
      <c r="B15" s="210"/>
      <c r="C15" s="210"/>
      <c r="D15" s="210"/>
      <c r="E15" s="210"/>
      <c r="F15" s="210"/>
      <c r="G15" s="210"/>
      <c r="H15" s="210"/>
      <c r="I15" s="210"/>
      <c r="J15" s="210"/>
    </row>
    <row r="20" s="208" customFormat="1" ht="26.45" customHeight="1" spans="1:26">
      <c r="A20" s="238"/>
      <c r="B20" s="238"/>
      <c r="C20" s="238"/>
      <c r="D20" s="238"/>
      <c r="E20" s="239"/>
      <c r="F20" s="239"/>
      <c r="G20" s="239"/>
      <c r="H20" s="239"/>
      <c r="I20" s="239"/>
      <c r="J20" s="239"/>
      <c r="K20" s="239"/>
      <c r="L20" s="240" t="s">
        <v>1651</v>
      </c>
      <c r="M20" s="241">
        <v>45961</v>
      </c>
      <c r="N20" s="241">
        <v>46014</v>
      </c>
      <c r="O20" s="241">
        <v>46050</v>
      </c>
      <c r="P20" s="241">
        <v>46113</v>
      </c>
      <c r="Q20" s="241">
        <v>46203</v>
      </c>
      <c r="R20" s="241">
        <v>46246</v>
      </c>
      <c r="T20" s="242"/>
      <c r="U20" s="239"/>
      <c r="V20" s="239"/>
      <c r="W20" s="239"/>
      <c r="X20" s="239"/>
      <c r="Y20" s="243"/>
    </row>
    <row r="21" s="208" customFormat="1" ht="26.45" customHeight="1" spans="1:26">
      <c r="A21" s="238"/>
      <c r="B21" s="238"/>
      <c r="C21" s="238"/>
      <c r="D21" s="238"/>
      <c r="E21" s="239"/>
      <c r="F21" s="239"/>
      <c r="G21" s="239"/>
      <c r="H21" s="239"/>
      <c r="I21" s="239"/>
      <c r="J21" s="239"/>
      <c r="K21" s="239"/>
      <c r="L21" s="244" t="s">
        <v>1652</v>
      </c>
      <c r="M21" s="245">
        <f>M20+35</f>
        <v>45996</v>
      </c>
      <c r="N21" s="245">
        <f>N20+35</f>
        <v>46049</v>
      </c>
      <c r="O21" s="245">
        <v>46105</v>
      </c>
      <c r="P21" s="245">
        <v>46173</v>
      </c>
      <c r="Q21" s="245">
        <v>46241</v>
      </c>
      <c r="R21" s="245">
        <v>46288</v>
      </c>
      <c r="T21" s="242"/>
      <c r="U21" s="239"/>
      <c r="V21" s="239"/>
      <c r="W21" s="239"/>
      <c r="X21" s="239"/>
      <c r="Y21" s="243"/>
    </row>
    <row r="22" s="208" customFormat="1" ht="26.45" customHeight="1" spans="1:26">
      <c r="A22" s="246"/>
      <c r="B22" s="247"/>
      <c r="C22" s="248"/>
      <c r="D22" s="249"/>
      <c r="E22" s="250"/>
      <c r="F22" s="250"/>
      <c r="G22" s="250"/>
      <c r="H22" s="250"/>
      <c r="I22" s="251" t="s">
        <v>1653</v>
      </c>
      <c r="J22" s="252"/>
      <c r="K22" s="253">
        <v>265611</v>
      </c>
      <c r="L22" s="254" t="s">
        <v>1654</v>
      </c>
      <c r="M22" s="254" t="s">
        <v>1655</v>
      </c>
      <c r="N22" s="254"/>
      <c r="O22" s="254" t="s">
        <v>1656</v>
      </c>
      <c r="P22" s="254" t="s">
        <v>1657</v>
      </c>
      <c r="Q22" s="254" t="s">
        <v>1658</v>
      </c>
      <c r="R22" s="254" t="s">
        <v>1659</v>
      </c>
      <c r="S22" s="208"/>
      <c r="T22" s="242"/>
      <c r="U22" s="239"/>
      <c r="V22" s="239"/>
      <c r="W22" s="255" t="s">
        <v>1660</v>
      </c>
      <c r="X22" s="255">
        <v>39183.6734693877</v>
      </c>
    </row>
    <row r="23" s="208" customFormat="1" ht="67" customHeight="1" spans="1:26">
      <c r="A23" s="256" t="s">
        <v>1661</v>
      </c>
      <c r="B23" s="256" t="s">
        <v>1662</v>
      </c>
      <c r="C23" s="256" t="s">
        <v>1663</v>
      </c>
      <c r="D23" s="257" t="s">
        <v>1664</v>
      </c>
      <c r="E23" s="258" t="s">
        <v>1665</v>
      </c>
      <c r="F23" s="258" t="s">
        <v>1629</v>
      </c>
      <c r="G23" s="258" t="s">
        <v>1666</v>
      </c>
      <c r="H23" s="258" t="s">
        <v>1667</v>
      </c>
      <c r="I23" s="259" t="s">
        <v>1668</v>
      </c>
      <c r="J23" s="256" t="s">
        <v>1669</v>
      </c>
      <c r="K23" s="256" t="s">
        <v>1670</v>
      </c>
      <c r="L23" s="260" t="s">
        <v>1671</v>
      </c>
      <c r="M23" s="260" t="s">
        <v>1672</v>
      </c>
      <c r="N23" s="260" t="s">
        <v>1672</v>
      </c>
      <c r="O23" s="260" t="s">
        <v>1672</v>
      </c>
      <c r="P23" s="260" t="s">
        <v>1672</v>
      </c>
      <c r="Q23" s="260" t="s">
        <v>1672</v>
      </c>
      <c r="R23" s="260" t="s">
        <v>1672</v>
      </c>
      <c r="S23" s="260"/>
      <c r="T23" s="261" t="s">
        <v>1673</v>
      </c>
      <c r="U23" s="260" t="s">
        <v>1674</v>
      </c>
      <c r="V23" s="262" t="s">
        <v>1675</v>
      </c>
      <c r="W23" s="262" t="s">
        <v>1676</v>
      </c>
      <c r="X23" s="262" t="s">
        <v>1677</v>
      </c>
      <c r="Y23" s="263" t="s">
        <v>1678</v>
      </c>
      <c r="Z23" s="263" t="s">
        <v>1679</v>
      </c>
    </row>
    <row r="24" s="209" customFormat="1" ht="50" customHeight="1" spans="1:26">
      <c r="A24" s="264"/>
      <c r="B24" s="265" t="s">
        <v>1680</v>
      </c>
      <c r="C24" s="266">
        <v>1</v>
      </c>
      <c r="D24" s="267" t="s">
        <v>1681</v>
      </c>
      <c r="E24" s="268" t="s">
        <v>1682</v>
      </c>
      <c r="F24" s="269">
        <v>500</v>
      </c>
      <c r="G24" s="270">
        <v>0.0127604166666667</v>
      </c>
      <c r="H24" s="269">
        <f>F24/G24</f>
        <v>39183.6734693877</v>
      </c>
      <c r="I24" s="271">
        <v>22.1</v>
      </c>
      <c r="J24" s="269" t="s">
        <v>1683</v>
      </c>
      <c r="K24" s="272">
        <f>F24/G24/C24</f>
        <v>39183.6734693877</v>
      </c>
      <c r="L24" s="273">
        <f>C24*K22*G24</f>
        <v>3389.30703125001</v>
      </c>
      <c r="M24" s="274">
        <v>500</v>
      </c>
      <c r="N24" s="274">
        <v>500</v>
      </c>
      <c r="O24" s="274">
        <v>532</v>
      </c>
      <c r="P24" s="275">
        <v>2552</v>
      </c>
      <c r="Q24" s="275">
        <v>2042</v>
      </c>
      <c r="R24" s="275">
        <v>511</v>
      </c>
      <c r="S24" s="275"/>
      <c r="T24" s="276">
        <f>SUM(M24:S24)*I24</f>
        <v>146677.7</v>
      </c>
      <c r="U24" s="277">
        <f>SUM(M24:Q24)</f>
        <v>6126</v>
      </c>
      <c r="V24" s="278">
        <f>U24/G24</f>
        <v>480078.367346938</v>
      </c>
      <c r="W24" s="279">
        <f>X22*C24</f>
        <v>39183.6734693877</v>
      </c>
      <c r="X24" s="279">
        <f>W24*G24</f>
        <v>500.000000000001</v>
      </c>
      <c r="Y24" s="279">
        <f>U24-X24</f>
        <v>5626</v>
      </c>
      <c r="Z24" s="280">
        <f>Y24/G24/C24</f>
        <v>440894.69387755</v>
      </c>
    </row>
    <row r="25" s="208" customFormat="1" ht="27.6" customHeight="1" spans="1:26">
      <c r="A25" s="248"/>
      <c r="B25" s="248"/>
      <c r="C25" s="248"/>
      <c r="D25" s="281"/>
      <c r="E25" s="281"/>
      <c r="F25" s="281"/>
      <c r="G25" s="281"/>
      <c r="H25" s="281"/>
      <c r="I25" s="281"/>
      <c r="J25" s="281"/>
      <c r="K25" s="281"/>
      <c r="L25" s="281"/>
      <c r="M25" s="281"/>
      <c r="N25" s="281"/>
      <c r="O25" s="260"/>
      <c r="P25" s="260"/>
      <c r="Q25" s="260"/>
      <c r="R25" s="260"/>
      <c r="S25" s="260"/>
      <c r="T25" s="281"/>
      <c r="U25" s="281"/>
      <c r="V25" s="281"/>
      <c r="W25" s="281"/>
      <c r="X25" s="281"/>
      <c r="Y25" s="281"/>
      <c r="Z25" s="281"/>
    </row>
  </sheetData>
  <sheetProtection formatCells="0" formatColumns="0" formatRows="0" insertRows="0" insertColumns="0" insertHyperlinks="0" deleteColumns="0" deleteRows="0" sort="0" autoFilter="0" pivotTables="0"/>
  <mergeCells count="1">
    <mergeCell ref="I22:J22"/>
  </mergeCells>
  <conditionalFormatting sqref="D20:D24">
    <cfRule type="duplicateValues" dxfId="0" priority="6"/>
  </conditionalFormatting>
  <conditionalFormatting sqref="D23:D24">
    <cfRule type="duplicateValues" dxfId="0" priority="5"/>
  </conditionalFormatting>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workbookViewId="0">
      <pane xSplit="2" ySplit="4" topLeftCell="C5" activePane="bottomRight" state="frozen"/>
      <selection/>
      <selection pane="topRight"/>
      <selection pane="bottomLeft"/>
      <selection pane="bottomRight" activeCell="AQ305" sqref="AQ305:AQ326"/>
    </sheetView>
  </sheetViews>
  <sheetFormatPr defaultColWidth="9.025" defaultRowHeight="13.5"/>
  <cols>
    <col min="1" max="1" width="11.4416666666667" customWidth="1"/>
    <col min="2" max="2" width="12.6666666666667" customWidth="1"/>
    <col min="3" max="3" width="17.6666666666667" customWidth="1"/>
    <col min="4" max="4" width="17.3333333333333" customWidth="1"/>
    <col min="5" max="5" width="19.775" customWidth="1"/>
    <col min="6" max="6" width="17.3333333333333" customWidth="1"/>
    <col min="7" max="8" width="21.1083333333333" customWidth="1"/>
    <col min="9" max="9" width="13.225" customWidth="1"/>
    <col min="10" max="10" width="12.775" customWidth="1"/>
    <col min="11" max="11" width="16.225" customWidth="1"/>
    <col min="12" max="12" width="13.5583333333333" customWidth="1"/>
    <col min="13" max="13" width="27.775" customWidth="1"/>
    <col min="14" max="14" width="12.5583333333333" customWidth="1"/>
  </cols>
  <sheetData>
    <row r="1" ht="18.75" spans="1:13">
      <c r="A1" s="157" t="s">
        <v>1684</v>
      </c>
      <c r="B1" s="158"/>
      <c r="C1" s="158"/>
      <c r="D1" s="158"/>
      <c r="E1" s="158"/>
      <c r="F1" s="158"/>
      <c r="G1" s="158"/>
      <c r="H1" s="158"/>
      <c r="I1" s="158"/>
      <c r="J1" s="158"/>
      <c r="K1" s="158"/>
      <c r="L1" s="158"/>
      <c r="M1" s="158"/>
    </row>
    <row r="2" ht="24" customHeight="1" spans="1:13">
      <c r="A2" s="159" t="s">
        <v>1685</v>
      </c>
      <c r="B2" s="159" t="s">
        <v>1686</v>
      </c>
      <c r="C2" s="159" t="s">
        <v>1687</v>
      </c>
      <c r="D2" s="159" t="s">
        <v>1688</v>
      </c>
      <c r="E2" s="160" t="s">
        <v>1689</v>
      </c>
      <c r="F2" s="160" t="s">
        <v>1689</v>
      </c>
      <c r="G2" s="161" t="s">
        <v>1690</v>
      </c>
      <c r="H2" s="162"/>
      <c r="I2" s="163" t="s">
        <v>1691</v>
      </c>
      <c r="J2" s="163" t="s">
        <v>1692</v>
      </c>
      <c r="K2" s="163" t="s">
        <v>1693</v>
      </c>
      <c r="L2" s="164" t="s">
        <v>40</v>
      </c>
      <c r="M2" s="165" t="s">
        <v>23</v>
      </c>
    </row>
    <row r="3" spans="1:13">
      <c r="A3" s="166"/>
      <c r="B3" s="166"/>
      <c r="C3" s="166"/>
      <c r="D3" s="166"/>
      <c r="E3" s="167" t="s">
        <v>1694</v>
      </c>
      <c r="F3" s="167" t="s">
        <v>1695</v>
      </c>
      <c r="G3" s="167" t="s">
        <v>1696</v>
      </c>
      <c r="H3" s="168" t="s">
        <v>1697</v>
      </c>
      <c r="I3" s="169" t="s">
        <v>1698</v>
      </c>
      <c r="J3" s="169" t="s">
        <v>1698</v>
      </c>
      <c r="K3" s="169" t="s">
        <v>1699</v>
      </c>
      <c r="L3" s="169" t="s">
        <v>1700</v>
      </c>
      <c r="M3" s="165"/>
    </row>
    <row r="4" spans="1:13">
      <c r="A4" s="166"/>
      <c r="B4" s="166"/>
      <c r="C4" s="166"/>
      <c r="D4" s="166"/>
      <c r="E4" s="170"/>
      <c r="F4" s="170"/>
      <c r="G4" s="170"/>
      <c r="H4" s="170"/>
      <c r="I4" s="170"/>
      <c r="J4" s="170"/>
      <c r="K4" s="170"/>
      <c r="L4" s="170"/>
      <c r="M4" s="160"/>
    </row>
    <row r="5" s="156" customFormat="1" ht="16.5" spans="1:13">
      <c r="A5" s="171">
        <v>46081</v>
      </c>
      <c r="B5" s="172">
        <v>77858</v>
      </c>
      <c r="C5" s="173" t="s">
        <v>1701</v>
      </c>
      <c r="D5" s="174" t="s">
        <v>1702</v>
      </c>
      <c r="E5" s="175">
        <v>30000</v>
      </c>
      <c r="F5" s="176"/>
      <c r="G5" s="176"/>
      <c r="H5" s="167"/>
      <c r="I5" s="176"/>
      <c r="J5" s="176"/>
      <c r="K5" s="176"/>
      <c r="L5" s="176"/>
      <c r="M5" s="177"/>
    </row>
    <row r="6" s="156" customFormat="1" ht="16.5" spans="1:13">
      <c r="A6" s="171">
        <v>46081</v>
      </c>
      <c r="B6" s="172">
        <v>77858</v>
      </c>
      <c r="C6" s="173" t="s">
        <v>1701</v>
      </c>
      <c r="D6" s="174" t="s">
        <v>1703</v>
      </c>
      <c r="E6" s="175"/>
      <c r="F6" s="175">
        <v>15000</v>
      </c>
      <c r="G6" s="175"/>
      <c r="H6" s="175"/>
      <c r="I6" s="175"/>
      <c r="J6" s="175"/>
      <c r="K6" s="175"/>
      <c r="L6" s="175"/>
      <c r="M6" s="177"/>
    </row>
    <row r="7" s="156" customFormat="1" ht="16.5" spans="1:13">
      <c r="A7" s="171">
        <v>46081</v>
      </c>
      <c r="B7" s="172">
        <v>77858</v>
      </c>
      <c r="C7" s="173" t="s">
        <v>1701</v>
      </c>
      <c r="D7" s="174" t="s">
        <v>1704</v>
      </c>
      <c r="E7" s="175"/>
      <c r="F7" s="175"/>
      <c r="G7" s="175">
        <v>50000</v>
      </c>
      <c r="H7" s="175"/>
      <c r="I7" s="175"/>
      <c r="J7" s="175"/>
      <c r="K7" s="175"/>
      <c r="L7" s="175"/>
      <c r="M7" s="177"/>
    </row>
    <row r="8" s="156" customFormat="1" ht="16.5" spans="1:13">
      <c r="A8" s="171">
        <v>46127</v>
      </c>
      <c r="B8" s="172">
        <v>77858</v>
      </c>
      <c r="C8" s="173" t="s">
        <v>1701</v>
      </c>
      <c r="D8" s="178" t="s">
        <v>1705</v>
      </c>
      <c r="E8" s="175">
        <v>20000</v>
      </c>
      <c r="F8" s="175"/>
      <c r="G8" s="175"/>
      <c r="H8" s="175"/>
      <c r="I8" s="175"/>
      <c r="J8" s="175"/>
      <c r="K8" s="175"/>
      <c r="L8" s="175"/>
      <c r="M8" s="177"/>
    </row>
    <row r="9" s="156" customFormat="1" ht="16.5" spans="1:13">
      <c r="A9" s="171">
        <v>46127</v>
      </c>
      <c r="B9" s="172">
        <v>77858</v>
      </c>
      <c r="C9" s="173" t="s">
        <v>1701</v>
      </c>
      <c r="D9" s="178" t="s">
        <v>1706</v>
      </c>
      <c r="E9" s="175"/>
      <c r="F9" s="175">
        <v>20000</v>
      </c>
      <c r="G9" s="175"/>
      <c r="H9" s="175"/>
      <c r="I9" s="175"/>
      <c r="J9" s="175"/>
      <c r="K9" s="175"/>
      <c r="L9" s="175"/>
      <c r="M9" s="177"/>
    </row>
    <row r="10" s="156" customFormat="1" ht="16.5" spans="1:13">
      <c r="A10" s="171">
        <v>46127</v>
      </c>
      <c r="B10" s="172">
        <v>77858</v>
      </c>
      <c r="C10" s="173" t="s">
        <v>1701</v>
      </c>
      <c r="D10" s="178" t="s">
        <v>1707</v>
      </c>
      <c r="E10" s="175"/>
      <c r="F10" s="175"/>
      <c r="G10" s="175">
        <v>30000</v>
      </c>
      <c r="H10" s="175"/>
      <c r="I10" s="175"/>
      <c r="J10" s="175"/>
      <c r="K10" s="175"/>
      <c r="L10" s="175"/>
      <c r="M10" s="177"/>
    </row>
    <row r="11" s="156" customFormat="1" ht="59.8" customHeight="1" spans="1:13">
      <c r="A11" s="171">
        <v>46134</v>
      </c>
      <c r="B11" s="172" t="s">
        <v>1708</v>
      </c>
      <c r="C11" s="173" t="s">
        <v>1709</v>
      </c>
      <c r="D11" s="174" t="s">
        <v>1710</v>
      </c>
      <c r="E11" s="175"/>
      <c r="F11" s="175"/>
      <c r="G11" s="175"/>
      <c r="H11" s="175"/>
      <c r="I11" s="179">
        <f>36*54*7+36*54*10</f>
        <v>33048</v>
      </c>
      <c r="J11" s="175"/>
      <c r="K11" s="175"/>
      <c r="L11" s="175"/>
      <c r="M11" s="180" t="s">
        <v>1711</v>
      </c>
    </row>
    <row r="12" s="156" customFormat="1" ht="57.95" customHeight="1" spans="1:13">
      <c r="A12" s="171">
        <v>46134</v>
      </c>
      <c r="B12" s="172" t="s">
        <v>1708</v>
      </c>
      <c r="C12" s="173" t="s">
        <v>1709</v>
      </c>
      <c r="D12" s="174" t="s">
        <v>1712</v>
      </c>
      <c r="E12" s="175"/>
      <c r="F12" s="175"/>
      <c r="G12" s="175"/>
      <c r="H12" s="175"/>
      <c r="I12" s="175"/>
      <c r="J12" s="179">
        <f>36*17*18</f>
        <v>11016</v>
      </c>
      <c r="K12" s="175"/>
      <c r="L12" s="175"/>
      <c r="M12" s="180" t="s">
        <v>1713</v>
      </c>
    </row>
    <row r="13" s="156" customFormat="1" ht="57" customHeight="1" spans="1:13">
      <c r="A13" s="171">
        <v>46134</v>
      </c>
      <c r="B13" s="172" t="s">
        <v>1708</v>
      </c>
      <c r="C13" s="173" t="s">
        <v>1709</v>
      </c>
      <c r="D13" s="174" t="s">
        <v>1714</v>
      </c>
      <c r="E13" s="175"/>
      <c r="F13" s="175"/>
      <c r="G13" s="175"/>
      <c r="H13" s="175"/>
      <c r="I13" s="175"/>
      <c r="J13" s="175"/>
      <c r="K13" s="179">
        <f>36*54*7+36*54*10</f>
        <v>33048</v>
      </c>
      <c r="L13" s="175"/>
      <c r="M13" s="180" t="s">
        <v>1713</v>
      </c>
    </row>
    <row r="14" s="156" customFormat="1" ht="57.95" customHeight="1" spans="1:13">
      <c r="A14" s="171">
        <v>46134</v>
      </c>
      <c r="B14" s="172" t="s">
        <v>1708</v>
      </c>
      <c r="C14" s="173" t="s">
        <v>1709</v>
      </c>
      <c r="D14" s="174" t="s">
        <v>1715</v>
      </c>
      <c r="E14" s="175"/>
      <c r="F14" s="175"/>
      <c r="G14" s="175"/>
      <c r="H14" s="175"/>
      <c r="I14" s="175"/>
      <c r="J14" s="175"/>
      <c r="K14" s="175"/>
      <c r="L14" s="179">
        <f>36*54*7+36*54*10</f>
        <v>33048</v>
      </c>
      <c r="M14" s="180" t="s">
        <v>1713</v>
      </c>
    </row>
    <row r="15" s="156" customFormat="1" ht="16.5" spans="1:13">
      <c r="A15" s="181">
        <v>46142</v>
      </c>
      <c r="B15" s="172">
        <v>77858</v>
      </c>
      <c r="C15" s="173" t="s">
        <v>1701</v>
      </c>
      <c r="D15" s="178" t="s">
        <v>1716</v>
      </c>
      <c r="E15" s="175">
        <v>20000</v>
      </c>
      <c r="F15" s="175"/>
      <c r="G15" s="175"/>
      <c r="H15" s="175"/>
      <c r="I15" s="175"/>
      <c r="J15" s="175"/>
      <c r="K15" s="175"/>
      <c r="L15" s="179"/>
      <c r="M15" s="177"/>
    </row>
    <row r="16" s="156" customFormat="1" ht="16.5" spans="1:13">
      <c r="A16" s="181">
        <v>46142</v>
      </c>
      <c r="B16" s="172">
        <v>77858</v>
      </c>
      <c r="C16" s="173" t="s">
        <v>1701</v>
      </c>
      <c r="D16" s="178" t="s">
        <v>1717</v>
      </c>
      <c r="E16" s="175"/>
      <c r="F16" s="175">
        <v>20000</v>
      </c>
      <c r="G16" s="175"/>
      <c r="H16" s="175"/>
      <c r="I16" s="175"/>
      <c r="J16" s="175"/>
      <c r="K16" s="175"/>
      <c r="L16" s="179"/>
      <c r="M16" s="177"/>
    </row>
    <row r="17" s="156" customFormat="1" ht="16.5" spans="1:13">
      <c r="A17" s="181">
        <v>46142</v>
      </c>
      <c r="B17" s="172">
        <v>77858</v>
      </c>
      <c r="C17" s="173" t="s">
        <v>1701</v>
      </c>
      <c r="D17" s="178" t="s">
        <v>1718</v>
      </c>
      <c r="E17" s="175"/>
      <c r="F17" s="175"/>
      <c r="G17" s="175">
        <v>50000</v>
      </c>
      <c r="H17" s="175"/>
      <c r="I17" s="175"/>
      <c r="J17" s="175"/>
      <c r="K17" s="175"/>
      <c r="L17" s="179"/>
      <c r="M17" s="177"/>
    </row>
    <row r="18" s="156" customFormat="1" ht="46.15" customHeight="1" spans="1:13">
      <c r="A18" s="181">
        <v>46156</v>
      </c>
      <c r="B18" s="172" t="s">
        <v>1708</v>
      </c>
      <c r="C18" s="173" t="s">
        <v>1709</v>
      </c>
      <c r="D18" s="174" t="s">
        <v>1719</v>
      </c>
      <c r="E18" s="175"/>
      <c r="F18" s="175"/>
      <c r="G18" s="175"/>
      <c r="H18" s="175"/>
      <c r="I18" s="179">
        <f>17*54*36</f>
        <v>33048</v>
      </c>
      <c r="J18" s="175"/>
      <c r="K18" s="175"/>
      <c r="L18" s="179"/>
      <c r="M18" s="180" t="s">
        <v>1720</v>
      </c>
    </row>
    <row r="19" s="156" customFormat="1" ht="37.7" customHeight="1" spans="1:13">
      <c r="A19" s="181">
        <v>46156</v>
      </c>
      <c r="B19" s="172" t="s">
        <v>1708</v>
      </c>
      <c r="C19" s="173" t="s">
        <v>1709</v>
      </c>
      <c r="D19" s="174" t="s">
        <v>1721</v>
      </c>
      <c r="E19" s="175"/>
      <c r="F19" s="175"/>
      <c r="G19" s="175"/>
      <c r="H19" s="175"/>
      <c r="I19" s="175"/>
      <c r="J19" s="179">
        <f>17*18*36</f>
        <v>11016</v>
      </c>
      <c r="K19" s="175"/>
      <c r="L19" s="179"/>
      <c r="M19" s="180" t="s">
        <v>1720</v>
      </c>
    </row>
    <row r="20" s="156" customFormat="1" ht="48.95" customHeight="1" spans="1:13">
      <c r="A20" s="181">
        <v>46156</v>
      </c>
      <c r="B20" s="172" t="s">
        <v>1708</v>
      </c>
      <c r="C20" s="173" t="s">
        <v>1709</v>
      </c>
      <c r="D20" s="174" t="s">
        <v>1722</v>
      </c>
      <c r="E20" s="175"/>
      <c r="F20" s="175"/>
      <c r="G20" s="175"/>
      <c r="H20" s="175"/>
      <c r="I20" s="175"/>
      <c r="J20" s="175"/>
      <c r="K20" s="179">
        <f>17*54*36</f>
        <v>33048</v>
      </c>
      <c r="L20" s="179"/>
      <c r="M20" s="180" t="s">
        <v>1720</v>
      </c>
    </row>
    <row r="21" s="156" customFormat="1" ht="52.7" customHeight="1" spans="1:13">
      <c r="A21" s="181">
        <v>46156</v>
      </c>
      <c r="B21" s="172" t="s">
        <v>1708</v>
      </c>
      <c r="C21" s="173" t="s">
        <v>1709</v>
      </c>
      <c r="D21" s="174" t="s">
        <v>1723</v>
      </c>
      <c r="E21" s="175"/>
      <c r="F21" s="175"/>
      <c r="G21" s="175"/>
      <c r="H21" s="175"/>
      <c r="I21" s="175"/>
      <c r="J21" s="175"/>
      <c r="K21" s="175"/>
      <c r="L21" s="179">
        <f>17*54*36</f>
        <v>33048</v>
      </c>
      <c r="M21" s="180" t="s">
        <v>1720</v>
      </c>
    </row>
    <row r="22" s="156" customFormat="1" ht="16.5" spans="1:13">
      <c r="A22" s="181">
        <v>46182</v>
      </c>
      <c r="B22" s="172" t="s">
        <v>1708</v>
      </c>
      <c r="C22" s="173" t="s">
        <v>1709</v>
      </c>
      <c r="D22" s="182" t="s">
        <v>1724</v>
      </c>
      <c r="E22" s="175"/>
      <c r="F22" s="175"/>
      <c r="G22" s="175"/>
      <c r="H22" s="175"/>
      <c r="I22" s="179">
        <f>17*54*36</f>
        <v>33048</v>
      </c>
      <c r="J22" s="175"/>
      <c r="K22" s="175"/>
      <c r="L22" s="179"/>
      <c r="M22" s="163" t="s">
        <v>1725</v>
      </c>
    </row>
    <row r="23" s="156" customFormat="1" ht="16.5" spans="1:13">
      <c r="A23" s="181">
        <v>46182</v>
      </c>
      <c r="B23" s="172" t="s">
        <v>1708</v>
      </c>
      <c r="C23" s="173" t="s">
        <v>1709</v>
      </c>
      <c r="D23" s="182" t="s">
        <v>1726</v>
      </c>
      <c r="E23" s="175"/>
      <c r="F23" s="175"/>
      <c r="G23" s="175"/>
      <c r="H23" s="175"/>
      <c r="I23" s="175"/>
      <c r="J23" s="179">
        <f>17*18*36</f>
        <v>11016</v>
      </c>
      <c r="K23" s="175"/>
      <c r="L23" s="179"/>
      <c r="M23" s="163" t="s">
        <v>1725</v>
      </c>
    </row>
    <row r="24" s="156" customFormat="1" ht="16.5" spans="1:13">
      <c r="A24" s="181">
        <v>46182</v>
      </c>
      <c r="B24" s="172" t="s">
        <v>1708</v>
      </c>
      <c r="C24" s="173" t="s">
        <v>1709</v>
      </c>
      <c r="D24" s="182" t="s">
        <v>1727</v>
      </c>
      <c r="E24" s="175"/>
      <c r="F24" s="175"/>
      <c r="G24" s="175"/>
      <c r="H24" s="175"/>
      <c r="I24" s="175"/>
      <c r="J24" s="175"/>
      <c r="K24" s="179">
        <f>17*54*36</f>
        <v>33048</v>
      </c>
      <c r="L24" s="179"/>
      <c r="M24" s="163" t="s">
        <v>1725</v>
      </c>
    </row>
    <row r="25" s="156" customFormat="1" ht="16.5" spans="1:13">
      <c r="A25" s="181">
        <v>46182</v>
      </c>
      <c r="B25" s="172" t="s">
        <v>1708</v>
      </c>
      <c r="C25" s="173" t="s">
        <v>1709</v>
      </c>
      <c r="D25" s="182" t="s">
        <v>1728</v>
      </c>
      <c r="E25" s="175"/>
      <c r="F25" s="175"/>
      <c r="G25" s="175"/>
      <c r="H25" s="175"/>
      <c r="I25" s="175"/>
      <c r="J25" s="175"/>
      <c r="K25" s="175"/>
      <c r="L25" s="179">
        <f>17*54*36</f>
        <v>33048</v>
      </c>
      <c r="M25" s="163" t="s">
        <v>1725</v>
      </c>
    </row>
    <row r="26" s="156" customFormat="1" ht="16.5" spans="1:13">
      <c r="A26" s="181">
        <v>46188</v>
      </c>
      <c r="B26" s="172">
        <v>77858</v>
      </c>
      <c r="C26" s="173" t="s">
        <v>1701</v>
      </c>
      <c r="D26" s="183" t="s">
        <v>1729</v>
      </c>
      <c r="E26" s="175">
        <v>30000</v>
      </c>
      <c r="F26" s="175"/>
      <c r="G26" s="175"/>
      <c r="H26" s="175"/>
      <c r="I26" s="175"/>
      <c r="J26" s="175"/>
      <c r="K26" s="175"/>
      <c r="L26" s="179"/>
      <c r="M26" s="184" t="s">
        <v>1730</v>
      </c>
    </row>
    <row r="27" s="156" customFormat="1" ht="16.5" spans="1:13">
      <c r="A27" s="181">
        <v>46188</v>
      </c>
      <c r="B27" s="172">
        <v>77858</v>
      </c>
      <c r="C27" s="173" t="s">
        <v>1701</v>
      </c>
      <c r="D27" s="183" t="s">
        <v>1731</v>
      </c>
      <c r="E27" s="175"/>
      <c r="F27" s="175">
        <v>20000</v>
      </c>
      <c r="G27" s="175"/>
      <c r="H27" s="175"/>
      <c r="I27" s="175"/>
      <c r="J27" s="175"/>
      <c r="K27" s="175"/>
      <c r="L27" s="179"/>
      <c r="M27" s="184" t="s">
        <v>1730</v>
      </c>
    </row>
    <row r="28" s="156" customFormat="1" ht="16.5" spans="1:13">
      <c r="A28" s="181">
        <v>46188</v>
      </c>
      <c r="B28" s="172">
        <v>77858</v>
      </c>
      <c r="C28" s="185" t="s">
        <v>1701</v>
      </c>
      <c r="D28" s="183" t="s">
        <v>1732</v>
      </c>
      <c r="E28" s="175"/>
      <c r="F28" s="175"/>
      <c r="H28" s="175">
        <v>40000</v>
      </c>
      <c r="I28" s="175"/>
      <c r="J28" s="175"/>
      <c r="K28" s="175"/>
      <c r="L28" s="179"/>
      <c r="M28" s="184" t="s">
        <v>1733</v>
      </c>
    </row>
    <row r="29" s="156" customFormat="1" ht="16.5" spans="1:13">
      <c r="A29" s="181">
        <v>46205</v>
      </c>
      <c r="B29" s="186" t="s">
        <v>1708</v>
      </c>
      <c r="C29" s="187" t="s">
        <v>1734</v>
      </c>
      <c r="D29" s="188" t="s">
        <v>1735</v>
      </c>
      <c r="E29" s="175"/>
      <c r="F29" s="175"/>
      <c r="G29" s="175"/>
      <c r="H29" s="175"/>
      <c r="I29" s="175">
        <v>11664</v>
      </c>
      <c r="J29" s="175"/>
      <c r="K29" s="175"/>
      <c r="L29" s="179"/>
      <c r="M29" s="184" t="s">
        <v>1736</v>
      </c>
    </row>
    <row r="30" s="156" customFormat="1" ht="16.5" spans="1:13">
      <c r="A30" s="181">
        <v>46205</v>
      </c>
      <c r="B30" s="186" t="s">
        <v>1708</v>
      </c>
      <c r="C30" s="187" t="s">
        <v>1734</v>
      </c>
      <c r="D30" s="188" t="s">
        <v>1737</v>
      </c>
      <c r="E30" s="175"/>
      <c r="F30" s="175"/>
      <c r="G30" s="175"/>
      <c r="H30" s="175"/>
      <c r="I30" s="175"/>
      <c r="J30" s="175">
        <v>3888</v>
      </c>
      <c r="K30" s="175"/>
      <c r="L30" s="179"/>
      <c r="M30" s="184" t="s">
        <v>1736</v>
      </c>
    </row>
    <row r="31" s="156" customFormat="1" ht="16.5" spans="1:13">
      <c r="A31" s="181">
        <v>46205</v>
      </c>
      <c r="B31" s="186" t="s">
        <v>1708</v>
      </c>
      <c r="C31" s="187" t="s">
        <v>1734</v>
      </c>
      <c r="D31" s="188" t="s">
        <v>1738</v>
      </c>
      <c r="E31" s="175"/>
      <c r="F31" s="175"/>
      <c r="G31" s="175"/>
      <c r="H31" s="175"/>
      <c r="I31" s="175"/>
      <c r="J31" s="175"/>
      <c r="K31" s="175">
        <v>11664</v>
      </c>
      <c r="L31" s="179"/>
      <c r="M31" s="184" t="s">
        <v>1736</v>
      </c>
    </row>
    <row r="32" s="156" customFormat="1" ht="16.5" spans="1:13">
      <c r="A32" s="181">
        <v>46205</v>
      </c>
      <c r="B32" s="186" t="s">
        <v>1708</v>
      </c>
      <c r="C32" s="187" t="s">
        <v>1734</v>
      </c>
      <c r="D32" s="188" t="s">
        <v>1739</v>
      </c>
      <c r="E32" s="175"/>
      <c r="F32" s="175"/>
      <c r="G32" s="175"/>
      <c r="H32" s="175"/>
      <c r="I32" s="175"/>
      <c r="J32" s="175"/>
      <c r="K32" s="175"/>
      <c r="L32" s="175">
        <v>11664</v>
      </c>
      <c r="M32" s="184" t="s">
        <v>1736</v>
      </c>
    </row>
    <row r="33" s="156" customFormat="1" ht="16.5" spans="1:13">
      <c r="A33" s="181">
        <v>46205</v>
      </c>
      <c r="B33" s="186" t="s">
        <v>1708</v>
      </c>
      <c r="C33" s="189" t="s">
        <v>1740</v>
      </c>
      <c r="D33" s="188" t="s">
        <v>1741</v>
      </c>
      <c r="E33" s="175"/>
      <c r="F33" s="175"/>
      <c r="G33" s="175"/>
      <c r="H33" s="175"/>
      <c r="I33" s="175">
        <v>7560</v>
      </c>
      <c r="J33" s="175"/>
      <c r="K33" s="175"/>
      <c r="L33" s="179"/>
      <c r="M33" s="184" t="s">
        <v>1742</v>
      </c>
    </row>
    <row r="34" s="156" customFormat="1" ht="16.5" spans="1:13">
      <c r="A34" s="181">
        <v>46205</v>
      </c>
      <c r="B34" s="186" t="s">
        <v>1708</v>
      </c>
      <c r="C34" s="189" t="s">
        <v>1740</v>
      </c>
      <c r="D34" s="188" t="s">
        <v>1743</v>
      </c>
      <c r="E34" s="175"/>
      <c r="F34" s="175"/>
      <c r="G34" s="175"/>
      <c r="H34" s="175"/>
      <c r="I34" s="175"/>
      <c r="J34" s="175">
        <v>140</v>
      </c>
      <c r="K34" s="175"/>
      <c r="L34" s="179"/>
      <c r="M34" s="184" t="s">
        <v>1742</v>
      </c>
    </row>
    <row r="35" s="156" customFormat="1" ht="16.5" spans="1:13">
      <c r="A35" s="181">
        <v>46205</v>
      </c>
      <c r="B35" s="186" t="s">
        <v>1708</v>
      </c>
      <c r="C35" s="189" t="s">
        <v>1740</v>
      </c>
      <c r="D35" s="188" t="s">
        <v>1744</v>
      </c>
      <c r="E35" s="175"/>
      <c r="F35" s="175"/>
      <c r="G35" s="175"/>
      <c r="H35" s="175"/>
      <c r="I35" s="175"/>
      <c r="J35" s="175"/>
      <c r="K35" s="175">
        <v>7560</v>
      </c>
      <c r="L35" s="179"/>
      <c r="M35" s="184" t="s">
        <v>1742</v>
      </c>
    </row>
    <row r="36" s="156" customFormat="1" ht="16.5" spans="1:13">
      <c r="A36" s="181">
        <v>46205</v>
      </c>
      <c r="B36" s="186" t="s">
        <v>1708</v>
      </c>
      <c r="C36" s="189" t="s">
        <v>1740</v>
      </c>
      <c r="D36" s="188" t="s">
        <v>1745</v>
      </c>
      <c r="E36" s="175"/>
      <c r="F36" s="175"/>
      <c r="G36" s="175"/>
      <c r="H36" s="175"/>
      <c r="I36" s="175"/>
      <c r="J36" s="175"/>
      <c r="K36" s="175"/>
      <c r="L36" s="175">
        <v>7560</v>
      </c>
      <c r="M36" s="184" t="s">
        <v>1742</v>
      </c>
    </row>
    <row r="37" s="156" customFormat="1" ht="16.5" spans="1:13">
      <c r="A37" s="181">
        <v>46220</v>
      </c>
      <c r="B37" s="172">
        <v>77858</v>
      </c>
      <c r="C37" s="173" t="s">
        <v>1701</v>
      </c>
      <c r="D37" s="188" t="s">
        <v>1746</v>
      </c>
      <c r="E37" s="175">
        <v>20000</v>
      </c>
      <c r="F37" s="175"/>
      <c r="G37" s="175"/>
      <c r="H37" s="175"/>
      <c r="I37" s="175"/>
      <c r="J37" s="175"/>
      <c r="K37" s="175"/>
      <c r="L37" s="175"/>
      <c r="M37" s="184" t="s">
        <v>1730</v>
      </c>
    </row>
    <row r="38" s="156" customFormat="1" ht="16.5" spans="1:13">
      <c r="A38" s="181">
        <v>46220</v>
      </c>
      <c r="B38" s="172">
        <v>77858</v>
      </c>
      <c r="C38" s="173" t="s">
        <v>1701</v>
      </c>
      <c r="D38" s="188" t="s">
        <v>1747</v>
      </c>
      <c r="E38" s="175"/>
      <c r="F38" s="175">
        <v>10000</v>
      </c>
      <c r="G38" s="175"/>
      <c r="H38" s="175"/>
      <c r="I38" s="175"/>
      <c r="J38" s="175"/>
      <c r="K38" s="175"/>
      <c r="L38" s="175"/>
      <c r="M38" s="184" t="s">
        <v>1730</v>
      </c>
    </row>
    <row r="39" s="156" customFormat="1" ht="16.5" spans="1:13">
      <c r="A39" s="181">
        <v>46220</v>
      </c>
      <c r="B39" s="172">
        <v>77858</v>
      </c>
      <c r="C39" s="185" t="s">
        <v>1701</v>
      </c>
      <c r="D39" s="188" t="s">
        <v>1748</v>
      </c>
      <c r="E39" s="175"/>
      <c r="F39" s="175"/>
      <c r="H39" s="175">
        <v>30000</v>
      </c>
      <c r="I39" s="175"/>
      <c r="J39" s="175"/>
      <c r="K39" s="175"/>
      <c r="L39" s="175"/>
      <c r="M39" s="184" t="s">
        <v>1733</v>
      </c>
    </row>
    <row r="40" s="156" customFormat="1" ht="16.5" spans="1:13">
      <c r="A40" s="181">
        <v>46232</v>
      </c>
      <c r="B40" s="172">
        <v>77858</v>
      </c>
      <c r="C40" s="185" t="s">
        <v>1701</v>
      </c>
      <c r="D40" s="190" t="s">
        <v>1749</v>
      </c>
      <c r="E40" s="175">
        <v>20000</v>
      </c>
      <c r="F40" s="175"/>
      <c r="G40" s="175"/>
      <c r="H40" s="175"/>
      <c r="I40" s="175"/>
      <c r="J40" s="175"/>
      <c r="K40" s="175"/>
      <c r="L40" s="175"/>
      <c r="M40" s="184" t="s">
        <v>1730</v>
      </c>
    </row>
    <row r="41" s="156" customFormat="1" ht="16.5" spans="1:13">
      <c r="A41" s="181">
        <v>46245</v>
      </c>
      <c r="B41" s="186">
        <v>77858</v>
      </c>
      <c r="C41" s="191" t="s">
        <v>1750</v>
      </c>
      <c r="D41" s="190" t="s">
        <v>1751</v>
      </c>
      <c r="E41" s="175">
        <v>20000</v>
      </c>
      <c r="F41" s="175"/>
      <c r="G41" s="175"/>
      <c r="H41" s="175"/>
      <c r="I41" s="175"/>
      <c r="J41" s="175"/>
      <c r="K41" s="175"/>
      <c r="L41" s="175"/>
      <c r="M41" s="184"/>
    </row>
    <row r="42" s="156" customFormat="1" ht="16.5" spans="1:13">
      <c r="A42" s="181">
        <v>46245</v>
      </c>
      <c r="B42" s="186">
        <v>77858</v>
      </c>
      <c r="C42" s="191" t="s">
        <v>1750</v>
      </c>
      <c r="D42" s="190" t="s">
        <v>1752</v>
      </c>
      <c r="E42" s="175"/>
      <c r="F42" s="175"/>
      <c r="G42" s="175"/>
      <c r="H42" s="175">
        <v>30000</v>
      </c>
      <c r="I42" s="175"/>
      <c r="J42" s="175"/>
      <c r="K42" s="175"/>
      <c r="L42" s="175"/>
      <c r="M42" s="184"/>
    </row>
    <row r="43" s="156" customFormat="1" ht="16.5" spans="1:13">
      <c r="A43" s="192">
        <v>46248</v>
      </c>
      <c r="B43" s="193">
        <v>77858</v>
      </c>
      <c r="C43" s="194" t="s">
        <v>1750</v>
      </c>
      <c r="D43" s="195" t="s">
        <v>1753</v>
      </c>
      <c r="E43" s="196">
        <v>20000</v>
      </c>
      <c r="F43" s="196"/>
      <c r="G43" s="196"/>
      <c r="H43" s="196"/>
      <c r="I43" s="196"/>
      <c r="J43" s="196"/>
      <c r="K43" s="196"/>
      <c r="L43" s="196"/>
      <c r="M43" s="197" t="s">
        <v>1730</v>
      </c>
    </row>
    <row r="44" customFormat="1" ht="16.5" spans="1:13">
      <c r="A44" s="198"/>
      <c r="B44" s="199"/>
      <c r="C44" s="200" t="s">
        <v>1754</v>
      </c>
      <c r="D44" s="201"/>
      <c r="E44" s="202">
        <f>SUM(E5:E43)</f>
        <v>180000</v>
      </c>
      <c r="F44" s="202">
        <f t="shared" ref="F44:L44" si="0">SUM(F5:F43)</f>
        <v>85000</v>
      </c>
      <c r="G44" s="202">
        <f t="shared" si="0"/>
        <v>130000</v>
      </c>
      <c r="H44" s="202">
        <f t="shared" si="0"/>
        <v>100000</v>
      </c>
      <c r="I44" s="202">
        <f t="shared" si="0"/>
        <v>118368</v>
      </c>
      <c r="J44" s="202">
        <f t="shared" si="0"/>
        <v>37076</v>
      </c>
      <c r="K44" s="202">
        <f t="shared" si="0"/>
        <v>118368</v>
      </c>
      <c r="L44" s="202">
        <f t="shared" si="0"/>
        <v>118368</v>
      </c>
      <c r="M44" s="203"/>
    </row>
    <row r="45" customFormat="1" ht="16.5" spans="1:13">
      <c r="A45" s="198"/>
      <c r="B45" s="199"/>
      <c r="C45" s="204" t="s">
        <v>1755</v>
      </c>
      <c r="D45" s="201"/>
      <c r="E45" s="202">
        <f>'77858厨房套装'!AI378</f>
        <v>174112</v>
      </c>
      <c r="F45" s="202">
        <f>'77858厨房套装'!AL378</f>
        <v>82584</v>
      </c>
      <c r="G45" s="202">
        <f>'77858厨房套装'!AQ378</f>
        <v>128510</v>
      </c>
      <c r="H45" s="202">
        <f>'77858厨房套装'!AR378</f>
        <v>98981</v>
      </c>
      <c r="I45" s="202">
        <f>'77858厨房套装'!AJ378</f>
        <v>118368</v>
      </c>
      <c r="J45" s="202">
        <f>'77858厨房套装'!AS378</f>
        <v>40104</v>
      </c>
      <c r="K45" s="202">
        <f>'77858厨房套装'!AP378</f>
        <v>120996</v>
      </c>
      <c r="L45" s="202">
        <f>'77858厨房套装'!AN378</f>
        <v>122465</v>
      </c>
      <c r="M45" s="203"/>
    </row>
    <row r="46" customFormat="1" ht="16.5" spans="1:13">
      <c r="A46" s="198"/>
      <c r="B46" s="199"/>
      <c r="C46" s="204" t="s">
        <v>1756</v>
      </c>
      <c r="D46" s="201"/>
      <c r="E46" s="202">
        <f t="shared" ref="E46:L46" si="1">E44-E45</f>
        <v>5888</v>
      </c>
      <c r="F46" s="202">
        <f t="shared" si="1"/>
        <v>2416</v>
      </c>
      <c r="G46" s="202">
        <f t="shared" si="1"/>
        <v>1490</v>
      </c>
      <c r="H46" s="202">
        <f t="shared" si="1"/>
        <v>1019</v>
      </c>
      <c r="I46" s="202">
        <f t="shared" si="1"/>
        <v>0</v>
      </c>
      <c r="J46" s="202">
        <f t="shared" si="1"/>
        <v>-3028</v>
      </c>
      <c r="K46" s="202">
        <f t="shared" si="1"/>
        <v>-2628</v>
      </c>
      <c r="L46" s="202">
        <f t="shared" si="1"/>
        <v>-4097</v>
      </c>
      <c r="M46" s="203"/>
    </row>
  </sheetData>
  <sheetProtection formatCells="0" formatColumns="0" formatRows="0" insertRows="0" insertColumns="0" insertHyperlinks="0" deleteColumns="0" deleteRows="0" sort="0" autoFilter="0" pivotTables="0"/>
  <autoFilter xmlns:etc="http://www.wps.cn/officeDocument/2017/etCustomData" ref="A2:M46" etc:filterBottomFollowUsedRange="1">
    <extLst/>
  </autoFilter>
  <mergeCells count="18">
    <mergeCell ref="A1:M1"/>
    <mergeCell ref="G2:H2"/>
    <mergeCell ref="C44:D44"/>
    <mergeCell ref="C45:D45"/>
    <mergeCell ref="C46:D46"/>
    <mergeCell ref="A2:A4"/>
    <mergeCell ref="B2:B4"/>
    <mergeCell ref="C2:C4"/>
    <mergeCell ref="D2:D4"/>
    <mergeCell ref="E3:E4"/>
    <mergeCell ref="F3:F4"/>
    <mergeCell ref="G3:G4"/>
    <mergeCell ref="H3:H4"/>
    <mergeCell ref="I3:I4"/>
    <mergeCell ref="J3:J4"/>
    <mergeCell ref="K3:K4"/>
    <mergeCell ref="L3:L4"/>
    <mergeCell ref="M2:M4"/>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1"/>
  <sheetViews>
    <sheetView workbookViewId="0">
      <selection activeCell="J5" sqref="J5:J11"/>
    </sheetView>
  </sheetViews>
  <sheetFormatPr defaultColWidth="9.025" defaultRowHeight="13.5"/>
  <cols>
    <col min="4" max="4" width="11.5"/>
    <col min="5" max="5" width="13.1083333333333"/>
    <col min="26" max="26" width="11.5"/>
    <col min="27" max="27" width="11.8916666666667"/>
  </cols>
  <sheetData>
    <row r="1" s="1" customFormat="1" ht="46" customHeight="1" spans="1:44">
      <c r="A1" s="5" t="s">
        <v>1</v>
      </c>
      <c r="B1" s="6" t="s">
        <v>2</v>
      </c>
      <c r="C1" s="7" t="s">
        <v>3</v>
      </c>
      <c r="D1" s="8" t="s">
        <v>4</v>
      </c>
      <c r="E1" s="7" t="s">
        <v>1757</v>
      </c>
      <c r="F1" s="8" t="s">
        <v>6</v>
      </c>
      <c r="G1" s="8" t="s">
        <v>7</v>
      </c>
      <c r="H1" s="9" t="s">
        <v>8</v>
      </c>
      <c r="I1" s="10" t="s">
        <v>1758</v>
      </c>
      <c r="J1" s="9" t="s">
        <v>1759</v>
      </c>
      <c r="K1" s="7" t="s">
        <v>1760</v>
      </c>
      <c r="L1" s="7" t="s">
        <v>12</v>
      </c>
      <c r="M1" s="11" t="s">
        <v>13</v>
      </c>
      <c r="N1" s="11" t="s">
        <v>14</v>
      </c>
      <c r="O1" s="12" t="s">
        <v>15</v>
      </c>
      <c r="P1" s="7" t="s">
        <v>16</v>
      </c>
      <c r="Q1" s="8" t="s">
        <v>1761</v>
      </c>
      <c r="R1" s="6" t="s">
        <v>18</v>
      </c>
      <c r="S1" s="7" t="s">
        <v>1762</v>
      </c>
      <c r="T1" s="6" t="s">
        <v>20</v>
      </c>
      <c r="U1" s="13" t="s">
        <v>1763</v>
      </c>
      <c r="V1" s="14" t="s">
        <v>22</v>
      </c>
      <c r="W1" s="15" t="s">
        <v>23</v>
      </c>
      <c r="X1" s="16" t="s">
        <v>1764</v>
      </c>
      <c r="Y1" s="7" t="s">
        <v>1765</v>
      </c>
      <c r="Z1" s="17" t="s">
        <v>1766</v>
      </c>
      <c r="AA1" s="18" t="s">
        <v>27</v>
      </c>
      <c r="AB1" s="19" t="s">
        <v>28</v>
      </c>
      <c r="AC1" s="18" t="s">
        <v>29</v>
      </c>
      <c r="AD1" s="19" t="s">
        <v>30</v>
      </c>
      <c r="AE1" s="19" t="s">
        <v>31</v>
      </c>
      <c r="AF1" s="19" t="s">
        <v>32</v>
      </c>
      <c r="AG1" s="19" t="s">
        <v>33</v>
      </c>
      <c r="AH1" s="19" t="s">
        <v>35</v>
      </c>
      <c r="AI1" s="19" t="s">
        <v>36</v>
      </c>
      <c r="AJ1" s="19" t="s">
        <v>37</v>
      </c>
      <c r="AK1" s="19" t="s">
        <v>38</v>
      </c>
      <c r="AL1" s="19" t="s">
        <v>39</v>
      </c>
      <c r="AM1" s="19" t="s">
        <v>40</v>
      </c>
      <c r="AN1" s="19" t="s">
        <v>41</v>
      </c>
      <c r="AO1" s="19" t="s">
        <v>1767</v>
      </c>
      <c r="AP1" s="19" t="s">
        <v>1768</v>
      </c>
      <c r="AQ1" s="20" t="s">
        <v>1769</v>
      </c>
    </row>
    <row r="2" s="2" customFormat="1" ht="36" customHeight="1" spans="1:44">
      <c r="A2" s="21">
        <v>46056</v>
      </c>
      <c r="B2" s="22" t="s">
        <v>161</v>
      </c>
      <c r="C2" s="23" t="s">
        <v>161</v>
      </c>
      <c r="D2" s="23" t="s">
        <v>71</v>
      </c>
      <c r="E2" s="24">
        <v>4500192979</v>
      </c>
      <c r="F2" s="25" t="s">
        <v>1770</v>
      </c>
      <c r="G2" s="26" t="s">
        <v>1771</v>
      </c>
      <c r="H2" s="26" t="s">
        <v>165</v>
      </c>
      <c r="I2" s="27"/>
      <c r="J2" s="28">
        <v>3999</v>
      </c>
      <c r="K2" s="29">
        <v>0</v>
      </c>
      <c r="L2" s="29">
        <v>3</v>
      </c>
      <c r="M2" s="30">
        <f>J2/L2</f>
        <v>1333</v>
      </c>
      <c r="N2" s="31">
        <v>46132</v>
      </c>
      <c r="O2" s="31">
        <v>46128</v>
      </c>
      <c r="P2" s="32" t="s">
        <v>1772</v>
      </c>
      <c r="Q2" s="32"/>
      <c r="R2" s="33"/>
      <c r="S2" s="33"/>
      <c r="T2" s="32">
        <v>46056</v>
      </c>
      <c r="U2" s="34" t="s">
        <v>54</v>
      </c>
      <c r="V2" s="35" t="s">
        <v>54</v>
      </c>
      <c r="W2" s="36" t="s">
        <v>1773</v>
      </c>
      <c r="X2" s="37" t="s">
        <v>1774</v>
      </c>
      <c r="Y2" s="38" t="s">
        <v>292</v>
      </c>
      <c r="Z2" s="39">
        <v>7.59</v>
      </c>
      <c r="AA2" s="40">
        <f>J2*Z2</f>
        <v>30352.41</v>
      </c>
      <c r="AB2" s="24"/>
      <c r="AC2" s="26" t="s">
        <v>165</v>
      </c>
      <c r="AD2" s="4" t="s">
        <v>1775</v>
      </c>
      <c r="AE2" s="29"/>
      <c r="AF2" s="41"/>
      <c r="AG2" s="42"/>
      <c r="AH2" s="43"/>
      <c r="AI2" s="24"/>
      <c r="AJ2" s="24"/>
      <c r="AK2" s="24"/>
      <c r="AL2" s="44"/>
      <c r="AM2" s="45"/>
    </row>
    <row r="3" s="3" customFormat="1" ht="36" customHeight="1" spans="1:44">
      <c r="A3" s="21">
        <v>46067</v>
      </c>
      <c r="B3" s="22"/>
      <c r="C3" s="23" t="s">
        <v>285</v>
      </c>
      <c r="D3" s="23" t="s">
        <v>71</v>
      </c>
      <c r="E3" s="24">
        <v>4500193997</v>
      </c>
      <c r="F3" s="25" t="s">
        <v>1776</v>
      </c>
      <c r="G3" s="26" t="s">
        <v>1777</v>
      </c>
      <c r="H3" s="26" t="s">
        <v>169</v>
      </c>
      <c r="I3" s="27"/>
      <c r="J3" s="28">
        <v>192</v>
      </c>
      <c r="K3" s="29">
        <v>0</v>
      </c>
      <c r="L3" s="29">
        <v>3</v>
      </c>
      <c r="M3" s="30">
        <f>J3/L3</f>
        <v>64</v>
      </c>
      <c r="N3" s="31">
        <v>46125</v>
      </c>
      <c r="O3" s="31">
        <v>46121</v>
      </c>
      <c r="P3" s="32"/>
      <c r="Q3" s="32"/>
      <c r="R3" s="33"/>
      <c r="S3" s="33"/>
      <c r="T3" s="32">
        <v>46067</v>
      </c>
      <c r="U3" s="34" t="s">
        <v>66</v>
      </c>
      <c r="V3" s="32" t="s">
        <v>1495</v>
      </c>
      <c r="W3" s="46" t="s">
        <v>1236</v>
      </c>
      <c r="X3" s="47" t="s">
        <v>1778</v>
      </c>
      <c r="Y3" s="38" t="s">
        <v>292</v>
      </c>
      <c r="Z3" s="39">
        <v>7.3813</v>
      </c>
      <c r="AA3" s="40">
        <f>J3*Z3</f>
        <v>1417.2096</v>
      </c>
      <c r="AB3" s="24"/>
      <c r="AC3" s="26"/>
      <c r="AD3" s="4"/>
      <c r="AE3" s="29"/>
      <c r="AF3" s="41"/>
      <c r="AG3" s="42"/>
      <c r="AH3" s="43"/>
      <c r="AI3" s="24"/>
      <c r="AJ3" s="24"/>
      <c r="AK3" s="24"/>
      <c r="AL3" s="44"/>
      <c r="AM3" s="4"/>
    </row>
    <row r="4" s="3" customFormat="1" ht="36" customHeight="1" spans="1:44">
      <c r="A4" s="48">
        <v>46067</v>
      </c>
      <c r="B4" s="49"/>
      <c r="C4" s="50" t="s">
        <v>285</v>
      </c>
      <c r="D4" s="50" t="s">
        <v>71</v>
      </c>
      <c r="E4" s="51">
        <v>4500194000</v>
      </c>
      <c r="F4" s="52" t="s">
        <v>1779</v>
      </c>
      <c r="G4" s="53" t="s">
        <v>1780</v>
      </c>
      <c r="H4" s="53" t="s">
        <v>169</v>
      </c>
      <c r="I4" s="54"/>
      <c r="J4" s="55">
        <v>96</v>
      </c>
      <c r="K4" s="56">
        <v>0</v>
      </c>
      <c r="L4" s="56">
        <v>3</v>
      </c>
      <c r="M4" s="57">
        <f>J4/L4</f>
        <v>32</v>
      </c>
      <c r="N4" s="58">
        <v>46125</v>
      </c>
      <c r="O4" s="58">
        <v>46121</v>
      </c>
      <c r="P4" s="35"/>
      <c r="Q4" s="35"/>
      <c r="R4" s="59"/>
      <c r="S4" s="59"/>
      <c r="T4" s="35">
        <v>46067</v>
      </c>
      <c r="U4" s="60" t="s">
        <v>66</v>
      </c>
      <c r="V4" s="35" t="s">
        <v>1495</v>
      </c>
      <c r="W4" s="46" t="s">
        <v>1236</v>
      </c>
      <c r="X4" s="61" t="s">
        <v>1778</v>
      </c>
      <c r="Y4" s="62" t="s">
        <v>292</v>
      </c>
      <c r="Z4" s="63">
        <v>7.59</v>
      </c>
      <c r="AA4" s="64">
        <f>J4*Z4</f>
        <v>728.64</v>
      </c>
      <c r="AB4" s="51"/>
      <c r="AC4" s="53"/>
      <c r="AD4" s="65"/>
      <c r="AE4" s="56"/>
      <c r="AF4" s="66"/>
      <c r="AG4" s="67"/>
      <c r="AH4" s="68"/>
      <c r="AI4" s="51"/>
      <c r="AJ4" s="51"/>
      <c r="AK4" s="51"/>
      <c r="AL4" s="69"/>
      <c r="AM4" s="65"/>
    </row>
    <row r="5" s="3" customFormat="1" ht="36" customHeight="1" spans="1:44">
      <c r="A5" s="21">
        <v>46087</v>
      </c>
      <c r="C5" s="23" t="s">
        <v>285</v>
      </c>
      <c r="D5" s="23" t="s">
        <v>71</v>
      </c>
      <c r="E5" s="24">
        <v>4500195252</v>
      </c>
      <c r="F5" s="25" t="s">
        <v>1781</v>
      </c>
      <c r="G5" s="26" t="s">
        <v>1782</v>
      </c>
      <c r="H5" s="26" t="s">
        <v>169</v>
      </c>
      <c r="I5" s="27" t="s">
        <v>51</v>
      </c>
      <c r="J5" s="28">
        <v>3402</v>
      </c>
      <c r="K5" s="29">
        <v>0</v>
      </c>
      <c r="L5" s="29">
        <v>3</v>
      </c>
      <c r="M5" s="30">
        <f t="shared" ref="M5:M11" si="0">J5/L5</f>
        <v>1134</v>
      </c>
      <c r="N5" s="31">
        <v>46136</v>
      </c>
      <c r="O5" s="31">
        <v>46132</v>
      </c>
      <c r="P5" s="70" t="s">
        <v>1783</v>
      </c>
      <c r="Q5" s="32"/>
      <c r="R5" s="33"/>
      <c r="S5" s="33" t="s">
        <v>98</v>
      </c>
      <c r="T5" s="32">
        <v>46087</v>
      </c>
      <c r="U5" s="34" t="s">
        <v>66</v>
      </c>
      <c r="V5" s="71" t="s">
        <v>1495</v>
      </c>
      <c r="W5" s="72" t="s">
        <v>1784</v>
      </c>
      <c r="X5" s="37" t="s">
        <v>1785</v>
      </c>
      <c r="Y5" s="38" t="s">
        <v>292</v>
      </c>
      <c r="Z5" s="39">
        <v>7.59</v>
      </c>
      <c r="AA5" s="40">
        <f t="shared" ref="AA5:AA11" si="1">J5*Z5</f>
        <v>25821.18</v>
      </c>
      <c r="AB5" s="24"/>
      <c r="AC5" s="73" t="s">
        <v>169</v>
      </c>
      <c r="AD5" s="4" t="s">
        <v>56</v>
      </c>
      <c r="AE5" s="29"/>
      <c r="AF5" s="74" t="s">
        <v>117</v>
      </c>
      <c r="AG5" s="42"/>
      <c r="AH5" s="43"/>
      <c r="AI5" s="24">
        <f t="shared" ref="AI5:AI11" si="2">J5</f>
        <v>3402</v>
      </c>
      <c r="AJ5" s="24"/>
      <c r="AK5" s="44"/>
      <c r="AL5" s="75"/>
    </row>
    <row r="6" s="3" customFormat="1" ht="36" customHeight="1" spans="1:44">
      <c r="A6" s="21">
        <v>46087</v>
      </c>
      <c r="C6" s="23" t="s">
        <v>285</v>
      </c>
      <c r="D6" s="23" t="s">
        <v>71</v>
      </c>
      <c r="E6" s="24">
        <v>4500195258</v>
      </c>
      <c r="F6" s="25" t="s">
        <v>1786</v>
      </c>
      <c r="G6" s="26" t="s">
        <v>1787</v>
      </c>
      <c r="H6" s="26" t="s">
        <v>169</v>
      </c>
      <c r="I6" s="27" t="s">
        <v>51</v>
      </c>
      <c r="J6" s="28">
        <v>1800</v>
      </c>
      <c r="K6" s="29">
        <v>0</v>
      </c>
      <c r="L6" s="29">
        <v>3</v>
      </c>
      <c r="M6" s="30">
        <f t="shared" si="0"/>
        <v>600</v>
      </c>
      <c r="N6" s="31">
        <v>46136</v>
      </c>
      <c r="O6" s="31">
        <v>46132</v>
      </c>
      <c r="P6" s="70" t="s">
        <v>1788</v>
      </c>
      <c r="Q6" s="32"/>
      <c r="R6" s="33"/>
      <c r="S6" s="33" t="s">
        <v>98</v>
      </c>
      <c r="T6" s="32">
        <v>46087</v>
      </c>
      <c r="U6" s="34" t="s">
        <v>66</v>
      </c>
      <c r="V6" s="71" t="s">
        <v>1495</v>
      </c>
      <c r="W6" s="72" t="s">
        <v>1784</v>
      </c>
      <c r="X6" s="37" t="s">
        <v>1785</v>
      </c>
      <c r="Y6" s="38" t="s">
        <v>292</v>
      </c>
      <c r="Z6" s="39">
        <v>7.59</v>
      </c>
      <c r="AA6" s="40">
        <f t="shared" si="1"/>
        <v>13662</v>
      </c>
      <c r="AB6" s="24"/>
      <c r="AC6" s="73" t="s">
        <v>169</v>
      </c>
      <c r="AD6" s="4" t="s">
        <v>56</v>
      </c>
      <c r="AE6" s="29"/>
      <c r="AF6" s="74" t="s">
        <v>117</v>
      </c>
      <c r="AG6" s="42"/>
      <c r="AH6" s="43"/>
      <c r="AI6" s="24">
        <f t="shared" si="2"/>
        <v>1800</v>
      </c>
      <c r="AJ6" s="24"/>
      <c r="AK6" s="44"/>
      <c r="AL6" s="75"/>
    </row>
    <row r="7" s="3" customFormat="1" ht="36" customHeight="1" spans="1:44">
      <c r="A7" s="21">
        <v>46087</v>
      </c>
      <c r="C7" s="23" t="s">
        <v>285</v>
      </c>
      <c r="D7" s="23" t="s">
        <v>71</v>
      </c>
      <c r="E7" s="24">
        <v>4500195261</v>
      </c>
      <c r="F7" s="25" t="s">
        <v>1789</v>
      </c>
      <c r="G7" s="26" t="s">
        <v>1790</v>
      </c>
      <c r="H7" s="26" t="s">
        <v>169</v>
      </c>
      <c r="I7" s="27" t="s">
        <v>51</v>
      </c>
      <c r="J7" s="28">
        <v>2478</v>
      </c>
      <c r="K7" s="29">
        <v>0</v>
      </c>
      <c r="L7" s="29">
        <v>3</v>
      </c>
      <c r="M7" s="30">
        <f t="shared" si="0"/>
        <v>826</v>
      </c>
      <c r="N7" s="31">
        <v>46136</v>
      </c>
      <c r="O7" s="31">
        <v>46132</v>
      </c>
      <c r="P7" s="32"/>
      <c r="Q7" s="32"/>
      <c r="R7" s="33"/>
      <c r="S7" s="33" t="s">
        <v>98</v>
      </c>
      <c r="T7" s="32">
        <v>46087</v>
      </c>
      <c r="U7" s="34" t="s">
        <v>66</v>
      </c>
      <c r="V7" s="71" t="s">
        <v>1495</v>
      </c>
      <c r="W7" s="72" t="s">
        <v>1784</v>
      </c>
      <c r="X7" s="37" t="s">
        <v>1785</v>
      </c>
      <c r="Y7" s="38" t="s">
        <v>292</v>
      </c>
      <c r="Z7" s="39">
        <v>7.59</v>
      </c>
      <c r="AA7" s="40">
        <f t="shared" si="1"/>
        <v>18808.02</v>
      </c>
      <c r="AB7" s="24"/>
      <c r="AC7" s="73" t="s">
        <v>169</v>
      </c>
      <c r="AD7" s="4" t="s">
        <v>56</v>
      </c>
      <c r="AE7" s="29"/>
      <c r="AF7" s="74" t="s">
        <v>117</v>
      </c>
      <c r="AG7" s="42"/>
      <c r="AH7" s="43"/>
      <c r="AI7" s="24">
        <f t="shared" si="2"/>
        <v>2478</v>
      </c>
      <c r="AJ7" s="24"/>
      <c r="AK7" s="44"/>
      <c r="AL7" s="75"/>
    </row>
    <row r="8" s="3" customFormat="1" ht="36" customHeight="1" spans="1:44">
      <c r="A8" s="21">
        <v>46087</v>
      </c>
      <c r="C8" s="23" t="s">
        <v>285</v>
      </c>
      <c r="D8" s="23" t="s">
        <v>71</v>
      </c>
      <c r="E8" s="24">
        <v>4500195264</v>
      </c>
      <c r="F8" s="25" t="s">
        <v>1791</v>
      </c>
      <c r="G8" s="26" t="s">
        <v>1792</v>
      </c>
      <c r="H8" s="26" t="s">
        <v>169</v>
      </c>
      <c r="I8" s="27" t="s">
        <v>51</v>
      </c>
      <c r="J8" s="28">
        <v>2748</v>
      </c>
      <c r="K8" s="29">
        <v>0</v>
      </c>
      <c r="L8" s="29">
        <v>3</v>
      </c>
      <c r="M8" s="30">
        <f t="shared" si="0"/>
        <v>916</v>
      </c>
      <c r="N8" s="31">
        <v>46136</v>
      </c>
      <c r="O8" s="31">
        <v>46132</v>
      </c>
      <c r="P8" s="32"/>
      <c r="Q8" s="32"/>
      <c r="R8" s="33"/>
      <c r="S8" s="33" t="s">
        <v>98</v>
      </c>
      <c r="T8" s="32">
        <v>46087</v>
      </c>
      <c r="U8" s="34" t="s">
        <v>66</v>
      </c>
      <c r="V8" s="71" t="s">
        <v>1495</v>
      </c>
      <c r="W8" s="72" t="s">
        <v>1784</v>
      </c>
      <c r="X8" s="37" t="s">
        <v>1785</v>
      </c>
      <c r="Y8" s="38" t="s">
        <v>292</v>
      </c>
      <c r="Z8" s="39">
        <v>7.59</v>
      </c>
      <c r="AA8" s="40">
        <f t="shared" si="1"/>
        <v>20857.32</v>
      </c>
      <c r="AB8" s="24"/>
      <c r="AC8" s="73" t="s">
        <v>169</v>
      </c>
      <c r="AD8" s="4" t="s">
        <v>56</v>
      </c>
      <c r="AE8" s="29"/>
      <c r="AF8" s="74" t="s">
        <v>117</v>
      </c>
      <c r="AG8" s="42"/>
      <c r="AH8" s="43"/>
      <c r="AI8" s="24">
        <f t="shared" si="2"/>
        <v>2748</v>
      </c>
      <c r="AJ8" s="24"/>
      <c r="AK8" s="44"/>
      <c r="AL8" s="75"/>
    </row>
    <row r="9" s="3" customFormat="1" ht="36" customHeight="1" spans="1:44">
      <c r="A9" s="21">
        <v>46087</v>
      </c>
      <c r="C9" s="23" t="s">
        <v>285</v>
      </c>
      <c r="D9" s="23" t="s">
        <v>71</v>
      </c>
      <c r="E9" s="24">
        <v>4500195266</v>
      </c>
      <c r="F9" s="25" t="s">
        <v>1793</v>
      </c>
      <c r="G9" s="26" t="s">
        <v>1794</v>
      </c>
      <c r="H9" s="26" t="s">
        <v>169</v>
      </c>
      <c r="I9" s="27" t="s">
        <v>51</v>
      </c>
      <c r="J9" s="28">
        <v>339</v>
      </c>
      <c r="K9" s="29">
        <v>0</v>
      </c>
      <c r="L9" s="29">
        <v>3</v>
      </c>
      <c r="M9" s="30">
        <f t="shared" si="0"/>
        <v>113</v>
      </c>
      <c r="N9" s="31">
        <v>46136</v>
      </c>
      <c r="O9" s="31">
        <v>46132</v>
      </c>
      <c r="P9" s="70" t="s">
        <v>1795</v>
      </c>
      <c r="Q9" s="32"/>
      <c r="R9" s="33"/>
      <c r="S9" s="33" t="s">
        <v>98</v>
      </c>
      <c r="T9" s="32">
        <v>46087</v>
      </c>
      <c r="U9" s="34" t="s">
        <v>66</v>
      </c>
      <c r="V9" s="71" t="s">
        <v>1495</v>
      </c>
      <c r="W9" s="72" t="s">
        <v>1784</v>
      </c>
      <c r="X9" s="37" t="s">
        <v>1785</v>
      </c>
      <c r="Y9" s="38" t="s">
        <v>292</v>
      </c>
      <c r="Z9" s="39">
        <v>7.59</v>
      </c>
      <c r="AA9" s="40">
        <f t="shared" si="1"/>
        <v>2573.01</v>
      </c>
      <c r="AB9" s="24"/>
      <c r="AC9" s="73" t="s">
        <v>169</v>
      </c>
      <c r="AD9" s="4" t="s">
        <v>56</v>
      </c>
      <c r="AE9" s="29"/>
      <c r="AF9" s="74" t="s">
        <v>117</v>
      </c>
      <c r="AG9" s="42"/>
      <c r="AH9" s="43"/>
      <c r="AI9" s="24">
        <f t="shared" si="2"/>
        <v>339</v>
      </c>
      <c r="AJ9" s="24"/>
      <c r="AK9" s="44"/>
      <c r="AL9" s="75"/>
    </row>
    <row r="10" s="3" customFormat="1" ht="36" customHeight="1" spans="1:44">
      <c r="A10" s="21">
        <v>46087</v>
      </c>
      <c r="C10" s="23" t="s">
        <v>285</v>
      </c>
      <c r="D10" s="23" t="s">
        <v>71</v>
      </c>
      <c r="E10" s="24">
        <v>4500195266</v>
      </c>
      <c r="F10" s="25" t="s">
        <v>1796</v>
      </c>
      <c r="G10" s="26" t="s">
        <v>1797</v>
      </c>
      <c r="H10" s="26" t="s">
        <v>169</v>
      </c>
      <c r="I10" s="27" t="s">
        <v>51</v>
      </c>
      <c r="J10" s="28">
        <v>51</v>
      </c>
      <c r="K10" s="29">
        <v>0</v>
      </c>
      <c r="L10" s="29">
        <v>3</v>
      </c>
      <c r="M10" s="30">
        <f t="shared" si="0"/>
        <v>17</v>
      </c>
      <c r="N10" s="31">
        <v>46136</v>
      </c>
      <c r="O10" s="31">
        <v>46132</v>
      </c>
      <c r="P10" s="32"/>
      <c r="Q10" s="32"/>
      <c r="R10" s="33"/>
      <c r="S10" s="33" t="s">
        <v>98</v>
      </c>
      <c r="T10" s="32">
        <v>46087</v>
      </c>
      <c r="U10" s="34" t="s">
        <v>66</v>
      </c>
      <c r="V10" s="71" t="s">
        <v>1495</v>
      </c>
      <c r="W10" s="72" t="s">
        <v>1784</v>
      </c>
      <c r="X10" s="37" t="s">
        <v>1785</v>
      </c>
      <c r="Y10" s="38" t="s">
        <v>292</v>
      </c>
      <c r="Z10" s="39">
        <v>7.59</v>
      </c>
      <c r="AA10" s="40">
        <f t="shared" si="1"/>
        <v>387.09</v>
      </c>
      <c r="AB10" s="24"/>
      <c r="AC10" s="73" t="s">
        <v>169</v>
      </c>
      <c r="AD10" s="4" t="s">
        <v>56</v>
      </c>
      <c r="AE10" s="29"/>
      <c r="AF10" s="74" t="s">
        <v>117</v>
      </c>
      <c r="AG10" s="42"/>
      <c r="AH10" s="43"/>
      <c r="AI10" s="24">
        <f t="shared" si="2"/>
        <v>51</v>
      </c>
      <c r="AJ10" s="24"/>
      <c r="AK10" s="44"/>
      <c r="AL10" s="75"/>
    </row>
    <row r="11" s="3" customFormat="1" ht="36" customHeight="1" spans="1:44">
      <c r="A11" s="21">
        <v>46087</v>
      </c>
      <c r="C11" s="23" t="s">
        <v>285</v>
      </c>
      <c r="D11" s="23" t="s">
        <v>71</v>
      </c>
      <c r="E11" s="24">
        <v>4500195259</v>
      </c>
      <c r="F11" s="25" t="s">
        <v>1798</v>
      </c>
      <c r="G11" s="26" t="s">
        <v>1799</v>
      </c>
      <c r="H11" s="26" t="s">
        <v>169</v>
      </c>
      <c r="I11" s="27" t="s">
        <v>51</v>
      </c>
      <c r="J11" s="28">
        <v>4182</v>
      </c>
      <c r="K11" s="29">
        <v>0</v>
      </c>
      <c r="L11" s="29">
        <v>3</v>
      </c>
      <c r="M11" s="30">
        <f t="shared" si="0"/>
        <v>1394</v>
      </c>
      <c r="N11" s="31">
        <v>46136</v>
      </c>
      <c r="O11" s="31">
        <v>46132</v>
      </c>
      <c r="P11" s="32"/>
      <c r="Q11" s="32"/>
      <c r="R11" s="33"/>
      <c r="S11" s="33" t="s">
        <v>98</v>
      </c>
      <c r="T11" s="32">
        <v>46087</v>
      </c>
      <c r="U11" s="34" t="s">
        <v>66</v>
      </c>
      <c r="V11" s="71" t="s">
        <v>1495</v>
      </c>
      <c r="W11" s="72" t="s">
        <v>1784</v>
      </c>
      <c r="X11" s="37" t="s">
        <v>1800</v>
      </c>
      <c r="Y11" s="38" t="s">
        <v>292</v>
      </c>
      <c r="Z11" s="39">
        <v>7.59</v>
      </c>
      <c r="AA11" s="40">
        <f t="shared" si="1"/>
        <v>31741.38</v>
      </c>
      <c r="AB11" s="24"/>
      <c r="AC11" s="73" t="s">
        <v>169</v>
      </c>
      <c r="AD11" s="4" t="s">
        <v>56</v>
      </c>
      <c r="AE11" s="29"/>
      <c r="AF11" s="74" t="s">
        <v>117</v>
      </c>
      <c r="AG11" s="42"/>
      <c r="AH11" s="43"/>
      <c r="AI11" s="24">
        <f t="shared" si="2"/>
        <v>4182</v>
      </c>
      <c r="AJ11" s="24"/>
      <c r="AK11" s="44"/>
      <c r="AL11" s="75"/>
    </row>
    <row r="12" s="3" customFormat="1" ht="36" customHeight="1" spans="1:44">
      <c r="A12" s="76">
        <v>46178</v>
      </c>
      <c r="B12" s="77" t="s">
        <v>1801</v>
      </c>
      <c r="C12" s="77" t="s">
        <v>1802</v>
      </c>
      <c r="D12" s="78" t="s">
        <v>1803</v>
      </c>
      <c r="E12" s="79" t="s">
        <v>1804</v>
      </c>
      <c r="F12" s="80" t="s">
        <v>1805</v>
      </c>
      <c r="G12" s="81" t="s">
        <v>50</v>
      </c>
      <c r="H12" s="54" t="s">
        <v>51</v>
      </c>
      <c r="I12" s="82">
        <v>180</v>
      </c>
      <c r="J12" s="83">
        <v>0</v>
      </c>
      <c r="K12" s="83">
        <v>3</v>
      </c>
      <c r="L12" s="84">
        <f t="shared" ref="L12:L14" si="3">I12/K12</f>
        <v>60</v>
      </c>
      <c r="M12" s="85">
        <v>46244</v>
      </c>
      <c r="N12" s="85">
        <v>46241</v>
      </c>
      <c r="O12" s="86"/>
      <c r="P12" s="87"/>
      <c r="Q12" s="88"/>
      <c r="R12" s="88"/>
      <c r="S12" s="71" t="s">
        <v>1418</v>
      </c>
      <c r="T12" s="89" t="s">
        <v>54</v>
      </c>
      <c r="U12" s="90" t="s">
        <v>1806</v>
      </c>
      <c r="V12" s="91"/>
      <c r="W12" s="92" t="s">
        <v>1807</v>
      </c>
      <c r="X12" s="93" t="s">
        <v>1808</v>
      </c>
      <c r="Y12" s="94">
        <v>10.4985</v>
      </c>
      <c r="Z12" s="95">
        <v>1889.73</v>
      </c>
      <c r="AA12" s="78"/>
      <c r="AB12" s="96" t="s">
        <v>84</v>
      </c>
      <c r="AC12" s="97" t="s">
        <v>56</v>
      </c>
      <c r="AD12" s="83"/>
      <c r="AE12" s="98"/>
      <c r="AF12" s="99"/>
      <c r="AG12" s="100"/>
      <c r="AH12" s="78"/>
      <c r="AI12" s="78"/>
      <c r="AJ12" s="78"/>
      <c r="AK12" s="4">
        <f t="shared" ref="AK12:AK14" si="4">I12</f>
        <v>180</v>
      </c>
      <c r="AL12" s="101">
        <f t="shared" ref="AL12:AL14" si="5">I12</f>
        <v>180</v>
      </c>
      <c r="AM12" s="102"/>
      <c r="AN12" s="102" t="s">
        <v>101</v>
      </c>
      <c r="AO12" s="102"/>
      <c r="AP12" s="103">
        <f t="shared" ref="AP12:AP14" si="6">I12</f>
        <v>180</v>
      </c>
      <c r="AQ12" s="97"/>
    </row>
    <row r="13" s="3" customFormat="1" ht="36" customHeight="1" spans="1:44">
      <c r="A13" s="104">
        <v>46217</v>
      </c>
      <c r="B13" s="105" t="s">
        <v>1240</v>
      </c>
      <c r="C13" s="105" t="s">
        <v>396</v>
      </c>
      <c r="D13" s="106" t="s">
        <v>1809</v>
      </c>
      <c r="E13" s="107"/>
      <c r="F13" s="108" t="s">
        <v>1810</v>
      </c>
      <c r="G13" s="109" t="s">
        <v>50</v>
      </c>
      <c r="H13" s="110" t="s">
        <v>51</v>
      </c>
      <c r="I13" s="111">
        <v>2319</v>
      </c>
      <c r="J13" s="112">
        <v>0</v>
      </c>
      <c r="K13" s="112">
        <v>3</v>
      </c>
      <c r="L13" s="113">
        <f t="shared" si="3"/>
        <v>773</v>
      </c>
      <c r="M13" s="114">
        <v>46258</v>
      </c>
      <c r="N13" s="114">
        <v>46255</v>
      </c>
      <c r="O13" s="115" t="s">
        <v>1811</v>
      </c>
      <c r="P13" s="115"/>
      <c r="Q13" s="116"/>
      <c r="R13" s="117"/>
      <c r="S13" s="115" t="s">
        <v>1418</v>
      </c>
      <c r="T13" s="118" t="s">
        <v>54</v>
      </c>
      <c r="U13" s="118" t="s">
        <v>1812</v>
      </c>
      <c r="V13" s="119" t="s">
        <v>1813</v>
      </c>
      <c r="W13" s="120" t="s">
        <v>1814</v>
      </c>
      <c r="X13" s="121" t="s">
        <v>748</v>
      </c>
      <c r="Y13" s="122">
        <v>10.452</v>
      </c>
      <c r="Z13" s="123">
        <f>I13*Y13</f>
        <v>24238.188</v>
      </c>
      <c r="AA13" s="106"/>
      <c r="AB13" s="103" t="s">
        <v>84</v>
      </c>
      <c r="AC13" s="124" t="s">
        <v>56</v>
      </c>
      <c r="AD13" s="112"/>
      <c r="AE13" s="125"/>
      <c r="AF13" s="126"/>
      <c r="AG13" s="127"/>
      <c r="AH13" s="106"/>
      <c r="AI13" s="106"/>
      <c r="AJ13" s="106"/>
      <c r="AK13" s="128">
        <f t="shared" si="4"/>
        <v>2319</v>
      </c>
      <c r="AL13" s="120">
        <f t="shared" si="5"/>
        <v>2319</v>
      </c>
      <c r="AM13" s="106"/>
      <c r="AN13" s="106"/>
      <c r="AO13" s="106"/>
      <c r="AP13" s="129">
        <f t="shared" si="6"/>
        <v>2319</v>
      </c>
      <c r="AQ13" s="124"/>
      <c r="AR13" s="130"/>
    </row>
    <row r="14" s="3" customFormat="1" ht="36" customHeight="1" spans="1:44">
      <c r="A14" s="131">
        <v>46219</v>
      </c>
      <c r="B14" s="132" t="s">
        <v>226</v>
      </c>
      <c r="C14" s="132" t="s">
        <v>78</v>
      </c>
      <c r="D14" s="102" t="s">
        <v>1815</v>
      </c>
      <c r="E14" s="133" t="s">
        <v>1816</v>
      </c>
      <c r="F14" s="134" t="s">
        <v>1817</v>
      </c>
      <c r="G14" s="135" t="s">
        <v>169</v>
      </c>
      <c r="H14" s="136" t="s">
        <v>51</v>
      </c>
      <c r="I14" s="137">
        <v>501</v>
      </c>
      <c r="J14" s="138">
        <v>0</v>
      </c>
      <c r="K14" s="138">
        <v>3</v>
      </c>
      <c r="L14" s="139">
        <f t="shared" si="3"/>
        <v>167</v>
      </c>
      <c r="M14" s="140">
        <v>46269</v>
      </c>
      <c r="N14" s="140">
        <v>46267</v>
      </c>
      <c r="O14" s="71"/>
      <c r="P14" s="71"/>
      <c r="Q14" s="141"/>
      <c r="R14" s="142"/>
      <c r="S14" s="71" t="s">
        <v>1818</v>
      </c>
      <c r="T14" s="90" t="s">
        <v>66</v>
      </c>
      <c r="U14" s="90" t="s">
        <v>1495</v>
      </c>
      <c r="V14" s="90" t="s">
        <v>1819</v>
      </c>
      <c r="W14" s="101" t="s">
        <v>1820</v>
      </c>
      <c r="X14" s="143" t="s">
        <v>182</v>
      </c>
      <c r="Y14" s="144">
        <v>10.8403</v>
      </c>
      <c r="Z14" s="145">
        <f>Y14*L14</f>
        <v>1810.3301</v>
      </c>
      <c r="AA14" s="102"/>
      <c r="AB14" s="103" t="s">
        <v>183</v>
      </c>
      <c r="AC14" s="75" t="s">
        <v>56</v>
      </c>
      <c r="AD14" s="138"/>
      <c r="AE14" s="146"/>
      <c r="AF14" s="147"/>
      <c r="AG14" s="148"/>
      <c r="AH14" s="102"/>
      <c r="AI14" s="102"/>
      <c r="AJ14" s="102"/>
      <c r="AK14" s="4">
        <f t="shared" si="4"/>
        <v>501</v>
      </c>
      <c r="AL14" s="101">
        <f t="shared" si="5"/>
        <v>501</v>
      </c>
      <c r="AM14" s="102"/>
      <c r="AN14" s="102" t="s">
        <v>101</v>
      </c>
      <c r="AO14" s="102"/>
      <c r="AP14" s="103">
        <f t="shared" si="6"/>
        <v>501</v>
      </c>
      <c r="AQ14" s="4"/>
      <c r="AR14" s="149"/>
    </row>
    <row r="15" s="4" customFormat="1" ht="36" customHeight="1" spans="1:44">
      <c r="A15" s="131"/>
      <c r="B15" s="150"/>
      <c r="C15" s="132"/>
      <c r="D15" s="132"/>
      <c r="E15" s="102"/>
      <c r="F15" s="151"/>
      <c r="G15" s="135"/>
      <c r="H15" s="135"/>
      <c r="I15" s="136"/>
      <c r="J15" s="152"/>
      <c r="K15" s="138"/>
      <c r="L15" s="138"/>
      <c r="M15" s="139"/>
      <c r="N15" s="140"/>
      <c r="O15" s="140"/>
      <c r="P15" s="71"/>
      <c r="Q15" s="71"/>
      <c r="R15" s="141"/>
      <c r="S15" s="141"/>
      <c r="T15" s="71"/>
      <c r="U15" s="89"/>
      <c r="V15" s="71"/>
      <c r="W15" s="71"/>
      <c r="X15" s="153"/>
      <c r="Y15" s="143"/>
      <c r="Z15" s="154"/>
      <c r="AA15" s="145"/>
      <c r="AB15" s="102"/>
      <c r="AC15" s="135"/>
      <c r="AE15" s="138"/>
      <c r="AF15" s="146"/>
      <c r="AG15" s="147"/>
      <c r="AH15" s="148"/>
      <c r="AI15" s="102"/>
      <c r="AJ15" s="102"/>
      <c r="AK15" s="102"/>
      <c r="AL15" s="155"/>
    </row>
    <row r="16" s="4" customFormat="1" ht="36" customHeight="1" spans="1:44">
      <c r="A16" s="131"/>
      <c r="B16" s="150"/>
      <c r="C16" s="132"/>
      <c r="D16" s="132"/>
      <c r="E16" s="102"/>
      <c r="F16" s="151"/>
      <c r="G16" s="135"/>
      <c r="H16" s="135"/>
      <c r="I16" s="136"/>
      <c r="J16" s="152"/>
      <c r="K16" s="138"/>
      <c r="L16" s="138"/>
      <c r="M16" s="139"/>
      <c r="N16" s="140"/>
      <c r="O16" s="140"/>
      <c r="P16" s="71"/>
      <c r="Q16" s="71"/>
      <c r="R16" s="141"/>
      <c r="S16" s="141"/>
      <c r="T16" s="71"/>
      <c r="U16" s="89"/>
      <c r="V16" s="71"/>
      <c r="W16" s="71"/>
      <c r="X16" s="153"/>
      <c r="Y16" s="143"/>
      <c r="Z16" s="154"/>
      <c r="AA16" s="145"/>
      <c r="AB16" s="102"/>
      <c r="AC16" s="135"/>
      <c r="AE16" s="138"/>
      <c r="AF16" s="146"/>
      <c r="AG16" s="147"/>
      <c r="AH16" s="148"/>
      <c r="AI16" s="102"/>
      <c r="AJ16" s="102"/>
      <c r="AK16" s="102"/>
      <c r="AL16" s="155"/>
    </row>
    <row r="17" s="4" customFormat="1" ht="36" customHeight="1" spans="1:38">
      <c r="A17" s="131"/>
      <c r="B17" s="150"/>
      <c r="C17" s="132"/>
      <c r="D17" s="132"/>
      <c r="E17" s="102"/>
      <c r="F17" s="151"/>
      <c r="G17" s="135"/>
      <c r="H17" s="135"/>
      <c r="I17" s="136"/>
      <c r="J17" s="152"/>
      <c r="K17" s="138"/>
      <c r="L17" s="138"/>
      <c r="M17" s="139"/>
      <c r="N17" s="140"/>
      <c r="O17" s="140"/>
      <c r="P17" s="71"/>
      <c r="Q17" s="71"/>
      <c r="R17" s="141"/>
      <c r="S17" s="141"/>
      <c r="T17" s="71"/>
      <c r="U17" s="89"/>
      <c r="V17" s="71"/>
      <c r="W17" s="71"/>
      <c r="X17" s="153"/>
      <c r="Y17" s="143"/>
      <c r="Z17" s="154"/>
      <c r="AA17" s="145"/>
      <c r="AB17" s="102"/>
      <c r="AC17" s="135"/>
      <c r="AE17" s="138"/>
      <c r="AF17" s="146"/>
      <c r="AG17" s="147"/>
      <c r="AH17" s="148"/>
      <c r="AI17" s="102"/>
      <c r="AJ17" s="102"/>
      <c r="AK17" s="102"/>
      <c r="AL17" s="155"/>
    </row>
    <row r="18" s="4" customFormat="1" ht="36" customHeight="1" spans="1:38">
      <c r="A18" s="131"/>
      <c r="B18" s="150"/>
      <c r="C18" s="132"/>
      <c r="D18" s="132"/>
      <c r="E18" s="102"/>
      <c r="F18" s="151"/>
      <c r="G18" s="135"/>
      <c r="H18" s="135"/>
      <c r="I18" s="136"/>
      <c r="J18" s="152"/>
      <c r="K18" s="138"/>
      <c r="L18" s="138"/>
      <c r="M18" s="139"/>
      <c r="N18" s="140"/>
      <c r="O18" s="140"/>
      <c r="P18" s="71"/>
      <c r="Q18" s="71"/>
      <c r="R18" s="141"/>
      <c r="S18" s="141"/>
      <c r="T18" s="71"/>
      <c r="U18" s="89"/>
      <c r="V18" s="71"/>
      <c r="W18" s="71"/>
      <c r="X18" s="153"/>
      <c r="Y18" s="143"/>
      <c r="Z18" s="154"/>
      <c r="AA18" s="145"/>
      <c r="AB18" s="102"/>
      <c r="AC18" s="135"/>
      <c r="AE18" s="138"/>
      <c r="AF18" s="146"/>
      <c r="AG18" s="147"/>
      <c r="AH18" s="148"/>
      <c r="AI18" s="102"/>
      <c r="AJ18" s="102"/>
      <c r="AK18" s="102"/>
      <c r="AL18" s="155"/>
    </row>
    <row r="19" s="4" customFormat="1" ht="36" customHeight="1" spans="1:38">
      <c r="A19" s="131"/>
      <c r="B19" s="150"/>
      <c r="C19" s="132"/>
      <c r="D19" s="132"/>
      <c r="E19" s="102"/>
      <c r="F19" s="151"/>
      <c r="G19" s="135"/>
      <c r="H19" s="135"/>
      <c r="I19" s="136"/>
      <c r="J19" s="152"/>
      <c r="K19" s="138"/>
      <c r="L19" s="138"/>
      <c r="M19" s="139"/>
      <c r="N19" s="140"/>
      <c r="O19" s="140"/>
      <c r="P19" s="71"/>
      <c r="Q19" s="71"/>
      <c r="R19" s="141"/>
      <c r="S19" s="141"/>
      <c r="T19" s="71"/>
      <c r="U19" s="89"/>
      <c r="V19" s="71"/>
      <c r="W19" s="71"/>
      <c r="X19" s="153"/>
      <c r="Y19" s="143"/>
      <c r="Z19" s="154"/>
      <c r="AA19" s="145"/>
      <c r="AB19" s="102"/>
      <c r="AC19" s="135"/>
      <c r="AE19" s="138"/>
      <c r="AF19" s="146"/>
      <c r="AG19" s="147"/>
      <c r="AH19" s="148"/>
      <c r="AI19" s="102"/>
      <c r="AJ19" s="102"/>
      <c r="AK19" s="102"/>
      <c r="AL19" s="155"/>
    </row>
    <row r="20" s="4" customFormat="1" ht="36" customHeight="1" spans="1:38">
      <c r="A20" s="131"/>
      <c r="B20" s="150"/>
      <c r="C20" s="132"/>
      <c r="D20" s="132"/>
      <c r="E20" s="102"/>
      <c r="F20" s="151"/>
      <c r="G20" s="135"/>
      <c r="H20" s="135"/>
      <c r="I20" s="136"/>
      <c r="J20" s="152"/>
      <c r="K20" s="138"/>
      <c r="L20" s="138"/>
      <c r="M20" s="139"/>
      <c r="N20" s="140"/>
      <c r="O20" s="140"/>
      <c r="P20" s="71"/>
      <c r="Q20" s="71"/>
      <c r="R20" s="141"/>
      <c r="S20" s="141"/>
      <c r="T20" s="71"/>
      <c r="U20" s="89"/>
      <c r="V20" s="71"/>
      <c r="W20" s="71"/>
      <c r="X20" s="153"/>
      <c r="Y20" s="143"/>
      <c r="Z20" s="154"/>
      <c r="AA20" s="145"/>
      <c r="AB20" s="102"/>
      <c r="AC20" s="135"/>
      <c r="AE20" s="138"/>
      <c r="AF20" s="146"/>
      <c r="AG20" s="147"/>
      <c r="AH20" s="148"/>
      <c r="AI20" s="102"/>
      <c r="AJ20" s="102"/>
      <c r="AK20" s="102"/>
      <c r="AL20" s="155"/>
    </row>
    <row r="21" s="4" customFormat="1" ht="36" customHeight="1" spans="1:38">
      <c r="A21" s="131"/>
      <c r="B21" s="150"/>
      <c r="C21" s="132"/>
      <c r="D21" s="132"/>
      <c r="E21" s="102"/>
      <c r="F21" s="151"/>
      <c r="G21" s="135"/>
      <c r="H21" s="135"/>
      <c r="I21" s="136"/>
      <c r="J21" s="152"/>
      <c r="K21" s="138"/>
      <c r="L21" s="138"/>
      <c r="M21" s="139"/>
      <c r="N21" s="140"/>
      <c r="O21" s="140"/>
      <c r="P21" s="71"/>
      <c r="Q21" s="71"/>
      <c r="R21" s="141"/>
      <c r="S21" s="141"/>
      <c r="T21" s="71"/>
      <c r="U21" s="89"/>
      <c r="V21" s="71"/>
      <c r="W21" s="71"/>
      <c r="X21" s="153"/>
      <c r="Y21" s="143"/>
      <c r="Z21" s="154"/>
      <c r="AA21" s="145"/>
      <c r="AB21" s="102"/>
      <c r="AC21" s="135"/>
      <c r="AE21" s="138"/>
      <c r="AF21" s="146"/>
      <c r="AG21" s="147"/>
      <c r="AH21" s="148"/>
      <c r="AI21" s="102"/>
      <c r="AJ21" s="102"/>
      <c r="AK21" s="102"/>
      <c r="AL21" s="155"/>
    </row>
  </sheetData>
  <sheetProtection formatCells="0" formatColumns="0" formatRows="0" insertRows="0" insertColumns="0" insertHyperlinks="0" deleteColumns="0" deleteRows="0" sort="0" autoFilter="0" pivotTables="0"/>
  <autoFilter xmlns:etc="http://www.wps.cn/officeDocument/2017/etCustomData" ref="A1:AR21" etc:filterBottomFollowUsedRange="1">
    <extLst/>
  </autoFilter>
  <conditionalFormatting sqref="T2">
    <cfRule type="containsText" dxfId="0" priority="51" operator="between" text="欠">
      <formula>NOT(ISERROR(SEARCH("欠",T2)))</formula>
    </cfRule>
    <cfRule type="cellIs" dxfId="0" priority="52" operator="equal">
      <formula>"欠"</formula>
    </cfRule>
  </conditionalFormatting>
  <conditionalFormatting sqref="U2">
    <cfRule type="cellIs" dxfId="0" priority="53" operator="equal">
      <formula>"欠"</formula>
    </cfRule>
    <cfRule type="containsText" dxfId="0" priority="54" operator="between" text="欠">
      <formula>NOT(ISERROR(SEARCH("欠",U2)))</formula>
    </cfRule>
  </conditionalFormatting>
  <conditionalFormatting sqref="V2">
    <cfRule type="containsText" dxfId="0" priority="49" operator="between" text="欠">
      <formula>NOT(ISERROR(SEARCH("欠",V2)))</formula>
    </cfRule>
    <cfRule type="cellIs" dxfId="0" priority="50" operator="equal">
      <formula>"欠"</formula>
    </cfRule>
  </conditionalFormatting>
  <conditionalFormatting sqref="T3">
    <cfRule type="containsText" dxfId="0" priority="45" operator="between" text="欠">
      <formula>NOT(ISERROR(SEARCH("欠",T3)))</formula>
    </cfRule>
    <cfRule type="cellIs" dxfId="0" priority="46" operator="equal">
      <formula>"欠"</formula>
    </cfRule>
  </conditionalFormatting>
  <conditionalFormatting sqref="U3">
    <cfRule type="cellIs" dxfId="0" priority="47" operator="equal">
      <formula>"欠"</formula>
    </cfRule>
    <cfRule type="containsText" dxfId="0" priority="48" operator="between" text="欠">
      <formula>NOT(ISERROR(SEARCH("欠",U3)))</formula>
    </cfRule>
  </conditionalFormatting>
  <conditionalFormatting sqref="V3:W3">
    <cfRule type="containsText" dxfId="0" priority="43" operator="between" text="欠">
      <formula>NOT(ISERROR(SEARCH("欠",V3)))</formula>
    </cfRule>
    <cfRule type="cellIs" dxfId="0" priority="44" operator="equal">
      <formula>"欠"</formula>
    </cfRule>
  </conditionalFormatting>
  <conditionalFormatting sqref="S12">
    <cfRule type="containsText" dxfId="0" priority="23" operator="between" text="欠">
      <formula>NOT(ISERROR(SEARCH("欠",S12)))</formula>
    </cfRule>
    <cfRule type="cellIs" dxfId="0" priority="24" operator="equal">
      <formula>"欠"</formula>
    </cfRule>
  </conditionalFormatting>
  <conditionalFormatting sqref="T12">
    <cfRule type="cellIs" dxfId="0" priority="25" operator="equal">
      <formula>"欠"</formula>
    </cfRule>
    <cfRule type="containsText" dxfId="0" priority="26" operator="between" text="欠">
      <formula>NOT(ISERROR(SEARCH("欠",T12)))</formula>
    </cfRule>
  </conditionalFormatting>
  <conditionalFormatting sqref="U12">
    <cfRule type="cellIs" dxfId="0" priority="19" operator="equal">
      <formula>"欠"</formula>
    </cfRule>
    <cfRule type="containsText" dxfId="0" priority="20" operator="between" text="欠">
      <formula>NOT(ISERROR(SEARCH("欠",U12)))</formula>
    </cfRule>
  </conditionalFormatting>
  <conditionalFormatting sqref="U12:V12">
    <cfRule type="cellIs" dxfId="0" priority="29" operator="equal">
      <formula>"欠"</formula>
    </cfRule>
    <cfRule type="containsText" dxfId="0" priority="30" operator="between" text="欠">
      <formula>NOT(ISERROR(SEARCH("欠",U12)))</formula>
    </cfRule>
  </conditionalFormatting>
  <conditionalFormatting sqref="V12">
    <cfRule type="containsText" dxfId="0" priority="21" operator="between" text="欠">
      <formula>NOT(ISERROR(SEARCH("欠",V12)))</formula>
    </cfRule>
    <cfRule type="cellIs" dxfId="0" priority="22" operator="equal">
      <formula>"欠"</formula>
    </cfRule>
  </conditionalFormatting>
  <conditionalFormatting sqref="S13">
    <cfRule type="containsText" dxfId="0" priority="13" operator="between" text="欠">
      <formula>NOT(ISERROR(SEARCH("欠",S13)))</formula>
    </cfRule>
    <cfRule type="cellIs" dxfId="0" priority="14" operator="equal">
      <formula>"欠"</formula>
    </cfRule>
  </conditionalFormatting>
  <conditionalFormatting sqref="T13">
    <cfRule type="cellIs" dxfId="0" priority="17" operator="equal">
      <formula>"欠"</formula>
    </cfRule>
    <cfRule type="containsText" dxfId="0" priority="18" operator="between" text="欠">
      <formula>NOT(ISERROR(SEARCH("欠",T13)))</formula>
    </cfRule>
  </conditionalFormatting>
  <conditionalFormatting sqref="U13">
    <cfRule type="cellIs" dxfId="0" priority="15" operator="equal">
      <formula>"欠"</formula>
    </cfRule>
    <cfRule type="containsText" dxfId="0" priority="16" operator="between" text="欠">
      <formula>NOT(ISERROR(SEARCH("欠",U13)))</formula>
    </cfRule>
  </conditionalFormatting>
  <conditionalFormatting sqref="S14">
    <cfRule type="containsText" dxfId="0" priority="9" operator="between" text="欠">
      <formula>NOT(ISERROR(SEARCH("欠",S14)))</formula>
    </cfRule>
    <cfRule type="cellIs" dxfId="0" priority="10" operator="equal">
      <formula>"欠"</formula>
    </cfRule>
  </conditionalFormatting>
  <conditionalFormatting sqref="T14">
    <cfRule type="cellIs" dxfId="0" priority="11" operator="equal">
      <formula>"欠"</formula>
    </cfRule>
    <cfRule type="containsText" dxfId="0" priority="12" operator="between" text="欠">
      <formula>NOT(ISERROR(SEARCH("欠",T14)))</formula>
    </cfRule>
  </conditionalFormatting>
  <conditionalFormatting sqref="U14:V14">
    <cfRule type="cellIs" dxfId="0" priority="7" operator="equal">
      <formula>"欠"</formula>
    </cfRule>
    <cfRule type="containsText" dxfId="0" priority="8" operator="between" text="欠">
      <formula>NOT(ISERROR(SEARCH("欠",U14)))</formula>
    </cfRule>
  </conditionalFormatting>
  <conditionalFormatting sqref="U14">
    <cfRule type="cellIs" dxfId="0" priority="3" operator="equal">
      <formula>"欠"</formula>
    </cfRule>
    <cfRule type="containsText" dxfId="0" priority="4" operator="between" text="欠">
      <formula>NOT(ISERROR(SEARCH("欠",U14)))</formula>
    </cfRule>
  </conditionalFormatting>
  <conditionalFormatting sqref="T5:T11">
    <cfRule type="containsText" dxfId="0" priority="31" operator="between" text="欠">
      <formula>NOT(ISERROR(SEARCH("欠",T5)))</formula>
    </cfRule>
    <cfRule type="cellIs" dxfId="0" priority="32" operator="equal">
      <formula>"欠"</formula>
    </cfRule>
  </conditionalFormatting>
  <conditionalFormatting sqref="U5:U11">
    <cfRule type="cellIs" dxfId="0" priority="35" operator="equal">
      <formula>"欠"</formula>
    </cfRule>
    <cfRule type="containsText" dxfId="0" priority="36" operator="between" text="欠">
      <formula>NOT(ISERROR(SEARCH("欠",U5)))</formula>
    </cfRule>
  </conditionalFormatting>
  <conditionalFormatting sqref="V5:V11">
    <cfRule type="containsText" dxfId="0" priority="33" operator="between" text="欠">
      <formula>NOT(ISERROR(SEARCH("欠",V5)))</formula>
    </cfRule>
    <cfRule type="cellIs" dxfId="0" priority="34" operator="equal">
      <formula>"欠"</formula>
    </cfRule>
  </conditionalFormatting>
  <conditionalFormatting sqref="T4 T15:T21">
    <cfRule type="containsText" dxfId="0" priority="39" operator="between" text="欠">
      <formula>NOT(ISERROR(SEARCH("欠",T4)))</formula>
    </cfRule>
    <cfRule type="cellIs" dxfId="0" priority="40" operator="equal">
      <formula>"欠"</formula>
    </cfRule>
  </conditionalFormatting>
  <conditionalFormatting sqref="U4 U15:U21">
    <cfRule type="cellIs" dxfId="0" priority="41" operator="equal">
      <formula>"欠"</formula>
    </cfRule>
    <cfRule type="containsText" dxfId="0" priority="42" operator="between" text="欠">
      <formula>NOT(ISERROR(SEARCH("欠",U4)))</formula>
    </cfRule>
  </conditionalFormatting>
  <conditionalFormatting sqref="V4:W4 V15:W21">
    <cfRule type="containsText" dxfId="0" priority="37" operator="between" text="欠">
      <formula>NOT(ISERROR(SEARCH("欠",V4)))</formula>
    </cfRule>
    <cfRule type="cellIs" dxfId="0" priority="38" operator="equal">
      <formula>"欠"</formula>
    </cfRule>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visible">
    <arrUserId title="Range1" rangeCreator="" othersAccessPermission="visible">
      <userID accessPermission="edit">1475153551</userID>
      <userID accessPermission="edit">1715258932</userID>
      <userID accessPermission="edit">1850010794</userID>
      <userID accessPermission="edit">1851561945</userID>
    </arrUserId>
    <arrUserId title="Range2" rangeCreator="" othersAccessPermission="visible">
      <userID accessPermission="edit">1475153551</userID>
      <userID accessPermission="edit">1474709007</userID>
      <userID accessPermission="edit">1474966847</userID>
      <userID accessPermission="edit">1765212680</userID>
      <userID accessPermission="edit">1853477080</userID>
    </arrUserId>
  </rangeList>
  <rangeList sheetStid="2" master="" otherUserPermission="edit"/>
  <rangeList sheetStid="3" master="" otherUserPermission="edit"/>
  <rangeList sheetStid="4" master="" otherUserPermission="edit"/>
  <rangeList sheetStid="5"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1">
    <commentChains s:ref="AG309" rgbClr="FF0000">
      <unresolved>
        <commentChain chainId="45d96b3cd0e1d5b881473bbdbbba4d68265ea63d">
          <item id="9060d5c30fc074953b8bd033d37be5eb06d77512" userID="1851561945" userName="石玉珍" dateTime="2026-08-07T06:46:18" isNormal="0">
            <s:text>
              <s:r>
                <s:t xml:space="preserve">8/7上 客供外箱条码贴纸 93上 </s:t>
              </s:r>
            </s:text>
          </item>
        </commentChain>
      </unresolved>
      <resolved/>
    </commentChains>
    <commentChains s:ref="AE312" rgbClr="FF0000">
      <unresolved>
        <commentChain chainId="c705c5dd3109d4233cdf679b5c03d76488b3ad42">
          <item id="46ce45022114a9fc7427e424bd9107bae9b7b482" userID="1851561945" userName="石玉珍" dateTime="2026-08-15T01:19:26" isNormal="0">
            <s:text>
              <s:r>
                <s:t xml:space="preserve">3003831 8/13 882 pcs 馥通A4</s:t>
              </s:r>
            </s:text>
          </item>
        </commentChain>
      </unresolved>
      <resolved/>
    </commentChains>
    <commentChains s:ref="AG312" rgbClr="FF0000">
      <unresolved>
        <commentChain chainId="a0d4cd11a256706f6dd2b26e03b935b5e1eee6c5">
          <item id="71c3e26c7ac7725e1a1faeaf5ffe01298e6b1baa" userID="1851561945" userName="石玉珍" dateTime="2026-08-07T06:46:18" isNormal="0">
            <s:text>
              <s:r>
                <s:t xml:space="preserve">8/7上 客供外箱条码贴纸 988上 </s:t>
              </s:r>
            </s:text>
          </item>
        </commentChain>
      </unresolved>
      <resolved/>
    </commentChains>
    <commentChains s:ref="AG313" rgbClr="FF0000">
      <unresolved>
        <commentChain chainId="57829c9577594f1584928fbb2c3a3a940f63e06d">
          <item id="7b8863a3813ecb08a2015b6ef216a24b8d67fce0" userID="1851561945" userName="石玉珍" dateTime="2026-08-07T06:47:47" isNormal="0">
            <s:text>
              <s:r>
                <s:t xml:space="preserve">8/7上 进口商内容贴纸 360 pcs</s:t>
              </s:r>
            </s:text>
          </item>
        </commentChain>
      </unresolved>
      <resolved/>
    </commentChains>
    <commentChains s:ref="AG321" rgbClr="FF0000">
      <unresolved>
        <commentChain chainId="fc13ad1bb22eb6ffac662293c39f4de88233ec6c">
          <item id="f3ffeb07f1edabf96159407d6490a2389d45be12" userID="1851561945" userName="石玉珍" dateTime="2026-08-07T06:49:12" isNormal="0">
            <s:text>
              <s:r>
                <s:t xml:space="preserve">8/7上 进口商贴纸（含意大利环保标） 504 pcs</s:t>
              </s:r>
            </s:text>
          </item>
        </commentChain>
      </unresolved>
      <resolved/>
    </commentChains>
    <commentChains s:ref="AG324" rgbClr="FF0000">
      <unresolved>
        <commentChain chainId="d93938016437e4505e6b5c77ac89e349ac8cdbcf">
          <item id="7d66a99de3a8848032c45ae346f058bb519edc53" userID="1851561945" userName="石玉珍" dateTime="2026-08-07T06:51:19" isNormal="0">
            <s:text>
              <s:r>
                <s:t xml:space="preserve">8/7上 通用进口商贴纸 801 pcs</s:t>
              </s:r>
            </s:text>
          </item>
        </commentChain>
      </unresolved>
      <resolved/>
    </commentChains>
    <commentChains s:ref="AG325" rgbClr="FF0000">
      <unresolved>
        <commentChain chainId="61118139a7ede34442a3ed52960263024b74fe29">
          <item id="c977b2dbbf02a0b29e87a03a28f78344bc251415" userID="1851561945" userName="石玉珍" dateTime="2026-08-07T06:52:27" isNormal="0">
            <s:text>
              <s:r>
                <s:t xml:space="preserve">8/5上 进口商贴纸 300 pcs
波兰语收藏指南贴纸 300 pcs
</s:t>
              </s:r>
            </s:text>
          </item>
        </commentChain>
      </unresolved>
      <resolved/>
    </commentChains>
    <commentChains s:ref="AG327" rgbClr="FF0000">
      <unresolved>
        <commentChain chainId="9fe9c659dbf8f85f1719f3d73378ffdd8376df45">
          <item id="6c80e088a2fb1af72d2da9d7d56a79fe6d2cecd3" userID="1851561945" userName="石玉珍" dateTime="2026-08-07T06:46:18" isNormal="0">
            <s:text>
              <s:r>
                <s:t xml:space="preserve">8/7上 客供外箱条码贴纸 131上 </s:t>
              </s:r>
            </s:text>
          </item>
        </commentChain>
      </unresolved>
      <resolved/>
    </commentChains>
    <commentChains s:ref="AG330" rgbClr="FF0000">
      <unresolved>
        <commentChain chainId="4623ef4bbcf9984ccc8784d1fc0bba9e547f2399">
          <item id="add4129bb24d71c480cb3bdd41c789b8d8cf2b8a" userID="1851561945" userName="石玉珍" dateTime="2026-08-07T06:54:39" isNormal="0">
            <s:text>
              <s:r>
                <s:t xml:space="preserve">8/7上 进口商贴纸 180 pcs</s:t>
              </s:r>
            </s:text>
          </item>
        </commentChain>
      </unresolved>
      <resolved/>
    </commentChains>
    <commentChains s:ref="AG331" rgbClr="FF0000">
      <unresolved>
        <commentChain chainId="91ae2d24afbad068d2312849e38a3427cab0a241">
          <item id="a061321db59d37d5f175dbb403a874f703e93a23" userID="1851561945" userName="石玉珍" dateTime="2026-08-07T06:55:26" isNormal="0">
            <s:text>
              <s:r>
                <s:t xml:space="preserve">8/5上 UPC贴纸 504 pcs</s:t>
              </s:r>
            </s:text>
          </item>
        </commentChain>
      </unresolved>
      <resolved/>
    </commentChains>
    <commentChains s:ref="AG336" rgbClr="FF0000">
      <unresolved>
        <commentChain chainId="4b2cd61777b3af0a3111f8959f4903659e49a69b">
          <item id="ad44dbf2b6908c89e24b5173b895d66dce5656dd" userID="1851561945" userName="石玉珍" dateTime="2026-08-07T06:58:19" isNormal="0">
            <s:text>
              <s:r>
                <s:t xml:space="preserve">8/7上  德语callout贴纸 1002 pcs
地址贴纸 1002 pcs
</s:t>
              </s:r>
            </s:text>
          </item>
        </commentChain>
      </unresolved>
      <resolved/>
    </commentChains>
    <commentChains s:ref="AG338" rgbClr="FF0000">
      <unresolved>
        <commentChain chainId="5169b4e6a3b7dcf3bb75e038d81532c1b45fefd3">
          <item id="bcc96648165ce6a23405c10f2ffed5c31c63d68e" userID="1851561945" userName="石玉珍" dateTime="2026-08-07T06:59:07" isNormal="0">
            <s:text>
              <s:r>
                <s:t xml:space="preserve">8/7上 UPC贴纸 1110 pcs</s:t>
              </s:r>
            </s:text>
          </item>
        </commentChain>
      </unresolved>
      <resolved/>
    </commentChains>
    <commentChains s:ref="AG340" rgbClr="FF0000">
      <unresolved>
        <commentChain chainId="de28bd18857ed8fa8f336d79563722b7c5afcc95">
          <item id="886f6d770dd6a649bf0e3d81e730411fafc289f2" userID="1851561945" userName="石玉珍" dateTime="2026-08-07T07:04:27" isNormal="0">
            <s:text>
              <s:r>
                <s:t xml:space="preserve">8/7上 UPC 贴纸 900 pcs
进口商贴纸 900 pcs
保证书 900 pcs
</s:t>
              </s:r>
            </s:text>
          </item>
        </commentChain>
      </unresolved>
      <resolved/>
    </commentChains>
    <commentChains s:ref="AG341" rgbClr="FF0000">
      <unresolved>
        <commentChain chainId="b5619d406852892ab0a69f9f6fd53ce590dd9f74">
          <item id="07a6948ebbcb8b9cdba0aadef85a6efc7000692f" userID="1851561945" userName="石玉珍" dateTime="2026-08-07T07:04:27" isNormal="0">
            <s:text>
              <s:r>
                <s:t xml:space="preserve">8/7上 UPC 贴纸 1002 pcs
进口商贴纸 1002 pcs
保证书 1002 pcs
</s:t>
              </s:r>
            </s:text>
          </item>
        </commentChain>
      </unresolved>
      <resolved/>
    </commentChains>
    <commentChains s:ref="AG345" rgbClr="FF0000">
      <unresolved>
        <commentChain chainId="4266a99aef199abfb5323ba7b1023748c7db32b2">
          <item id="32b887f01942dc9eeec053c6938e5493014b82cb" userID="1851561945" userName="石玉珍" dateTime="2026-08-07T07:07:26" isNormal="0">
            <s:text>
              <s:r>
                <s:t xml:space="preserve">8/7上 白色防盗贴纸 135 pcs</s:t>
              </s:r>
            </s:text>
          </item>
        </commentChain>
      </unresolved>
      <resolved/>
    </commentChains>
    <commentChains s:ref="AG348" rgbClr="FF0000">
      <unresolved>
        <commentChain chainId="962fea63e369c8fca352b825cd1b1af55e38c9c8">
          <item id="da234a6e9031344bb0f98995e6fda01b8c45b21c" userID="1851561945" userName="石玉珍" dateTime="2026-08-07T07:09:43" isNormal="0">
            <s:text>
              <s:r>
                <s:t xml:space="preserve">8/7上 HK客供警语贴纸 378 pcs
HK客供电池警语贴纸贴彩盒背面 375 pcs
HK客供中文说明书 372 pcs
</s:t>
              </s:r>
            </s:text>
          </item>
        </commentChain>
      </unresolved>
      <resolved/>
    </commentChains>
  </commentList>
</comments>
</file>

<file path=customXml/item3.xml><?xml version="1.0" encoding="utf-8"?>
<autofilters xmlns="https://web.wps.cn/et/2018/main">
  <sheetItem sheetStid="1">
    <filterData filterID="1474966847">
      <hiddenRange rowFrom="3" rowTo="292"/>
      <hiddenRange rowFrom="294" rowTo="394"/>
    </filterData>
    <filterData filterID="1828143256">
      <hiddenRange rowFrom="3" rowTo="121"/>
      <hiddenRange rowFrom="123" rowTo="394"/>
    </filterData>
    <filterData filterID="1851561945">
      <hiddenRange rowFrom="3" rowTo="328"/>
      <hiddenRange rowFrom="330" rowTo="394"/>
    </filterData>
    <filterData filterID="1475153551"/>
    <filterData filterID="1678276627"/>
    <autofilterInfo filterID="1828143256">
      <autoFilter xmlns="http://schemas.openxmlformats.org/spreadsheetml/2006/main" ref="A3:AT395">
        <filterColumn colId="3">
          <customFilters>
            <customFilter operator="equal" val="4500201774"/>
          </customFilters>
        </filterColumn>
      </autoFilter>
    </autofilterInfo>
    <autofilterInfo filterID="1474966847">
      <autoFilter xmlns="http://schemas.openxmlformats.org/spreadsheetml/2006/main" ref="A3:AT395">
        <filterColumn colId="3">
          <customFilters>
            <customFilter operator="equal" val="4500213538"/>
          </customFilters>
        </filterColumn>
      </autoFilter>
    </autofilterInfo>
    <autofilterInfo filterID="1851561945">
      <autoFilter xmlns="http://schemas.openxmlformats.org/spreadsheetml/2006/main" ref="A3:AT395">
        <filterColumn colId="3">
          <customFilters>
            <customFilter operator="equal" val="4500216094"/>
          </customFilters>
        </filterColumn>
      </autoFilter>
    </autofilterInfo>
  </sheetItem>
  <sheetItem sheetStid="4">
    <filterData filterID="1474966847"/>
  </sheetItem>
  <sheetItem sheetStid="5">
    <filterData filterID="1474966847">
      <hiddenRange rowFrom="1" rowTo="7"/>
      <hiddenRange rowFrom="10" rowTo="20"/>
    </filterData>
    <autofilterInfo filterID="1474966847">
      <autoFilter xmlns="http://schemas.openxmlformats.org/spreadsheetml/2006/main" ref="A1:AR21">
        <filterColumn colId="6">
          <customFilters>
            <customFilter operator="equal" val="4500195266-160"/>
            <customFilter operator="equal" val="4500195266-90"/>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W148">
          <hypersublink pos="322" length="13" display="care@zuru.com" address="mailto:care@zuru.com" subaddress="" screenTip="" linkrunstype="LRTURL"/>
        </hyperlink>
        <hyperlink ref="W304">
          <hypersublink pos="309" length="13" display="care@zuru.com" address="mailto:care@zuru.com" subaddress="" screenTip="" linkrunstype="LRTURL"/>
        </hyperlink>
        <hyperlink ref="B346">
          <hypersublink pos="0" length="10" display="AMAZON.COM" address="https://AMAZON.COM" subaddress="" screenTip="" linkrunstype="LRTURL"/>
        </hyperlink>
        <hyperlink ref="B354">
          <hypersublink pos="0" length="10" display="AMAZON.COM" address="https://AMAZON.COM" subaddress="" screenTip="" linkrunstype="LRTURL"/>
        </hyperlink>
        <hyperlink ref="B363">
          <hypersublink pos="0" length="10" display="AMAZON.COM" address="https://AMAZON.COM" subaddress="" screenTip="" linkrunstype="LRTURL"/>
        </hyperlink>
        <hyperlink ref="B366">
          <hypersublink pos="0" length="10" display="AMAZON.COM" address="https://AMAZON.COM" subaddress="" screenTip="" linkrunstype="LRTURL"/>
        </hyperlink>
        <hyperlink ref="B368">
          <hypersublink pos="0" length="10" display="AMAZON.COM" address="https://AMAZON.COM" subaddress="" screenTip="" linkrunstype="LRTURL"/>
        </hyperlink>
      </hyperlinks>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sProps>
  <woBookProps>
    <bookSettings fileId="526436693059"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5</vt:i4>
      </vt:variant>
    </vt:vector>
  </HeadingPairs>
  <TitlesOfParts>
    <vt:vector size="5" baseType="lpstr">
      <vt:lpstr>77858厨房套装</vt:lpstr>
      <vt:lpstr>生产MA</vt:lpstr>
      <vt:lpstr>布料 IC MA</vt:lpstr>
      <vt:lpstr>包材MA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平流层</cp:lastModifiedBy>
  <dcterms:created xsi:type="dcterms:W3CDTF">2026-06-16T22:47:00Z</dcterms:created>
  <dcterms:modified xsi:type="dcterms:W3CDTF">2026-12-16T19:35:00Z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6F1C45F851F4401485052ED468A2319B_12</vt:lpwstr>
  </property>
  <property fmtid="{D5CDD505-2E9C-101B-9397-08002B2CF9AE}" pid="4" name="KSOReadingLayout">
    <vt:bool>true</vt:bool>
  </property>
  <property fmtid="{D5CDD505-2E9C-101B-9397-08002B2CF9AE}" pid="5" name="CalculationRule">
    <vt:i4>0</vt:i4>
  </property>
</Properties>
</file>